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07AC88E-E865-4085-84C1-833878BC509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22" i="5"/>
  <c r="C133" i="5" s="1"/>
  <c r="C2" i="1" l="1"/>
  <c r="D2" i="1"/>
  <c r="C116" i="5"/>
  <c r="C118" i="4"/>
  <c r="C122" i="4"/>
  <c r="C133" i="4" s="1"/>
  <c r="D136" i="4" s="1"/>
  <c r="C118" i="3"/>
  <c r="D136" i="5"/>
  <c r="C136" i="5"/>
  <c r="C122" i="3"/>
  <c r="C133" i="3" s="1"/>
  <c r="C136" i="3" s="1"/>
  <c r="R765" i="1"/>
  <c r="C136" i="4" l="1"/>
  <c r="C138" i="4" s="1"/>
  <c r="C138" i="5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R238" i="1" l="1"/>
  <c r="S239" i="1"/>
  <c r="T239" i="1" s="1"/>
  <c r="S238" i="1" l="1"/>
  <c r="T238" i="1" s="1"/>
  <c r="R237" i="1"/>
  <c r="S237" i="1" l="1"/>
  <c r="T237" i="1" s="1"/>
  <c r="R236" i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S229" i="1" l="1"/>
  <c r="T229" i="1" s="1"/>
  <c r="R228" i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S205" i="1" l="1"/>
  <c r="T205" i="1" s="1"/>
  <c r="R204" i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R190" i="1" l="1"/>
  <c r="S191" i="1"/>
  <c r="T191" i="1" s="1"/>
  <c r="S190" i="1" l="1"/>
  <c r="T190" i="1" s="1"/>
  <c r="R189" i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S157" i="1" l="1"/>
  <c r="T157" i="1" s="1"/>
  <c r="R156" i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S125" i="1" l="1"/>
  <c r="T125" i="1" s="1"/>
  <c r="R124" i="1"/>
  <c r="S124" i="1" l="1"/>
  <c r="T124" i="1" s="1"/>
  <c r="R123" i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S118" i="1" l="1"/>
  <c r="T118" i="1" s="1"/>
  <c r="R117" i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S102" i="1" l="1"/>
  <c r="T102" i="1" s="1"/>
  <c r="R101" i="1"/>
  <c r="S101" i="1" l="1"/>
  <c r="T101" i="1" s="1"/>
  <c r="R100" i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S94" i="1" l="1"/>
  <c r="T94" i="1" s="1"/>
  <c r="R93" i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<sst xmlns="http://schemas.openxmlformats.org/spreadsheetml/2006/main" count="5424" uniqueCount="34">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</sst>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0.223</c:v>
                </c:pt>
                <c:pt idx="1">
                  <c:v>0.2278</c:v>
                </c:pt>
                <c:pt idx="2">
                  <c:v>0.2268</c:v>
                </c:pt>
                <c:pt idx="3">
                  <c:v>0.22670000000000001</c:v>
                </c:pt>
                <c:pt idx="4">
                  <c:v>0.2364</c:v>
                </c:pt>
                <c:pt idx="5">
                  <c:v>0.22700000000000001</c:v>
                </c:pt>
                <c:pt idx="6">
                  <c:v>0.25190000000000001</c:v>
                </c:pt>
                <c:pt idx="7">
                  <c:v>0.29270000000000002</c:v>
                </c:pt>
                <c:pt idx="8">
                  <c:v>0.30499999999999999</c:v>
                </c:pt>
                <c:pt idx="9">
                  <c:v>0.32150000000000001</c:v>
                </c:pt>
                <c:pt idx="10">
                  <c:v>0.31869999999999998</c:v>
                </c:pt>
                <c:pt idx="11">
                  <c:v>0.3352</c:v>
                </c:pt>
                <c:pt idx="12">
                  <c:v>0.34210000000000002</c:v>
                </c:pt>
                <c:pt idx="13">
                  <c:v>0.3412</c:v>
                </c:pt>
                <c:pt idx="14">
                  <c:v>0.33489999999999998</c:v>
                </c:pt>
                <c:pt idx="15">
                  <c:v>0.34899999999999998</c:v>
                </c:pt>
                <c:pt idx="16">
                  <c:v>0.33560000000000001</c:v>
                </c:pt>
                <c:pt idx="17">
                  <c:v>0.31390000000000001</c:v>
                </c:pt>
                <c:pt idx="18">
                  <c:v>0.32469999999999999</c:v>
                </c:pt>
                <c:pt idx="19">
                  <c:v>0.31219999999999998</c:v>
                </c:pt>
                <c:pt idx="20">
                  <c:v>0.32700000000000001</c:v>
                </c:pt>
                <c:pt idx="21">
                  <c:v>0.35020000000000001</c:v>
                </c:pt>
                <c:pt idx="22">
                  <c:v>0.3548</c:v>
                </c:pt>
                <c:pt idx="23">
                  <c:v>0.3926</c:v>
                </c:pt>
                <c:pt idx="24">
                  <c:v>0.38429999999999997</c:v>
                </c:pt>
                <c:pt idx="25">
                  <c:v>0.38390000000000002</c:v>
                </c:pt>
                <c:pt idx="26">
                  <c:v>0.37719999999999998</c:v>
                </c:pt>
                <c:pt idx="27">
                  <c:v>0.3543</c:v>
                </c:pt>
                <c:pt idx="28">
                  <c:v>0.36230000000000001</c:v>
                </c:pt>
                <c:pt idx="29">
                  <c:v>0.35320000000000001</c:v>
                </c:pt>
                <c:pt idx="30">
                  <c:v>0.35870000000000002</c:v>
                </c:pt>
                <c:pt idx="31">
                  <c:v>0.40570000000000001</c:v>
                </c:pt>
                <c:pt idx="32">
                  <c:v>0.40489999999999998</c:v>
                </c:pt>
                <c:pt idx="33">
                  <c:v>0.39379999999999998</c:v>
                </c:pt>
                <c:pt idx="34">
                  <c:v>0.37990000000000002</c:v>
                </c:pt>
                <c:pt idx="35">
                  <c:v>0.39200000000000002</c:v>
                </c:pt>
                <c:pt idx="36">
                  <c:v>0.37319999999999998</c:v>
                </c:pt>
                <c:pt idx="37">
                  <c:v>0.34620000000000001</c:v>
                </c:pt>
                <c:pt idx="38">
                  <c:v>0.32969999999999999</c:v>
                </c:pt>
                <c:pt idx="39">
                  <c:v>0.34470000000000001</c:v>
                </c:pt>
                <c:pt idx="40">
                  <c:v>0.3528</c:v>
                </c:pt>
                <c:pt idx="41">
                  <c:v>0.34129999999999999</c:v>
                </c:pt>
                <c:pt idx="42">
                  <c:v>0.3513</c:v>
                </c:pt>
                <c:pt idx="43">
                  <c:v>0.3594</c:v>
                </c:pt>
                <c:pt idx="44">
                  <c:v>0.34489999999999998</c:v>
                </c:pt>
                <c:pt idx="45">
                  <c:v>0.33929999999999999</c:v>
                </c:pt>
                <c:pt idx="46">
                  <c:v>0.38829999999999998</c:v>
                </c:pt>
                <c:pt idx="47">
                  <c:v>0.36499999999999999</c:v>
                </c:pt>
                <c:pt idx="48">
                  <c:v>0.36209999999999998</c:v>
                </c:pt>
                <c:pt idx="49">
                  <c:v>0.37680000000000002</c:v>
                </c:pt>
                <c:pt idx="50">
                  <c:v>0.41970000000000002</c:v>
                </c:pt>
                <c:pt idx="51">
                  <c:v>0.39329999999999998</c:v>
                </c:pt>
                <c:pt idx="52">
                  <c:v>0.3962</c:v>
                </c:pt>
                <c:pt idx="53">
                  <c:v>0.38750000000000001</c:v>
                </c:pt>
                <c:pt idx="54">
                  <c:v>0.42949999999999999</c:v>
                </c:pt>
                <c:pt idx="55">
                  <c:v>0.54659999999999997</c:v>
                </c:pt>
                <c:pt idx="56">
                  <c:v>0.53979999999999995</c:v>
                </c:pt>
                <c:pt idx="57">
                  <c:v>0.53100000000000003</c:v>
                </c:pt>
                <c:pt idx="58">
                  <c:v>0.52510000000000001</c:v>
                </c:pt>
                <c:pt idx="59">
                  <c:v>0.56140000000000001</c:v>
                </c:pt>
                <c:pt idx="60">
                  <c:v>0.55289999999999995</c:v>
                </c:pt>
                <c:pt idx="61">
                  <c:v>0.56189999999999996</c:v>
                </c:pt>
                <c:pt idx="62">
                  <c:v>0.54110000000000003</c:v>
                </c:pt>
                <c:pt idx="63">
                  <c:v>0.6129</c:v>
                </c:pt>
                <c:pt idx="64">
                  <c:v>0.60509999999999997</c:v>
                </c:pt>
                <c:pt idx="65">
                  <c:v>0.61099999999999999</c:v>
                </c:pt>
                <c:pt idx="66">
                  <c:v>0.62080000000000002</c:v>
                </c:pt>
                <c:pt idx="67">
                  <c:v>0.66069999999999995</c:v>
                </c:pt>
                <c:pt idx="68">
                  <c:v>0.62480000000000002</c:v>
                </c:pt>
                <c:pt idx="69">
                  <c:v>0.57779999999999998</c:v>
                </c:pt>
                <c:pt idx="70">
                  <c:v>0.55030000000000001</c:v>
                </c:pt>
                <c:pt idx="71">
                  <c:v>0.61019999999999996</c:v>
                </c:pt>
                <c:pt idx="72">
                  <c:v>0.6149</c:v>
                </c:pt>
                <c:pt idx="73">
                  <c:v>0.68940000000000001</c:v>
                </c:pt>
                <c:pt idx="74">
                  <c:v>0.67959999999999998</c:v>
                </c:pt>
                <c:pt idx="75">
                  <c:v>0.67600000000000005</c:v>
                </c:pt>
                <c:pt idx="76">
                  <c:v>0.62080000000000002</c:v>
                </c:pt>
                <c:pt idx="77">
                  <c:v>0.64649999999999996</c:v>
                </c:pt>
                <c:pt idx="78">
                  <c:v>0.63900000000000001</c:v>
                </c:pt>
                <c:pt idx="79">
                  <c:v>0.7097</c:v>
                </c:pt>
                <c:pt idx="80">
                  <c:v>0.69720000000000004</c:v>
                </c:pt>
                <c:pt idx="81">
                  <c:v>0.69750000000000001</c:v>
                </c:pt>
                <c:pt idx="82">
                  <c:v>0.60089999999999999</c:v>
                </c:pt>
                <c:pt idx="83">
                  <c:v>0.60470000000000002</c:v>
                </c:pt>
                <c:pt idx="84">
                  <c:v>0.60560000000000003</c:v>
                </c:pt>
                <c:pt idx="85">
                  <c:v>0.62009999999999998</c:v>
                </c:pt>
                <c:pt idx="86">
                  <c:v>0.57640000000000002</c:v>
                </c:pt>
                <c:pt idx="87">
                  <c:v>0.52500000000000002</c:v>
                </c:pt>
                <c:pt idx="88">
                  <c:v>0.52900000000000003</c:v>
                </c:pt>
                <c:pt idx="89">
                  <c:v>0.48580000000000001</c:v>
                </c:pt>
                <c:pt idx="90">
                  <c:v>0.50480000000000003</c:v>
                </c:pt>
                <c:pt idx="91">
                  <c:v>0.496</c:v>
                </c:pt>
                <c:pt idx="92">
                  <c:v>0.47349999999999998</c:v>
                </c:pt>
                <c:pt idx="93">
                  <c:v>0.55610000000000004</c:v>
                </c:pt>
                <c:pt idx="94">
                  <c:v>0.56579999999999997</c:v>
                </c:pt>
                <c:pt idx="95">
                  <c:v>0.54320000000000002</c:v>
                </c:pt>
                <c:pt idx="96">
                  <c:v>0.56100000000000005</c:v>
                </c:pt>
                <c:pt idx="97">
                  <c:v>0.56950000000000001</c:v>
                </c:pt>
                <c:pt idx="98">
                  <c:v>0.52590000000000003</c:v>
                </c:pt>
                <c:pt idx="99">
                  <c:v>0.51859999999999995</c:v>
                </c:pt>
                <c:pt idx="100">
                  <c:v>0.4919</c:v>
                </c:pt>
                <c:pt idx="101">
                  <c:v>0.50080000000000002</c:v>
                </c:pt>
                <c:pt idx="102">
                  <c:v>0.49759999999999999</c:v>
                </c:pt>
                <c:pt idx="103">
                  <c:v>0.50880000000000003</c:v>
                </c:pt>
                <c:pt idx="104">
                  <c:v>0.49359999999999998</c:v>
                </c:pt>
                <c:pt idx="105">
                  <c:v>0.48249999999999998</c:v>
                </c:pt>
                <c:pt idx="106">
                  <c:v>0.47049999999999997</c:v>
                </c:pt>
                <c:pt idx="107">
                  <c:v>0.46329999999999999</c:v>
                </c:pt>
                <c:pt idx="108">
                  <c:v>0.46829999999999999</c:v>
                </c:pt>
                <c:pt idx="109">
                  <c:v>0.47939999999999999</c:v>
                </c:pt>
                <c:pt idx="110">
                  <c:v>0.52500000000000002</c:v>
                </c:pt>
                <c:pt idx="111">
                  <c:v>0.51980000000000004</c:v>
                </c:pt>
                <c:pt idx="112">
                  <c:v>0.52180000000000004</c:v>
                </c:pt>
                <c:pt idx="113">
                  <c:v>0.51729999999999998</c:v>
                </c:pt>
                <c:pt idx="114">
                  <c:v>0.5212</c:v>
                </c:pt>
                <c:pt idx="115">
                  <c:v>0.496</c:v>
                </c:pt>
                <c:pt idx="116">
                  <c:v>0.50180000000000002</c:v>
                </c:pt>
                <c:pt idx="117">
                  <c:v>0.4899</c:v>
                </c:pt>
                <c:pt idx="118">
                  <c:v>0.4788</c:v>
                </c:pt>
                <c:pt idx="119">
                  <c:v>0.43409999999999999</c:v>
                </c:pt>
                <c:pt idx="120">
                  <c:v>0.41049999999999998</c:v>
                </c:pt>
                <c:pt idx="121">
                  <c:v>0.40310000000000001</c:v>
                </c:pt>
                <c:pt idx="122">
                  <c:v>0.42020000000000002</c:v>
                </c:pt>
                <c:pt idx="123">
                  <c:v>0.4486</c:v>
                </c:pt>
                <c:pt idx="124">
                  <c:v>0.46050000000000002</c:v>
                </c:pt>
                <c:pt idx="125">
                  <c:v>0.47320000000000001</c:v>
                </c:pt>
                <c:pt idx="126">
                  <c:v>0.5151</c:v>
                </c:pt>
                <c:pt idx="127">
                  <c:v>0.49619999999999997</c:v>
                </c:pt>
                <c:pt idx="128">
                  <c:v>0.42659999999999998</c:v>
                </c:pt>
                <c:pt idx="129">
                  <c:v>0.50119999999999998</c:v>
                </c:pt>
                <c:pt idx="130">
                  <c:v>0.55879999999999996</c:v>
                </c:pt>
                <c:pt idx="131">
                  <c:v>0.58389999999999997</c:v>
                </c:pt>
                <c:pt idx="132">
                  <c:v>0.57469999999999999</c:v>
                </c:pt>
                <c:pt idx="133">
                  <c:v>0.60329999999999995</c:v>
                </c:pt>
                <c:pt idx="134">
                  <c:v>0.63749999999999996</c:v>
                </c:pt>
                <c:pt idx="135">
                  <c:v>0.59319999999999995</c:v>
                </c:pt>
                <c:pt idx="136">
                  <c:v>0.56899999999999995</c:v>
                </c:pt>
                <c:pt idx="137">
                  <c:v>0.61599999999999999</c:v>
                </c:pt>
                <c:pt idx="138">
                  <c:v>0.57189999999999996</c:v>
                </c:pt>
                <c:pt idx="139">
                  <c:v>0.56669999999999998</c:v>
                </c:pt>
                <c:pt idx="140">
                  <c:v>0.6028</c:v>
                </c:pt>
                <c:pt idx="141">
                  <c:v>0.57230000000000003</c:v>
                </c:pt>
                <c:pt idx="142">
                  <c:v>0.54700000000000004</c:v>
                </c:pt>
                <c:pt idx="143">
                  <c:v>0.73140000000000005</c:v>
                </c:pt>
                <c:pt idx="144">
                  <c:v>0.77690000000000003</c:v>
                </c:pt>
                <c:pt idx="145">
                  <c:v>0.74309999999999998</c:v>
                </c:pt>
                <c:pt idx="146">
                  <c:v>0.72350000000000003</c:v>
                </c:pt>
                <c:pt idx="147">
                  <c:v>0.70479999999999998</c:v>
                </c:pt>
                <c:pt idx="148">
                  <c:v>0.72089999999999999</c:v>
                </c:pt>
                <c:pt idx="149">
                  <c:v>0.66</c:v>
                </c:pt>
                <c:pt idx="150">
                  <c:v>0.64080000000000004</c:v>
                </c:pt>
                <c:pt idx="151">
                  <c:v>0.66869999999999996</c:v>
                </c:pt>
                <c:pt idx="152">
                  <c:v>0.67169999999999996</c:v>
                </c:pt>
                <c:pt idx="153">
                  <c:v>0.67459999999999998</c:v>
                </c:pt>
                <c:pt idx="154">
                  <c:v>0.6462</c:v>
                </c:pt>
                <c:pt idx="155">
                  <c:v>0.74099999999999999</c:v>
                </c:pt>
                <c:pt idx="156">
                  <c:v>0.7147</c:v>
                </c:pt>
                <c:pt idx="157">
                  <c:v>0.76590000000000003</c:v>
                </c:pt>
                <c:pt idx="158">
                  <c:v>0.7369</c:v>
                </c:pt>
                <c:pt idx="159">
                  <c:v>0.68710000000000004</c:v>
                </c:pt>
                <c:pt idx="160">
                  <c:v>0.6885</c:v>
                </c:pt>
                <c:pt idx="161">
                  <c:v>0.62539999999999996</c:v>
                </c:pt>
                <c:pt idx="162">
                  <c:v>0.57320000000000004</c:v>
                </c:pt>
                <c:pt idx="163">
                  <c:v>0.57820000000000005</c:v>
                </c:pt>
                <c:pt idx="164">
                  <c:v>0.5988</c:v>
                </c:pt>
                <c:pt idx="165">
                  <c:v>0.59609999999999996</c:v>
                </c:pt>
                <c:pt idx="166">
                  <c:v>0.58460000000000001</c:v>
                </c:pt>
                <c:pt idx="167">
                  <c:v>0.57179999999999997</c:v>
                </c:pt>
                <c:pt idx="168">
                  <c:v>0.51070000000000004</c:v>
                </c:pt>
                <c:pt idx="169">
                  <c:v>0.53420000000000001</c:v>
                </c:pt>
                <c:pt idx="170">
                  <c:v>0.51619999999999999</c:v>
                </c:pt>
                <c:pt idx="171">
                  <c:v>0.52</c:v>
                </c:pt>
                <c:pt idx="172">
                  <c:v>0.50039999999999996</c:v>
                </c:pt>
                <c:pt idx="173">
                  <c:v>0.53310000000000002</c:v>
                </c:pt>
                <c:pt idx="174">
                  <c:v>0.51580000000000004</c:v>
                </c:pt>
                <c:pt idx="175">
                  <c:v>0.52149999999999996</c:v>
                </c:pt>
                <c:pt idx="176">
                  <c:v>0.48909999999999998</c:v>
                </c:pt>
                <c:pt idx="177">
                  <c:v>0.4592</c:v>
                </c:pt>
                <c:pt idx="178">
                  <c:v>0.46860000000000002</c:v>
                </c:pt>
                <c:pt idx="179">
                  <c:v>0.44440000000000002</c:v>
                </c:pt>
                <c:pt idx="180">
                  <c:v>0.47810000000000002</c:v>
                </c:pt>
                <c:pt idx="181">
                  <c:v>0.46279999999999999</c:v>
                </c:pt>
                <c:pt idx="182">
                  <c:v>0.42399999999999999</c:v>
                </c:pt>
                <c:pt idx="183">
                  <c:v>0.40579999999999999</c:v>
                </c:pt>
                <c:pt idx="184">
                  <c:v>0.40389999999999998</c:v>
                </c:pt>
                <c:pt idx="185">
                  <c:v>0.38479999999999998</c:v>
                </c:pt>
                <c:pt idx="186">
                  <c:v>0.37409999999999999</c:v>
                </c:pt>
                <c:pt idx="187">
                  <c:v>0.36509999999999998</c:v>
                </c:pt>
                <c:pt idx="188">
                  <c:v>0.35560000000000003</c:v>
                </c:pt>
                <c:pt idx="189">
                  <c:v>0.35520000000000002</c:v>
                </c:pt>
                <c:pt idx="190">
                  <c:v>0.33460000000000001</c:v>
                </c:pt>
                <c:pt idx="191">
                  <c:v>0.3054</c:v>
                </c:pt>
                <c:pt idx="192">
                  <c:v>0.3206</c:v>
                </c:pt>
                <c:pt idx="193">
                  <c:v>0.34739999999999999</c:v>
                </c:pt>
                <c:pt idx="194">
                  <c:v>0.34689999999999999</c:v>
                </c:pt>
                <c:pt idx="195">
                  <c:v>0.3367</c:v>
                </c:pt>
                <c:pt idx="196">
                  <c:v>0.34499999999999997</c:v>
                </c:pt>
                <c:pt idx="197">
                  <c:v>0.36480000000000001</c:v>
                </c:pt>
                <c:pt idx="198">
                  <c:v>0.3584</c:v>
                </c:pt>
                <c:pt idx="199">
                  <c:v>0.36990000000000001</c:v>
                </c:pt>
                <c:pt idx="200">
                  <c:v>0.38450000000000001</c:v>
                </c:pt>
                <c:pt idx="201">
                  <c:v>0.37680000000000002</c:v>
                </c:pt>
                <c:pt idx="202">
                  <c:v>0.38229999999999997</c:v>
                </c:pt>
                <c:pt idx="203">
                  <c:v>0.37590000000000001</c:v>
                </c:pt>
                <c:pt idx="204">
                  <c:v>0.40689999999999998</c:v>
                </c:pt>
                <c:pt idx="205">
                  <c:v>0.41710000000000003</c:v>
                </c:pt>
                <c:pt idx="206">
                  <c:v>0.38040000000000002</c:v>
                </c:pt>
                <c:pt idx="207">
                  <c:v>0.38529999999999998</c:v>
                </c:pt>
                <c:pt idx="208">
                  <c:v>0.372</c:v>
                </c:pt>
                <c:pt idx="209">
                  <c:v>0.36409999999999998</c:v>
                </c:pt>
                <c:pt idx="210">
                  <c:v>0.34820000000000001</c:v>
                </c:pt>
                <c:pt idx="211">
                  <c:v>0.38369999999999999</c:v>
                </c:pt>
                <c:pt idx="212">
                  <c:v>0.3755</c:v>
                </c:pt>
                <c:pt idx="213">
                  <c:v>0.35770000000000002</c:v>
                </c:pt>
                <c:pt idx="214">
                  <c:v>0.34889999999999999</c:v>
                </c:pt>
                <c:pt idx="215">
                  <c:v>0.3382</c:v>
                </c:pt>
                <c:pt idx="216">
                  <c:v>0.33600000000000002</c:v>
                </c:pt>
                <c:pt idx="217">
                  <c:v>0.39290000000000003</c:v>
                </c:pt>
                <c:pt idx="218">
                  <c:v>0.37030000000000002</c:v>
                </c:pt>
                <c:pt idx="219">
                  <c:v>0.35</c:v>
                </c:pt>
                <c:pt idx="220">
                  <c:v>0.35809999999999997</c:v>
                </c:pt>
                <c:pt idx="221">
                  <c:v>0.46889999999999998</c:v>
                </c:pt>
                <c:pt idx="222">
                  <c:v>0.47149999999999997</c:v>
                </c:pt>
                <c:pt idx="223">
                  <c:v>0.48280000000000001</c:v>
                </c:pt>
                <c:pt idx="224">
                  <c:v>0.52849999999999997</c:v>
                </c:pt>
                <c:pt idx="225">
                  <c:v>0.54090000000000005</c:v>
                </c:pt>
                <c:pt idx="226">
                  <c:v>0.54749999999999999</c:v>
                </c:pt>
                <c:pt idx="227">
                  <c:v>0.54169999999999996</c:v>
                </c:pt>
                <c:pt idx="228">
                  <c:v>0.5262</c:v>
                </c:pt>
                <c:pt idx="229">
                  <c:v>0.4909</c:v>
                </c:pt>
                <c:pt idx="230">
                  <c:v>0.51139999999999997</c:v>
                </c:pt>
                <c:pt idx="231">
                  <c:v>0.53879999999999995</c:v>
                </c:pt>
                <c:pt idx="232">
                  <c:v>0.55679999999999996</c:v>
                </c:pt>
                <c:pt idx="233">
                  <c:v>0.53710000000000002</c:v>
                </c:pt>
                <c:pt idx="234">
                  <c:v>0.54400000000000004</c:v>
                </c:pt>
                <c:pt idx="235">
                  <c:v>0.5958</c:v>
                </c:pt>
                <c:pt idx="236">
                  <c:v>0.57769999999999999</c:v>
                </c:pt>
                <c:pt idx="237">
                  <c:v>0.58660000000000001</c:v>
                </c:pt>
                <c:pt idx="238">
                  <c:v>0.64339999999999997</c:v>
                </c:pt>
                <c:pt idx="239">
                  <c:v>0.60219999999999996</c:v>
                </c:pt>
                <c:pt idx="240">
                  <c:v>0.53269999999999995</c:v>
                </c:pt>
                <c:pt idx="241">
                  <c:v>0.55069999999999997</c:v>
                </c:pt>
                <c:pt idx="242">
                  <c:v>0.49380000000000002</c:v>
                </c:pt>
                <c:pt idx="243">
                  <c:v>0.46410000000000001</c:v>
                </c:pt>
                <c:pt idx="244">
                  <c:v>0.50049999999999994</c:v>
                </c:pt>
                <c:pt idx="245">
                  <c:v>0.59540000000000004</c:v>
                </c:pt>
                <c:pt idx="246">
                  <c:v>0.60980000000000001</c:v>
                </c:pt>
                <c:pt idx="247">
                  <c:v>0.56059999999999999</c:v>
                </c:pt>
                <c:pt idx="248">
                  <c:v>0.49330000000000002</c:v>
                </c:pt>
                <c:pt idx="249">
                  <c:v>0.39290000000000003</c:v>
                </c:pt>
                <c:pt idx="250">
                  <c:v>0.45450000000000002</c:v>
                </c:pt>
                <c:pt idx="251">
                  <c:v>0.51400000000000001</c:v>
                </c:pt>
                <c:pt idx="252">
                  <c:v>0.64600000000000002</c:v>
                </c:pt>
                <c:pt idx="253">
                  <c:v>0.44950000000000001</c:v>
                </c:pt>
                <c:pt idx="254">
                  <c:v>0.74119999999999997</c:v>
                </c:pt>
                <c:pt idx="255">
                  <c:v>0.71550000000000002</c:v>
                </c:pt>
                <c:pt idx="256">
                  <c:v>0.78359999999999996</c:v>
                </c:pt>
                <c:pt idx="257">
                  <c:v>0.79869999999999997</c:v>
                </c:pt>
                <c:pt idx="258">
                  <c:v>0.90010000000000001</c:v>
                </c:pt>
                <c:pt idx="259">
                  <c:v>0.83889999999999998</c:v>
                </c:pt>
                <c:pt idx="260">
                  <c:v>0.80349999999999999</c:v>
                </c:pt>
                <c:pt idx="261">
                  <c:v>1.0013000000000001</c:v>
                </c:pt>
                <c:pt idx="262">
                  <c:v>0.96419999999999995</c:v>
                </c:pt>
                <c:pt idx="263">
                  <c:v>0.9647</c:v>
                </c:pt>
                <c:pt idx="264">
                  <c:v>0.95730000000000004</c:v>
                </c:pt>
                <c:pt idx="265">
                  <c:v>0.98209999999999997</c:v>
                </c:pt>
                <c:pt idx="266">
                  <c:v>0.98640000000000005</c:v>
                </c:pt>
                <c:pt idx="267">
                  <c:v>1.0194000000000001</c:v>
                </c:pt>
                <c:pt idx="268">
                  <c:v>0.8397</c:v>
                </c:pt>
                <c:pt idx="269">
                  <c:v>0.96150000000000002</c:v>
                </c:pt>
                <c:pt idx="270">
                  <c:v>1.0086999999999999</c:v>
                </c:pt>
                <c:pt idx="271">
                  <c:v>0.92</c:v>
                </c:pt>
                <c:pt idx="272">
                  <c:v>0.9294</c:v>
                </c:pt>
                <c:pt idx="273">
                  <c:v>0.75549999999999995</c:v>
                </c:pt>
                <c:pt idx="274">
                  <c:v>0.74439999999999995</c:v>
                </c:pt>
                <c:pt idx="275">
                  <c:v>0.78639999999999999</c:v>
                </c:pt>
                <c:pt idx="276">
                  <c:v>0.76349999999999996</c:v>
                </c:pt>
                <c:pt idx="277">
                  <c:v>0.64100000000000001</c:v>
                </c:pt>
                <c:pt idx="278">
                  <c:v>0.66949999999999998</c:v>
                </c:pt>
                <c:pt idx="279">
                  <c:v>0.72719999999999996</c:v>
                </c:pt>
                <c:pt idx="280">
                  <c:v>0.72109999999999996</c:v>
                </c:pt>
                <c:pt idx="281">
                  <c:v>0.82640000000000002</c:v>
                </c:pt>
                <c:pt idx="282">
                  <c:v>0.8911</c:v>
                </c:pt>
                <c:pt idx="283">
                  <c:v>0.94499999999999995</c:v>
                </c:pt>
                <c:pt idx="284">
                  <c:v>1.0634999999999999</c:v>
                </c:pt>
                <c:pt idx="285">
                  <c:v>1.0159</c:v>
                </c:pt>
                <c:pt idx="286">
                  <c:v>1.0447</c:v>
                </c:pt>
                <c:pt idx="287">
                  <c:v>1.0268999999999999</c:v>
                </c:pt>
                <c:pt idx="288">
                  <c:v>0.94550000000000001</c:v>
                </c:pt>
                <c:pt idx="289">
                  <c:v>0.95399999999999996</c:v>
                </c:pt>
                <c:pt idx="290">
                  <c:v>0.89090000000000003</c:v>
                </c:pt>
                <c:pt idx="291">
                  <c:v>0.92889999999999995</c:v>
                </c:pt>
                <c:pt idx="292">
                  <c:v>0.96609999999999996</c:v>
                </c:pt>
                <c:pt idx="293">
                  <c:v>1.0237000000000001</c:v>
                </c:pt>
                <c:pt idx="294">
                  <c:v>0.93230000000000002</c:v>
                </c:pt>
                <c:pt idx="295">
                  <c:v>0.91549999999999998</c:v>
                </c:pt>
                <c:pt idx="296">
                  <c:v>1.1014999999999999</c:v>
                </c:pt>
                <c:pt idx="297">
                  <c:v>0.97</c:v>
                </c:pt>
                <c:pt idx="298">
                  <c:v>0.83430000000000004</c:v>
                </c:pt>
                <c:pt idx="299">
                  <c:v>0.77400000000000002</c:v>
                </c:pt>
                <c:pt idx="300">
                  <c:v>0.84370000000000001</c:v>
                </c:pt>
                <c:pt idx="301">
                  <c:v>0.77480000000000004</c:v>
                </c:pt>
                <c:pt idx="302">
                  <c:v>0.86539999999999995</c:v>
                </c:pt>
                <c:pt idx="303">
                  <c:v>0.66310000000000002</c:v>
                </c:pt>
                <c:pt idx="304">
                  <c:v>0.64639999999999997</c:v>
                </c:pt>
                <c:pt idx="305">
                  <c:v>0.62639999999999996</c:v>
                </c:pt>
                <c:pt idx="306">
                  <c:v>0.47420000000000001</c:v>
                </c:pt>
                <c:pt idx="307">
                  <c:v>0.4597</c:v>
                </c:pt>
                <c:pt idx="308">
                  <c:v>0.41810000000000003</c:v>
                </c:pt>
                <c:pt idx="309">
                  <c:v>0.442</c:v>
                </c:pt>
                <c:pt idx="310">
                  <c:v>0.47799999999999998</c:v>
                </c:pt>
                <c:pt idx="311">
                  <c:v>0.49149999999999999</c:v>
                </c:pt>
                <c:pt idx="312">
                  <c:v>0.53259999999999996</c:v>
                </c:pt>
                <c:pt idx="313">
                  <c:v>0.51400000000000001</c:v>
                </c:pt>
                <c:pt idx="314">
                  <c:v>0.55249999999999999</c:v>
                </c:pt>
                <c:pt idx="315">
                  <c:v>0.53200000000000003</c:v>
                </c:pt>
                <c:pt idx="316">
                  <c:v>0.5363</c:v>
                </c:pt>
                <c:pt idx="317">
                  <c:v>0.47139999999999999</c:v>
                </c:pt>
                <c:pt idx="318">
                  <c:v>0.46200000000000002</c:v>
                </c:pt>
                <c:pt idx="319">
                  <c:v>0.46739999999999998</c:v>
                </c:pt>
                <c:pt idx="320">
                  <c:v>0.49669999999999997</c:v>
                </c:pt>
                <c:pt idx="321">
                  <c:v>0.47220000000000001</c:v>
                </c:pt>
                <c:pt idx="322">
                  <c:v>0.49690000000000001</c:v>
                </c:pt>
                <c:pt idx="323">
                  <c:v>0.43059999999999998</c:v>
                </c:pt>
                <c:pt idx="324">
                  <c:v>0.4466</c:v>
                </c:pt>
                <c:pt idx="325">
                  <c:v>0.42799999999999999</c:v>
                </c:pt>
                <c:pt idx="326">
                  <c:v>0.38279999999999997</c:v>
                </c:pt>
                <c:pt idx="327">
                  <c:v>0.3674</c:v>
                </c:pt>
                <c:pt idx="328">
                  <c:v>0.3634</c:v>
                </c:pt>
                <c:pt idx="329">
                  <c:v>0.35809999999999997</c:v>
                </c:pt>
                <c:pt idx="330">
                  <c:v>0.38419999999999999</c:v>
                </c:pt>
                <c:pt idx="331">
                  <c:v>0.3473</c:v>
                </c:pt>
                <c:pt idx="332">
                  <c:v>0.36890000000000001</c:v>
                </c:pt>
                <c:pt idx="333">
                  <c:v>0.31879999999999997</c:v>
                </c:pt>
                <c:pt idx="334">
                  <c:v>0.33110000000000001</c:v>
                </c:pt>
                <c:pt idx="335">
                  <c:v>0.32150000000000001</c:v>
                </c:pt>
                <c:pt idx="336">
                  <c:v>0.32450000000000001</c:v>
                </c:pt>
                <c:pt idx="337">
                  <c:v>0.34050000000000002</c:v>
                </c:pt>
                <c:pt idx="338">
                  <c:v>0.34</c:v>
                </c:pt>
                <c:pt idx="339">
                  <c:v>0.45219999999999999</c:v>
                </c:pt>
                <c:pt idx="340">
                  <c:v>0.5111</c:v>
                </c:pt>
                <c:pt idx="341">
                  <c:v>0.50190000000000001</c:v>
                </c:pt>
                <c:pt idx="342">
                  <c:v>0.56410000000000005</c:v>
                </c:pt>
                <c:pt idx="343">
                  <c:v>0.52780000000000005</c:v>
                </c:pt>
                <c:pt idx="344">
                  <c:v>0.51200000000000001</c:v>
                </c:pt>
                <c:pt idx="345">
                  <c:v>0.48549999999999999</c:v>
                </c:pt>
                <c:pt idx="346">
                  <c:v>0.51180000000000003</c:v>
                </c:pt>
                <c:pt idx="347">
                  <c:v>0.54339999999999999</c:v>
                </c:pt>
                <c:pt idx="348">
                  <c:v>0.627</c:v>
                </c:pt>
                <c:pt idx="349">
                  <c:v>0.55859999999999999</c:v>
                </c:pt>
                <c:pt idx="350">
                  <c:v>0.50860000000000005</c:v>
                </c:pt>
                <c:pt idx="351">
                  <c:v>0.42780000000000001</c:v>
                </c:pt>
                <c:pt idx="352">
                  <c:v>0.43230000000000002</c:v>
                </c:pt>
                <c:pt idx="353">
                  <c:v>0.41599999999999998</c:v>
                </c:pt>
                <c:pt idx="354">
                  <c:v>0.36099999999999999</c:v>
                </c:pt>
                <c:pt idx="355">
                  <c:v>0.34520000000000001</c:v>
                </c:pt>
                <c:pt idx="356">
                  <c:v>0.37659999999999999</c:v>
                </c:pt>
                <c:pt idx="357">
                  <c:v>0.34279999999999999</c:v>
                </c:pt>
                <c:pt idx="358">
                  <c:v>0.34079999999999999</c:v>
                </c:pt>
                <c:pt idx="359">
                  <c:v>0.30349999999999999</c:v>
                </c:pt>
                <c:pt idx="360">
                  <c:v>0.29930000000000001</c:v>
                </c:pt>
                <c:pt idx="361">
                  <c:v>0.2417</c:v>
                </c:pt>
                <c:pt idx="362">
                  <c:v>0.2243</c:v>
                </c:pt>
                <c:pt idx="363">
                  <c:v>0.2006</c:v>
                </c:pt>
                <c:pt idx="364">
                  <c:v>0.2069</c:v>
                </c:pt>
                <c:pt idx="365">
                  <c:v>0.189</c:v>
                </c:pt>
                <c:pt idx="366">
                  <c:v>0.2104</c:v>
                </c:pt>
                <c:pt idx="367">
                  <c:v>0.22070000000000001</c:v>
                </c:pt>
                <c:pt idx="368">
                  <c:v>0.189</c:v>
                </c:pt>
                <c:pt idx="369">
                  <c:v>0.19550000000000001</c:v>
                </c:pt>
                <c:pt idx="370">
                  <c:v>0.1716</c:v>
                </c:pt>
                <c:pt idx="371">
                  <c:v>0.15820000000000001</c:v>
                </c:pt>
                <c:pt idx="372">
                  <c:v>0.18</c:v>
                </c:pt>
                <c:pt idx="373">
                  <c:v>0.1784</c:v>
                </c:pt>
                <c:pt idx="374">
                  <c:v>0.20080000000000001</c:v>
                </c:pt>
                <c:pt idx="375">
                  <c:v>0.1903</c:v>
                </c:pt>
                <c:pt idx="376">
                  <c:v>0.1704</c:v>
                </c:pt>
                <c:pt idx="377">
                  <c:v>0.15310000000000001</c:v>
                </c:pt>
                <c:pt idx="378">
                  <c:v>0.1547</c:v>
                </c:pt>
                <c:pt idx="379">
                  <c:v>0.15190000000000001</c:v>
                </c:pt>
                <c:pt idx="380">
                  <c:v>0.1469</c:v>
                </c:pt>
                <c:pt idx="381">
                  <c:v>0.14810000000000001</c:v>
                </c:pt>
                <c:pt idx="382">
                  <c:v>0.17130000000000001</c:v>
                </c:pt>
                <c:pt idx="383">
                  <c:v>0.15479999999999999</c:v>
                </c:pt>
                <c:pt idx="384">
                  <c:v>0.14660000000000001</c:v>
                </c:pt>
                <c:pt idx="385">
                  <c:v>0.1426</c:v>
                </c:pt>
                <c:pt idx="386">
                  <c:v>0.14940000000000001</c:v>
                </c:pt>
                <c:pt idx="387">
                  <c:v>0.14219999999999999</c:v>
                </c:pt>
                <c:pt idx="388">
                  <c:v>0.14249999999999999</c:v>
                </c:pt>
                <c:pt idx="389">
                  <c:v>0.13200000000000001</c:v>
                </c:pt>
                <c:pt idx="390">
                  <c:v>0.1235</c:v>
                </c:pt>
                <c:pt idx="391">
                  <c:v>0.1295</c:v>
                </c:pt>
                <c:pt idx="392">
                  <c:v>0.125</c:v>
                </c:pt>
                <c:pt idx="393">
                  <c:v>0.128</c:v>
                </c:pt>
                <c:pt idx="394">
                  <c:v>0.1313</c:v>
                </c:pt>
                <c:pt idx="395">
                  <c:v>0.13750000000000001</c:v>
                </c:pt>
                <c:pt idx="396">
                  <c:v>0.13089999999999999</c:v>
                </c:pt>
                <c:pt idx="397">
                  <c:v>0.1366</c:v>
                </c:pt>
                <c:pt idx="398">
                  <c:v>0.14000000000000001</c:v>
                </c:pt>
                <c:pt idx="399">
                  <c:v>0.14649999999999999</c:v>
                </c:pt>
                <c:pt idx="400">
                  <c:v>0.1326</c:v>
                </c:pt>
                <c:pt idx="401">
                  <c:v>0.16769999999999999</c:v>
                </c:pt>
                <c:pt idx="402">
                  <c:v>0.1678</c:v>
                </c:pt>
                <c:pt idx="403">
                  <c:v>0.18790000000000001</c:v>
                </c:pt>
                <c:pt idx="404">
                  <c:v>0.2029</c:v>
                </c:pt>
                <c:pt idx="405">
                  <c:v>0.20369999999999999</c:v>
                </c:pt>
                <c:pt idx="406">
                  <c:v>0.20100000000000001</c:v>
                </c:pt>
                <c:pt idx="407">
                  <c:v>0.1966</c:v>
                </c:pt>
                <c:pt idx="408">
                  <c:v>0.20050000000000001</c:v>
                </c:pt>
                <c:pt idx="409">
                  <c:v>0.2051</c:v>
                </c:pt>
                <c:pt idx="410">
                  <c:v>0.1948</c:v>
                </c:pt>
                <c:pt idx="411">
                  <c:v>0.1883</c:v>
                </c:pt>
                <c:pt idx="412">
                  <c:v>0.1842</c:v>
                </c:pt>
                <c:pt idx="413">
                  <c:v>0.20080000000000001</c:v>
                </c:pt>
                <c:pt idx="414">
                  <c:v>0.22509999999999999</c:v>
                </c:pt>
                <c:pt idx="415">
                  <c:v>0.1986</c:v>
                </c:pt>
                <c:pt idx="416">
                  <c:v>0.19470000000000001</c:v>
                </c:pt>
                <c:pt idx="417">
                  <c:v>0.1983</c:v>
                </c:pt>
                <c:pt idx="418">
                  <c:v>0.19900000000000001</c:v>
                </c:pt>
                <c:pt idx="419">
                  <c:v>0.1883</c:v>
                </c:pt>
                <c:pt idx="420">
                  <c:v>0.2266</c:v>
                </c:pt>
                <c:pt idx="421">
                  <c:v>0.19400000000000001</c:v>
                </c:pt>
                <c:pt idx="422">
                  <c:v>0.1812</c:v>
                </c:pt>
                <c:pt idx="423">
                  <c:v>0.18870000000000001</c:v>
                </c:pt>
                <c:pt idx="424">
                  <c:v>0.1847</c:v>
                </c:pt>
                <c:pt idx="425">
                  <c:v>0.1842</c:v>
                </c:pt>
                <c:pt idx="426">
                  <c:v>0.18010000000000001</c:v>
                </c:pt>
                <c:pt idx="427">
                  <c:v>0.1774</c:v>
                </c:pt>
                <c:pt idx="428">
                  <c:v>0.2157</c:v>
                </c:pt>
                <c:pt idx="429">
                  <c:v>0.22720000000000001</c:v>
                </c:pt>
                <c:pt idx="430">
                  <c:v>0.22420000000000001</c:v>
                </c:pt>
                <c:pt idx="431">
                  <c:v>0.2051</c:v>
                </c:pt>
                <c:pt idx="432">
                  <c:v>0.21959999999999999</c:v>
                </c:pt>
                <c:pt idx="433">
                  <c:v>0.1981</c:v>
                </c:pt>
                <c:pt idx="434">
                  <c:v>0.20619999999999999</c:v>
                </c:pt>
                <c:pt idx="435">
                  <c:v>0.183</c:v>
                </c:pt>
                <c:pt idx="436">
                  <c:v>0.2074</c:v>
                </c:pt>
                <c:pt idx="437">
                  <c:v>0.20610000000000001</c:v>
                </c:pt>
                <c:pt idx="438">
                  <c:v>0.1883</c:v>
                </c:pt>
                <c:pt idx="439">
                  <c:v>0.17519999999999999</c:v>
                </c:pt>
                <c:pt idx="440">
                  <c:v>0.1656</c:v>
                </c:pt>
                <c:pt idx="441">
                  <c:v>0.14949999999999999</c:v>
                </c:pt>
                <c:pt idx="442">
                  <c:v>0.157</c:v>
                </c:pt>
                <c:pt idx="443">
                  <c:v>0.1676</c:v>
                </c:pt>
                <c:pt idx="444">
                  <c:v>0.14899999999999999</c:v>
                </c:pt>
                <c:pt idx="445">
                  <c:v>0.151</c:v>
                </c:pt>
                <c:pt idx="446">
                  <c:v>0.1416</c:v>
                </c:pt>
                <c:pt idx="447">
                  <c:v>0.15459999999999999</c:v>
                </c:pt>
                <c:pt idx="448">
                  <c:v>0.12970000000000001</c:v>
                </c:pt>
                <c:pt idx="449">
                  <c:v>0.12379999999999999</c:v>
                </c:pt>
                <c:pt idx="450">
                  <c:v>0.13600000000000001</c:v>
                </c:pt>
                <c:pt idx="451">
                  <c:v>0.14910000000000001</c:v>
                </c:pt>
                <c:pt idx="452">
                  <c:v>0.14929999999999999</c:v>
                </c:pt>
                <c:pt idx="453">
                  <c:v>0.15179999999999999</c:v>
                </c:pt>
                <c:pt idx="454">
                  <c:v>0.15640000000000001</c:v>
                </c:pt>
                <c:pt idx="455">
                  <c:v>0.1525</c:v>
                </c:pt>
                <c:pt idx="456">
                  <c:v>0.16689999999999999</c:v>
                </c:pt>
                <c:pt idx="457">
                  <c:v>0.191</c:v>
                </c:pt>
                <c:pt idx="458">
                  <c:v>0.19670000000000001</c:v>
                </c:pt>
                <c:pt idx="459">
                  <c:v>0.20949999999999999</c:v>
                </c:pt>
                <c:pt idx="460">
                  <c:v>0.22600000000000001</c:v>
                </c:pt>
                <c:pt idx="461">
                  <c:v>0.2223</c:v>
                </c:pt>
                <c:pt idx="462">
                  <c:v>0.23569999999999999</c:v>
                </c:pt>
                <c:pt idx="463">
                  <c:v>0.24199999999999999</c:v>
                </c:pt>
                <c:pt idx="464">
                  <c:v>0.2366</c:v>
                </c:pt>
                <c:pt idx="465">
                  <c:v>0.26200000000000001</c:v>
                </c:pt>
                <c:pt idx="466">
                  <c:v>0.25790000000000002</c:v>
                </c:pt>
                <c:pt idx="467">
                  <c:v>0.25409999999999999</c:v>
                </c:pt>
                <c:pt idx="468">
                  <c:v>0.25140000000000001</c:v>
                </c:pt>
                <c:pt idx="469">
                  <c:v>0.2641</c:v>
                </c:pt>
                <c:pt idx="470">
                  <c:v>0.2732</c:v>
                </c:pt>
                <c:pt idx="471">
                  <c:v>0.2752</c:v>
                </c:pt>
                <c:pt idx="472">
                  <c:v>0.25950000000000001</c:v>
                </c:pt>
                <c:pt idx="473">
                  <c:v>0.27829999999999999</c:v>
                </c:pt>
                <c:pt idx="474">
                  <c:v>0.26619999999999999</c:v>
                </c:pt>
                <c:pt idx="475">
                  <c:v>0.29270000000000002</c:v>
                </c:pt>
                <c:pt idx="476">
                  <c:v>0.28249999999999997</c:v>
                </c:pt>
                <c:pt idx="477">
                  <c:v>0.26319999999999999</c:v>
                </c:pt>
                <c:pt idx="478">
                  <c:v>0.3009</c:v>
                </c:pt>
                <c:pt idx="479">
                  <c:v>0.37980000000000003</c:v>
                </c:pt>
                <c:pt idx="480">
                  <c:v>0.35970000000000002</c:v>
                </c:pt>
                <c:pt idx="481">
                  <c:v>0.41520000000000001</c:v>
                </c:pt>
                <c:pt idx="482">
                  <c:v>0.46729999999999999</c:v>
                </c:pt>
                <c:pt idx="483">
                  <c:v>0.56320000000000003</c:v>
                </c:pt>
                <c:pt idx="484">
                  <c:v>0.62949999999999995</c:v>
                </c:pt>
                <c:pt idx="485">
                  <c:v>0.64549999999999996</c:v>
                </c:pt>
                <c:pt idx="486">
                  <c:v>0.95299999999999996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DF-4A65-B090-76F8CFDCB0F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3.595892075541173</c:v>
                </c:pt>
                <c:pt idx="1">
                  <c:v>3.5985060955411727</c:v>
                </c:pt>
                <c:pt idx="2">
                  <c:v>3.6503695335488358</c:v>
                </c:pt>
                <c:pt idx="3">
                  <c:v>3.6463338381389994</c:v>
                </c:pt>
                <c:pt idx="4">
                  <c:v>3.5980080891028545</c:v>
                </c:pt>
                <c:pt idx="5">
                  <c:v>3.533807047344613</c:v>
                </c:pt>
                <c:pt idx="6">
                  <c:v>3.5693344302228134</c:v>
                </c:pt>
                <c:pt idx="7">
                  <c:v>3.6652322639742079</c:v>
                </c:pt>
                <c:pt idx="8">
                  <c:v>3.6983009191645189</c:v>
                </c:pt>
                <c:pt idx="9">
                  <c:v>3.7234824064372458</c:v>
                </c:pt>
                <c:pt idx="10">
                  <c:v>3.6885145778816906</c:v>
                </c:pt>
                <c:pt idx="11">
                  <c:v>3.7032472372934548</c:v>
                </c:pt>
                <c:pt idx="12">
                  <c:v>3.7245713872934547</c:v>
                </c:pt>
                <c:pt idx="13">
                  <c:v>3.7252987693767881</c:v>
                </c:pt>
                <c:pt idx="14">
                  <c:v>3.7083973908313332</c:v>
                </c:pt>
                <c:pt idx="15">
                  <c:v>3.7576855237126892</c:v>
                </c:pt>
                <c:pt idx="16">
                  <c:v>3.7122130237126894</c:v>
                </c:pt>
                <c:pt idx="17">
                  <c:v>3.6431550857439392</c:v>
                </c:pt>
                <c:pt idx="18">
                  <c:v>3.6483178237927198</c:v>
                </c:pt>
                <c:pt idx="19">
                  <c:v>3.630053505598887</c:v>
                </c:pt>
                <c:pt idx="20">
                  <c:v>3.6842904798517608</c:v>
                </c:pt>
                <c:pt idx="21">
                  <c:v>3.7552693270122544</c:v>
                </c:pt>
                <c:pt idx="22">
                  <c:v>3.715262038790911</c:v>
                </c:pt>
                <c:pt idx="23">
                  <c:v>3.7837953224234493</c:v>
                </c:pt>
                <c:pt idx="24">
                  <c:v>3.7761835070136129</c:v>
                </c:pt>
                <c:pt idx="25">
                  <c:v>3.7535149081073627</c:v>
                </c:pt>
                <c:pt idx="26">
                  <c:v>3.7210654423930767</c:v>
                </c:pt>
                <c:pt idx="27">
                  <c:v>3.681099952393077</c:v>
                </c:pt>
                <c:pt idx="28">
                  <c:v>3.6955491849856696</c:v>
                </c:pt>
                <c:pt idx="29">
                  <c:v>3.6828914950160652</c:v>
                </c:pt>
                <c:pt idx="30">
                  <c:v>3.7115410127580004</c:v>
                </c:pt>
                <c:pt idx="31">
                  <c:v>3.8099443039368626</c:v>
                </c:pt>
                <c:pt idx="32">
                  <c:v>3.838865397603529</c:v>
                </c:pt>
                <c:pt idx="33">
                  <c:v>3.7710435468035293</c:v>
                </c:pt>
                <c:pt idx="34">
                  <c:v>3.7367932044379377</c:v>
                </c:pt>
                <c:pt idx="35">
                  <c:v>3.7709430689723504</c:v>
                </c:pt>
                <c:pt idx="36">
                  <c:v>3.6928007304538322</c:v>
                </c:pt>
                <c:pt idx="37">
                  <c:v>3.5388079781890238</c:v>
                </c:pt>
                <c:pt idx="38">
                  <c:v>3.5244544176175951</c:v>
                </c:pt>
                <c:pt idx="39">
                  <c:v>3.5594752205444249</c:v>
                </c:pt>
                <c:pt idx="40">
                  <c:v>3.5944513538052938</c:v>
                </c:pt>
                <c:pt idx="41">
                  <c:v>3.5692309155582822</c:v>
                </c:pt>
                <c:pt idx="42">
                  <c:v>3.5792646313029626</c:v>
                </c:pt>
                <c:pt idx="43">
                  <c:v>3.6615261136255435</c:v>
                </c:pt>
                <c:pt idx="44">
                  <c:v>3.6507107395184013</c:v>
                </c:pt>
                <c:pt idx="45">
                  <c:v>3.6130620523072459</c:v>
                </c:pt>
                <c:pt idx="46">
                  <c:v>3.6761203858012217</c:v>
                </c:pt>
                <c:pt idx="47">
                  <c:v>3.643960848228406</c:v>
                </c:pt>
                <c:pt idx="48">
                  <c:v>3.6397284540678219</c:v>
                </c:pt>
                <c:pt idx="49">
                  <c:v>3.7167453946794429</c:v>
                </c:pt>
                <c:pt idx="50">
                  <c:v>3.8471388299566045</c:v>
                </c:pt>
                <c:pt idx="51">
                  <c:v>3.7104627715665814</c:v>
                </c:pt>
                <c:pt idx="52">
                  <c:v>3.7688251898396743</c:v>
                </c:pt>
                <c:pt idx="53">
                  <c:v>3.5587107709935206</c:v>
                </c:pt>
                <c:pt idx="54">
                  <c:v>3.6915056430557138</c:v>
                </c:pt>
                <c:pt idx="55">
                  <c:v>3.6706783840797139</c:v>
                </c:pt>
                <c:pt idx="56">
                  <c:v>3.8360396045978491</c:v>
                </c:pt>
                <c:pt idx="57">
                  <c:v>3.7244160779744724</c:v>
                </c:pt>
                <c:pt idx="58">
                  <c:v>3.7626926812766532</c:v>
                </c:pt>
                <c:pt idx="59">
                  <c:v>3.9406222505917219</c:v>
                </c:pt>
                <c:pt idx="60">
                  <c:v>3.9119875598986518</c:v>
                </c:pt>
                <c:pt idx="61">
                  <c:v>3.8236061821998364</c:v>
                </c:pt>
                <c:pt idx="62">
                  <c:v>3.8985407072854112</c:v>
                </c:pt>
                <c:pt idx="63">
                  <c:v>4.0060180986672291</c:v>
                </c:pt>
                <c:pt idx="64">
                  <c:v>3.9557407580934592</c:v>
                </c:pt>
                <c:pt idx="65">
                  <c:v>3.9547188214100419</c:v>
                </c:pt>
                <c:pt idx="66">
                  <c:v>3.9586126517368392</c:v>
                </c:pt>
                <c:pt idx="67">
                  <c:v>4.0819776301983772</c:v>
                </c:pt>
                <c:pt idx="68">
                  <c:v>4.0401373388228317</c:v>
                </c:pt>
                <c:pt idx="69">
                  <c:v>3.9114980230333578</c:v>
                </c:pt>
                <c:pt idx="70">
                  <c:v>3.8533298715200659</c:v>
                </c:pt>
                <c:pt idx="71">
                  <c:v>3.9435311176365704</c:v>
                </c:pt>
                <c:pt idx="72">
                  <c:v>3.9310612872568234</c:v>
                </c:pt>
                <c:pt idx="73">
                  <c:v>3.9924260140135805</c:v>
                </c:pt>
                <c:pt idx="74">
                  <c:v>4.0928448142819169</c:v>
                </c:pt>
                <c:pt idx="75">
                  <c:v>4.124590371547157</c:v>
                </c:pt>
                <c:pt idx="76">
                  <c:v>3.9436905709501415</c:v>
                </c:pt>
                <c:pt idx="77">
                  <c:v>3.9701217580880725</c:v>
                </c:pt>
                <c:pt idx="78">
                  <c:v>3.9676950833638522</c:v>
                </c:pt>
                <c:pt idx="79">
                  <c:v>4.0654469630138843</c:v>
                </c:pt>
                <c:pt idx="80">
                  <c:v>4.0906915542866118</c:v>
                </c:pt>
                <c:pt idx="81">
                  <c:v>3.992412201300394</c:v>
                </c:pt>
                <c:pt idx="82">
                  <c:v>3.695861855343749</c:v>
                </c:pt>
                <c:pt idx="83">
                  <c:v>3.7416418640363287</c:v>
                </c:pt>
                <c:pt idx="84">
                  <c:v>3.829967842995071</c:v>
                </c:pt>
                <c:pt idx="85">
                  <c:v>3.9086561238357236</c:v>
                </c:pt>
                <c:pt idx="86">
                  <c:v>3.7393644006984688</c:v>
                </c:pt>
                <c:pt idx="87">
                  <c:v>3.7125650912577743</c:v>
                </c:pt>
                <c:pt idx="88">
                  <c:v>3.7771591528240389</c:v>
                </c:pt>
                <c:pt idx="89">
                  <c:v>3.4770026267296186</c:v>
                </c:pt>
                <c:pt idx="90">
                  <c:v>3.5027951721719779</c:v>
                </c:pt>
                <c:pt idx="91">
                  <c:v>3.4727808497395443</c:v>
                </c:pt>
                <c:pt idx="92">
                  <c:v>3.3901145164148687</c:v>
                </c:pt>
                <c:pt idx="93">
                  <c:v>3.5878809854206213</c:v>
                </c:pt>
                <c:pt idx="94">
                  <c:v>3.6496784733926488</c:v>
                </c:pt>
                <c:pt idx="95">
                  <c:v>3.6013502404644724</c:v>
                </c:pt>
                <c:pt idx="96">
                  <c:v>3.6329608693707223</c:v>
                </c:pt>
                <c:pt idx="97">
                  <c:v>3.6456429183503132</c:v>
                </c:pt>
                <c:pt idx="98">
                  <c:v>3.4966797348792387</c:v>
                </c:pt>
                <c:pt idx="99">
                  <c:v>3.5325418382638536</c:v>
                </c:pt>
                <c:pt idx="100">
                  <c:v>3.4196355308066417</c:v>
                </c:pt>
                <c:pt idx="101">
                  <c:v>3.4777424550280953</c:v>
                </c:pt>
                <c:pt idx="102">
                  <c:v>3.6456961751784709</c:v>
                </c:pt>
                <c:pt idx="103">
                  <c:v>3.690451497720844</c:v>
                </c:pt>
                <c:pt idx="104">
                  <c:v>3.6629575032453201</c:v>
                </c:pt>
                <c:pt idx="105">
                  <c:v>3.5899663460139148</c:v>
                </c:pt>
                <c:pt idx="106">
                  <c:v>3.5859919413225576</c:v>
                </c:pt>
                <c:pt idx="107">
                  <c:v>3.4989553443225572</c:v>
                </c:pt>
                <c:pt idx="108">
                  <c:v>3.4498356809809119</c:v>
                </c:pt>
                <c:pt idx="109">
                  <c:v>3.4813511919905276</c:v>
                </c:pt>
                <c:pt idx="110">
                  <c:v>3.5694366390687167</c:v>
                </c:pt>
                <c:pt idx="111">
                  <c:v>3.5932579154674302</c:v>
                </c:pt>
                <c:pt idx="112">
                  <c:v>3.6813398078822908</c:v>
                </c:pt>
                <c:pt idx="113">
                  <c:v>3.6458904734953688</c:v>
                </c:pt>
                <c:pt idx="114">
                  <c:v>3.6174855908030614</c:v>
                </c:pt>
                <c:pt idx="115">
                  <c:v>3.5549381638697279</c:v>
                </c:pt>
                <c:pt idx="116">
                  <c:v>3.5261522660856373</c:v>
                </c:pt>
                <c:pt idx="117">
                  <c:v>3.5035316985075124</c:v>
                </c:pt>
                <c:pt idx="118">
                  <c:v>3.5246742998700986</c:v>
                </c:pt>
                <c:pt idx="119">
                  <c:v>3.4171692220679009</c:v>
                </c:pt>
                <c:pt idx="120">
                  <c:v>3.3571325654935067</c:v>
                </c:pt>
                <c:pt idx="121">
                  <c:v>3.3697065455537483</c:v>
                </c:pt>
                <c:pt idx="122">
                  <c:v>3.4378294805537482</c:v>
                </c:pt>
                <c:pt idx="123">
                  <c:v>3.5688204717031731</c:v>
                </c:pt>
                <c:pt idx="124">
                  <c:v>3.516957705650003</c:v>
                </c:pt>
                <c:pt idx="125">
                  <c:v>3.5619661514254037</c:v>
                </c:pt>
                <c:pt idx="126">
                  <c:v>3.5844765959945422</c:v>
                </c:pt>
                <c:pt idx="127">
                  <c:v>3.5229642399762358</c:v>
                </c:pt>
                <c:pt idx="128">
                  <c:v>3.4123396361418128</c:v>
                </c:pt>
                <c:pt idx="129">
                  <c:v>3.5580001158839392</c:v>
                </c:pt>
                <c:pt idx="130">
                  <c:v>3.6359441972289686</c:v>
                </c:pt>
                <c:pt idx="131">
                  <c:v>3.6701732977374437</c:v>
                </c:pt>
                <c:pt idx="132">
                  <c:v>3.6467666673649508</c:v>
                </c:pt>
                <c:pt idx="133">
                  <c:v>3.7590390552481621</c:v>
                </c:pt>
                <c:pt idx="134">
                  <c:v>3.794209183615509</c:v>
                </c:pt>
                <c:pt idx="135">
                  <c:v>3.6993202064155097</c:v>
                </c:pt>
                <c:pt idx="136">
                  <c:v>3.6165679160858395</c:v>
                </c:pt>
                <c:pt idx="137">
                  <c:v>3.6443144849093687</c:v>
                </c:pt>
                <c:pt idx="138">
                  <c:v>3.5358018808699603</c:v>
                </c:pt>
                <c:pt idx="139">
                  <c:v>3.6013251493314988</c:v>
                </c:pt>
                <c:pt idx="140">
                  <c:v>3.6715373165949252</c:v>
                </c:pt>
                <c:pt idx="141">
                  <c:v>3.6587693606614957</c:v>
                </c:pt>
                <c:pt idx="142">
                  <c:v>3.4697386359445148</c:v>
                </c:pt>
                <c:pt idx="143">
                  <c:v>3.7002173251120771</c:v>
                </c:pt>
                <c:pt idx="144">
                  <c:v>3.6586518860759321</c:v>
                </c:pt>
                <c:pt idx="145">
                  <c:v>3.5233770380007106</c:v>
                </c:pt>
                <c:pt idx="146">
                  <c:v>3.533280552436266</c:v>
                </c:pt>
                <c:pt idx="147">
                  <c:v>3.5222606210441358</c:v>
                </c:pt>
                <c:pt idx="148">
                  <c:v>3.5391132096374864</c:v>
                </c:pt>
                <c:pt idx="149">
                  <c:v>3.3498672876447766</c:v>
                </c:pt>
                <c:pt idx="150">
                  <c:v>3.3774395245678535</c:v>
                </c:pt>
                <c:pt idx="151">
                  <c:v>3.5129427084616576</c:v>
                </c:pt>
                <c:pt idx="152">
                  <c:v>3.521658743088524</c:v>
                </c:pt>
                <c:pt idx="153">
                  <c:v>3.5322649894043132</c:v>
                </c:pt>
                <c:pt idx="154">
                  <c:v>3.3752060501139063</c:v>
                </c:pt>
                <c:pt idx="155">
                  <c:v>3.6067034168505989</c:v>
                </c:pt>
                <c:pt idx="156">
                  <c:v>3.3797645176599986</c:v>
                </c:pt>
                <c:pt idx="157">
                  <c:v>3.4866377326561051</c:v>
                </c:pt>
                <c:pt idx="158">
                  <c:v>3.3425720528812985</c:v>
                </c:pt>
                <c:pt idx="159">
                  <c:v>3.300233684462655</c:v>
                </c:pt>
                <c:pt idx="160">
                  <c:v>3.4148067465280207</c:v>
                </c:pt>
                <c:pt idx="161">
                  <c:v>3.1855874022273927</c:v>
                </c:pt>
                <c:pt idx="162">
                  <c:v>3.0486332570918</c:v>
                </c:pt>
                <c:pt idx="163">
                  <c:v>3.0709366069497164</c:v>
                </c:pt>
                <c:pt idx="164">
                  <c:v>3.1742771379377164</c:v>
                </c:pt>
                <c:pt idx="165">
                  <c:v>3.3159151113771048</c:v>
                </c:pt>
                <c:pt idx="166">
                  <c:v>3.2327311673155021</c:v>
                </c:pt>
                <c:pt idx="167">
                  <c:v>3.1080215261897171</c:v>
                </c:pt>
                <c:pt idx="168">
                  <c:v>2.9339634568346264</c:v>
                </c:pt>
                <c:pt idx="169">
                  <c:v>3.0048559554769336</c:v>
                </c:pt>
                <c:pt idx="170">
                  <c:v>3.0721730855825649</c:v>
                </c:pt>
                <c:pt idx="171">
                  <c:v>3.1110471493265646</c:v>
                </c:pt>
                <c:pt idx="172">
                  <c:v>3.0468415334147503</c:v>
                </c:pt>
                <c:pt idx="173">
                  <c:v>3.1074431744073152</c:v>
                </c:pt>
                <c:pt idx="174">
                  <c:v>3.0680827574017493</c:v>
                </c:pt>
                <c:pt idx="175">
                  <c:v>3.0998372532188925</c:v>
                </c:pt>
                <c:pt idx="176">
                  <c:v>2.9621481203000068</c:v>
                </c:pt>
                <c:pt idx="177">
                  <c:v>2.9069850558323265</c:v>
                </c:pt>
                <c:pt idx="178">
                  <c:v>2.8940661428897525</c:v>
                </c:pt>
                <c:pt idx="179">
                  <c:v>2.8471765720100253</c:v>
                </c:pt>
                <c:pt idx="180">
                  <c:v>2.9531732221486919</c:v>
                </c:pt>
                <c:pt idx="181">
                  <c:v>2.9432426508301739</c:v>
                </c:pt>
                <c:pt idx="182">
                  <c:v>2.6967412300789544</c:v>
                </c:pt>
                <c:pt idx="183">
                  <c:v>2.6294419847907062</c:v>
                </c:pt>
                <c:pt idx="184">
                  <c:v>2.6116561542548853</c:v>
                </c:pt>
                <c:pt idx="185">
                  <c:v>2.5359172882481387</c:v>
                </c:pt>
                <c:pt idx="186">
                  <c:v>2.6743054787733187</c:v>
                </c:pt>
                <c:pt idx="187">
                  <c:v>2.5790729009504614</c:v>
                </c:pt>
                <c:pt idx="188">
                  <c:v>2.5859277279790329</c:v>
                </c:pt>
                <c:pt idx="189">
                  <c:v>2.5219691075156745</c:v>
                </c:pt>
                <c:pt idx="190">
                  <c:v>2.4476346450106901</c:v>
                </c:pt>
                <c:pt idx="191">
                  <c:v>2.3899889841790896</c:v>
                </c:pt>
                <c:pt idx="192">
                  <c:v>2.4263991302227472</c:v>
                </c:pt>
                <c:pt idx="193">
                  <c:v>2.511817500550344</c:v>
                </c:pt>
                <c:pt idx="194">
                  <c:v>2.4949437049269294</c:v>
                </c:pt>
                <c:pt idx="195">
                  <c:v>2.4390294108279296</c:v>
                </c:pt>
                <c:pt idx="196">
                  <c:v>2.5356953900742454</c:v>
                </c:pt>
                <c:pt idx="197">
                  <c:v>2.5950449197822456</c:v>
                </c:pt>
                <c:pt idx="198">
                  <c:v>2.5564378917038999</c:v>
                </c:pt>
                <c:pt idx="199">
                  <c:v>2.5854507793136561</c:v>
                </c:pt>
                <c:pt idx="200">
                  <c:v>2.6176000420839682</c:v>
                </c:pt>
                <c:pt idx="201">
                  <c:v>2.5863939647785994</c:v>
                </c:pt>
                <c:pt idx="202">
                  <c:v>2.5876476026655695</c:v>
                </c:pt>
                <c:pt idx="203">
                  <c:v>2.5470927241677925</c:v>
                </c:pt>
                <c:pt idx="204">
                  <c:v>2.6148972709323397</c:v>
                </c:pt>
                <c:pt idx="205">
                  <c:v>2.7597862463978573</c:v>
                </c:pt>
                <c:pt idx="206">
                  <c:v>2.5677848921296746</c:v>
                </c:pt>
                <c:pt idx="207">
                  <c:v>2.5323718894237728</c:v>
                </c:pt>
                <c:pt idx="208">
                  <c:v>2.5126991787043482</c:v>
                </c:pt>
                <c:pt idx="209">
                  <c:v>2.5302189048147041</c:v>
                </c:pt>
                <c:pt idx="210">
                  <c:v>2.4446840312756715</c:v>
                </c:pt>
                <c:pt idx="211">
                  <c:v>2.5060525802980593</c:v>
                </c:pt>
                <c:pt idx="212">
                  <c:v>2.4221384844073759</c:v>
                </c:pt>
                <c:pt idx="213">
                  <c:v>2.4236303428377761</c:v>
                </c:pt>
                <c:pt idx="214">
                  <c:v>2.3628756831704858</c:v>
                </c:pt>
                <c:pt idx="215">
                  <c:v>2.253065129163013</c:v>
                </c:pt>
                <c:pt idx="216">
                  <c:v>2.2497740323403321</c:v>
                </c:pt>
                <c:pt idx="217">
                  <c:v>2.4386649938732918</c:v>
                </c:pt>
                <c:pt idx="218">
                  <c:v>2.3763997591889936</c:v>
                </c:pt>
                <c:pt idx="219">
                  <c:v>2.3534412869431667</c:v>
                </c:pt>
                <c:pt idx="220">
                  <c:v>2.3256840314633456</c:v>
                </c:pt>
                <c:pt idx="221">
                  <c:v>2.5188843683620665</c:v>
                </c:pt>
                <c:pt idx="222">
                  <c:v>2.4570535249193268</c:v>
                </c:pt>
                <c:pt idx="223">
                  <c:v>2.5386110118220295</c:v>
                </c:pt>
                <c:pt idx="224">
                  <c:v>2.6026709829410635</c:v>
                </c:pt>
                <c:pt idx="225">
                  <c:v>2.6448701098668699</c:v>
                </c:pt>
                <c:pt idx="226">
                  <c:v>2.6428992556643904</c:v>
                </c:pt>
                <c:pt idx="227">
                  <c:v>2.6274303451054073</c:v>
                </c:pt>
                <c:pt idx="228">
                  <c:v>2.5890588452073353</c:v>
                </c:pt>
                <c:pt idx="229">
                  <c:v>2.4987693862438243</c:v>
                </c:pt>
                <c:pt idx="230">
                  <c:v>2.5095560928393952</c:v>
                </c:pt>
                <c:pt idx="231">
                  <c:v>2.5565661336969034</c:v>
                </c:pt>
                <c:pt idx="232">
                  <c:v>2.6449953631264558</c:v>
                </c:pt>
                <c:pt idx="233">
                  <c:v>2.5129432350803702</c:v>
                </c:pt>
                <c:pt idx="234">
                  <c:v>2.520655135321614</c:v>
                </c:pt>
                <c:pt idx="235">
                  <c:v>2.6869025409915102</c:v>
                </c:pt>
                <c:pt idx="236">
                  <c:v>2.6362705553703183</c:v>
                </c:pt>
                <c:pt idx="237">
                  <c:v>2.7468120720636517</c:v>
                </c:pt>
                <c:pt idx="238">
                  <c:v>2.7621894377205485</c:v>
                </c:pt>
                <c:pt idx="239">
                  <c:v>2.6936546504766583</c:v>
                </c:pt>
                <c:pt idx="240">
                  <c:v>2.5783891976313069</c:v>
                </c:pt>
                <c:pt idx="241">
                  <c:v>2.6404710284194843</c:v>
                </c:pt>
                <c:pt idx="242">
                  <c:v>2.4776994118962499</c:v>
                </c:pt>
                <c:pt idx="243">
                  <c:v>2.4191917319723597</c:v>
                </c:pt>
                <c:pt idx="244">
                  <c:v>2.4705425204078644</c:v>
                </c:pt>
                <c:pt idx="245">
                  <c:v>2.5910084665332418</c:v>
                </c:pt>
                <c:pt idx="246">
                  <c:v>2.5438421338585444</c:v>
                </c:pt>
                <c:pt idx="247">
                  <c:v>2.4270647340309868</c:v>
                </c:pt>
                <c:pt idx="248">
                  <c:v>2.2945143147425329</c:v>
                </c:pt>
                <c:pt idx="249">
                  <c:v>2.1050422333068237</c:v>
                </c:pt>
                <c:pt idx="250">
                  <c:v>2.1285713148156526</c:v>
                </c:pt>
                <c:pt idx="251">
                  <c:v>2.2890563970297229</c:v>
                </c:pt>
                <c:pt idx="252">
                  <c:v>2.4142904088428647</c:v>
                </c:pt>
                <c:pt idx="253">
                  <c:v>2.0683061183336737</c:v>
                </c:pt>
                <c:pt idx="254">
                  <c:v>2.2321105754136736</c:v>
                </c:pt>
                <c:pt idx="255">
                  <c:v>2.2078219559323462</c:v>
                </c:pt>
                <c:pt idx="256">
                  <c:v>2.2586646085922699</c:v>
                </c:pt>
                <c:pt idx="257">
                  <c:v>2.2882073468940396</c:v>
                </c:pt>
                <c:pt idx="258">
                  <c:v>2.4532267926787066</c:v>
                </c:pt>
                <c:pt idx="259">
                  <c:v>2.4262779668394883</c:v>
                </c:pt>
                <c:pt idx="260">
                  <c:v>2.3740560326563331</c:v>
                </c:pt>
                <c:pt idx="261">
                  <c:v>2.5789599178134872</c:v>
                </c:pt>
                <c:pt idx="262">
                  <c:v>2.3952014383973923</c:v>
                </c:pt>
                <c:pt idx="263">
                  <c:v>2.5597529487610711</c:v>
                </c:pt>
                <c:pt idx="264">
                  <c:v>2.5138586671115153</c:v>
                </c:pt>
                <c:pt idx="265">
                  <c:v>2.5938570254216682</c:v>
                </c:pt>
                <c:pt idx="266">
                  <c:v>2.7985036269072863</c:v>
                </c:pt>
                <c:pt idx="267">
                  <c:v>2.7850626676869723</c:v>
                </c:pt>
                <c:pt idx="268">
                  <c:v>2.5472657872108435</c:v>
                </c:pt>
                <c:pt idx="269">
                  <c:v>2.7547704387290635</c:v>
                </c:pt>
                <c:pt idx="270">
                  <c:v>2.8996048077613832</c:v>
                </c:pt>
                <c:pt idx="271">
                  <c:v>2.6612837929572173</c:v>
                </c:pt>
                <c:pt idx="272">
                  <c:v>2.7077562073355677</c:v>
                </c:pt>
                <c:pt idx="273">
                  <c:v>2.3695894841572653</c:v>
                </c:pt>
                <c:pt idx="274">
                  <c:v>2.3181724487743707</c:v>
                </c:pt>
                <c:pt idx="275">
                  <c:v>2.3863017186547397</c:v>
                </c:pt>
                <c:pt idx="276">
                  <c:v>2.3518562550093911</c:v>
                </c:pt>
                <c:pt idx="277">
                  <c:v>2.0813210775758004</c:v>
                </c:pt>
                <c:pt idx="278">
                  <c:v>2.1398770983267568</c:v>
                </c:pt>
                <c:pt idx="279">
                  <c:v>2.3054625663979431</c:v>
                </c:pt>
                <c:pt idx="280">
                  <c:v>2.0655163461588995</c:v>
                </c:pt>
                <c:pt idx="281">
                  <c:v>2.2926701940696725</c:v>
                </c:pt>
                <c:pt idx="282">
                  <c:v>2.4774830206621319</c:v>
                </c:pt>
                <c:pt idx="283">
                  <c:v>2.4692429188700999</c:v>
                </c:pt>
                <c:pt idx="284">
                  <c:v>2.9982924101392165</c:v>
                </c:pt>
                <c:pt idx="285">
                  <c:v>2.4653993969986412</c:v>
                </c:pt>
                <c:pt idx="286">
                  <c:v>2.6415109866307169</c:v>
                </c:pt>
                <c:pt idx="287">
                  <c:v>2.6657447173542432</c:v>
                </c:pt>
                <c:pt idx="288">
                  <c:v>2.5104933401315765</c:v>
                </c:pt>
                <c:pt idx="289">
                  <c:v>2.5447025947924464</c:v>
                </c:pt>
                <c:pt idx="290">
                  <c:v>2.3762855691367717</c:v>
                </c:pt>
                <c:pt idx="291">
                  <c:v>2.3643468345099765</c:v>
                </c:pt>
                <c:pt idx="292">
                  <c:v>2.4461673085857201</c:v>
                </c:pt>
                <c:pt idx="293">
                  <c:v>2.5926914424316054</c:v>
                </c:pt>
                <c:pt idx="294">
                  <c:v>2.4059644562570339</c:v>
                </c:pt>
                <c:pt idx="295">
                  <c:v>2.5151648899033541</c:v>
                </c:pt>
                <c:pt idx="296">
                  <c:v>2.9709764242002912</c:v>
                </c:pt>
                <c:pt idx="297">
                  <c:v>2.6210154378545445</c:v>
                </c:pt>
                <c:pt idx="298">
                  <c:v>2.2991894433545443</c:v>
                </c:pt>
                <c:pt idx="299">
                  <c:v>2.2293023013061575</c:v>
                </c:pt>
                <c:pt idx="300">
                  <c:v>2.4813410907176112</c:v>
                </c:pt>
                <c:pt idx="301">
                  <c:v>2.4777780586962423</c:v>
                </c:pt>
                <c:pt idx="302">
                  <c:v>2.6464050865146045</c:v>
                </c:pt>
                <c:pt idx="303">
                  <c:v>2.0382369079711262</c:v>
                </c:pt>
                <c:pt idx="304">
                  <c:v>1.9817940843233159</c:v>
                </c:pt>
                <c:pt idx="305">
                  <c:v>2.1795705857984484</c:v>
                </c:pt>
                <c:pt idx="306">
                  <c:v>1.6993215998297067</c:v>
                </c:pt>
                <c:pt idx="307">
                  <c:v>1.7041773080941407</c:v>
                </c:pt>
                <c:pt idx="308">
                  <c:v>1.6364456708955948</c:v>
                </c:pt>
                <c:pt idx="309">
                  <c:v>1.751158574117065</c:v>
                </c:pt>
                <c:pt idx="310">
                  <c:v>1.8854206794982098</c:v>
                </c:pt>
                <c:pt idx="311">
                  <c:v>1.9650436226270274</c:v>
                </c:pt>
                <c:pt idx="312">
                  <c:v>2.1086330595310181</c:v>
                </c:pt>
                <c:pt idx="313">
                  <c:v>2.0719167256455879</c:v>
                </c:pt>
                <c:pt idx="314">
                  <c:v>2.1855820876494159</c:v>
                </c:pt>
                <c:pt idx="315">
                  <c:v>2.1574287633287459</c:v>
                </c:pt>
                <c:pt idx="316">
                  <c:v>2.2857216023906841</c:v>
                </c:pt>
                <c:pt idx="317">
                  <c:v>2.0071711410515922</c:v>
                </c:pt>
                <c:pt idx="318">
                  <c:v>1.7847469641975782</c:v>
                </c:pt>
                <c:pt idx="319">
                  <c:v>2.0736936407003177</c:v>
                </c:pt>
                <c:pt idx="320">
                  <c:v>2.2474980262104958</c:v>
                </c:pt>
                <c:pt idx="321">
                  <c:v>2.1486378586811856</c:v>
                </c:pt>
                <c:pt idx="322">
                  <c:v>2.0324011574034224</c:v>
                </c:pt>
                <c:pt idx="323">
                  <c:v>1.6904727091470313</c:v>
                </c:pt>
                <c:pt idx="324">
                  <c:v>1.7845130880019033</c:v>
                </c:pt>
                <c:pt idx="325">
                  <c:v>1.63328355462498</c:v>
                </c:pt>
                <c:pt idx="326">
                  <c:v>1.3538973885988088</c:v>
                </c:pt>
                <c:pt idx="327">
                  <c:v>1.2530552039237062</c:v>
                </c:pt>
                <c:pt idx="328">
                  <c:v>1.2070027846891738</c:v>
                </c:pt>
                <c:pt idx="329">
                  <c:v>1.1456493827380627</c:v>
                </c:pt>
                <c:pt idx="330">
                  <c:v>1.2522618890219337</c:v>
                </c:pt>
                <c:pt idx="331">
                  <c:v>1.1717101802182641</c:v>
                </c:pt>
                <c:pt idx="332">
                  <c:v>1.2507481178603277</c:v>
                </c:pt>
                <c:pt idx="333">
                  <c:v>1.0315346296829486</c:v>
                </c:pt>
                <c:pt idx="334">
                  <c:v>0.89691585430897869</c:v>
                </c:pt>
                <c:pt idx="335">
                  <c:v>0.96120048267564551</c:v>
                </c:pt>
                <c:pt idx="336">
                  <c:v>0.92655930955761823</c:v>
                </c:pt>
                <c:pt idx="337">
                  <c:v>1.1420220948763682</c:v>
                </c:pt>
                <c:pt idx="338">
                  <c:v>1.3115048345255045</c:v>
                </c:pt>
                <c:pt idx="339">
                  <c:v>1.4978533921946839</c:v>
                </c:pt>
                <c:pt idx="340">
                  <c:v>1.414679470782032</c:v>
                </c:pt>
                <c:pt idx="341">
                  <c:v>1.4722818510163842</c:v>
                </c:pt>
                <c:pt idx="342">
                  <c:v>1.5370113105795775</c:v>
                </c:pt>
                <c:pt idx="343">
                  <c:v>1.3303228517719805</c:v>
                </c:pt>
                <c:pt idx="344">
                  <c:v>1.4095403288036585</c:v>
                </c:pt>
                <c:pt idx="345">
                  <c:v>1.2307281706244697</c:v>
                </c:pt>
                <c:pt idx="346">
                  <c:v>1.3427179157121525</c:v>
                </c:pt>
                <c:pt idx="347">
                  <c:v>1.2775555320526135</c:v>
                </c:pt>
                <c:pt idx="348">
                  <c:v>1.5380813779317235</c:v>
                </c:pt>
                <c:pt idx="349">
                  <c:v>1.3153215116930679</c:v>
                </c:pt>
                <c:pt idx="350">
                  <c:v>1.3067858299185526</c:v>
                </c:pt>
                <c:pt idx="351">
                  <c:v>1.1434844043069949</c:v>
                </c:pt>
                <c:pt idx="352">
                  <c:v>1.1323280991858837</c:v>
                </c:pt>
                <c:pt idx="353">
                  <c:v>0.97964113653546359</c:v>
                </c:pt>
                <c:pt idx="354">
                  <c:v>0.64613384268640728</c:v>
                </c:pt>
                <c:pt idx="355">
                  <c:v>0.50823595665748866</c:v>
                </c:pt>
                <c:pt idx="356">
                  <c:v>0.45629095414839782</c:v>
                </c:pt>
                <c:pt idx="357">
                  <c:v>0.52512534168581171</c:v>
                </c:pt>
                <c:pt idx="358">
                  <c:v>0.28829067412973691</c:v>
                </c:pt>
                <c:pt idx="359">
                  <c:v>0.13337309103372549</c:v>
                </c:pt>
                <c:pt idx="360">
                  <c:v>-2.9877533065274062E-2</c:v>
                </c:pt>
                <c:pt idx="361">
                  <c:v>-0.27086569891619094</c:v>
                </c:pt>
                <c:pt idx="362">
                  <c:v>-0.54834572012165705</c:v>
                </c:pt>
                <c:pt idx="363">
                  <c:v>-0.75962513219308581</c:v>
                </c:pt>
                <c:pt idx="364">
                  <c:v>-0.70434824550743558</c:v>
                </c:pt>
                <c:pt idx="365">
                  <c:v>-0.74237555011145595</c:v>
                </c:pt>
                <c:pt idx="366">
                  <c:v>-0.70742136565934677</c:v>
                </c:pt>
                <c:pt idx="367">
                  <c:v>-0.56089621905884424</c:v>
                </c:pt>
                <c:pt idx="368">
                  <c:v>-0.81955088446807156</c:v>
                </c:pt>
                <c:pt idx="369">
                  <c:v>-0.76040068425006402</c:v>
                </c:pt>
                <c:pt idx="370">
                  <c:v>-0.97723606954418163</c:v>
                </c:pt>
                <c:pt idx="371">
                  <c:v>-1.0552854099873819</c:v>
                </c:pt>
                <c:pt idx="372">
                  <c:v>-0.78671005849538189</c:v>
                </c:pt>
                <c:pt idx="373">
                  <c:v>-0.93545228167085348</c:v>
                </c:pt>
                <c:pt idx="374">
                  <c:v>-0.76430240496076973</c:v>
                </c:pt>
                <c:pt idx="375">
                  <c:v>-0.92062513683330494</c:v>
                </c:pt>
                <c:pt idx="376">
                  <c:v>-1.141787602534386</c:v>
                </c:pt>
                <c:pt idx="377">
                  <c:v>-1.3223615863433653</c:v>
                </c:pt>
                <c:pt idx="378">
                  <c:v>-1.3065827684433655</c:v>
                </c:pt>
                <c:pt idx="379">
                  <c:v>-1.3975172371303883</c:v>
                </c:pt>
                <c:pt idx="380">
                  <c:v>-1.4855075320816706</c:v>
                </c:pt>
                <c:pt idx="381">
                  <c:v>-1.418841382249787</c:v>
                </c:pt>
                <c:pt idx="382">
                  <c:v>-1.2711820410170727</c:v>
                </c:pt>
                <c:pt idx="383">
                  <c:v>-1.5187130240922606</c:v>
                </c:pt>
                <c:pt idx="384">
                  <c:v>-1.5730779003940227</c:v>
                </c:pt>
                <c:pt idx="385">
                  <c:v>-1.7587407233489163</c:v>
                </c:pt>
                <c:pt idx="386">
                  <c:v>-1.6515117035207685</c:v>
                </c:pt>
                <c:pt idx="387">
                  <c:v>-1.6606019307973048</c:v>
                </c:pt>
                <c:pt idx="388">
                  <c:v>-1.6935930457744475</c:v>
                </c:pt>
                <c:pt idx="389">
                  <c:v>-1.7568941682519985</c:v>
                </c:pt>
                <c:pt idx="390">
                  <c:v>-1.8446236700683922</c:v>
                </c:pt>
                <c:pt idx="391">
                  <c:v>-1.8038952266600587</c:v>
                </c:pt>
                <c:pt idx="392">
                  <c:v>-1.8855817593500588</c:v>
                </c:pt>
                <c:pt idx="393">
                  <c:v>-1.9024329436152758</c:v>
                </c:pt>
                <c:pt idx="394">
                  <c:v>-1.8923787372107816</c:v>
                </c:pt>
                <c:pt idx="395">
                  <c:v>-1.8856900306123201</c:v>
                </c:pt>
                <c:pt idx="396">
                  <c:v>-1.9171438463846608</c:v>
                </c:pt>
                <c:pt idx="397">
                  <c:v>-1.8511994976293666</c:v>
                </c:pt>
                <c:pt idx="398">
                  <c:v>-1.8540646185257628</c:v>
                </c:pt>
                <c:pt idx="399">
                  <c:v>-1.8004740600054623</c:v>
                </c:pt>
                <c:pt idx="400">
                  <c:v>-1.8587873749231092</c:v>
                </c:pt>
                <c:pt idx="401">
                  <c:v>-1.7881977051041245</c:v>
                </c:pt>
                <c:pt idx="402">
                  <c:v>-1.8352851198694577</c:v>
                </c:pt>
                <c:pt idx="403">
                  <c:v>-1.7492804962347408</c:v>
                </c:pt>
                <c:pt idx="404">
                  <c:v>-1.7294917557516087</c:v>
                </c:pt>
                <c:pt idx="405">
                  <c:v>-1.661778904522289</c:v>
                </c:pt>
                <c:pt idx="406">
                  <c:v>-1.6721577458958181</c:v>
                </c:pt>
                <c:pt idx="407">
                  <c:v>-1.6468447776609068</c:v>
                </c:pt>
                <c:pt idx="408">
                  <c:v>-1.6491296571683445</c:v>
                </c:pt>
                <c:pt idx="409">
                  <c:v>-1.6113333185659349</c:v>
                </c:pt>
                <c:pt idx="410">
                  <c:v>-1.64091184472383</c:v>
                </c:pt>
                <c:pt idx="411">
                  <c:v>-1.6613180510465573</c:v>
                </c:pt>
                <c:pt idx="412">
                  <c:v>-1.684208796764739</c:v>
                </c:pt>
                <c:pt idx="413">
                  <c:v>-1.6054738284118892</c:v>
                </c:pt>
                <c:pt idx="414">
                  <c:v>-1.4433631486834544</c:v>
                </c:pt>
                <c:pt idx="415">
                  <c:v>-1.6225096838185893</c:v>
                </c:pt>
                <c:pt idx="416">
                  <c:v>-1.6576129462552667</c:v>
                </c:pt>
                <c:pt idx="417">
                  <c:v>-1.6366695882336453</c:v>
                </c:pt>
                <c:pt idx="418">
                  <c:v>-1.6690444288595714</c:v>
                </c:pt>
                <c:pt idx="419">
                  <c:v>-1.730532067359571</c:v>
                </c:pt>
                <c:pt idx="420">
                  <c:v>-1.5673330040566906</c:v>
                </c:pt>
                <c:pt idx="421">
                  <c:v>-1.6991390639258495</c:v>
                </c:pt>
                <c:pt idx="422">
                  <c:v>-1.773194161286044</c:v>
                </c:pt>
                <c:pt idx="423">
                  <c:v>-1.727821311756341</c:v>
                </c:pt>
                <c:pt idx="424">
                  <c:v>-1.7650066382351288</c:v>
                </c:pt>
                <c:pt idx="425">
                  <c:v>-1.7838275105303669</c:v>
                </c:pt>
                <c:pt idx="426">
                  <c:v>-1.7937120227717283</c:v>
                </c:pt>
                <c:pt idx="427">
                  <c:v>-1.7668059682848052</c:v>
                </c:pt>
                <c:pt idx="428">
                  <c:v>-1.6809607776598872</c:v>
                </c:pt>
                <c:pt idx="429">
                  <c:v>-1.6055909355177551</c:v>
                </c:pt>
                <c:pt idx="430">
                  <c:v>-1.6279531996483028</c:v>
                </c:pt>
                <c:pt idx="431">
                  <c:v>-1.7090051843991925</c:v>
                </c:pt>
                <c:pt idx="432">
                  <c:v>-1.6930792123698932</c:v>
                </c:pt>
                <c:pt idx="433">
                  <c:v>-1.7727766678534613</c:v>
                </c:pt>
                <c:pt idx="434">
                  <c:v>-1.58448726098259</c:v>
                </c:pt>
                <c:pt idx="435">
                  <c:v>-1.7386480422263397</c:v>
                </c:pt>
                <c:pt idx="436">
                  <c:v>-1.6567439908700898</c:v>
                </c:pt>
                <c:pt idx="437">
                  <c:v>-1.6173420199598334</c:v>
                </c:pt>
                <c:pt idx="438">
                  <c:v>-1.865685974611262</c:v>
                </c:pt>
                <c:pt idx="439">
                  <c:v>-1.8743175595904924</c:v>
                </c:pt>
                <c:pt idx="440">
                  <c:v>-2.0102452809238258</c:v>
                </c:pt>
                <c:pt idx="441">
                  <c:v>-2.1264548121238258</c:v>
                </c:pt>
                <c:pt idx="442">
                  <c:v>-2.0425593740479639</c:v>
                </c:pt>
                <c:pt idx="443">
                  <c:v>-1.9014488855808407</c:v>
                </c:pt>
                <c:pt idx="444">
                  <c:v>-2.0166196241990226</c:v>
                </c:pt>
                <c:pt idx="445">
                  <c:v>-2.0368773385515651</c:v>
                </c:pt>
                <c:pt idx="446">
                  <c:v>-2.1147398322509732</c:v>
                </c:pt>
                <c:pt idx="447">
                  <c:v>-1.8614824724450907</c:v>
                </c:pt>
                <c:pt idx="448">
                  <c:v>-1.9580028105333256</c:v>
                </c:pt>
                <c:pt idx="449">
                  <c:v>-1.9763707226478084</c:v>
                </c:pt>
                <c:pt idx="450">
                  <c:v>-1.8855335806909457</c:v>
                </c:pt>
                <c:pt idx="451">
                  <c:v>-1.8046736807369579</c:v>
                </c:pt>
                <c:pt idx="452">
                  <c:v>-1.7570324638451063</c:v>
                </c:pt>
                <c:pt idx="453">
                  <c:v>-1.7614300869220296</c:v>
                </c:pt>
                <c:pt idx="454">
                  <c:v>-1.6592471060204548</c:v>
                </c:pt>
                <c:pt idx="455">
                  <c:v>-1.7737501713716362</c:v>
                </c:pt>
                <c:pt idx="456">
                  <c:v>-1.703934568141636</c:v>
                </c:pt>
                <c:pt idx="457">
                  <c:v>-1.6271501861606692</c:v>
                </c:pt>
                <c:pt idx="458">
                  <c:v>-1.6066984629964307</c:v>
                </c:pt>
                <c:pt idx="459">
                  <c:v>-1.5210233661543258</c:v>
                </c:pt>
                <c:pt idx="460">
                  <c:v>-1.4531762693993069</c:v>
                </c:pt>
                <c:pt idx="461">
                  <c:v>-1.4419024532932463</c:v>
                </c:pt>
                <c:pt idx="462">
                  <c:v>-1.407381356357952</c:v>
                </c:pt>
                <c:pt idx="463">
                  <c:v>-1.3629385241331196</c:v>
                </c:pt>
                <c:pt idx="464">
                  <c:v>-1.3455257056660388</c:v>
                </c:pt>
                <c:pt idx="465">
                  <c:v>-1.2891392087592821</c:v>
                </c:pt>
                <c:pt idx="466">
                  <c:v>-1.314150767109967</c:v>
                </c:pt>
                <c:pt idx="467">
                  <c:v>-1.3369927379943152</c:v>
                </c:pt>
                <c:pt idx="468">
                  <c:v>-1.3525353004657437</c:v>
                </c:pt>
                <c:pt idx="469">
                  <c:v>-1.3088583786396568</c:v>
                </c:pt>
                <c:pt idx="470">
                  <c:v>-1.2982803267299792</c:v>
                </c:pt>
                <c:pt idx="471">
                  <c:v>-1.2498837053610845</c:v>
                </c:pt>
                <c:pt idx="472">
                  <c:v>-1.3114323448428413</c:v>
                </c:pt>
                <c:pt idx="473">
                  <c:v>-1.2468954712492162</c:v>
                </c:pt>
                <c:pt idx="474">
                  <c:v>-1.3557573487677665</c:v>
                </c:pt>
                <c:pt idx="475">
                  <c:v>-1.2747918118101396</c:v>
                </c:pt>
                <c:pt idx="476">
                  <c:v>-1.3275784137841655</c:v>
                </c:pt>
                <c:pt idx="477">
                  <c:v>-1.304695904044779</c:v>
                </c:pt>
                <c:pt idx="478">
                  <c:v>-1.1974085373240049</c:v>
                </c:pt>
                <c:pt idx="479">
                  <c:v>-0.98380529407396322</c:v>
                </c:pt>
                <c:pt idx="480">
                  <c:v>-1.111559151701673</c:v>
                </c:pt>
                <c:pt idx="481">
                  <c:v>-1.076383868324873</c:v>
                </c:pt>
                <c:pt idx="482">
                  <c:v>-0.92411605888628423</c:v>
                </c:pt>
                <c:pt idx="483">
                  <c:v>-0.82667897843209326</c:v>
                </c:pt>
                <c:pt idx="484">
                  <c:v>-0.67790119868739973</c:v>
                </c:pt>
                <c:pt idx="485">
                  <c:v>-0.62488573735174757</c:v>
                </c:pt>
                <c:pt idx="486">
                  <c:v>-0.37745951963114283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DF-4A65-B090-76F8CFDCB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61104"/>
        <c:axId val="186962352"/>
      </c:lineChart>
      <c:dateAx>
        <c:axId val="186961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62352"/>
        <c:crosses val="autoZero"/>
        <c:auto val="1"/>
        <c:lblOffset val="100"/>
        <c:baseTimeUnit val="days"/>
      </c:dateAx>
      <c:valAx>
        <c:axId val="18696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96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AF50628-2B42-459A-98EF-EA3BA839717E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11AF7C-9A42-44CB-8F55-2C7AFE68B96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4.5</v>
      </c>
      <c r="D2" s="4">
        <f>MIN(D3:D1912)</f>
        <v>0.11840000000000001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0.22819999999999999</v>
      </c>
      <c r="C5">
        <v>0.2306</v>
      </c>
      <c r="D5">
        <v>0.223</v>
      </c>
      <c r="E5">
        <v>0.223</v>
      </c>
      <c r="F5">
        <v>261402</v>
      </c>
      <c r="G5">
        <v>0.223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-261402</v>
      </c>
      <c r="R5">
        <f t="shared" ref="R5" si="2">R6+Q5</f>
        <v>359589207.55411726</v>
      </c>
      <c r="S5">
        <f t="shared" ref="S5" si="3">R5/100000</f>
        <v>3595.8920755411727</v>
      </c>
      <c r="T5">
        <f t="shared" ref="T5" si="4">S5/1000</f>
        <v>3.595892075541173</v>
      </c>
    </row>
    <row r="6" spans="1:20" x14ac:dyDescent="0.25">
      <c r="A6" s="5">
        <v>44587</v>
      </c>
      <c r="B6">
        <v>0.22739999999999999</v>
      </c>
      <c r="C6">
        <v>0.2495</v>
      </c>
      <c r="D6">
        <v>0.22339999999999999</v>
      </c>
      <c r="E6">
        <v>0.2278</v>
      </c>
      <c r="F6">
        <v>7824484</v>
      </c>
      <c r="G6">
        <v>0.2278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-0.66283524904214464</v>
      </c>
      <c r="Q6">
        <f t="shared" ref="Q6" si="6">F6*P6</f>
        <v>-5186343.8007662762</v>
      </c>
      <c r="R6">
        <f t="shared" ref="R6" si="7">R7+Q6</f>
        <v>359850609.55411726</v>
      </c>
      <c r="S6">
        <f t="shared" ref="S6" si="8">R6/100000</f>
        <v>3598.5060955411727</v>
      </c>
      <c r="T6">
        <f t="shared" ref="T6" si="9">S6/1000</f>
        <v>3.5985060955411727</v>
      </c>
    </row>
    <row r="7" spans="1:20" x14ac:dyDescent="0.25">
      <c r="A7" s="5">
        <v>44586</v>
      </c>
      <c r="B7">
        <v>0.2263</v>
      </c>
      <c r="C7">
        <v>0.23230000000000001</v>
      </c>
      <c r="D7">
        <v>0.22009999999999999</v>
      </c>
      <c r="E7">
        <v>0.2268</v>
      </c>
      <c r="F7">
        <v>4102957</v>
      </c>
      <c r="G7">
        <v>0.2268</v>
      </c>
      <c r="L7" t="s">
        <v>8</v>
      </c>
      <c r="M7" t="s">
        <v>7</v>
      </c>
      <c r="N7" t="s">
        <v>7</v>
      </c>
      <c r="P7">
        <f t="shared" ref="P7" si="10">IF(C7=D7,0,((E7-D7)-(C7-E7))/(C7-D7))</f>
        <v>9.8360655737705333E-2</v>
      </c>
      <c r="Q7">
        <f t="shared" ref="Q7" si="11">F7*P7</f>
        <v>403569.54098360828</v>
      </c>
      <c r="R7">
        <f t="shared" ref="R7" si="12">R8+Q7</f>
        <v>365036953.35488355</v>
      </c>
      <c r="S7">
        <f t="shared" ref="S7" si="13">R7/100000</f>
        <v>3650.3695335488355</v>
      </c>
      <c r="T7">
        <f t="shared" ref="T7" si="14">S7/1000</f>
        <v>3.6503695335488358</v>
      </c>
    </row>
    <row r="8" spans="1:20" x14ac:dyDescent="0.25">
      <c r="A8" s="5">
        <v>44585</v>
      </c>
      <c r="B8">
        <v>0.23549999999999999</v>
      </c>
      <c r="C8">
        <v>0.2359</v>
      </c>
      <c r="D8">
        <v>0.20269999999999999</v>
      </c>
      <c r="E8">
        <v>0.22670000000000001</v>
      </c>
      <c r="F8">
        <v>10840641</v>
      </c>
      <c r="G8">
        <v>0.22670000000000001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0.44578313253012147</v>
      </c>
      <c r="Q8">
        <f t="shared" ref="Q8" si="16">F8*P8</f>
        <v>4832574.9036144689</v>
      </c>
      <c r="R8">
        <f t="shared" ref="R8" si="17">R9+Q8</f>
        <v>364633383.81389993</v>
      </c>
      <c r="S8">
        <f t="shared" ref="S8" si="18">R8/100000</f>
        <v>3646.3338381389995</v>
      </c>
      <c r="T8">
        <f t="shared" ref="T8" si="19">S8/1000</f>
        <v>3.6463338381389994</v>
      </c>
    </row>
    <row r="9" spans="1:20" x14ac:dyDescent="0.25">
      <c r="A9" s="5">
        <v>44584</v>
      </c>
      <c r="B9">
        <v>0.22739999999999999</v>
      </c>
      <c r="C9">
        <v>0.2404</v>
      </c>
      <c r="D9">
        <v>0.22220000000000001</v>
      </c>
      <c r="E9">
        <v>0.2364</v>
      </c>
      <c r="F9">
        <v>11455480</v>
      </c>
      <c r="G9">
        <v>0.2364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0.56043956043955989</v>
      </c>
      <c r="Q9">
        <f t="shared" ref="Q9" si="21">F9*P9</f>
        <v>6420104.17582417</v>
      </c>
      <c r="R9">
        <f t="shared" ref="R9" si="22">R10+Q9</f>
        <v>359800808.91028547</v>
      </c>
      <c r="S9">
        <f t="shared" ref="S9" si="23">R9/100000</f>
        <v>3598.0080891028547</v>
      </c>
      <c r="T9">
        <f t="shared" ref="T9" si="24">S9/1000</f>
        <v>3.5980080891028545</v>
      </c>
    </row>
    <row r="10" spans="1:20" x14ac:dyDescent="0.25">
      <c r="A10" s="5">
        <v>44583</v>
      </c>
      <c r="B10">
        <v>0.25180000000000002</v>
      </c>
      <c r="C10">
        <v>0.25969999999999999</v>
      </c>
      <c r="D10">
        <v>0.2019</v>
      </c>
      <c r="E10">
        <v>0.22700000000000001</v>
      </c>
      <c r="F10">
        <v>27019509.609999999</v>
      </c>
      <c r="G10">
        <v>0.22700000000000001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-0.13148788927335586</v>
      </c>
      <c r="Q10">
        <f t="shared" ref="Q10" si="26">F10*P10</f>
        <v>-3552738.2878200547</v>
      </c>
      <c r="R10">
        <f t="shared" ref="R10" si="27">R11+Q10</f>
        <v>353380704.73446131</v>
      </c>
      <c r="S10">
        <f t="shared" ref="S10" si="28">R10/100000</f>
        <v>3533.8070473446132</v>
      </c>
      <c r="T10">
        <f t="shared" ref="T10" si="29">S10/1000</f>
        <v>3.533807047344613</v>
      </c>
    </row>
    <row r="11" spans="1:20" x14ac:dyDescent="0.25">
      <c r="A11" s="5">
        <v>44582</v>
      </c>
      <c r="B11">
        <v>0.29210000000000003</v>
      </c>
      <c r="C11">
        <v>0.2964</v>
      </c>
      <c r="D11">
        <v>0.2462</v>
      </c>
      <c r="E11">
        <v>0.25190000000000001</v>
      </c>
      <c r="F11">
        <v>12407400.140000001</v>
      </c>
      <c r="G11">
        <v>0.25190000000000001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-0.77290836653386408</v>
      </c>
      <c r="Q11">
        <f t="shared" ref="Q11" si="31">F11*P11</f>
        <v>-9589783.3751394376</v>
      </c>
      <c r="R11">
        <f t="shared" ref="R11" si="32">R12+Q11</f>
        <v>356933443.02228135</v>
      </c>
      <c r="S11">
        <f t="shared" ref="S11" si="33">R11/100000</f>
        <v>3569.3344302228134</v>
      </c>
      <c r="T11">
        <f t="shared" ref="T11" si="34">S11/1000</f>
        <v>3.5693344302228134</v>
      </c>
    </row>
    <row r="12" spans="1:20" x14ac:dyDescent="0.25">
      <c r="A12" s="5">
        <v>44581</v>
      </c>
      <c r="B12">
        <v>0.30549999999999999</v>
      </c>
      <c r="C12">
        <v>0.31890000000000002</v>
      </c>
      <c r="D12">
        <v>0.28999999999999998</v>
      </c>
      <c r="E12">
        <v>0.29270000000000002</v>
      </c>
      <c r="F12">
        <v>4066741</v>
      </c>
      <c r="G12">
        <v>0.29270000000000002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-0.81314878892733344</v>
      </c>
      <c r="Q12">
        <f t="shared" ref="Q12" si="36">F12*P12</f>
        <v>-3306865.519031133</v>
      </c>
      <c r="R12">
        <f t="shared" ref="R12" si="37">R13+Q12</f>
        <v>366523226.39742076</v>
      </c>
      <c r="S12">
        <f t="shared" ref="S12" si="38">R12/100000</f>
        <v>3665.2322639742079</v>
      </c>
      <c r="T12">
        <f t="shared" ref="T12" si="39">S12/1000</f>
        <v>3.6652322639742079</v>
      </c>
    </row>
    <row r="13" spans="1:20" x14ac:dyDescent="0.25">
      <c r="A13" s="5">
        <v>44580</v>
      </c>
      <c r="B13">
        <v>0.32150000000000001</v>
      </c>
      <c r="C13">
        <v>0.32369999999999999</v>
      </c>
      <c r="D13">
        <v>0.29949999999999999</v>
      </c>
      <c r="E13">
        <v>0.30499999999999999</v>
      </c>
      <c r="F13">
        <v>4616606</v>
      </c>
      <c r="G13">
        <v>0.30499999999999999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-0.54545454545454508</v>
      </c>
      <c r="Q13">
        <f t="shared" ref="Q13" si="41">F13*P13</f>
        <v>-2518148.7272727257</v>
      </c>
      <c r="R13">
        <f t="shared" ref="R13" si="42">R14+Q13</f>
        <v>369830091.91645187</v>
      </c>
      <c r="S13">
        <f t="shared" ref="S13" si="43">R13/100000</f>
        <v>3698.3009191645187</v>
      </c>
      <c r="T13">
        <f t="shared" ref="T13" si="44">S13/1000</f>
        <v>3.6983009191645189</v>
      </c>
    </row>
    <row r="14" spans="1:20" x14ac:dyDescent="0.25">
      <c r="A14" s="5">
        <v>44579</v>
      </c>
      <c r="B14">
        <v>0.31879999999999997</v>
      </c>
      <c r="C14">
        <v>0.32379999999999998</v>
      </c>
      <c r="D14">
        <v>0.30580000000000002</v>
      </c>
      <c r="E14">
        <v>0.32150000000000001</v>
      </c>
      <c r="F14">
        <v>4697171</v>
      </c>
      <c r="G14">
        <v>0.32150000000000001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0.74444444444444735</v>
      </c>
      <c r="Q14">
        <f t="shared" ref="Q14" si="46">F14*P14</f>
        <v>3496782.8555555693</v>
      </c>
      <c r="R14">
        <f t="shared" ref="R14" si="47">R15+Q14</f>
        <v>372348240.64372462</v>
      </c>
      <c r="S14">
        <f t="shared" ref="S14" si="48">R14/100000</f>
        <v>3723.482406437246</v>
      </c>
      <c r="T14">
        <f t="shared" ref="T14" si="49">S14/1000</f>
        <v>3.7234824064372458</v>
      </c>
    </row>
    <row r="15" spans="1:20" x14ac:dyDescent="0.25">
      <c r="A15" s="5">
        <v>44578</v>
      </c>
      <c r="B15">
        <v>0.33529999999999999</v>
      </c>
      <c r="C15">
        <v>0.33589999999999998</v>
      </c>
      <c r="D15">
        <v>0.31209999999999999</v>
      </c>
      <c r="E15">
        <v>0.31869999999999998</v>
      </c>
      <c r="F15">
        <v>3307899</v>
      </c>
      <c r="G15">
        <v>0.31869999999999998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-0.44537815126050434</v>
      </c>
      <c r="Q15">
        <f t="shared" ref="Q15" si="51">F15*P15</f>
        <v>-1473265.9411764711</v>
      </c>
      <c r="R15">
        <f t="shared" ref="R15" si="52">R16+Q15</f>
        <v>368851457.78816903</v>
      </c>
      <c r="S15">
        <f t="shared" ref="S15" si="53">R15/100000</f>
        <v>3688.5145778816905</v>
      </c>
      <c r="T15">
        <f t="shared" ref="T15" si="54">S15/1000</f>
        <v>3.6885145778816906</v>
      </c>
    </row>
    <row r="16" spans="1:20" x14ac:dyDescent="0.25">
      <c r="A16" s="5">
        <v>44577</v>
      </c>
      <c r="B16">
        <v>0.3422</v>
      </c>
      <c r="C16">
        <v>0.34289999999999998</v>
      </c>
      <c r="D16">
        <v>0.33300000000000002</v>
      </c>
      <c r="E16">
        <v>0.3352</v>
      </c>
      <c r="F16">
        <v>3838347</v>
      </c>
      <c r="G16">
        <v>0.3352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-0.55555555555555802</v>
      </c>
      <c r="Q16">
        <f t="shared" ref="Q16" si="56">F16*P16</f>
        <v>-2132415.0000000093</v>
      </c>
      <c r="R16">
        <f t="shared" ref="R16" si="57">R17+Q16</f>
        <v>370324723.7293455</v>
      </c>
      <c r="S16">
        <f t="shared" ref="S16" si="58">R16/100000</f>
        <v>3703.2472372934549</v>
      </c>
      <c r="T16">
        <f t="shared" ref="T16" si="59">S16/1000</f>
        <v>3.7032472372934548</v>
      </c>
    </row>
    <row r="17" spans="1:20" x14ac:dyDescent="0.25">
      <c r="A17" s="5">
        <v>44576</v>
      </c>
      <c r="B17">
        <v>0.34100000000000003</v>
      </c>
      <c r="C17">
        <v>0.34699999999999998</v>
      </c>
      <c r="D17">
        <v>0.33739999999999998</v>
      </c>
      <c r="E17">
        <v>0.34210000000000002</v>
      </c>
      <c r="F17">
        <v>3491434</v>
      </c>
      <c r="G17">
        <v>0.34210000000000002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-2.0833333333325262E-2</v>
      </c>
      <c r="Q17">
        <f t="shared" ref="Q17" si="61">F17*P17</f>
        <v>-72738.208333305156</v>
      </c>
      <c r="R17">
        <f t="shared" ref="R17" si="62">R18+Q17</f>
        <v>372457138.7293455</v>
      </c>
      <c r="S17">
        <f t="shared" ref="S17" si="63">R17/100000</f>
        <v>3724.5713872934548</v>
      </c>
      <c r="T17">
        <f t="shared" ref="T17" si="64">S17/1000</f>
        <v>3.7245713872934547</v>
      </c>
    </row>
    <row r="18" spans="1:20" x14ac:dyDescent="0.25">
      <c r="A18" s="5">
        <v>44575</v>
      </c>
      <c r="B18">
        <v>0.33450000000000002</v>
      </c>
      <c r="C18">
        <v>0.34599999999999997</v>
      </c>
      <c r="D18">
        <v>0.32950000000000002</v>
      </c>
      <c r="E18">
        <v>0.3412</v>
      </c>
      <c r="F18">
        <v>4041634</v>
      </c>
      <c r="G18">
        <v>0.3412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0.41818181818182026</v>
      </c>
      <c r="Q18">
        <f t="shared" ref="Q18" si="66">F18*P18</f>
        <v>1690137.8545454629</v>
      </c>
      <c r="R18">
        <f t="shared" ref="R18" si="67">R19+Q18</f>
        <v>372529876.93767881</v>
      </c>
      <c r="S18">
        <f t="shared" ref="S18" si="68">R18/100000</f>
        <v>3725.2987693767882</v>
      </c>
      <c r="T18">
        <f t="shared" ref="T18" si="69">S18/1000</f>
        <v>3.7252987693767881</v>
      </c>
    </row>
    <row r="19" spans="1:20" x14ac:dyDescent="0.25">
      <c r="A19" s="5">
        <v>44574</v>
      </c>
      <c r="B19">
        <v>0.34899999999999998</v>
      </c>
      <c r="C19">
        <v>0.35630000000000001</v>
      </c>
      <c r="D19">
        <v>0.3327</v>
      </c>
      <c r="E19">
        <v>0.33489999999999998</v>
      </c>
      <c r="F19">
        <v>6058333</v>
      </c>
      <c r="G19">
        <v>0.33489999999999998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-0.81355932203390013</v>
      </c>
      <c r="Q19">
        <f t="shared" ref="Q19" si="71">F19*P19</f>
        <v>-4928813.288135604</v>
      </c>
      <c r="R19">
        <f t="shared" ref="R19" si="72">R20+Q19</f>
        <v>370839739.08313334</v>
      </c>
      <c r="S19">
        <f t="shared" ref="S19" si="73">R19/100000</f>
        <v>3708.3973908313333</v>
      </c>
      <c r="T19">
        <f t="shared" ref="T19" si="74">S19/1000</f>
        <v>3.7083973908313332</v>
      </c>
    </row>
    <row r="20" spans="1:20" x14ac:dyDescent="0.25">
      <c r="A20" s="5">
        <v>44573</v>
      </c>
      <c r="B20">
        <v>0.3362</v>
      </c>
      <c r="C20">
        <v>0.3528</v>
      </c>
      <c r="D20">
        <v>0.33379999999999999</v>
      </c>
      <c r="E20">
        <v>0.34899999999999998</v>
      </c>
      <c r="F20">
        <v>7578750</v>
      </c>
      <c r="G20">
        <v>0.34899999999999998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0.59999999999999765</v>
      </c>
      <c r="Q20">
        <f t="shared" ref="Q20" si="76">F20*P20</f>
        <v>4547249.9999999823</v>
      </c>
      <c r="R20">
        <f t="shared" ref="R20" si="77">R21+Q20</f>
        <v>375768552.37126893</v>
      </c>
      <c r="S20">
        <f t="shared" ref="S20" si="78">R20/100000</f>
        <v>3757.6855237126892</v>
      </c>
      <c r="T20">
        <f t="shared" ref="T20" si="79">S20/1000</f>
        <v>3.7576855237126892</v>
      </c>
    </row>
    <row r="21" spans="1:20" x14ac:dyDescent="0.25">
      <c r="A21" s="5">
        <v>44572</v>
      </c>
      <c r="B21">
        <v>0.314</v>
      </c>
      <c r="C21">
        <v>0.3362</v>
      </c>
      <c r="D21">
        <v>0.31059999999999999</v>
      </c>
      <c r="E21">
        <v>0.33560000000000001</v>
      </c>
      <c r="F21">
        <v>7245423</v>
      </c>
      <c r="G21">
        <v>0.33560000000000001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0.95312500000000089</v>
      </c>
      <c r="Q21">
        <f t="shared" ref="Q21" si="81">F21*P21</f>
        <v>6905793.7968750065</v>
      </c>
      <c r="R21">
        <f t="shared" ref="R21" si="82">R22+Q21</f>
        <v>371221302.37126893</v>
      </c>
      <c r="S21">
        <f t="shared" ref="S21" si="83">R21/100000</f>
        <v>3712.2130237126894</v>
      </c>
      <c r="T21">
        <f t="shared" ref="T21" si="84">S21/1000</f>
        <v>3.7122130237126894</v>
      </c>
    </row>
    <row r="22" spans="1:20" x14ac:dyDescent="0.25">
      <c r="A22" s="5">
        <v>44571</v>
      </c>
      <c r="B22">
        <v>0.32519999999999999</v>
      </c>
      <c r="C22">
        <v>0.33110000000000001</v>
      </c>
      <c r="D22">
        <v>0.29830000000000001</v>
      </c>
      <c r="E22">
        <v>0.31390000000000001</v>
      </c>
      <c r="F22">
        <v>10583613</v>
      </c>
      <c r="G22">
        <v>0.31390000000000001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-4.8780487804877759E-2</v>
      </c>
      <c r="Q22">
        <f t="shared" ref="Q22" si="86">F22*P22</f>
        <v>-516273.80487804569</v>
      </c>
      <c r="R22">
        <f t="shared" ref="R22" si="87">R23+Q22</f>
        <v>364315508.57439393</v>
      </c>
      <c r="S22">
        <f t="shared" ref="S22" si="88">R22/100000</f>
        <v>3643.1550857439393</v>
      </c>
      <c r="T22">
        <f t="shared" ref="T22" si="89">S22/1000</f>
        <v>3.6431550857439392</v>
      </c>
    </row>
    <row r="23" spans="1:20" x14ac:dyDescent="0.25">
      <c r="A23" s="5">
        <v>44570</v>
      </c>
      <c r="B23">
        <v>0.31230000000000002</v>
      </c>
      <c r="C23">
        <v>0.33189999999999997</v>
      </c>
      <c r="D23">
        <v>0.30919999999999997</v>
      </c>
      <c r="E23">
        <v>0.32469999999999999</v>
      </c>
      <c r="F23">
        <v>4995181</v>
      </c>
      <c r="G23">
        <v>0.32469999999999999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0.36563876651982513</v>
      </c>
      <c r="Q23">
        <f t="shared" ref="Q23" si="91">F23*P23</f>
        <v>1826431.8193832666</v>
      </c>
      <c r="R23">
        <f t="shared" ref="R23" si="92">R24+Q23</f>
        <v>364831782.37927198</v>
      </c>
      <c r="S23">
        <f t="shared" ref="S23" si="93">R23/100000</f>
        <v>3648.31782379272</v>
      </c>
      <c r="T23">
        <f t="shared" ref="T23" si="94">S23/1000</f>
        <v>3.6483178237927198</v>
      </c>
    </row>
    <row r="24" spans="1:20" x14ac:dyDescent="0.25">
      <c r="A24" s="5">
        <v>44569</v>
      </c>
      <c r="B24">
        <v>0.3271</v>
      </c>
      <c r="C24">
        <v>0.34</v>
      </c>
      <c r="D24">
        <v>0.30520000000000003</v>
      </c>
      <c r="E24">
        <v>0.31219999999999998</v>
      </c>
      <c r="F24">
        <v>9074263</v>
      </c>
      <c r="G24">
        <v>0.31219999999999998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-0.59770114942529018</v>
      </c>
      <c r="Q24">
        <f t="shared" ref="Q24" si="96">F24*P24</f>
        <v>-5423697.4252873817</v>
      </c>
      <c r="R24">
        <f t="shared" ref="R24" si="97">R25+Q24</f>
        <v>363005350.55988872</v>
      </c>
      <c r="S24">
        <f t="shared" ref="S24" si="98">R24/100000</f>
        <v>3630.0535055988871</v>
      </c>
      <c r="T24">
        <f t="shared" ref="T24" si="99">S24/1000</f>
        <v>3.630053505598887</v>
      </c>
    </row>
    <row r="25" spans="1:20" x14ac:dyDescent="0.25">
      <c r="A25" s="5">
        <v>44568</v>
      </c>
      <c r="B25">
        <v>0.3503</v>
      </c>
      <c r="C25">
        <v>0.35949999999999999</v>
      </c>
      <c r="D25">
        <v>0.31900000000000001</v>
      </c>
      <c r="E25">
        <v>0.32700000000000001</v>
      </c>
      <c r="F25">
        <v>11733238</v>
      </c>
      <c r="G25">
        <v>0.32700000000000001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-0.60493827160493774</v>
      </c>
      <c r="Q25">
        <f t="shared" ref="Q25" si="101">F25*P25</f>
        <v>-7097884.7160493769</v>
      </c>
      <c r="R25">
        <f t="shared" ref="R25" si="102">R26+Q25</f>
        <v>368429047.98517609</v>
      </c>
      <c r="S25">
        <f t="shared" ref="S25" si="103">R25/100000</f>
        <v>3684.2904798517607</v>
      </c>
      <c r="T25">
        <f t="shared" ref="T25" si="104">S25/1000</f>
        <v>3.6842904798517608</v>
      </c>
    </row>
    <row r="26" spans="1:20" x14ac:dyDescent="0.25">
      <c r="A26" s="5">
        <v>44567</v>
      </c>
      <c r="B26">
        <v>0.35470000000000002</v>
      </c>
      <c r="C26">
        <v>0.35720000000000002</v>
      </c>
      <c r="D26">
        <v>0.33189999999999997</v>
      </c>
      <c r="E26">
        <v>0.35020000000000001</v>
      </c>
      <c r="F26">
        <v>8957384</v>
      </c>
      <c r="G26">
        <v>0.35020000000000001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0.44664031620553407</v>
      </c>
      <c r="Q26">
        <f t="shared" ref="Q26" si="106">F26*P26</f>
        <v>4000728.8221343914</v>
      </c>
      <c r="R26">
        <f t="shared" ref="R26" si="107">R27+Q26</f>
        <v>375526932.70122546</v>
      </c>
      <c r="S26">
        <f t="shared" ref="S26" si="108">R26/100000</f>
        <v>3755.2693270122545</v>
      </c>
      <c r="T26">
        <f t="shared" ref="T26" si="109">S26/1000</f>
        <v>3.7552693270122544</v>
      </c>
    </row>
    <row r="27" spans="1:20" x14ac:dyDescent="0.25">
      <c r="A27" s="5">
        <v>44566</v>
      </c>
      <c r="B27">
        <v>0.39200000000000002</v>
      </c>
      <c r="C27">
        <v>0.40939999999999999</v>
      </c>
      <c r="D27">
        <v>0.33810000000000001</v>
      </c>
      <c r="E27">
        <v>0.3548</v>
      </c>
      <c r="F27">
        <v>12892937</v>
      </c>
      <c r="G27">
        <v>0.3548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-0.53155680224403934</v>
      </c>
      <c r="Q27">
        <f t="shared" ref="Q27" si="111">F27*P27</f>
        <v>-6853328.3632538579</v>
      </c>
      <c r="R27">
        <f t="shared" ref="R27" si="112">R28+Q27</f>
        <v>371526203.87909108</v>
      </c>
      <c r="S27">
        <f t="shared" ref="S27" si="113">R27/100000</f>
        <v>3715.262038790911</v>
      </c>
      <c r="T27">
        <f t="shared" ref="T27" si="114">S27/1000</f>
        <v>3.715262038790911</v>
      </c>
    </row>
    <row r="28" spans="1:20" x14ac:dyDescent="0.25">
      <c r="A28" s="5">
        <v>44565</v>
      </c>
      <c r="B28">
        <v>0.38440000000000002</v>
      </c>
      <c r="C28">
        <v>0.40960000000000002</v>
      </c>
      <c r="D28">
        <v>0.373</v>
      </c>
      <c r="E28">
        <v>0.3926</v>
      </c>
      <c r="F28">
        <v>10715094</v>
      </c>
      <c r="G28">
        <v>0.3926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7.1038251366119937E-2</v>
      </c>
      <c r="Q28">
        <f t="shared" ref="Q28" si="116">F28*P28</f>
        <v>761181.54098360357</v>
      </c>
      <c r="R28">
        <f t="shared" ref="R28" si="117">R29+Q28</f>
        <v>378379532.24234492</v>
      </c>
      <c r="S28">
        <f t="shared" ref="S28" si="118">R28/100000</f>
        <v>3783.7953224234493</v>
      </c>
      <c r="T28">
        <f t="shared" ref="T28" si="119">S28/1000</f>
        <v>3.7837953224234493</v>
      </c>
    </row>
    <row r="29" spans="1:20" x14ac:dyDescent="0.25">
      <c r="A29" s="5">
        <v>44564</v>
      </c>
      <c r="B29">
        <v>0.38329999999999997</v>
      </c>
      <c r="C29">
        <v>0.39300000000000002</v>
      </c>
      <c r="D29">
        <v>0.3674</v>
      </c>
      <c r="E29">
        <v>0.38429999999999997</v>
      </c>
      <c r="F29">
        <v>7077026</v>
      </c>
      <c r="G29">
        <v>0.38429999999999997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0.32031249999999711</v>
      </c>
      <c r="Q29">
        <f t="shared" ref="Q29" si="121">F29*P29</f>
        <v>2266859.8906249795</v>
      </c>
      <c r="R29">
        <f t="shared" ref="R29" si="122">R30+Q29</f>
        <v>377618350.7013613</v>
      </c>
      <c r="S29">
        <f t="shared" ref="S29" si="123">R29/100000</f>
        <v>3776.1835070136131</v>
      </c>
      <c r="T29">
        <f t="shared" ref="T29" si="124">S29/1000</f>
        <v>3.7761835070136129</v>
      </c>
    </row>
    <row r="30" spans="1:20" x14ac:dyDescent="0.25">
      <c r="A30" s="5">
        <v>44563</v>
      </c>
      <c r="B30">
        <v>0.37719999999999998</v>
      </c>
      <c r="C30">
        <v>0.38640000000000002</v>
      </c>
      <c r="D30">
        <v>0.36820000000000003</v>
      </c>
      <c r="E30">
        <v>0.38390000000000002</v>
      </c>
      <c r="F30">
        <v>4474093</v>
      </c>
      <c r="G30">
        <v>0.38390000000000002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0.72527472527472492</v>
      </c>
      <c r="Q30">
        <f t="shared" ref="Q30" si="126">F30*P30</f>
        <v>3244946.57142857</v>
      </c>
      <c r="R30">
        <f t="shared" ref="R30" si="127">R31+Q30</f>
        <v>375351490.8107363</v>
      </c>
      <c r="S30">
        <f t="shared" ref="S30" si="128">R30/100000</f>
        <v>3753.5149081073628</v>
      </c>
      <c r="T30">
        <f t="shared" ref="T30" si="129">S30/1000</f>
        <v>3.7535149081073627</v>
      </c>
    </row>
    <row r="31" spans="1:20" x14ac:dyDescent="0.25">
      <c r="A31" s="5">
        <v>44562</v>
      </c>
      <c r="B31">
        <v>0.3543</v>
      </c>
      <c r="C31">
        <v>0.37719999999999998</v>
      </c>
      <c r="D31">
        <v>0.35410000000000003</v>
      </c>
      <c r="E31">
        <v>0.37719999999999998</v>
      </c>
      <c r="F31">
        <v>3996549</v>
      </c>
      <c r="G31">
        <v>0.37719999999999998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1</v>
      </c>
      <c r="Q31">
        <f t="shared" ref="Q31" si="131">F31*P31</f>
        <v>3996549</v>
      </c>
      <c r="R31">
        <f t="shared" ref="R31" si="132">R32+Q31</f>
        <v>372106544.2393077</v>
      </c>
      <c r="S31">
        <f t="shared" ref="S31" si="133">R31/100000</f>
        <v>3721.0654423930769</v>
      </c>
      <c r="T31">
        <f t="shared" ref="T31" si="134">S31/1000</f>
        <v>3.7210654423930767</v>
      </c>
    </row>
    <row r="32" spans="1:20" x14ac:dyDescent="0.25">
      <c r="A32" s="5">
        <v>44561</v>
      </c>
      <c r="B32">
        <v>0.36209999999999998</v>
      </c>
      <c r="C32">
        <v>0.37159999999999999</v>
      </c>
      <c r="D32">
        <v>0.34460000000000002</v>
      </c>
      <c r="E32">
        <v>0.3543</v>
      </c>
      <c r="F32">
        <v>5133280</v>
      </c>
      <c r="G32">
        <v>0.3543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-0.28148148148148167</v>
      </c>
      <c r="Q32">
        <f t="shared" ref="Q32" si="136">F32*P32</f>
        <v>-1444923.2592592603</v>
      </c>
      <c r="R32">
        <f t="shared" ref="R32" si="137">R33+Q32</f>
        <v>368109995.2393077</v>
      </c>
      <c r="S32">
        <f t="shared" ref="S32" si="138">R32/100000</f>
        <v>3681.0999523930768</v>
      </c>
      <c r="T32">
        <f t="shared" ref="T32" si="139">S32/1000</f>
        <v>3.681099952393077</v>
      </c>
    </row>
    <row r="33" spans="1:20" x14ac:dyDescent="0.25">
      <c r="A33" s="5">
        <v>44560</v>
      </c>
      <c r="B33">
        <v>0.35339999999999999</v>
      </c>
      <c r="C33">
        <v>0.376</v>
      </c>
      <c r="D33">
        <v>0.34310000000000002</v>
      </c>
      <c r="E33">
        <v>0.36230000000000001</v>
      </c>
      <c r="F33">
        <v>7571600</v>
      </c>
      <c r="G33">
        <v>0.36230000000000001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0.16717325227963548</v>
      </c>
      <c r="Q33">
        <f t="shared" ref="Q33" si="141">F33*P33</f>
        <v>1265768.9969604879</v>
      </c>
      <c r="R33">
        <f t="shared" ref="R33" si="142">R34+Q33</f>
        <v>369554918.49856699</v>
      </c>
      <c r="S33">
        <f t="shared" ref="S33" si="143">R33/100000</f>
        <v>3695.5491849856699</v>
      </c>
      <c r="T33">
        <f t="shared" ref="T33" si="144">S33/1000</f>
        <v>3.6955491849856696</v>
      </c>
    </row>
    <row r="34" spans="1:20" x14ac:dyDescent="0.25">
      <c r="A34" s="5">
        <v>44559</v>
      </c>
      <c r="B34">
        <v>0.3589</v>
      </c>
      <c r="C34">
        <v>0.36620000000000003</v>
      </c>
      <c r="D34">
        <v>0.34760000000000002</v>
      </c>
      <c r="E34">
        <v>0.35320000000000001</v>
      </c>
      <c r="F34">
        <v>7201095</v>
      </c>
      <c r="G34">
        <v>0.35320000000000001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-0.39784946236559221</v>
      </c>
      <c r="Q34">
        <f t="shared" ref="Q34" si="146">F34*P34</f>
        <v>-2864951.7741935542</v>
      </c>
      <c r="R34">
        <f t="shared" ref="R34" si="147">R35+Q34</f>
        <v>368289149.50160652</v>
      </c>
      <c r="S34">
        <f t="shared" ref="S34" si="148">R34/100000</f>
        <v>3682.8914950160652</v>
      </c>
      <c r="T34">
        <f t="shared" ref="T34" si="149">S34/1000</f>
        <v>3.6828914950160652</v>
      </c>
    </row>
    <row r="35" spans="1:20" x14ac:dyDescent="0.25">
      <c r="A35" s="5">
        <v>44558</v>
      </c>
      <c r="B35">
        <v>0.40600000000000003</v>
      </c>
      <c r="C35">
        <v>0.40600000000000003</v>
      </c>
      <c r="D35">
        <v>0.35680000000000001</v>
      </c>
      <c r="E35">
        <v>0.35870000000000002</v>
      </c>
      <c r="F35">
        <v>10663969</v>
      </c>
      <c r="G35">
        <v>0.35870000000000002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-0.92276422764227595</v>
      </c>
      <c r="Q35">
        <f t="shared" ref="Q35" si="151">F35*P35</f>
        <v>-9840329.1178861745</v>
      </c>
      <c r="R35">
        <f t="shared" ref="R35" si="152">R36+Q35</f>
        <v>371154101.27580005</v>
      </c>
      <c r="S35">
        <f t="shared" ref="S35" si="153">R35/100000</f>
        <v>3711.5410127580003</v>
      </c>
      <c r="T35">
        <f t="shared" ref="T35" si="154">S35/1000</f>
        <v>3.7115410127580004</v>
      </c>
    </row>
    <row r="36" spans="1:20" x14ac:dyDescent="0.25">
      <c r="A36" s="5">
        <v>44557</v>
      </c>
      <c r="B36">
        <v>0.40479999999999999</v>
      </c>
      <c r="C36">
        <v>0.41799999999999998</v>
      </c>
      <c r="D36">
        <v>0.4</v>
      </c>
      <c r="E36">
        <v>0.40570000000000001</v>
      </c>
      <c r="F36">
        <v>7887571</v>
      </c>
      <c r="G36">
        <v>0.40570000000000001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-0.3666666666666672</v>
      </c>
      <c r="Q36">
        <f t="shared" ref="Q36" si="156">F36*P36</f>
        <v>-2892109.3666666709</v>
      </c>
      <c r="R36">
        <f t="shared" ref="R36" si="157">R37+Q36</f>
        <v>380994430.39368623</v>
      </c>
      <c r="S36">
        <f t="shared" ref="S36" si="158">R36/100000</f>
        <v>3809.9443039368625</v>
      </c>
      <c r="T36">
        <f t="shared" ref="T36" si="159">S36/1000</f>
        <v>3.8099443039368626</v>
      </c>
    </row>
    <row r="37" spans="1:20" x14ac:dyDescent="0.25">
      <c r="A37" s="5">
        <v>44556</v>
      </c>
      <c r="B37">
        <v>0.39429999999999998</v>
      </c>
      <c r="C37">
        <v>0.41</v>
      </c>
      <c r="D37">
        <v>0.38</v>
      </c>
      <c r="E37">
        <v>0.40489999999999998</v>
      </c>
      <c r="F37">
        <v>10276038</v>
      </c>
      <c r="G37">
        <v>0.40489999999999998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0.66000000000000014</v>
      </c>
      <c r="Q37">
        <f t="shared" ref="Q37" si="161">F37*P37</f>
        <v>6782185.080000001</v>
      </c>
      <c r="R37">
        <f t="shared" ref="R37" si="162">R38+Q37</f>
        <v>383886539.76035291</v>
      </c>
      <c r="S37">
        <f t="shared" ref="S37" si="163">R37/100000</f>
        <v>3838.8653976035289</v>
      </c>
      <c r="T37">
        <f t="shared" ref="T37" si="164">S37/1000</f>
        <v>3.838865397603529</v>
      </c>
    </row>
    <row r="38" spans="1:20" x14ac:dyDescent="0.25">
      <c r="A38" s="5">
        <v>44555</v>
      </c>
      <c r="B38">
        <v>0.38</v>
      </c>
      <c r="C38">
        <v>0.39639999999999997</v>
      </c>
      <c r="D38">
        <v>0.37780000000000002</v>
      </c>
      <c r="E38">
        <v>0.39379999999999998</v>
      </c>
      <c r="F38">
        <v>4754152</v>
      </c>
      <c r="G38">
        <v>0.39379999999999998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0.72043010752688186</v>
      </c>
      <c r="Q38">
        <f t="shared" ref="Q38" si="166">F38*P38</f>
        <v>3425034.2365591405</v>
      </c>
      <c r="R38">
        <f t="shared" ref="R38" si="167">R39+Q38</f>
        <v>377104354.68035293</v>
      </c>
      <c r="S38">
        <f t="shared" ref="S38" si="168">R38/100000</f>
        <v>3771.0435468035294</v>
      </c>
      <c r="T38">
        <f t="shared" ref="T38" si="169">S38/1000</f>
        <v>3.7710435468035293</v>
      </c>
    </row>
    <row r="39" spans="1:20" x14ac:dyDescent="0.25">
      <c r="A39" s="5">
        <v>44554</v>
      </c>
      <c r="B39">
        <v>0.3926</v>
      </c>
      <c r="C39">
        <v>0.39779999999999999</v>
      </c>
      <c r="D39">
        <v>0.37309999999999999</v>
      </c>
      <c r="E39">
        <v>0.37990000000000002</v>
      </c>
      <c r="F39">
        <v>7599114</v>
      </c>
      <c r="G39">
        <v>0.37990000000000002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-0.44939271255060498</v>
      </c>
      <c r="Q39">
        <f t="shared" ref="Q39" si="171">F39*P39</f>
        <v>-3414986.4534412781</v>
      </c>
      <c r="R39">
        <f t="shared" ref="R39" si="172">R40+Q39</f>
        <v>373679320.44379377</v>
      </c>
      <c r="S39">
        <f t="shared" ref="S39" si="173">R39/100000</f>
        <v>3736.7932044379377</v>
      </c>
      <c r="T39">
        <f t="shared" ref="T39" si="174">S39/1000</f>
        <v>3.7367932044379377</v>
      </c>
    </row>
    <row r="40" spans="1:20" x14ac:dyDescent="0.25">
      <c r="A40" s="5">
        <v>44553</v>
      </c>
      <c r="B40">
        <v>0.37319999999999998</v>
      </c>
      <c r="C40">
        <v>0.39850000000000002</v>
      </c>
      <c r="D40">
        <v>0.3634</v>
      </c>
      <c r="E40">
        <v>0.39200000000000002</v>
      </c>
      <c r="F40">
        <v>12410842</v>
      </c>
      <c r="G40">
        <v>0.39200000000000002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0.62962962962962954</v>
      </c>
      <c r="Q40">
        <f t="shared" ref="Q40" si="176">F40*P40</f>
        <v>7814233.8518518507</v>
      </c>
      <c r="R40">
        <f t="shared" ref="R40" si="177">R41+Q40</f>
        <v>377094306.89723504</v>
      </c>
      <c r="S40">
        <f t="shared" ref="S40" si="178">R40/100000</f>
        <v>3770.9430689723504</v>
      </c>
      <c r="T40">
        <f t="shared" ref="T40" si="179">S40/1000</f>
        <v>3.7709430689723504</v>
      </c>
    </row>
    <row r="41" spans="1:20" x14ac:dyDescent="0.25">
      <c r="A41" s="5">
        <v>44552</v>
      </c>
      <c r="B41">
        <v>0.34620000000000001</v>
      </c>
      <c r="C41">
        <v>0.37409999999999999</v>
      </c>
      <c r="D41">
        <v>0.34539999999999998</v>
      </c>
      <c r="E41">
        <v>0.37319999999999998</v>
      </c>
      <c r="F41">
        <v>16429710</v>
      </c>
      <c r="G41">
        <v>0.37319999999999998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0.93728222996515598</v>
      </c>
      <c r="Q41">
        <f t="shared" ref="Q41" si="181">F41*P41</f>
        <v>15399275.226480823</v>
      </c>
      <c r="R41">
        <f t="shared" ref="R41" si="182">R42+Q41</f>
        <v>369280073.04538321</v>
      </c>
      <c r="S41">
        <f t="shared" ref="S41" si="183">R41/100000</f>
        <v>3692.8007304538323</v>
      </c>
      <c r="T41">
        <f t="shared" ref="T41" si="184">S41/1000</f>
        <v>3.6928007304538322</v>
      </c>
    </row>
    <row r="42" spans="1:20" x14ac:dyDescent="0.25">
      <c r="A42" s="5">
        <v>44551</v>
      </c>
      <c r="B42">
        <v>0.3301</v>
      </c>
      <c r="C42">
        <v>0.36149999999999999</v>
      </c>
      <c r="D42">
        <v>0.32650000000000001</v>
      </c>
      <c r="E42">
        <v>0.34620000000000001</v>
      </c>
      <c r="F42">
        <v>11417605</v>
      </c>
      <c r="G42">
        <v>0.34620000000000001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0.12571428571428622</v>
      </c>
      <c r="Q42">
        <f t="shared" ref="Q42" si="186">F42*P42</f>
        <v>1435356.0571428631</v>
      </c>
      <c r="R42">
        <f t="shared" ref="R42" si="187">R43+Q42</f>
        <v>353880797.81890237</v>
      </c>
      <c r="S42">
        <f t="shared" ref="S42" si="188">R42/100000</f>
        <v>3538.8079781890237</v>
      </c>
      <c r="T42">
        <f t="shared" ref="T42" si="189">S42/1000</f>
        <v>3.5388079781890238</v>
      </c>
    </row>
    <row r="43" spans="1:20" x14ac:dyDescent="0.25">
      <c r="A43" s="5">
        <v>44550</v>
      </c>
      <c r="B43">
        <v>0.34439999999999998</v>
      </c>
      <c r="C43">
        <v>0.35620000000000002</v>
      </c>
      <c r="D43">
        <v>0.31519999999999998</v>
      </c>
      <c r="E43">
        <v>0.32969999999999999</v>
      </c>
      <c r="F43">
        <v>11965441</v>
      </c>
      <c r="G43">
        <v>0.32969999999999999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-0.29268292682926828</v>
      </c>
      <c r="Q43">
        <f t="shared" ref="Q43" si="191">F43*P43</f>
        <v>-3502080.2926829266</v>
      </c>
      <c r="R43">
        <f t="shared" ref="R43" si="192">R44+Q43</f>
        <v>352445441.76175952</v>
      </c>
      <c r="S43">
        <f t="shared" ref="S43" si="193">R43/100000</f>
        <v>3524.454417617595</v>
      </c>
      <c r="T43">
        <f t="shared" ref="T43" si="194">S43/1000</f>
        <v>3.5244544176175951</v>
      </c>
    </row>
    <row r="44" spans="1:20" x14ac:dyDescent="0.25">
      <c r="A44" s="5">
        <v>44549</v>
      </c>
      <c r="B44">
        <v>0.35310000000000002</v>
      </c>
      <c r="C44">
        <v>0.36049999999999999</v>
      </c>
      <c r="D44">
        <v>0.34210000000000002</v>
      </c>
      <c r="E44">
        <v>0.34470000000000001</v>
      </c>
      <c r="F44">
        <v>4875461</v>
      </c>
      <c r="G44">
        <v>0.34470000000000001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-0.71739130434782661</v>
      </c>
      <c r="Q44">
        <f t="shared" ref="Q44" si="196">F44*P44</f>
        <v>-3497613.3260869589</v>
      </c>
      <c r="R44">
        <f t="shared" ref="R44" si="197">R45+Q44</f>
        <v>355947522.05444247</v>
      </c>
      <c r="S44">
        <f t="shared" ref="S44" si="198">R44/100000</f>
        <v>3559.4752205444247</v>
      </c>
      <c r="T44">
        <f t="shared" ref="T44" si="199">S44/1000</f>
        <v>3.5594752205444249</v>
      </c>
    </row>
    <row r="45" spans="1:20" x14ac:dyDescent="0.25">
      <c r="A45" s="5">
        <v>44548</v>
      </c>
      <c r="B45">
        <v>0.34100000000000003</v>
      </c>
      <c r="C45">
        <v>0.35980000000000001</v>
      </c>
      <c r="D45">
        <v>0.3347</v>
      </c>
      <c r="E45">
        <v>0.3528</v>
      </c>
      <c r="F45">
        <v>5703000</v>
      </c>
      <c r="G45">
        <v>0.3528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0.44223107569721093</v>
      </c>
      <c r="Q45">
        <f t="shared" ref="Q45" si="201">F45*P45</f>
        <v>2522043.8247011937</v>
      </c>
      <c r="R45">
        <f t="shared" ref="R45" si="202">R46+Q45</f>
        <v>359445135.3805294</v>
      </c>
      <c r="S45">
        <f t="shared" ref="S45" si="203">R45/100000</f>
        <v>3594.4513538052938</v>
      </c>
      <c r="T45">
        <f t="shared" ref="T45" si="204">S45/1000</f>
        <v>3.5944513538052938</v>
      </c>
    </row>
    <row r="46" spans="1:20" x14ac:dyDescent="0.25">
      <c r="A46" s="5">
        <v>44547</v>
      </c>
      <c r="B46">
        <v>0.35110000000000002</v>
      </c>
      <c r="C46">
        <v>0.36249999999999999</v>
      </c>
      <c r="D46">
        <v>0.32490000000000002</v>
      </c>
      <c r="E46">
        <v>0.34129999999999999</v>
      </c>
      <c r="F46">
        <v>7859744</v>
      </c>
      <c r="G46">
        <v>0.34129999999999999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-0.12765957446808593</v>
      </c>
      <c r="Q46">
        <f t="shared" ref="Q46" si="206">F46*P46</f>
        <v>-1003371.5744680916</v>
      </c>
      <c r="R46">
        <f t="shared" ref="R46" si="207">R47+Q46</f>
        <v>356923091.55582821</v>
      </c>
      <c r="S46">
        <f t="shared" ref="S46" si="208">R46/100000</f>
        <v>3569.230915558282</v>
      </c>
      <c r="T46">
        <f t="shared" ref="T46" si="209">S46/1000</f>
        <v>3.5692309155582822</v>
      </c>
    </row>
    <row r="47" spans="1:20" x14ac:dyDescent="0.25">
      <c r="A47" s="5">
        <v>44546</v>
      </c>
      <c r="B47">
        <v>0.36009999999999998</v>
      </c>
      <c r="C47">
        <v>0.37840000000000001</v>
      </c>
      <c r="D47">
        <v>0.34739999999999999</v>
      </c>
      <c r="E47">
        <v>0.3513</v>
      </c>
      <c r="F47">
        <v>10991836</v>
      </c>
      <c r="G47">
        <v>0.3513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-0.74838709677419279</v>
      </c>
      <c r="Q47">
        <f t="shared" ref="Q47" si="211">F47*P47</f>
        <v>-8226148.2322580563</v>
      </c>
      <c r="R47">
        <f t="shared" ref="R47" si="212">R48+Q47</f>
        <v>357926463.13029629</v>
      </c>
      <c r="S47">
        <f t="shared" ref="S47" si="213">R47/100000</f>
        <v>3579.2646313029627</v>
      </c>
      <c r="T47">
        <f t="shared" ref="T47" si="214">S47/1000</f>
        <v>3.5792646313029626</v>
      </c>
    </row>
    <row r="48" spans="1:20" x14ac:dyDescent="0.25">
      <c r="A48" s="5">
        <v>44545</v>
      </c>
      <c r="B48">
        <v>0.34539999999999998</v>
      </c>
      <c r="C48">
        <v>0.39</v>
      </c>
      <c r="D48">
        <v>0.32279999999999998</v>
      </c>
      <c r="E48">
        <v>0.3594</v>
      </c>
      <c r="F48">
        <v>12113219</v>
      </c>
      <c r="G48">
        <v>0.3594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8.9285714285714315E-2</v>
      </c>
      <c r="Q48">
        <f t="shared" ref="Q48" si="216">F48*P48</f>
        <v>1081537.4107142861</v>
      </c>
      <c r="R48">
        <f t="shared" ref="R48" si="217">R49+Q48</f>
        <v>366152611.36255437</v>
      </c>
      <c r="S48">
        <f t="shared" ref="S48" si="218">R48/100000</f>
        <v>3661.5261136255435</v>
      </c>
      <c r="T48">
        <f t="shared" ref="T48" si="219">S48/1000</f>
        <v>3.6615261136255435</v>
      </c>
    </row>
    <row r="49" spans="1:20" x14ac:dyDescent="0.25">
      <c r="A49" s="5">
        <v>44544</v>
      </c>
      <c r="B49">
        <v>0.3397</v>
      </c>
      <c r="C49">
        <v>0.3523</v>
      </c>
      <c r="D49">
        <v>0.32719999999999999</v>
      </c>
      <c r="E49">
        <v>0.34489999999999998</v>
      </c>
      <c r="F49">
        <v>9174583</v>
      </c>
      <c r="G49">
        <v>0.34489999999999998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0.41035856573705065</v>
      </c>
      <c r="Q49">
        <f t="shared" ref="Q49" si="221">F49*P49</f>
        <v>3764868.7211155272</v>
      </c>
      <c r="R49">
        <f t="shared" ref="R49" si="222">R50+Q49</f>
        <v>365071073.9518401</v>
      </c>
      <c r="S49">
        <f t="shared" ref="S49" si="223">R49/100000</f>
        <v>3650.7107395184012</v>
      </c>
      <c r="T49">
        <f t="shared" ref="T49" si="224">S49/1000</f>
        <v>3.6507107395184013</v>
      </c>
    </row>
    <row r="50" spans="1:20" x14ac:dyDescent="0.25">
      <c r="A50" s="5">
        <v>44543</v>
      </c>
      <c r="B50">
        <v>0.38829999999999998</v>
      </c>
      <c r="C50">
        <v>0.39179999999999998</v>
      </c>
      <c r="D50">
        <v>0.3337</v>
      </c>
      <c r="E50">
        <v>0.33929999999999999</v>
      </c>
      <c r="F50">
        <v>7811704</v>
      </c>
      <c r="G50">
        <v>0.33929999999999999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-0.80722891566265076</v>
      </c>
      <c r="Q50">
        <f t="shared" ref="Q50" si="226">F50*P50</f>
        <v>-6305833.3493975913</v>
      </c>
      <c r="R50">
        <f t="shared" ref="R50" si="227">R51+Q50</f>
        <v>361306205.23072457</v>
      </c>
      <c r="S50">
        <f t="shared" ref="S50" si="228">R50/100000</f>
        <v>3613.0620523072457</v>
      </c>
      <c r="T50">
        <f t="shared" ref="T50" si="229">S50/1000</f>
        <v>3.6130620523072459</v>
      </c>
    </row>
    <row r="51" spans="1:20" x14ac:dyDescent="0.25">
      <c r="A51" s="5">
        <v>44542</v>
      </c>
      <c r="B51">
        <v>0.38400000000000001</v>
      </c>
      <c r="C51">
        <v>0.39250000000000002</v>
      </c>
      <c r="D51">
        <v>0.37190000000000001</v>
      </c>
      <c r="E51">
        <v>0.38829999999999998</v>
      </c>
      <c r="F51">
        <v>5430217</v>
      </c>
      <c r="G51">
        <v>0.38829999999999998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0.59223300970873438</v>
      </c>
      <c r="Q51">
        <f t="shared" ref="Q51" si="231">F51*P51</f>
        <v>3215953.7572815344</v>
      </c>
      <c r="R51">
        <f t="shared" ref="R51" si="232">R52+Q51</f>
        <v>367612038.58012217</v>
      </c>
      <c r="S51">
        <f t="shared" ref="S51" si="233">R51/100000</f>
        <v>3676.1203858012218</v>
      </c>
      <c r="T51">
        <f t="shared" ref="T51" si="234">S51/1000</f>
        <v>3.6761203858012217</v>
      </c>
    </row>
    <row r="52" spans="1:20" x14ac:dyDescent="0.25">
      <c r="A52" s="5">
        <v>44541</v>
      </c>
      <c r="B52">
        <v>0.36199999999999999</v>
      </c>
      <c r="C52">
        <v>0.36770000000000003</v>
      </c>
      <c r="D52">
        <v>0.35399999999999998</v>
      </c>
      <c r="E52">
        <v>0.36499999999999999</v>
      </c>
      <c r="F52">
        <v>698600</v>
      </c>
      <c r="G52">
        <v>0.36499999999999999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0.6058394160583902</v>
      </c>
      <c r="Q52">
        <f t="shared" ref="Q52" si="236">F52*P52</f>
        <v>423239.41605839139</v>
      </c>
      <c r="R52">
        <f t="shared" ref="R52" si="237">R53+Q52</f>
        <v>364396084.82284063</v>
      </c>
      <c r="S52">
        <f t="shared" ref="S52" si="238">R52/100000</f>
        <v>3643.9608482284061</v>
      </c>
      <c r="T52">
        <f t="shared" ref="T52" si="239">S52/1000</f>
        <v>3.643960848228406</v>
      </c>
    </row>
    <row r="53" spans="1:20" x14ac:dyDescent="0.25">
      <c r="A53" s="5">
        <v>44540</v>
      </c>
      <c r="B53">
        <v>0.37680000000000002</v>
      </c>
      <c r="C53">
        <v>0.3931</v>
      </c>
      <c r="D53">
        <v>0.3604</v>
      </c>
      <c r="E53">
        <v>0.36209999999999998</v>
      </c>
      <c r="F53">
        <v>8595406</v>
      </c>
      <c r="G53">
        <v>0.36209999999999998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-0.89602446483180553</v>
      </c>
      <c r="Q53">
        <f t="shared" ref="Q53" si="241">F53*P53</f>
        <v>-7701694.0611620899</v>
      </c>
      <c r="R53">
        <f t="shared" ref="R53" si="242">R54+Q53</f>
        <v>363972845.40678221</v>
      </c>
      <c r="S53">
        <f t="shared" ref="S53" si="243">R53/100000</f>
        <v>3639.728454067822</v>
      </c>
      <c r="T53">
        <f t="shared" ref="T53" si="244">S53/1000</f>
        <v>3.6397284540678219</v>
      </c>
    </row>
    <row r="54" spans="1:20" x14ac:dyDescent="0.25">
      <c r="A54" s="5">
        <v>44539</v>
      </c>
      <c r="B54">
        <v>0.4199</v>
      </c>
      <c r="C54">
        <v>0.42149999999999999</v>
      </c>
      <c r="D54">
        <v>0.37640000000000001</v>
      </c>
      <c r="E54">
        <v>0.37680000000000002</v>
      </c>
      <c r="F54">
        <v>13274817</v>
      </c>
      <c r="G54">
        <v>0.37680000000000002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-0.98226164079822564</v>
      </c>
      <c r="Q54">
        <f t="shared" ref="Q54" si="246">F54*P54</f>
        <v>-13039343.527716178</v>
      </c>
      <c r="R54">
        <f t="shared" ref="R54" si="247">R55+Q54</f>
        <v>371674539.46794432</v>
      </c>
      <c r="S54">
        <f t="shared" ref="S54" si="248">R54/100000</f>
        <v>3716.7453946794431</v>
      </c>
      <c r="T54">
        <f t="shared" ref="T54" si="249">S54/1000</f>
        <v>3.7167453946794429</v>
      </c>
    </row>
    <row r="55" spans="1:20" x14ac:dyDescent="0.25">
      <c r="A55" s="5">
        <v>44538</v>
      </c>
      <c r="B55">
        <v>0.39329999999999998</v>
      </c>
      <c r="C55">
        <v>0.42559999999999998</v>
      </c>
      <c r="D55">
        <v>0.38150000000000001</v>
      </c>
      <c r="E55">
        <v>0.41970000000000002</v>
      </c>
      <c r="F55">
        <v>18660725</v>
      </c>
      <c r="G55">
        <v>0.41970000000000002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0.73242630385487695</v>
      </c>
      <c r="Q55">
        <f t="shared" ref="Q55" si="251">F55*P55</f>
        <v>13667605.839002298</v>
      </c>
      <c r="R55">
        <f t="shared" ref="R55" si="252">R56+Q55</f>
        <v>384713882.99566048</v>
      </c>
      <c r="S55">
        <f t="shared" ref="S55" si="253">R55/100000</f>
        <v>3847.1388299566047</v>
      </c>
      <c r="T55">
        <f t="shared" ref="T55" si="254">S55/1000</f>
        <v>3.8471388299566045</v>
      </c>
    </row>
    <row r="56" spans="1:20" x14ac:dyDescent="0.25">
      <c r="A56" s="5">
        <v>44537</v>
      </c>
      <c r="B56">
        <v>0.39629999999999999</v>
      </c>
      <c r="C56">
        <v>0.41049999999999998</v>
      </c>
      <c r="D56">
        <v>0.3856</v>
      </c>
      <c r="E56">
        <v>0.39329999999999998</v>
      </c>
      <c r="F56">
        <v>15297097</v>
      </c>
      <c r="G56">
        <v>0.39329999999999998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-0.38152610441767137</v>
      </c>
      <c r="Q56">
        <f t="shared" ref="Q56" si="256">F56*P56</f>
        <v>-5836241.8273092471</v>
      </c>
      <c r="R56">
        <f t="shared" ref="R56" si="257">R57+Q56</f>
        <v>371046277.15665817</v>
      </c>
      <c r="S56">
        <f t="shared" ref="S56" si="258">R56/100000</f>
        <v>3710.4627715665815</v>
      </c>
      <c r="T56">
        <f t="shared" ref="T56" si="259">S56/1000</f>
        <v>3.7104627715665814</v>
      </c>
    </row>
    <row r="57" spans="1:20" x14ac:dyDescent="0.25">
      <c r="A57" s="5">
        <v>44536</v>
      </c>
      <c r="B57">
        <v>0.38800000000000001</v>
      </c>
      <c r="C57">
        <v>0.4</v>
      </c>
      <c r="D57">
        <v>0.34799999999999998</v>
      </c>
      <c r="E57">
        <v>0.3962</v>
      </c>
      <c r="F57">
        <v>24607995</v>
      </c>
      <c r="G57">
        <v>0.3962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0.85384615384615303</v>
      </c>
      <c r="Q57">
        <f t="shared" ref="Q57" si="261">F57*P57</f>
        <v>21011441.884615365</v>
      </c>
      <c r="R57">
        <f t="shared" ref="R57" si="262">R58+Q57</f>
        <v>376882518.98396742</v>
      </c>
      <c r="S57">
        <f t="shared" ref="S57" si="263">R57/100000</f>
        <v>3768.8251898396743</v>
      </c>
      <c r="T57">
        <f t="shared" ref="T57" si="264">S57/1000</f>
        <v>3.7688251898396743</v>
      </c>
    </row>
    <row r="58" spans="1:20" x14ac:dyDescent="0.25">
      <c r="A58" s="5">
        <v>44535</v>
      </c>
      <c r="B58">
        <v>0.42980000000000002</v>
      </c>
      <c r="C58">
        <v>0.43490000000000001</v>
      </c>
      <c r="D58">
        <v>0.37380000000000002</v>
      </c>
      <c r="E58">
        <v>0.38750000000000001</v>
      </c>
      <c r="F58">
        <v>24076459</v>
      </c>
      <c r="G58">
        <v>0.38750000000000001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-0.55155482815057311</v>
      </c>
      <c r="Q58">
        <f t="shared" ref="Q58" si="266">F58*P58</f>
        <v>-13279487.206219319</v>
      </c>
      <c r="R58">
        <f t="shared" ref="R58" si="267">R59+Q58</f>
        <v>355871077.09935206</v>
      </c>
      <c r="S58">
        <f t="shared" ref="S58" si="268">R58/100000</f>
        <v>3558.7107709935208</v>
      </c>
      <c r="T58">
        <f t="shared" ref="T58" si="269">S58/1000</f>
        <v>3.5587107709935206</v>
      </c>
    </row>
    <row r="59" spans="1:20" x14ac:dyDescent="0.25">
      <c r="A59" s="5">
        <v>44534</v>
      </c>
      <c r="B59">
        <v>0.54530000000000001</v>
      </c>
      <c r="C59">
        <v>0.54710000000000003</v>
      </c>
      <c r="D59">
        <v>0.30209999999999998</v>
      </c>
      <c r="E59">
        <v>0.42949999999999999</v>
      </c>
      <c r="F59">
        <v>52068147.439999998</v>
      </c>
      <c r="G59">
        <v>0.42949999999999999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3.999999999999989E-2</v>
      </c>
      <c r="Q59">
        <f t="shared" ref="Q59" si="271">F59*P59</f>
        <v>2082725.8975999942</v>
      </c>
      <c r="R59">
        <f t="shared" ref="R59" si="272">R60+Q59</f>
        <v>369150564.30557138</v>
      </c>
      <c r="S59">
        <f t="shared" ref="S59" si="273">R59/100000</f>
        <v>3691.5056430557138</v>
      </c>
      <c r="T59">
        <f t="shared" ref="T59" si="274">S59/1000</f>
        <v>3.6915056430557138</v>
      </c>
    </row>
    <row r="60" spans="1:20" x14ac:dyDescent="0.25">
      <c r="A60" s="5">
        <v>44533</v>
      </c>
      <c r="B60">
        <v>0.53939999999999999</v>
      </c>
      <c r="C60">
        <v>0.6</v>
      </c>
      <c r="D60">
        <v>0.52280000000000004</v>
      </c>
      <c r="E60">
        <v>0.54659999999999997</v>
      </c>
      <c r="F60">
        <v>43127994</v>
      </c>
      <c r="G60">
        <v>0.54659999999999997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-0.38341968911917224</v>
      </c>
      <c r="Q60">
        <f t="shared" ref="Q60" si="276">F60*P60</f>
        <v>-16536122.051813526</v>
      </c>
      <c r="R60">
        <f t="shared" ref="R60" si="277">R61+Q60</f>
        <v>367067838.40797138</v>
      </c>
      <c r="S60">
        <f t="shared" ref="S60" si="278">R60/100000</f>
        <v>3670.6783840797139</v>
      </c>
      <c r="T60">
        <f t="shared" ref="T60" si="279">S60/1000</f>
        <v>3.6706783840797139</v>
      </c>
    </row>
    <row r="61" spans="1:20" x14ac:dyDescent="0.25">
      <c r="A61" s="5">
        <v>44532</v>
      </c>
      <c r="B61">
        <v>0.53149999999999997</v>
      </c>
      <c r="C61">
        <v>0.54069999999999996</v>
      </c>
      <c r="D61">
        <v>0.50219999999999998</v>
      </c>
      <c r="E61">
        <v>0.53979999999999995</v>
      </c>
      <c r="F61">
        <v>11709825</v>
      </c>
      <c r="G61">
        <v>0.53979999999999995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0.95324675324675257</v>
      </c>
      <c r="Q61">
        <f t="shared" ref="Q61" si="281">F61*P61</f>
        <v>11162352.662337655</v>
      </c>
      <c r="R61">
        <f t="shared" ref="R61" si="282">R62+Q61</f>
        <v>383603960.45978492</v>
      </c>
      <c r="S61">
        <f t="shared" ref="S61" si="283">R61/100000</f>
        <v>3836.0396045978491</v>
      </c>
      <c r="T61">
        <f t="shared" ref="T61" si="284">S61/1000</f>
        <v>3.8360396045978491</v>
      </c>
    </row>
    <row r="62" spans="1:20" x14ac:dyDescent="0.25">
      <c r="A62" s="5">
        <v>44531</v>
      </c>
      <c r="B62">
        <v>0.52590000000000003</v>
      </c>
      <c r="C62">
        <v>0.55220000000000002</v>
      </c>
      <c r="D62">
        <v>0.52010000000000001</v>
      </c>
      <c r="E62">
        <v>0.53100000000000003</v>
      </c>
      <c r="F62">
        <v>11928922</v>
      </c>
      <c r="G62">
        <v>0.53100000000000003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-0.32087227414330127</v>
      </c>
      <c r="Q62">
        <f t="shared" ref="Q62" si="286">F62*P62</f>
        <v>-3827660.3302180576</v>
      </c>
      <c r="R62">
        <f t="shared" ref="R62" si="287">R63+Q62</f>
        <v>372441607.79744726</v>
      </c>
      <c r="S62">
        <f t="shared" ref="S62" si="288">R62/100000</f>
        <v>3724.4160779744725</v>
      </c>
      <c r="T62">
        <f t="shared" ref="T62" si="289">S62/1000</f>
        <v>3.7244160779744724</v>
      </c>
    </row>
    <row r="63" spans="1:20" x14ac:dyDescent="0.25">
      <c r="A63" s="5">
        <v>44530</v>
      </c>
      <c r="B63">
        <v>0.56130000000000002</v>
      </c>
      <c r="C63">
        <v>0.56720000000000004</v>
      </c>
      <c r="D63">
        <v>0.52339999999999998</v>
      </c>
      <c r="E63">
        <v>0.52510000000000001</v>
      </c>
      <c r="F63">
        <v>19290384</v>
      </c>
      <c r="G63">
        <v>0.52510000000000001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-0.9223744292237428</v>
      </c>
      <c r="Q63">
        <f t="shared" ref="Q63" si="291">F63*P63</f>
        <v>-17792956.93150682</v>
      </c>
      <c r="R63">
        <f t="shared" ref="R63" si="292">R64+Q63</f>
        <v>376269268.12766534</v>
      </c>
      <c r="S63">
        <f t="shared" ref="S63" si="293">R63/100000</f>
        <v>3762.6926812766533</v>
      </c>
      <c r="T63">
        <f t="shared" ref="T63" si="294">S63/1000</f>
        <v>3.7626926812766532</v>
      </c>
    </row>
    <row r="64" spans="1:20" x14ac:dyDescent="0.25">
      <c r="A64" s="5">
        <v>44529</v>
      </c>
      <c r="B64">
        <v>0.55320000000000003</v>
      </c>
      <c r="C64">
        <v>0.57199999999999995</v>
      </c>
      <c r="D64">
        <v>0.54169999999999996</v>
      </c>
      <c r="E64">
        <v>0.56140000000000001</v>
      </c>
      <c r="F64">
        <v>9534408</v>
      </c>
      <c r="G64">
        <v>0.56140000000000001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0.30033003300330396</v>
      </c>
      <c r="Q64">
        <f t="shared" ref="Q64" si="296">F64*P64</f>
        <v>2863469.0693069655</v>
      </c>
      <c r="R64">
        <f t="shared" ref="R64" si="297">R65+Q64</f>
        <v>394062225.05917215</v>
      </c>
      <c r="S64">
        <f t="shared" ref="S64" si="298">R64/100000</f>
        <v>3940.6222505917217</v>
      </c>
      <c r="T64">
        <f t="shared" ref="T64" si="299">S64/1000</f>
        <v>3.9406222505917219</v>
      </c>
    </row>
    <row r="65" spans="1:20" x14ac:dyDescent="0.25">
      <c r="A65" s="5">
        <v>44528</v>
      </c>
      <c r="B65">
        <v>0.56130000000000002</v>
      </c>
      <c r="C65">
        <v>0.56389999999999996</v>
      </c>
      <c r="D65">
        <v>0.50480000000000003</v>
      </c>
      <c r="E65">
        <v>0.55289999999999995</v>
      </c>
      <c r="F65">
        <v>14079082</v>
      </c>
      <c r="G65">
        <v>0.55289999999999995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0.62774957698815492</v>
      </c>
      <c r="Q65">
        <f t="shared" ref="Q65" si="301">F65*P65</f>
        <v>8838137.7698815465</v>
      </c>
      <c r="R65">
        <f t="shared" ref="R65" si="302">R66+Q65</f>
        <v>391198755.98986518</v>
      </c>
      <c r="S65">
        <f t="shared" ref="S65" si="303">R65/100000</f>
        <v>3911.9875598986519</v>
      </c>
      <c r="T65">
        <f t="shared" ref="T65" si="304">S65/1000</f>
        <v>3.9119875598986518</v>
      </c>
    </row>
    <row r="66" spans="1:20" x14ac:dyDescent="0.25">
      <c r="A66" s="5">
        <v>44527</v>
      </c>
      <c r="B66">
        <v>0.54090000000000005</v>
      </c>
      <c r="C66">
        <v>0.62</v>
      </c>
      <c r="D66">
        <v>0.53820000000000001</v>
      </c>
      <c r="E66">
        <v>0.56189999999999996</v>
      </c>
      <c r="F66">
        <v>17818733</v>
      </c>
      <c r="G66">
        <v>0.56189999999999996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-0.42053789731051472</v>
      </c>
      <c r="Q66">
        <f t="shared" ref="Q66" si="306">F66*P66</f>
        <v>-7493452.5085574798</v>
      </c>
      <c r="R66">
        <f t="shared" ref="R66" si="307">R67+Q66</f>
        <v>382360618.21998364</v>
      </c>
      <c r="S66">
        <f t="shared" ref="S66" si="308">R66/100000</f>
        <v>3823.6061821998364</v>
      </c>
      <c r="T66">
        <f t="shared" ref="T66" si="309">S66/1000</f>
        <v>3.8236061821998364</v>
      </c>
    </row>
    <row r="67" spans="1:20" x14ac:dyDescent="0.25">
      <c r="A67" s="5">
        <v>44526</v>
      </c>
      <c r="B67">
        <v>0.61360000000000003</v>
      </c>
      <c r="C67">
        <v>0.62790000000000001</v>
      </c>
      <c r="D67">
        <v>0.51790000000000003</v>
      </c>
      <c r="E67">
        <v>0.54110000000000003</v>
      </c>
      <c r="F67">
        <v>18588857</v>
      </c>
      <c r="G67">
        <v>0.54110000000000003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-0.57818181818181813</v>
      </c>
      <c r="Q67">
        <f t="shared" ref="Q67" si="311">F67*P67</f>
        <v>-10747739.138181817</v>
      </c>
      <c r="R67">
        <f t="shared" ref="R67" si="312">R68+Q67</f>
        <v>389854070.72854114</v>
      </c>
      <c r="S67">
        <f t="shared" ref="S67" si="313">R67/100000</f>
        <v>3898.5407072854114</v>
      </c>
      <c r="T67">
        <f t="shared" ref="T67" si="314">S67/1000</f>
        <v>3.8985407072854112</v>
      </c>
    </row>
    <row r="68" spans="1:20" x14ac:dyDescent="0.25">
      <c r="A68" s="5">
        <v>44525</v>
      </c>
      <c r="B68">
        <v>0.58540000000000003</v>
      </c>
      <c r="C68">
        <v>0.62780000000000002</v>
      </c>
      <c r="D68">
        <v>0.57899999999999996</v>
      </c>
      <c r="E68">
        <v>0.6129</v>
      </c>
      <c r="F68">
        <v>12913338</v>
      </c>
      <c r="G68">
        <v>0.6129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0.38934426229508179</v>
      </c>
      <c r="Q68">
        <f t="shared" ref="Q68" si="316">F68*P68</f>
        <v>5027734.0573770469</v>
      </c>
      <c r="R68">
        <f t="shared" ref="R68" si="317">R69+Q68</f>
        <v>400601809.86672294</v>
      </c>
      <c r="S68">
        <f t="shared" ref="S68" si="318">R68/100000</f>
        <v>4006.0180986672294</v>
      </c>
      <c r="T68">
        <f t="shared" ref="T68" si="319">S68/1000</f>
        <v>4.0060180986672291</v>
      </c>
    </row>
    <row r="69" spans="1:20" x14ac:dyDescent="0.25">
      <c r="A69" s="5">
        <v>44524</v>
      </c>
      <c r="B69">
        <v>0.61150000000000004</v>
      </c>
      <c r="C69">
        <v>0.61470000000000002</v>
      </c>
      <c r="D69">
        <v>0.5948</v>
      </c>
      <c r="E69">
        <v>0.60509999999999997</v>
      </c>
      <c r="F69">
        <v>2905220</v>
      </c>
      <c r="G69">
        <v>0.60509999999999997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3.5175879396980997E-2</v>
      </c>
      <c r="Q69">
        <f t="shared" ref="Q69" si="321">F69*P69</f>
        <v>102193.66834169714</v>
      </c>
      <c r="R69">
        <f t="shared" ref="R69" si="322">R70+Q69</f>
        <v>395574075.8093459</v>
      </c>
      <c r="S69">
        <f t="shared" ref="S69" si="323">R69/100000</f>
        <v>3955.7407580934591</v>
      </c>
      <c r="T69">
        <f t="shared" ref="T69" si="324">S69/1000</f>
        <v>3.9557407580934592</v>
      </c>
    </row>
    <row r="70" spans="1:20" x14ac:dyDescent="0.25">
      <c r="A70" s="5">
        <v>44523</v>
      </c>
      <c r="B70">
        <v>0.62039999999999995</v>
      </c>
      <c r="C70">
        <v>0.62670000000000003</v>
      </c>
      <c r="D70">
        <v>0.59609999999999996</v>
      </c>
      <c r="E70">
        <v>0.61099999999999999</v>
      </c>
      <c r="F70">
        <v>14893901</v>
      </c>
      <c r="G70">
        <v>0.61099999999999999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-2.614379084967389E-2</v>
      </c>
      <c r="Q70">
        <f t="shared" ref="Q70" si="326">F70*P70</f>
        <v>-389383.03267974878</v>
      </c>
      <c r="R70">
        <f t="shared" ref="R70" si="327">R71+Q70</f>
        <v>395471882.1410042</v>
      </c>
      <c r="S70">
        <f t="shared" ref="S70" si="328">R70/100000</f>
        <v>3954.718821410042</v>
      </c>
      <c r="T70">
        <f t="shared" ref="T70" si="329">S70/1000</f>
        <v>3.9547188214100419</v>
      </c>
    </row>
    <row r="71" spans="1:20" x14ac:dyDescent="0.25">
      <c r="A71" s="5">
        <v>44522</v>
      </c>
      <c r="B71">
        <v>0.66080000000000005</v>
      </c>
      <c r="C71">
        <v>0.66490000000000005</v>
      </c>
      <c r="D71">
        <v>0.61029999999999995</v>
      </c>
      <c r="E71">
        <v>0.62080000000000002</v>
      </c>
      <c r="F71">
        <v>20046809</v>
      </c>
      <c r="G71">
        <v>0.62080000000000002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-0.61538461538461364</v>
      </c>
      <c r="Q71">
        <f t="shared" ref="Q71" si="331">F71*P71</f>
        <v>-12336497.846153811</v>
      </c>
      <c r="R71">
        <f t="shared" ref="R71" si="332">R72+Q71</f>
        <v>395861265.17368394</v>
      </c>
      <c r="S71">
        <f t="shared" ref="S71" si="333">R71/100000</f>
        <v>3958.6126517368393</v>
      </c>
      <c r="T71">
        <f t="shared" ref="T71" si="334">S71/1000</f>
        <v>3.9586126517368392</v>
      </c>
    </row>
    <row r="72" spans="1:20" x14ac:dyDescent="0.25">
      <c r="A72" s="5">
        <v>44521</v>
      </c>
      <c r="B72">
        <v>0.625</v>
      </c>
      <c r="C72">
        <v>0.7</v>
      </c>
      <c r="D72">
        <v>0.60840000000000005</v>
      </c>
      <c r="E72">
        <v>0.66069999999999995</v>
      </c>
      <c r="F72">
        <v>29481313</v>
      </c>
      <c r="G72">
        <v>0.66069999999999995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0.14192139737991172</v>
      </c>
      <c r="Q72">
        <f t="shared" ref="Q72" si="336">F72*P72</f>
        <v>4184029.1375545571</v>
      </c>
      <c r="R72">
        <f t="shared" ref="R72" si="337">R73+Q72</f>
        <v>408197763.01983774</v>
      </c>
      <c r="S72">
        <f t="shared" ref="S72" si="338">R72/100000</f>
        <v>4081.9776301983775</v>
      </c>
      <c r="T72">
        <f t="shared" ref="T72" si="339">S72/1000</f>
        <v>4.0819776301983772</v>
      </c>
    </row>
    <row r="73" spans="1:20" x14ac:dyDescent="0.25">
      <c r="A73" s="5">
        <v>44520</v>
      </c>
      <c r="B73">
        <v>0.57779999999999998</v>
      </c>
      <c r="C73">
        <v>0.63519999999999999</v>
      </c>
      <c r="D73">
        <v>0.57440000000000002</v>
      </c>
      <c r="E73">
        <v>0.62480000000000002</v>
      </c>
      <c r="F73">
        <v>19553176</v>
      </c>
      <c r="G73">
        <v>0.62480000000000002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0.6578947368421062</v>
      </c>
      <c r="Q73">
        <f t="shared" ref="Q73" si="341">F73*P73</f>
        <v>12863931.578947386</v>
      </c>
      <c r="R73">
        <f t="shared" ref="R73" si="342">R74+Q73</f>
        <v>404013733.88228315</v>
      </c>
      <c r="S73">
        <f t="shared" ref="S73" si="343">R73/100000</f>
        <v>4040.1373388228317</v>
      </c>
      <c r="T73">
        <f t="shared" ref="T73" si="344">S73/1000</f>
        <v>4.0401373388228317</v>
      </c>
    </row>
    <row r="74" spans="1:20" x14ac:dyDescent="0.25">
      <c r="A74" s="5">
        <v>44519</v>
      </c>
      <c r="B74">
        <v>0.54969999999999997</v>
      </c>
      <c r="C74">
        <v>0.58720000000000006</v>
      </c>
      <c r="D74">
        <v>0.5383</v>
      </c>
      <c r="E74">
        <v>0.57779999999999998</v>
      </c>
      <c r="F74">
        <v>9449909</v>
      </c>
      <c r="G74">
        <v>0.57779999999999998</v>
      </c>
      <c r="L74" t="s">
        <v>8</v>
      </c>
      <c r="M74" t="s">
        <v>7</v>
      </c>
      <c r="N74" t="s">
        <v>8</v>
      </c>
      <c r="P74">
        <f t="shared" ref="P74" si="345">IF(C74=D74,0,((E74-D74)-(C74-E74))/(C74-D74))</f>
        <v>0.61554192229038596</v>
      </c>
      <c r="Q74">
        <f t="shared" ref="Q74" si="346">F74*P74</f>
        <v>5816815.1513292184</v>
      </c>
      <c r="R74">
        <f t="shared" ref="R74" si="347">R75+Q74</f>
        <v>391149802.30333579</v>
      </c>
      <c r="S74">
        <f t="shared" ref="S74" si="348">R74/100000</f>
        <v>3911.4980230333576</v>
      </c>
      <c r="T74">
        <f t="shared" ref="T74" si="349">S74/1000</f>
        <v>3.9114980230333578</v>
      </c>
    </row>
    <row r="75" spans="1:20" x14ac:dyDescent="0.25">
      <c r="A75" s="5">
        <v>44518</v>
      </c>
      <c r="B75">
        <v>0.61009999999999998</v>
      </c>
      <c r="C75">
        <v>0.6169</v>
      </c>
      <c r="D75">
        <v>0.5242</v>
      </c>
      <c r="E75">
        <v>0.55030000000000001</v>
      </c>
      <c r="F75">
        <v>20646063</v>
      </c>
      <c r="G75">
        <v>0.55030000000000001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-0.4368932038834949</v>
      </c>
      <c r="Q75">
        <f t="shared" ref="Q75" si="351">F75*P75</f>
        <v>-9020124.61165048</v>
      </c>
      <c r="R75">
        <f t="shared" ref="R75" si="352">R76+Q75</f>
        <v>385332987.15200657</v>
      </c>
      <c r="S75">
        <f t="shared" ref="S75" si="353">R75/100000</f>
        <v>3853.3298715200658</v>
      </c>
      <c r="T75">
        <f t="shared" ref="T75" si="354">S75/1000</f>
        <v>3.8533298715200659</v>
      </c>
    </row>
    <row r="76" spans="1:20" x14ac:dyDescent="0.25">
      <c r="A76" s="5">
        <v>44517</v>
      </c>
      <c r="B76">
        <v>0.61439999999999995</v>
      </c>
      <c r="C76">
        <v>0.62419999999999998</v>
      </c>
      <c r="D76">
        <v>0.59260000000000002</v>
      </c>
      <c r="E76">
        <v>0.61019999999999996</v>
      </c>
      <c r="F76">
        <v>10945740</v>
      </c>
      <c r="G76">
        <v>0.61019999999999996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0.11392405063290953</v>
      </c>
      <c r="Q76">
        <f t="shared" ref="Q76" si="356">F76*P76</f>
        <v>1246983.0379746631</v>
      </c>
      <c r="R76">
        <f t="shared" ref="R76" si="357">R77+Q76</f>
        <v>394353111.76365703</v>
      </c>
      <c r="S76">
        <f t="shared" ref="S76" si="358">R76/100000</f>
        <v>3943.5311176365703</v>
      </c>
      <c r="T76">
        <f t="shared" ref="T76" si="359">S76/1000</f>
        <v>3.9435311176365704</v>
      </c>
    </row>
    <row r="77" spans="1:20" x14ac:dyDescent="0.25">
      <c r="A77" s="5">
        <v>44516</v>
      </c>
      <c r="B77">
        <v>0.68810000000000004</v>
      </c>
      <c r="C77">
        <v>0.69079999999999997</v>
      </c>
      <c r="D77">
        <v>0.56869999999999998</v>
      </c>
      <c r="E77">
        <v>0.6149</v>
      </c>
      <c r="F77">
        <v>25227721</v>
      </c>
      <c r="G77">
        <v>0.6149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-0.24324324324324284</v>
      </c>
      <c r="Q77">
        <f t="shared" ref="Q77" si="361">F77*P77</f>
        <v>-6136472.675675666</v>
      </c>
      <c r="R77">
        <f t="shared" ref="R77" si="362">R78+Q77</f>
        <v>393106128.72568238</v>
      </c>
      <c r="S77">
        <f t="shared" ref="S77" si="363">R77/100000</f>
        <v>3931.0612872568236</v>
      </c>
      <c r="T77">
        <f t="shared" ref="T77" si="364">S77/1000</f>
        <v>3.9310612872568234</v>
      </c>
    </row>
    <row r="78" spans="1:20" x14ac:dyDescent="0.25">
      <c r="A78" s="5">
        <v>44515</v>
      </c>
      <c r="B78">
        <v>0.68069999999999997</v>
      </c>
      <c r="C78">
        <v>0.73</v>
      </c>
      <c r="D78">
        <v>0.67410000000000003</v>
      </c>
      <c r="E78">
        <v>0.68940000000000001</v>
      </c>
      <c r="F78">
        <v>22187395</v>
      </c>
      <c r="G78">
        <v>0.68940000000000001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-0.45259391771019697</v>
      </c>
      <c r="Q78">
        <f t="shared" ref="Q78" si="366">F78*P78</f>
        <v>-10041880.026833635</v>
      </c>
      <c r="R78">
        <f t="shared" ref="R78" si="367">R79+Q78</f>
        <v>399242601.40135807</v>
      </c>
      <c r="S78">
        <f t="shared" ref="S78" si="368">R78/100000</f>
        <v>3992.4260140135807</v>
      </c>
      <c r="T78">
        <f t="shared" ref="T78" si="369">S78/1000</f>
        <v>3.9924260140135805</v>
      </c>
    </row>
    <row r="79" spans="1:20" x14ac:dyDescent="0.25">
      <c r="A79" s="5">
        <v>44514</v>
      </c>
      <c r="B79">
        <v>0.67610000000000003</v>
      </c>
      <c r="C79">
        <v>0.71560000000000001</v>
      </c>
      <c r="D79">
        <v>0.65490000000000004</v>
      </c>
      <c r="E79">
        <v>0.67959999999999998</v>
      </c>
      <c r="F79">
        <v>17052702</v>
      </c>
      <c r="G79">
        <v>0.67959999999999998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-0.18616144975288454</v>
      </c>
      <c r="Q79">
        <f t="shared" ref="Q79" si="371">F79*P79</f>
        <v>-3174555.7265239139</v>
      </c>
      <c r="R79">
        <f t="shared" ref="R79" si="372">R80+Q79</f>
        <v>409284481.42819172</v>
      </c>
      <c r="S79">
        <f t="shared" ref="S79" si="373">R79/100000</f>
        <v>4092.844814281917</v>
      </c>
      <c r="T79">
        <f t="shared" ref="T79" si="374">S79/1000</f>
        <v>4.0928448142819169</v>
      </c>
    </row>
    <row r="80" spans="1:20" x14ac:dyDescent="0.25">
      <c r="A80" s="5">
        <v>44513</v>
      </c>
      <c r="B80">
        <v>0.62039999999999995</v>
      </c>
      <c r="C80">
        <v>0.68149999999999999</v>
      </c>
      <c r="D80">
        <v>0.61450000000000005</v>
      </c>
      <c r="E80">
        <v>0.67600000000000005</v>
      </c>
      <c r="F80">
        <v>21643369</v>
      </c>
      <c r="G80">
        <v>0.67600000000000005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0.83582089552238947</v>
      </c>
      <c r="Q80">
        <f t="shared" ref="Q80" si="376">F80*P80</f>
        <v>18089980.059701525</v>
      </c>
      <c r="R80">
        <f t="shared" ref="R80" si="377">R81+Q80</f>
        <v>412459037.15471566</v>
      </c>
      <c r="S80">
        <f t="shared" ref="S80" si="378">R80/100000</f>
        <v>4124.5903715471568</v>
      </c>
      <c r="T80">
        <f t="shared" ref="T80" si="379">S80/1000</f>
        <v>4.124590371547157</v>
      </c>
    </row>
    <row r="81" spans="1:20" x14ac:dyDescent="0.25">
      <c r="A81" s="5">
        <v>44512</v>
      </c>
      <c r="B81">
        <v>0.64539999999999997</v>
      </c>
      <c r="C81">
        <v>0.65690000000000004</v>
      </c>
      <c r="D81">
        <v>0.59889999999999999</v>
      </c>
      <c r="E81">
        <v>0.62080000000000002</v>
      </c>
      <c r="F81">
        <v>10795837</v>
      </c>
      <c r="G81">
        <v>0.62080000000000002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-0.24482758620689618</v>
      </c>
      <c r="Q81">
        <f t="shared" ref="Q81" si="381">F81*P81</f>
        <v>-2643118.7137930994</v>
      </c>
      <c r="R81">
        <f t="shared" ref="R81" si="382">R82+Q81</f>
        <v>394369057.09501415</v>
      </c>
      <c r="S81">
        <f t="shared" ref="S81" si="383">R81/100000</f>
        <v>3943.6905709501416</v>
      </c>
      <c r="T81">
        <f t="shared" ref="T81" si="384">S81/1000</f>
        <v>3.9436905709501415</v>
      </c>
    </row>
    <row r="82" spans="1:20" x14ac:dyDescent="0.25">
      <c r="A82" s="5">
        <v>44511</v>
      </c>
      <c r="B82">
        <v>0.63829999999999998</v>
      </c>
      <c r="C82">
        <v>0.66700000000000004</v>
      </c>
      <c r="D82">
        <v>0.62529999999999997</v>
      </c>
      <c r="E82">
        <v>0.64649999999999996</v>
      </c>
      <c r="F82">
        <v>14456048</v>
      </c>
      <c r="G82">
        <v>0.64649999999999996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1.6786570743403399E-2</v>
      </c>
      <c r="Q82">
        <f t="shared" ref="Q82" si="386">F82*P82</f>
        <v>242667.47242203521</v>
      </c>
      <c r="R82">
        <f t="shared" ref="R82" si="387">R83+Q82</f>
        <v>397012175.80880725</v>
      </c>
      <c r="S82">
        <f t="shared" ref="S82" si="388">R82/100000</f>
        <v>3970.1217580880725</v>
      </c>
      <c r="T82">
        <f t="shared" ref="T82" si="389">S82/1000</f>
        <v>3.9701217580880725</v>
      </c>
    </row>
    <row r="83" spans="1:20" x14ac:dyDescent="0.25">
      <c r="A83" s="5">
        <v>44510</v>
      </c>
      <c r="B83">
        <v>0.70920000000000005</v>
      </c>
      <c r="C83">
        <v>0.7419</v>
      </c>
      <c r="D83">
        <v>0.58760000000000001</v>
      </c>
      <c r="E83">
        <v>0.63900000000000001</v>
      </c>
      <c r="F83">
        <v>29287602</v>
      </c>
      <c r="G83">
        <v>0.63900000000000001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-0.33376539209332462</v>
      </c>
      <c r="Q83">
        <f t="shared" ref="Q83" si="391">F83*P83</f>
        <v>-9775187.965003239</v>
      </c>
      <c r="R83">
        <f t="shared" ref="R83" si="392">R84+Q83</f>
        <v>396769508.33638519</v>
      </c>
      <c r="S83">
        <f t="shared" ref="S83" si="393">R83/100000</f>
        <v>3967.6950833638521</v>
      </c>
      <c r="T83">
        <f t="shared" ref="T83" si="394">S83/1000</f>
        <v>3.9676950833638522</v>
      </c>
    </row>
    <row r="84" spans="1:20" x14ac:dyDescent="0.25">
      <c r="A84" s="5">
        <v>44509</v>
      </c>
      <c r="B84">
        <v>0.69720000000000004</v>
      </c>
      <c r="C84">
        <v>0.74</v>
      </c>
      <c r="D84">
        <v>0.68500000000000005</v>
      </c>
      <c r="E84">
        <v>0.7097</v>
      </c>
      <c r="F84">
        <v>24793795</v>
      </c>
      <c r="G84">
        <v>0.7097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-0.10181818181818283</v>
      </c>
      <c r="Q84">
        <f t="shared" ref="Q84" si="396">F84*P84</f>
        <v>-2524459.1272727526</v>
      </c>
      <c r="R84">
        <f t="shared" ref="R84" si="397">R85+Q84</f>
        <v>406544696.30138844</v>
      </c>
      <c r="S84">
        <f t="shared" ref="S84" si="398">R84/100000</f>
        <v>4065.4469630138842</v>
      </c>
      <c r="T84">
        <f t="shared" ref="T84" si="399">S84/1000</f>
        <v>4.0654469630138843</v>
      </c>
    </row>
    <row r="85" spans="1:20" x14ac:dyDescent="0.25">
      <c r="A85" s="5">
        <v>44508</v>
      </c>
      <c r="B85">
        <v>0.69740000000000002</v>
      </c>
      <c r="C85">
        <v>0.72360000000000002</v>
      </c>
      <c r="D85">
        <v>0.6583</v>
      </c>
      <c r="E85">
        <v>0.69720000000000004</v>
      </c>
      <c r="F85">
        <v>51341134</v>
      </c>
      <c r="G85">
        <v>0.69720000000000004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0.19142419601837768</v>
      </c>
      <c r="Q85">
        <f t="shared" ref="Q85" si="401">F85*P85</f>
        <v>9827935.2986217942</v>
      </c>
      <c r="R85">
        <f t="shared" ref="R85" si="402">R86+Q85</f>
        <v>409069155.42866117</v>
      </c>
      <c r="S85">
        <f t="shared" ref="S85" si="403">R85/100000</f>
        <v>4090.6915542866118</v>
      </c>
      <c r="T85">
        <f t="shared" ref="T85" si="404">S85/1000</f>
        <v>4.0906915542866118</v>
      </c>
    </row>
    <row r="86" spans="1:20" x14ac:dyDescent="0.25">
      <c r="A86" s="5">
        <v>44507</v>
      </c>
      <c r="B86">
        <v>0.60019999999999996</v>
      </c>
      <c r="C86">
        <v>0.69769999999999999</v>
      </c>
      <c r="D86">
        <v>0.59160000000000001</v>
      </c>
      <c r="E86">
        <v>0.69750000000000001</v>
      </c>
      <c r="F86">
        <v>29767258</v>
      </c>
      <c r="G86">
        <v>0.69750000000000001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0.99622997172478833</v>
      </c>
      <c r="Q86">
        <f t="shared" ref="Q86" si="406">F86*P86</f>
        <v>29655034.595664479</v>
      </c>
      <c r="R86">
        <f t="shared" ref="R86" si="407">R87+Q86</f>
        <v>399241220.13003939</v>
      </c>
      <c r="S86">
        <f t="shared" ref="S86" si="408">R86/100000</f>
        <v>3992.4122013003939</v>
      </c>
      <c r="T86">
        <f t="shared" ref="T86" si="409">S86/1000</f>
        <v>3.992412201300394</v>
      </c>
    </row>
    <row r="87" spans="1:20" x14ac:dyDescent="0.25">
      <c r="A87" s="5">
        <v>44506</v>
      </c>
      <c r="B87">
        <v>0.60440000000000005</v>
      </c>
      <c r="C87">
        <v>0.6371</v>
      </c>
      <c r="D87">
        <v>0.58050000000000002</v>
      </c>
      <c r="E87">
        <v>0.60089999999999999</v>
      </c>
      <c r="F87">
        <v>16399674</v>
      </c>
      <c r="G87">
        <v>0.60089999999999999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-0.27915194346289823</v>
      </c>
      <c r="Q87">
        <f t="shared" ref="Q87" si="411">F87*P87</f>
        <v>-4578000.8692579623</v>
      </c>
      <c r="R87">
        <f t="shared" ref="R87" si="412">R88+Q87</f>
        <v>369586185.53437489</v>
      </c>
      <c r="S87">
        <f t="shared" ref="S87" si="413">R87/100000</f>
        <v>3695.8618553437491</v>
      </c>
      <c r="T87">
        <f t="shared" ref="T87" si="414">S87/1000</f>
        <v>3.695861855343749</v>
      </c>
    </row>
    <row r="88" spans="1:20" x14ac:dyDescent="0.25">
      <c r="A88" s="5">
        <v>44505</v>
      </c>
      <c r="B88">
        <v>0.60499999999999998</v>
      </c>
      <c r="C88">
        <v>0.64100000000000001</v>
      </c>
      <c r="D88">
        <v>0.59009999999999996</v>
      </c>
      <c r="E88">
        <v>0.60470000000000002</v>
      </c>
      <c r="F88">
        <v>20717937</v>
      </c>
      <c r="G88">
        <v>0.60470000000000002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-0.42632612966601019</v>
      </c>
      <c r="Q88">
        <f t="shared" ref="Q88" si="416">F88*P88</f>
        <v>-8832597.8958742302</v>
      </c>
      <c r="R88">
        <f t="shared" ref="R88" si="417">R89+Q88</f>
        <v>374164186.40363288</v>
      </c>
      <c r="S88">
        <f t="shared" ref="S88" si="418">R88/100000</f>
        <v>3741.6418640363286</v>
      </c>
      <c r="T88">
        <f t="shared" ref="T88" si="419">S88/1000</f>
        <v>3.7416418640363287</v>
      </c>
    </row>
    <row r="89" spans="1:20" x14ac:dyDescent="0.25">
      <c r="A89" s="5">
        <v>44504</v>
      </c>
      <c r="B89">
        <v>0.62009999999999998</v>
      </c>
      <c r="C89">
        <v>0.65390000000000004</v>
      </c>
      <c r="D89">
        <v>0.57420000000000004</v>
      </c>
      <c r="E89">
        <v>0.60560000000000003</v>
      </c>
      <c r="F89">
        <v>37109207</v>
      </c>
      <c r="G89">
        <v>0.60560000000000003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-0.21204516938519483</v>
      </c>
      <c r="Q89">
        <f t="shared" ref="Q89" si="421">F89*P89</f>
        <v>-7868828.0840652576</v>
      </c>
      <c r="R89">
        <f t="shared" ref="R89" si="422">R90+Q89</f>
        <v>382996784.29950708</v>
      </c>
      <c r="S89">
        <f t="shared" ref="S89" si="423">R89/100000</f>
        <v>3829.9678429950709</v>
      </c>
      <c r="T89">
        <f t="shared" ref="T89" si="424">S89/1000</f>
        <v>3.829967842995071</v>
      </c>
    </row>
    <row r="90" spans="1:20" x14ac:dyDescent="0.25">
      <c r="A90" s="5">
        <v>44503</v>
      </c>
      <c r="B90">
        <v>0.57640000000000002</v>
      </c>
      <c r="C90">
        <v>0.63670000000000004</v>
      </c>
      <c r="D90">
        <v>0.54490000000000005</v>
      </c>
      <c r="E90">
        <v>0.62009999999999998</v>
      </c>
      <c r="F90">
        <v>26520444</v>
      </c>
      <c r="G90">
        <v>0.62009999999999998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0.63834422657951939</v>
      </c>
      <c r="Q90">
        <f t="shared" ref="Q90" si="426">F90*P90</f>
        <v>16929172.313725457</v>
      </c>
      <c r="R90">
        <f t="shared" ref="R90" si="427">R91+Q90</f>
        <v>390865612.38357234</v>
      </c>
      <c r="S90">
        <f t="shared" ref="S90" si="428">R90/100000</f>
        <v>3908.6561238357235</v>
      </c>
      <c r="T90">
        <f t="shared" ref="T90" si="429">S90/1000</f>
        <v>3.9086561238357236</v>
      </c>
    </row>
    <row r="91" spans="1:20" x14ac:dyDescent="0.25">
      <c r="A91" s="5">
        <v>44502</v>
      </c>
      <c r="B91">
        <v>0.52400000000000002</v>
      </c>
      <c r="C91">
        <v>0.62439999999999996</v>
      </c>
      <c r="D91">
        <v>0.52070000000000005</v>
      </c>
      <c r="E91">
        <v>0.57640000000000002</v>
      </c>
      <c r="F91">
        <v>36092057</v>
      </c>
      <c r="G91">
        <v>0.57640000000000002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7.4252651880424764E-2</v>
      </c>
      <c r="Q91">
        <f t="shared" ref="Q91" si="431">F91*P91</f>
        <v>2679930.9440694479</v>
      </c>
      <c r="R91">
        <f t="shared" ref="R91" si="432">R92+Q91</f>
        <v>373936440.06984687</v>
      </c>
      <c r="S91">
        <f t="shared" ref="S91" si="433">R91/100000</f>
        <v>3739.3644006984687</v>
      </c>
      <c r="T91">
        <f t="shared" ref="T91" si="434">S91/1000</f>
        <v>3.7393644006984688</v>
      </c>
    </row>
    <row r="92" spans="1:20" x14ac:dyDescent="0.25">
      <c r="A92" s="5">
        <v>44501</v>
      </c>
      <c r="B92">
        <v>0.52869999999999995</v>
      </c>
      <c r="C92">
        <v>0.5635</v>
      </c>
      <c r="D92">
        <v>0.50539999999999996</v>
      </c>
      <c r="E92">
        <v>0.52500000000000002</v>
      </c>
      <c r="F92">
        <v>19856693</v>
      </c>
      <c r="G92">
        <v>0.52500000000000002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-0.32530120481927544</v>
      </c>
      <c r="Q92">
        <f t="shared" ref="Q92" si="436">F92*P92</f>
        <v>-6459406.1566264732</v>
      </c>
      <c r="R92">
        <f t="shared" ref="R92" si="437">R93+Q92</f>
        <v>371256509.12577742</v>
      </c>
      <c r="S92">
        <f t="shared" ref="S92" si="438">R92/100000</f>
        <v>3712.5650912577744</v>
      </c>
      <c r="T92">
        <f t="shared" ref="T92" si="439">S92/1000</f>
        <v>3.7125650912577743</v>
      </c>
    </row>
    <row r="93" spans="1:20" x14ac:dyDescent="0.25">
      <c r="A93" s="5">
        <v>44500</v>
      </c>
      <c r="B93">
        <v>0.48599999999999999</v>
      </c>
      <c r="C93">
        <v>0.53</v>
      </c>
      <c r="D93">
        <v>0.4834</v>
      </c>
      <c r="E93">
        <v>0.52900000000000003</v>
      </c>
      <c r="F93">
        <v>31361646</v>
      </c>
      <c r="G93">
        <v>0.52900000000000003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0.9570815450643777</v>
      </c>
      <c r="Q93">
        <f t="shared" ref="Q93" si="441">F93*P93</f>
        <v>30015652.609442059</v>
      </c>
      <c r="R93">
        <f t="shared" ref="R93" si="442">R94+Q93</f>
        <v>377715915.28240389</v>
      </c>
      <c r="S93">
        <f t="shared" ref="S93" si="443">R93/100000</f>
        <v>3777.1591528240388</v>
      </c>
      <c r="T93">
        <f t="shared" ref="T93" si="444">S93/1000</f>
        <v>3.7771591528240389</v>
      </c>
    </row>
    <row r="94" spans="1:20" x14ac:dyDescent="0.25">
      <c r="A94" s="5">
        <v>44499</v>
      </c>
      <c r="B94">
        <v>0.50429999999999997</v>
      </c>
      <c r="C94">
        <v>0.50770000000000004</v>
      </c>
      <c r="D94">
        <v>0.47039999999999998</v>
      </c>
      <c r="E94">
        <v>0.48580000000000001</v>
      </c>
      <c r="F94">
        <v>14800953</v>
      </c>
      <c r="G94">
        <v>0.48580000000000001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-0.1742627345844503</v>
      </c>
      <c r="Q94">
        <f t="shared" ref="Q94" si="446">F94*P94</f>
        <v>-2579254.5442359233</v>
      </c>
      <c r="R94">
        <f t="shared" ref="R94" si="447">R95+Q94</f>
        <v>347700262.67296183</v>
      </c>
      <c r="S94">
        <f t="shared" ref="S94" si="448">R94/100000</f>
        <v>3477.0026267296184</v>
      </c>
      <c r="T94">
        <f t="shared" ref="T94" si="449">S94/1000</f>
        <v>3.4770026267296186</v>
      </c>
    </row>
    <row r="95" spans="1:20" x14ac:dyDescent="0.25">
      <c r="A95" s="5">
        <v>44498</v>
      </c>
      <c r="B95">
        <v>0.49530000000000002</v>
      </c>
      <c r="C95">
        <v>0.51359999999999995</v>
      </c>
      <c r="D95">
        <v>0.4914</v>
      </c>
      <c r="E95">
        <v>0.50480000000000003</v>
      </c>
      <c r="F95">
        <v>14485173</v>
      </c>
      <c r="G95">
        <v>0.50480000000000003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0.20720720720721245</v>
      </c>
      <c r="Q95">
        <f t="shared" ref="Q95" si="451">F95*P95</f>
        <v>3001432.243243319</v>
      </c>
      <c r="R95">
        <f t="shared" ref="R95" si="452">R96+Q95</f>
        <v>350279517.21719778</v>
      </c>
      <c r="S95">
        <f t="shared" ref="S95" si="453">R95/100000</f>
        <v>3502.7951721719778</v>
      </c>
      <c r="T95">
        <f t="shared" ref="T95" si="454">S95/1000</f>
        <v>3.5027951721719779</v>
      </c>
    </row>
    <row r="96" spans="1:20" x14ac:dyDescent="0.25">
      <c r="A96" s="5">
        <v>44497</v>
      </c>
      <c r="B96">
        <v>0.47399999999999998</v>
      </c>
      <c r="C96">
        <v>0.50609999999999999</v>
      </c>
      <c r="D96">
        <v>0.46760000000000002</v>
      </c>
      <c r="E96">
        <v>0.496</v>
      </c>
      <c r="F96">
        <v>17391551</v>
      </c>
      <c r="G96">
        <v>0.496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0.47532467532467515</v>
      </c>
      <c r="Q96">
        <f t="shared" ref="Q96" si="456">F96*P96</f>
        <v>8266633.332467529</v>
      </c>
      <c r="R96">
        <f t="shared" ref="R96" si="457">R97+Q96</f>
        <v>347278084.97395444</v>
      </c>
      <c r="S96">
        <f t="shared" ref="S96" si="458">R96/100000</f>
        <v>3472.7808497395445</v>
      </c>
      <c r="T96">
        <f t="shared" ref="T96" si="459">S96/1000</f>
        <v>3.4727808497395443</v>
      </c>
    </row>
    <row r="97" spans="1:20" x14ac:dyDescent="0.25">
      <c r="A97" s="5">
        <v>44496</v>
      </c>
      <c r="B97">
        <v>0.55659999999999998</v>
      </c>
      <c r="C97">
        <v>0.58179999999999998</v>
      </c>
      <c r="D97">
        <v>0.46010000000000001</v>
      </c>
      <c r="E97">
        <v>0.47349999999999998</v>
      </c>
      <c r="F97">
        <v>25361622</v>
      </c>
      <c r="G97">
        <v>0.47349999999999998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-0.77978635990139733</v>
      </c>
      <c r="Q97">
        <f t="shared" ref="Q97" si="461">F97*P97</f>
        <v>-19776646.900575195</v>
      </c>
      <c r="R97">
        <f t="shared" ref="R97" si="462">R98+Q97</f>
        <v>339011451.64148688</v>
      </c>
      <c r="S97">
        <f t="shared" ref="S97" si="463">R97/100000</f>
        <v>3390.1145164148688</v>
      </c>
      <c r="T97">
        <f t="shared" ref="T97" si="464">S97/1000</f>
        <v>3.3901145164148687</v>
      </c>
    </row>
    <row r="98" spans="1:20" x14ac:dyDescent="0.25">
      <c r="A98" s="5">
        <v>44495</v>
      </c>
      <c r="B98">
        <v>0.56579999999999997</v>
      </c>
      <c r="C98">
        <v>0.5786</v>
      </c>
      <c r="D98">
        <v>0.55000000000000004</v>
      </c>
      <c r="E98">
        <v>0.55610000000000004</v>
      </c>
      <c r="F98">
        <v>10776879</v>
      </c>
      <c r="G98">
        <v>0.55610000000000004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-0.57342657342657322</v>
      </c>
      <c r="Q98">
        <f t="shared" ref="Q98" si="466">F98*P98</f>
        <v>-6179748.7972027948</v>
      </c>
      <c r="R98">
        <f t="shared" ref="R98" si="467">R99+Q98</f>
        <v>358788098.5420621</v>
      </c>
      <c r="S98">
        <f t="shared" ref="S98" si="468">R98/100000</f>
        <v>3587.8809854206211</v>
      </c>
      <c r="T98">
        <f t="shared" ref="T98" si="469">S98/1000</f>
        <v>3.5878809854206213</v>
      </c>
    </row>
    <row r="99" spans="1:20" x14ac:dyDescent="0.25">
      <c r="A99" s="5">
        <v>44494</v>
      </c>
      <c r="B99">
        <v>0.54330000000000001</v>
      </c>
      <c r="C99">
        <v>0.57679999999999998</v>
      </c>
      <c r="D99">
        <v>0.54059999999999997</v>
      </c>
      <c r="E99">
        <v>0.56579999999999997</v>
      </c>
      <c r="F99">
        <v>12320296</v>
      </c>
      <c r="G99">
        <v>0.56579999999999997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0.39226519337016535</v>
      </c>
      <c r="Q99">
        <f t="shared" ref="Q99" si="471">F99*P99</f>
        <v>4832823.2928176746</v>
      </c>
      <c r="R99">
        <f t="shared" ref="R99" si="472">R100+Q99</f>
        <v>364967847.33926487</v>
      </c>
      <c r="S99">
        <f t="shared" ref="S99" si="473">R99/100000</f>
        <v>3649.6784733926488</v>
      </c>
      <c r="T99">
        <f t="shared" ref="T99" si="474">S99/1000</f>
        <v>3.6496784733926488</v>
      </c>
    </row>
    <row r="100" spans="1:20" x14ac:dyDescent="0.25">
      <c r="A100" s="5">
        <v>44493</v>
      </c>
      <c r="B100">
        <v>0.56100000000000005</v>
      </c>
      <c r="C100">
        <v>0.56850000000000001</v>
      </c>
      <c r="D100">
        <v>0.53010000000000002</v>
      </c>
      <c r="E100">
        <v>0.54320000000000002</v>
      </c>
      <c r="F100">
        <v>9949575</v>
      </c>
      <c r="G100">
        <v>0.54320000000000002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-0.31770833333333315</v>
      </c>
      <c r="Q100">
        <f t="shared" ref="Q100" si="476">F100*P100</f>
        <v>-3161062.8906249981</v>
      </c>
      <c r="R100">
        <f t="shared" ref="R100" si="477">R101+Q100</f>
        <v>360135024.04644722</v>
      </c>
      <c r="S100">
        <f t="shared" ref="S100" si="478">R100/100000</f>
        <v>3601.3502404644723</v>
      </c>
      <c r="T100">
        <f t="shared" ref="T100" si="479">S100/1000</f>
        <v>3.6013502404644724</v>
      </c>
    </row>
    <row r="101" spans="1:20" x14ac:dyDescent="0.25">
      <c r="A101" s="5">
        <v>44492</v>
      </c>
      <c r="B101">
        <v>0.56969999999999998</v>
      </c>
      <c r="C101">
        <v>0.57720000000000005</v>
      </c>
      <c r="D101">
        <v>0.54779999999999995</v>
      </c>
      <c r="E101">
        <v>0.56100000000000005</v>
      </c>
      <c r="F101">
        <v>12428408</v>
      </c>
      <c r="G101">
        <v>0.56100000000000005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-0.1020408163265266</v>
      </c>
      <c r="Q101">
        <f t="shared" ref="Q101" si="481">F101*P101</f>
        <v>-1268204.8979591338</v>
      </c>
      <c r="R101">
        <f t="shared" ref="R101" si="482">R102+Q101</f>
        <v>363296086.93707222</v>
      </c>
      <c r="S101">
        <f t="shared" ref="S101" si="483">R101/100000</f>
        <v>3632.9608693707223</v>
      </c>
      <c r="T101">
        <f t="shared" ref="T101" si="484">S101/1000</f>
        <v>3.6329608693707223</v>
      </c>
    </row>
    <row r="102" spans="1:20" x14ac:dyDescent="0.25">
      <c r="A102" s="5">
        <v>44491</v>
      </c>
      <c r="B102">
        <v>0.52659999999999996</v>
      </c>
      <c r="C102">
        <v>0.57189999999999996</v>
      </c>
      <c r="D102">
        <v>0.52349999999999997</v>
      </c>
      <c r="E102">
        <v>0.56950000000000001</v>
      </c>
      <c r="F102">
        <v>16536280</v>
      </c>
      <c r="G102">
        <v>0.56950000000000001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0.90082644628099351</v>
      </c>
      <c r="Q102">
        <f t="shared" ref="Q102" si="486">F102*P102</f>
        <v>14896318.347107468</v>
      </c>
      <c r="R102">
        <f t="shared" ref="R102" si="487">R103+Q102</f>
        <v>364564291.83503133</v>
      </c>
      <c r="S102">
        <f t="shared" ref="S102" si="488">R102/100000</f>
        <v>3645.6429183503133</v>
      </c>
      <c r="T102">
        <f t="shared" ref="T102" si="489">S102/1000</f>
        <v>3.6456429183503132</v>
      </c>
    </row>
    <row r="103" spans="1:20" x14ac:dyDescent="0.25">
      <c r="A103" s="5">
        <v>44490</v>
      </c>
      <c r="B103">
        <v>0.51849999999999996</v>
      </c>
      <c r="C103">
        <v>0.54900000000000004</v>
      </c>
      <c r="D103">
        <v>0.51</v>
      </c>
      <c r="E103">
        <v>0.52590000000000003</v>
      </c>
      <c r="F103">
        <v>19425306</v>
      </c>
      <c r="G103">
        <v>0.52590000000000003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-0.18461538461538404</v>
      </c>
      <c r="Q103">
        <f t="shared" ref="Q103" si="491">F103*P103</f>
        <v>-3586210.3384615271</v>
      </c>
      <c r="R103">
        <f t="shared" ref="R103" si="492">R104+Q103</f>
        <v>349667973.48792386</v>
      </c>
      <c r="S103">
        <f t="shared" ref="S103" si="493">R103/100000</f>
        <v>3496.6797348792388</v>
      </c>
      <c r="T103">
        <f t="shared" ref="T103" si="494">S103/1000</f>
        <v>3.4966797348792387</v>
      </c>
    </row>
    <row r="104" spans="1:20" x14ac:dyDescent="0.25">
      <c r="A104" s="5">
        <v>44489</v>
      </c>
      <c r="B104">
        <v>0.4919</v>
      </c>
      <c r="C104">
        <v>0.51929999999999998</v>
      </c>
      <c r="D104">
        <v>0.47839999999999999</v>
      </c>
      <c r="E104">
        <v>0.51859999999999995</v>
      </c>
      <c r="F104">
        <v>11690805</v>
      </c>
      <c r="G104">
        <v>0.51859999999999995</v>
      </c>
      <c r="L104" t="s">
        <v>7</v>
      </c>
      <c r="M104" t="s">
        <v>8</v>
      </c>
      <c r="N104" t="s">
        <v>7</v>
      </c>
      <c r="P104">
        <f t="shared" ref="P104" si="495">IF(C104=D104,0,((E104-D104)-(C104-E104))/(C104-D104))</f>
        <v>0.96577017114914254</v>
      </c>
      <c r="Q104">
        <f t="shared" ref="Q104" si="496">F104*P104</f>
        <v>11290630.745721251</v>
      </c>
      <c r="R104">
        <f t="shared" ref="R104" si="497">R105+Q104</f>
        <v>353254183.82638538</v>
      </c>
      <c r="S104">
        <f t="shared" ref="S104" si="498">R104/100000</f>
        <v>3532.5418382638536</v>
      </c>
      <c r="T104">
        <f t="shared" ref="T104" si="499">S104/1000</f>
        <v>3.5325418382638536</v>
      </c>
    </row>
    <row r="105" spans="1:20" x14ac:dyDescent="0.25">
      <c r="A105" s="5">
        <v>44488</v>
      </c>
      <c r="B105">
        <v>0.50070000000000003</v>
      </c>
      <c r="C105">
        <v>0.5131</v>
      </c>
      <c r="D105">
        <v>0.48420000000000002</v>
      </c>
      <c r="E105">
        <v>0.4919</v>
      </c>
      <c r="F105">
        <v>12439186</v>
      </c>
      <c r="G105">
        <v>0.4919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-0.46712802768166162</v>
      </c>
      <c r="Q105">
        <f t="shared" ref="Q105" si="501">F105*P105</f>
        <v>-5810692.4221453378</v>
      </c>
      <c r="R105">
        <f t="shared" ref="R105" si="502">R106+Q105</f>
        <v>341963553.08066416</v>
      </c>
      <c r="S105">
        <f t="shared" ref="S105" si="503">R105/100000</f>
        <v>3419.6355308066418</v>
      </c>
      <c r="T105">
        <f t="shared" ref="T105" si="504">S105/1000</f>
        <v>3.4196355308066417</v>
      </c>
    </row>
    <row r="106" spans="1:20" x14ac:dyDescent="0.25">
      <c r="A106" s="5">
        <v>44487</v>
      </c>
      <c r="B106">
        <v>0.498</v>
      </c>
      <c r="C106">
        <v>0.54520000000000002</v>
      </c>
      <c r="D106">
        <v>0.49199999999999999</v>
      </c>
      <c r="E106">
        <v>0.50080000000000002</v>
      </c>
      <c r="F106">
        <v>25098702</v>
      </c>
      <c r="G106">
        <v>0.50080000000000002</v>
      </c>
      <c r="L106" t="s">
        <v>8</v>
      </c>
      <c r="M106" t="s">
        <v>8</v>
      </c>
      <c r="N106" t="s">
        <v>7</v>
      </c>
      <c r="P106">
        <f t="shared" ref="P106" si="505">IF(C106=D106,0,((E106-D106)-(C106-E106))/(C106-D106))</f>
        <v>-0.66917293233082609</v>
      </c>
      <c r="Q106">
        <f t="shared" ref="Q106" si="506">F106*P106</f>
        <v>-16795372.01503757</v>
      </c>
      <c r="R106">
        <f t="shared" ref="R106" si="507">R107+Q106</f>
        <v>347774245.50280952</v>
      </c>
      <c r="S106">
        <f t="shared" ref="S106" si="508">R106/100000</f>
        <v>3477.7424550280953</v>
      </c>
      <c r="T106">
        <f t="shared" ref="T106" si="509">S106/1000</f>
        <v>3.4777424550280953</v>
      </c>
    </row>
    <row r="107" spans="1:20" x14ac:dyDescent="0.25">
      <c r="A107" s="5">
        <v>44486</v>
      </c>
      <c r="B107">
        <v>0.50970000000000004</v>
      </c>
      <c r="C107">
        <v>0.52280000000000004</v>
      </c>
      <c r="D107">
        <v>0.48149999999999998</v>
      </c>
      <c r="E107">
        <v>0.49759999999999999</v>
      </c>
      <c r="F107">
        <v>20312031</v>
      </c>
      <c r="G107">
        <v>0.49759999999999999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-0.22033898305084842</v>
      </c>
      <c r="Q107">
        <f t="shared" ref="Q107" si="511">F107*P107</f>
        <v>-4475532.2542373082</v>
      </c>
      <c r="R107">
        <f t="shared" ref="R107" si="512">R108+Q107</f>
        <v>364569617.51784712</v>
      </c>
      <c r="S107">
        <f t="shared" ref="S107" si="513">R107/100000</f>
        <v>3645.6961751784711</v>
      </c>
      <c r="T107">
        <f t="shared" ref="T107" si="514">S107/1000</f>
        <v>3.6456961751784709</v>
      </c>
    </row>
    <row r="108" spans="1:20" x14ac:dyDescent="0.25">
      <c r="A108" s="5">
        <v>44485</v>
      </c>
      <c r="B108">
        <v>0.49380000000000002</v>
      </c>
      <c r="C108">
        <v>0.52710000000000001</v>
      </c>
      <c r="D108">
        <v>0.48420000000000002</v>
      </c>
      <c r="E108">
        <v>0.50880000000000003</v>
      </c>
      <c r="F108">
        <v>18722101</v>
      </c>
      <c r="G108">
        <v>0.50880000000000003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0.14685314685314751</v>
      </c>
      <c r="Q108">
        <f t="shared" ref="Q108" si="516">F108*P108</f>
        <v>2749399.4475524598</v>
      </c>
      <c r="R108">
        <f t="shared" ref="R108" si="517">R109+Q108</f>
        <v>369045149.77208441</v>
      </c>
      <c r="S108">
        <f t="shared" ref="S108" si="518">R108/100000</f>
        <v>3690.4514977208441</v>
      </c>
      <c r="T108">
        <f t="shared" ref="T108" si="519">S108/1000</f>
        <v>3.690451497720844</v>
      </c>
    </row>
    <row r="109" spans="1:20" x14ac:dyDescent="0.25">
      <c r="A109" s="5">
        <v>44484</v>
      </c>
      <c r="B109">
        <v>0.48249999999999998</v>
      </c>
      <c r="C109">
        <v>0.5081</v>
      </c>
      <c r="D109">
        <v>0.4597</v>
      </c>
      <c r="E109">
        <v>0.49359999999999998</v>
      </c>
      <c r="F109">
        <v>18210165</v>
      </c>
      <c r="G109">
        <v>0.49359999999999998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0.40082644628099118</v>
      </c>
      <c r="Q109">
        <f t="shared" ref="Q109" si="521">F109*P109</f>
        <v>7299115.7231404856</v>
      </c>
      <c r="R109">
        <f t="shared" ref="R109" si="522">R110+Q109</f>
        <v>366295750.32453197</v>
      </c>
      <c r="S109">
        <f t="shared" ref="S109" si="523">R109/100000</f>
        <v>3662.9575032453199</v>
      </c>
      <c r="T109">
        <f t="shared" ref="T109" si="524">S109/1000</f>
        <v>3.6629575032453201</v>
      </c>
    </row>
    <row r="110" spans="1:20" x14ac:dyDescent="0.25">
      <c r="A110" s="5">
        <v>44483</v>
      </c>
      <c r="B110">
        <v>0.47070000000000001</v>
      </c>
      <c r="C110">
        <v>0.49830000000000002</v>
      </c>
      <c r="D110">
        <v>0.46589999999999998</v>
      </c>
      <c r="E110">
        <v>0.48249999999999998</v>
      </c>
      <c r="F110">
        <v>16096339</v>
      </c>
      <c r="G110">
        <v>0.48249999999999998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2.4691358024690323E-2</v>
      </c>
      <c r="Q110">
        <f t="shared" ref="Q110" si="526">F110*P110</f>
        <v>397440.46913578582</v>
      </c>
      <c r="R110">
        <f t="shared" ref="R110" si="527">R111+Q110</f>
        <v>358996634.60139149</v>
      </c>
      <c r="S110">
        <f t="shared" ref="S110" si="528">R110/100000</f>
        <v>3589.966346013915</v>
      </c>
      <c r="T110">
        <f t="shared" ref="T110" si="529">S110/1000</f>
        <v>3.5899663460139148</v>
      </c>
    </row>
    <row r="111" spans="1:20" x14ac:dyDescent="0.25">
      <c r="A111" s="5">
        <v>44482</v>
      </c>
      <c r="B111">
        <v>0.46339999999999998</v>
      </c>
      <c r="C111">
        <v>0.47149999999999997</v>
      </c>
      <c r="D111">
        <v>0.45150000000000001</v>
      </c>
      <c r="E111">
        <v>0.47049999999999997</v>
      </c>
      <c r="F111">
        <v>9670733</v>
      </c>
      <c r="G111">
        <v>0.47049999999999997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0.89999999999999969</v>
      </c>
      <c r="Q111">
        <f t="shared" ref="Q111" si="531">F111*P111</f>
        <v>8703659.6999999974</v>
      </c>
      <c r="R111">
        <f t="shared" ref="R111" si="532">R112+Q111</f>
        <v>358599194.13225573</v>
      </c>
      <c r="S111">
        <f t="shared" ref="S111" si="533">R111/100000</f>
        <v>3585.9919413225575</v>
      </c>
      <c r="T111">
        <f t="shared" ref="T111" si="534">S111/1000</f>
        <v>3.5859919413225576</v>
      </c>
    </row>
    <row r="112" spans="1:20" x14ac:dyDescent="0.25">
      <c r="A112" s="5">
        <v>44481</v>
      </c>
      <c r="B112">
        <v>0.46820000000000001</v>
      </c>
      <c r="C112">
        <v>0.47460000000000002</v>
      </c>
      <c r="D112">
        <v>0.4345</v>
      </c>
      <c r="E112">
        <v>0.46329999999999999</v>
      </c>
      <c r="F112">
        <v>11255420</v>
      </c>
      <c r="G112">
        <v>0.46329999999999999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0.43640897755610847</v>
      </c>
      <c r="Q112">
        <f t="shared" ref="Q112" si="536">F112*P112</f>
        <v>4911966.3341645747</v>
      </c>
      <c r="R112">
        <f t="shared" ref="R112" si="537">R113+Q112</f>
        <v>349895534.43225574</v>
      </c>
      <c r="S112">
        <f t="shared" ref="S112" si="538">R112/100000</f>
        <v>3498.9553443225573</v>
      </c>
      <c r="T112">
        <f t="shared" ref="T112" si="539">S112/1000</f>
        <v>3.4989553443225572</v>
      </c>
    </row>
    <row r="113" spans="1:20" x14ac:dyDescent="0.25">
      <c r="A113" s="5">
        <v>44480</v>
      </c>
      <c r="B113">
        <v>0.47910000000000003</v>
      </c>
      <c r="C113">
        <v>0.49480000000000002</v>
      </c>
      <c r="D113">
        <v>0.45319999999999999</v>
      </c>
      <c r="E113">
        <v>0.46829999999999999</v>
      </c>
      <c r="F113">
        <v>11500397</v>
      </c>
      <c r="G113">
        <v>0.46829999999999999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-0.2740384615384619</v>
      </c>
      <c r="Q113">
        <f t="shared" ref="Q113" si="541">F113*P113</f>
        <v>-3151551.1009615427</v>
      </c>
      <c r="R113">
        <f t="shared" ref="R113" si="542">R114+Q113</f>
        <v>344983568.09809119</v>
      </c>
      <c r="S113">
        <f t="shared" ref="S113" si="543">R113/100000</f>
        <v>3449.835680980912</v>
      </c>
      <c r="T113">
        <f t="shared" ref="T113" si="544">S113/1000</f>
        <v>3.4498356809809119</v>
      </c>
    </row>
    <row r="114" spans="1:20" x14ac:dyDescent="0.25">
      <c r="A114" s="5">
        <v>44479</v>
      </c>
      <c r="B114">
        <v>0.52500000000000002</v>
      </c>
      <c r="C114">
        <v>0.52510000000000001</v>
      </c>
      <c r="D114">
        <v>0.47649999999999998</v>
      </c>
      <c r="E114">
        <v>0.47939999999999999</v>
      </c>
      <c r="F114">
        <v>10002226</v>
      </c>
      <c r="G114">
        <v>0.47939999999999999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-0.88065843621399131</v>
      </c>
      <c r="Q114">
        <f t="shared" ref="Q114" si="546">F114*P114</f>
        <v>-8808544.7078189254</v>
      </c>
      <c r="R114">
        <f t="shared" ref="R114" si="547">R115+Q114</f>
        <v>348135119.19905275</v>
      </c>
      <c r="S114">
        <f t="shared" ref="S114" si="548">R114/100000</f>
        <v>3481.3511919905277</v>
      </c>
      <c r="T114">
        <f t="shared" ref="T114" si="549">S114/1000</f>
        <v>3.4813511919905276</v>
      </c>
    </row>
    <row r="115" spans="1:20" x14ac:dyDescent="0.25">
      <c r="A115" s="5">
        <v>44478</v>
      </c>
      <c r="B115">
        <v>0.51990000000000003</v>
      </c>
      <c r="C115">
        <v>0.54500000000000004</v>
      </c>
      <c r="D115">
        <v>0.51390000000000002</v>
      </c>
      <c r="E115">
        <v>0.52500000000000002</v>
      </c>
      <c r="F115">
        <v>8324064</v>
      </c>
      <c r="G115">
        <v>0.52500000000000002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-0.28617363344051494</v>
      </c>
      <c r="Q115">
        <f t="shared" ref="Q115" si="551">F115*P115</f>
        <v>-2382127.6398713863</v>
      </c>
      <c r="R115">
        <f t="shared" ref="R115" si="552">R116+Q115</f>
        <v>356943663.90687168</v>
      </c>
      <c r="S115">
        <f t="shared" ref="S115" si="553">R115/100000</f>
        <v>3569.4366390687169</v>
      </c>
      <c r="T115">
        <f t="shared" ref="T115" si="554">S115/1000</f>
        <v>3.5694366390687167</v>
      </c>
    </row>
    <row r="116" spans="1:20" x14ac:dyDescent="0.25">
      <c r="A116" s="5">
        <v>44477</v>
      </c>
      <c r="B116">
        <v>0.52170000000000005</v>
      </c>
      <c r="C116">
        <v>0.54769999999999996</v>
      </c>
      <c r="D116">
        <v>0.51539999999999997</v>
      </c>
      <c r="E116">
        <v>0.51980000000000004</v>
      </c>
      <c r="F116">
        <v>12106575</v>
      </c>
      <c r="G116">
        <v>0.51980000000000004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-0.7275541795665591</v>
      </c>
      <c r="Q116">
        <f t="shared" ref="Q116" si="556">F116*P116</f>
        <v>-8808189.2414860148</v>
      </c>
      <c r="R116">
        <f t="shared" ref="R116" si="557">R117+Q116</f>
        <v>359325791.54674304</v>
      </c>
      <c r="S116">
        <f t="shared" ref="S116" si="558">R116/100000</f>
        <v>3593.2579154674304</v>
      </c>
      <c r="T116">
        <f t="shared" ref="T116" si="559">S116/1000</f>
        <v>3.5932579154674302</v>
      </c>
    </row>
    <row r="117" spans="1:20" x14ac:dyDescent="0.25">
      <c r="A117" s="5">
        <v>44476</v>
      </c>
      <c r="B117">
        <v>0.51739999999999997</v>
      </c>
      <c r="C117">
        <v>0.53349999999999997</v>
      </c>
      <c r="D117">
        <v>0.49680000000000002</v>
      </c>
      <c r="E117">
        <v>0.52180000000000004</v>
      </c>
      <c r="F117">
        <v>9781884</v>
      </c>
      <c r="G117">
        <v>0.52180000000000004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0.36239782016349065</v>
      </c>
      <c r="Q117">
        <f t="shared" ref="Q117" si="561">F117*P117</f>
        <v>3544933.4386921264</v>
      </c>
      <c r="R117">
        <f t="shared" ref="R117" si="562">R118+Q117</f>
        <v>368133980.78822905</v>
      </c>
      <c r="S117">
        <f t="shared" ref="S117" si="563">R117/100000</f>
        <v>3681.3398078822906</v>
      </c>
      <c r="T117">
        <f t="shared" ref="T117" si="564">S117/1000</f>
        <v>3.6813398078822908</v>
      </c>
    </row>
    <row r="118" spans="1:20" x14ac:dyDescent="0.25">
      <c r="A118" s="5">
        <v>44475</v>
      </c>
      <c r="B118">
        <v>0.52080000000000004</v>
      </c>
      <c r="C118">
        <v>0.54249999999999998</v>
      </c>
      <c r="D118">
        <v>0.48010000000000003</v>
      </c>
      <c r="E118">
        <v>0.51729999999999998</v>
      </c>
      <c r="F118">
        <v>14770539</v>
      </c>
      <c r="G118">
        <v>0.51729999999999998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0.19230769230769174</v>
      </c>
      <c r="Q118">
        <f t="shared" ref="Q118" si="566">F118*P118</f>
        <v>2840488.2692307606</v>
      </c>
      <c r="R118">
        <f t="shared" ref="R118" si="567">R119+Q118</f>
        <v>364589047.3495369</v>
      </c>
      <c r="S118">
        <f t="shared" ref="S118" si="568">R118/100000</f>
        <v>3645.890473495369</v>
      </c>
      <c r="T118">
        <f t="shared" ref="T118" si="569">S118/1000</f>
        <v>3.6458904734953688</v>
      </c>
    </row>
    <row r="119" spans="1:20" x14ac:dyDescent="0.25">
      <c r="A119" s="5">
        <v>44474</v>
      </c>
      <c r="B119">
        <v>0.497</v>
      </c>
      <c r="C119">
        <v>0.53590000000000004</v>
      </c>
      <c r="D119">
        <v>0.4909</v>
      </c>
      <c r="E119">
        <v>0.5212</v>
      </c>
      <c r="F119">
        <v>18042527</v>
      </c>
      <c r="G119">
        <v>0.5212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0.34666666666666518</v>
      </c>
      <c r="Q119">
        <f t="shared" ref="Q119" si="571">F119*P119</f>
        <v>6254742.6933333063</v>
      </c>
      <c r="R119">
        <f t="shared" ref="R119" si="572">R120+Q119</f>
        <v>361748559.08030611</v>
      </c>
      <c r="S119">
        <f t="shared" ref="S119" si="573">R119/100000</f>
        <v>3617.4855908030613</v>
      </c>
      <c r="T119">
        <f t="shared" ref="T119" si="574">S119/1000</f>
        <v>3.6174855908030614</v>
      </c>
    </row>
    <row r="120" spans="1:20" x14ac:dyDescent="0.25">
      <c r="A120" s="5">
        <v>44473</v>
      </c>
      <c r="B120">
        <v>0.50290000000000001</v>
      </c>
      <c r="C120">
        <v>0.50970000000000004</v>
      </c>
      <c r="D120">
        <v>0.47449999999999998</v>
      </c>
      <c r="E120">
        <v>0.496</v>
      </c>
      <c r="F120">
        <v>12990559</v>
      </c>
      <c r="G120">
        <v>0.496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0.22159090909090792</v>
      </c>
      <c r="Q120">
        <f t="shared" ref="Q120" si="576">F120*P120</f>
        <v>2878589.7784090759</v>
      </c>
      <c r="R120">
        <f t="shared" ref="R120" si="577">R121+Q120</f>
        <v>355493816.38697278</v>
      </c>
      <c r="S120">
        <f t="shared" ref="S120" si="578">R120/100000</f>
        <v>3554.9381638697278</v>
      </c>
      <c r="T120">
        <f t="shared" ref="T120" si="579">S120/1000</f>
        <v>3.5549381638697279</v>
      </c>
    </row>
    <row r="121" spans="1:20" x14ac:dyDescent="0.25">
      <c r="A121" s="5">
        <v>44472</v>
      </c>
      <c r="B121">
        <v>0.48980000000000001</v>
      </c>
      <c r="C121">
        <v>0.52270000000000005</v>
      </c>
      <c r="D121">
        <v>0.47149999999999997</v>
      </c>
      <c r="E121">
        <v>0.50180000000000002</v>
      </c>
      <c r="F121">
        <v>12320990</v>
      </c>
      <c r="G121">
        <v>0.50180000000000002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0.18359375000000011</v>
      </c>
      <c r="Q121">
        <f t="shared" ref="Q121" si="581">F121*P121</f>
        <v>2262056.7578125014</v>
      </c>
      <c r="R121">
        <f t="shared" ref="R121" si="582">R122+Q121</f>
        <v>352615226.60856372</v>
      </c>
      <c r="S121">
        <f t="shared" ref="S121" si="583">R121/100000</f>
        <v>3526.1522660856372</v>
      </c>
      <c r="T121">
        <f t="shared" ref="T121" si="584">S121/1000</f>
        <v>3.5261522660856373</v>
      </c>
    </row>
    <row r="122" spans="1:20" x14ac:dyDescent="0.25">
      <c r="A122" s="5">
        <v>44471</v>
      </c>
      <c r="B122">
        <v>0.4788</v>
      </c>
      <c r="C122">
        <v>0.5151</v>
      </c>
      <c r="D122">
        <v>0.4718</v>
      </c>
      <c r="E122">
        <v>0.4899</v>
      </c>
      <c r="F122">
        <v>12894009</v>
      </c>
      <c r="G122">
        <v>0.4899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-0.16397228637413383</v>
      </c>
      <c r="Q122">
        <f t="shared" ref="Q122" si="586">F122*P122</f>
        <v>-2114260.136258659</v>
      </c>
      <c r="R122">
        <f t="shared" ref="R122" si="587">R123+Q122</f>
        <v>350353169.85075122</v>
      </c>
      <c r="S122">
        <f t="shared" ref="S122" si="588">R122/100000</f>
        <v>3503.5316985075124</v>
      </c>
      <c r="T122">
        <f t="shared" ref="T122" si="589">S122/1000</f>
        <v>3.5035316985075124</v>
      </c>
    </row>
    <row r="123" spans="1:20" x14ac:dyDescent="0.25">
      <c r="A123" s="5">
        <v>44470</v>
      </c>
      <c r="B123">
        <v>0.434</v>
      </c>
      <c r="C123">
        <v>0.4829</v>
      </c>
      <c r="D123">
        <v>0.42830000000000001</v>
      </c>
      <c r="E123">
        <v>0.4788</v>
      </c>
      <c r="F123">
        <v>12650382</v>
      </c>
      <c r="G123">
        <v>0.4788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0.84981684981685002</v>
      </c>
      <c r="Q123">
        <f t="shared" ref="Q123" si="591">F123*P123</f>
        <v>10750507.780219782</v>
      </c>
      <c r="R123">
        <f t="shared" ref="R123" si="592">R124+Q123</f>
        <v>352467429.98700988</v>
      </c>
      <c r="S123">
        <f t="shared" ref="S123" si="593">R123/100000</f>
        <v>3524.6742998700988</v>
      </c>
      <c r="T123">
        <f t="shared" ref="T123" si="594">S123/1000</f>
        <v>3.5246742998700986</v>
      </c>
    </row>
    <row r="124" spans="1:20" x14ac:dyDescent="0.25">
      <c r="A124" s="5">
        <v>44469</v>
      </c>
      <c r="B124">
        <v>0.4103</v>
      </c>
      <c r="C124">
        <v>0.43730000000000002</v>
      </c>
      <c r="D124">
        <v>0.40839999999999999</v>
      </c>
      <c r="E124">
        <v>0.43409999999999999</v>
      </c>
      <c r="F124">
        <v>7711375</v>
      </c>
      <c r="G124">
        <v>0.43409999999999999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0.77854671280276599</v>
      </c>
      <c r="Q124">
        <f t="shared" ref="Q124" si="596">F124*P124</f>
        <v>6003665.6574394293</v>
      </c>
      <c r="R124">
        <f t="shared" ref="R124" si="597">R125+Q124</f>
        <v>341716922.20679009</v>
      </c>
      <c r="S124">
        <f t="shared" ref="S124" si="598">R124/100000</f>
        <v>3417.169222067901</v>
      </c>
      <c r="T124">
        <f t="shared" ref="T124" si="599">S124/1000</f>
        <v>3.4171692220679009</v>
      </c>
    </row>
    <row r="125" spans="1:20" x14ac:dyDescent="0.25">
      <c r="A125" s="5">
        <v>44468</v>
      </c>
      <c r="B125">
        <v>0.40260000000000001</v>
      </c>
      <c r="C125">
        <v>0.4304</v>
      </c>
      <c r="D125">
        <v>0.3972</v>
      </c>
      <c r="E125">
        <v>0.41049999999999998</v>
      </c>
      <c r="F125">
        <v>6325093</v>
      </c>
      <c r="G125">
        <v>0.41049999999999998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-0.19879518072289304</v>
      </c>
      <c r="Q125">
        <f t="shared" ref="Q125" si="601">F125*P125</f>
        <v>-1257398.0060241057</v>
      </c>
      <c r="R125">
        <f t="shared" ref="R125" si="602">R126+Q125</f>
        <v>335713256.54935068</v>
      </c>
      <c r="S125">
        <f t="shared" ref="S125" si="603">R125/100000</f>
        <v>3357.1325654935067</v>
      </c>
      <c r="T125">
        <f t="shared" ref="T125" si="604">S125/1000</f>
        <v>3.3571325654935067</v>
      </c>
    </row>
    <row r="126" spans="1:20" x14ac:dyDescent="0.25">
      <c r="A126" s="5">
        <v>44467</v>
      </c>
      <c r="B126">
        <v>0.41970000000000002</v>
      </c>
      <c r="C126">
        <v>0.43</v>
      </c>
      <c r="D126">
        <v>0.40079999999999999</v>
      </c>
      <c r="E126">
        <v>0.40310000000000001</v>
      </c>
      <c r="F126">
        <v>8086137</v>
      </c>
      <c r="G126">
        <v>0.40310000000000001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-0.84246575342465591</v>
      </c>
      <c r="Q126">
        <f t="shared" ref="Q126" si="606">F126*P126</f>
        <v>-6812293.499999987</v>
      </c>
      <c r="R126">
        <f t="shared" ref="R126" si="607">R127+Q126</f>
        <v>336970654.5553748</v>
      </c>
      <c r="S126">
        <f t="shared" ref="S126" si="608">R126/100000</f>
        <v>3369.7065455537481</v>
      </c>
      <c r="T126">
        <f t="shared" ref="T126" si="609">S126/1000</f>
        <v>3.3697065455537483</v>
      </c>
    </row>
    <row r="127" spans="1:20" x14ac:dyDescent="0.25">
      <c r="A127" s="5">
        <v>44466</v>
      </c>
      <c r="B127">
        <v>0.4466</v>
      </c>
      <c r="C127">
        <v>0.47120000000000001</v>
      </c>
      <c r="D127">
        <v>0.41899999999999998</v>
      </c>
      <c r="E127">
        <v>0.42020000000000002</v>
      </c>
      <c r="F127">
        <v>13730381</v>
      </c>
      <c r="G127">
        <v>0.42020000000000002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-0.95402298850574585</v>
      </c>
      <c r="Q127">
        <f t="shared" ref="Q127" si="611">F127*P127</f>
        <v>-13099099.114942512</v>
      </c>
      <c r="R127">
        <f t="shared" ref="R127" si="612">R128+Q127</f>
        <v>343782948.0553748</v>
      </c>
      <c r="S127">
        <f t="shared" ref="S127" si="613">R127/100000</f>
        <v>3437.829480553748</v>
      </c>
      <c r="T127">
        <f t="shared" ref="T127" si="614">S127/1000</f>
        <v>3.4378294805537482</v>
      </c>
    </row>
    <row r="128" spans="1:20" x14ac:dyDescent="0.25">
      <c r="A128" s="5">
        <v>44465</v>
      </c>
      <c r="B128">
        <v>0.46039999999999998</v>
      </c>
      <c r="C128">
        <v>0.46229999999999999</v>
      </c>
      <c r="D128">
        <v>0.41339999999999999</v>
      </c>
      <c r="E128">
        <v>0.4486</v>
      </c>
      <c r="F128">
        <v>11795764</v>
      </c>
      <c r="G128">
        <v>0.4486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0.43967280163599221</v>
      </c>
      <c r="Q128">
        <f t="shared" ref="Q128" si="616">F128*P128</f>
        <v>5186276.6053169779</v>
      </c>
      <c r="R128">
        <f t="shared" ref="R128" si="617">R129+Q128</f>
        <v>356882047.17031729</v>
      </c>
      <c r="S128">
        <f t="shared" ref="S128" si="618">R128/100000</f>
        <v>3568.8204717031731</v>
      </c>
      <c r="T128">
        <f t="shared" ref="T128" si="619">S128/1000</f>
        <v>3.5688204717031731</v>
      </c>
    </row>
    <row r="129" spans="1:20" x14ac:dyDescent="0.25">
      <c r="A129" s="5">
        <v>44464</v>
      </c>
      <c r="B129">
        <v>0.47289999999999999</v>
      </c>
      <c r="C129">
        <v>0.48480000000000001</v>
      </c>
      <c r="D129">
        <v>0.44740000000000002</v>
      </c>
      <c r="E129">
        <v>0.46050000000000002</v>
      </c>
      <c r="F129">
        <v>15029606</v>
      </c>
      <c r="G129">
        <v>0.46050000000000002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-0.29946524064171098</v>
      </c>
      <c r="Q129">
        <f t="shared" ref="Q129" si="621">F129*P129</f>
        <v>-4500844.5775401033</v>
      </c>
      <c r="R129">
        <f t="shared" ref="R129" si="622">R130+Q129</f>
        <v>351695770.5650003</v>
      </c>
      <c r="S129">
        <f t="shared" ref="S129" si="623">R129/100000</f>
        <v>3516.9577056500029</v>
      </c>
      <c r="T129">
        <f t="shared" ref="T129" si="624">S129/1000</f>
        <v>3.516957705650003</v>
      </c>
    </row>
    <row r="130" spans="1:20" x14ac:dyDescent="0.25">
      <c r="A130" s="5">
        <v>44463</v>
      </c>
      <c r="B130">
        <v>0.51570000000000005</v>
      </c>
      <c r="C130">
        <v>0.52869999999999995</v>
      </c>
      <c r="D130">
        <v>0.4289</v>
      </c>
      <c r="E130">
        <v>0.47320000000000001</v>
      </c>
      <c r="F130">
        <v>20058414</v>
      </c>
      <c r="G130">
        <v>0.47320000000000001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-0.11222444889779498</v>
      </c>
      <c r="Q130">
        <f t="shared" ref="Q130" si="626">F130*P130</f>
        <v>-2251044.4569138153</v>
      </c>
      <c r="R130">
        <f t="shared" ref="R130" si="627">R131+Q130</f>
        <v>356196615.1425404</v>
      </c>
      <c r="S130">
        <f t="shared" ref="S130" si="628">R130/100000</f>
        <v>3561.966151425404</v>
      </c>
      <c r="T130">
        <f t="shared" ref="T130" si="629">S130/1000</f>
        <v>3.5619661514254037</v>
      </c>
    </row>
    <row r="131" spans="1:20" x14ac:dyDescent="0.25">
      <c r="A131" s="5">
        <v>44462</v>
      </c>
      <c r="B131">
        <v>0.49569999999999997</v>
      </c>
      <c r="C131">
        <v>0.52449999999999997</v>
      </c>
      <c r="D131">
        <v>0.48080000000000001</v>
      </c>
      <c r="E131">
        <v>0.5151</v>
      </c>
      <c r="F131">
        <v>10795542</v>
      </c>
      <c r="G131">
        <v>0.5151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0.5697940503432507</v>
      </c>
      <c r="Q131">
        <f t="shared" ref="Q131" si="631">F131*P131</f>
        <v>6151235.6018306771</v>
      </c>
      <c r="R131">
        <f t="shared" ref="R131" si="632">R132+Q131</f>
        <v>358447659.59945422</v>
      </c>
      <c r="S131">
        <f t="shared" ref="S131" si="633">R131/100000</f>
        <v>3584.4765959945421</v>
      </c>
      <c r="T131">
        <f t="shared" ref="T131" si="634">S131/1000</f>
        <v>3.5844765959945422</v>
      </c>
    </row>
    <row r="132" spans="1:20" x14ac:dyDescent="0.25">
      <c r="A132" s="5">
        <v>44461</v>
      </c>
      <c r="B132">
        <v>0.42849999999999999</v>
      </c>
      <c r="C132">
        <v>0.50839999999999996</v>
      </c>
      <c r="D132">
        <v>0.41660000000000003</v>
      </c>
      <c r="E132">
        <v>0.49619999999999997</v>
      </c>
      <c r="F132">
        <v>15067268</v>
      </c>
      <c r="G132">
        <v>0.49619999999999997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0.73420479302832253</v>
      </c>
      <c r="Q132">
        <f t="shared" ref="Q132" si="636">F132*P132</f>
        <v>11062460.383442268</v>
      </c>
      <c r="R132">
        <f t="shared" ref="R132" si="637">R133+Q132</f>
        <v>352296423.99762356</v>
      </c>
      <c r="S132">
        <f t="shared" ref="S132" si="638">R132/100000</f>
        <v>3522.9642399762356</v>
      </c>
      <c r="T132">
        <f t="shared" ref="T132" si="639">S132/1000</f>
        <v>3.5229642399762358</v>
      </c>
    </row>
    <row r="133" spans="1:20" x14ac:dyDescent="0.25">
      <c r="A133" s="5">
        <v>44460</v>
      </c>
      <c r="B133">
        <v>0.4738</v>
      </c>
      <c r="C133">
        <v>0.4924</v>
      </c>
      <c r="D133">
        <v>0.41810000000000003</v>
      </c>
      <c r="E133">
        <v>0.42659999999999998</v>
      </c>
      <c r="F133">
        <v>18887563.079999998</v>
      </c>
      <c r="G133">
        <v>0.42659999999999998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-0.77119784656796897</v>
      </c>
      <c r="Q133">
        <f t="shared" ref="Q133" si="641">F133*P133</f>
        <v>-14566047.974212674</v>
      </c>
      <c r="R133">
        <f t="shared" ref="R133" si="642">R134+Q133</f>
        <v>341233963.61418128</v>
      </c>
      <c r="S133">
        <f t="shared" ref="S133" si="643">R133/100000</f>
        <v>3412.3396361418127</v>
      </c>
      <c r="T133">
        <f t="shared" ref="T133" si="644">S133/1000</f>
        <v>3.4123396361418128</v>
      </c>
    </row>
    <row r="134" spans="1:20" x14ac:dyDescent="0.25">
      <c r="A134" s="5">
        <v>44459</v>
      </c>
      <c r="B134">
        <v>0.55859999999999999</v>
      </c>
      <c r="C134">
        <v>0.56079999999999997</v>
      </c>
      <c r="D134">
        <v>0.4924</v>
      </c>
      <c r="E134">
        <v>0.50119999999999998</v>
      </c>
      <c r="F134">
        <v>10494833</v>
      </c>
      <c r="G134">
        <v>0.50119999999999998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-0.74269005847953273</v>
      </c>
      <c r="Q134">
        <f t="shared" ref="Q134" si="646">F134*P134</f>
        <v>-7794408.1345029296</v>
      </c>
      <c r="R134">
        <f t="shared" ref="R134" si="647">R135+Q134</f>
        <v>355800011.58839393</v>
      </c>
      <c r="S134">
        <f t="shared" ref="S134" si="648">R134/100000</f>
        <v>3558.0001158839391</v>
      </c>
      <c r="T134">
        <f t="shared" ref="T134" si="649">S134/1000</f>
        <v>3.5580001158839392</v>
      </c>
    </row>
    <row r="135" spans="1:20" x14ac:dyDescent="0.25">
      <c r="A135" s="5">
        <v>44458</v>
      </c>
      <c r="B135">
        <v>0.58240000000000003</v>
      </c>
      <c r="C135">
        <v>0.59099999999999997</v>
      </c>
      <c r="D135">
        <v>0.54379999999999995</v>
      </c>
      <c r="E135">
        <v>0.55879999999999996</v>
      </c>
      <c r="F135">
        <v>9393102</v>
      </c>
      <c r="G135">
        <v>0.55879999999999996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-0.36440677966101664</v>
      </c>
      <c r="Q135">
        <f t="shared" ref="Q135" si="651">F135*P135</f>
        <v>-3422910.0508474549</v>
      </c>
      <c r="R135">
        <f t="shared" ref="R135" si="652">R136+Q135</f>
        <v>363594419.72289687</v>
      </c>
      <c r="S135">
        <f t="shared" ref="S135" si="653">R135/100000</f>
        <v>3635.9441972289687</v>
      </c>
      <c r="T135">
        <f t="shared" ref="T135" si="654">S135/1000</f>
        <v>3.6359441972289686</v>
      </c>
    </row>
    <row r="136" spans="1:20" x14ac:dyDescent="0.25">
      <c r="A136" s="5">
        <v>44457</v>
      </c>
      <c r="B136">
        <v>0.5746</v>
      </c>
      <c r="C136">
        <v>0.59809999999999997</v>
      </c>
      <c r="D136">
        <v>0.56320000000000003</v>
      </c>
      <c r="E136">
        <v>0.58389999999999997</v>
      </c>
      <c r="F136">
        <v>12567560</v>
      </c>
      <c r="G136">
        <v>0.58389999999999997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0.18624641833810782</v>
      </c>
      <c r="Q136">
        <f t="shared" ref="Q136" si="656">F136*P136</f>
        <v>2340663.0372492704</v>
      </c>
      <c r="R136">
        <f t="shared" ref="R136" si="657">R137+Q136</f>
        <v>367017329.77374434</v>
      </c>
      <c r="S136">
        <f t="shared" ref="S136" si="658">R136/100000</f>
        <v>3670.1732977374436</v>
      </c>
      <c r="T136">
        <f t="shared" ref="T136" si="659">S136/1000</f>
        <v>3.6701732977374437</v>
      </c>
    </row>
    <row r="137" spans="1:20" x14ac:dyDescent="0.25">
      <c r="A137" s="5">
        <v>44456</v>
      </c>
      <c r="B137">
        <v>0.60299999999999998</v>
      </c>
      <c r="C137">
        <v>0.63029999999999997</v>
      </c>
      <c r="D137">
        <v>0.56179999999999997</v>
      </c>
      <c r="E137">
        <v>0.57469999999999999</v>
      </c>
      <c r="F137">
        <v>18010910</v>
      </c>
      <c r="G137">
        <v>0.57469999999999999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-0.62335766423357597</v>
      </c>
      <c r="Q137">
        <f t="shared" ref="Q137" si="661">F137*P137</f>
        <v>-11227238.788321156</v>
      </c>
      <c r="R137">
        <f t="shared" ref="R137" si="662">R138+Q137</f>
        <v>364676666.73649508</v>
      </c>
      <c r="S137">
        <f t="shared" ref="S137" si="663">R137/100000</f>
        <v>3646.766667364951</v>
      </c>
      <c r="T137">
        <f t="shared" ref="T137" si="664">S137/1000</f>
        <v>3.6467666673649508</v>
      </c>
    </row>
    <row r="138" spans="1:20" x14ac:dyDescent="0.25">
      <c r="A138" s="5">
        <v>44455</v>
      </c>
      <c r="B138">
        <v>0.63839999999999997</v>
      </c>
      <c r="C138">
        <v>0.64049999999999996</v>
      </c>
      <c r="D138">
        <v>0.58169999999999999</v>
      </c>
      <c r="E138">
        <v>0.60329999999999995</v>
      </c>
      <c r="F138">
        <v>13256433</v>
      </c>
      <c r="G138">
        <v>0.60329999999999995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-0.26530612244898077</v>
      </c>
      <c r="Q138">
        <f t="shared" ref="Q138" si="666">F138*P138</f>
        <v>-3517012.8367347093</v>
      </c>
      <c r="R138">
        <f t="shared" ref="R138" si="667">R139+Q138</f>
        <v>375903905.52481622</v>
      </c>
      <c r="S138">
        <f t="shared" ref="S138" si="668">R138/100000</f>
        <v>3759.0390552481622</v>
      </c>
      <c r="T138">
        <f t="shared" ref="T138" si="669">S138/1000</f>
        <v>3.7590390552481621</v>
      </c>
    </row>
    <row r="139" spans="1:20" x14ac:dyDescent="0.25">
      <c r="A139" s="5">
        <v>44454</v>
      </c>
      <c r="B139">
        <v>0.59389999999999998</v>
      </c>
      <c r="C139">
        <v>0.65029999999999999</v>
      </c>
      <c r="D139">
        <v>0.59030000000000005</v>
      </c>
      <c r="E139">
        <v>0.63749999999999996</v>
      </c>
      <c r="F139">
        <v>16550403</v>
      </c>
      <c r="G139">
        <v>0.63749999999999996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0.57333333333333181</v>
      </c>
      <c r="Q139">
        <f t="shared" ref="Q139" si="671">F139*P139</f>
        <v>9488897.7199999746</v>
      </c>
      <c r="R139">
        <f t="shared" ref="R139" si="672">R140+Q139</f>
        <v>379420918.36155093</v>
      </c>
      <c r="S139">
        <f t="shared" ref="S139" si="673">R139/100000</f>
        <v>3794.2091836155091</v>
      </c>
      <c r="T139">
        <f t="shared" ref="T139" si="674">S139/1000</f>
        <v>3.794209183615509</v>
      </c>
    </row>
    <row r="140" spans="1:20" x14ac:dyDescent="0.25">
      <c r="A140" s="5">
        <v>44453</v>
      </c>
      <c r="B140">
        <v>0.56969999999999998</v>
      </c>
      <c r="C140">
        <v>0.59419999999999995</v>
      </c>
      <c r="D140">
        <v>0.55779999999999996</v>
      </c>
      <c r="E140">
        <v>0.59319999999999995</v>
      </c>
      <c r="F140">
        <v>8756347</v>
      </c>
      <c r="G140">
        <v>0.59319999999999995</v>
      </c>
      <c r="L140" t="s">
        <v>7</v>
      </c>
      <c r="M140" t="s">
        <v>8</v>
      </c>
      <c r="N140" t="s">
        <v>7</v>
      </c>
      <c r="P140">
        <f t="shared" ref="P140" si="675">IF(C140=D140,0,((E140-D140)-(C140-E140))/(C140-D140))</f>
        <v>0.94505494505494503</v>
      </c>
      <c r="Q140">
        <f t="shared" ref="Q140" si="676">F140*P140</f>
        <v>8275229.0329670329</v>
      </c>
      <c r="R140">
        <f t="shared" ref="R140" si="677">R141+Q140</f>
        <v>369932020.64155096</v>
      </c>
      <c r="S140">
        <f t="shared" ref="S140" si="678">R140/100000</f>
        <v>3699.3202064155098</v>
      </c>
      <c r="T140">
        <f t="shared" ref="T140" si="679">S140/1000</f>
        <v>3.6993202064155097</v>
      </c>
    </row>
    <row r="141" spans="1:20" x14ac:dyDescent="0.25">
      <c r="A141" s="5">
        <v>44452</v>
      </c>
      <c r="B141">
        <v>0.6159</v>
      </c>
      <c r="C141">
        <v>0.62360000000000004</v>
      </c>
      <c r="D141">
        <v>0.53180000000000005</v>
      </c>
      <c r="E141">
        <v>0.56899999999999995</v>
      </c>
      <c r="F141">
        <v>14638707</v>
      </c>
      <c r="G141">
        <v>0.56899999999999995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-0.18954248366013285</v>
      </c>
      <c r="Q141">
        <f t="shared" ref="Q141" si="681">F141*P141</f>
        <v>-2774656.8823529724</v>
      </c>
      <c r="R141">
        <f t="shared" ref="R141" si="682">R142+Q141</f>
        <v>361656791.60858393</v>
      </c>
      <c r="S141">
        <f t="shared" ref="S141" si="683">R141/100000</f>
        <v>3616.5679160858394</v>
      </c>
      <c r="T141">
        <f t="shared" ref="T141" si="684">S141/1000</f>
        <v>3.6165679160858395</v>
      </c>
    </row>
    <row r="142" spans="1:20" x14ac:dyDescent="0.25">
      <c r="A142" s="5">
        <v>44451</v>
      </c>
      <c r="B142">
        <v>0.57230000000000003</v>
      </c>
      <c r="C142">
        <v>0.61960000000000004</v>
      </c>
      <c r="D142">
        <v>0.55869999999999997</v>
      </c>
      <c r="E142">
        <v>0.61599999999999999</v>
      </c>
      <c r="F142">
        <v>12306178</v>
      </c>
      <c r="G142">
        <v>0.61599999999999999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0.88177339901477692</v>
      </c>
      <c r="Q142">
        <f t="shared" ref="Q142" si="686">F142*P142</f>
        <v>10851260.403940869</v>
      </c>
      <c r="R142">
        <f t="shared" ref="R142" si="687">R143+Q142</f>
        <v>364431448.49093688</v>
      </c>
      <c r="S142">
        <f t="shared" ref="S142" si="688">R142/100000</f>
        <v>3644.3144849093687</v>
      </c>
      <c r="T142">
        <f t="shared" ref="T142" si="689">S142/1000</f>
        <v>3.6443144849093687</v>
      </c>
    </row>
    <row r="143" spans="1:20" x14ac:dyDescent="0.25">
      <c r="A143" s="5">
        <v>44450</v>
      </c>
      <c r="B143">
        <v>0.56540000000000001</v>
      </c>
      <c r="C143">
        <v>0.6079</v>
      </c>
      <c r="D143">
        <v>0.56110000000000004</v>
      </c>
      <c r="E143">
        <v>0.57189999999999996</v>
      </c>
      <c r="F143">
        <v>12168607</v>
      </c>
      <c r="G143">
        <v>0.57189999999999996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-0.53846153846154143</v>
      </c>
      <c r="Q143">
        <f t="shared" ref="Q143" si="691">F143*P143</f>
        <v>-6552326.8461538823</v>
      </c>
      <c r="R143">
        <f t="shared" ref="R143" si="692">R144+Q143</f>
        <v>353580188.08699602</v>
      </c>
      <c r="S143">
        <f t="shared" ref="S143" si="693">R143/100000</f>
        <v>3535.8018808699603</v>
      </c>
      <c r="T143">
        <f t="shared" ref="T143" si="694">S143/1000</f>
        <v>3.5358018808699603</v>
      </c>
    </row>
    <row r="144" spans="1:20" x14ac:dyDescent="0.25">
      <c r="A144" s="5">
        <v>44449</v>
      </c>
      <c r="B144">
        <v>0.60229999999999995</v>
      </c>
      <c r="C144">
        <v>0.622</v>
      </c>
      <c r="D144">
        <v>0.54379999999999995</v>
      </c>
      <c r="E144">
        <v>0.56669999999999998</v>
      </c>
      <c r="F144">
        <v>16946270</v>
      </c>
      <c r="G144">
        <v>0.56669999999999998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-0.41432225063938571</v>
      </c>
      <c r="Q144">
        <f t="shared" ref="Q144" si="696">F144*P144</f>
        <v>-7021216.7263427032</v>
      </c>
      <c r="R144">
        <f t="shared" ref="R144" si="697">R145+Q144</f>
        <v>360132514.93314987</v>
      </c>
      <c r="S144">
        <f t="shared" ref="S144" si="698">R144/100000</f>
        <v>3601.3251493314988</v>
      </c>
      <c r="T144">
        <f t="shared" ref="T144" si="699">S144/1000</f>
        <v>3.6013251493314988</v>
      </c>
    </row>
    <row r="145" spans="1:20" x14ac:dyDescent="0.25">
      <c r="A145" s="5">
        <v>44448</v>
      </c>
      <c r="B145">
        <v>0.57310000000000005</v>
      </c>
      <c r="C145">
        <v>0.63560000000000005</v>
      </c>
      <c r="D145">
        <v>0.5665</v>
      </c>
      <c r="E145">
        <v>0.6028</v>
      </c>
      <c r="F145">
        <v>25207593</v>
      </c>
      <c r="G145">
        <v>0.6028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5.0651230101301667E-2</v>
      </c>
      <c r="Q145">
        <f t="shared" ref="Q145" si="701">F145*P145</f>
        <v>1276795.5933429613</v>
      </c>
      <c r="R145">
        <f t="shared" ref="R145" si="702">R146+Q145</f>
        <v>367153731.65949255</v>
      </c>
      <c r="S145">
        <f t="shared" ref="S145" si="703">R145/100000</f>
        <v>3671.5373165949254</v>
      </c>
      <c r="T145">
        <f t="shared" ref="T145" si="704">S145/1000</f>
        <v>3.6715373165949252</v>
      </c>
    </row>
    <row r="146" spans="1:20" x14ac:dyDescent="0.25">
      <c r="A146" s="5">
        <v>44447</v>
      </c>
      <c r="B146">
        <v>0.54800000000000004</v>
      </c>
      <c r="C146">
        <v>0.5948</v>
      </c>
      <c r="D146">
        <v>0.48880000000000001</v>
      </c>
      <c r="E146">
        <v>0.57230000000000003</v>
      </c>
      <c r="F146">
        <v>32847962</v>
      </c>
      <c r="G146">
        <v>0.57230000000000003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0.5754716981132082</v>
      </c>
      <c r="Q146">
        <f t="shared" ref="Q146" si="706">F146*P146</f>
        <v>18903072.471698135</v>
      </c>
      <c r="R146">
        <f t="shared" ref="R146" si="707">R147+Q146</f>
        <v>365876936.06614959</v>
      </c>
      <c r="S146">
        <f t="shared" ref="S146" si="708">R146/100000</f>
        <v>3658.7693606614957</v>
      </c>
      <c r="T146">
        <f t="shared" ref="T146" si="709">S146/1000</f>
        <v>3.6587693606614957</v>
      </c>
    </row>
    <row r="147" spans="1:20" x14ac:dyDescent="0.25">
      <c r="A147" s="5">
        <v>44446</v>
      </c>
      <c r="B147">
        <v>0.73180000000000001</v>
      </c>
      <c r="C147">
        <v>0.73309999999999997</v>
      </c>
      <c r="D147">
        <v>0.48</v>
      </c>
      <c r="E147">
        <v>0.54700000000000004</v>
      </c>
      <c r="F147">
        <v>48979140.409999996</v>
      </c>
      <c r="G147">
        <v>0.54700000000000004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-0.47056499407348823</v>
      </c>
      <c r="Q147">
        <f t="shared" ref="Q147" si="711">F147*P147</f>
        <v>-23047868.916756198</v>
      </c>
      <c r="R147">
        <f t="shared" ref="R147" si="712">R148+Q147</f>
        <v>346973863.59445149</v>
      </c>
      <c r="S147">
        <f t="shared" ref="S147" si="713">R147/100000</f>
        <v>3469.738635944515</v>
      </c>
      <c r="T147">
        <f t="shared" ref="T147" si="714">S147/1000</f>
        <v>3.4697386359445148</v>
      </c>
    </row>
    <row r="148" spans="1:20" x14ac:dyDescent="0.25">
      <c r="A148" s="5">
        <v>44445</v>
      </c>
      <c r="B148">
        <v>0.77690000000000003</v>
      </c>
      <c r="C148">
        <v>0.78749999999999998</v>
      </c>
      <c r="D148">
        <v>0.65469999999999995</v>
      </c>
      <c r="E148">
        <v>0.73140000000000005</v>
      </c>
      <c r="F148">
        <v>26795584</v>
      </c>
      <c r="G148">
        <v>0.73140000000000005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0.15512048192771211</v>
      </c>
      <c r="Q148">
        <f t="shared" ref="Q148" si="716">F148*P148</f>
        <v>4156543.9036144917</v>
      </c>
      <c r="R148">
        <f t="shared" ref="R148" si="717">R149+Q148</f>
        <v>370021732.5112077</v>
      </c>
      <c r="S148">
        <f t="shared" ref="S148" si="718">R148/100000</f>
        <v>3700.2173251120771</v>
      </c>
      <c r="T148">
        <f t="shared" ref="T148" si="719">S148/1000</f>
        <v>3.7002173251120771</v>
      </c>
    </row>
    <row r="149" spans="1:20" x14ac:dyDescent="0.25">
      <c r="A149" s="5">
        <v>44444</v>
      </c>
      <c r="B149">
        <v>0.74329999999999996</v>
      </c>
      <c r="C149">
        <v>0.78890000000000005</v>
      </c>
      <c r="D149">
        <v>0.73240000000000005</v>
      </c>
      <c r="E149">
        <v>0.77690000000000003</v>
      </c>
      <c r="F149">
        <v>23517012.050000001</v>
      </c>
      <c r="G149">
        <v>0.77690000000000003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0.57522123893805266</v>
      </c>
      <c r="Q149">
        <f t="shared" ref="Q149" si="721">F149*P149</f>
        <v>13527484.807522114</v>
      </c>
      <c r="R149">
        <f t="shared" ref="R149" si="722">R150+Q149</f>
        <v>365865188.60759318</v>
      </c>
      <c r="S149">
        <f t="shared" ref="S149" si="723">R149/100000</f>
        <v>3658.651886075932</v>
      </c>
      <c r="T149">
        <f t="shared" ref="T149" si="724">S149/1000</f>
        <v>3.6586518860759321</v>
      </c>
    </row>
    <row r="150" spans="1:20" x14ac:dyDescent="0.25">
      <c r="A150" s="5">
        <v>44443</v>
      </c>
      <c r="B150">
        <v>0.72370000000000001</v>
      </c>
      <c r="C150">
        <v>0.76929999999999998</v>
      </c>
      <c r="D150">
        <v>0.7198</v>
      </c>
      <c r="E150">
        <v>0.74309999999999998</v>
      </c>
      <c r="F150">
        <v>16904274.640000001</v>
      </c>
      <c r="G150">
        <v>0.74309999999999998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-5.8585858585858873E-2</v>
      </c>
      <c r="Q150">
        <f t="shared" ref="Q150" si="726">F150*P150</f>
        <v>-990351.44355556043</v>
      </c>
      <c r="R150">
        <f t="shared" ref="R150" si="727">R151+Q150</f>
        <v>352337703.80007106</v>
      </c>
      <c r="S150">
        <f t="shared" ref="S150" si="728">R150/100000</f>
        <v>3523.3770380007104</v>
      </c>
      <c r="T150">
        <f t="shared" ref="T150" si="729">S150/1000</f>
        <v>3.5233770380007106</v>
      </c>
    </row>
    <row r="151" spans="1:20" x14ac:dyDescent="0.25">
      <c r="A151" s="5">
        <v>44442</v>
      </c>
      <c r="B151">
        <v>0.70450000000000002</v>
      </c>
      <c r="C151">
        <v>0.75790000000000002</v>
      </c>
      <c r="D151">
        <v>0.68420000000000003</v>
      </c>
      <c r="E151">
        <v>0.72350000000000003</v>
      </c>
      <c r="F151">
        <v>16574876.4</v>
      </c>
      <c r="G151">
        <v>0.72350000000000003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6.6485753052917457E-2</v>
      </c>
      <c r="Q151">
        <f t="shared" ref="Q151" si="731">F151*P151</f>
        <v>1101993.1392130295</v>
      </c>
      <c r="R151">
        <f t="shared" ref="R151" si="732">R152+Q151</f>
        <v>353328055.24362659</v>
      </c>
      <c r="S151">
        <f t="shared" ref="S151" si="733">R151/100000</f>
        <v>3533.2805524362661</v>
      </c>
      <c r="T151">
        <f t="shared" ref="T151" si="734">S151/1000</f>
        <v>3.533280552436266</v>
      </c>
    </row>
    <row r="152" spans="1:20" x14ac:dyDescent="0.25">
      <c r="A152" s="5">
        <v>44441</v>
      </c>
      <c r="B152">
        <v>0.72119999999999995</v>
      </c>
      <c r="C152">
        <v>0.72650000000000003</v>
      </c>
      <c r="D152">
        <v>0.68740000000000001</v>
      </c>
      <c r="E152">
        <v>0.70479999999999998</v>
      </c>
      <c r="F152">
        <v>15324098</v>
      </c>
      <c r="G152">
        <v>0.70479999999999998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-0.10997442455243168</v>
      </c>
      <c r="Q152">
        <f t="shared" ref="Q152" si="736">F152*P152</f>
        <v>-1685258.8593350693</v>
      </c>
      <c r="R152">
        <f t="shared" ref="R152" si="737">R153+Q152</f>
        <v>352226062.10441357</v>
      </c>
      <c r="S152">
        <f t="shared" ref="S152" si="738">R152/100000</f>
        <v>3522.2606210441359</v>
      </c>
      <c r="T152">
        <f t="shared" ref="T152" si="739">S152/1000</f>
        <v>3.5222606210441358</v>
      </c>
    </row>
    <row r="153" spans="1:20" x14ac:dyDescent="0.25">
      <c r="A153" s="5">
        <v>44440</v>
      </c>
      <c r="B153">
        <v>0.66</v>
      </c>
      <c r="C153">
        <v>0.72629999999999995</v>
      </c>
      <c r="D153">
        <v>0.64400000000000002</v>
      </c>
      <c r="E153">
        <v>0.72089999999999999</v>
      </c>
      <c r="F153">
        <v>21783132</v>
      </c>
      <c r="G153">
        <v>0.72089999999999999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0.86877278250303847</v>
      </c>
      <c r="Q153">
        <f t="shared" ref="Q153" si="741">F153*P153</f>
        <v>18924592.199270979</v>
      </c>
      <c r="R153">
        <f t="shared" ref="R153" si="742">R154+Q153</f>
        <v>353911320.96374863</v>
      </c>
      <c r="S153">
        <f t="shared" ref="S153" si="743">R153/100000</f>
        <v>3539.1132096374863</v>
      </c>
      <c r="T153">
        <f t="shared" ref="T153" si="744">S153/1000</f>
        <v>3.5391132096374864</v>
      </c>
    </row>
    <row r="154" spans="1:20" x14ac:dyDescent="0.25">
      <c r="A154" s="5">
        <v>44439</v>
      </c>
      <c r="B154">
        <v>0.64170000000000005</v>
      </c>
      <c r="C154">
        <v>0.69</v>
      </c>
      <c r="D154">
        <v>0.63800000000000001</v>
      </c>
      <c r="E154">
        <v>0.66</v>
      </c>
      <c r="F154">
        <v>17921954</v>
      </c>
      <c r="G154">
        <v>0.66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-0.15384615384615205</v>
      </c>
      <c r="Q154">
        <f t="shared" ref="Q154" si="746">F154*P154</f>
        <v>-2757223.6923076604</v>
      </c>
      <c r="R154">
        <f t="shared" ref="R154" si="747">R155+Q154</f>
        <v>334986728.76447767</v>
      </c>
      <c r="S154">
        <f t="shared" ref="S154" si="748">R154/100000</f>
        <v>3349.8672876447768</v>
      </c>
      <c r="T154">
        <f t="shared" ref="T154" si="749">S154/1000</f>
        <v>3.3498672876447766</v>
      </c>
    </row>
    <row r="155" spans="1:20" x14ac:dyDescent="0.25">
      <c r="A155" s="5">
        <v>44438</v>
      </c>
      <c r="B155">
        <v>0.66869999999999996</v>
      </c>
      <c r="C155">
        <v>0.68069999999999997</v>
      </c>
      <c r="D155">
        <v>0.63549999999999995</v>
      </c>
      <c r="E155">
        <v>0.64080000000000004</v>
      </c>
      <c r="F155">
        <v>17701572</v>
      </c>
      <c r="G155">
        <v>0.64080000000000004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-0.76548672566371323</v>
      </c>
      <c r="Q155">
        <f t="shared" ref="Q155" si="751">F155*P155</f>
        <v>-13550318.389380468</v>
      </c>
      <c r="R155">
        <f t="shared" ref="R155" si="752">R156+Q155</f>
        <v>337743952.45678532</v>
      </c>
      <c r="S155">
        <f t="shared" ref="S155" si="753">R155/100000</f>
        <v>3377.4395245678534</v>
      </c>
      <c r="T155">
        <f t="shared" ref="T155" si="754">S155/1000</f>
        <v>3.3774395245678535</v>
      </c>
    </row>
    <row r="156" spans="1:20" x14ac:dyDescent="0.25">
      <c r="A156" s="5">
        <v>44437</v>
      </c>
      <c r="B156">
        <v>0.67169999999999996</v>
      </c>
      <c r="C156">
        <v>0.69710000000000005</v>
      </c>
      <c r="D156">
        <v>0.64349999999999996</v>
      </c>
      <c r="E156">
        <v>0.66869999999999996</v>
      </c>
      <c r="F156">
        <v>14599358</v>
      </c>
      <c r="G156">
        <v>0.66869999999999996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-5.9701492537315042E-2</v>
      </c>
      <c r="Q156">
        <f t="shared" ref="Q156" si="756">F156*P156</f>
        <v>-871603.46268659062</v>
      </c>
      <c r="R156">
        <f t="shared" ref="R156" si="757">R157+Q156</f>
        <v>351294270.84616578</v>
      </c>
      <c r="S156">
        <f t="shared" ref="S156" si="758">R156/100000</f>
        <v>3512.9427084616577</v>
      </c>
      <c r="T156">
        <f t="shared" ref="T156" si="759">S156/1000</f>
        <v>3.5129427084616576</v>
      </c>
    </row>
    <row r="157" spans="1:20" x14ac:dyDescent="0.25">
      <c r="A157" s="5">
        <v>44436</v>
      </c>
      <c r="B157">
        <v>0.6754</v>
      </c>
      <c r="C157">
        <v>0.69669999999999999</v>
      </c>
      <c r="D157">
        <v>0.6492</v>
      </c>
      <c r="E157">
        <v>0.67169999999999996</v>
      </c>
      <c r="F157">
        <v>20151868</v>
      </c>
      <c r="G157">
        <v>0.67169999999999996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-5.2631578947369653E-2</v>
      </c>
      <c r="Q157">
        <f t="shared" ref="Q157" si="761">F157*P157</f>
        <v>-1060624.6315789721</v>
      </c>
      <c r="R157">
        <f t="shared" ref="R157" si="762">R158+Q157</f>
        <v>352165874.30885237</v>
      </c>
      <c r="S157">
        <f t="shared" ref="S157" si="763">R157/100000</f>
        <v>3521.6587430885238</v>
      </c>
      <c r="T157">
        <f t="shared" ref="T157" si="764">S157/1000</f>
        <v>3.521658743088524</v>
      </c>
    </row>
    <row r="158" spans="1:20" x14ac:dyDescent="0.25">
      <c r="A158" s="5">
        <v>44435</v>
      </c>
      <c r="B158">
        <v>0.64629999999999999</v>
      </c>
      <c r="C158">
        <v>0.68640000000000001</v>
      </c>
      <c r="D158">
        <v>0.61029999999999995</v>
      </c>
      <c r="E158">
        <v>0.67459999999999998</v>
      </c>
      <c r="F158">
        <v>22766067.199999999</v>
      </c>
      <c r="G158">
        <v>0.67459999999999998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0.68988173455978907</v>
      </c>
      <c r="Q158">
        <f t="shared" ref="Q158" si="766">F158*P158</f>
        <v>15705893.929040721</v>
      </c>
      <c r="R158">
        <f t="shared" ref="R158" si="767">R159+Q158</f>
        <v>353226498.94043136</v>
      </c>
      <c r="S158">
        <f t="shared" ref="S158" si="768">R158/100000</f>
        <v>3532.2649894043134</v>
      </c>
      <c r="T158">
        <f t="shared" ref="T158" si="769">S158/1000</f>
        <v>3.5322649894043132</v>
      </c>
    </row>
    <row r="159" spans="1:20" x14ac:dyDescent="0.25">
      <c r="A159" s="5">
        <v>44434</v>
      </c>
      <c r="B159">
        <v>0.7419</v>
      </c>
      <c r="C159">
        <v>0.76090000000000002</v>
      </c>
      <c r="D159">
        <v>0.64480000000000004</v>
      </c>
      <c r="E159">
        <v>0.6462</v>
      </c>
      <c r="F159">
        <v>23721839.609999999</v>
      </c>
      <c r="G159">
        <v>0.6462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-0.97588285960379062</v>
      </c>
      <c r="Q159">
        <f t="shared" ref="Q159" si="771">F159*P159</f>
        <v>-23149736.673669267</v>
      </c>
      <c r="R159">
        <f t="shared" ref="R159" si="772">R160+Q159</f>
        <v>337520605.01139063</v>
      </c>
      <c r="S159">
        <f t="shared" ref="S159" si="773">R159/100000</f>
        <v>3375.2060501139063</v>
      </c>
      <c r="T159">
        <f t="shared" ref="T159" si="774">S159/1000</f>
        <v>3.3752060501139063</v>
      </c>
    </row>
    <row r="160" spans="1:20" x14ac:dyDescent="0.25">
      <c r="A160" s="5">
        <v>44433</v>
      </c>
      <c r="B160">
        <v>0.71399999999999997</v>
      </c>
      <c r="C160">
        <v>0.74429999999999996</v>
      </c>
      <c r="D160">
        <v>0.66769999999999996</v>
      </c>
      <c r="E160">
        <v>0.74099999999999999</v>
      </c>
      <c r="F160">
        <v>24833599.539999999</v>
      </c>
      <c r="G160">
        <v>0.74099999999999999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0.91383812010443943</v>
      </c>
      <c r="Q160">
        <f t="shared" ref="Q160" si="776">F160*P160</f>
        <v>22693889.91906007</v>
      </c>
      <c r="R160">
        <f t="shared" ref="R160" si="777">R161+Q160</f>
        <v>360670341.68505991</v>
      </c>
      <c r="S160">
        <f t="shared" ref="S160" si="778">R160/100000</f>
        <v>3606.7034168505988</v>
      </c>
      <c r="T160">
        <f t="shared" ref="T160" si="779">S160/1000</f>
        <v>3.6067034168505989</v>
      </c>
    </row>
    <row r="161" spans="1:20" x14ac:dyDescent="0.25">
      <c r="A161" s="5">
        <v>44432</v>
      </c>
      <c r="B161">
        <v>0.76459999999999995</v>
      </c>
      <c r="C161">
        <v>0.79300000000000004</v>
      </c>
      <c r="D161">
        <v>0.68</v>
      </c>
      <c r="E161">
        <v>0.7147</v>
      </c>
      <c r="F161">
        <v>27698791.960000001</v>
      </c>
      <c r="G161">
        <v>0.7147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-0.38584070796460257</v>
      </c>
      <c r="Q161">
        <f t="shared" ref="Q161" si="781">F161*P161</f>
        <v>-10687321.499610642</v>
      </c>
      <c r="R161">
        <f t="shared" ref="R161" si="782">R162+Q161</f>
        <v>337976451.76599985</v>
      </c>
      <c r="S161">
        <f t="shared" ref="S161" si="783">R161/100000</f>
        <v>3379.7645176599985</v>
      </c>
      <c r="T161">
        <f t="shared" ref="T161" si="784">S161/1000</f>
        <v>3.3797645176599986</v>
      </c>
    </row>
    <row r="162" spans="1:20" x14ac:dyDescent="0.25">
      <c r="A162" s="5">
        <v>44431</v>
      </c>
      <c r="B162">
        <v>0.71919999999999995</v>
      </c>
      <c r="C162">
        <v>0.77590000000000003</v>
      </c>
      <c r="D162">
        <v>0.71120000000000005</v>
      </c>
      <c r="E162">
        <v>0.76590000000000003</v>
      </c>
      <c r="F162">
        <v>20852459.690000001</v>
      </c>
      <c r="G162">
        <v>0.76590000000000003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0.69088098918083429</v>
      </c>
      <c r="Q162">
        <f t="shared" ref="Q162" si="786">F162*P162</f>
        <v>14406567.977480674</v>
      </c>
      <c r="R162">
        <f t="shared" ref="R162" si="787">R163+Q162</f>
        <v>348663773.26561052</v>
      </c>
      <c r="S162">
        <f t="shared" ref="S162" si="788">R162/100000</f>
        <v>3486.6377326561051</v>
      </c>
      <c r="T162">
        <f t="shared" ref="T162" si="789">S162/1000</f>
        <v>3.4866377326561051</v>
      </c>
    </row>
    <row r="163" spans="1:20" x14ac:dyDescent="0.25">
      <c r="A163" s="5">
        <v>44430</v>
      </c>
      <c r="B163">
        <v>0.68589999999999995</v>
      </c>
      <c r="C163">
        <v>0.73899999999999999</v>
      </c>
      <c r="D163">
        <v>0.68589999999999995</v>
      </c>
      <c r="E163">
        <v>0.7369</v>
      </c>
      <c r="F163">
        <v>4597479.2699999996</v>
      </c>
      <c r="G163">
        <v>0.7369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0.92090395480226028</v>
      </c>
      <c r="Q163">
        <f t="shared" ref="Q163" si="791">F163*P163</f>
        <v>4233836.841864408</v>
      </c>
      <c r="R163">
        <f t="shared" ref="R163" si="792">R164+Q163</f>
        <v>334257205.28812987</v>
      </c>
      <c r="S163">
        <f t="shared" ref="S163" si="793">R163/100000</f>
        <v>3342.5720528812985</v>
      </c>
      <c r="T163">
        <f t="shared" ref="T163" si="794">S163/1000</f>
        <v>3.3425720528812985</v>
      </c>
    </row>
    <row r="164" spans="1:20" x14ac:dyDescent="0.25">
      <c r="A164" s="5">
        <v>44429</v>
      </c>
      <c r="B164">
        <v>0.6885</v>
      </c>
      <c r="C164">
        <v>0.72850000000000004</v>
      </c>
      <c r="D164">
        <v>0.66700000000000004</v>
      </c>
      <c r="E164">
        <v>0.68710000000000004</v>
      </c>
      <c r="F164">
        <v>33080954.539999999</v>
      </c>
      <c r="G164">
        <v>0.68710000000000004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-0.3463414634146339</v>
      </c>
      <c r="Q164">
        <f t="shared" ref="Q164" si="796">F164*P164</f>
        <v>-11457306.206536576</v>
      </c>
      <c r="R164">
        <f t="shared" ref="R164" si="797">R165+Q164</f>
        <v>330023368.44626546</v>
      </c>
      <c r="S164">
        <f t="shared" ref="S164" si="798">R164/100000</f>
        <v>3300.2336844626548</v>
      </c>
      <c r="T164">
        <f t="shared" ref="T164" si="799">S164/1000</f>
        <v>3.300233684462655</v>
      </c>
    </row>
    <row r="165" spans="1:20" x14ac:dyDescent="0.25">
      <c r="A165" s="5">
        <v>44428</v>
      </c>
      <c r="B165">
        <v>0.62460000000000004</v>
      </c>
      <c r="C165">
        <v>0.69989999999999997</v>
      </c>
      <c r="D165">
        <v>0.62019999999999997</v>
      </c>
      <c r="E165">
        <v>0.6885</v>
      </c>
      <c r="F165">
        <v>32106822.039999999</v>
      </c>
      <c r="G165">
        <v>0.6885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0.71392722710163192</v>
      </c>
      <c r="Q165">
        <f t="shared" ref="Q165" si="801">F165*P165</f>
        <v>22921934.43006276</v>
      </c>
      <c r="R165">
        <f t="shared" ref="R165" si="802">R166+Q165</f>
        <v>341480674.65280205</v>
      </c>
      <c r="S165">
        <f t="shared" ref="S165" si="803">R165/100000</f>
        <v>3414.8067465280205</v>
      </c>
      <c r="T165">
        <f t="shared" ref="T165" si="804">S165/1000</f>
        <v>3.4148067465280207</v>
      </c>
    </row>
    <row r="166" spans="1:20" x14ac:dyDescent="0.25">
      <c r="A166" s="5">
        <v>44427</v>
      </c>
      <c r="B166">
        <v>0.57389999999999997</v>
      </c>
      <c r="C166">
        <v>0.626</v>
      </c>
      <c r="D166">
        <v>0.55520000000000003</v>
      </c>
      <c r="E166">
        <v>0.62539999999999996</v>
      </c>
      <c r="F166">
        <v>13931542.35</v>
      </c>
      <c r="G166">
        <v>0.62539999999999996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0.98305084745762583</v>
      </c>
      <c r="Q166">
        <f t="shared" ref="Q166" si="806">F166*P166</f>
        <v>13695414.513559304</v>
      </c>
      <c r="R166">
        <f t="shared" ref="R166" si="807">R167+Q166</f>
        <v>318558740.22273928</v>
      </c>
      <c r="S166">
        <f t="shared" ref="S166" si="808">R166/100000</f>
        <v>3185.5874022273929</v>
      </c>
      <c r="T166">
        <f t="shared" ref="T166" si="809">S166/1000</f>
        <v>3.1855874022273927</v>
      </c>
    </row>
    <row r="167" spans="1:20" x14ac:dyDescent="0.25">
      <c r="A167" s="5">
        <v>44426</v>
      </c>
      <c r="B167">
        <v>0.57809999999999995</v>
      </c>
      <c r="C167">
        <v>0.6139</v>
      </c>
      <c r="D167">
        <v>0.54</v>
      </c>
      <c r="E167">
        <v>0.57320000000000004</v>
      </c>
      <c r="F167">
        <v>21976234.059999999</v>
      </c>
      <c r="G167">
        <v>0.57320000000000004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-0.10148849797022942</v>
      </c>
      <c r="Q167">
        <f t="shared" ref="Q167" si="811">F167*P167</f>
        <v>-2230334.9857915966</v>
      </c>
      <c r="R167">
        <f t="shared" ref="R167" si="812">R168+Q167</f>
        <v>304863325.70918</v>
      </c>
      <c r="S167">
        <f t="shared" ref="S167" si="813">R167/100000</f>
        <v>3048.6332570917998</v>
      </c>
      <c r="T167">
        <f t="shared" ref="T167" si="814">S167/1000</f>
        <v>3.0486332570918</v>
      </c>
    </row>
    <row r="168" spans="1:20" x14ac:dyDescent="0.25">
      <c r="A168" s="5">
        <v>44425</v>
      </c>
      <c r="B168">
        <v>0.59919999999999995</v>
      </c>
      <c r="C168">
        <v>0.62860000000000005</v>
      </c>
      <c r="D168">
        <v>0.56110000000000004</v>
      </c>
      <c r="E168">
        <v>0.57820000000000005</v>
      </c>
      <c r="F168">
        <v>20947404.93</v>
      </c>
      <c r="G168">
        <v>0.57820000000000005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-0.49333333333333323</v>
      </c>
      <c r="Q168">
        <f t="shared" ref="Q168" si="816">F168*P168</f>
        <v>-10334053.098799998</v>
      </c>
      <c r="R168">
        <f t="shared" ref="R168" si="817">R169+Q168</f>
        <v>307093660.69497162</v>
      </c>
      <c r="S168">
        <f t="shared" ref="S168" si="818">R168/100000</f>
        <v>3070.9366069497164</v>
      </c>
      <c r="T168">
        <f t="shared" ref="T168" si="819">S168/1000</f>
        <v>3.0709366069497164</v>
      </c>
    </row>
    <row r="169" spans="1:20" x14ac:dyDescent="0.25">
      <c r="A169" s="5">
        <v>44424</v>
      </c>
      <c r="B169">
        <v>0.59609999999999996</v>
      </c>
      <c r="C169">
        <v>0.64780000000000004</v>
      </c>
      <c r="D169">
        <v>0.58889999999999998</v>
      </c>
      <c r="E169">
        <v>0.5988</v>
      </c>
      <c r="F169">
        <v>21336257.379999999</v>
      </c>
      <c r="G169">
        <v>0.5988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-0.6638370118845498</v>
      </c>
      <c r="Q169">
        <f t="shared" ref="Q169" si="821">F169*P169</f>
        <v>-14163797.343938872</v>
      </c>
      <c r="R169">
        <f t="shared" ref="R169" si="822">R170+Q169</f>
        <v>317427713.79377162</v>
      </c>
      <c r="S169">
        <f t="shared" ref="S169" si="823">R169/100000</f>
        <v>3174.2771379377164</v>
      </c>
      <c r="T169">
        <f t="shared" ref="T169" si="824">S169/1000</f>
        <v>3.1742771379377164</v>
      </c>
    </row>
    <row r="170" spans="1:20" x14ac:dyDescent="0.25">
      <c r="A170" s="5">
        <v>44423</v>
      </c>
      <c r="B170">
        <v>0.58489999999999998</v>
      </c>
      <c r="C170">
        <v>0.60850000000000004</v>
      </c>
      <c r="D170">
        <v>0.56110000000000004</v>
      </c>
      <c r="E170">
        <v>0.59609999999999996</v>
      </c>
      <c r="F170">
        <v>17446544.02</v>
      </c>
      <c r="G170">
        <v>0.59609999999999996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0.47679324894514435</v>
      </c>
      <c r="Q170">
        <f t="shared" ref="Q170" si="826">F170*P170</f>
        <v>8318394.4061602792</v>
      </c>
      <c r="R170">
        <f t="shared" ref="R170" si="827">R171+Q170</f>
        <v>331591511.13771051</v>
      </c>
      <c r="S170">
        <f t="shared" ref="S170" si="828">R170/100000</f>
        <v>3315.9151113771049</v>
      </c>
      <c r="T170">
        <f t="shared" ref="T170" si="829">S170/1000</f>
        <v>3.3159151113771048</v>
      </c>
    </row>
    <row r="171" spans="1:20" x14ac:dyDescent="0.25">
      <c r="A171" s="5">
        <v>44422</v>
      </c>
      <c r="B171">
        <v>0.57230000000000003</v>
      </c>
      <c r="C171">
        <v>0.59650000000000003</v>
      </c>
      <c r="D171">
        <v>0.53600000000000003</v>
      </c>
      <c r="E171">
        <v>0.58460000000000001</v>
      </c>
      <c r="F171">
        <v>20558401.329999998</v>
      </c>
      <c r="G171">
        <v>0.58460000000000001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0.60661157024793311</v>
      </c>
      <c r="Q171">
        <f t="shared" ref="Q171" si="831">F171*P171</f>
        <v>12470964.112578494</v>
      </c>
      <c r="R171">
        <f t="shared" ref="R171" si="832">R172+Q171</f>
        <v>323273116.73155022</v>
      </c>
      <c r="S171">
        <f t="shared" ref="S171" si="833">R171/100000</f>
        <v>3232.7311673155023</v>
      </c>
      <c r="T171">
        <f t="shared" ref="T171" si="834">S171/1000</f>
        <v>3.2327311673155021</v>
      </c>
    </row>
    <row r="172" spans="1:20" x14ac:dyDescent="0.25">
      <c r="A172" s="5">
        <v>44421</v>
      </c>
      <c r="B172">
        <v>0.51100000000000001</v>
      </c>
      <c r="C172">
        <v>0.57669999999999999</v>
      </c>
      <c r="D172">
        <v>0.505</v>
      </c>
      <c r="E172">
        <v>0.57179999999999997</v>
      </c>
      <c r="F172">
        <v>20161492.039999999</v>
      </c>
      <c r="G172">
        <v>0.57179999999999997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0.86331938633193817</v>
      </c>
      <c r="Q172">
        <f t="shared" ref="Q172" si="836">F172*P172</f>
        <v>17405806.935509056</v>
      </c>
      <c r="R172">
        <f t="shared" ref="R172" si="837">R173+Q172</f>
        <v>310802152.61897171</v>
      </c>
      <c r="S172">
        <f t="shared" ref="S172" si="838">R172/100000</f>
        <v>3108.021526189717</v>
      </c>
      <c r="T172">
        <f t="shared" ref="T172" si="839">S172/1000</f>
        <v>3.1080215261897171</v>
      </c>
    </row>
    <row r="173" spans="1:20" x14ac:dyDescent="0.25">
      <c r="A173" s="5">
        <v>44420</v>
      </c>
      <c r="B173">
        <v>0.53449999999999998</v>
      </c>
      <c r="C173">
        <v>0.56620000000000004</v>
      </c>
      <c r="D173">
        <v>0.48820000000000002</v>
      </c>
      <c r="E173">
        <v>0.51070000000000004</v>
      </c>
      <c r="F173">
        <v>16756408.77</v>
      </c>
      <c r="G173">
        <v>0.51070000000000004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-0.42307692307692268</v>
      </c>
      <c r="Q173">
        <f t="shared" ref="Q173" si="841">F173*P173</f>
        <v>-7089249.8642307622</v>
      </c>
      <c r="R173">
        <f t="shared" ref="R173" si="842">R174+Q173</f>
        <v>293396345.68346262</v>
      </c>
      <c r="S173">
        <f t="shared" ref="S173" si="843">R173/100000</f>
        <v>2933.9634568346264</v>
      </c>
      <c r="T173">
        <f t="shared" ref="T173" si="844">S173/1000</f>
        <v>2.9339634568346264</v>
      </c>
    </row>
    <row r="174" spans="1:20" x14ac:dyDescent="0.25">
      <c r="A174" s="5">
        <v>44419</v>
      </c>
      <c r="B174">
        <v>0.51600000000000001</v>
      </c>
      <c r="C174">
        <v>0.56730000000000003</v>
      </c>
      <c r="D174">
        <v>0.51580000000000004</v>
      </c>
      <c r="E174">
        <v>0.53420000000000001</v>
      </c>
      <c r="F174">
        <v>23583892.52</v>
      </c>
      <c r="G174">
        <v>0.53420000000000001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-0.28543689320388443</v>
      </c>
      <c r="Q174">
        <f t="shared" ref="Q174" si="846">F174*P174</f>
        <v>-6731713.0105631286</v>
      </c>
      <c r="R174">
        <f t="shared" ref="R174" si="847">R175+Q174</f>
        <v>300485595.54769337</v>
      </c>
      <c r="S174">
        <f t="shared" ref="S174" si="848">R174/100000</f>
        <v>3004.8559554769336</v>
      </c>
      <c r="T174">
        <f t="shared" ref="T174" si="849">S174/1000</f>
        <v>3.0048559554769336</v>
      </c>
    </row>
    <row r="175" spans="1:20" x14ac:dyDescent="0.25">
      <c r="A175" s="5">
        <v>44418</v>
      </c>
      <c r="B175">
        <v>0.51939999999999997</v>
      </c>
      <c r="C175">
        <v>0.54569999999999996</v>
      </c>
      <c r="D175">
        <v>0.49569999999999997</v>
      </c>
      <c r="E175">
        <v>0.51619999999999999</v>
      </c>
      <c r="F175">
        <v>21596702.079999998</v>
      </c>
      <c r="G175">
        <v>0.51619999999999999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-0.17999999999999908</v>
      </c>
      <c r="Q175">
        <f t="shared" ref="Q175" si="851">F175*P175</f>
        <v>-3887406.3743999796</v>
      </c>
      <c r="R175">
        <f t="shared" ref="R175" si="852">R176+Q175</f>
        <v>307217308.55825651</v>
      </c>
      <c r="S175">
        <f t="shared" ref="S175" si="853">R175/100000</f>
        <v>3072.1730855825649</v>
      </c>
      <c r="T175">
        <f t="shared" ref="T175" si="854">S175/1000</f>
        <v>3.0721730855825649</v>
      </c>
    </row>
    <row r="176" spans="1:20" x14ac:dyDescent="0.25">
      <c r="A176" s="5">
        <v>44417</v>
      </c>
      <c r="B176">
        <v>0.50070000000000003</v>
      </c>
      <c r="C176">
        <v>0.53100000000000003</v>
      </c>
      <c r="D176">
        <v>0.48359999999999997</v>
      </c>
      <c r="E176">
        <v>0.52</v>
      </c>
      <c r="F176">
        <v>11981677.93</v>
      </c>
      <c r="G176">
        <v>0.52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0.5358649789029537</v>
      </c>
      <c r="Q176">
        <f t="shared" ref="Q176" si="856">F176*P176</f>
        <v>6420561.5911814356</v>
      </c>
      <c r="R176">
        <f t="shared" ref="R176" si="857">R177+Q176</f>
        <v>311104714.93265647</v>
      </c>
      <c r="S176">
        <f t="shared" ref="S176" si="858">R176/100000</f>
        <v>3111.0471493265645</v>
      </c>
      <c r="T176">
        <f t="shared" ref="T176" si="859">S176/1000</f>
        <v>3.1110471493265646</v>
      </c>
    </row>
    <row r="177" spans="1:20" x14ac:dyDescent="0.25">
      <c r="A177" s="5">
        <v>44416</v>
      </c>
      <c r="B177">
        <v>0.53310000000000002</v>
      </c>
      <c r="C177">
        <v>0.54179999999999995</v>
      </c>
      <c r="D177">
        <v>0.48799999999999999</v>
      </c>
      <c r="E177">
        <v>0.50039999999999996</v>
      </c>
      <c r="F177">
        <v>11242649.26</v>
      </c>
      <c r="G177">
        <v>0.50039999999999996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-0.53903345724907148</v>
      </c>
      <c r="Q177">
        <f t="shared" ref="Q177" si="861">F177*P177</f>
        <v>-6060164.0992565146</v>
      </c>
      <c r="R177">
        <f t="shared" ref="R177" si="862">R178+Q177</f>
        <v>304684153.34147501</v>
      </c>
      <c r="S177">
        <f t="shared" ref="S177" si="863">R177/100000</f>
        <v>3046.8415334147503</v>
      </c>
      <c r="T177">
        <f t="shared" ref="T177" si="864">S177/1000</f>
        <v>3.0468415334147503</v>
      </c>
    </row>
    <row r="178" spans="1:20" x14ac:dyDescent="0.25">
      <c r="A178" s="5">
        <v>44415</v>
      </c>
      <c r="B178">
        <v>0.51590000000000003</v>
      </c>
      <c r="C178">
        <v>0.55349999999999999</v>
      </c>
      <c r="D178">
        <v>0.49959999999999999</v>
      </c>
      <c r="E178">
        <v>0.53310000000000002</v>
      </c>
      <c r="F178">
        <v>16194858.6</v>
      </c>
      <c r="G178">
        <v>0.53310000000000002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0.2430426716141012</v>
      </c>
      <c r="Q178">
        <f t="shared" ref="Q178" si="866">F178*P178</f>
        <v>3936041.7005566028</v>
      </c>
      <c r="R178">
        <f t="shared" ref="R178" si="867">R179+Q178</f>
        <v>310744317.44073153</v>
      </c>
      <c r="S178">
        <f t="shared" ref="S178" si="868">R178/100000</f>
        <v>3107.4431744073154</v>
      </c>
      <c r="T178">
        <f t="shared" ref="T178" si="869">S178/1000</f>
        <v>3.1074431744073152</v>
      </c>
    </row>
    <row r="179" spans="1:20" x14ac:dyDescent="0.25">
      <c r="A179" s="5">
        <v>44414</v>
      </c>
      <c r="B179">
        <v>0.52200000000000002</v>
      </c>
      <c r="C179">
        <v>0.53300000000000003</v>
      </c>
      <c r="D179">
        <v>0.505</v>
      </c>
      <c r="E179">
        <v>0.51580000000000004</v>
      </c>
      <c r="F179">
        <v>13892591.92</v>
      </c>
      <c r="G179">
        <v>0.51580000000000004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-0.22857142857142698</v>
      </c>
      <c r="Q179">
        <f t="shared" ref="Q179" si="871">F179*P179</f>
        <v>-3175449.5817142637</v>
      </c>
      <c r="R179">
        <f t="shared" ref="R179" si="872">R180+Q179</f>
        <v>306808275.74017495</v>
      </c>
      <c r="S179">
        <f t="shared" ref="S179" si="873">R179/100000</f>
        <v>3068.0827574017494</v>
      </c>
      <c r="T179">
        <f t="shared" ref="T179" si="874">S179/1000</f>
        <v>3.0680827574017493</v>
      </c>
    </row>
    <row r="180" spans="1:20" x14ac:dyDescent="0.25">
      <c r="A180" s="5">
        <v>44413</v>
      </c>
      <c r="B180">
        <v>0.48899999999999999</v>
      </c>
      <c r="C180">
        <v>0.53139999999999998</v>
      </c>
      <c r="D180">
        <v>0.46679999999999999</v>
      </c>
      <c r="E180">
        <v>0.52149999999999996</v>
      </c>
      <c r="F180">
        <v>19854281.219999999</v>
      </c>
      <c r="G180">
        <v>0.52149999999999996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0.69349845201238325</v>
      </c>
      <c r="Q180">
        <f t="shared" ref="Q180" si="876">F180*P180</f>
        <v>13768913.291888531</v>
      </c>
      <c r="R180">
        <f t="shared" ref="R180" si="877">R181+Q180</f>
        <v>309983725.32188922</v>
      </c>
      <c r="S180">
        <f t="shared" ref="S180" si="878">R180/100000</f>
        <v>3099.8372532188923</v>
      </c>
      <c r="T180">
        <f t="shared" ref="T180" si="879">S180/1000</f>
        <v>3.0998372532188925</v>
      </c>
    </row>
    <row r="181" spans="1:20" x14ac:dyDescent="0.25">
      <c r="A181" s="5">
        <v>44412</v>
      </c>
      <c r="B181">
        <v>0.4607</v>
      </c>
      <c r="C181">
        <v>0.50590000000000002</v>
      </c>
      <c r="D181">
        <v>0.45329999999999998</v>
      </c>
      <c r="E181">
        <v>0.48909999999999998</v>
      </c>
      <c r="F181">
        <v>15271458.9</v>
      </c>
      <c r="G181">
        <v>0.48909999999999998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0.36121673003802185</v>
      </c>
      <c r="Q181">
        <f t="shared" ref="Q181" si="881">F181*P181</f>
        <v>5516306.4467680464</v>
      </c>
      <c r="R181">
        <f t="shared" ref="R181" si="882">R182+Q181</f>
        <v>296214812.03000069</v>
      </c>
      <c r="S181">
        <f t="shared" ref="S181" si="883">R181/100000</f>
        <v>2962.1481203000067</v>
      </c>
      <c r="T181">
        <f t="shared" ref="T181" si="884">S181/1000</f>
        <v>2.9621481203000068</v>
      </c>
    </row>
    <row r="182" spans="1:20" x14ac:dyDescent="0.25">
      <c r="A182" s="5">
        <v>44411</v>
      </c>
      <c r="B182">
        <v>0.46779999999999999</v>
      </c>
      <c r="C182">
        <v>0.4723</v>
      </c>
      <c r="D182">
        <v>0.442</v>
      </c>
      <c r="E182">
        <v>0.4592</v>
      </c>
      <c r="F182">
        <v>9547391.7599999998</v>
      </c>
      <c r="G182">
        <v>0.4592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0.13531353135313509</v>
      </c>
      <c r="Q182">
        <f t="shared" ref="Q182" si="886">F182*P182</f>
        <v>1291891.2942574236</v>
      </c>
      <c r="R182">
        <f t="shared" ref="R182" si="887">R183+Q182</f>
        <v>290698505.58323264</v>
      </c>
      <c r="S182">
        <f t="shared" ref="S182" si="888">R182/100000</f>
        <v>2906.9850558323265</v>
      </c>
      <c r="T182">
        <f t="shared" ref="T182" si="889">S182/1000</f>
        <v>2.9069850558323265</v>
      </c>
    </row>
    <row r="183" spans="1:20" x14ac:dyDescent="0.25">
      <c r="A183" s="5">
        <v>44410</v>
      </c>
      <c r="B183">
        <v>0.44419999999999998</v>
      </c>
      <c r="C183">
        <v>0.48730000000000001</v>
      </c>
      <c r="D183">
        <v>0.436</v>
      </c>
      <c r="E183">
        <v>0.46860000000000002</v>
      </c>
      <c r="F183">
        <v>17305287.670000002</v>
      </c>
      <c r="G183">
        <v>0.46860000000000002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0.27095516569200817</v>
      </c>
      <c r="Q183">
        <f t="shared" ref="Q183" si="891">F183*P183</f>
        <v>4688957.0879727164</v>
      </c>
      <c r="R183">
        <f t="shared" ref="R183" si="892">R184+Q183</f>
        <v>289406614.28897524</v>
      </c>
      <c r="S183">
        <f t="shared" ref="S183" si="893">R183/100000</f>
        <v>2894.0661428897524</v>
      </c>
      <c r="T183">
        <f t="shared" ref="T183" si="894">S183/1000</f>
        <v>2.8940661428897525</v>
      </c>
    </row>
    <row r="184" spans="1:20" x14ac:dyDescent="0.25">
      <c r="A184" s="5">
        <v>44409</v>
      </c>
      <c r="B184">
        <v>0.47839999999999999</v>
      </c>
      <c r="C184">
        <v>0.48110000000000003</v>
      </c>
      <c r="D184">
        <v>0.43609999999999999</v>
      </c>
      <c r="E184">
        <v>0.44440000000000002</v>
      </c>
      <c r="F184">
        <v>16795243.859999999</v>
      </c>
      <c r="G184">
        <v>0.44440000000000002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-0.63111111111111018</v>
      </c>
      <c r="Q184">
        <f t="shared" ref="Q184" si="896">F184*P184</f>
        <v>-10599665.01386665</v>
      </c>
      <c r="R184">
        <f t="shared" ref="R184" si="897">R185+Q184</f>
        <v>284717657.20100254</v>
      </c>
      <c r="S184">
        <f t="shared" ref="S184" si="898">R184/100000</f>
        <v>2847.1765720100252</v>
      </c>
      <c r="T184">
        <f t="shared" ref="T184" si="899">S184/1000</f>
        <v>2.8471765720100253</v>
      </c>
    </row>
    <row r="185" spans="1:20" x14ac:dyDescent="0.25">
      <c r="A185" s="5">
        <v>44408</v>
      </c>
      <c r="B185">
        <v>0.46279999999999999</v>
      </c>
      <c r="C185">
        <v>0.50280000000000002</v>
      </c>
      <c r="D185">
        <v>0.45150000000000001</v>
      </c>
      <c r="E185">
        <v>0.47810000000000002</v>
      </c>
      <c r="F185">
        <v>26812542.559999999</v>
      </c>
      <c r="G185">
        <v>0.47810000000000002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3.7037037037037278E-2</v>
      </c>
      <c r="Q185">
        <f t="shared" ref="Q185" si="901">F185*P185</f>
        <v>993057.13185185823</v>
      </c>
      <c r="R185">
        <f t="shared" ref="R185" si="902">R186+Q185</f>
        <v>295317322.2148692</v>
      </c>
      <c r="S185">
        <f t="shared" ref="S185" si="903">R185/100000</f>
        <v>2953.1732221486918</v>
      </c>
      <c r="T185">
        <f t="shared" ref="T185" si="904">S185/1000</f>
        <v>2.9531732221486919</v>
      </c>
    </row>
    <row r="186" spans="1:20" x14ac:dyDescent="0.25">
      <c r="A186" s="5">
        <v>44407</v>
      </c>
      <c r="B186">
        <v>0.42409999999999998</v>
      </c>
      <c r="C186">
        <v>0.46820000000000001</v>
      </c>
      <c r="D186">
        <v>0.39029999999999998</v>
      </c>
      <c r="E186">
        <v>0.46279999999999999</v>
      </c>
      <c r="F186">
        <v>28617676.120000001</v>
      </c>
      <c r="G186">
        <v>0.46279999999999999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0.86136071887034626</v>
      </c>
      <c r="Q186">
        <f t="shared" ref="Q186" si="906">F186*P186</f>
        <v>24650142.075121943</v>
      </c>
      <c r="R186">
        <f t="shared" ref="R186" si="907">R187+Q186</f>
        <v>294324265.08301735</v>
      </c>
      <c r="S186">
        <f t="shared" ref="S186" si="908">R186/100000</f>
        <v>2943.2426508301737</v>
      </c>
      <c r="T186">
        <f t="shared" ref="T186" si="909">S186/1000</f>
        <v>2.9432426508301739</v>
      </c>
    </row>
    <row r="187" spans="1:20" x14ac:dyDescent="0.25">
      <c r="A187" s="5">
        <v>44406</v>
      </c>
      <c r="B187">
        <v>0.40649999999999997</v>
      </c>
      <c r="C187">
        <v>0.4395</v>
      </c>
      <c r="D187">
        <v>0.39439999999999997</v>
      </c>
      <c r="E187">
        <v>0.42399999999999999</v>
      </c>
      <c r="F187">
        <v>21526212.5</v>
      </c>
      <c r="G187">
        <v>0.42399999999999999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0.31263858093126368</v>
      </c>
      <c r="Q187">
        <f t="shared" ref="Q187" si="911">F187*P187</f>
        <v>6729924.5288248295</v>
      </c>
      <c r="R187">
        <f t="shared" ref="R187" si="912">R188+Q187</f>
        <v>269674123.00789541</v>
      </c>
      <c r="S187">
        <f t="shared" ref="S187" si="913">R187/100000</f>
        <v>2696.7412300789542</v>
      </c>
      <c r="T187">
        <f t="shared" ref="T187" si="914">S187/1000</f>
        <v>2.6967412300789544</v>
      </c>
    </row>
    <row r="188" spans="1:20" x14ac:dyDescent="0.25">
      <c r="A188" s="5">
        <v>44405</v>
      </c>
      <c r="B188">
        <v>0.40329999999999999</v>
      </c>
      <c r="C188">
        <v>0.41420000000000001</v>
      </c>
      <c r="D188">
        <v>0.39410000000000001</v>
      </c>
      <c r="E188">
        <v>0.40579999999999999</v>
      </c>
      <c r="F188">
        <v>10833187.689999999</v>
      </c>
      <c r="G188">
        <v>0.40579999999999999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0.16417910447761036</v>
      </c>
      <c r="Q188">
        <f t="shared" ref="Q188" si="916">F188*P188</f>
        <v>1778583.0535820723</v>
      </c>
      <c r="R188">
        <f t="shared" ref="R188" si="917">R189+Q188</f>
        <v>262944198.4790706</v>
      </c>
      <c r="S188">
        <f t="shared" ref="S188" si="918">R188/100000</f>
        <v>2629.4419847907061</v>
      </c>
      <c r="T188">
        <f t="shared" ref="T188" si="919">S188/1000</f>
        <v>2.6294419847907062</v>
      </c>
    </row>
    <row r="189" spans="1:20" x14ac:dyDescent="0.25">
      <c r="A189" s="5">
        <v>44404</v>
      </c>
      <c r="B189">
        <v>0.3851</v>
      </c>
      <c r="C189">
        <v>0.41099999999999998</v>
      </c>
      <c r="D189">
        <v>0.3695</v>
      </c>
      <c r="E189">
        <v>0.40389999999999998</v>
      </c>
      <c r="F189">
        <v>11513417.359999999</v>
      </c>
      <c r="G189">
        <v>0.40389999999999998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0.65783132530120492</v>
      </c>
      <c r="Q189">
        <f t="shared" ref="Q189" si="921">F189*P189</f>
        <v>7573886.6006746991</v>
      </c>
      <c r="R189">
        <f t="shared" ref="R189" si="922">R190+Q189</f>
        <v>261165615.42548853</v>
      </c>
      <c r="S189">
        <f t="shared" ref="S189" si="923">R189/100000</f>
        <v>2611.6561542548852</v>
      </c>
      <c r="T189">
        <f t="shared" ref="T189" si="924">S189/1000</f>
        <v>2.6116561542548853</v>
      </c>
    </row>
    <row r="190" spans="1:20" x14ac:dyDescent="0.25">
      <c r="A190" s="5">
        <v>44403</v>
      </c>
      <c r="B190">
        <v>0.37369999999999998</v>
      </c>
      <c r="C190">
        <v>0.4264</v>
      </c>
      <c r="D190">
        <v>0.37080000000000002</v>
      </c>
      <c r="E190">
        <v>0.38479999999999998</v>
      </c>
      <c r="F190">
        <v>27878200.699999999</v>
      </c>
      <c r="G190">
        <v>0.38479999999999998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-0.49640287769784314</v>
      </c>
      <c r="Q190">
        <f t="shared" ref="Q190" si="926">F190*P190</f>
        <v>-13838819.052518025</v>
      </c>
      <c r="R190">
        <f t="shared" ref="R190" si="927">R191+Q190</f>
        <v>253591728.82481384</v>
      </c>
      <c r="S190">
        <f t="shared" ref="S190" si="928">R190/100000</f>
        <v>2535.9172882481384</v>
      </c>
      <c r="T190">
        <f t="shared" ref="T190" si="929">S190/1000</f>
        <v>2.5359172882481387</v>
      </c>
    </row>
    <row r="191" spans="1:20" x14ac:dyDescent="0.25">
      <c r="A191" s="5">
        <v>44402</v>
      </c>
      <c r="B191">
        <v>0.3654</v>
      </c>
      <c r="C191">
        <v>0.37669999999999998</v>
      </c>
      <c r="D191">
        <v>0.35220000000000001</v>
      </c>
      <c r="E191">
        <v>0.37409999999999999</v>
      </c>
      <c r="F191">
        <v>12089109.619999999</v>
      </c>
      <c r="G191">
        <v>0.37409999999999999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0.78775510204081678</v>
      </c>
      <c r="Q191">
        <f t="shared" ref="Q191" si="931">F191*P191</f>
        <v>9523257.7822857182</v>
      </c>
      <c r="R191">
        <f t="shared" ref="R191" si="932">R192+Q191</f>
        <v>267430547.87733185</v>
      </c>
      <c r="S191">
        <f t="shared" ref="S191" si="933">R191/100000</f>
        <v>2674.3054787733186</v>
      </c>
      <c r="T191">
        <f t="shared" ref="T191:T197" si="934">S191/1000</f>
        <v>2.6743054787733187</v>
      </c>
    </row>
    <row r="192" spans="1:20" x14ac:dyDescent="0.25">
      <c r="A192" s="5">
        <v>44401</v>
      </c>
      <c r="B192">
        <v>0.35649999999999998</v>
      </c>
      <c r="C192">
        <v>0.37940000000000002</v>
      </c>
      <c r="D192">
        <v>0.35210000000000002</v>
      </c>
      <c r="E192">
        <v>0.36509999999999998</v>
      </c>
      <c r="F192">
        <v>14395136.76</v>
      </c>
      <c r="G192">
        <v>0.36509999999999998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-4.7619047619050524E-2</v>
      </c>
      <c r="Q192">
        <f t="shared" ref="Q192" si="936">F192*P192</f>
        <v>-685482.70285718469</v>
      </c>
      <c r="R192">
        <f t="shared" ref="R192" si="937">R193+Q192</f>
        <v>257907290.09504613</v>
      </c>
      <c r="S192">
        <f t="shared" ref="S192" si="938">R192/100000</f>
        <v>2579.0729009504612</v>
      </c>
      <c r="T192">
        <f t="shared" si="934"/>
        <v>2.5790729009504614</v>
      </c>
    </row>
    <row r="193" spans="1:20" x14ac:dyDescent="0.25">
      <c r="A193" s="5">
        <v>44400</v>
      </c>
      <c r="B193">
        <v>0.35510000000000003</v>
      </c>
      <c r="C193">
        <v>0.36199999999999999</v>
      </c>
      <c r="D193">
        <v>0.33579999999999999</v>
      </c>
      <c r="E193">
        <v>0.35560000000000003</v>
      </c>
      <c r="F193">
        <v>12505342.210000001</v>
      </c>
      <c r="G193">
        <v>0.35560000000000003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0.51145038167939227</v>
      </c>
      <c r="Q193">
        <f t="shared" ref="Q193" si="940">F193*P193</f>
        <v>6395862.0463359151</v>
      </c>
      <c r="R193">
        <f t="shared" ref="R193" si="941">R194+Q193</f>
        <v>258592772.79790333</v>
      </c>
      <c r="S193">
        <f t="shared" ref="S193" si="942">R193/100000</f>
        <v>2585.9277279790331</v>
      </c>
      <c r="T193">
        <f t="shared" si="934"/>
        <v>2.5859277279790329</v>
      </c>
    </row>
    <row r="194" spans="1:20" x14ac:dyDescent="0.25">
      <c r="A194" s="5">
        <v>44399</v>
      </c>
      <c r="B194">
        <v>0.33389999999999997</v>
      </c>
      <c r="C194">
        <v>0.35870000000000002</v>
      </c>
      <c r="D194">
        <v>0.3266</v>
      </c>
      <c r="E194">
        <v>0.35520000000000002</v>
      </c>
      <c r="F194">
        <v>9506518.9100000001</v>
      </c>
      <c r="G194">
        <v>0.35520000000000002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0.7819314641744548</v>
      </c>
      <c r="Q194">
        <f t="shared" ref="Q194" si="944">F194*P194</f>
        <v>7433446.250498442</v>
      </c>
      <c r="R194">
        <f t="shared" ref="R194" si="945">R195+Q194</f>
        <v>252196910.75156742</v>
      </c>
      <c r="S194">
        <f t="shared" ref="S194" si="946">R194/100000</f>
        <v>2521.9691075156743</v>
      </c>
      <c r="T194">
        <f t="shared" si="934"/>
        <v>2.5219691075156745</v>
      </c>
    </row>
    <row r="195" spans="1:20" x14ac:dyDescent="0.25">
      <c r="A195" s="5">
        <v>44398</v>
      </c>
      <c r="B195">
        <v>0.30549999999999999</v>
      </c>
      <c r="C195">
        <v>0.3473</v>
      </c>
      <c r="D195">
        <v>0.29730000000000001</v>
      </c>
      <c r="E195">
        <v>0.33460000000000001</v>
      </c>
      <c r="F195">
        <v>11716597.73</v>
      </c>
      <c r="G195">
        <v>0.33460000000000001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0.49200000000000033</v>
      </c>
      <c r="Q195">
        <f t="shared" ref="Q195" si="948">F195*P195</f>
        <v>5764566.0831600036</v>
      </c>
      <c r="R195">
        <f t="shared" ref="R195" si="949">R196+Q195</f>
        <v>244763464.50106898</v>
      </c>
      <c r="S195">
        <f t="shared" ref="S195" si="950">R195/100000</f>
        <v>2447.6346450106898</v>
      </c>
      <c r="T195">
        <f t="shared" si="934"/>
        <v>2.4476346450106901</v>
      </c>
    </row>
    <row r="196" spans="1:20" x14ac:dyDescent="0.25">
      <c r="A196" s="5">
        <v>44397</v>
      </c>
      <c r="B196">
        <v>0.3201</v>
      </c>
      <c r="C196">
        <v>0.32619999999999999</v>
      </c>
      <c r="D196">
        <v>0.2923</v>
      </c>
      <c r="E196">
        <v>0.3054</v>
      </c>
      <c r="F196">
        <v>16029921.439999999</v>
      </c>
      <c r="G196">
        <v>0.3054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-0.22713864306784626</v>
      </c>
      <c r="Q196">
        <f t="shared" ref="Q196" si="952">F196*P196</f>
        <v>-3641014.6043657758</v>
      </c>
      <c r="R196">
        <f t="shared" ref="R196" si="953">R197+Q196</f>
        <v>238998898.41790897</v>
      </c>
      <c r="S196">
        <f t="shared" ref="S196" si="954">R196/100000</f>
        <v>2389.9889841790896</v>
      </c>
      <c r="T196">
        <f t="shared" si="934"/>
        <v>2.3899889841790896</v>
      </c>
    </row>
    <row r="197" spans="1:20" x14ac:dyDescent="0.25">
      <c r="A197" s="5">
        <v>44396</v>
      </c>
      <c r="B197">
        <v>0.34770000000000001</v>
      </c>
      <c r="C197">
        <v>0.35149999999999998</v>
      </c>
      <c r="D197">
        <v>0.31780000000000003</v>
      </c>
      <c r="E197">
        <v>0.3206</v>
      </c>
      <c r="F197">
        <v>10244124.84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-0.83382789317507577</v>
      </c>
      <c r="Q197">
        <f t="shared" ref="Q197" si="956">F197*P197</f>
        <v>-8541837.0327596609</v>
      </c>
      <c r="R197">
        <f t="shared" ref="R197" si="957">R198+Q197</f>
        <v>242639913.02227473</v>
      </c>
      <c r="S197">
        <f t="shared" ref="S197" si="958">R197/100000</f>
        <v>2426.3991302227473</v>
      </c>
      <c r="T197">
        <f t="shared" si="934"/>
        <v>2.4263991302227472</v>
      </c>
    </row>
    <row r="198" spans="1:20" x14ac:dyDescent="0.25">
      <c r="A198" s="5">
        <v>44395</v>
      </c>
      <c r="B198">
        <v>0.3468</v>
      </c>
      <c r="C198">
        <v>0.35549999999999998</v>
      </c>
      <c r="D198">
        <v>0.33500000000000002</v>
      </c>
      <c r="E198">
        <v>0.34739999999999999</v>
      </c>
      <c r="F198">
        <v>8044483.96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0.20975609756097455</v>
      </c>
      <c r="Q198">
        <f t="shared" ref="Q198:Q261" si="960">F198*P198</f>
        <v>1687379.5623414549</v>
      </c>
      <c r="R198">
        <f t="shared" ref="R198:R261" si="961">R199+Q198</f>
        <v>251181750.0550344</v>
      </c>
      <c r="S198">
        <f t="shared" ref="S198:S261" si="962">R198/100000</f>
        <v>2511.817500550344</v>
      </c>
      <c r="T198">
        <f t="shared" ref="T198:T261" si="963">S198/1000</f>
        <v>2.511817500550344</v>
      </c>
    </row>
    <row r="199" spans="1:20" x14ac:dyDescent="0.25">
      <c r="A199" s="5">
        <v>44394</v>
      </c>
      <c r="B199">
        <v>0.33629999999999999</v>
      </c>
      <c r="C199">
        <v>0.3498</v>
      </c>
      <c r="D199">
        <v>0.32979999999999998</v>
      </c>
      <c r="E199">
        <v>0.34689999999999999</v>
      </c>
      <c r="F199">
        <v>7875252.6900000004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0.70999999999999885</v>
      </c>
      <c r="Q199">
        <f t="shared" si="960"/>
        <v>5591429.409899991</v>
      </c>
      <c r="R199">
        <f t="shared" si="961"/>
        <v>249494370.49269295</v>
      </c>
      <c r="S199">
        <f t="shared" si="962"/>
        <v>2494.9437049269295</v>
      </c>
      <c r="T199">
        <f t="shared" si="963"/>
        <v>2.4949437049269294</v>
      </c>
    </row>
    <row r="200" spans="1:20" x14ac:dyDescent="0.25">
      <c r="A200" s="5">
        <v>44393</v>
      </c>
      <c r="B200">
        <v>0.34499999999999997</v>
      </c>
      <c r="C200">
        <v>0.3629</v>
      </c>
      <c r="D200">
        <v>0.33439999999999998</v>
      </c>
      <c r="E200">
        <v>0.3367</v>
      </c>
      <c r="F200">
        <v>11527114.68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-0.83859649122806856</v>
      </c>
      <c r="Q200">
        <f t="shared" si="960"/>
        <v>-9666597.9246315602</v>
      </c>
      <c r="R200">
        <f t="shared" si="961"/>
        <v>243902941.08279297</v>
      </c>
      <c r="S200">
        <f t="shared" si="962"/>
        <v>2439.0294108279295</v>
      </c>
      <c r="T200">
        <f t="shared" si="963"/>
        <v>2.4390294108279296</v>
      </c>
    </row>
    <row r="201" spans="1:20" x14ac:dyDescent="0.25">
      <c r="A201" s="5">
        <v>44392</v>
      </c>
      <c r="B201">
        <v>0.36459999999999998</v>
      </c>
      <c r="C201">
        <v>0.36980000000000002</v>
      </c>
      <c r="D201">
        <v>0.33979999999999999</v>
      </c>
      <c r="E201">
        <v>0.34499999999999997</v>
      </c>
      <c r="F201">
        <v>9084111.6899999995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-0.65333333333333476</v>
      </c>
      <c r="Q201">
        <f t="shared" si="960"/>
        <v>-5934952.9708000124</v>
      </c>
      <c r="R201">
        <f t="shared" si="961"/>
        <v>253569539.00742453</v>
      </c>
      <c r="S201">
        <f t="shared" si="962"/>
        <v>2535.6953900742456</v>
      </c>
      <c r="T201">
        <f t="shared" si="963"/>
        <v>2.5356953900742454</v>
      </c>
    </row>
    <row r="202" spans="1:20" x14ac:dyDescent="0.25">
      <c r="A202" s="5">
        <v>44391</v>
      </c>
      <c r="B202">
        <v>0.3589</v>
      </c>
      <c r="C202">
        <v>0.37490000000000001</v>
      </c>
      <c r="D202">
        <v>0.33379999999999999</v>
      </c>
      <c r="E202">
        <v>0.36480000000000001</v>
      </c>
      <c r="F202">
        <v>7592099.7800000003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0.50851581508515853</v>
      </c>
      <c r="Q202">
        <f t="shared" si="960"/>
        <v>3860702.8078345531</v>
      </c>
      <c r="R202">
        <f t="shared" si="961"/>
        <v>259504491.97822455</v>
      </c>
      <c r="S202">
        <f t="shared" si="962"/>
        <v>2595.0449197822454</v>
      </c>
      <c r="T202">
        <f t="shared" si="963"/>
        <v>2.5950449197822456</v>
      </c>
    </row>
    <row r="203" spans="1:20" x14ac:dyDescent="0.25">
      <c r="A203" s="5">
        <v>44390</v>
      </c>
      <c r="B203">
        <v>0.3695</v>
      </c>
      <c r="C203">
        <v>0.37240000000000001</v>
      </c>
      <c r="D203">
        <v>0.35189999999999999</v>
      </c>
      <c r="E203">
        <v>0.3584</v>
      </c>
      <c r="F203">
        <v>7930189.2800000003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-0.36585365853658536</v>
      </c>
      <c r="Q203">
        <f t="shared" si="960"/>
        <v>-2901288.76097561</v>
      </c>
      <c r="R203">
        <f t="shared" si="961"/>
        <v>255643789.17038998</v>
      </c>
      <c r="S203">
        <f t="shared" si="962"/>
        <v>2556.4378917038998</v>
      </c>
      <c r="T203">
        <f t="shared" si="963"/>
        <v>2.5564378917038999</v>
      </c>
    </row>
    <row r="204" spans="1:20" x14ac:dyDescent="0.25">
      <c r="A204" s="5">
        <v>44389</v>
      </c>
      <c r="B204">
        <v>0.38400000000000001</v>
      </c>
      <c r="C204">
        <v>0.3972</v>
      </c>
      <c r="D204">
        <v>0.35880000000000001</v>
      </c>
      <c r="E204">
        <v>0.36990000000000001</v>
      </c>
      <c r="F204">
        <v>7620565.9900000002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-0.42187499999999989</v>
      </c>
      <c r="Q204">
        <f t="shared" si="960"/>
        <v>-3214926.2770312494</v>
      </c>
      <c r="R204">
        <f t="shared" si="961"/>
        <v>258545077.93136558</v>
      </c>
      <c r="S204">
        <f t="shared" si="962"/>
        <v>2585.4507793136559</v>
      </c>
      <c r="T204">
        <f t="shared" si="963"/>
        <v>2.5854507793136561</v>
      </c>
    </row>
    <row r="205" spans="1:20" x14ac:dyDescent="0.25">
      <c r="A205" s="5">
        <v>44388</v>
      </c>
      <c r="B205">
        <v>0.37590000000000001</v>
      </c>
      <c r="C205">
        <v>0.38669999999999999</v>
      </c>
      <c r="D205">
        <v>0.37180000000000002</v>
      </c>
      <c r="E205">
        <v>0.38450000000000001</v>
      </c>
      <c r="F205">
        <v>4428290.97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0.7046979865771833</v>
      </c>
      <c r="Q205">
        <f t="shared" si="960"/>
        <v>3120607.7305369219</v>
      </c>
      <c r="R205">
        <f t="shared" si="961"/>
        <v>261760004.20839682</v>
      </c>
      <c r="S205">
        <f t="shared" si="962"/>
        <v>2617.6000420839682</v>
      </c>
      <c r="T205">
        <f t="shared" si="963"/>
        <v>2.6176000420839682</v>
      </c>
    </row>
    <row r="206" spans="1:20" x14ac:dyDescent="0.25">
      <c r="A206" s="5">
        <v>44387</v>
      </c>
      <c r="B206">
        <v>0.38269999999999998</v>
      </c>
      <c r="C206">
        <v>0.39250000000000002</v>
      </c>
      <c r="D206">
        <v>0.36180000000000001</v>
      </c>
      <c r="E206">
        <v>0.37680000000000002</v>
      </c>
      <c r="F206">
        <v>5498097.5899999999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-2.2801302931595383E-2</v>
      </c>
      <c r="Q206">
        <f t="shared" si="960"/>
        <v>-125363.7886970645</v>
      </c>
      <c r="R206">
        <f t="shared" si="961"/>
        <v>258639396.47785991</v>
      </c>
      <c r="S206">
        <f t="shared" si="962"/>
        <v>2586.3939647785992</v>
      </c>
      <c r="T206">
        <f t="shared" si="963"/>
        <v>2.5863939647785994</v>
      </c>
    </row>
    <row r="207" spans="1:20" x14ac:dyDescent="0.25">
      <c r="A207" s="5">
        <v>44386</v>
      </c>
      <c r="B207">
        <v>0.37569999999999998</v>
      </c>
      <c r="C207">
        <v>0.39</v>
      </c>
      <c r="D207">
        <v>0.35399999999999998</v>
      </c>
      <c r="E207">
        <v>0.38229999999999997</v>
      </c>
      <c r="F207">
        <v>7087260.3200000003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0.57222222222222041</v>
      </c>
      <c r="Q207">
        <f t="shared" si="960"/>
        <v>4055487.8497777651</v>
      </c>
      <c r="R207">
        <f t="shared" si="961"/>
        <v>258764760.26655698</v>
      </c>
      <c r="S207">
        <f t="shared" si="962"/>
        <v>2587.6476026655696</v>
      </c>
      <c r="T207">
        <f t="shared" si="963"/>
        <v>2.5876476026655695</v>
      </c>
    </row>
    <row r="208" spans="1:20" x14ac:dyDescent="0.25">
      <c r="A208" s="5">
        <v>44385</v>
      </c>
      <c r="B208">
        <v>0.40600000000000003</v>
      </c>
      <c r="C208">
        <v>0.40899999999999997</v>
      </c>
      <c r="D208">
        <v>0.36809999999999998</v>
      </c>
      <c r="E208">
        <v>0.37590000000000001</v>
      </c>
      <c r="F208">
        <v>10961288.390000001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-0.61858190709046301</v>
      </c>
      <c r="Q208">
        <f t="shared" si="960"/>
        <v>-6780454.6764547508</v>
      </c>
      <c r="R208">
        <f t="shared" si="961"/>
        <v>254709272.41677922</v>
      </c>
      <c r="S208">
        <f t="shared" si="962"/>
        <v>2547.0927241677923</v>
      </c>
      <c r="T208">
        <f t="shared" si="963"/>
        <v>2.5470927241677925</v>
      </c>
    </row>
    <row r="209" spans="1:20" x14ac:dyDescent="0.25">
      <c r="A209" s="5">
        <v>44384</v>
      </c>
      <c r="B209">
        <v>0.41649999999999998</v>
      </c>
      <c r="C209">
        <v>0.43290000000000001</v>
      </c>
      <c r="D209">
        <v>0.40389999999999998</v>
      </c>
      <c r="E209">
        <v>0.40689999999999998</v>
      </c>
      <c r="F209">
        <v>18268609.949999999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-0.7931034482758621</v>
      </c>
      <c r="Q209">
        <f t="shared" si="960"/>
        <v>-14488897.546551725</v>
      </c>
      <c r="R209">
        <f t="shared" si="961"/>
        <v>261489727.09323397</v>
      </c>
      <c r="S209">
        <f t="shared" si="962"/>
        <v>2614.8972709323398</v>
      </c>
      <c r="T209">
        <f t="shared" si="963"/>
        <v>2.6148972709323397</v>
      </c>
    </row>
    <row r="210" spans="1:20" x14ac:dyDescent="0.25">
      <c r="A210" s="5">
        <v>44383</v>
      </c>
      <c r="B210">
        <v>0.38119999999999998</v>
      </c>
      <c r="C210">
        <v>0.42299999999999999</v>
      </c>
      <c r="D210">
        <v>0.379</v>
      </c>
      <c r="E210">
        <v>0.41710000000000003</v>
      </c>
      <c r="F210">
        <v>26236209.899999999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0.73181818181818348</v>
      </c>
      <c r="Q210">
        <f t="shared" si="960"/>
        <v>19200135.426818226</v>
      </c>
      <c r="R210">
        <f t="shared" si="961"/>
        <v>275978624.63978571</v>
      </c>
      <c r="S210">
        <f t="shared" si="962"/>
        <v>2759.7862463978572</v>
      </c>
      <c r="T210">
        <f t="shared" si="963"/>
        <v>2.7597862463978573</v>
      </c>
    </row>
    <row r="211" spans="1:20" x14ac:dyDescent="0.25">
      <c r="A211" s="5">
        <v>44382</v>
      </c>
      <c r="B211">
        <v>0.3851</v>
      </c>
      <c r="C211">
        <v>0.38969999999999999</v>
      </c>
      <c r="D211">
        <v>0.35920000000000002</v>
      </c>
      <c r="E211">
        <v>0.38040000000000002</v>
      </c>
      <c r="F211">
        <v>9076441.8699999992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0.3901639344262306</v>
      </c>
      <c r="Q211">
        <f t="shared" si="960"/>
        <v>3541300.2705901735</v>
      </c>
      <c r="R211">
        <f t="shared" si="961"/>
        <v>256778489.21296746</v>
      </c>
      <c r="S211">
        <f t="shared" si="962"/>
        <v>2567.7848921296745</v>
      </c>
      <c r="T211">
        <f t="shared" si="963"/>
        <v>2.5677848921296746</v>
      </c>
    </row>
    <row r="212" spans="1:20" x14ac:dyDescent="0.25">
      <c r="A212" s="5">
        <v>44381</v>
      </c>
      <c r="B212">
        <v>0.372</v>
      </c>
      <c r="C212">
        <v>0.40239999999999998</v>
      </c>
      <c r="D212">
        <v>0.36070000000000002</v>
      </c>
      <c r="E212">
        <v>0.38529999999999998</v>
      </c>
      <c r="F212">
        <v>10938027.16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0.17985611510791266</v>
      </c>
      <c r="Q212">
        <f t="shared" si="960"/>
        <v>1967271.0719424351</v>
      </c>
      <c r="R212">
        <f t="shared" si="961"/>
        <v>253237188.94237727</v>
      </c>
      <c r="S212">
        <f t="shared" si="962"/>
        <v>2532.3718894237727</v>
      </c>
      <c r="T212">
        <f t="shared" si="963"/>
        <v>2.5323718894237728</v>
      </c>
    </row>
    <row r="213" spans="1:20" x14ac:dyDescent="0.25">
      <c r="A213" s="5">
        <v>44380</v>
      </c>
      <c r="B213">
        <v>0.36409999999999998</v>
      </c>
      <c r="C213">
        <v>0.3896</v>
      </c>
      <c r="D213">
        <v>0.35870000000000002</v>
      </c>
      <c r="E213">
        <v>0.372</v>
      </c>
      <c r="F213">
        <v>12589756.67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-0.13915857605178086</v>
      </c>
      <c r="Q213">
        <f t="shared" si="960"/>
        <v>-1751972.6110356103</v>
      </c>
      <c r="R213">
        <f t="shared" si="961"/>
        <v>251269917.87043482</v>
      </c>
      <c r="S213">
        <f t="shared" si="962"/>
        <v>2512.699178704348</v>
      </c>
      <c r="T213">
        <f t="shared" si="963"/>
        <v>2.5126991787043482</v>
      </c>
    </row>
    <row r="214" spans="1:20" x14ac:dyDescent="0.25">
      <c r="A214" s="5">
        <v>44379</v>
      </c>
      <c r="B214">
        <v>0.34810000000000002</v>
      </c>
      <c r="C214">
        <v>0.36570000000000003</v>
      </c>
      <c r="D214">
        <v>0.33879999999999999</v>
      </c>
      <c r="E214">
        <v>0.36409999999999998</v>
      </c>
      <c r="F214">
        <v>9708388.5999999996</v>
      </c>
      <c r="G214">
        <v>0</v>
      </c>
      <c r="L214" t="s">
        <v>8</v>
      </c>
      <c r="M214" t="s">
        <v>7</v>
      </c>
      <c r="N214" t="s">
        <v>7</v>
      </c>
      <c r="P214">
        <f t="shared" si="959"/>
        <v>0.88104089219330528</v>
      </c>
      <c r="Q214">
        <f t="shared" si="960"/>
        <v>8553487.3539033141</v>
      </c>
      <c r="R214">
        <f t="shared" si="961"/>
        <v>253021890.48147044</v>
      </c>
      <c r="S214">
        <f t="shared" si="962"/>
        <v>2530.2189048147043</v>
      </c>
      <c r="T214">
        <f t="shared" si="963"/>
        <v>2.5302189048147041</v>
      </c>
    </row>
    <row r="215" spans="1:20" x14ac:dyDescent="0.25">
      <c r="A215" s="5">
        <v>44378</v>
      </c>
      <c r="B215">
        <v>0.38350000000000001</v>
      </c>
      <c r="C215">
        <v>0.38390000000000002</v>
      </c>
      <c r="D215">
        <v>0.33700000000000002</v>
      </c>
      <c r="E215">
        <v>0.34820000000000001</v>
      </c>
      <c r="F215">
        <v>11747693.67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-0.52238805970149305</v>
      </c>
      <c r="Q215">
        <f t="shared" si="960"/>
        <v>-6136854.9022388123</v>
      </c>
      <c r="R215">
        <f t="shared" si="961"/>
        <v>244468403.12756711</v>
      </c>
      <c r="S215">
        <f t="shared" si="962"/>
        <v>2444.6840312756713</v>
      </c>
      <c r="T215">
        <f t="shared" si="963"/>
        <v>2.4446840312756715</v>
      </c>
    </row>
    <row r="216" spans="1:20" x14ac:dyDescent="0.25">
      <c r="A216" s="5">
        <v>44377</v>
      </c>
      <c r="B216">
        <v>0.37509999999999999</v>
      </c>
      <c r="C216">
        <v>0.39589999999999997</v>
      </c>
      <c r="D216">
        <v>0.34760000000000002</v>
      </c>
      <c r="E216">
        <v>0.38369999999999999</v>
      </c>
      <c r="F216">
        <v>16958371.68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0.49482401656314701</v>
      </c>
      <c r="Q216">
        <f t="shared" si="960"/>
        <v>8391409.5890683234</v>
      </c>
      <c r="R216">
        <f t="shared" si="961"/>
        <v>250605258.02980593</v>
      </c>
      <c r="S216">
        <f t="shared" si="962"/>
        <v>2506.0525802980592</v>
      </c>
      <c r="T216">
        <f t="shared" si="963"/>
        <v>2.5060525802980593</v>
      </c>
    </row>
    <row r="217" spans="1:20" x14ac:dyDescent="0.25">
      <c r="A217" s="5">
        <v>44376</v>
      </c>
      <c r="B217">
        <v>0.35780000000000001</v>
      </c>
      <c r="C217">
        <v>0.39439999999999997</v>
      </c>
      <c r="D217">
        <v>0.3569</v>
      </c>
      <c r="E217">
        <v>0.3755</v>
      </c>
      <c r="F217">
        <v>18648230.379999999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-7.9999999999991241E-3</v>
      </c>
      <c r="Q217">
        <f t="shared" si="960"/>
        <v>-149185.84303998365</v>
      </c>
      <c r="R217">
        <f t="shared" si="961"/>
        <v>242213848.44073761</v>
      </c>
      <c r="S217">
        <f t="shared" si="962"/>
        <v>2422.1384844073759</v>
      </c>
      <c r="T217">
        <f t="shared" si="963"/>
        <v>2.4221384844073759</v>
      </c>
    </row>
    <row r="218" spans="1:20" x14ac:dyDescent="0.25">
      <c r="A218" s="5">
        <v>44375</v>
      </c>
      <c r="B218">
        <v>0.3493</v>
      </c>
      <c r="C218">
        <v>0.36149999999999999</v>
      </c>
      <c r="D218">
        <v>0.34010000000000001</v>
      </c>
      <c r="E218">
        <v>0.35770000000000002</v>
      </c>
      <c r="F218">
        <v>9421374.7599999998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0.64485981308411455</v>
      </c>
      <c r="Q218">
        <f t="shared" si="960"/>
        <v>6075465.9667289946</v>
      </c>
      <c r="R218">
        <f t="shared" si="961"/>
        <v>242363034.28377759</v>
      </c>
      <c r="S218">
        <f t="shared" si="962"/>
        <v>2423.630342837776</v>
      </c>
      <c r="T218">
        <f t="shared" si="963"/>
        <v>2.4236303428377761</v>
      </c>
    </row>
    <row r="219" spans="1:20" x14ac:dyDescent="0.25">
      <c r="A219" s="5">
        <v>44374</v>
      </c>
      <c r="B219">
        <v>0.33829999999999999</v>
      </c>
      <c r="C219">
        <v>0.3493</v>
      </c>
      <c r="D219">
        <v>0.32119999999999999</v>
      </c>
      <c r="E219">
        <v>0.34889999999999999</v>
      </c>
      <c r="F219">
        <v>11302844.57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0.97153024911031949</v>
      </c>
      <c r="Q219">
        <f t="shared" si="960"/>
        <v>10981055.400747322</v>
      </c>
      <c r="R219">
        <f t="shared" si="961"/>
        <v>236287568.31704861</v>
      </c>
      <c r="S219">
        <f t="shared" si="962"/>
        <v>2362.8756831704859</v>
      </c>
      <c r="T219">
        <f t="shared" si="963"/>
        <v>2.3628756831704858</v>
      </c>
    </row>
    <row r="220" spans="1:20" x14ac:dyDescent="0.25">
      <c r="A220" s="5">
        <v>44373</v>
      </c>
      <c r="B220">
        <v>0.33579999999999999</v>
      </c>
      <c r="C220">
        <v>0.35699999999999998</v>
      </c>
      <c r="D220">
        <v>0.31819999999999998</v>
      </c>
      <c r="E220">
        <v>0.3382</v>
      </c>
      <c r="F220">
        <v>10641213.060000001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3.0927835051547278E-2</v>
      </c>
      <c r="Q220">
        <f t="shared" si="960"/>
        <v>329109.68226805067</v>
      </c>
      <c r="R220">
        <f t="shared" si="961"/>
        <v>225306512.91630128</v>
      </c>
      <c r="S220">
        <f t="shared" si="962"/>
        <v>2253.0651291630129</v>
      </c>
      <c r="T220">
        <f t="shared" si="963"/>
        <v>2.253065129163013</v>
      </c>
    </row>
    <row r="221" spans="1:20" x14ac:dyDescent="0.25">
      <c r="A221" s="5">
        <v>44372</v>
      </c>
      <c r="B221">
        <v>0.39319999999999999</v>
      </c>
      <c r="C221">
        <v>0.40389999999999998</v>
      </c>
      <c r="D221">
        <v>0.33260000000000001</v>
      </c>
      <c r="E221">
        <v>0.33600000000000002</v>
      </c>
      <c r="F221">
        <v>20880504.739999998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-0.90462833099579198</v>
      </c>
      <c r="Q221">
        <f t="shared" si="960"/>
        <v>-18889096.153295923</v>
      </c>
      <c r="R221">
        <f t="shared" si="961"/>
        <v>224977403.23403323</v>
      </c>
      <c r="S221">
        <f t="shared" si="962"/>
        <v>2249.7740323403323</v>
      </c>
      <c r="T221">
        <f t="shared" si="963"/>
        <v>2.2497740323403321</v>
      </c>
    </row>
    <row r="222" spans="1:20" x14ac:dyDescent="0.25">
      <c r="A222" s="5">
        <v>44371</v>
      </c>
      <c r="B222">
        <v>0.37090000000000001</v>
      </c>
      <c r="C222">
        <v>0.40989999999999999</v>
      </c>
      <c r="D222">
        <v>0.34939999999999999</v>
      </c>
      <c r="E222">
        <v>0.39290000000000003</v>
      </c>
      <c r="F222">
        <v>14215270.560000001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0.43801652892562115</v>
      </c>
      <c r="Q222">
        <f t="shared" si="960"/>
        <v>6226523.4684297713</v>
      </c>
      <c r="R222">
        <f t="shared" si="961"/>
        <v>243866499.38732916</v>
      </c>
      <c r="S222">
        <f t="shared" si="962"/>
        <v>2438.6649938732917</v>
      </c>
      <c r="T222">
        <f t="shared" si="963"/>
        <v>2.4386649938732918</v>
      </c>
    </row>
    <row r="223" spans="1:20" x14ac:dyDescent="0.25">
      <c r="A223" s="5">
        <v>44370</v>
      </c>
      <c r="B223">
        <v>0.35010000000000002</v>
      </c>
      <c r="C223">
        <v>0.39889999999999998</v>
      </c>
      <c r="D223">
        <v>0.33300000000000002</v>
      </c>
      <c r="E223">
        <v>0.37030000000000002</v>
      </c>
      <c r="F223">
        <v>17390383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0.13201820940819495</v>
      </c>
      <c r="Q223">
        <f t="shared" si="960"/>
        <v>2295847.2245827136</v>
      </c>
      <c r="R223">
        <f t="shared" si="961"/>
        <v>237639975.91889939</v>
      </c>
      <c r="S223">
        <f t="shared" si="962"/>
        <v>2376.3997591889938</v>
      </c>
      <c r="T223">
        <f t="shared" si="963"/>
        <v>2.3763997591889936</v>
      </c>
    </row>
    <row r="224" spans="1:20" x14ac:dyDescent="0.25">
      <c r="A224" s="5">
        <v>44369</v>
      </c>
      <c r="B224">
        <v>0.35830000000000001</v>
      </c>
      <c r="C224">
        <v>0.38969999999999999</v>
      </c>
      <c r="D224">
        <v>0.3</v>
      </c>
      <c r="E224">
        <v>0.35</v>
      </c>
      <c r="F224">
        <v>24173066.18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0.11482720178372326</v>
      </c>
      <c r="Q224">
        <f t="shared" si="960"/>
        <v>2775725.5479821563</v>
      </c>
      <c r="R224">
        <f t="shared" si="961"/>
        <v>235344128.69431669</v>
      </c>
      <c r="S224">
        <f t="shared" si="962"/>
        <v>2353.4412869431667</v>
      </c>
      <c r="T224">
        <f t="shared" si="963"/>
        <v>2.3534412869431667</v>
      </c>
    </row>
    <row r="225" spans="1:20" x14ac:dyDescent="0.25">
      <c r="A225" s="5">
        <v>44368</v>
      </c>
      <c r="B225">
        <v>0.46910000000000002</v>
      </c>
      <c r="C225">
        <v>0.47239999999999999</v>
      </c>
      <c r="D225">
        <v>0.35510000000000003</v>
      </c>
      <c r="E225">
        <v>0.35809999999999997</v>
      </c>
      <c r="F225">
        <v>20361544.940000001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-0.94884910485933593</v>
      </c>
      <c r="Q225">
        <f t="shared" si="960"/>
        <v>-19320033.689872142</v>
      </c>
      <c r="R225">
        <f t="shared" si="961"/>
        <v>232568403.14633453</v>
      </c>
      <c r="S225">
        <f t="shared" si="962"/>
        <v>2325.6840314633455</v>
      </c>
      <c r="T225">
        <f t="shared" si="963"/>
        <v>2.3256840314633456</v>
      </c>
    </row>
    <row r="226" spans="1:20" x14ac:dyDescent="0.25">
      <c r="A226" s="5">
        <v>44367</v>
      </c>
      <c r="B226">
        <v>0.47160000000000002</v>
      </c>
      <c r="C226">
        <v>0.48130000000000001</v>
      </c>
      <c r="D226">
        <v>0.43240000000000001</v>
      </c>
      <c r="E226">
        <v>0.46889999999999998</v>
      </c>
      <c r="F226">
        <v>12545760.35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0.49284253578732012</v>
      </c>
      <c r="Q226">
        <f t="shared" si="960"/>
        <v>6183084.344274017</v>
      </c>
      <c r="R226">
        <f t="shared" si="961"/>
        <v>251888436.83620667</v>
      </c>
      <c r="S226">
        <f t="shared" si="962"/>
        <v>2518.8843683620667</v>
      </c>
      <c r="T226">
        <f t="shared" si="963"/>
        <v>2.5188843683620665</v>
      </c>
    </row>
    <row r="227" spans="1:20" x14ac:dyDescent="0.25">
      <c r="A227" s="5">
        <v>44366</v>
      </c>
      <c r="B227">
        <v>0.48280000000000001</v>
      </c>
      <c r="C227">
        <v>0.49809999999999999</v>
      </c>
      <c r="D227">
        <v>0.46850000000000003</v>
      </c>
      <c r="E227">
        <v>0.47149999999999997</v>
      </c>
      <c r="F227">
        <v>10229244.119999999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-0.79729729729730059</v>
      </c>
      <c r="Q227">
        <f t="shared" si="960"/>
        <v>-8155748.6902703037</v>
      </c>
      <c r="R227">
        <f t="shared" si="961"/>
        <v>245705352.49193266</v>
      </c>
      <c r="S227">
        <f t="shared" si="962"/>
        <v>2457.0535249193267</v>
      </c>
      <c r="T227">
        <f t="shared" si="963"/>
        <v>2.4570535249193268</v>
      </c>
    </row>
    <row r="228" spans="1:20" x14ac:dyDescent="0.25">
      <c r="A228" s="5">
        <v>44365</v>
      </c>
      <c r="B228">
        <v>0.52890000000000004</v>
      </c>
      <c r="C228">
        <v>0.53459999999999996</v>
      </c>
      <c r="D228">
        <v>0.46629999999999999</v>
      </c>
      <c r="E228">
        <v>0.48280000000000001</v>
      </c>
      <c r="F228">
        <v>12394606.310000001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-0.51683748169838883</v>
      </c>
      <c r="Q228">
        <f t="shared" si="960"/>
        <v>-6405997.1119033601</v>
      </c>
      <c r="R228">
        <f t="shared" si="961"/>
        <v>253861101.18220297</v>
      </c>
      <c r="S228">
        <f t="shared" si="962"/>
        <v>2538.6110118220295</v>
      </c>
      <c r="T228">
        <f t="shared" si="963"/>
        <v>2.5386110118220295</v>
      </c>
    </row>
    <row r="229" spans="1:20" x14ac:dyDescent="0.25">
      <c r="A229" s="5">
        <v>44364</v>
      </c>
      <c r="B229">
        <v>0.54079999999999995</v>
      </c>
      <c r="C229">
        <v>0.55910000000000004</v>
      </c>
      <c r="D229">
        <v>0.51570000000000005</v>
      </c>
      <c r="E229">
        <v>0.52849999999999997</v>
      </c>
      <c r="F229">
        <v>10289000.609999999</v>
      </c>
      <c r="G229">
        <v>0</v>
      </c>
      <c r="L229" t="s">
        <v>7</v>
      </c>
      <c r="M229" t="s">
        <v>8</v>
      </c>
      <c r="N229" t="s">
        <v>8</v>
      </c>
      <c r="P229">
        <f t="shared" si="959"/>
        <v>-0.41013824884792976</v>
      </c>
      <c r="Q229">
        <f t="shared" si="960"/>
        <v>-4219912.6925806813</v>
      </c>
      <c r="R229">
        <f t="shared" si="961"/>
        <v>260267098.29410633</v>
      </c>
      <c r="S229">
        <f t="shared" si="962"/>
        <v>2602.6709829410634</v>
      </c>
      <c r="T229">
        <f t="shared" si="963"/>
        <v>2.6026709829410635</v>
      </c>
    </row>
    <row r="230" spans="1:20" x14ac:dyDescent="0.25">
      <c r="A230" s="5">
        <v>44363</v>
      </c>
      <c r="B230">
        <v>0.54669999999999996</v>
      </c>
      <c r="C230">
        <v>0.56479999999999997</v>
      </c>
      <c r="D230">
        <v>0.51639999999999997</v>
      </c>
      <c r="E230">
        <v>0.54090000000000005</v>
      </c>
      <c r="F230">
        <v>15898223.9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1.2396694214879257E-2</v>
      </c>
      <c r="Q230">
        <f t="shared" si="960"/>
        <v>197085.42024798514</v>
      </c>
      <c r="R230">
        <f t="shared" si="961"/>
        <v>264487010.986687</v>
      </c>
      <c r="S230">
        <f t="shared" si="962"/>
        <v>2644.8701098668698</v>
      </c>
      <c r="T230">
        <f t="shared" si="963"/>
        <v>2.6448701098668699</v>
      </c>
    </row>
    <row r="231" spans="1:20" x14ac:dyDescent="0.25">
      <c r="A231" s="5">
        <v>44362</v>
      </c>
      <c r="B231">
        <v>0.54169999999999996</v>
      </c>
      <c r="C231">
        <v>0.56059999999999999</v>
      </c>
      <c r="D231">
        <v>0.53110000000000002</v>
      </c>
      <c r="E231">
        <v>0.54749999999999999</v>
      </c>
      <c r="F231">
        <v>13828268.529999999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0.1118644067796601</v>
      </c>
      <c r="Q231">
        <f t="shared" si="960"/>
        <v>1546891.0558982922</v>
      </c>
      <c r="R231">
        <f t="shared" si="961"/>
        <v>264289925.56643903</v>
      </c>
      <c r="S231">
        <f t="shared" si="962"/>
        <v>2642.8992556643902</v>
      </c>
      <c r="T231">
        <f t="shared" si="963"/>
        <v>2.6428992556643904</v>
      </c>
    </row>
    <row r="232" spans="1:20" x14ac:dyDescent="0.25">
      <c r="A232" s="5">
        <v>44361</v>
      </c>
      <c r="B232">
        <v>0.5272</v>
      </c>
      <c r="C232">
        <v>0.55659999999999998</v>
      </c>
      <c r="D232">
        <v>0.5151</v>
      </c>
      <c r="E232">
        <v>0.54169999999999996</v>
      </c>
      <c r="F232">
        <v>13610403.810000001</v>
      </c>
      <c r="G232">
        <v>0</v>
      </c>
      <c r="L232" t="s">
        <v>8</v>
      </c>
      <c r="M232" t="s">
        <v>7</v>
      </c>
      <c r="N232" t="s">
        <v>8</v>
      </c>
      <c r="P232">
        <f t="shared" si="959"/>
        <v>0.28192771084337198</v>
      </c>
      <c r="Q232">
        <f t="shared" si="960"/>
        <v>3837149.9898072085</v>
      </c>
      <c r="R232">
        <f t="shared" si="961"/>
        <v>262743034.51054075</v>
      </c>
      <c r="S232">
        <f t="shared" si="962"/>
        <v>2627.4303451054075</v>
      </c>
      <c r="T232">
        <f t="shared" si="963"/>
        <v>2.6274303451054073</v>
      </c>
    </row>
    <row r="233" spans="1:20" x14ac:dyDescent="0.25">
      <c r="A233" s="5">
        <v>44360</v>
      </c>
      <c r="B233">
        <v>0.4909</v>
      </c>
      <c r="C233">
        <v>0.53710000000000002</v>
      </c>
      <c r="D233">
        <v>0.47899999999999998</v>
      </c>
      <c r="E233">
        <v>0.5262</v>
      </c>
      <c r="F233">
        <v>14451288.060000001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0.62478485370051595</v>
      </c>
      <c r="Q233">
        <f t="shared" si="960"/>
        <v>9028945.8963511139</v>
      </c>
      <c r="R233">
        <f t="shared" si="961"/>
        <v>258905884.52073354</v>
      </c>
      <c r="S233">
        <f t="shared" si="962"/>
        <v>2589.0588452073353</v>
      </c>
      <c r="T233">
        <f t="shared" si="963"/>
        <v>2.5890588452073353</v>
      </c>
    </row>
    <row r="234" spans="1:20" x14ac:dyDescent="0.25">
      <c r="A234" s="5">
        <v>44359</v>
      </c>
      <c r="B234">
        <v>0.51200000000000001</v>
      </c>
      <c r="C234">
        <v>0.5141</v>
      </c>
      <c r="D234">
        <v>0.47120000000000001</v>
      </c>
      <c r="E234">
        <v>0.4909</v>
      </c>
      <c r="F234">
        <v>13221420.369999999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-8.1585081585081667E-2</v>
      </c>
      <c r="Q234">
        <f t="shared" si="960"/>
        <v>-1078670.6595571106</v>
      </c>
      <c r="R234">
        <f t="shared" si="961"/>
        <v>249876938.62438241</v>
      </c>
      <c r="S234">
        <f t="shared" si="962"/>
        <v>2498.7693862438241</v>
      </c>
      <c r="T234">
        <f t="shared" si="963"/>
        <v>2.4987693862438243</v>
      </c>
    </row>
    <row r="235" spans="1:20" x14ac:dyDescent="0.25">
      <c r="A235" s="5">
        <v>44358</v>
      </c>
      <c r="B235">
        <v>0.53890000000000005</v>
      </c>
      <c r="C235">
        <v>0.55589999999999995</v>
      </c>
      <c r="D235">
        <v>0.49330000000000002</v>
      </c>
      <c r="E235">
        <v>0.51139999999999997</v>
      </c>
      <c r="F235">
        <v>11147077.869999999</v>
      </c>
      <c r="G235">
        <v>0</v>
      </c>
      <c r="L235" t="s">
        <v>7</v>
      </c>
      <c r="M235" t="s">
        <v>7</v>
      </c>
      <c r="N235" t="s">
        <v>8</v>
      </c>
      <c r="P235">
        <f t="shared" si="959"/>
        <v>-0.4217252396166144</v>
      </c>
      <c r="Q235">
        <f t="shared" si="960"/>
        <v>-4701004.0857508089</v>
      </c>
      <c r="R235">
        <f t="shared" si="961"/>
        <v>250955609.28393951</v>
      </c>
      <c r="S235">
        <f t="shared" si="962"/>
        <v>2509.5560928393952</v>
      </c>
      <c r="T235">
        <f t="shared" si="963"/>
        <v>2.5095560928393952</v>
      </c>
    </row>
    <row r="236" spans="1:20" x14ac:dyDescent="0.25">
      <c r="A236" s="5">
        <v>44357</v>
      </c>
      <c r="B236">
        <v>0.55710000000000004</v>
      </c>
      <c r="C236">
        <v>0.59</v>
      </c>
      <c r="D236">
        <v>0.52300000000000002</v>
      </c>
      <c r="E236">
        <v>0.53879999999999995</v>
      </c>
      <c r="F236">
        <v>16736605.57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-0.52835820895522578</v>
      </c>
      <c r="Q236">
        <f t="shared" si="960"/>
        <v>-8842922.9429552555</v>
      </c>
      <c r="R236">
        <f t="shared" si="961"/>
        <v>255656613.36969033</v>
      </c>
      <c r="S236">
        <f t="shared" si="962"/>
        <v>2556.5661336969033</v>
      </c>
      <c r="T236">
        <f t="shared" si="963"/>
        <v>2.5565661336969034</v>
      </c>
    </row>
    <row r="237" spans="1:20" x14ac:dyDescent="0.25">
      <c r="A237" s="5">
        <v>44356</v>
      </c>
      <c r="B237">
        <v>0.53810000000000002</v>
      </c>
      <c r="C237">
        <v>0.56659999999999999</v>
      </c>
      <c r="D237">
        <v>0.49890000000000001</v>
      </c>
      <c r="E237">
        <v>0.55679999999999996</v>
      </c>
      <c r="F237">
        <v>18586131.120000001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0.71048744460856617</v>
      </c>
      <c r="Q237">
        <f t="shared" si="960"/>
        <v>13205212.804608548</v>
      </c>
      <c r="R237">
        <f t="shared" si="961"/>
        <v>264499536.31264558</v>
      </c>
      <c r="S237">
        <f t="shared" si="962"/>
        <v>2644.9953631264557</v>
      </c>
      <c r="T237">
        <f t="shared" si="963"/>
        <v>2.6449953631264558</v>
      </c>
    </row>
    <row r="238" spans="1:20" x14ac:dyDescent="0.25">
      <c r="A238" s="5">
        <v>44355</v>
      </c>
      <c r="B238">
        <v>0.54310000000000003</v>
      </c>
      <c r="C238">
        <v>0.6</v>
      </c>
      <c r="D238">
        <v>0.4778</v>
      </c>
      <c r="E238">
        <v>0.53710000000000002</v>
      </c>
      <c r="F238">
        <v>26177616.93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-2.9459901800326819E-2</v>
      </c>
      <c r="Q238">
        <f t="shared" si="960"/>
        <v>-771190.02412437275</v>
      </c>
      <c r="R238">
        <f t="shared" si="961"/>
        <v>251294323.50803703</v>
      </c>
      <c r="S238">
        <f t="shared" si="962"/>
        <v>2512.9432350803704</v>
      </c>
      <c r="T238">
        <f t="shared" si="963"/>
        <v>2.5129432350803702</v>
      </c>
    </row>
    <row r="239" spans="1:20" x14ac:dyDescent="0.25">
      <c r="A239" s="5">
        <v>44354</v>
      </c>
      <c r="B239">
        <v>0.59630000000000005</v>
      </c>
      <c r="C239">
        <v>0.64400000000000002</v>
      </c>
      <c r="D239">
        <v>0.52839999999999998</v>
      </c>
      <c r="E239">
        <v>0.54400000000000004</v>
      </c>
      <c r="F239">
        <v>22770379.260000002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-0.73010380622837279</v>
      </c>
      <c r="Q239">
        <f t="shared" si="960"/>
        <v>-16624740.566989601</v>
      </c>
      <c r="R239">
        <f t="shared" si="961"/>
        <v>252065513.53216141</v>
      </c>
      <c r="S239">
        <f t="shared" si="962"/>
        <v>2520.6551353216141</v>
      </c>
      <c r="T239">
        <f t="shared" si="963"/>
        <v>2.520655135321614</v>
      </c>
    </row>
    <row r="240" spans="1:20" x14ac:dyDescent="0.25">
      <c r="A240" s="5">
        <v>44353</v>
      </c>
      <c r="B240">
        <v>0.57769999999999999</v>
      </c>
      <c r="C240">
        <v>0.60370000000000001</v>
      </c>
      <c r="D240">
        <v>0.57350000000000001</v>
      </c>
      <c r="E240">
        <v>0.5958</v>
      </c>
      <c r="F240">
        <v>10618652.539999999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0.47682119205297901</v>
      </c>
      <c r="Q240">
        <f t="shared" si="960"/>
        <v>5063198.5621191934</v>
      </c>
      <c r="R240">
        <f t="shared" si="961"/>
        <v>268690254.09915102</v>
      </c>
      <c r="S240">
        <f t="shared" si="962"/>
        <v>2686.9025409915103</v>
      </c>
      <c r="T240">
        <f t="shared" si="963"/>
        <v>2.6869025409915102</v>
      </c>
    </row>
    <row r="241" spans="1:20" x14ac:dyDescent="0.25">
      <c r="A241" s="5">
        <v>44352</v>
      </c>
      <c r="B241">
        <v>0.58620000000000005</v>
      </c>
      <c r="C241">
        <v>0.63749999999999996</v>
      </c>
      <c r="D241">
        <v>0.5595</v>
      </c>
      <c r="E241">
        <v>0.57769999999999999</v>
      </c>
      <c r="F241">
        <v>20726534.379999999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-0.53333333333333321</v>
      </c>
      <c r="Q241">
        <f t="shared" si="960"/>
        <v>-11054151.669333329</v>
      </c>
      <c r="R241">
        <f t="shared" si="961"/>
        <v>263627055.53703183</v>
      </c>
      <c r="S241">
        <f t="shared" si="962"/>
        <v>2636.2705553703181</v>
      </c>
      <c r="T241">
        <f t="shared" si="963"/>
        <v>2.6362705553703183</v>
      </c>
    </row>
    <row r="242" spans="1:20" x14ac:dyDescent="0.25">
      <c r="A242" s="5">
        <v>44351</v>
      </c>
      <c r="B242">
        <v>0.64380000000000004</v>
      </c>
      <c r="C242">
        <v>0.64810000000000001</v>
      </c>
      <c r="D242">
        <v>0.53210000000000002</v>
      </c>
      <c r="E242">
        <v>0.58660000000000001</v>
      </c>
      <c r="F242">
        <v>25482491.66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-6.0344827586206955E-2</v>
      </c>
      <c r="Q242">
        <f t="shared" si="960"/>
        <v>-1537736.5656896567</v>
      </c>
      <c r="R242">
        <f t="shared" si="961"/>
        <v>274681207.20636517</v>
      </c>
      <c r="S242">
        <f t="shared" si="962"/>
        <v>2746.8120720636516</v>
      </c>
      <c r="T242">
        <f t="shared" si="963"/>
        <v>2.7468120720636517</v>
      </c>
    </row>
    <row r="243" spans="1:20" x14ac:dyDescent="0.25">
      <c r="A243" s="5">
        <v>44350</v>
      </c>
      <c r="B243">
        <v>0.60170000000000001</v>
      </c>
      <c r="C243">
        <v>0.6724</v>
      </c>
      <c r="D243">
        <v>0.59219999999999995</v>
      </c>
      <c r="E243">
        <v>0.64339999999999997</v>
      </c>
      <c r="F243">
        <v>24758963.68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0.27680798004987511</v>
      </c>
      <c r="Q243">
        <f t="shared" si="960"/>
        <v>6853478.7243890222</v>
      </c>
      <c r="R243">
        <f t="shared" si="961"/>
        <v>276218943.77205485</v>
      </c>
      <c r="S243">
        <f t="shared" si="962"/>
        <v>2762.1894377205485</v>
      </c>
      <c r="T243">
        <f t="shared" si="963"/>
        <v>2.7621894377205485</v>
      </c>
    </row>
    <row r="244" spans="1:20" x14ac:dyDescent="0.25">
      <c r="A244" s="5">
        <v>44349</v>
      </c>
      <c r="B244">
        <v>0.53280000000000005</v>
      </c>
      <c r="C244">
        <v>0.63870000000000005</v>
      </c>
      <c r="D244">
        <v>0.51500000000000001</v>
      </c>
      <c r="E244">
        <v>0.60219999999999996</v>
      </c>
      <c r="F244">
        <v>28122951.710000001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0.40986257073564952</v>
      </c>
      <c r="Q244">
        <f t="shared" si="960"/>
        <v>11526545.28453513</v>
      </c>
      <c r="R244">
        <f t="shared" si="961"/>
        <v>269365465.04766583</v>
      </c>
      <c r="S244">
        <f t="shared" si="962"/>
        <v>2693.6546504766584</v>
      </c>
      <c r="T244">
        <f t="shared" si="963"/>
        <v>2.6936546504766583</v>
      </c>
    </row>
    <row r="245" spans="1:20" x14ac:dyDescent="0.25">
      <c r="A245" s="5">
        <v>44348</v>
      </c>
      <c r="B245">
        <v>0.55049999999999999</v>
      </c>
      <c r="C245">
        <v>0.57440000000000002</v>
      </c>
      <c r="D245">
        <v>0.51349999999999996</v>
      </c>
      <c r="E245">
        <v>0.53269999999999995</v>
      </c>
      <c r="F245">
        <v>16803482.199999999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-0.36945812807881856</v>
      </c>
      <c r="Q245">
        <f t="shared" si="960"/>
        <v>-6208183.0788177475</v>
      </c>
      <c r="R245">
        <f t="shared" si="961"/>
        <v>257838919.76313069</v>
      </c>
      <c r="S245">
        <f t="shared" si="962"/>
        <v>2578.3891976313071</v>
      </c>
      <c r="T245">
        <f t="shared" si="963"/>
        <v>2.5783891976313069</v>
      </c>
    </row>
    <row r="246" spans="1:20" x14ac:dyDescent="0.25">
      <c r="A246" s="5">
        <v>44347</v>
      </c>
      <c r="B246">
        <v>0.49299999999999999</v>
      </c>
      <c r="C246">
        <v>0.57740000000000002</v>
      </c>
      <c r="D246">
        <v>0.44569999999999999</v>
      </c>
      <c r="E246">
        <v>0.55069999999999997</v>
      </c>
      <c r="F246">
        <v>27378061.170000002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0.59453302961275556</v>
      </c>
      <c r="Q246">
        <f t="shared" si="960"/>
        <v>16277161.652323443</v>
      </c>
      <c r="R246">
        <f t="shared" si="961"/>
        <v>264047102.84194845</v>
      </c>
      <c r="S246">
        <f t="shared" si="962"/>
        <v>2640.4710284194844</v>
      </c>
      <c r="T246">
        <f t="shared" si="963"/>
        <v>2.6404710284194843</v>
      </c>
    </row>
    <row r="247" spans="1:20" x14ac:dyDescent="0.25">
      <c r="A247" s="5">
        <v>44346</v>
      </c>
      <c r="B247">
        <v>0.46350000000000002</v>
      </c>
      <c r="C247">
        <v>0.52529999999999999</v>
      </c>
      <c r="D247">
        <v>0.43070000000000003</v>
      </c>
      <c r="E247">
        <v>0.49380000000000002</v>
      </c>
      <c r="F247">
        <v>17515273.800000001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0.33403805496828787</v>
      </c>
      <c r="Q247">
        <f t="shared" si="960"/>
        <v>5850767.9923890121</v>
      </c>
      <c r="R247">
        <f t="shared" si="961"/>
        <v>247769941.18962499</v>
      </c>
      <c r="S247">
        <f t="shared" si="962"/>
        <v>2477.6994118962498</v>
      </c>
      <c r="T247">
        <f t="shared" si="963"/>
        <v>2.4776994118962499</v>
      </c>
    </row>
    <row r="248" spans="1:20" x14ac:dyDescent="0.25">
      <c r="A248" s="5">
        <v>44345</v>
      </c>
      <c r="B248">
        <v>0.50109999999999999</v>
      </c>
      <c r="C248">
        <v>0.52680000000000005</v>
      </c>
      <c r="D248">
        <v>0.43469999999999998</v>
      </c>
      <c r="E248">
        <v>0.46410000000000001</v>
      </c>
      <c r="F248">
        <v>14202425.27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-0.36156351791530911</v>
      </c>
      <c r="Q248">
        <f t="shared" si="960"/>
        <v>-5135078.8435504837</v>
      </c>
      <c r="R248">
        <f t="shared" si="961"/>
        <v>241919173.19723597</v>
      </c>
      <c r="S248">
        <f t="shared" si="962"/>
        <v>2419.1917319723598</v>
      </c>
      <c r="T248">
        <f t="shared" si="963"/>
        <v>2.4191917319723597</v>
      </c>
    </row>
    <row r="249" spans="1:20" x14ac:dyDescent="0.25">
      <c r="A249" s="5">
        <v>44344</v>
      </c>
      <c r="B249">
        <v>0.59540000000000004</v>
      </c>
      <c r="C249">
        <v>0.60489999999999999</v>
      </c>
      <c r="D249">
        <v>0.47249999999999998</v>
      </c>
      <c r="E249">
        <v>0.50049999999999994</v>
      </c>
      <c r="F249">
        <v>20876559.25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-0.57703927492447182</v>
      </c>
      <c r="Q249">
        <f t="shared" si="960"/>
        <v>-12046594.612537775</v>
      </c>
      <c r="R249">
        <f t="shared" si="961"/>
        <v>247054252.04078645</v>
      </c>
      <c r="S249">
        <f t="shared" si="962"/>
        <v>2470.5425204078642</v>
      </c>
      <c r="T249">
        <f t="shared" si="963"/>
        <v>2.4705425204078644</v>
      </c>
    </row>
    <row r="250" spans="1:20" x14ac:dyDescent="0.25">
      <c r="A250" s="5">
        <v>44343</v>
      </c>
      <c r="B250">
        <v>0.6099</v>
      </c>
      <c r="C250">
        <v>0.62949999999999995</v>
      </c>
      <c r="D250">
        <v>0.53859999999999997</v>
      </c>
      <c r="E250">
        <v>0.59540000000000004</v>
      </c>
      <c r="F250">
        <v>18887311.190000001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0.24972497249725159</v>
      </c>
      <c r="Q250">
        <f t="shared" si="960"/>
        <v>4716633.2674697824</v>
      </c>
      <c r="R250">
        <f t="shared" si="961"/>
        <v>259100846.65332422</v>
      </c>
      <c r="S250">
        <f t="shared" si="962"/>
        <v>2591.008466533242</v>
      </c>
      <c r="T250">
        <f t="shared" si="963"/>
        <v>2.5910084665332418</v>
      </c>
    </row>
    <row r="251" spans="1:20" x14ac:dyDescent="0.25">
      <c r="A251" s="5">
        <v>44342</v>
      </c>
      <c r="B251">
        <v>0.56130000000000002</v>
      </c>
      <c r="C251">
        <v>0.63</v>
      </c>
      <c r="D251">
        <v>0.54690000000000005</v>
      </c>
      <c r="E251">
        <v>0.60980000000000001</v>
      </c>
      <c r="F251">
        <v>22726468.210000001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0.51383874849578803</v>
      </c>
      <c r="Q251">
        <f t="shared" si="960"/>
        <v>11677739.982755713</v>
      </c>
      <c r="R251">
        <f t="shared" si="961"/>
        <v>254384213.38585442</v>
      </c>
      <c r="S251">
        <f t="shared" si="962"/>
        <v>2543.8421338585445</v>
      </c>
      <c r="T251">
        <f t="shared" si="963"/>
        <v>2.5438421338585444</v>
      </c>
    </row>
    <row r="252" spans="1:20" x14ac:dyDescent="0.25">
      <c r="A252" s="5">
        <v>44341</v>
      </c>
      <c r="B252">
        <v>0.49330000000000002</v>
      </c>
      <c r="C252">
        <v>0.58899999999999997</v>
      </c>
      <c r="D252">
        <v>0.48159999999999997</v>
      </c>
      <c r="E252">
        <v>0.56059999999999999</v>
      </c>
      <c r="F252">
        <v>28134219.43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0.47113594040968376</v>
      </c>
      <c r="Q252">
        <f t="shared" si="960"/>
        <v>13255041.928845447</v>
      </c>
      <c r="R252">
        <f t="shared" si="961"/>
        <v>242706473.4030987</v>
      </c>
      <c r="S252">
        <f t="shared" si="962"/>
        <v>2427.064734030987</v>
      </c>
      <c r="T252">
        <f t="shared" si="963"/>
        <v>2.4270647340309868</v>
      </c>
    </row>
    <row r="253" spans="1:20" x14ac:dyDescent="0.25">
      <c r="A253" s="5">
        <v>44340</v>
      </c>
      <c r="B253">
        <v>0.39350000000000002</v>
      </c>
      <c r="C253">
        <v>0.50149999999999995</v>
      </c>
      <c r="D253">
        <v>0.36820000000000003</v>
      </c>
      <c r="E253">
        <v>0.49330000000000002</v>
      </c>
      <c r="F253">
        <v>21605328.02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0.8769692423105786</v>
      </c>
      <c r="Q253">
        <f t="shared" si="960"/>
        <v>18947208.143570911</v>
      </c>
      <c r="R253">
        <f t="shared" si="961"/>
        <v>229451431.47425327</v>
      </c>
      <c r="S253">
        <f t="shared" si="962"/>
        <v>2294.5143147425329</v>
      </c>
      <c r="T253">
        <f t="shared" si="963"/>
        <v>2.2945143147425329</v>
      </c>
    </row>
    <row r="254" spans="1:20" x14ac:dyDescent="0.25">
      <c r="A254" s="5">
        <v>44339</v>
      </c>
      <c r="B254">
        <v>0.45529999999999998</v>
      </c>
      <c r="C254">
        <v>0.47970000000000002</v>
      </c>
      <c r="D254">
        <v>0.32</v>
      </c>
      <c r="E254">
        <v>0.39290000000000003</v>
      </c>
      <c r="F254">
        <v>27033052.640000001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-8.7038196618659788E-2</v>
      </c>
      <c r="Q254">
        <f t="shared" si="960"/>
        <v>-2352908.1508829002</v>
      </c>
      <c r="R254">
        <f t="shared" si="961"/>
        <v>210504223.33068237</v>
      </c>
      <c r="S254">
        <f t="shared" si="962"/>
        <v>2105.0422333068236</v>
      </c>
      <c r="T254">
        <f t="shared" si="963"/>
        <v>2.1050422333068237</v>
      </c>
    </row>
    <row r="255" spans="1:20" x14ac:dyDescent="0.25">
      <c r="A255" s="5">
        <v>44338</v>
      </c>
      <c r="B255">
        <v>0.51400000000000001</v>
      </c>
      <c r="C255">
        <v>0.51759999999999995</v>
      </c>
      <c r="D255">
        <v>0.438</v>
      </c>
      <c r="E255">
        <v>0.45450000000000002</v>
      </c>
      <c r="F255">
        <v>27413331.640000001</v>
      </c>
      <c r="G255">
        <v>0</v>
      </c>
      <c r="L255" t="s">
        <v>7</v>
      </c>
      <c r="M255" t="s">
        <v>8</v>
      </c>
      <c r="N255" t="s">
        <v>7</v>
      </c>
      <c r="P255">
        <f t="shared" si="959"/>
        <v>-0.58542713567839133</v>
      </c>
      <c r="Q255">
        <f t="shared" si="960"/>
        <v>-16048508.221407019</v>
      </c>
      <c r="R255">
        <f t="shared" si="961"/>
        <v>212857131.48156527</v>
      </c>
      <c r="S255">
        <f t="shared" si="962"/>
        <v>2128.5713148156528</v>
      </c>
      <c r="T255">
        <f t="shared" si="963"/>
        <v>2.1285713148156526</v>
      </c>
    </row>
    <row r="256" spans="1:20" x14ac:dyDescent="0.25">
      <c r="A256" s="5">
        <v>44337</v>
      </c>
      <c r="B256">
        <v>0.64539999999999997</v>
      </c>
      <c r="C256">
        <v>0.66969999999999996</v>
      </c>
      <c r="D256">
        <v>0.43</v>
      </c>
      <c r="E256">
        <v>0.51400000000000001</v>
      </c>
      <c r="F256">
        <v>41866935.329999998</v>
      </c>
      <c r="G256">
        <v>0</v>
      </c>
      <c r="L256" t="s">
        <v>8</v>
      </c>
      <c r="M256" t="s">
        <v>7</v>
      </c>
      <c r="N256" t="s">
        <v>7</v>
      </c>
      <c r="P256">
        <f t="shared" si="959"/>
        <v>-0.29912390488110113</v>
      </c>
      <c r="Q256">
        <f t="shared" si="960"/>
        <v>-12523401.181314131</v>
      </c>
      <c r="R256">
        <f t="shared" si="961"/>
        <v>228905639.70297229</v>
      </c>
      <c r="S256">
        <f t="shared" si="962"/>
        <v>2289.056397029723</v>
      </c>
      <c r="T256">
        <f t="shared" si="963"/>
        <v>2.2890563970297229</v>
      </c>
    </row>
    <row r="257" spans="1:20" x14ac:dyDescent="0.25">
      <c r="A257" s="5">
        <v>44336</v>
      </c>
      <c r="B257">
        <v>0.44940000000000002</v>
      </c>
      <c r="C257">
        <v>0.65569999999999995</v>
      </c>
      <c r="D257">
        <v>0.4</v>
      </c>
      <c r="E257">
        <v>0.64600000000000002</v>
      </c>
      <c r="F257">
        <v>37438926.399999999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0.92412983965584716</v>
      </c>
      <c r="Q257">
        <f t="shared" si="960"/>
        <v>34598429.050919063</v>
      </c>
      <c r="R257">
        <f t="shared" si="961"/>
        <v>241429040.88428643</v>
      </c>
      <c r="S257">
        <f t="shared" si="962"/>
        <v>2414.2904088428645</v>
      </c>
      <c r="T257">
        <f t="shared" si="963"/>
        <v>2.4142904088428647</v>
      </c>
    </row>
    <row r="258" spans="1:20" x14ac:dyDescent="0.25">
      <c r="A258" s="5">
        <v>44335</v>
      </c>
      <c r="B258">
        <v>0.74050000000000005</v>
      </c>
      <c r="C258">
        <v>0.75960000000000005</v>
      </c>
      <c r="D258">
        <v>0.31659999999999999</v>
      </c>
      <c r="E258">
        <v>0.44950000000000001</v>
      </c>
      <c r="F258">
        <v>40951114.270000003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</v>
      </c>
      <c r="Q258">
        <f t="shared" si="960"/>
        <v>-16380445.708000002</v>
      </c>
      <c r="R258">
        <f t="shared" si="961"/>
        <v>206830611.83336738</v>
      </c>
      <c r="S258">
        <f t="shared" si="962"/>
        <v>2068.3061183336736</v>
      </c>
      <c r="T258">
        <f t="shared" si="963"/>
        <v>2.0683061183336737</v>
      </c>
    </row>
    <row r="259" spans="1:20" x14ac:dyDescent="0.25">
      <c r="A259" s="5">
        <v>44334</v>
      </c>
      <c r="B259">
        <v>0.71809999999999996</v>
      </c>
      <c r="C259">
        <v>0.77059999999999995</v>
      </c>
      <c r="D259">
        <v>0.69830000000000003</v>
      </c>
      <c r="E259">
        <v>0.74119999999999997</v>
      </c>
      <c r="F259">
        <v>13007905.1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0.18672199170124443</v>
      </c>
      <c r="Q259">
        <f t="shared" si="960"/>
        <v>2428861.9481327748</v>
      </c>
      <c r="R259">
        <f t="shared" si="961"/>
        <v>223211057.54136738</v>
      </c>
      <c r="S259">
        <f t="shared" si="962"/>
        <v>2232.1105754136738</v>
      </c>
      <c r="T259">
        <f t="shared" si="963"/>
        <v>2.2321105754136736</v>
      </c>
    </row>
    <row r="260" spans="1:20" x14ac:dyDescent="0.25">
      <c r="A260" s="5">
        <v>44333</v>
      </c>
      <c r="B260">
        <v>0.78369999999999995</v>
      </c>
      <c r="C260">
        <v>0.78380000000000005</v>
      </c>
      <c r="D260">
        <v>0.67900000000000005</v>
      </c>
      <c r="E260">
        <v>0.71550000000000002</v>
      </c>
      <c r="F260">
        <v>16755691.82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-0.30343511450381727</v>
      </c>
      <c r="Q260">
        <f t="shared" si="960"/>
        <v>-5084265.2659923742</v>
      </c>
      <c r="R260">
        <f t="shared" si="961"/>
        <v>220782195.5932346</v>
      </c>
      <c r="S260">
        <f t="shared" si="962"/>
        <v>2207.8219559323461</v>
      </c>
      <c r="T260">
        <f t="shared" si="963"/>
        <v>2.2078219559323462</v>
      </c>
    </row>
    <row r="261" spans="1:20" x14ac:dyDescent="0.25">
      <c r="A261" s="5">
        <v>44332</v>
      </c>
      <c r="B261">
        <v>0.79979999999999996</v>
      </c>
      <c r="C261">
        <v>0.86109999999999998</v>
      </c>
      <c r="D261">
        <v>0.72550000000000003</v>
      </c>
      <c r="E261">
        <v>0.78359999999999996</v>
      </c>
      <c r="F261">
        <v>20649460.379999999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-0.1430678466076703</v>
      </c>
      <c r="Q261">
        <f t="shared" si="960"/>
        <v>-2954273.8301770049</v>
      </c>
      <c r="R261">
        <f t="shared" si="961"/>
        <v>225866460.85922697</v>
      </c>
      <c r="S261">
        <f t="shared" si="962"/>
        <v>2258.6646085922698</v>
      </c>
      <c r="T261">
        <f t="shared" si="963"/>
        <v>2.2586646085922699</v>
      </c>
    </row>
    <row r="262" spans="1:20" x14ac:dyDescent="0.25">
      <c r="A262" s="5">
        <v>44331</v>
      </c>
      <c r="B262">
        <v>0.90010000000000001</v>
      </c>
      <c r="C262">
        <v>0.91190000000000004</v>
      </c>
      <c r="D262">
        <v>0.79190000000000005</v>
      </c>
      <c r="E262">
        <v>0.79869999999999997</v>
      </c>
      <c r="F262">
        <v>18611215.690000001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-0.88666666666666805</v>
      </c>
      <c r="Q262">
        <f t="shared" ref="Q262:Q325" si="965">F262*P262</f>
        <v>-16501944.578466693</v>
      </c>
      <c r="R262">
        <f t="shared" ref="R262:R325" si="966">R263+Q262</f>
        <v>228820734.68940398</v>
      </c>
      <c r="S262">
        <f t="shared" ref="S262:S325" si="967">R262/100000</f>
        <v>2288.2073468940398</v>
      </c>
      <c r="T262">
        <f t="shared" ref="T262:T325" si="968">S262/1000</f>
        <v>2.2882073468940396</v>
      </c>
    </row>
    <row r="263" spans="1:20" x14ac:dyDescent="0.25">
      <c r="A263" s="5">
        <v>44330</v>
      </c>
      <c r="B263">
        <v>0.83989999999999998</v>
      </c>
      <c r="C263">
        <v>0.95889999999999997</v>
      </c>
      <c r="D263">
        <v>0.82069999999999999</v>
      </c>
      <c r="E263">
        <v>0.90010000000000001</v>
      </c>
      <c r="F263">
        <v>18079260.829999998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0.14905933429811913</v>
      </c>
      <c r="Q263">
        <f t="shared" si="965"/>
        <v>2694882.5839218604</v>
      </c>
      <c r="R263">
        <f t="shared" si="966"/>
        <v>245322679.26787066</v>
      </c>
      <c r="S263">
        <f t="shared" si="967"/>
        <v>2453.2267926787067</v>
      </c>
      <c r="T263">
        <f t="shared" si="968"/>
        <v>2.4532267926787066</v>
      </c>
    </row>
    <row r="264" spans="1:20" x14ac:dyDescent="0.25">
      <c r="A264" s="5">
        <v>44329</v>
      </c>
      <c r="B264">
        <v>0.80679999999999996</v>
      </c>
      <c r="C264">
        <v>0.89959999999999996</v>
      </c>
      <c r="D264">
        <v>0.75</v>
      </c>
      <c r="E264">
        <v>0.83889999999999998</v>
      </c>
      <c r="F264">
        <v>27703550.899999999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0.18850267379679153</v>
      </c>
      <c r="Q264">
        <f t="shared" si="965"/>
        <v>5222193.4183155103</v>
      </c>
      <c r="R264">
        <f t="shared" si="966"/>
        <v>242627796.68394881</v>
      </c>
      <c r="S264">
        <f t="shared" si="967"/>
        <v>2426.2779668394883</v>
      </c>
      <c r="T264">
        <f t="shared" si="968"/>
        <v>2.4262779668394883</v>
      </c>
    </row>
    <row r="265" spans="1:20" x14ac:dyDescent="0.25">
      <c r="A265" s="5">
        <v>44328</v>
      </c>
      <c r="B265">
        <v>1.0012000000000001</v>
      </c>
      <c r="C265">
        <v>1.0458000000000001</v>
      </c>
      <c r="D265">
        <v>0.79</v>
      </c>
      <c r="E265">
        <v>0.80349999999999999</v>
      </c>
      <c r="F265">
        <v>22908397.649999999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-0.89444878811571571</v>
      </c>
      <c r="Q265">
        <f t="shared" si="965"/>
        <v>-20490388.515715409</v>
      </c>
      <c r="R265">
        <f t="shared" si="966"/>
        <v>237405603.26563331</v>
      </c>
      <c r="S265">
        <f t="shared" si="967"/>
        <v>2374.0560326563332</v>
      </c>
      <c r="T265">
        <f t="shared" si="968"/>
        <v>2.3740560326563331</v>
      </c>
    </row>
    <row r="266" spans="1:20" x14ac:dyDescent="0.25">
      <c r="A266" s="5">
        <v>44327</v>
      </c>
      <c r="B266">
        <v>0.96279999999999999</v>
      </c>
      <c r="C266">
        <v>1.0197000000000001</v>
      </c>
      <c r="D266">
        <v>0.90600000000000003</v>
      </c>
      <c r="E266">
        <v>1.0013000000000001</v>
      </c>
      <c r="F266">
        <v>27169491.690000001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0.6763412489006162</v>
      </c>
      <c r="Q266">
        <f t="shared" si="965"/>
        <v>18375847.941609513</v>
      </c>
      <c r="R266">
        <f t="shared" si="966"/>
        <v>257895991.78134874</v>
      </c>
      <c r="S266">
        <f t="shared" si="967"/>
        <v>2578.9599178134872</v>
      </c>
      <c r="T266">
        <f t="shared" si="968"/>
        <v>2.5789599178134872</v>
      </c>
    </row>
    <row r="267" spans="1:20" x14ac:dyDescent="0.25">
      <c r="A267" s="5">
        <v>44326</v>
      </c>
      <c r="B267">
        <v>0.96460000000000001</v>
      </c>
      <c r="C267">
        <v>1.129</v>
      </c>
      <c r="D267">
        <v>0.87019999999999997</v>
      </c>
      <c r="E267">
        <v>0.96419999999999995</v>
      </c>
      <c r="F267">
        <v>60149619.890000001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-0.27357032457496167</v>
      </c>
      <c r="Q267">
        <f t="shared" si="965"/>
        <v>-16455151.036367871</v>
      </c>
      <c r="R267">
        <f t="shared" si="966"/>
        <v>239520143.83973923</v>
      </c>
      <c r="S267">
        <f t="shared" si="967"/>
        <v>2395.2014383973924</v>
      </c>
      <c r="T267">
        <f t="shared" si="968"/>
        <v>2.3952014383973923</v>
      </c>
    </row>
    <row r="268" spans="1:20" x14ac:dyDescent="0.25">
      <c r="A268" s="5">
        <v>44325</v>
      </c>
      <c r="B268">
        <v>0.95809999999999995</v>
      </c>
      <c r="C268">
        <v>1</v>
      </c>
      <c r="D268">
        <v>0.91</v>
      </c>
      <c r="E268">
        <v>0.9647</v>
      </c>
      <c r="F268">
        <v>21291161.59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0.21555555555555533</v>
      </c>
      <c r="Q268">
        <f t="shared" si="965"/>
        <v>4589428.1649555508</v>
      </c>
      <c r="R268">
        <f t="shared" si="966"/>
        <v>255975294.8761071</v>
      </c>
      <c r="S268">
        <f t="shared" si="967"/>
        <v>2559.7529487610709</v>
      </c>
      <c r="T268">
        <f t="shared" si="968"/>
        <v>2.5597529487610711</v>
      </c>
    </row>
    <row r="269" spans="1:20" x14ac:dyDescent="0.25">
      <c r="A269" s="5">
        <v>44324</v>
      </c>
      <c r="B269">
        <v>0.98260000000000003</v>
      </c>
      <c r="C269">
        <v>1.012</v>
      </c>
      <c r="D269">
        <v>0.94010000000000005</v>
      </c>
      <c r="E269">
        <v>0.95730000000000004</v>
      </c>
      <c r="F269">
        <v>15338351.9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-0.52155771905424197</v>
      </c>
      <c r="Q269">
        <f t="shared" si="965"/>
        <v>-7999835.8310152991</v>
      </c>
      <c r="R269">
        <f t="shared" si="966"/>
        <v>251385866.71115154</v>
      </c>
      <c r="S269">
        <f t="shared" si="967"/>
        <v>2513.8586671115154</v>
      </c>
      <c r="T269">
        <f t="shared" si="968"/>
        <v>2.5138586671115153</v>
      </c>
    </row>
    <row r="270" spans="1:20" x14ac:dyDescent="0.25">
      <c r="A270" s="5">
        <v>44323</v>
      </c>
      <c r="B270">
        <v>0.98560000000000003</v>
      </c>
      <c r="C270">
        <v>1.1299999999999999</v>
      </c>
      <c r="D270">
        <v>0.93810000000000004</v>
      </c>
      <c r="E270">
        <v>0.98209999999999997</v>
      </c>
      <c r="F270">
        <v>37797577.310000002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-0.541427826993226</v>
      </c>
      <c r="Q270">
        <f t="shared" si="965"/>
        <v>-20464660.148561765</v>
      </c>
      <c r="R270">
        <f t="shared" si="966"/>
        <v>259385702.54216683</v>
      </c>
      <c r="S270">
        <f t="shared" si="967"/>
        <v>2593.8570254216684</v>
      </c>
      <c r="T270">
        <f t="shared" si="968"/>
        <v>2.5938570254216682</v>
      </c>
    </row>
    <row r="271" spans="1:20" x14ac:dyDescent="0.25">
      <c r="A271" s="5">
        <v>44322</v>
      </c>
      <c r="B271">
        <v>1.0197000000000001</v>
      </c>
      <c r="C271">
        <v>1.0475000000000001</v>
      </c>
      <c r="D271">
        <v>0.92</v>
      </c>
      <c r="E271">
        <v>0.98640000000000005</v>
      </c>
      <c r="F271">
        <v>32334383.030000001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4.1568627450980146E-2</v>
      </c>
      <c r="Q271">
        <f t="shared" si="965"/>
        <v>1344095.9220313646</v>
      </c>
      <c r="R271">
        <f t="shared" si="966"/>
        <v>279850362.6907286</v>
      </c>
      <c r="S271">
        <f t="shared" si="967"/>
        <v>2798.5036269072862</v>
      </c>
      <c r="T271">
        <f t="shared" si="968"/>
        <v>2.7985036269072863</v>
      </c>
    </row>
    <row r="272" spans="1:20" x14ac:dyDescent="0.25">
      <c r="A272" s="5">
        <v>44321</v>
      </c>
      <c r="B272">
        <v>0.83919999999999995</v>
      </c>
      <c r="C272">
        <v>1.0452999999999999</v>
      </c>
      <c r="D272">
        <v>0.82830000000000004</v>
      </c>
      <c r="E272">
        <v>1.0194000000000001</v>
      </c>
      <c r="F272">
        <v>31236030.91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0.76129032258064677</v>
      </c>
      <c r="Q272">
        <f t="shared" si="965"/>
        <v>23779688.047612954</v>
      </c>
      <c r="R272">
        <f t="shared" si="966"/>
        <v>278506266.76869726</v>
      </c>
      <c r="S272">
        <f t="shared" si="967"/>
        <v>2785.0626676869724</v>
      </c>
      <c r="T272">
        <f t="shared" si="968"/>
        <v>2.7850626676869723</v>
      </c>
    </row>
    <row r="273" spans="1:20" x14ac:dyDescent="0.25">
      <c r="A273" s="5">
        <v>44320</v>
      </c>
      <c r="B273">
        <v>0.96330000000000005</v>
      </c>
      <c r="C273">
        <v>0.96509999999999996</v>
      </c>
      <c r="D273">
        <v>0.82240000000000002</v>
      </c>
      <c r="E273">
        <v>0.8397</v>
      </c>
      <c r="F273">
        <v>27392149.649999999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-0.75753328661527697</v>
      </c>
      <c r="Q273">
        <f t="shared" si="965"/>
        <v>-20750465.151822008</v>
      </c>
      <c r="R273">
        <f t="shared" si="966"/>
        <v>254726578.72108433</v>
      </c>
      <c r="S273">
        <f t="shared" si="967"/>
        <v>2547.2657872108434</v>
      </c>
      <c r="T273">
        <f t="shared" si="968"/>
        <v>2.5472657872108435</v>
      </c>
    </row>
    <row r="274" spans="1:20" x14ac:dyDescent="0.25">
      <c r="A274" s="5">
        <v>44319</v>
      </c>
      <c r="B274">
        <v>1.0064</v>
      </c>
      <c r="C274">
        <v>1.0585</v>
      </c>
      <c r="D274">
        <v>0.94340000000000002</v>
      </c>
      <c r="E274">
        <v>0.96150000000000002</v>
      </c>
      <c r="F274">
        <v>21128562.579999998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-0.68549087749782789</v>
      </c>
      <c r="Q274">
        <f t="shared" si="965"/>
        <v>-14483436.903231969</v>
      </c>
      <c r="R274">
        <f t="shared" si="966"/>
        <v>275477043.87290633</v>
      </c>
      <c r="S274">
        <f t="shared" si="967"/>
        <v>2754.7704387290632</v>
      </c>
      <c r="T274">
        <f t="shared" si="968"/>
        <v>2.7547704387290635</v>
      </c>
    </row>
    <row r="275" spans="1:20" x14ac:dyDescent="0.25">
      <c r="A275" s="5">
        <v>44318</v>
      </c>
      <c r="B275">
        <v>0.92</v>
      </c>
      <c r="C275">
        <v>1.0494000000000001</v>
      </c>
      <c r="D275">
        <v>0.87180000000000002</v>
      </c>
      <c r="E275">
        <v>1.0086999999999999</v>
      </c>
      <c r="F275">
        <v>43997725.810000002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0.54166666666666485</v>
      </c>
      <c r="Q275">
        <f t="shared" si="965"/>
        <v>23832101.480416588</v>
      </c>
      <c r="R275">
        <f t="shared" si="966"/>
        <v>289960480.77613831</v>
      </c>
      <c r="S275">
        <f t="shared" si="967"/>
        <v>2899.6048077613832</v>
      </c>
      <c r="T275">
        <f t="shared" si="968"/>
        <v>2.8996048077613832</v>
      </c>
    </row>
    <row r="276" spans="1:20" x14ac:dyDescent="0.25">
      <c r="A276" s="5">
        <v>44317</v>
      </c>
      <c r="B276">
        <v>0.92949999999999999</v>
      </c>
      <c r="C276">
        <v>0.96499999999999997</v>
      </c>
      <c r="D276">
        <v>0.88739999999999997</v>
      </c>
      <c r="E276">
        <v>0.92</v>
      </c>
      <c r="F276">
        <v>29082736.739999998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-0.15979381443298782</v>
      </c>
      <c r="Q276">
        <f t="shared" si="965"/>
        <v>-4647241.4378349967</v>
      </c>
      <c r="R276">
        <f t="shared" si="966"/>
        <v>266128379.29572174</v>
      </c>
      <c r="S276">
        <f t="shared" si="967"/>
        <v>2661.2837929572174</v>
      </c>
      <c r="T276">
        <f t="shared" si="968"/>
        <v>2.6612837929572173</v>
      </c>
    </row>
    <row r="277" spans="1:20" x14ac:dyDescent="0.25">
      <c r="A277" s="5">
        <v>44316</v>
      </c>
      <c r="B277">
        <v>0.75539999999999996</v>
      </c>
      <c r="C277">
        <v>0.95199999999999996</v>
      </c>
      <c r="D277">
        <v>0.74</v>
      </c>
      <c r="E277">
        <v>0.9294</v>
      </c>
      <c r="F277">
        <v>42980422.850000001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0.78679245283018906</v>
      </c>
      <c r="Q277">
        <f t="shared" si="965"/>
        <v>33816672.317830205</v>
      </c>
      <c r="R277">
        <f t="shared" si="966"/>
        <v>270775620.73355675</v>
      </c>
      <c r="S277">
        <f t="shared" si="967"/>
        <v>2707.7562073355675</v>
      </c>
      <c r="T277">
        <f t="shared" si="968"/>
        <v>2.7077562073355677</v>
      </c>
    </row>
    <row r="278" spans="1:20" x14ac:dyDescent="0.25">
      <c r="A278" s="5">
        <v>44315</v>
      </c>
      <c r="B278">
        <v>0.745</v>
      </c>
      <c r="C278">
        <v>0.77700000000000002</v>
      </c>
      <c r="D278">
        <v>0.71619999999999995</v>
      </c>
      <c r="E278">
        <v>0.75549999999999995</v>
      </c>
      <c r="F278">
        <v>17562672.760000002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0.29276315789473528</v>
      </c>
      <c r="Q278">
        <f t="shared" si="965"/>
        <v>5141703.5382894464</v>
      </c>
      <c r="R278">
        <f t="shared" si="966"/>
        <v>236958948.41572654</v>
      </c>
      <c r="S278">
        <f t="shared" si="967"/>
        <v>2369.5894841572654</v>
      </c>
      <c r="T278">
        <f t="shared" si="968"/>
        <v>2.3695894841572653</v>
      </c>
    </row>
    <row r="279" spans="1:20" x14ac:dyDescent="0.25">
      <c r="A279" s="5">
        <v>44314</v>
      </c>
      <c r="B279">
        <v>0.78649999999999998</v>
      </c>
      <c r="C279">
        <v>0.81499999999999995</v>
      </c>
      <c r="D279">
        <v>0.71209999999999996</v>
      </c>
      <c r="E279">
        <v>0.74439999999999995</v>
      </c>
      <c r="F279">
        <v>18304182.43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-0.37220602526724977</v>
      </c>
      <c r="Q279">
        <f t="shared" si="965"/>
        <v>-6812926.9880369296</v>
      </c>
      <c r="R279">
        <f t="shared" si="966"/>
        <v>231817244.87743708</v>
      </c>
      <c r="S279">
        <f t="shared" si="967"/>
        <v>2318.1724487743709</v>
      </c>
      <c r="T279">
        <f t="shared" si="968"/>
        <v>2.3181724487743707</v>
      </c>
    </row>
    <row r="280" spans="1:20" x14ac:dyDescent="0.25">
      <c r="A280" s="5">
        <v>44313</v>
      </c>
      <c r="B280">
        <v>0.76349999999999996</v>
      </c>
      <c r="C280">
        <v>0.81479999999999997</v>
      </c>
      <c r="D280">
        <v>0.746</v>
      </c>
      <c r="E280">
        <v>0.78639999999999999</v>
      </c>
      <c r="F280">
        <v>19748732.489999998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0.17441860465116302</v>
      </c>
      <c r="Q280">
        <f t="shared" si="965"/>
        <v>3444546.364534888</v>
      </c>
      <c r="R280">
        <f t="shared" si="966"/>
        <v>238630171.86547402</v>
      </c>
      <c r="S280">
        <f t="shared" si="967"/>
        <v>2386.3017186547399</v>
      </c>
      <c r="T280">
        <f t="shared" si="968"/>
        <v>2.3863017186547397</v>
      </c>
    </row>
    <row r="281" spans="1:20" x14ac:dyDescent="0.25">
      <c r="A281" s="5">
        <v>44312</v>
      </c>
      <c r="B281">
        <v>0.64039999999999997</v>
      </c>
      <c r="C281">
        <v>0.77239999999999998</v>
      </c>
      <c r="D281">
        <v>0.63009999999999999</v>
      </c>
      <c r="E281">
        <v>0.76349999999999996</v>
      </c>
      <c r="F281">
        <v>30921410.239999998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0.87491215741391404</v>
      </c>
      <c r="Q281">
        <f t="shared" si="965"/>
        <v>27053517.743359093</v>
      </c>
      <c r="R281">
        <f t="shared" si="966"/>
        <v>235185625.50093913</v>
      </c>
      <c r="S281">
        <f t="shared" si="967"/>
        <v>2351.8562550093911</v>
      </c>
      <c r="T281">
        <f t="shared" si="968"/>
        <v>2.3518562550093911</v>
      </c>
    </row>
    <row r="282" spans="1:20" x14ac:dyDescent="0.25">
      <c r="A282" s="5">
        <v>44311</v>
      </c>
      <c r="B282">
        <v>0.67130000000000001</v>
      </c>
      <c r="C282">
        <v>0.71319999999999995</v>
      </c>
      <c r="D282">
        <v>0.59819999999999995</v>
      </c>
      <c r="E282">
        <v>0.64100000000000001</v>
      </c>
      <c r="F282">
        <v>22904565.940000001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-0.25565217391304235</v>
      </c>
      <c r="Q282">
        <f t="shared" si="965"/>
        <v>-5855602.0750956265</v>
      </c>
      <c r="R282">
        <f t="shared" si="966"/>
        <v>208132107.75758004</v>
      </c>
      <c r="S282">
        <f t="shared" si="967"/>
        <v>2081.3210775758002</v>
      </c>
      <c r="T282">
        <f t="shared" si="968"/>
        <v>2.0813210775758004</v>
      </c>
    </row>
    <row r="283" spans="1:20" x14ac:dyDescent="0.25">
      <c r="A283" s="5">
        <v>44310</v>
      </c>
      <c r="B283">
        <v>0.72650000000000003</v>
      </c>
      <c r="C283">
        <v>0.74880000000000002</v>
      </c>
      <c r="D283">
        <v>0.65439999999999998</v>
      </c>
      <c r="E283">
        <v>0.66949999999999998</v>
      </c>
      <c r="F283">
        <v>24347769.760000002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-0.68008474576271194</v>
      </c>
      <c r="Q283">
        <f t="shared" si="965"/>
        <v>-16558546.807118647</v>
      </c>
      <c r="R283">
        <f t="shared" si="966"/>
        <v>213987709.83267567</v>
      </c>
      <c r="S283">
        <f t="shared" si="967"/>
        <v>2139.8770983267568</v>
      </c>
      <c r="T283">
        <f t="shared" si="968"/>
        <v>2.1398770983267568</v>
      </c>
    </row>
    <row r="284" spans="1:20" x14ac:dyDescent="0.25">
      <c r="A284" s="5">
        <v>44309</v>
      </c>
      <c r="B284">
        <v>0.71919999999999995</v>
      </c>
      <c r="C284">
        <v>0.7792</v>
      </c>
      <c r="D284">
        <v>0.57840000000000003</v>
      </c>
      <c r="E284">
        <v>0.72719999999999996</v>
      </c>
      <c r="F284">
        <v>49773968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0.48207171314740982</v>
      </c>
      <c r="Q284">
        <f t="shared" si="965"/>
        <v>23994622.023904357</v>
      </c>
      <c r="R284">
        <f t="shared" si="966"/>
        <v>230546256.63979432</v>
      </c>
      <c r="S284">
        <f t="shared" si="967"/>
        <v>2305.4625663979432</v>
      </c>
      <c r="T284">
        <f t="shared" si="968"/>
        <v>2.3054625663979431</v>
      </c>
    </row>
    <row r="285" spans="1:20" x14ac:dyDescent="0.25">
      <c r="A285" s="5">
        <v>44308</v>
      </c>
      <c r="B285">
        <v>0.8266</v>
      </c>
      <c r="C285">
        <v>0.878</v>
      </c>
      <c r="D285">
        <v>0.69420000000000004</v>
      </c>
      <c r="E285">
        <v>0.72109999999999996</v>
      </c>
      <c r="F285">
        <v>32116059.420000002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-0.70729053318824886</v>
      </c>
      <c r="Q285">
        <f t="shared" si="965"/>
        <v>-22715384.791077282</v>
      </c>
      <c r="R285">
        <f t="shared" si="966"/>
        <v>206551634.61588997</v>
      </c>
      <c r="S285">
        <f t="shared" si="967"/>
        <v>2065.5163461588995</v>
      </c>
      <c r="T285">
        <f t="shared" si="968"/>
        <v>2.0655163461588995</v>
      </c>
    </row>
    <row r="286" spans="1:20" x14ac:dyDescent="0.25">
      <c r="A286" s="5">
        <v>44307</v>
      </c>
      <c r="B286">
        <v>0.89190000000000003</v>
      </c>
      <c r="C286">
        <v>0.92610000000000003</v>
      </c>
      <c r="D286">
        <v>0.81469999999999998</v>
      </c>
      <c r="E286">
        <v>0.82640000000000002</v>
      </c>
      <c r="F286">
        <v>23395623.73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-0.78994614003590591</v>
      </c>
      <c r="Q286">
        <f t="shared" si="965"/>
        <v>-18481282.659245946</v>
      </c>
      <c r="R286">
        <f t="shared" si="966"/>
        <v>229267019.40696725</v>
      </c>
      <c r="S286">
        <f t="shared" si="967"/>
        <v>2292.6701940696726</v>
      </c>
      <c r="T286">
        <f t="shared" si="968"/>
        <v>2.2926701940696725</v>
      </c>
    </row>
    <row r="287" spans="1:20" x14ac:dyDescent="0.25">
      <c r="A287" s="5">
        <v>44306</v>
      </c>
      <c r="B287">
        <v>0.9446</v>
      </c>
      <c r="C287">
        <v>0.9647</v>
      </c>
      <c r="D287">
        <v>0.81410000000000005</v>
      </c>
      <c r="E287">
        <v>0.8911</v>
      </c>
      <c r="F287">
        <v>36498803.82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2.2576361221779279E-2</v>
      </c>
      <c r="Q287">
        <f t="shared" si="965"/>
        <v>824010.17920317745</v>
      </c>
      <c r="R287">
        <f t="shared" si="966"/>
        <v>247748302.06621319</v>
      </c>
      <c r="S287">
        <f t="shared" si="967"/>
        <v>2477.4830206621318</v>
      </c>
      <c r="T287">
        <f t="shared" si="968"/>
        <v>2.4774830206621319</v>
      </c>
    </row>
    <row r="288" spans="1:20" x14ac:dyDescent="0.25">
      <c r="A288" s="5">
        <v>44305</v>
      </c>
      <c r="B288">
        <v>1.0631999999999999</v>
      </c>
      <c r="C288">
        <v>1.1920999999999999</v>
      </c>
      <c r="D288">
        <v>0.90359999999999996</v>
      </c>
      <c r="E288">
        <v>0.94499999999999995</v>
      </c>
      <c r="F288">
        <v>74200670.019999996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-0.71299826689774704</v>
      </c>
      <c r="Q288">
        <f t="shared" si="965"/>
        <v>-52904949.12691161</v>
      </c>
      <c r="R288">
        <f t="shared" si="966"/>
        <v>246924291.88701001</v>
      </c>
      <c r="S288">
        <f t="shared" si="967"/>
        <v>2469.2429188700999</v>
      </c>
      <c r="T288">
        <f t="shared" si="968"/>
        <v>2.4692429188700999</v>
      </c>
    </row>
    <row r="289" spans="1:20" x14ac:dyDescent="0.25">
      <c r="A289" s="5">
        <v>44304</v>
      </c>
      <c r="B289">
        <v>1.0155000000000001</v>
      </c>
      <c r="C289">
        <v>1.1000000000000001</v>
      </c>
      <c r="D289">
        <v>0.59919999999999995</v>
      </c>
      <c r="E289">
        <v>1.0634999999999999</v>
      </c>
      <c r="F289">
        <v>62382613.600000001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0.85423322683705993</v>
      </c>
      <c r="Q289">
        <f t="shared" si="965"/>
        <v>53289301.314057462</v>
      </c>
      <c r="R289">
        <f t="shared" si="966"/>
        <v>299829241.01392162</v>
      </c>
      <c r="S289">
        <f t="shared" si="967"/>
        <v>2998.2924101392164</v>
      </c>
      <c r="T289">
        <f t="shared" si="968"/>
        <v>2.9982924101392165</v>
      </c>
    </row>
    <row r="290" spans="1:20" x14ac:dyDescent="0.25">
      <c r="A290" s="5">
        <v>44303</v>
      </c>
      <c r="B290">
        <v>1.0476000000000001</v>
      </c>
      <c r="C290">
        <v>1.1698999999999999</v>
      </c>
      <c r="D290">
        <v>0.98440000000000005</v>
      </c>
      <c r="E290">
        <v>1.0159</v>
      </c>
      <c r="F290">
        <v>26668326.43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-0.66037735849056611</v>
      </c>
      <c r="Q290">
        <f t="shared" si="965"/>
        <v>-17611158.96320755</v>
      </c>
      <c r="R290">
        <f t="shared" si="966"/>
        <v>246539939.69986415</v>
      </c>
      <c r="S290">
        <f t="shared" si="967"/>
        <v>2465.3993969986414</v>
      </c>
      <c r="T290">
        <f t="shared" si="968"/>
        <v>2.4653993969986412</v>
      </c>
    </row>
    <row r="291" spans="1:20" x14ac:dyDescent="0.25">
      <c r="A291" s="5">
        <v>44302</v>
      </c>
      <c r="B291">
        <v>1.0267999999999999</v>
      </c>
      <c r="C291">
        <v>1.1419999999999999</v>
      </c>
      <c r="D291">
        <v>0.95709999999999995</v>
      </c>
      <c r="E291">
        <v>1.0447</v>
      </c>
      <c r="F291">
        <v>46193987.740000002</v>
      </c>
      <c r="G291">
        <v>0</v>
      </c>
      <c r="L291" t="s">
        <v>8</v>
      </c>
      <c r="M291" t="s">
        <v>8</v>
      </c>
      <c r="N291" t="s">
        <v>7</v>
      </c>
      <c r="P291">
        <f t="shared" si="964"/>
        <v>-5.2460789616008294E-2</v>
      </c>
      <c r="Q291">
        <f t="shared" si="965"/>
        <v>-2423373.0723526063</v>
      </c>
      <c r="R291">
        <f t="shared" si="966"/>
        <v>264151098.66307169</v>
      </c>
      <c r="S291">
        <f t="shared" si="967"/>
        <v>2641.5109866307171</v>
      </c>
      <c r="T291">
        <f t="shared" si="968"/>
        <v>2.6415109866307169</v>
      </c>
    </row>
    <row r="292" spans="1:20" x14ac:dyDescent="0.25">
      <c r="A292" s="5">
        <v>44301</v>
      </c>
      <c r="B292">
        <v>0.94510000000000005</v>
      </c>
      <c r="C292">
        <v>1.04</v>
      </c>
      <c r="D292">
        <v>0.92</v>
      </c>
      <c r="E292">
        <v>1.0268999999999999</v>
      </c>
      <c r="F292">
        <v>19861583.440000001</v>
      </c>
      <c r="G292">
        <v>0</v>
      </c>
      <c r="L292" t="s">
        <v>7</v>
      </c>
      <c r="M292" t="s">
        <v>8</v>
      </c>
      <c r="N292" t="s">
        <v>7</v>
      </c>
      <c r="P292">
        <f t="shared" si="964"/>
        <v>0.78166666666666484</v>
      </c>
      <c r="Q292">
        <f t="shared" si="965"/>
        <v>15525137.722266631</v>
      </c>
      <c r="R292">
        <f t="shared" si="966"/>
        <v>266574471.73542431</v>
      </c>
      <c r="S292">
        <f t="shared" si="967"/>
        <v>2665.7447173542432</v>
      </c>
      <c r="T292">
        <f t="shared" si="968"/>
        <v>2.6657447173542432</v>
      </c>
    </row>
    <row r="293" spans="1:20" x14ac:dyDescent="0.25">
      <c r="A293" s="5">
        <v>44300</v>
      </c>
      <c r="B293">
        <v>0.95440000000000003</v>
      </c>
      <c r="C293">
        <v>1.0222</v>
      </c>
      <c r="D293">
        <v>0.88649999999999995</v>
      </c>
      <c r="E293">
        <v>0.94550000000000001</v>
      </c>
      <c r="F293">
        <v>26227095.239999998</v>
      </c>
      <c r="G293">
        <v>0</v>
      </c>
      <c r="L293" t="s">
        <v>8</v>
      </c>
      <c r="M293" t="s">
        <v>8</v>
      </c>
      <c r="N293" t="s">
        <v>7</v>
      </c>
      <c r="P293">
        <f t="shared" si="964"/>
        <v>-0.13043478260869515</v>
      </c>
      <c r="Q293">
        <f t="shared" si="965"/>
        <v>-3420925.4660869432</v>
      </c>
      <c r="R293">
        <f t="shared" si="966"/>
        <v>251049334.01315767</v>
      </c>
      <c r="S293">
        <f t="shared" si="967"/>
        <v>2510.4933401315766</v>
      </c>
      <c r="T293">
        <f t="shared" si="968"/>
        <v>2.5104933401315765</v>
      </c>
    </row>
    <row r="294" spans="1:20" x14ac:dyDescent="0.25">
      <c r="A294" s="5">
        <v>44299</v>
      </c>
      <c r="B294">
        <v>0.88890000000000002</v>
      </c>
      <c r="C294">
        <v>0.98</v>
      </c>
      <c r="D294">
        <v>0.83989999999999998</v>
      </c>
      <c r="E294">
        <v>0.95399999999999996</v>
      </c>
      <c r="F294">
        <v>26782321.559999999</v>
      </c>
      <c r="G294">
        <v>0</v>
      </c>
      <c r="L294" t="s">
        <v>8</v>
      </c>
      <c r="M294" t="s">
        <v>7</v>
      </c>
      <c r="N294" t="s">
        <v>7</v>
      </c>
      <c r="P294">
        <f t="shared" si="964"/>
        <v>0.62883654532476774</v>
      </c>
      <c r="Q294">
        <f t="shared" si="965"/>
        <v>16841702.565567445</v>
      </c>
      <c r="R294">
        <f t="shared" si="966"/>
        <v>254470259.47924462</v>
      </c>
      <c r="S294">
        <f t="shared" si="967"/>
        <v>2544.7025947924462</v>
      </c>
      <c r="T294">
        <f t="shared" si="968"/>
        <v>2.5447025947924464</v>
      </c>
    </row>
    <row r="295" spans="1:20" x14ac:dyDescent="0.25">
      <c r="A295" s="5">
        <v>44298</v>
      </c>
      <c r="B295">
        <v>0.9304</v>
      </c>
      <c r="C295">
        <v>0.93510000000000004</v>
      </c>
      <c r="D295">
        <v>0.84179999999999999</v>
      </c>
      <c r="E295">
        <v>0.89090000000000003</v>
      </c>
      <c r="F295">
        <v>22732325.32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5.2518756698821147E-2</v>
      </c>
      <c r="Q295">
        <f t="shared" si="965"/>
        <v>1193873.4626795317</v>
      </c>
      <c r="R295">
        <f t="shared" si="966"/>
        <v>237628556.91367719</v>
      </c>
      <c r="S295">
        <f t="shared" si="967"/>
        <v>2376.2855691367718</v>
      </c>
      <c r="T295">
        <f t="shared" si="968"/>
        <v>2.3762855691367717</v>
      </c>
    </row>
    <row r="296" spans="1:20" x14ac:dyDescent="0.25">
      <c r="A296" s="5">
        <v>44297</v>
      </c>
      <c r="B296">
        <v>0.96609999999999996</v>
      </c>
      <c r="C296">
        <v>0.97729999999999995</v>
      </c>
      <c r="D296">
        <v>0.91339999999999999</v>
      </c>
      <c r="E296">
        <v>0.92889999999999995</v>
      </c>
      <c r="F296">
        <v>15891575.359999999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-0.51486697965571304</v>
      </c>
      <c r="Q296">
        <f t="shared" si="965"/>
        <v>-8182047.40757435</v>
      </c>
      <c r="R296">
        <f t="shared" si="966"/>
        <v>236434683.45099765</v>
      </c>
      <c r="S296">
        <f t="shared" si="967"/>
        <v>2364.3468345099764</v>
      </c>
      <c r="T296">
        <f t="shared" si="968"/>
        <v>2.3643468345099765</v>
      </c>
    </row>
    <row r="297" spans="1:20" x14ac:dyDescent="0.25">
      <c r="A297" s="5">
        <v>44296</v>
      </c>
      <c r="B297">
        <v>1.0232000000000001</v>
      </c>
      <c r="C297">
        <v>1.0889</v>
      </c>
      <c r="D297">
        <v>0.92849999999999999</v>
      </c>
      <c r="E297">
        <v>0.96609999999999996</v>
      </c>
      <c r="F297">
        <v>27585059.940000001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-0.53117206982543674</v>
      </c>
      <c r="Q297">
        <f t="shared" si="965"/>
        <v>-14652413.384588538</v>
      </c>
      <c r="R297">
        <f t="shared" si="966"/>
        <v>244616730.85857201</v>
      </c>
      <c r="S297">
        <f t="shared" si="967"/>
        <v>2446.1673085857201</v>
      </c>
      <c r="T297">
        <f t="shared" si="968"/>
        <v>2.4461673085857201</v>
      </c>
    </row>
    <row r="298" spans="1:20" x14ac:dyDescent="0.25">
      <c r="A298" s="5">
        <v>44295</v>
      </c>
      <c r="B298">
        <v>0.93210000000000004</v>
      </c>
      <c r="C298">
        <v>1.0900000000000001</v>
      </c>
      <c r="D298">
        <v>0.88</v>
      </c>
      <c r="E298">
        <v>1.0237000000000001</v>
      </c>
      <c r="F298">
        <v>50662360.590000004</v>
      </c>
      <c r="G298">
        <v>0</v>
      </c>
      <c r="L298" t="s">
        <v>7</v>
      </c>
      <c r="M298" t="s">
        <v>7</v>
      </c>
      <c r="N298" t="s">
        <v>7</v>
      </c>
      <c r="P298">
        <f t="shared" si="964"/>
        <v>0.36857142857142855</v>
      </c>
      <c r="Q298">
        <f t="shared" si="965"/>
        <v>18672698.617457144</v>
      </c>
      <c r="R298">
        <f t="shared" si="966"/>
        <v>259269144.24316055</v>
      </c>
      <c r="S298">
        <f t="shared" si="967"/>
        <v>2592.6914424316055</v>
      </c>
      <c r="T298">
        <f t="shared" si="968"/>
        <v>2.5926914424316054</v>
      </c>
    </row>
    <row r="299" spans="1:20" x14ac:dyDescent="0.25">
      <c r="A299" s="5">
        <v>44294</v>
      </c>
      <c r="B299">
        <v>0.91769999999999996</v>
      </c>
      <c r="C299">
        <v>0.99990000000000001</v>
      </c>
      <c r="D299">
        <v>0.90749999999999997</v>
      </c>
      <c r="E299">
        <v>0.93230000000000002</v>
      </c>
      <c r="F299">
        <v>23575046.890000001</v>
      </c>
      <c r="G299">
        <v>0</v>
      </c>
      <c r="L299" t="s">
        <v>7</v>
      </c>
      <c r="M299" t="s">
        <v>7</v>
      </c>
      <c r="N299" t="s">
        <v>7</v>
      </c>
      <c r="P299">
        <f t="shared" si="964"/>
        <v>-0.46320346320346245</v>
      </c>
      <c r="Q299">
        <f t="shared" si="965"/>
        <v>-10920043.364632018</v>
      </c>
      <c r="R299">
        <f t="shared" si="966"/>
        <v>240596445.62570339</v>
      </c>
      <c r="S299">
        <f t="shared" si="967"/>
        <v>2405.9644562570338</v>
      </c>
      <c r="T299">
        <f t="shared" si="968"/>
        <v>2.4059644562570339</v>
      </c>
    </row>
    <row r="300" spans="1:20" x14ac:dyDescent="0.25">
      <c r="A300" s="5">
        <v>44293</v>
      </c>
      <c r="B300">
        <v>1.101</v>
      </c>
      <c r="C300">
        <v>1.25</v>
      </c>
      <c r="D300">
        <v>0.87129999999999996</v>
      </c>
      <c r="E300">
        <v>0.91549999999999998</v>
      </c>
      <c r="F300">
        <v>59461187.75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-0.76656984420385521</v>
      </c>
      <c r="Q300">
        <f t="shared" si="965"/>
        <v>-45581153.429693684</v>
      </c>
      <c r="R300">
        <f t="shared" si="966"/>
        <v>251516488.9903354</v>
      </c>
      <c r="S300">
        <f t="shared" si="967"/>
        <v>2515.1648899033539</v>
      </c>
      <c r="T300">
        <f t="shared" si="968"/>
        <v>2.5151648899033541</v>
      </c>
    </row>
    <row r="301" spans="1:20" x14ac:dyDescent="0.25">
      <c r="A301" s="5">
        <v>44292</v>
      </c>
      <c r="B301">
        <v>0.96960000000000002</v>
      </c>
      <c r="C301">
        <v>1.1399999999999999</v>
      </c>
      <c r="D301">
        <v>0.9284</v>
      </c>
      <c r="E301">
        <v>1.1014999999999999</v>
      </c>
      <c r="F301">
        <v>55016155.060000002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0.63610586011342163</v>
      </c>
      <c r="Q301">
        <f t="shared" si="965"/>
        <v>34996098.634574674</v>
      </c>
      <c r="R301">
        <f t="shared" si="966"/>
        <v>297097642.4200291</v>
      </c>
      <c r="S301">
        <f t="shared" si="967"/>
        <v>2970.9764242002911</v>
      </c>
      <c r="T301">
        <f t="shared" si="968"/>
        <v>2.9709764242002912</v>
      </c>
    </row>
    <row r="302" spans="1:20" x14ac:dyDescent="0.25">
      <c r="A302" s="5">
        <v>44291</v>
      </c>
      <c r="B302">
        <v>0.83420000000000005</v>
      </c>
      <c r="C302">
        <v>0.97</v>
      </c>
      <c r="D302">
        <v>0.79320000000000002</v>
      </c>
      <c r="E302">
        <v>0.97</v>
      </c>
      <c r="F302">
        <v>32182599.449999999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1</v>
      </c>
      <c r="Q302">
        <f t="shared" si="965"/>
        <v>32182599.449999999</v>
      </c>
      <c r="R302">
        <f t="shared" si="966"/>
        <v>262101543.78545445</v>
      </c>
      <c r="S302">
        <f t="shared" si="967"/>
        <v>2621.0154378545444</v>
      </c>
      <c r="T302">
        <f t="shared" si="968"/>
        <v>2.6210154378545445</v>
      </c>
    </row>
    <row r="303" spans="1:20" x14ac:dyDescent="0.25">
      <c r="A303" s="5">
        <v>44290</v>
      </c>
      <c r="B303">
        <v>0.77290000000000003</v>
      </c>
      <c r="C303">
        <v>0.87280000000000002</v>
      </c>
      <c r="D303">
        <v>0.76119999999999999</v>
      </c>
      <c r="E303">
        <v>0.83430000000000004</v>
      </c>
      <c r="F303">
        <v>22541633.100000001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0.3100358422939074</v>
      </c>
      <c r="Q303">
        <f t="shared" si="965"/>
        <v>6988714.2048387239</v>
      </c>
      <c r="R303">
        <f t="shared" si="966"/>
        <v>229918944.33545446</v>
      </c>
      <c r="S303">
        <f t="shared" si="967"/>
        <v>2299.1894433545444</v>
      </c>
      <c r="T303">
        <f t="shared" si="968"/>
        <v>2.2991894433545443</v>
      </c>
    </row>
    <row r="304" spans="1:20" x14ac:dyDescent="0.25">
      <c r="A304" s="5">
        <v>44289</v>
      </c>
      <c r="B304">
        <v>0.84389999999999998</v>
      </c>
      <c r="C304">
        <v>0.88149999999999995</v>
      </c>
      <c r="D304">
        <v>0.76800000000000002</v>
      </c>
      <c r="E304">
        <v>0.77400000000000002</v>
      </c>
      <c r="F304">
        <v>28183647.879999999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-0.89427312775330381</v>
      </c>
      <c r="Q304">
        <f t="shared" si="965"/>
        <v>-25203878.941145368</v>
      </c>
      <c r="R304">
        <f t="shared" si="966"/>
        <v>222930230.13061574</v>
      </c>
      <c r="S304">
        <f t="shared" si="967"/>
        <v>2229.3023013061575</v>
      </c>
      <c r="T304">
        <f t="shared" si="968"/>
        <v>2.2293023013061575</v>
      </c>
    </row>
    <row r="305" spans="1:20" x14ac:dyDescent="0.25">
      <c r="A305" s="5">
        <v>44288</v>
      </c>
      <c r="B305">
        <v>0.77600000000000002</v>
      </c>
      <c r="C305">
        <v>0.94530000000000003</v>
      </c>
      <c r="D305">
        <v>0.74080000000000001</v>
      </c>
      <c r="E305">
        <v>0.84370000000000001</v>
      </c>
      <c r="F305">
        <v>56049234.490000002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6.3569682151587668E-3</v>
      </c>
      <c r="Q305">
        <f t="shared" si="965"/>
        <v>356303.20213691052</v>
      </c>
      <c r="R305">
        <f t="shared" si="966"/>
        <v>248134109.0717611</v>
      </c>
      <c r="S305">
        <f t="shared" si="967"/>
        <v>2481.3410907176112</v>
      </c>
      <c r="T305">
        <f t="shared" si="968"/>
        <v>2.4813410907176112</v>
      </c>
    </row>
    <row r="306" spans="1:20" x14ac:dyDescent="0.25">
      <c r="A306" s="5">
        <v>44287</v>
      </c>
      <c r="B306">
        <v>0.86329999999999996</v>
      </c>
      <c r="C306">
        <v>0.9</v>
      </c>
      <c r="D306">
        <v>0.7339</v>
      </c>
      <c r="E306">
        <v>0.77480000000000004</v>
      </c>
      <c r="F306">
        <v>33225325.41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-0.50752558699578521</v>
      </c>
      <c r="Q306">
        <f t="shared" si="965"/>
        <v>-16862702.781836227</v>
      </c>
      <c r="R306">
        <f t="shared" si="966"/>
        <v>247777805.8696242</v>
      </c>
      <c r="S306">
        <f t="shared" si="967"/>
        <v>2477.7780586962422</v>
      </c>
      <c r="T306">
        <f t="shared" si="968"/>
        <v>2.4777780586962423</v>
      </c>
    </row>
    <row r="307" spans="1:20" x14ac:dyDescent="0.25">
      <c r="A307" s="5">
        <v>44286</v>
      </c>
      <c r="B307">
        <v>0.66379999999999995</v>
      </c>
      <c r="C307">
        <v>0.88980000000000004</v>
      </c>
      <c r="D307">
        <v>0.6</v>
      </c>
      <c r="E307">
        <v>0.86539999999999995</v>
      </c>
      <c r="F307">
        <v>73131592.590000004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0.83160800552104841</v>
      </c>
      <c r="Q307">
        <f t="shared" si="965"/>
        <v>60816817.854347788</v>
      </c>
      <c r="R307">
        <f t="shared" si="966"/>
        <v>264640508.65146044</v>
      </c>
      <c r="S307">
        <f t="shared" si="967"/>
        <v>2646.4050865146046</v>
      </c>
      <c r="T307">
        <f t="shared" si="968"/>
        <v>2.6464050865146045</v>
      </c>
    </row>
    <row r="308" spans="1:20" x14ac:dyDescent="0.25">
      <c r="A308" s="5">
        <v>44285</v>
      </c>
      <c r="B308">
        <v>0.64600000000000002</v>
      </c>
      <c r="C308">
        <v>0.68479999999999996</v>
      </c>
      <c r="D308">
        <v>0.63</v>
      </c>
      <c r="E308">
        <v>0.66310000000000002</v>
      </c>
      <c r="F308">
        <v>27132164.350000001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0.20802919708029352</v>
      </c>
      <c r="Q308">
        <f t="shared" si="965"/>
        <v>5644282.364781064</v>
      </c>
      <c r="R308">
        <f t="shared" si="966"/>
        <v>203823690.79711264</v>
      </c>
      <c r="S308">
        <f t="shared" si="967"/>
        <v>2038.2369079711264</v>
      </c>
      <c r="T308">
        <f t="shared" si="968"/>
        <v>2.0382369079711262</v>
      </c>
    </row>
    <row r="309" spans="1:20" x14ac:dyDescent="0.25">
      <c r="A309" s="5">
        <v>44284</v>
      </c>
      <c r="B309">
        <v>0.62629999999999997</v>
      </c>
      <c r="C309">
        <v>0.72899999999999998</v>
      </c>
      <c r="D309">
        <v>0.59630000000000005</v>
      </c>
      <c r="E309">
        <v>0.64639999999999997</v>
      </c>
      <c r="F309">
        <v>80753666.909999996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-0.24491333835719745</v>
      </c>
      <c r="Q309">
        <f t="shared" si="965"/>
        <v>-19777650.147513248</v>
      </c>
      <c r="R309">
        <f t="shared" si="966"/>
        <v>198179408.43233159</v>
      </c>
      <c r="S309">
        <f t="shared" si="967"/>
        <v>1981.7940843233159</v>
      </c>
      <c r="T309">
        <f t="shared" si="968"/>
        <v>1.9817940843233159</v>
      </c>
    </row>
    <row r="310" spans="1:20" x14ac:dyDescent="0.25">
      <c r="A310" s="5">
        <v>44283</v>
      </c>
      <c r="B310">
        <v>0.47449999999999998</v>
      </c>
      <c r="C310">
        <v>0.62819999999999998</v>
      </c>
      <c r="D310">
        <v>0.4708</v>
      </c>
      <c r="E310">
        <v>0.62639999999999996</v>
      </c>
      <c r="F310">
        <v>49149018.460000001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0.9771283354510798</v>
      </c>
      <c r="Q310">
        <f t="shared" si="965"/>
        <v>48024898.596874192</v>
      </c>
      <c r="R310">
        <f t="shared" si="966"/>
        <v>217957058.57984483</v>
      </c>
      <c r="S310">
        <f t="shared" si="967"/>
        <v>2179.5705857984485</v>
      </c>
      <c r="T310">
        <f t="shared" si="968"/>
        <v>2.1795705857984484</v>
      </c>
    </row>
    <row r="311" spans="1:20" x14ac:dyDescent="0.25">
      <c r="A311" s="5">
        <v>44282</v>
      </c>
      <c r="B311">
        <v>0.4592</v>
      </c>
      <c r="C311">
        <v>0.49659999999999999</v>
      </c>
      <c r="D311">
        <v>0.45329999999999998</v>
      </c>
      <c r="E311">
        <v>0.47420000000000001</v>
      </c>
      <c r="F311">
        <v>14016811.189999999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-3.4642032332562252E-2</v>
      </c>
      <c r="Q311">
        <f t="shared" si="965"/>
        <v>-485570.82644340035</v>
      </c>
      <c r="R311">
        <f t="shared" si="966"/>
        <v>169932159.98297065</v>
      </c>
      <c r="S311">
        <f t="shared" si="967"/>
        <v>1699.3215998297067</v>
      </c>
      <c r="T311">
        <f t="shared" si="968"/>
        <v>1.6993215998297067</v>
      </c>
    </row>
    <row r="312" spans="1:20" x14ac:dyDescent="0.25">
      <c r="A312" s="5">
        <v>44281</v>
      </c>
      <c r="B312">
        <v>0.41799999999999998</v>
      </c>
      <c r="C312">
        <v>0.4793</v>
      </c>
      <c r="D312">
        <v>0.41739999999999999</v>
      </c>
      <c r="E312">
        <v>0.4597</v>
      </c>
      <c r="F312">
        <v>18469552.170000002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0.36672051696284319</v>
      </c>
      <c r="Q312">
        <f t="shared" si="965"/>
        <v>6773163.7198546026</v>
      </c>
      <c r="R312">
        <f t="shared" si="966"/>
        <v>170417730.80941406</v>
      </c>
      <c r="S312">
        <f t="shared" si="967"/>
        <v>1704.1773080941407</v>
      </c>
      <c r="T312">
        <f t="shared" si="968"/>
        <v>1.7041773080941407</v>
      </c>
    </row>
    <row r="313" spans="1:20" x14ac:dyDescent="0.25">
      <c r="A313" s="5">
        <v>44280</v>
      </c>
      <c r="B313">
        <v>0.44040000000000001</v>
      </c>
      <c r="C313">
        <v>0.47</v>
      </c>
      <c r="D313">
        <v>0.40200000000000002</v>
      </c>
      <c r="E313">
        <v>0.41810000000000003</v>
      </c>
      <c r="F313">
        <v>21789043.07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-0.52647058823529369</v>
      </c>
      <c r="Q313">
        <f t="shared" si="965"/>
        <v>-11471290.322147049</v>
      </c>
      <c r="R313">
        <f t="shared" si="966"/>
        <v>163644567.08955947</v>
      </c>
      <c r="S313">
        <f t="shared" si="967"/>
        <v>1636.4456708955947</v>
      </c>
      <c r="T313">
        <f t="shared" si="968"/>
        <v>1.6364456708955948</v>
      </c>
    </row>
    <row r="314" spans="1:20" x14ac:dyDescent="0.25">
      <c r="A314" s="5">
        <v>44279</v>
      </c>
      <c r="B314">
        <v>0.47820000000000001</v>
      </c>
      <c r="C314">
        <v>0.54</v>
      </c>
      <c r="D314">
        <v>0.42120000000000002</v>
      </c>
      <c r="E314">
        <v>0.442</v>
      </c>
      <c r="F314">
        <v>20661059.739999998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-0.64983164983165009</v>
      </c>
      <c r="Q314">
        <f t="shared" si="965"/>
        <v>-13426210.538114483</v>
      </c>
      <c r="R314">
        <f t="shared" si="966"/>
        <v>175115857.41170651</v>
      </c>
      <c r="S314">
        <f t="shared" si="967"/>
        <v>1751.158574117065</v>
      </c>
      <c r="T314">
        <f t="shared" si="968"/>
        <v>1.751158574117065</v>
      </c>
    </row>
    <row r="315" spans="1:20" x14ac:dyDescent="0.25">
      <c r="A315" s="5">
        <v>44278</v>
      </c>
      <c r="B315">
        <v>0.49149999999999999</v>
      </c>
      <c r="C315">
        <v>0.51229999999999998</v>
      </c>
      <c r="D315">
        <v>0.46579999999999999</v>
      </c>
      <c r="E315">
        <v>0.47799999999999998</v>
      </c>
      <c r="F315">
        <v>16753243.689999999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-0.47526881720430142</v>
      </c>
      <c r="Q315">
        <f t="shared" si="965"/>
        <v>-7962294.3128817258</v>
      </c>
      <c r="R315">
        <f t="shared" si="966"/>
        <v>188542067.949821</v>
      </c>
      <c r="S315">
        <f t="shared" si="967"/>
        <v>1885.4206794982099</v>
      </c>
      <c r="T315">
        <f t="shared" si="968"/>
        <v>1.8854206794982098</v>
      </c>
    </row>
    <row r="316" spans="1:20" x14ac:dyDescent="0.25">
      <c r="A316" s="5">
        <v>44277</v>
      </c>
      <c r="B316">
        <v>0.5333</v>
      </c>
      <c r="C316">
        <v>0.56999999999999995</v>
      </c>
      <c r="D316">
        <v>0.48230000000000001</v>
      </c>
      <c r="E316">
        <v>0.49149999999999999</v>
      </c>
      <c r="F316">
        <v>18171419.359999999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-0.79019384264538217</v>
      </c>
      <c r="Q316">
        <f t="shared" si="965"/>
        <v>-14358943.69039909</v>
      </c>
      <c r="R316">
        <f t="shared" si="966"/>
        <v>196504362.26270273</v>
      </c>
      <c r="S316">
        <f t="shared" si="967"/>
        <v>1965.0436226270274</v>
      </c>
      <c r="T316">
        <f t="shared" si="968"/>
        <v>1.9650436226270274</v>
      </c>
    </row>
    <row r="317" spans="1:20" x14ac:dyDescent="0.25">
      <c r="A317" s="5">
        <v>44276</v>
      </c>
      <c r="B317">
        <v>0.51400000000000001</v>
      </c>
      <c r="C317">
        <v>0.56220000000000003</v>
      </c>
      <c r="D317">
        <v>0.48670000000000002</v>
      </c>
      <c r="E317">
        <v>0.53259999999999996</v>
      </c>
      <c r="F317">
        <v>17006645.449999999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0.21589403973509758</v>
      </c>
      <c r="Q317">
        <f t="shared" si="965"/>
        <v>3671633.3885430163</v>
      </c>
      <c r="R317">
        <f t="shared" si="966"/>
        <v>210863305.95310181</v>
      </c>
      <c r="S317">
        <f t="shared" si="967"/>
        <v>2108.6330595310183</v>
      </c>
      <c r="T317">
        <f t="shared" si="968"/>
        <v>2.1086330595310181</v>
      </c>
    </row>
    <row r="318" spans="1:20" x14ac:dyDescent="0.25">
      <c r="A318" s="5">
        <v>44275</v>
      </c>
      <c r="B318">
        <v>0.55179999999999996</v>
      </c>
      <c r="C318">
        <v>0.57489999999999997</v>
      </c>
      <c r="D318">
        <v>0.51219999999999999</v>
      </c>
      <c r="E318">
        <v>0.51400000000000001</v>
      </c>
      <c r="F318">
        <v>12058914.039999999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-0.94258373205741552</v>
      </c>
      <c r="Q318">
        <f t="shared" si="965"/>
        <v>-11366536.200382765</v>
      </c>
      <c r="R318">
        <f t="shared" si="966"/>
        <v>207191672.5645588</v>
      </c>
      <c r="S318">
        <f t="shared" si="967"/>
        <v>2071.916725645588</v>
      </c>
      <c r="T318">
        <f t="shared" si="968"/>
        <v>2.0719167256455879</v>
      </c>
    </row>
    <row r="319" spans="1:20" x14ac:dyDescent="0.25">
      <c r="A319" s="5">
        <v>44274</v>
      </c>
      <c r="B319">
        <v>0.53310000000000002</v>
      </c>
      <c r="C319">
        <v>0.58199999999999996</v>
      </c>
      <c r="D319">
        <v>0.51329999999999998</v>
      </c>
      <c r="E319">
        <v>0.55249999999999999</v>
      </c>
      <c r="F319">
        <v>19939519.390000001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0.1411935953420676</v>
      </c>
      <c r="Q319">
        <f t="shared" si="965"/>
        <v>2815332.4320669705</v>
      </c>
      <c r="R319">
        <f t="shared" si="966"/>
        <v>218558208.76494157</v>
      </c>
      <c r="S319">
        <f t="shared" si="967"/>
        <v>2185.5820876494158</v>
      </c>
      <c r="T319">
        <f t="shared" si="968"/>
        <v>2.1855820876494159</v>
      </c>
    </row>
    <row r="320" spans="1:20" x14ac:dyDescent="0.25">
      <c r="A320" s="5">
        <v>44273</v>
      </c>
      <c r="B320">
        <v>0.53669999999999995</v>
      </c>
      <c r="C320">
        <v>0.56359999999999999</v>
      </c>
      <c r="D320">
        <v>0.52129999999999999</v>
      </c>
      <c r="E320">
        <v>0.53200000000000003</v>
      </c>
      <c r="F320">
        <v>25965488.48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-0.49408983451536448</v>
      </c>
      <c r="Q320">
        <f t="shared" si="965"/>
        <v>-12829283.906193802</v>
      </c>
      <c r="R320">
        <f t="shared" si="966"/>
        <v>215742876.3328746</v>
      </c>
      <c r="S320">
        <f t="shared" si="967"/>
        <v>2157.4287633287458</v>
      </c>
      <c r="T320">
        <f t="shared" si="968"/>
        <v>2.1574287633287459</v>
      </c>
    </row>
    <row r="321" spans="1:20" x14ac:dyDescent="0.25">
      <c r="A321" s="5">
        <v>44272</v>
      </c>
      <c r="B321">
        <v>0.47220000000000001</v>
      </c>
      <c r="C321">
        <v>0.54300000000000004</v>
      </c>
      <c r="D321">
        <v>0.4637</v>
      </c>
      <c r="E321">
        <v>0.5363</v>
      </c>
      <c r="F321">
        <v>33519046.41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0.83102143757881375</v>
      </c>
      <c r="Q321">
        <f t="shared" si="965"/>
        <v>27855046.133909177</v>
      </c>
      <c r="R321">
        <f t="shared" si="966"/>
        <v>228572160.23906839</v>
      </c>
      <c r="S321">
        <f t="shared" si="967"/>
        <v>2285.721602390684</v>
      </c>
      <c r="T321">
        <f t="shared" si="968"/>
        <v>2.2857216023906841</v>
      </c>
    </row>
    <row r="322" spans="1:20" x14ac:dyDescent="0.25">
      <c r="A322" s="5">
        <v>44271</v>
      </c>
      <c r="B322">
        <v>0.4617</v>
      </c>
      <c r="C322">
        <v>0.47610000000000002</v>
      </c>
      <c r="D322">
        <v>0.435</v>
      </c>
      <c r="E322">
        <v>0.47139999999999999</v>
      </c>
      <c r="F322">
        <v>28837961.100000001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0.77128953771289366</v>
      </c>
      <c r="Q322">
        <f t="shared" si="965"/>
        <v>22242417.68540141</v>
      </c>
      <c r="R322">
        <f t="shared" si="966"/>
        <v>200717114.10515922</v>
      </c>
      <c r="S322">
        <f t="shared" si="967"/>
        <v>2007.1711410515923</v>
      </c>
      <c r="T322">
        <f t="shared" si="968"/>
        <v>2.0071711410515922</v>
      </c>
    </row>
    <row r="323" spans="1:20" x14ac:dyDescent="0.25">
      <c r="A323" s="5">
        <v>44270</v>
      </c>
      <c r="B323">
        <v>0.46789999999999998</v>
      </c>
      <c r="C323">
        <v>0.54500000000000004</v>
      </c>
      <c r="D323">
        <v>0.4501</v>
      </c>
      <c r="E323">
        <v>0.46200000000000002</v>
      </c>
      <c r="F323">
        <v>38566863.009999998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-0.74920969441517349</v>
      </c>
      <c r="Q323">
        <f t="shared" si="965"/>
        <v>-28894667.650273956</v>
      </c>
      <c r="R323">
        <f t="shared" si="966"/>
        <v>178474696.41975781</v>
      </c>
      <c r="S323">
        <f t="shared" si="967"/>
        <v>1784.7469641975781</v>
      </c>
      <c r="T323">
        <f t="shared" si="968"/>
        <v>1.7847469641975782</v>
      </c>
    </row>
    <row r="324" spans="1:20" x14ac:dyDescent="0.25">
      <c r="A324" s="5">
        <v>44269</v>
      </c>
      <c r="B324">
        <v>0.49669999999999997</v>
      </c>
      <c r="C324">
        <v>0.50660000000000005</v>
      </c>
      <c r="D324">
        <v>0.46729999999999999</v>
      </c>
      <c r="E324">
        <v>0.46739999999999998</v>
      </c>
      <c r="F324">
        <v>17469341.050000001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-0.99491094147582759</v>
      </c>
      <c r="Q324">
        <f t="shared" si="965"/>
        <v>-17380438.551017825</v>
      </c>
      <c r="R324">
        <f t="shared" si="966"/>
        <v>207369364.07003176</v>
      </c>
      <c r="S324">
        <f t="shared" si="967"/>
        <v>2073.6936407003177</v>
      </c>
      <c r="T324">
        <f t="shared" si="968"/>
        <v>2.0736936407003177</v>
      </c>
    </row>
    <row r="325" spans="1:20" x14ac:dyDescent="0.25">
      <c r="A325" s="5">
        <v>44268</v>
      </c>
      <c r="B325">
        <v>0.47210000000000002</v>
      </c>
      <c r="C325">
        <v>0.52400000000000002</v>
      </c>
      <c r="D325">
        <v>0.44280000000000003</v>
      </c>
      <c r="E325">
        <v>0.49669999999999997</v>
      </c>
      <c r="F325">
        <v>30178366.93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0.32758620689655055</v>
      </c>
      <c r="Q325">
        <f t="shared" si="965"/>
        <v>9886016.7529309988</v>
      </c>
      <c r="R325">
        <f t="shared" si="966"/>
        <v>224749802.62104958</v>
      </c>
      <c r="S325">
        <f t="shared" si="967"/>
        <v>2247.4980262104959</v>
      </c>
      <c r="T325">
        <f t="shared" si="968"/>
        <v>2.2474980262104958</v>
      </c>
    </row>
    <row r="326" spans="1:20" x14ac:dyDescent="0.25">
      <c r="A326" s="5">
        <v>44267</v>
      </c>
      <c r="B326">
        <v>0.49730000000000002</v>
      </c>
      <c r="C326">
        <v>0.49919999999999998</v>
      </c>
      <c r="D326">
        <v>0.42230000000000001</v>
      </c>
      <c r="E326">
        <v>0.47220000000000001</v>
      </c>
      <c r="F326">
        <v>39033197.939999998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0.29778933680104086</v>
      </c>
      <c r="Q326">
        <f t="shared" ref="Q326:Q389" si="970">F326*P326</f>
        <v>11623670.127776353</v>
      </c>
      <c r="R326">
        <f t="shared" ref="R326:R389" si="971">R327+Q326</f>
        <v>214863785.86811858</v>
      </c>
      <c r="S326">
        <f t="shared" ref="S326:S389" si="972">R326/100000</f>
        <v>2148.6378586811857</v>
      </c>
      <c r="T326">
        <f t="shared" ref="T326:T389" si="973">S326/1000</f>
        <v>2.1486378586811856</v>
      </c>
    </row>
    <row r="327" spans="1:20" x14ac:dyDescent="0.25">
      <c r="A327" s="5">
        <v>44266</v>
      </c>
      <c r="B327">
        <v>0.43099999999999999</v>
      </c>
      <c r="C327">
        <v>0.4995</v>
      </c>
      <c r="D327">
        <v>0.40639999999999998</v>
      </c>
      <c r="E327">
        <v>0.49690000000000001</v>
      </c>
      <c r="F327">
        <v>36215629.729999997</v>
      </c>
      <c r="G327">
        <v>0</v>
      </c>
      <c r="L327" t="s">
        <v>8</v>
      </c>
      <c r="M327" t="s">
        <v>7</v>
      </c>
      <c r="N327" t="s">
        <v>8</v>
      </c>
      <c r="P327">
        <f t="shared" si="969"/>
        <v>0.94414607948442553</v>
      </c>
      <c r="Q327">
        <f t="shared" si="970"/>
        <v>34192844.825639099</v>
      </c>
      <c r="R327">
        <f t="shared" si="971"/>
        <v>203240115.74034223</v>
      </c>
      <c r="S327">
        <f t="shared" si="972"/>
        <v>2032.4011574034223</v>
      </c>
      <c r="T327">
        <f t="shared" si="973"/>
        <v>2.0324011574034224</v>
      </c>
    </row>
    <row r="328" spans="1:20" x14ac:dyDescent="0.25">
      <c r="A328" s="5">
        <v>44265</v>
      </c>
      <c r="B328">
        <v>0.4466</v>
      </c>
      <c r="C328">
        <v>0.48299999999999998</v>
      </c>
      <c r="D328">
        <v>0.40500000000000003</v>
      </c>
      <c r="E328">
        <v>0.43059999999999998</v>
      </c>
      <c r="F328">
        <v>27369961.010000002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-0.34358974358974437</v>
      </c>
      <c r="Q328">
        <f t="shared" si="970"/>
        <v>-9404037.8854872007</v>
      </c>
      <c r="R328">
        <f t="shared" si="971"/>
        <v>169047270.91470313</v>
      </c>
      <c r="S328">
        <f t="shared" si="972"/>
        <v>1690.4727091470313</v>
      </c>
      <c r="T328">
        <f t="shared" si="973"/>
        <v>1.6904727091470313</v>
      </c>
    </row>
    <row r="329" spans="1:20" x14ac:dyDescent="0.25">
      <c r="A329" s="5">
        <v>44264</v>
      </c>
      <c r="B329">
        <v>0.42830000000000001</v>
      </c>
      <c r="C329">
        <v>0.45529999999999998</v>
      </c>
      <c r="D329">
        <v>0.40849999999999997</v>
      </c>
      <c r="E329">
        <v>0.4466</v>
      </c>
      <c r="F329">
        <v>24073272.66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0.62820512820512886</v>
      </c>
      <c r="Q329">
        <f t="shared" si="970"/>
        <v>15122953.337692324</v>
      </c>
      <c r="R329">
        <f t="shared" si="971"/>
        <v>178451308.80019033</v>
      </c>
      <c r="S329">
        <f t="shared" si="972"/>
        <v>1784.5130880019033</v>
      </c>
      <c r="T329">
        <f t="shared" si="973"/>
        <v>1.7845130880019033</v>
      </c>
    </row>
    <row r="330" spans="1:20" x14ac:dyDescent="0.25">
      <c r="A330" s="5">
        <v>44263</v>
      </c>
      <c r="B330">
        <v>0.38269999999999998</v>
      </c>
      <c r="C330">
        <v>0.42849999999999999</v>
      </c>
      <c r="D330">
        <v>0.36659999999999998</v>
      </c>
      <c r="E330">
        <v>0.42799999999999999</v>
      </c>
      <c r="F330">
        <v>28397378.780000001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0.98384491114701134</v>
      </c>
      <c r="Q330">
        <f t="shared" si="970"/>
        <v>27938616.602617126</v>
      </c>
      <c r="R330">
        <f t="shared" si="971"/>
        <v>163328355.46249801</v>
      </c>
      <c r="S330">
        <f t="shared" si="972"/>
        <v>1633.2835546249801</v>
      </c>
      <c r="T330">
        <f t="shared" si="973"/>
        <v>1.63328355462498</v>
      </c>
    </row>
    <row r="331" spans="1:20" x14ac:dyDescent="0.25">
      <c r="A331" s="5">
        <v>44262</v>
      </c>
      <c r="B331">
        <v>0.36730000000000002</v>
      </c>
      <c r="C331">
        <v>0.38890000000000002</v>
      </c>
      <c r="D331">
        <v>0.36480000000000001</v>
      </c>
      <c r="E331">
        <v>0.38279999999999997</v>
      </c>
      <c r="F331">
        <v>20422660.93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0.49377593360995459</v>
      </c>
      <c r="Q331">
        <f t="shared" si="970"/>
        <v>10084218.467510294</v>
      </c>
      <c r="R331">
        <f t="shared" si="971"/>
        <v>135389738.85988089</v>
      </c>
      <c r="S331">
        <f t="shared" si="972"/>
        <v>1353.8973885988089</v>
      </c>
      <c r="T331">
        <f t="shared" si="973"/>
        <v>1.3538973885988088</v>
      </c>
    </row>
    <row r="332" spans="1:20" x14ac:dyDescent="0.25">
      <c r="A332" s="5">
        <v>44261</v>
      </c>
      <c r="B332">
        <v>0.36359999999999998</v>
      </c>
      <c r="C332">
        <v>0.37509999999999999</v>
      </c>
      <c r="D332">
        <v>0.3473</v>
      </c>
      <c r="E332">
        <v>0.3674</v>
      </c>
      <c r="F332">
        <v>10324655.279999999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0.44604316546762685</v>
      </c>
      <c r="Q332">
        <f t="shared" si="970"/>
        <v>4605241.9234532472</v>
      </c>
      <c r="R332">
        <f t="shared" si="971"/>
        <v>125305520.39237061</v>
      </c>
      <c r="S332">
        <f t="shared" si="972"/>
        <v>1253.0552039237061</v>
      </c>
      <c r="T332">
        <f t="shared" si="973"/>
        <v>1.2530552039237062</v>
      </c>
    </row>
    <row r="333" spans="1:20" x14ac:dyDescent="0.25">
      <c r="A333" s="5">
        <v>44260</v>
      </c>
      <c r="B333">
        <v>0.3584</v>
      </c>
      <c r="C333">
        <v>0.38100000000000001</v>
      </c>
      <c r="D333">
        <v>0.33150000000000002</v>
      </c>
      <c r="E333">
        <v>0.3634</v>
      </c>
      <c r="F333">
        <v>21237716.059999999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0.28888888888888853</v>
      </c>
      <c r="Q333">
        <f t="shared" si="970"/>
        <v>6135340.1951111034</v>
      </c>
      <c r="R333">
        <f t="shared" si="971"/>
        <v>120700278.46891737</v>
      </c>
      <c r="S333">
        <f t="shared" si="972"/>
        <v>1207.0027846891737</v>
      </c>
      <c r="T333">
        <f t="shared" si="973"/>
        <v>1.2070027846891738</v>
      </c>
    </row>
    <row r="334" spans="1:20" x14ac:dyDescent="0.25">
      <c r="A334" s="5">
        <v>44259</v>
      </c>
      <c r="B334">
        <v>0.3841</v>
      </c>
      <c r="C334">
        <v>0.3992</v>
      </c>
      <c r="D334">
        <v>0.34339999999999998</v>
      </c>
      <c r="E334">
        <v>0.35809999999999997</v>
      </c>
      <c r="F334">
        <v>22534007.010000002</v>
      </c>
      <c r="G334">
        <v>0</v>
      </c>
      <c r="L334" t="s">
        <v>7</v>
      </c>
      <c r="M334" t="s">
        <v>8</v>
      </c>
      <c r="N334" t="s">
        <v>8</v>
      </c>
      <c r="P334">
        <f t="shared" si="969"/>
        <v>-0.47311827956989294</v>
      </c>
      <c r="Q334">
        <f t="shared" si="970"/>
        <v>-10661250.628387108</v>
      </c>
      <c r="R334">
        <f t="shared" si="971"/>
        <v>114564938.27380627</v>
      </c>
      <c r="S334">
        <f t="shared" si="972"/>
        <v>1145.6493827380627</v>
      </c>
      <c r="T334">
        <f t="shared" si="973"/>
        <v>1.1456493827380627</v>
      </c>
    </row>
    <row r="335" spans="1:20" x14ac:dyDescent="0.25">
      <c r="A335" s="5">
        <v>44258</v>
      </c>
      <c r="B335">
        <v>0.34649999999999997</v>
      </c>
      <c r="C335">
        <v>0.40799999999999997</v>
      </c>
      <c r="D335">
        <v>0.34260000000000002</v>
      </c>
      <c r="E335">
        <v>0.38419999999999999</v>
      </c>
      <c r="F335">
        <v>29595964.920000002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0.27217125382262986</v>
      </c>
      <c r="Q335">
        <f t="shared" si="970"/>
        <v>8055170.8803669699</v>
      </c>
      <c r="R335">
        <f t="shared" si="971"/>
        <v>125226188.90219338</v>
      </c>
      <c r="S335">
        <f t="shared" si="972"/>
        <v>1252.2618890219337</v>
      </c>
      <c r="T335">
        <f t="shared" si="973"/>
        <v>1.2522618890219337</v>
      </c>
    </row>
    <row r="336" spans="1:20" x14ac:dyDescent="0.25">
      <c r="A336" s="5">
        <v>44257</v>
      </c>
      <c r="B336">
        <v>0.36890000000000001</v>
      </c>
      <c r="C336">
        <v>0.38140000000000002</v>
      </c>
      <c r="D336">
        <v>0.33100000000000002</v>
      </c>
      <c r="E336">
        <v>0.3473</v>
      </c>
      <c r="F336">
        <v>22379281.219999999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-0.35317460317460392</v>
      </c>
      <c r="Q336">
        <f t="shared" si="970"/>
        <v>-7903793.7642063657</v>
      </c>
      <c r="R336">
        <f t="shared" si="971"/>
        <v>117171018.02182642</v>
      </c>
      <c r="S336">
        <f t="shared" si="972"/>
        <v>1171.7101802182642</v>
      </c>
      <c r="T336">
        <f t="shared" si="973"/>
        <v>1.1717101802182641</v>
      </c>
    </row>
    <row r="337" spans="1:20" x14ac:dyDescent="0.25">
      <c r="A337" s="5">
        <v>44256</v>
      </c>
      <c r="B337">
        <v>0.32</v>
      </c>
      <c r="C337">
        <v>0.37269999999999998</v>
      </c>
      <c r="D337">
        <v>0.317</v>
      </c>
      <c r="E337">
        <v>0.36890000000000001</v>
      </c>
      <c r="F337">
        <v>25385013.079999998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0.86355475763016254</v>
      </c>
      <c r="Q337">
        <f t="shared" si="970"/>
        <v>21921348.817737903</v>
      </c>
      <c r="R337">
        <f t="shared" si="971"/>
        <v>125074811.78603278</v>
      </c>
      <c r="S337">
        <f t="shared" si="972"/>
        <v>1250.7481178603277</v>
      </c>
      <c r="T337">
        <f t="shared" si="973"/>
        <v>1.2507481178603277</v>
      </c>
    </row>
    <row r="338" spans="1:20" x14ac:dyDescent="0.25">
      <c r="A338" s="5">
        <v>44255</v>
      </c>
      <c r="B338">
        <v>0.33150000000000002</v>
      </c>
      <c r="C338">
        <v>0.33350000000000002</v>
      </c>
      <c r="D338">
        <v>0.27279999999999999</v>
      </c>
      <c r="E338">
        <v>0.31879999999999997</v>
      </c>
      <c r="F338">
        <v>26106580.399999999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0.51565074135090483</v>
      </c>
      <c r="Q338">
        <f t="shared" si="970"/>
        <v>13461877.537397001</v>
      </c>
      <c r="R338">
        <f t="shared" si="971"/>
        <v>103153462.96829487</v>
      </c>
      <c r="S338">
        <f t="shared" si="972"/>
        <v>1031.5346296829487</v>
      </c>
      <c r="T338">
        <f t="shared" si="973"/>
        <v>1.0315346296829486</v>
      </c>
    </row>
    <row r="339" spans="1:20" x14ac:dyDescent="0.25">
      <c r="A339" s="5">
        <v>44254</v>
      </c>
      <c r="B339">
        <v>0.32090000000000002</v>
      </c>
      <c r="C339">
        <v>0.3533</v>
      </c>
      <c r="D339">
        <v>0.32</v>
      </c>
      <c r="E339">
        <v>0.33110000000000001</v>
      </c>
      <c r="F339">
        <v>19285388.510000002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-0.33333333333333331</v>
      </c>
      <c r="Q339">
        <f t="shared" si="970"/>
        <v>-6428462.8366666669</v>
      </c>
      <c r="R339">
        <f t="shared" si="971"/>
        <v>89691585.430897877</v>
      </c>
      <c r="S339">
        <f t="shared" si="972"/>
        <v>896.91585430897874</v>
      </c>
      <c r="T339">
        <f t="shared" si="973"/>
        <v>0.89691585430897869</v>
      </c>
    </row>
    <row r="340" spans="1:20" x14ac:dyDescent="0.25">
      <c r="A340" s="5">
        <v>44253</v>
      </c>
      <c r="B340">
        <v>0.32440000000000002</v>
      </c>
      <c r="C340">
        <v>0.34720000000000001</v>
      </c>
      <c r="D340">
        <v>0.28839999999999999</v>
      </c>
      <c r="E340">
        <v>0.32150000000000001</v>
      </c>
      <c r="F340">
        <v>27525688.91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0.12585034013605467</v>
      </c>
      <c r="Q340">
        <f t="shared" si="970"/>
        <v>3464117.3118027281</v>
      </c>
      <c r="R340">
        <f t="shared" si="971"/>
        <v>96120048.26756455</v>
      </c>
      <c r="S340">
        <f t="shared" si="972"/>
        <v>961.2004826756455</v>
      </c>
      <c r="T340">
        <f t="shared" si="973"/>
        <v>0.96120048267564551</v>
      </c>
    </row>
    <row r="341" spans="1:20" x14ac:dyDescent="0.25">
      <c r="A341" s="5">
        <v>44252</v>
      </c>
      <c r="B341">
        <v>0.3402</v>
      </c>
      <c r="C341">
        <v>0.38</v>
      </c>
      <c r="D341">
        <v>0.316</v>
      </c>
      <c r="E341">
        <v>0.32450000000000001</v>
      </c>
      <c r="F341">
        <v>29339613.32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-0.73437499999999978</v>
      </c>
      <c r="Q341">
        <f t="shared" si="970"/>
        <v>-21546278.531874992</v>
      </c>
      <c r="R341">
        <f t="shared" si="971"/>
        <v>92655930.95576182</v>
      </c>
      <c r="S341">
        <f t="shared" si="972"/>
        <v>926.55930955761823</v>
      </c>
      <c r="T341">
        <f t="shared" si="973"/>
        <v>0.92655930955761823</v>
      </c>
    </row>
    <row r="342" spans="1:20" x14ac:dyDescent="0.25">
      <c r="A342" s="5">
        <v>44251</v>
      </c>
      <c r="B342">
        <v>0.33989999999999998</v>
      </c>
      <c r="C342">
        <v>0.39400000000000002</v>
      </c>
      <c r="D342">
        <v>0.31869999999999998</v>
      </c>
      <c r="E342">
        <v>0.34050000000000002</v>
      </c>
      <c r="F342">
        <v>40258833.740000002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-0.42098273572377071</v>
      </c>
      <c r="Q342">
        <f t="shared" si="970"/>
        <v>-16948273.964913644</v>
      </c>
      <c r="R342">
        <f t="shared" si="971"/>
        <v>114202209.4876368</v>
      </c>
      <c r="S342">
        <f t="shared" si="972"/>
        <v>1142.0220948763681</v>
      </c>
      <c r="T342">
        <f t="shared" si="973"/>
        <v>1.1420220948763682</v>
      </c>
    </row>
    <row r="343" spans="1:20" x14ac:dyDescent="0.25">
      <c r="A343" s="5">
        <v>44250</v>
      </c>
      <c r="B343">
        <v>0.45219999999999999</v>
      </c>
      <c r="C343">
        <v>0.45939999999999998</v>
      </c>
      <c r="D343">
        <v>0.27900000000000003</v>
      </c>
      <c r="E343">
        <v>0.34</v>
      </c>
      <c r="F343">
        <v>57563835.280000001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-0.32372505543237234</v>
      </c>
      <c r="Q343">
        <f t="shared" si="970"/>
        <v>-18634855.766917951</v>
      </c>
      <c r="R343">
        <f t="shared" si="971"/>
        <v>131150483.45255044</v>
      </c>
      <c r="S343">
        <f t="shared" si="972"/>
        <v>1311.5048345255045</v>
      </c>
      <c r="T343">
        <f t="shared" si="973"/>
        <v>1.3115048345255045</v>
      </c>
    </row>
    <row r="344" spans="1:20" x14ac:dyDescent="0.25">
      <c r="A344" s="5">
        <v>44249</v>
      </c>
      <c r="B344">
        <v>0.51139999999999997</v>
      </c>
      <c r="C344">
        <v>0.51900000000000002</v>
      </c>
      <c r="D344">
        <v>0.35460000000000003</v>
      </c>
      <c r="E344">
        <v>0.45219999999999999</v>
      </c>
      <c r="F344">
        <v>44395430.780000001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0.18734793187347895</v>
      </c>
      <c r="Q344">
        <f t="shared" si="970"/>
        <v>8317392.1412651911</v>
      </c>
      <c r="R344">
        <f t="shared" si="971"/>
        <v>149785339.21946838</v>
      </c>
      <c r="S344">
        <f t="shared" si="972"/>
        <v>1497.8533921946839</v>
      </c>
      <c r="T344">
        <f t="shared" si="973"/>
        <v>1.4978533921946839</v>
      </c>
    </row>
    <row r="345" spans="1:20" x14ac:dyDescent="0.25">
      <c r="A345" s="5">
        <v>44248</v>
      </c>
      <c r="B345">
        <v>0.50090000000000001</v>
      </c>
      <c r="C345">
        <v>0.55510000000000004</v>
      </c>
      <c r="D345">
        <v>0.4864</v>
      </c>
      <c r="E345">
        <v>0.5111</v>
      </c>
      <c r="F345">
        <v>20504059.699999999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-0.28093158660844292</v>
      </c>
      <c r="Q345">
        <f t="shared" si="970"/>
        <v>-5760238.0234352341</v>
      </c>
      <c r="R345">
        <f t="shared" si="971"/>
        <v>141467947.0782032</v>
      </c>
      <c r="S345">
        <f t="shared" si="972"/>
        <v>1414.679470782032</v>
      </c>
      <c r="T345">
        <f t="shared" si="973"/>
        <v>1.414679470782032</v>
      </c>
    </row>
    <row r="346" spans="1:20" x14ac:dyDescent="0.25">
      <c r="A346" s="5">
        <v>44247</v>
      </c>
      <c r="B346">
        <v>0.56589999999999996</v>
      </c>
      <c r="C346">
        <v>0.58530000000000004</v>
      </c>
      <c r="D346">
        <v>0.45</v>
      </c>
      <c r="E346">
        <v>0.50190000000000001</v>
      </c>
      <c r="F346">
        <v>27802844.059999999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-0.23281596452328174</v>
      </c>
      <c r="Q346">
        <f t="shared" si="970"/>
        <v>-6472945.9563192939</v>
      </c>
      <c r="R346">
        <f t="shared" si="971"/>
        <v>147228185.10163844</v>
      </c>
      <c r="S346">
        <f t="shared" si="972"/>
        <v>1472.2818510163843</v>
      </c>
      <c r="T346">
        <f t="shared" si="973"/>
        <v>1.4722818510163842</v>
      </c>
    </row>
    <row r="347" spans="1:20" x14ac:dyDescent="0.25">
      <c r="A347" s="5">
        <v>44246</v>
      </c>
      <c r="B347">
        <v>0.52829999999999999</v>
      </c>
      <c r="C347">
        <v>0.57450000000000001</v>
      </c>
      <c r="D347">
        <v>0.49419999999999997</v>
      </c>
      <c r="E347">
        <v>0.56410000000000005</v>
      </c>
      <c r="F347">
        <v>27894257.550000001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0.74097135740971454</v>
      </c>
      <c r="Q347">
        <f t="shared" si="970"/>
        <v>20668845.880759679</v>
      </c>
      <c r="R347">
        <f t="shared" si="971"/>
        <v>153701131.05795774</v>
      </c>
      <c r="S347">
        <f t="shared" si="972"/>
        <v>1537.0113105795774</v>
      </c>
      <c r="T347">
        <f t="shared" si="973"/>
        <v>1.5370113105795775</v>
      </c>
    </row>
    <row r="348" spans="1:20" x14ac:dyDescent="0.25">
      <c r="A348" s="5">
        <v>44245</v>
      </c>
      <c r="B348">
        <v>0.51219999999999999</v>
      </c>
      <c r="C348">
        <v>0.56999999999999995</v>
      </c>
      <c r="D348">
        <v>0.50149999999999995</v>
      </c>
      <c r="E348">
        <v>0.52780000000000005</v>
      </c>
      <c r="F348">
        <v>34128284.130000003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-0.232116788321165</v>
      </c>
      <c r="Q348">
        <f t="shared" si="970"/>
        <v>-7921747.7031677859</v>
      </c>
      <c r="R348">
        <f t="shared" si="971"/>
        <v>133032285.17719807</v>
      </c>
      <c r="S348">
        <f t="shared" si="972"/>
        <v>1330.3228517719806</v>
      </c>
      <c r="T348">
        <f t="shared" si="973"/>
        <v>1.3303228517719805</v>
      </c>
    </row>
    <row r="349" spans="1:20" x14ac:dyDescent="0.25">
      <c r="A349" s="5">
        <v>44244</v>
      </c>
      <c r="B349">
        <v>0.48559999999999998</v>
      </c>
      <c r="C349">
        <v>0.54339999999999999</v>
      </c>
      <c r="D349">
        <v>0.43</v>
      </c>
      <c r="E349">
        <v>0.51200000000000001</v>
      </c>
      <c r="F349">
        <v>40073712.920000002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0.44620811287477985</v>
      </c>
      <c r="Q349">
        <f t="shared" si="970"/>
        <v>17881215.817918885</v>
      </c>
      <c r="R349">
        <f t="shared" si="971"/>
        <v>140954032.88036585</v>
      </c>
      <c r="S349">
        <f t="shared" si="972"/>
        <v>1409.5403288036584</v>
      </c>
      <c r="T349">
        <f t="shared" si="973"/>
        <v>1.4095403288036585</v>
      </c>
    </row>
    <row r="350" spans="1:20" x14ac:dyDescent="0.25">
      <c r="A350" s="5">
        <v>44243</v>
      </c>
      <c r="B350">
        <v>0.51329999999999998</v>
      </c>
      <c r="C350">
        <v>0.5544</v>
      </c>
      <c r="D350">
        <v>0.45860000000000001</v>
      </c>
      <c r="E350">
        <v>0.48549999999999999</v>
      </c>
      <c r="F350">
        <v>25544327.57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-0.43841336116910268</v>
      </c>
      <c r="Q350">
        <f t="shared" si="970"/>
        <v>-11198974.508768277</v>
      </c>
      <c r="R350">
        <f t="shared" si="971"/>
        <v>123072817.06244697</v>
      </c>
      <c r="S350">
        <f t="shared" si="972"/>
        <v>1230.7281706244696</v>
      </c>
      <c r="T350">
        <f t="shared" si="973"/>
        <v>1.2307281706244697</v>
      </c>
    </row>
    <row r="351" spans="1:20" x14ac:dyDescent="0.25">
      <c r="A351" s="5">
        <v>44242</v>
      </c>
      <c r="B351">
        <v>0.54410000000000003</v>
      </c>
      <c r="C351">
        <v>0.59179999999999999</v>
      </c>
      <c r="D351">
        <v>0.40100000000000002</v>
      </c>
      <c r="E351">
        <v>0.51180000000000003</v>
      </c>
      <c r="F351">
        <v>40366827.280000001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0.16142557651991643</v>
      </c>
      <c r="Q351">
        <f t="shared" si="970"/>
        <v>6516238.3659538906</v>
      </c>
      <c r="R351">
        <f t="shared" si="971"/>
        <v>134271791.57121524</v>
      </c>
      <c r="S351">
        <f t="shared" si="972"/>
        <v>1342.7179157121525</v>
      </c>
      <c r="T351">
        <f t="shared" si="973"/>
        <v>1.3427179157121525</v>
      </c>
    </row>
    <row r="352" spans="1:20" x14ac:dyDescent="0.25">
      <c r="A352" s="5">
        <v>44241</v>
      </c>
      <c r="B352">
        <v>0.627</v>
      </c>
      <c r="C352">
        <v>0.66</v>
      </c>
      <c r="D352">
        <v>0.54320000000000002</v>
      </c>
      <c r="E352">
        <v>0.54339999999999999</v>
      </c>
      <c r="F352">
        <v>26142112.370000001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-0.99657534246575386</v>
      </c>
      <c r="Q352">
        <f t="shared" si="970"/>
        <v>-26052584.587910973</v>
      </c>
      <c r="R352">
        <f t="shared" si="971"/>
        <v>127755553.20526135</v>
      </c>
      <c r="S352">
        <f t="shared" si="972"/>
        <v>1277.5555320526134</v>
      </c>
      <c r="T352">
        <f t="shared" si="973"/>
        <v>1.2775555320526135</v>
      </c>
    </row>
    <row r="353" spans="1:20" x14ac:dyDescent="0.25">
      <c r="A353" s="5">
        <v>44240</v>
      </c>
      <c r="B353">
        <v>0.55840000000000001</v>
      </c>
      <c r="C353">
        <v>0.65239999999999998</v>
      </c>
      <c r="D353">
        <v>0.52149999999999996</v>
      </c>
      <c r="E353">
        <v>0.627</v>
      </c>
      <c r="F353">
        <v>36403578.640000001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0.61191749427043585</v>
      </c>
      <c r="Q353">
        <f t="shared" si="970"/>
        <v>22275986.62386556</v>
      </c>
      <c r="R353">
        <f t="shared" si="971"/>
        <v>153808137.79317233</v>
      </c>
      <c r="S353">
        <f t="shared" si="972"/>
        <v>1538.0813779317234</v>
      </c>
      <c r="T353">
        <f t="shared" si="973"/>
        <v>1.5380813779317235</v>
      </c>
    </row>
    <row r="354" spans="1:20" x14ac:dyDescent="0.25">
      <c r="A354" s="5">
        <v>44239</v>
      </c>
      <c r="B354">
        <v>0.50960000000000005</v>
      </c>
      <c r="C354">
        <v>0.61160000000000003</v>
      </c>
      <c r="D354">
        <v>0.50329999999999997</v>
      </c>
      <c r="E354">
        <v>0.55859999999999999</v>
      </c>
      <c r="F354">
        <v>40191927.659999996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2.123730378577994E-2</v>
      </c>
      <c r="Q354">
        <f t="shared" si="970"/>
        <v>853568.17745151138</v>
      </c>
      <c r="R354">
        <f t="shared" si="971"/>
        <v>131532151.16930677</v>
      </c>
      <c r="S354">
        <f t="shared" si="972"/>
        <v>1315.3215116930678</v>
      </c>
      <c r="T354">
        <f t="shared" si="973"/>
        <v>1.3153215116930679</v>
      </c>
    </row>
    <row r="355" spans="1:20" x14ac:dyDescent="0.25">
      <c r="A355" s="5">
        <v>44238</v>
      </c>
      <c r="B355">
        <v>0.42770000000000002</v>
      </c>
      <c r="C355">
        <v>0.54949999999999999</v>
      </c>
      <c r="D355">
        <v>0.40760000000000002</v>
      </c>
      <c r="E355">
        <v>0.50860000000000005</v>
      </c>
      <c r="F355">
        <v>38556526.280000001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0.42353770260747081</v>
      </c>
      <c r="Q355">
        <f t="shared" si="970"/>
        <v>16330142.561155774</v>
      </c>
      <c r="R355">
        <f t="shared" si="971"/>
        <v>130678582.99185526</v>
      </c>
      <c r="S355">
        <f t="shared" si="972"/>
        <v>1306.7858299185527</v>
      </c>
      <c r="T355">
        <f t="shared" si="973"/>
        <v>1.3067858299185526</v>
      </c>
    </row>
    <row r="356" spans="1:20" x14ac:dyDescent="0.25">
      <c r="A356" s="5">
        <v>44237</v>
      </c>
      <c r="B356">
        <v>0.43230000000000002</v>
      </c>
      <c r="C356">
        <v>0.48039999999999999</v>
      </c>
      <c r="D356">
        <v>0.37240000000000001</v>
      </c>
      <c r="E356">
        <v>0.42780000000000001</v>
      </c>
      <c r="F356">
        <v>43031462.609999999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2.5925925925926158E-2</v>
      </c>
      <c r="Q356">
        <f t="shared" si="970"/>
        <v>1115630.5121111211</v>
      </c>
      <c r="R356">
        <f t="shared" si="971"/>
        <v>114348440.4306995</v>
      </c>
      <c r="S356">
        <f t="shared" si="972"/>
        <v>1143.484404306995</v>
      </c>
      <c r="T356">
        <f t="shared" si="973"/>
        <v>1.1434844043069949</v>
      </c>
    </row>
    <row r="357" spans="1:20" x14ac:dyDescent="0.25">
      <c r="A357" s="5">
        <v>44236</v>
      </c>
      <c r="B357">
        <v>0.4158</v>
      </c>
      <c r="C357">
        <v>0.44990000000000002</v>
      </c>
      <c r="D357">
        <v>0.39040000000000002</v>
      </c>
      <c r="E357">
        <v>0.43230000000000002</v>
      </c>
      <c r="F357">
        <v>37386313.899999999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0.40840336134453764</v>
      </c>
      <c r="Q357">
        <f t="shared" si="970"/>
        <v>15268696.265042009</v>
      </c>
      <c r="R357">
        <f t="shared" si="971"/>
        <v>113232809.91858837</v>
      </c>
      <c r="S357">
        <f t="shared" si="972"/>
        <v>1132.3280991858837</v>
      </c>
      <c r="T357">
        <f t="shared" si="973"/>
        <v>1.1323280991858837</v>
      </c>
    </row>
    <row r="358" spans="1:20" x14ac:dyDescent="0.25">
      <c r="A358" s="5">
        <v>44235</v>
      </c>
      <c r="B358">
        <v>0.36099999999999999</v>
      </c>
      <c r="C358">
        <v>0.43</v>
      </c>
      <c r="D358">
        <v>0.33460000000000001</v>
      </c>
      <c r="E358">
        <v>0.41599999999999998</v>
      </c>
      <c r="F358">
        <v>47205631.799999997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0.70649895178197031</v>
      </c>
      <c r="Q358">
        <f t="shared" si="970"/>
        <v>33350729.384905644</v>
      </c>
      <c r="R358">
        <f t="shared" si="971"/>
        <v>97964113.653546363</v>
      </c>
      <c r="S358">
        <f t="shared" si="972"/>
        <v>979.6411365354636</v>
      </c>
      <c r="T358">
        <f t="shared" si="973"/>
        <v>0.97964113653546359</v>
      </c>
    </row>
    <row r="359" spans="1:20" x14ac:dyDescent="0.25">
      <c r="A359" s="5">
        <v>44234</v>
      </c>
      <c r="B359">
        <v>0.3453</v>
      </c>
      <c r="C359">
        <v>0.38779999999999998</v>
      </c>
      <c r="D359">
        <v>0.30549999999999999</v>
      </c>
      <c r="E359">
        <v>0.36099999999999999</v>
      </c>
      <c r="F359">
        <v>39543540.140000001</v>
      </c>
      <c r="G359">
        <v>0</v>
      </c>
      <c r="L359" t="s">
        <v>8</v>
      </c>
      <c r="M359" t="s">
        <v>8</v>
      </c>
      <c r="N359" t="s">
        <v>7</v>
      </c>
      <c r="P359">
        <f t="shared" si="969"/>
        <v>0.34872417982989073</v>
      </c>
      <c r="Q359">
        <f t="shared" si="970"/>
        <v>13789788.602891862</v>
      </c>
      <c r="R359">
        <f t="shared" si="971"/>
        <v>64613384.268640727</v>
      </c>
      <c r="S359">
        <f t="shared" si="972"/>
        <v>646.13384268640732</v>
      </c>
      <c r="T359">
        <f t="shared" si="973"/>
        <v>0.64613384268640728</v>
      </c>
    </row>
    <row r="360" spans="1:20" x14ac:dyDescent="0.25">
      <c r="A360" s="5">
        <v>44233</v>
      </c>
      <c r="B360">
        <v>0.37669999999999998</v>
      </c>
      <c r="C360">
        <v>0.38750000000000001</v>
      </c>
      <c r="D360">
        <v>0.29070000000000001</v>
      </c>
      <c r="E360">
        <v>0.34520000000000001</v>
      </c>
      <c r="F360">
        <v>41215379.039999999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0.12603305785123955</v>
      </c>
      <c r="Q360">
        <f t="shared" si="970"/>
        <v>5194500.2509090863</v>
      </c>
      <c r="R360">
        <f t="shared" si="971"/>
        <v>50823595.665748864</v>
      </c>
      <c r="S360">
        <f t="shared" si="972"/>
        <v>508.23595665748866</v>
      </c>
      <c r="T360">
        <f t="shared" si="973"/>
        <v>0.50823595665748866</v>
      </c>
    </row>
    <row r="361" spans="1:20" x14ac:dyDescent="0.25">
      <c r="A361" s="5">
        <v>44232</v>
      </c>
      <c r="B361">
        <v>0.34339999999999998</v>
      </c>
      <c r="C361">
        <v>0.43380000000000002</v>
      </c>
      <c r="D361">
        <v>0.33250000000000002</v>
      </c>
      <c r="E361">
        <v>0.37659999999999999</v>
      </c>
      <c r="F361">
        <v>53228423.340000004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-0.12931885488647638</v>
      </c>
      <c r="Q361">
        <f t="shared" si="970"/>
        <v>-6883438.7537413929</v>
      </c>
      <c r="R361">
        <f t="shared" si="971"/>
        <v>45629095.414839782</v>
      </c>
      <c r="S361">
        <f t="shared" si="972"/>
        <v>456.29095414839782</v>
      </c>
      <c r="T361">
        <f t="shared" si="973"/>
        <v>0.45629095414839782</v>
      </c>
    </row>
    <row r="362" spans="1:20" x14ac:dyDescent="0.25">
      <c r="A362" s="5">
        <v>44231</v>
      </c>
      <c r="B362">
        <v>0.34100000000000003</v>
      </c>
      <c r="C362">
        <v>0.35799999999999998</v>
      </c>
      <c r="D362">
        <v>0.29380000000000001</v>
      </c>
      <c r="E362">
        <v>0.34279999999999999</v>
      </c>
      <c r="F362">
        <v>44984572.950000003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0.52647975077881637</v>
      </c>
      <c r="Q362">
        <f t="shared" si="970"/>
        <v>23683466.755607486</v>
      </c>
      <c r="R362">
        <f t="shared" si="971"/>
        <v>52512534.168581173</v>
      </c>
      <c r="S362">
        <f t="shared" si="972"/>
        <v>525.12534168581169</v>
      </c>
      <c r="T362">
        <f t="shared" si="973"/>
        <v>0.52512534168581171</v>
      </c>
    </row>
    <row r="363" spans="1:20" x14ac:dyDescent="0.25">
      <c r="A363" s="5">
        <v>44230</v>
      </c>
      <c r="B363">
        <v>0.30330000000000001</v>
      </c>
      <c r="C363">
        <v>0.36099999999999999</v>
      </c>
      <c r="D363">
        <v>0.2908</v>
      </c>
      <c r="E363">
        <v>0.34079999999999999</v>
      </c>
      <c r="F363">
        <v>36494007.829999998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0.42450142450142447</v>
      </c>
      <c r="Q363">
        <f t="shared" si="970"/>
        <v>15491758.309601137</v>
      </c>
      <c r="R363">
        <f t="shared" si="971"/>
        <v>28829067.412973687</v>
      </c>
      <c r="S363">
        <f t="shared" si="972"/>
        <v>288.29067412973689</v>
      </c>
      <c r="T363">
        <f t="shared" si="973"/>
        <v>0.28829067412973691</v>
      </c>
    </row>
    <row r="364" spans="1:20" x14ac:dyDescent="0.25">
      <c r="A364" s="5">
        <v>44229</v>
      </c>
      <c r="B364">
        <v>0.2994</v>
      </c>
      <c r="C364">
        <v>0.31530000000000002</v>
      </c>
      <c r="D364">
        <v>0.27529999999999999</v>
      </c>
      <c r="E364">
        <v>0.30349999999999999</v>
      </c>
      <c r="F364">
        <v>39817225.390000001</v>
      </c>
      <c r="G364">
        <v>0</v>
      </c>
      <c r="L364" t="s">
        <v>7</v>
      </c>
      <c r="M364" t="s">
        <v>7</v>
      </c>
      <c r="N364" t="s">
        <v>8</v>
      </c>
      <c r="P364">
        <f t="shared" si="969"/>
        <v>0.40999999999999887</v>
      </c>
      <c r="Q364">
        <f t="shared" si="970"/>
        <v>16325062.409899956</v>
      </c>
      <c r="R364">
        <f t="shared" si="971"/>
        <v>13337309.10337255</v>
      </c>
      <c r="S364">
        <f t="shared" si="972"/>
        <v>133.3730910337255</v>
      </c>
      <c r="T364">
        <f t="shared" si="973"/>
        <v>0.13337309103372549</v>
      </c>
    </row>
    <row r="365" spans="1:20" x14ac:dyDescent="0.25">
      <c r="A365" s="5">
        <v>44228</v>
      </c>
      <c r="B365">
        <v>0.24199999999999999</v>
      </c>
      <c r="C365">
        <v>0.3392</v>
      </c>
      <c r="D365">
        <v>0.24099999999999999</v>
      </c>
      <c r="E365">
        <v>0.29930000000000001</v>
      </c>
      <c r="F365">
        <v>128614336.34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0.18737270875763773</v>
      </c>
      <c r="Q365">
        <f t="shared" si="970"/>
        <v>24098816.585091684</v>
      </c>
      <c r="R365">
        <f t="shared" si="971"/>
        <v>-2987753.306527406</v>
      </c>
      <c r="S365">
        <f t="shared" si="972"/>
        <v>-29.877533065274061</v>
      </c>
      <c r="T365">
        <f t="shared" si="973"/>
        <v>-2.9877533065274062E-2</v>
      </c>
    </row>
    <row r="366" spans="1:20" x14ac:dyDescent="0.25">
      <c r="A366" s="5">
        <v>44227</v>
      </c>
      <c r="B366">
        <v>0.22450000000000001</v>
      </c>
      <c r="C366">
        <v>0.2437</v>
      </c>
      <c r="D366">
        <v>0.21260000000000001</v>
      </c>
      <c r="E366">
        <v>0.2417</v>
      </c>
      <c r="F366">
        <v>31843648.190000001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0.87138263665594839</v>
      </c>
      <c r="Q366">
        <f t="shared" si="970"/>
        <v>27748002.12054662</v>
      </c>
      <c r="R366">
        <f t="shared" si="971"/>
        <v>-27086569.89161909</v>
      </c>
      <c r="S366">
        <f t="shared" si="972"/>
        <v>-270.86569891619092</v>
      </c>
      <c r="T366">
        <f t="shared" si="973"/>
        <v>-0.27086569891619094</v>
      </c>
    </row>
    <row r="367" spans="1:20" x14ac:dyDescent="0.25">
      <c r="A367" s="5">
        <v>44226</v>
      </c>
      <c r="B367">
        <v>0.20050000000000001</v>
      </c>
      <c r="C367">
        <v>0.22919999999999999</v>
      </c>
      <c r="D367">
        <v>0.19489999999999999</v>
      </c>
      <c r="E367">
        <v>0.2243</v>
      </c>
      <c r="F367">
        <v>29579117.690000001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0.71428571428571497</v>
      </c>
      <c r="Q367">
        <f t="shared" si="970"/>
        <v>21127941.207142878</v>
      </c>
      <c r="R367">
        <f t="shared" si="971"/>
        <v>-54834572.01216571</v>
      </c>
      <c r="S367">
        <f t="shared" si="972"/>
        <v>-548.34572012165711</v>
      </c>
      <c r="T367">
        <f t="shared" si="973"/>
        <v>-0.54834572012165705</v>
      </c>
    </row>
    <row r="368" spans="1:20" x14ac:dyDescent="0.25">
      <c r="A368" s="5">
        <v>44225</v>
      </c>
      <c r="B368">
        <v>0.20699999999999999</v>
      </c>
      <c r="C368">
        <v>0.22700000000000001</v>
      </c>
      <c r="D368">
        <v>0.18240000000000001</v>
      </c>
      <c r="E368">
        <v>0.2006</v>
      </c>
      <c r="F368">
        <v>30065233.489999998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-0.18385650224215275</v>
      </c>
      <c r="Q368">
        <f t="shared" si="970"/>
        <v>-5527688.6685650302</v>
      </c>
      <c r="R368">
        <f t="shared" si="971"/>
        <v>-75962513.219308585</v>
      </c>
      <c r="S368">
        <f t="shared" si="972"/>
        <v>-759.62513219308585</v>
      </c>
      <c r="T368">
        <f t="shared" si="973"/>
        <v>-0.75962513219308581</v>
      </c>
    </row>
    <row r="369" spans="1:20" x14ac:dyDescent="0.25">
      <c r="A369" s="5">
        <v>44224</v>
      </c>
      <c r="B369">
        <v>0.1888</v>
      </c>
      <c r="C369">
        <v>0.22489999999999999</v>
      </c>
      <c r="D369">
        <v>0.18509999999999999</v>
      </c>
      <c r="E369">
        <v>0.2069</v>
      </c>
      <c r="F369">
        <v>39828597.979999997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9.5477386934674002E-2</v>
      </c>
      <c r="Q369">
        <f t="shared" si="970"/>
        <v>3802730.4604020352</v>
      </c>
      <c r="R369">
        <f t="shared" si="971"/>
        <v>-70434824.55074355</v>
      </c>
      <c r="S369">
        <f t="shared" si="972"/>
        <v>-704.34824550743554</v>
      </c>
      <c r="T369">
        <f t="shared" si="973"/>
        <v>-0.70434824550743558</v>
      </c>
    </row>
    <row r="370" spans="1:20" x14ac:dyDescent="0.25">
      <c r="A370" s="5">
        <v>44223</v>
      </c>
      <c r="B370">
        <v>0.2104</v>
      </c>
      <c r="C370">
        <v>0.21079999999999999</v>
      </c>
      <c r="D370">
        <v>0.17050000000000001</v>
      </c>
      <c r="E370">
        <v>0.189</v>
      </c>
      <c r="F370">
        <v>42686473.740000002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-8.1885856079404448E-2</v>
      </c>
      <c r="Q370">
        <f t="shared" si="970"/>
        <v>-3495418.4452109174</v>
      </c>
      <c r="R370">
        <f t="shared" si="971"/>
        <v>-74237555.011145592</v>
      </c>
      <c r="S370">
        <f t="shared" si="972"/>
        <v>-742.37555011145594</v>
      </c>
      <c r="T370">
        <f t="shared" si="973"/>
        <v>-0.74237555011145595</v>
      </c>
    </row>
    <row r="371" spans="1:20" x14ac:dyDescent="0.25">
      <c r="A371" s="5">
        <v>44222</v>
      </c>
      <c r="B371">
        <v>0.2205</v>
      </c>
      <c r="C371">
        <v>0.25</v>
      </c>
      <c r="D371">
        <v>0.1903</v>
      </c>
      <c r="E371">
        <v>0.2104</v>
      </c>
      <c r="F371">
        <v>44859237.189999998</v>
      </c>
      <c r="G371">
        <v>0</v>
      </c>
      <c r="L371" t="s">
        <v>8</v>
      </c>
      <c r="M371" t="s">
        <v>8</v>
      </c>
      <c r="N371" t="s">
        <v>8</v>
      </c>
      <c r="P371">
        <f t="shared" si="969"/>
        <v>-0.32663316582914553</v>
      </c>
      <c r="Q371">
        <f t="shared" si="970"/>
        <v>-14652514.660050241</v>
      </c>
      <c r="R371">
        <f t="shared" si="971"/>
        <v>-70742136.565934673</v>
      </c>
      <c r="S371">
        <f t="shared" si="972"/>
        <v>-707.42136565934675</v>
      </c>
      <c r="T371">
        <f t="shared" si="973"/>
        <v>-0.70742136565934677</v>
      </c>
    </row>
    <row r="372" spans="1:20" x14ac:dyDescent="0.25">
      <c r="A372" s="5">
        <v>44221</v>
      </c>
      <c r="B372">
        <v>0.18909999999999999</v>
      </c>
      <c r="C372">
        <v>0.22869999999999999</v>
      </c>
      <c r="D372">
        <v>0.18859999999999999</v>
      </c>
      <c r="E372">
        <v>0.22070000000000001</v>
      </c>
      <c r="F372">
        <v>43037560.509999998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0.60099750623441495</v>
      </c>
      <c r="Q372">
        <f t="shared" si="970"/>
        <v>25865466.540922735</v>
      </c>
      <c r="R372">
        <f t="shared" si="971"/>
        <v>-56089621.90588443</v>
      </c>
      <c r="S372">
        <f t="shared" si="972"/>
        <v>-560.89621905884428</v>
      </c>
      <c r="T372">
        <f t="shared" si="973"/>
        <v>-0.56089621905884424</v>
      </c>
    </row>
    <row r="373" spans="1:20" x14ac:dyDescent="0.25">
      <c r="A373" s="5">
        <v>44220</v>
      </c>
      <c r="B373">
        <v>0.19570000000000001</v>
      </c>
      <c r="C373">
        <v>0.2051</v>
      </c>
      <c r="D373">
        <v>0.17899999999999999</v>
      </c>
      <c r="E373">
        <v>0.189</v>
      </c>
      <c r="F373">
        <v>25308528.289999999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-0.23371647509578511</v>
      </c>
      <c r="Q373">
        <f t="shared" si="970"/>
        <v>-5915020.0218007574</v>
      </c>
      <c r="R373">
        <f t="shared" si="971"/>
        <v>-81955088.446807161</v>
      </c>
      <c r="S373">
        <f t="shared" si="972"/>
        <v>-819.55088446807156</v>
      </c>
      <c r="T373">
        <f t="shared" si="973"/>
        <v>-0.81955088446807156</v>
      </c>
    </row>
    <row r="374" spans="1:20" x14ac:dyDescent="0.25">
      <c r="A374" s="5">
        <v>44219</v>
      </c>
      <c r="B374">
        <v>0.17150000000000001</v>
      </c>
      <c r="C374">
        <v>0.19850000000000001</v>
      </c>
      <c r="D374">
        <v>0.1696</v>
      </c>
      <c r="E374">
        <v>0.19550000000000001</v>
      </c>
      <c r="F374">
        <v>27364815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0.79238754325259508</v>
      </c>
      <c r="Q374">
        <f t="shared" si="970"/>
        <v>21683538.529411763</v>
      </c>
      <c r="R374">
        <f t="shared" si="971"/>
        <v>-76040068.425006405</v>
      </c>
      <c r="S374">
        <f t="shared" si="972"/>
        <v>-760.40068425006405</v>
      </c>
      <c r="T374">
        <f t="shared" si="973"/>
        <v>-0.76040068425006402</v>
      </c>
    </row>
    <row r="375" spans="1:20" x14ac:dyDescent="0.25">
      <c r="A375" s="5">
        <v>44218</v>
      </c>
      <c r="B375">
        <v>0.15820000000000001</v>
      </c>
      <c r="C375">
        <v>0.18479999999999999</v>
      </c>
      <c r="D375">
        <v>0.14729999999999999</v>
      </c>
      <c r="E375">
        <v>0.1716</v>
      </c>
      <c r="F375">
        <v>26368020.420000002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0.29600000000000065</v>
      </c>
      <c r="Q375">
        <f t="shared" si="970"/>
        <v>7804934.044320018</v>
      </c>
      <c r="R375">
        <f t="shared" si="971"/>
        <v>-97723606.954418167</v>
      </c>
      <c r="S375">
        <f t="shared" si="972"/>
        <v>-977.23606954418165</v>
      </c>
      <c r="T375">
        <f t="shared" si="973"/>
        <v>-0.97723606954418163</v>
      </c>
    </row>
    <row r="376" spans="1:20" x14ac:dyDescent="0.25">
      <c r="A376" s="5">
        <v>44217</v>
      </c>
      <c r="B376">
        <v>0.1799</v>
      </c>
      <c r="C376">
        <v>0.1812</v>
      </c>
      <c r="D376">
        <v>0.15620000000000001</v>
      </c>
      <c r="E376">
        <v>0.15820000000000001</v>
      </c>
      <c r="F376">
        <v>31973256.129999999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-0.83999999999999986</v>
      </c>
      <c r="Q376">
        <f t="shared" si="970"/>
        <v>-26857535.149199996</v>
      </c>
      <c r="R376">
        <f t="shared" si="971"/>
        <v>-105528540.99873818</v>
      </c>
      <c r="S376">
        <f t="shared" si="972"/>
        <v>-1055.2854099873819</v>
      </c>
      <c r="T376">
        <f t="shared" si="973"/>
        <v>-1.0552854099873819</v>
      </c>
    </row>
    <row r="377" spans="1:20" x14ac:dyDescent="0.25">
      <c r="A377" s="5">
        <v>44216</v>
      </c>
      <c r="B377">
        <v>0.1782</v>
      </c>
      <c r="C377">
        <v>0.184</v>
      </c>
      <c r="D377">
        <v>0.1628</v>
      </c>
      <c r="E377">
        <v>0.18</v>
      </c>
      <c r="F377">
        <v>23888902.510000002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0.6226415094339619</v>
      </c>
      <c r="Q377">
        <f t="shared" si="970"/>
        <v>14874222.317547163</v>
      </c>
      <c r="R377">
        <f t="shared" si="971"/>
        <v>-78671005.849538192</v>
      </c>
      <c r="S377">
        <f t="shared" si="972"/>
        <v>-786.71005849538187</v>
      </c>
      <c r="T377">
        <f t="shared" si="973"/>
        <v>-0.78671005849538189</v>
      </c>
    </row>
    <row r="378" spans="1:20" x14ac:dyDescent="0.25">
      <c r="A378" s="5">
        <v>44215</v>
      </c>
      <c r="B378">
        <v>0.2009</v>
      </c>
      <c r="C378">
        <v>0.20180000000000001</v>
      </c>
      <c r="D378">
        <v>0.17799999999999999</v>
      </c>
      <c r="E378">
        <v>0.1784</v>
      </c>
      <c r="F378">
        <v>17710291.59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-0.96638655462184775</v>
      </c>
      <c r="Q378">
        <f t="shared" si="970"/>
        <v>-17114987.671008386</v>
      </c>
      <c r="R378">
        <f t="shared" si="971"/>
        <v>-93545228.16708535</v>
      </c>
      <c r="S378">
        <f t="shared" si="972"/>
        <v>-935.45228167085349</v>
      </c>
      <c r="T378">
        <f t="shared" si="973"/>
        <v>-0.93545228167085348</v>
      </c>
    </row>
    <row r="379" spans="1:20" x14ac:dyDescent="0.25">
      <c r="A379" s="5">
        <v>44214</v>
      </c>
      <c r="B379">
        <v>0.19059999999999999</v>
      </c>
      <c r="C379">
        <v>0.20810000000000001</v>
      </c>
      <c r="D379">
        <v>0.1797</v>
      </c>
      <c r="E379">
        <v>0.20080000000000001</v>
      </c>
      <c r="F379">
        <v>32170765.109999999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0.48591549295774655</v>
      </c>
      <c r="Q379">
        <f t="shared" si="970"/>
        <v>15632273.187253524</v>
      </c>
      <c r="R379">
        <f t="shared" si="971"/>
        <v>-76430240.496076971</v>
      </c>
      <c r="S379">
        <f t="shared" si="972"/>
        <v>-764.30240496076976</v>
      </c>
      <c r="T379">
        <f t="shared" si="973"/>
        <v>-0.76430240496076973</v>
      </c>
    </row>
    <row r="380" spans="1:20" x14ac:dyDescent="0.25">
      <c r="A380" s="5">
        <v>44213</v>
      </c>
      <c r="B380">
        <v>0.17050000000000001</v>
      </c>
      <c r="C380">
        <v>0.19969999999999999</v>
      </c>
      <c r="D380">
        <v>0.16270000000000001</v>
      </c>
      <c r="E380">
        <v>0.1903</v>
      </c>
      <c r="F380">
        <v>44961600.170000002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0.49189189189189203</v>
      </c>
      <c r="Q380">
        <f t="shared" si="970"/>
        <v>22116246.570108116</v>
      </c>
      <c r="R380">
        <f t="shared" si="971"/>
        <v>-92062513.683330491</v>
      </c>
      <c r="S380">
        <f t="shared" si="972"/>
        <v>-920.62513683330496</v>
      </c>
      <c r="T380">
        <f t="shared" si="973"/>
        <v>-0.92062513683330494</v>
      </c>
    </row>
    <row r="381" spans="1:20" x14ac:dyDescent="0.25">
      <c r="A381" s="5">
        <v>44212</v>
      </c>
      <c r="B381">
        <v>0.153</v>
      </c>
      <c r="C381">
        <v>0.17560000000000001</v>
      </c>
      <c r="D381">
        <v>0.15110000000000001</v>
      </c>
      <c r="E381">
        <v>0.1704</v>
      </c>
      <c r="F381">
        <v>31376330.52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0.57551020408163167</v>
      </c>
      <c r="Q381">
        <f t="shared" si="970"/>
        <v>18057398.380897928</v>
      </c>
      <c r="R381">
        <f t="shared" si="971"/>
        <v>-114178760.25343861</v>
      </c>
      <c r="S381">
        <f t="shared" si="972"/>
        <v>-1141.787602534386</v>
      </c>
      <c r="T381">
        <f t="shared" si="973"/>
        <v>-1.141787602534386</v>
      </c>
    </row>
    <row r="382" spans="1:20" x14ac:dyDescent="0.25">
      <c r="A382" s="5">
        <v>44211</v>
      </c>
      <c r="B382">
        <v>0.1545</v>
      </c>
      <c r="C382">
        <v>0.1676</v>
      </c>
      <c r="D382">
        <v>0.14050000000000001</v>
      </c>
      <c r="E382">
        <v>0.15310000000000001</v>
      </c>
      <c r="F382">
        <v>22505577.109999999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-7.0110701107010551E-2</v>
      </c>
      <c r="Q382">
        <f t="shared" si="970"/>
        <v>-1577881.7899999882</v>
      </c>
      <c r="R382">
        <f t="shared" si="971"/>
        <v>-132236158.63433653</v>
      </c>
      <c r="S382">
        <f t="shared" si="972"/>
        <v>-1322.3615863433654</v>
      </c>
      <c r="T382">
        <f t="shared" si="973"/>
        <v>-1.3223615863433653</v>
      </c>
    </row>
    <row r="383" spans="1:20" x14ac:dyDescent="0.25">
      <c r="A383" s="5">
        <v>44210</v>
      </c>
      <c r="B383">
        <v>0.15190000000000001</v>
      </c>
      <c r="C383">
        <v>0.158</v>
      </c>
      <c r="D383">
        <v>0.1449</v>
      </c>
      <c r="E383">
        <v>0.1547</v>
      </c>
      <c r="F383">
        <v>18326792.920000002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0.49618320610687067</v>
      </c>
      <c r="Q383">
        <f t="shared" si="970"/>
        <v>9093446.8687022999</v>
      </c>
      <c r="R383">
        <f t="shared" si="971"/>
        <v>-130658276.84433654</v>
      </c>
      <c r="S383">
        <f t="shared" si="972"/>
        <v>-1306.5827684433655</v>
      </c>
      <c r="T383">
        <f t="shared" si="973"/>
        <v>-1.3065827684433655</v>
      </c>
    </row>
    <row r="384" spans="1:20" x14ac:dyDescent="0.25">
      <c r="A384" s="5">
        <v>44209</v>
      </c>
      <c r="B384">
        <v>0.14649999999999999</v>
      </c>
      <c r="C384">
        <v>0.15479999999999999</v>
      </c>
      <c r="D384">
        <v>0.13919999999999999</v>
      </c>
      <c r="E384">
        <v>0.15190000000000001</v>
      </c>
      <c r="F384">
        <v>14006618.380000001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0.62820512820513008</v>
      </c>
      <c r="Q384">
        <f t="shared" si="970"/>
        <v>8799029.4951282311</v>
      </c>
      <c r="R384">
        <f t="shared" si="971"/>
        <v>-139751723.71303883</v>
      </c>
      <c r="S384">
        <f t="shared" si="972"/>
        <v>-1397.5172371303884</v>
      </c>
      <c r="T384">
        <f t="shared" si="973"/>
        <v>-1.3975172371303883</v>
      </c>
    </row>
    <row r="385" spans="1:20" x14ac:dyDescent="0.25">
      <c r="A385" s="5">
        <v>44208</v>
      </c>
      <c r="B385">
        <v>0.1482</v>
      </c>
      <c r="C385">
        <v>0.16189999999999999</v>
      </c>
      <c r="D385">
        <v>0.14119999999999999</v>
      </c>
      <c r="E385">
        <v>0.1469</v>
      </c>
      <c r="F385">
        <v>14838594.640000001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-0.44927536231883947</v>
      </c>
      <c r="Q385">
        <f t="shared" si="970"/>
        <v>-6666614.9831883898</v>
      </c>
      <c r="R385">
        <f t="shared" si="971"/>
        <v>-148550753.20816708</v>
      </c>
      <c r="S385">
        <f t="shared" si="972"/>
        <v>-1485.5075320816707</v>
      </c>
      <c r="T385">
        <f t="shared" si="973"/>
        <v>-1.4855075320816706</v>
      </c>
    </row>
    <row r="386" spans="1:20" x14ac:dyDescent="0.25">
      <c r="A386" s="5">
        <v>44207</v>
      </c>
      <c r="B386">
        <v>0.17150000000000001</v>
      </c>
      <c r="C386">
        <v>0.1782</v>
      </c>
      <c r="D386">
        <v>0.1351</v>
      </c>
      <c r="E386">
        <v>0.14810000000000001</v>
      </c>
      <c r="F386">
        <v>37217062.030000001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-0.39675174013921061</v>
      </c>
      <c r="Q386">
        <f t="shared" si="970"/>
        <v>-14765934.123271443</v>
      </c>
      <c r="R386">
        <f t="shared" si="971"/>
        <v>-141884138.22497869</v>
      </c>
      <c r="S386">
        <f t="shared" si="972"/>
        <v>-1418.8413822497869</v>
      </c>
      <c r="T386">
        <f t="shared" si="973"/>
        <v>-1.418841382249787</v>
      </c>
    </row>
    <row r="387" spans="1:20" x14ac:dyDescent="0.25">
      <c r="A387" s="5">
        <v>44206</v>
      </c>
      <c r="B387">
        <v>0.15509999999999999</v>
      </c>
      <c r="C387">
        <v>0.17560000000000001</v>
      </c>
      <c r="D387">
        <v>0.14899999999999999</v>
      </c>
      <c r="E387">
        <v>0.17130000000000001</v>
      </c>
      <c r="F387">
        <v>36579578.609999999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0.67669172932330857</v>
      </c>
      <c r="Q387">
        <f t="shared" si="970"/>
        <v>24753098.307518806</v>
      </c>
      <c r="R387">
        <f t="shared" si="971"/>
        <v>-127118204.10170725</v>
      </c>
      <c r="S387">
        <f t="shared" si="972"/>
        <v>-1271.1820410170726</v>
      </c>
      <c r="T387">
        <f t="shared" si="973"/>
        <v>-1.2711820410170727</v>
      </c>
    </row>
    <row r="388" spans="1:20" x14ac:dyDescent="0.25">
      <c r="A388" s="5">
        <v>44205</v>
      </c>
      <c r="B388">
        <v>0.14649999999999999</v>
      </c>
      <c r="C388">
        <v>0.16289999999999999</v>
      </c>
      <c r="D388">
        <v>0.14019999999999999</v>
      </c>
      <c r="E388">
        <v>0.15479999999999999</v>
      </c>
      <c r="F388">
        <v>18985887.57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0.28634361233480204</v>
      </c>
      <c r="Q388">
        <f t="shared" si="970"/>
        <v>5436487.6301762173</v>
      </c>
      <c r="R388">
        <f t="shared" si="971"/>
        <v>-151871302.40922606</v>
      </c>
      <c r="S388">
        <f t="shared" si="972"/>
        <v>-1518.7130240922606</v>
      </c>
      <c r="T388">
        <f t="shared" si="973"/>
        <v>-1.5187130240922606</v>
      </c>
    </row>
    <row r="389" spans="1:20" x14ac:dyDescent="0.25">
      <c r="A389" s="5">
        <v>44204</v>
      </c>
      <c r="B389">
        <v>0.14280000000000001</v>
      </c>
      <c r="C389">
        <v>0.14990000000000001</v>
      </c>
      <c r="D389">
        <v>0.12640000000000001</v>
      </c>
      <c r="E389">
        <v>0.14660000000000001</v>
      </c>
      <c r="F389">
        <v>25817019.760000002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0.71914893617021292</v>
      </c>
      <c r="Q389">
        <f t="shared" si="970"/>
        <v>18566282.295489367</v>
      </c>
      <c r="R389">
        <f t="shared" si="971"/>
        <v>-157307790.03940228</v>
      </c>
      <c r="S389">
        <f t="shared" si="972"/>
        <v>-1573.0779003940227</v>
      </c>
      <c r="T389">
        <f t="shared" si="973"/>
        <v>-1.5730779003940227</v>
      </c>
    </row>
    <row r="390" spans="1:20" x14ac:dyDescent="0.25">
      <c r="A390" s="5">
        <v>44203</v>
      </c>
      <c r="B390">
        <v>0.14940000000000001</v>
      </c>
      <c r="C390">
        <v>0.16250000000000001</v>
      </c>
      <c r="D390">
        <v>0.13550000000000001</v>
      </c>
      <c r="E390">
        <v>0.1426</v>
      </c>
      <c r="F390">
        <v>22618621.370000001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-0.47407407407407437</v>
      </c>
      <c r="Q390">
        <f t="shared" ref="Q390:Q453" si="975">F390*P390</f>
        <v>-10722901.982814822</v>
      </c>
      <c r="R390">
        <f t="shared" ref="R390:R453" si="976">R391+Q390</f>
        <v>-175874072.33489165</v>
      </c>
      <c r="S390">
        <f t="shared" ref="S390:S453" si="977">R390/100000</f>
        <v>-1758.7407233489164</v>
      </c>
      <c r="T390">
        <f t="shared" ref="T390:T453" si="978">S390/1000</f>
        <v>-1.7587407233489163</v>
      </c>
    </row>
    <row r="391" spans="1:20" x14ac:dyDescent="0.25">
      <c r="A391" s="5">
        <v>44202</v>
      </c>
      <c r="B391">
        <v>0.1424</v>
      </c>
      <c r="C391">
        <v>0.158</v>
      </c>
      <c r="D391">
        <v>0.1401</v>
      </c>
      <c r="E391">
        <v>0.14940000000000001</v>
      </c>
      <c r="F391">
        <v>23245009.75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3.9106145251396995E-2</v>
      </c>
      <c r="Q391">
        <f t="shared" si="975"/>
        <v>909022.72765363939</v>
      </c>
      <c r="R391">
        <f t="shared" si="976"/>
        <v>-165151170.35207683</v>
      </c>
      <c r="S391">
        <f t="shared" si="977"/>
        <v>-1651.5117035207684</v>
      </c>
      <c r="T391">
        <f t="shared" si="978"/>
        <v>-1.6515117035207685</v>
      </c>
    </row>
    <row r="392" spans="1:20" x14ac:dyDescent="0.25">
      <c r="A392" s="5">
        <v>44201</v>
      </c>
      <c r="B392">
        <v>0.1426</v>
      </c>
      <c r="C392">
        <v>0.15090000000000001</v>
      </c>
      <c r="D392">
        <v>0.12989999999999999</v>
      </c>
      <c r="E392">
        <v>0.14219999999999999</v>
      </c>
      <c r="F392">
        <v>19244817.07</v>
      </c>
      <c r="G392">
        <v>0</v>
      </c>
      <c r="L392" t="s">
        <v>7</v>
      </c>
      <c r="M392" t="s">
        <v>8</v>
      </c>
      <c r="N392" t="s">
        <v>7</v>
      </c>
      <c r="P392">
        <f t="shared" si="974"/>
        <v>0.1714285714285709</v>
      </c>
      <c r="Q392">
        <f t="shared" si="975"/>
        <v>3299111.4977142755</v>
      </c>
      <c r="R392">
        <f t="shared" si="976"/>
        <v>-166060193.07973048</v>
      </c>
      <c r="S392">
        <f t="shared" si="977"/>
        <v>-1660.6019307973047</v>
      </c>
      <c r="T392">
        <f t="shared" si="978"/>
        <v>-1.6606019307973048</v>
      </c>
    </row>
    <row r="393" spans="1:20" x14ac:dyDescent="0.25">
      <c r="A393" s="5">
        <v>44200</v>
      </c>
      <c r="B393">
        <v>0.1323</v>
      </c>
      <c r="C393">
        <v>0.15390000000000001</v>
      </c>
      <c r="D393">
        <v>0.1245</v>
      </c>
      <c r="E393">
        <v>0.14249999999999999</v>
      </c>
      <c r="F393">
        <v>28197772.739999998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0.22448979591836615</v>
      </c>
      <c r="Q393">
        <f t="shared" si="975"/>
        <v>6330112.2477550684</v>
      </c>
      <c r="R393">
        <f t="shared" si="976"/>
        <v>-169359304.57744476</v>
      </c>
      <c r="S393">
        <f t="shared" si="977"/>
        <v>-1693.5930457744475</v>
      </c>
      <c r="T393">
        <f t="shared" si="978"/>
        <v>-1.6935930457744475</v>
      </c>
    </row>
    <row r="394" spans="1:20" x14ac:dyDescent="0.25">
      <c r="A394" s="5">
        <v>44199</v>
      </c>
      <c r="B394">
        <v>0.1237</v>
      </c>
      <c r="C394">
        <v>0.13389999999999999</v>
      </c>
      <c r="D394">
        <v>0.1217</v>
      </c>
      <c r="E394">
        <v>0.13200000000000001</v>
      </c>
      <c r="F394">
        <v>12741665.74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0.68852459016393663</v>
      </c>
      <c r="Q394">
        <f t="shared" si="975"/>
        <v>8772950.1816393733</v>
      </c>
      <c r="R394">
        <f t="shared" si="976"/>
        <v>-175689416.82519984</v>
      </c>
      <c r="S394">
        <f t="shared" si="977"/>
        <v>-1756.8941682519985</v>
      </c>
      <c r="T394">
        <f t="shared" si="978"/>
        <v>-1.7568941682519985</v>
      </c>
    </row>
    <row r="395" spans="1:20" x14ac:dyDescent="0.25">
      <c r="A395" s="5">
        <v>44198</v>
      </c>
      <c r="B395">
        <v>0.1295</v>
      </c>
      <c r="C395">
        <v>0.1328</v>
      </c>
      <c r="D395">
        <v>0.11840000000000001</v>
      </c>
      <c r="E395">
        <v>0.1235</v>
      </c>
      <c r="F395">
        <v>13964037.74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-0.29166666666666741</v>
      </c>
      <c r="Q395">
        <f t="shared" si="975"/>
        <v>-4072844.3408333436</v>
      </c>
      <c r="R395">
        <f t="shared" si="976"/>
        <v>-184462367.00683922</v>
      </c>
      <c r="S395">
        <f t="shared" si="977"/>
        <v>-1844.6236700683921</v>
      </c>
      <c r="T395">
        <f t="shared" si="978"/>
        <v>-1.8446236700683922</v>
      </c>
    </row>
    <row r="396" spans="1:20" x14ac:dyDescent="0.25">
      <c r="A396" s="5">
        <v>44197</v>
      </c>
      <c r="B396">
        <v>0.1255</v>
      </c>
      <c r="C396">
        <v>0.13070000000000001</v>
      </c>
      <c r="D396">
        <v>0.1227</v>
      </c>
      <c r="E396">
        <v>0.1295</v>
      </c>
      <c r="F396">
        <v>11669504.67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0.69999999999999862</v>
      </c>
      <c r="Q396">
        <f t="shared" si="975"/>
        <v>8168653.2689999836</v>
      </c>
      <c r="R396">
        <f t="shared" si="976"/>
        <v>-180389522.66600588</v>
      </c>
      <c r="S396">
        <f t="shared" si="977"/>
        <v>-1803.8952266600588</v>
      </c>
      <c r="T396">
        <f t="shared" si="978"/>
        <v>-1.8038952266600587</v>
      </c>
    </row>
    <row r="397" spans="1:20" x14ac:dyDescent="0.25">
      <c r="A397" s="5">
        <v>44196</v>
      </c>
      <c r="B397">
        <v>0.128</v>
      </c>
      <c r="C397">
        <v>0.129</v>
      </c>
      <c r="D397">
        <v>0.1198</v>
      </c>
      <c r="E397">
        <v>0.125</v>
      </c>
      <c r="F397">
        <v>12919241.27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0.13043478260869487</v>
      </c>
      <c r="Q397">
        <f t="shared" si="975"/>
        <v>1685118.426521729</v>
      </c>
      <c r="R397">
        <f t="shared" si="976"/>
        <v>-188558175.93500587</v>
      </c>
      <c r="S397">
        <f t="shared" si="977"/>
        <v>-1885.5817593500587</v>
      </c>
      <c r="T397">
        <f t="shared" si="978"/>
        <v>-1.8855817593500588</v>
      </c>
    </row>
    <row r="398" spans="1:20" x14ac:dyDescent="0.25">
      <c r="A398" s="5">
        <v>44195</v>
      </c>
      <c r="B398">
        <v>0.13150000000000001</v>
      </c>
      <c r="C398">
        <v>0.13300000000000001</v>
      </c>
      <c r="D398">
        <v>0.1241</v>
      </c>
      <c r="E398">
        <v>0.128</v>
      </c>
      <c r="F398">
        <v>8134767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-0.12359550561797787</v>
      </c>
      <c r="Q398">
        <f t="shared" si="975"/>
        <v>-1005420.640449441</v>
      </c>
      <c r="R398">
        <f t="shared" si="976"/>
        <v>-190243294.36152759</v>
      </c>
      <c r="S398">
        <f t="shared" si="977"/>
        <v>-1902.4329436152759</v>
      </c>
      <c r="T398">
        <f t="shared" si="978"/>
        <v>-1.9024329436152758</v>
      </c>
    </row>
    <row r="399" spans="1:20" x14ac:dyDescent="0.25">
      <c r="A399" s="5">
        <v>44194</v>
      </c>
      <c r="B399">
        <v>0.13750000000000001</v>
      </c>
      <c r="C399">
        <v>0.14149999999999999</v>
      </c>
      <c r="D399">
        <v>0.122</v>
      </c>
      <c r="E399">
        <v>0.1313</v>
      </c>
      <c r="F399">
        <v>14492197.630000001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-4.6153846153845365E-2</v>
      </c>
      <c r="Q399">
        <f t="shared" si="975"/>
        <v>-668870.6598461424</v>
      </c>
      <c r="R399">
        <f t="shared" si="976"/>
        <v>-189237873.72107816</v>
      </c>
      <c r="S399">
        <f t="shared" si="977"/>
        <v>-1892.3787372107815</v>
      </c>
      <c r="T399">
        <f t="shared" si="978"/>
        <v>-1.8923787372107816</v>
      </c>
    </row>
    <row r="400" spans="1:20" x14ac:dyDescent="0.25">
      <c r="A400" s="5">
        <v>44193</v>
      </c>
      <c r="B400">
        <v>0.13089999999999999</v>
      </c>
      <c r="C400">
        <v>0.14319999999999999</v>
      </c>
      <c r="D400">
        <v>0.12909999999999999</v>
      </c>
      <c r="E400">
        <v>0.13750000000000001</v>
      </c>
      <c r="F400">
        <v>16425881.57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0.19148936170213018</v>
      </c>
      <c r="Q400">
        <f t="shared" si="975"/>
        <v>3145381.5772340843</v>
      </c>
      <c r="R400">
        <f t="shared" si="976"/>
        <v>-188569003.061232</v>
      </c>
      <c r="S400">
        <f t="shared" si="977"/>
        <v>-1885.69003061232</v>
      </c>
      <c r="T400">
        <f t="shared" si="978"/>
        <v>-1.8856900306123201</v>
      </c>
    </row>
    <row r="401" spans="1:20" x14ac:dyDescent="0.25">
      <c r="A401" s="5">
        <v>44192</v>
      </c>
      <c r="B401">
        <v>0.13669999999999999</v>
      </c>
      <c r="C401">
        <v>0.14319999999999999</v>
      </c>
      <c r="D401">
        <v>0.12620000000000001</v>
      </c>
      <c r="E401">
        <v>0.13089999999999999</v>
      </c>
      <c r="F401">
        <v>14750709.59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-0.44705882352941345</v>
      </c>
      <c r="Q401">
        <f t="shared" si="975"/>
        <v>-6594434.8755294364</v>
      </c>
      <c r="R401">
        <f t="shared" si="976"/>
        <v>-191714384.63846609</v>
      </c>
      <c r="S401">
        <f t="shared" si="977"/>
        <v>-1917.1438463846609</v>
      </c>
      <c r="T401">
        <f t="shared" si="978"/>
        <v>-1.9171438463846608</v>
      </c>
    </row>
    <row r="402" spans="1:20" x14ac:dyDescent="0.25">
      <c r="A402" s="5">
        <v>44191</v>
      </c>
      <c r="B402">
        <v>0.14019999999999999</v>
      </c>
      <c r="C402">
        <v>0.1419</v>
      </c>
      <c r="D402">
        <v>0.1308</v>
      </c>
      <c r="E402">
        <v>0.1366</v>
      </c>
      <c r="F402">
        <v>6360568.3899999997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4.5045045045045091E-2</v>
      </c>
      <c r="Q402">
        <f t="shared" si="975"/>
        <v>286512.08963963995</v>
      </c>
      <c r="R402">
        <f t="shared" si="976"/>
        <v>-185119949.76293665</v>
      </c>
      <c r="S402">
        <f t="shared" si="977"/>
        <v>-1851.1994976293665</v>
      </c>
      <c r="T402">
        <f t="shared" si="978"/>
        <v>-1.8511994976293666</v>
      </c>
    </row>
    <row r="403" spans="1:20" x14ac:dyDescent="0.25">
      <c r="A403" s="5">
        <v>44190</v>
      </c>
      <c r="B403">
        <v>0.14660000000000001</v>
      </c>
      <c r="C403">
        <v>0.15160000000000001</v>
      </c>
      <c r="D403">
        <v>0.13830000000000001</v>
      </c>
      <c r="E403">
        <v>0.14000000000000001</v>
      </c>
      <c r="F403">
        <v>7199539.6799999997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-0.74436090225563811</v>
      </c>
      <c r="Q403">
        <f t="shared" si="975"/>
        <v>-5359055.8520300677</v>
      </c>
      <c r="R403">
        <f t="shared" si="976"/>
        <v>-185406461.85257629</v>
      </c>
      <c r="S403">
        <f t="shared" si="977"/>
        <v>-1854.0646185257629</v>
      </c>
      <c r="T403">
        <f t="shared" si="978"/>
        <v>-1.8540646185257628</v>
      </c>
    </row>
    <row r="404" spans="1:20" x14ac:dyDescent="0.25">
      <c r="A404" s="5">
        <v>44189</v>
      </c>
      <c r="B404">
        <v>0.13250000000000001</v>
      </c>
      <c r="C404">
        <v>0.1479</v>
      </c>
      <c r="D404">
        <v>0.1275</v>
      </c>
      <c r="E404">
        <v>0.14649999999999999</v>
      </c>
      <c r="F404">
        <v>6759043.3200000003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0.86274509803921451</v>
      </c>
      <c r="Q404">
        <f t="shared" si="975"/>
        <v>5831331.4917646982</v>
      </c>
      <c r="R404">
        <f t="shared" si="976"/>
        <v>-180047406.00054622</v>
      </c>
      <c r="S404">
        <f t="shared" si="977"/>
        <v>-1800.4740600054622</v>
      </c>
      <c r="T404">
        <f t="shared" si="978"/>
        <v>-1.8004740600054623</v>
      </c>
    </row>
    <row r="405" spans="1:20" x14ac:dyDescent="0.25">
      <c r="A405" s="5">
        <v>44188</v>
      </c>
      <c r="B405">
        <v>0.16769999999999999</v>
      </c>
      <c r="C405">
        <v>0.17</v>
      </c>
      <c r="D405">
        <v>0.12470000000000001</v>
      </c>
      <c r="E405">
        <v>0.1326</v>
      </c>
      <c r="F405">
        <v>10839701.84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-0.65121412803532053</v>
      </c>
      <c r="Q405">
        <f t="shared" si="975"/>
        <v>-7058966.9818984596</v>
      </c>
      <c r="R405">
        <f t="shared" si="976"/>
        <v>-185878737.49231091</v>
      </c>
      <c r="S405">
        <f t="shared" si="977"/>
        <v>-1858.7873749231092</v>
      </c>
      <c r="T405">
        <f t="shared" si="978"/>
        <v>-1.8587873749231092</v>
      </c>
    </row>
    <row r="406" spans="1:20" x14ac:dyDescent="0.25">
      <c r="A406" s="5">
        <v>44187</v>
      </c>
      <c r="B406">
        <v>0.16839999999999999</v>
      </c>
      <c r="C406">
        <v>0.1709</v>
      </c>
      <c r="D406">
        <v>0.15590000000000001</v>
      </c>
      <c r="E406">
        <v>0.16769999999999999</v>
      </c>
      <c r="F406">
        <v>8212921.1799999997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0.57333333333333181</v>
      </c>
      <c r="Q406">
        <f t="shared" si="975"/>
        <v>4708741.4765333207</v>
      </c>
      <c r="R406">
        <f t="shared" si="976"/>
        <v>-178819770.51041245</v>
      </c>
      <c r="S406">
        <f t="shared" si="977"/>
        <v>-1788.1977051041245</v>
      </c>
      <c r="T406">
        <f t="shared" si="978"/>
        <v>-1.7881977051041245</v>
      </c>
    </row>
    <row r="407" spans="1:20" x14ac:dyDescent="0.25">
      <c r="A407" s="5">
        <v>44186</v>
      </c>
      <c r="B407">
        <v>0.1875</v>
      </c>
      <c r="C407">
        <v>0.19</v>
      </c>
      <c r="D407">
        <v>0.16350000000000001</v>
      </c>
      <c r="E407">
        <v>0.1678</v>
      </c>
      <c r="F407">
        <v>12732528.08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-0.67547169811320762</v>
      </c>
      <c r="Q407">
        <f t="shared" si="975"/>
        <v>-8600462.3634716999</v>
      </c>
      <c r="R407">
        <f t="shared" si="976"/>
        <v>-183528511.98694578</v>
      </c>
      <c r="S407">
        <f t="shared" si="977"/>
        <v>-1835.2851198694577</v>
      </c>
      <c r="T407">
        <f t="shared" si="978"/>
        <v>-1.8352851198694577</v>
      </c>
    </row>
    <row r="408" spans="1:20" x14ac:dyDescent="0.25">
      <c r="A408" s="5">
        <v>44185</v>
      </c>
      <c r="B408">
        <v>0.2029</v>
      </c>
      <c r="C408">
        <v>0.2029</v>
      </c>
      <c r="D408">
        <v>0.17799999999999999</v>
      </c>
      <c r="E408">
        <v>0.18790000000000001</v>
      </c>
      <c r="F408">
        <v>9661561.5299999993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-0.20481927710843231</v>
      </c>
      <c r="Q408">
        <f t="shared" si="975"/>
        <v>-1978874.0483132391</v>
      </c>
      <c r="R408">
        <f t="shared" si="976"/>
        <v>-174928049.62347409</v>
      </c>
      <c r="S408">
        <f t="shared" si="977"/>
        <v>-1749.2804962347409</v>
      </c>
      <c r="T408">
        <f t="shared" si="978"/>
        <v>-1.7492804962347408</v>
      </c>
    </row>
    <row r="409" spans="1:20" x14ac:dyDescent="0.25">
      <c r="A409" s="5">
        <v>44184</v>
      </c>
      <c r="B409">
        <v>0.2041</v>
      </c>
      <c r="C409">
        <v>0.21990000000000001</v>
      </c>
      <c r="D409">
        <v>0.20080000000000001</v>
      </c>
      <c r="E409">
        <v>0.2029</v>
      </c>
      <c r="F409">
        <v>8679969.5199999996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-0.78010471204188581</v>
      </c>
      <c r="Q409">
        <f t="shared" si="975"/>
        <v>-6771285.1229319451</v>
      </c>
      <c r="R409">
        <f t="shared" si="976"/>
        <v>-172949175.57516086</v>
      </c>
      <c r="S409">
        <f t="shared" si="977"/>
        <v>-1729.4917557516087</v>
      </c>
      <c r="T409">
        <f t="shared" si="978"/>
        <v>-1.7294917557516087</v>
      </c>
    </row>
    <row r="410" spans="1:20" x14ac:dyDescent="0.25">
      <c r="A410" s="5">
        <v>44183</v>
      </c>
      <c r="B410">
        <v>0.2006</v>
      </c>
      <c r="C410">
        <v>0.20960000000000001</v>
      </c>
      <c r="D410">
        <v>0.19600000000000001</v>
      </c>
      <c r="E410">
        <v>0.20369999999999999</v>
      </c>
      <c r="F410">
        <v>7841791.2599999998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0.13235294117646826</v>
      </c>
      <c r="Q410">
        <f t="shared" si="975"/>
        <v>1037884.1373529229</v>
      </c>
      <c r="R410">
        <f t="shared" si="976"/>
        <v>-166177890.4522289</v>
      </c>
      <c r="S410">
        <f t="shared" si="977"/>
        <v>-1661.7789045222889</v>
      </c>
      <c r="T410">
        <f t="shared" si="978"/>
        <v>-1.661778904522289</v>
      </c>
    </row>
    <row r="411" spans="1:20" x14ac:dyDescent="0.25">
      <c r="A411" s="5">
        <v>44182</v>
      </c>
      <c r="B411">
        <v>0.19650000000000001</v>
      </c>
      <c r="C411">
        <v>0.21160000000000001</v>
      </c>
      <c r="D411">
        <v>0.19470000000000001</v>
      </c>
      <c r="E411">
        <v>0.20100000000000001</v>
      </c>
      <c r="F411">
        <v>9948585.1899999995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-0.25443786982248512</v>
      </c>
      <c r="Q411">
        <f t="shared" si="975"/>
        <v>-2531296.823491123</v>
      </c>
      <c r="R411">
        <f t="shared" si="976"/>
        <v>-167215774.58958182</v>
      </c>
      <c r="S411">
        <f t="shared" si="977"/>
        <v>-1672.1577458958182</v>
      </c>
      <c r="T411">
        <f t="shared" si="978"/>
        <v>-1.6721577458958181</v>
      </c>
    </row>
    <row r="412" spans="1:20" x14ac:dyDescent="0.25">
      <c r="A412" s="5">
        <v>44181</v>
      </c>
      <c r="B412">
        <v>0.2006</v>
      </c>
      <c r="C412">
        <v>0.20250000000000001</v>
      </c>
      <c r="D412">
        <v>0.19040000000000001</v>
      </c>
      <c r="E412">
        <v>0.1966</v>
      </c>
      <c r="F412">
        <v>9215680.6799999997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2.4793388429749336E-2</v>
      </c>
      <c r="Q412">
        <f t="shared" si="975"/>
        <v>228487.95074377648</v>
      </c>
      <c r="R412">
        <f t="shared" si="976"/>
        <v>-164684477.76609069</v>
      </c>
      <c r="S412">
        <f t="shared" si="977"/>
        <v>-1646.8447776609069</v>
      </c>
      <c r="T412">
        <f t="shared" si="978"/>
        <v>-1.6468447776609068</v>
      </c>
    </row>
    <row r="413" spans="1:20" x14ac:dyDescent="0.25">
      <c r="A413" s="5">
        <v>44180</v>
      </c>
      <c r="B413">
        <v>0.2056</v>
      </c>
      <c r="C413">
        <v>0.21279999999999999</v>
      </c>
      <c r="D413">
        <v>0.19620000000000001</v>
      </c>
      <c r="E413">
        <v>0.20050000000000001</v>
      </c>
      <c r="F413">
        <v>7842740.2599999998</v>
      </c>
      <c r="G413">
        <v>0</v>
      </c>
      <c r="L413" t="s">
        <v>7</v>
      </c>
      <c r="M413" t="s">
        <v>8</v>
      </c>
      <c r="N413" t="s">
        <v>7</v>
      </c>
      <c r="P413">
        <f t="shared" si="974"/>
        <v>-0.48192771084337294</v>
      </c>
      <c r="Q413">
        <f t="shared" si="975"/>
        <v>-3779633.8602409596</v>
      </c>
      <c r="R413">
        <f t="shared" si="976"/>
        <v>-164912965.71683446</v>
      </c>
      <c r="S413">
        <f t="shared" si="977"/>
        <v>-1649.1296571683445</v>
      </c>
      <c r="T413">
        <f t="shared" si="978"/>
        <v>-1.6491296571683445</v>
      </c>
    </row>
    <row r="414" spans="1:20" x14ac:dyDescent="0.25">
      <c r="A414" s="5">
        <v>44179</v>
      </c>
      <c r="B414">
        <v>0.19500000000000001</v>
      </c>
      <c r="C414">
        <v>0.21279999999999999</v>
      </c>
      <c r="D414">
        <v>0.19189999999999999</v>
      </c>
      <c r="E414">
        <v>0.2051</v>
      </c>
      <c r="F414">
        <v>11239839.939999999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0.26315789473684364</v>
      </c>
      <c r="Q414">
        <f t="shared" si="975"/>
        <v>2957852.6157894908</v>
      </c>
      <c r="R414">
        <f t="shared" si="976"/>
        <v>-161133331.85659349</v>
      </c>
      <c r="S414">
        <f t="shared" si="977"/>
        <v>-1611.3333185659349</v>
      </c>
      <c r="T414">
        <f t="shared" si="978"/>
        <v>-1.6113333185659349</v>
      </c>
    </row>
    <row r="415" spans="1:20" x14ac:dyDescent="0.25">
      <c r="A415" s="5">
        <v>44178</v>
      </c>
      <c r="B415">
        <v>0.18840000000000001</v>
      </c>
      <c r="C415">
        <v>0.1993</v>
      </c>
      <c r="D415">
        <v>0.18609999999999999</v>
      </c>
      <c r="E415">
        <v>0.1948</v>
      </c>
      <c r="F415">
        <v>6413379.1299999999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0.31818181818181845</v>
      </c>
      <c r="Q415">
        <f t="shared" si="975"/>
        <v>2040620.632272729</v>
      </c>
      <c r="R415">
        <f t="shared" si="976"/>
        <v>-164091184.47238299</v>
      </c>
      <c r="S415">
        <f t="shared" si="977"/>
        <v>-1640.91184472383</v>
      </c>
      <c r="T415">
        <f t="shared" si="978"/>
        <v>-1.64091184472383</v>
      </c>
    </row>
    <row r="416" spans="1:20" x14ac:dyDescent="0.25">
      <c r="A416" s="5">
        <v>44177</v>
      </c>
      <c r="B416">
        <v>0.184</v>
      </c>
      <c r="C416">
        <v>0.19589999999999999</v>
      </c>
      <c r="D416">
        <v>0.17499999999999999</v>
      </c>
      <c r="E416">
        <v>0.1883</v>
      </c>
      <c r="F416">
        <v>8393273.4299999997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0.27272727272727321</v>
      </c>
      <c r="Q416">
        <f t="shared" si="975"/>
        <v>2289074.571818186</v>
      </c>
      <c r="R416">
        <f t="shared" si="976"/>
        <v>-166131805.10465571</v>
      </c>
      <c r="S416">
        <f t="shared" si="977"/>
        <v>-1661.3180510465572</v>
      </c>
      <c r="T416">
        <f t="shared" si="978"/>
        <v>-1.6613180510465573</v>
      </c>
    </row>
    <row r="417" spans="1:20" x14ac:dyDescent="0.25">
      <c r="A417" s="5">
        <v>44176</v>
      </c>
      <c r="B417">
        <v>0.20030000000000001</v>
      </c>
      <c r="C417">
        <v>0.20080000000000001</v>
      </c>
      <c r="D417">
        <v>0.18149999999999999</v>
      </c>
      <c r="E417">
        <v>0.1842</v>
      </c>
      <c r="F417">
        <v>10932265.390000001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-0.7202072538860097</v>
      </c>
      <c r="Q417">
        <f t="shared" si="975"/>
        <v>-7873496.835284967</v>
      </c>
      <c r="R417">
        <f t="shared" si="976"/>
        <v>-168420879.67647389</v>
      </c>
      <c r="S417">
        <f t="shared" si="977"/>
        <v>-1684.208796764739</v>
      </c>
      <c r="T417">
        <f t="shared" si="978"/>
        <v>-1.684208796764739</v>
      </c>
    </row>
    <row r="418" spans="1:20" x14ac:dyDescent="0.25">
      <c r="A418" s="5">
        <v>44175</v>
      </c>
      <c r="B418">
        <v>0.22550000000000001</v>
      </c>
      <c r="C418">
        <v>0.23130000000000001</v>
      </c>
      <c r="D418">
        <v>0.2</v>
      </c>
      <c r="E418">
        <v>0.20080000000000001</v>
      </c>
      <c r="F418">
        <v>17084391.5</v>
      </c>
      <c r="G418">
        <v>0</v>
      </c>
      <c r="L418" t="s">
        <v>7</v>
      </c>
      <c r="M418" t="s">
        <v>8</v>
      </c>
      <c r="N418" t="s">
        <v>8</v>
      </c>
      <c r="P418">
        <f t="shared" si="974"/>
        <v>-0.94888178913738053</v>
      </c>
      <c r="Q418">
        <f t="shared" si="975"/>
        <v>-16211067.972843457</v>
      </c>
      <c r="R418">
        <f t="shared" si="976"/>
        <v>-160547382.84118891</v>
      </c>
      <c r="S418">
        <f t="shared" si="977"/>
        <v>-1605.4738284118891</v>
      </c>
      <c r="T418">
        <f t="shared" si="978"/>
        <v>-1.6054738284118892</v>
      </c>
    </row>
    <row r="419" spans="1:20" x14ac:dyDescent="0.25">
      <c r="A419" s="5">
        <v>44174</v>
      </c>
      <c r="B419">
        <v>0.1983</v>
      </c>
      <c r="C419">
        <v>0.24</v>
      </c>
      <c r="D419">
        <v>0.18820000000000001</v>
      </c>
      <c r="E419">
        <v>0.22509999999999999</v>
      </c>
      <c r="F419">
        <v>42180866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0.42471042471042469</v>
      </c>
      <c r="Q419">
        <f t="shared" si="975"/>
        <v>17914653.513513513</v>
      </c>
      <c r="R419">
        <f t="shared" si="976"/>
        <v>-144336314.86834544</v>
      </c>
      <c r="S419">
        <f t="shared" si="977"/>
        <v>-1443.3631486834545</v>
      </c>
      <c r="T419">
        <f t="shared" si="978"/>
        <v>-1.4433631486834544</v>
      </c>
    </row>
    <row r="420" spans="1:20" x14ac:dyDescent="0.25">
      <c r="A420" s="5">
        <v>44173</v>
      </c>
      <c r="B420">
        <v>0.19470000000000001</v>
      </c>
      <c r="C420">
        <v>0.21249999999999999</v>
      </c>
      <c r="D420">
        <v>0.18060000000000001</v>
      </c>
      <c r="E420">
        <v>0.1986</v>
      </c>
      <c r="F420">
        <v>27312050.530000001</v>
      </c>
      <c r="G420">
        <v>0</v>
      </c>
      <c r="L420" t="s">
        <v>8</v>
      </c>
      <c r="M420" t="s">
        <v>7</v>
      </c>
      <c r="N420" t="s">
        <v>8</v>
      </c>
      <c r="P420">
        <f t="shared" si="974"/>
        <v>0.12852664576802492</v>
      </c>
      <c r="Q420">
        <f t="shared" si="975"/>
        <v>3510326.2436677073</v>
      </c>
      <c r="R420">
        <f t="shared" si="976"/>
        <v>-162250968.38185894</v>
      </c>
      <c r="S420">
        <f t="shared" si="977"/>
        <v>-1622.5096838185893</v>
      </c>
      <c r="T420">
        <f t="shared" si="978"/>
        <v>-1.6225096838185893</v>
      </c>
    </row>
    <row r="421" spans="1:20" x14ac:dyDescent="0.25">
      <c r="A421" s="5">
        <v>44172</v>
      </c>
      <c r="B421">
        <v>0.1981</v>
      </c>
      <c r="C421">
        <v>0.1996</v>
      </c>
      <c r="D421">
        <v>0.19220000000000001</v>
      </c>
      <c r="E421">
        <v>0.19470000000000001</v>
      </c>
      <c r="F421">
        <v>6457535.3899999997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-0.32432432432432279</v>
      </c>
      <c r="Q421">
        <f t="shared" si="975"/>
        <v>-2094335.802162152</v>
      </c>
      <c r="R421">
        <f t="shared" si="976"/>
        <v>-165761294.62552667</v>
      </c>
      <c r="S421">
        <f t="shared" si="977"/>
        <v>-1657.6129462552667</v>
      </c>
      <c r="T421">
        <f t="shared" si="978"/>
        <v>-1.6576129462552667</v>
      </c>
    </row>
    <row r="422" spans="1:20" x14ac:dyDescent="0.25">
      <c r="A422" s="5">
        <v>44171</v>
      </c>
      <c r="B422">
        <v>0.1986</v>
      </c>
      <c r="C422">
        <v>0.20230000000000001</v>
      </c>
      <c r="D422">
        <v>0.1888</v>
      </c>
      <c r="E422">
        <v>0.1983</v>
      </c>
      <c r="F422">
        <v>7946551.79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0.40740740740740738</v>
      </c>
      <c r="Q422">
        <f t="shared" si="975"/>
        <v>3237484.0625925926</v>
      </c>
      <c r="R422">
        <f t="shared" si="976"/>
        <v>-163666958.82336453</v>
      </c>
      <c r="S422">
        <f t="shared" si="977"/>
        <v>-1636.6695882336453</v>
      </c>
      <c r="T422">
        <f t="shared" si="978"/>
        <v>-1.6366695882336453</v>
      </c>
    </row>
    <row r="423" spans="1:20" x14ac:dyDescent="0.25">
      <c r="A423" s="5">
        <v>44170</v>
      </c>
      <c r="B423">
        <v>0.18859999999999999</v>
      </c>
      <c r="C423">
        <v>0.19900000000000001</v>
      </c>
      <c r="D423">
        <v>0.1852</v>
      </c>
      <c r="E423">
        <v>0.19900000000000001</v>
      </c>
      <c r="F423">
        <v>6148763.8499999996</v>
      </c>
      <c r="G423">
        <v>0</v>
      </c>
      <c r="L423" t="s">
        <v>8</v>
      </c>
      <c r="M423" t="s">
        <v>7</v>
      </c>
      <c r="N423" t="s">
        <v>8</v>
      </c>
      <c r="P423">
        <f t="shared" si="974"/>
        <v>1</v>
      </c>
      <c r="Q423">
        <f t="shared" si="975"/>
        <v>6148763.8499999996</v>
      </c>
      <c r="R423">
        <f t="shared" si="976"/>
        <v>-166904442.88595712</v>
      </c>
      <c r="S423">
        <f t="shared" si="977"/>
        <v>-1669.0444288595713</v>
      </c>
      <c r="T423">
        <f t="shared" si="978"/>
        <v>-1.6690444288595714</v>
      </c>
    </row>
    <row r="424" spans="1:20" x14ac:dyDescent="0.25">
      <c r="A424" s="5">
        <v>44169</v>
      </c>
      <c r="B424">
        <v>0.2266</v>
      </c>
      <c r="C424">
        <v>0.2329</v>
      </c>
      <c r="D424">
        <v>0.18429999999999999</v>
      </c>
      <c r="E424">
        <v>0.1883</v>
      </c>
      <c r="F424">
        <v>19535651.420000002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-0.83539094650205747</v>
      </c>
      <c r="Q424">
        <f t="shared" si="975"/>
        <v>-16319906.330288064</v>
      </c>
      <c r="R424">
        <f t="shared" si="976"/>
        <v>-173053206.73595712</v>
      </c>
      <c r="S424">
        <f t="shared" si="977"/>
        <v>-1730.5320673595711</v>
      </c>
      <c r="T424">
        <f t="shared" si="978"/>
        <v>-1.730532067359571</v>
      </c>
    </row>
    <row r="425" spans="1:20" x14ac:dyDescent="0.25">
      <c r="A425" s="5">
        <v>44168</v>
      </c>
      <c r="B425">
        <v>0.19400000000000001</v>
      </c>
      <c r="C425">
        <v>0.23599999999999999</v>
      </c>
      <c r="D425">
        <v>0.19320000000000001</v>
      </c>
      <c r="E425">
        <v>0.2266</v>
      </c>
      <c r="F425">
        <v>23505414.010000002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0.56074766355140204</v>
      </c>
      <c r="Q425">
        <f t="shared" si="975"/>
        <v>13180605.986915892</v>
      </c>
      <c r="R425">
        <f t="shared" si="976"/>
        <v>-156733300.40566906</v>
      </c>
      <c r="S425">
        <f t="shared" si="977"/>
        <v>-1567.3330040566907</v>
      </c>
      <c r="T425">
        <f t="shared" si="978"/>
        <v>-1.5673330040566906</v>
      </c>
    </row>
    <row r="426" spans="1:20" x14ac:dyDescent="0.25">
      <c r="A426" s="5">
        <v>44167</v>
      </c>
      <c r="B426">
        <v>0.18079999999999999</v>
      </c>
      <c r="C426">
        <v>0.19739999999999999</v>
      </c>
      <c r="D426">
        <v>0.17680000000000001</v>
      </c>
      <c r="E426">
        <v>0.19400000000000001</v>
      </c>
      <c r="F426">
        <v>11054601.49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0.66990291262136026</v>
      </c>
      <c r="Q426">
        <f t="shared" si="975"/>
        <v>7405509.7360194288</v>
      </c>
      <c r="R426">
        <f t="shared" si="976"/>
        <v>-169913906.39258495</v>
      </c>
      <c r="S426">
        <f t="shared" si="977"/>
        <v>-1699.1390639258495</v>
      </c>
      <c r="T426">
        <f t="shared" si="978"/>
        <v>-1.6991390639258495</v>
      </c>
    </row>
    <row r="427" spans="1:20" x14ac:dyDescent="0.25">
      <c r="A427" s="5">
        <v>44166</v>
      </c>
      <c r="B427">
        <v>0.18870000000000001</v>
      </c>
      <c r="C427">
        <v>0.2034</v>
      </c>
      <c r="D427">
        <v>0.1731</v>
      </c>
      <c r="E427">
        <v>0.1812</v>
      </c>
      <c r="F427">
        <v>9750335.75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-0.46534653465346548</v>
      </c>
      <c r="Q427">
        <f t="shared" si="975"/>
        <v>-4537284.952970298</v>
      </c>
      <c r="R427">
        <f t="shared" si="976"/>
        <v>-177319416.12860438</v>
      </c>
      <c r="S427">
        <f t="shared" si="977"/>
        <v>-1773.1941612860439</v>
      </c>
      <c r="T427">
        <f t="shared" si="978"/>
        <v>-1.773194161286044</v>
      </c>
    </row>
    <row r="428" spans="1:20" x14ac:dyDescent="0.25">
      <c r="A428" s="5">
        <v>44165</v>
      </c>
      <c r="B428">
        <v>0.18490000000000001</v>
      </c>
      <c r="C428">
        <v>0.19220000000000001</v>
      </c>
      <c r="D428">
        <v>0.17899999999999999</v>
      </c>
      <c r="E428">
        <v>0.18870000000000001</v>
      </c>
      <c r="F428">
        <v>7916875.96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0.46969696969696995</v>
      </c>
      <c r="Q428">
        <f t="shared" si="975"/>
        <v>3718532.6478787898</v>
      </c>
      <c r="R428">
        <f t="shared" si="976"/>
        <v>-172782131.17563409</v>
      </c>
      <c r="S428">
        <f t="shared" si="977"/>
        <v>-1727.8213117563409</v>
      </c>
      <c r="T428">
        <f t="shared" si="978"/>
        <v>-1.727821311756341</v>
      </c>
    </row>
    <row r="429" spans="1:20" x14ac:dyDescent="0.25">
      <c r="A429" s="5">
        <v>44164</v>
      </c>
      <c r="B429">
        <v>0.1842</v>
      </c>
      <c r="C429">
        <v>0.18720000000000001</v>
      </c>
      <c r="D429">
        <v>0.1767</v>
      </c>
      <c r="E429">
        <v>0.1847</v>
      </c>
      <c r="F429">
        <v>3593075.62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0.52380952380952384</v>
      </c>
      <c r="Q429">
        <f t="shared" si="975"/>
        <v>1882087.2295238096</v>
      </c>
      <c r="R429">
        <f t="shared" si="976"/>
        <v>-176500663.82351288</v>
      </c>
      <c r="S429">
        <f t="shared" si="977"/>
        <v>-1765.0066382351288</v>
      </c>
      <c r="T429">
        <f t="shared" si="978"/>
        <v>-1.7650066382351288</v>
      </c>
    </row>
    <row r="430" spans="1:20" x14ac:dyDescent="0.25">
      <c r="A430" s="5">
        <v>44163</v>
      </c>
      <c r="B430">
        <v>0.18010000000000001</v>
      </c>
      <c r="C430">
        <v>0.1928</v>
      </c>
      <c r="D430">
        <v>0.17369999999999999</v>
      </c>
      <c r="E430">
        <v>0.1842</v>
      </c>
      <c r="F430">
        <v>9936535.9900000002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9.9476439790576549E-2</v>
      </c>
      <c r="Q430">
        <f t="shared" si="975"/>
        <v>988451.22413613193</v>
      </c>
      <c r="R430">
        <f t="shared" si="976"/>
        <v>-178382751.05303669</v>
      </c>
      <c r="S430">
        <f t="shared" si="977"/>
        <v>-1783.8275105303669</v>
      </c>
      <c r="T430">
        <f t="shared" si="978"/>
        <v>-1.7838275105303669</v>
      </c>
    </row>
    <row r="431" spans="1:20" x14ac:dyDescent="0.25">
      <c r="A431" s="5">
        <v>44162</v>
      </c>
      <c r="B431">
        <v>0.1784</v>
      </c>
      <c r="C431">
        <v>0.19600000000000001</v>
      </c>
      <c r="D431">
        <v>0.17</v>
      </c>
      <c r="E431">
        <v>0.18010000000000001</v>
      </c>
      <c r="F431">
        <v>12061334.77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-0.22307692307692309</v>
      </c>
      <c r="Q431">
        <f t="shared" si="975"/>
        <v>-2690605.4486923078</v>
      </c>
      <c r="R431">
        <f t="shared" si="976"/>
        <v>-179371202.27717283</v>
      </c>
      <c r="S431">
        <f t="shared" si="977"/>
        <v>-1793.7120227717282</v>
      </c>
      <c r="T431">
        <f t="shared" si="978"/>
        <v>-1.7937120227717283</v>
      </c>
    </row>
    <row r="432" spans="1:20" x14ac:dyDescent="0.25">
      <c r="A432" s="5">
        <v>44161</v>
      </c>
      <c r="B432">
        <v>0.2157</v>
      </c>
      <c r="C432">
        <v>0.2225</v>
      </c>
      <c r="D432">
        <v>0.1615</v>
      </c>
      <c r="E432">
        <v>0.1774</v>
      </c>
      <c r="F432">
        <v>17933413.109999999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-0.47868852459016403</v>
      </c>
      <c r="Q432">
        <f t="shared" si="975"/>
        <v>-8584519.0624918044</v>
      </c>
      <c r="R432">
        <f t="shared" si="976"/>
        <v>-176680596.82848051</v>
      </c>
      <c r="S432">
        <f t="shared" si="977"/>
        <v>-1766.8059682848052</v>
      </c>
      <c r="T432">
        <f t="shared" si="978"/>
        <v>-1.7668059682848052</v>
      </c>
    </row>
    <row r="433" spans="1:20" x14ac:dyDescent="0.25">
      <c r="A433" s="5">
        <v>44160</v>
      </c>
      <c r="B433">
        <v>0.22800000000000001</v>
      </c>
      <c r="C433">
        <v>0.24490000000000001</v>
      </c>
      <c r="D433">
        <v>0.20549999999999999</v>
      </c>
      <c r="E433">
        <v>0.2157</v>
      </c>
      <c r="F433">
        <v>15629325.16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-0.48223350253807057</v>
      </c>
      <c r="Q433">
        <f t="shared" si="975"/>
        <v>-7536984.2142131906</v>
      </c>
      <c r="R433">
        <f t="shared" si="976"/>
        <v>-168096077.76598871</v>
      </c>
      <c r="S433">
        <f t="shared" si="977"/>
        <v>-1680.9607776598871</v>
      </c>
      <c r="T433">
        <f t="shared" si="978"/>
        <v>-1.6809607776598872</v>
      </c>
    </row>
    <row r="434" spans="1:20" x14ac:dyDescent="0.25">
      <c r="A434" s="5">
        <v>44159</v>
      </c>
      <c r="B434">
        <v>0.22420000000000001</v>
      </c>
      <c r="C434">
        <v>0.2417</v>
      </c>
      <c r="D434">
        <v>0.20699999999999999</v>
      </c>
      <c r="E434">
        <v>0.22720000000000001</v>
      </c>
      <c r="F434">
        <v>13613518.689999999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0.1642651296829982</v>
      </c>
      <c r="Q434">
        <f t="shared" si="975"/>
        <v>2236226.4130547694</v>
      </c>
      <c r="R434">
        <f t="shared" si="976"/>
        <v>-160559093.55177552</v>
      </c>
      <c r="S434">
        <f t="shared" si="977"/>
        <v>-1605.590935517755</v>
      </c>
      <c r="T434">
        <f t="shared" si="978"/>
        <v>-1.6055909355177551</v>
      </c>
    </row>
    <row r="435" spans="1:20" x14ac:dyDescent="0.25">
      <c r="A435" s="5">
        <v>44158</v>
      </c>
      <c r="B435">
        <v>0.20530000000000001</v>
      </c>
      <c r="C435">
        <v>0.22950000000000001</v>
      </c>
      <c r="D435">
        <v>0.2014</v>
      </c>
      <c r="E435">
        <v>0.22420000000000001</v>
      </c>
      <c r="F435">
        <v>13014632.98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0.62277580071174399</v>
      </c>
      <c r="Q435">
        <f t="shared" si="975"/>
        <v>8105198.4750889707</v>
      </c>
      <c r="R435">
        <f t="shared" si="976"/>
        <v>-162795319.96483028</v>
      </c>
      <c r="S435">
        <f t="shared" si="977"/>
        <v>-1627.9531996483029</v>
      </c>
      <c r="T435">
        <f t="shared" si="978"/>
        <v>-1.6279531996483028</v>
      </c>
    </row>
    <row r="436" spans="1:20" x14ac:dyDescent="0.25">
      <c r="A436" s="5">
        <v>44157</v>
      </c>
      <c r="B436">
        <v>0.22009999999999999</v>
      </c>
      <c r="C436">
        <v>0.2225</v>
      </c>
      <c r="D436">
        <v>0.19109999999999999</v>
      </c>
      <c r="E436">
        <v>0.2051</v>
      </c>
      <c r="F436">
        <v>14708103.58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-0.1082802547770696</v>
      </c>
      <c r="Q436">
        <f t="shared" si="975"/>
        <v>-1592597.2029299294</v>
      </c>
      <c r="R436">
        <f t="shared" si="976"/>
        <v>-170900518.43991926</v>
      </c>
      <c r="S436">
        <f t="shared" si="977"/>
        <v>-1709.0051843991926</v>
      </c>
      <c r="T436">
        <f t="shared" si="978"/>
        <v>-1.7090051843991925</v>
      </c>
    </row>
    <row r="437" spans="1:20" x14ac:dyDescent="0.25">
      <c r="A437" s="5">
        <v>44156</v>
      </c>
      <c r="B437">
        <v>0.19789999999999999</v>
      </c>
      <c r="C437">
        <v>0.23330000000000001</v>
      </c>
      <c r="D437">
        <v>0.19070000000000001</v>
      </c>
      <c r="E437">
        <v>0.21959999999999999</v>
      </c>
      <c r="F437">
        <v>22336260.550000001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0.35680751173708836</v>
      </c>
      <c r="Q437">
        <f t="shared" si="975"/>
        <v>7969745.5483567892</v>
      </c>
      <c r="R437">
        <f t="shared" si="976"/>
        <v>-169307921.23698932</v>
      </c>
      <c r="S437">
        <f t="shared" si="977"/>
        <v>-1693.0792123698932</v>
      </c>
      <c r="T437">
        <f t="shared" si="978"/>
        <v>-1.6930792123698932</v>
      </c>
    </row>
    <row r="438" spans="1:20" x14ac:dyDescent="0.25">
      <c r="A438" s="5">
        <v>44155</v>
      </c>
      <c r="B438">
        <v>0.20649999999999999</v>
      </c>
      <c r="C438">
        <v>0.22800000000000001</v>
      </c>
      <c r="D438">
        <v>0.19470000000000001</v>
      </c>
      <c r="E438">
        <v>0.1981</v>
      </c>
      <c r="F438">
        <v>23660517.920000002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-0.79579579579579662</v>
      </c>
      <c r="Q438">
        <f t="shared" si="975"/>
        <v>-18828940.687087107</v>
      </c>
      <c r="R438">
        <f t="shared" si="976"/>
        <v>-177277666.78534612</v>
      </c>
      <c r="S438">
        <f t="shared" si="977"/>
        <v>-1772.7766678534613</v>
      </c>
      <c r="T438">
        <f t="shared" si="978"/>
        <v>-1.7727766678534613</v>
      </c>
    </row>
    <row r="439" spans="1:20" x14ac:dyDescent="0.25">
      <c r="A439" s="5">
        <v>44154</v>
      </c>
      <c r="B439">
        <v>0.18340000000000001</v>
      </c>
      <c r="C439">
        <v>0.21210000000000001</v>
      </c>
      <c r="D439">
        <v>0.18010000000000001</v>
      </c>
      <c r="E439">
        <v>0.20619999999999999</v>
      </c>
      <c r="F439">
        <v>24421509.899999999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0.63124999999999898</v>
      </c>
      <c r="Q439">
        <f t="shared" si="975"/>
        <v>15416078.124374975</v>
      </c>
      <c r="R439">
        <f t="shared" si="976"/>
        <v>-158448726.098259</v>
      </c>
      <c r="S439">
        <f t="shared" si="977"/>
        <v>-1584.48726098259</v>
      </c>
      <c r="T439">
        <f t="shared" si="978"/>
        <v>-1.58448726098259</v>
      </c>
    </row>
    <row r="440" spans="1:20" x14ac:dyDescent="0.25">
      <c r="A440" s="5">
        <v>44153</v>
      </c>
      <c r="B440">
        <v>0.2074</v>
      </c>
      <c r="C440">
        <v>0.21010000000000001</v>
      </c>
      <c r="D440">
        <v>0.17169999999999999</v>
      </c>
      <c r="E440">
        <v>0.183</v>
      </c>
      <c r="F440">
        <v>19905794.760000002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-0.41145833333333337</v>
      </c>
      <c r="Q440">
        <f t="shared" si="975"/>
        <v>-8190405.135625001</v>
      </c>
      <c r="R440">
        <f t="shared" si="976"/>
        <v>-173864804.22263399</v>
      </c>
      <c r="S440">
        <f t="shared" si="977"/>
        <v>-1738.6480422263398</v>
      </c>
      <c r="T440">
        <f t="shared" si="978"/>
        <v>-1.7386480422263397</v>
      </c>
    </row>
    <row r="441" spans="1:20" x14ac:dyDescent="0.25">
      <c r="A441" s="5">
        <v>44152</v>
      </c>
      <c r="B441">
        <v>0.20549999999999999</v>
      </c>
      <c r="C441">
        <v>0.21890000000000001</v>
      </c>
      <c r="D441">
        <v>0.19939999999999999</v>
      </c>
      <c r="E441">
        <v>0.2074</v>
      </c>
      <c r="F441">
        <v>21952526.649999999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-0.17948717948717949</v>
      </c>
      <c r="Q441">
        <f t="shared" si="975"/>
        <v>-3940197.0910256407</v>
      </c>
      <c r="R441">
        <f t="shared" si="976"/>
        <v>-165674399.08700898</v>
      </c>
      <c r="S441">
        <f t="shared" si="977"/>
        <v>-1656.7439908700899</v>
      </c>
      <c r="T441">
        <f t="shared" si="978"/>
        <v>-1.6567439908700898</v>
      </c>
    </row>
    <row r="442" spans="1:20" x14ac:dyDescent="0.25">
      <c r="A442" s="5">
        <v>44151</v>
      </c>
      <c r="B442">
        <v>0.18770000000000001</v>
      </c>
      <c r="C442">
        <v>0.21199999999999999</v>
      </c>
      <c r="D442">
        <v>0.18049999999999999</v>
      </c>
      <c r="E442">
        <v>0.20610000000000001</v>
      </c>
      <c r="F442">
        <v>39709820.159999996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0.62539682539682617</v>
      </c>
      <c r="Q442">
        <f t="shared" si="975"/>
        <v>24834395.465142887</v>
      </c>
      <c r="R442">
        <f t="shared" si="976"/>
        <v>-161734201.99598333</v>
      </c>
      <c r="S442">
        <f t="shared" si="977"/>
        <v>-1617.3420199598334</v>
      </c>
      <c r="T442">
        <f t="shared" si="978"/>
        <v>-1.6173420199598334</v>
      </c>
    </row>
    <row r="443" spans="1:20" x14ac:dyDescent="0.25">
      <c r="A443" s="5">
        <v>44150</v>
      </c>
      <c r="B443">
        <v>0.17510000000000001</v>
      </c>
      <c r="C443">
        <v>0.20100000000000001</v>
      </c>
      <c r="D443">
        <v>0.17499999999999999</v>
      </c>
      <c r="E443">
        <v>0.1883</v>
      </c>
      <c r="F443">
        <v>37403534.909999996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2.3076923076922651E-2</v>
      </c>
      <c r="Q443">
        <f t="shared" si="975"/>
        <v>863158.4979230609</v>
      </c>
      <c r="R443">
        <f t="shared" si="976"/>
        <v>-186568597.46112621</v>
      </c>
      <c r="S443">
        <f t="shared" si="977"/>
        <v>-1865.6859746112621</v>
      </c>
      <c r="T443">
        <f t="shared" si="978"/>
        <v>-1.865685974611262</v>
      </c>
    </row>
    <row r="444" spans="1:20" x14ac:dyDescent="0.25">
      <c r="A444" s="5">
        <v>44149</v>
      </c>
      <c r="B444">
        <v>0.16569999999999999</v>
      </c>
      <c r="C444">
        <v>0.1784</v>
      </c>
      <c r="D444">
        <v>0.15920000000000001</v>
      </c>
      <c r="E444">
        <v>0.17519999999999999</v>
      </c>
      <c r="F444">
        <v>20389158.199999999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0.66666666666666574</v>
      </c>
      <c r="Q444">
        <f t="shared" si="975"/>
        <v>13592772.133333314</v>
      </c>
      <c r="R444">
        <f t="shared" si="976"/>
        <v>-187431755.95904925</v>
      </c>
      <c r="S444">
        <f t="shared" si="977"/>
        <v>-1874.3175595904925</v>
      </c>
      <c r="T444">
        <f t="shared" si="978"/>
        <v>-1.8743175595904924</v>
      </c>
    </row>
    <row r="445" spans="1:20" x14ac:dyDescent="0.25">
      <c r="A445" s="5">
        <v>44148</v>
      </c>
      <c r="B445">
        <v>0.14949999999999999</v>
      </c>
      <c r="C445">
        <v>0.1671</v>
      </c>
      <c r="D445">
        <v>0.14729999999999999</v>
      </c>
      <c r="E445">
        <v>0.1656</v>
      </c>
      <c r="F445">
        <v>13696123.32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0.8484848484848484</v>
      </c>
      <c r="Q445">
        <f t="shared" si="975"/>
        <v>11620953.119999999</v>
      </c>
      <c r="R445">
        <f t="shared" si="976"/>
        <v>-201024528.09238258</v>
      </c>
      <c r="S445">
        <f t="shared" si="977"/>
        <v>-2010.2452809238257</v>
      </c>
      <c r="T445">
        <f t="shared" si="978"/>
        <v>-2.0102452809238258</v>
      </c>
    </row>
    <row r="446" spans="1:20" x14ac:dyDescent="0.25">
      <c r="A446" s="5">
        <v>44147</v>
      </c>
      <c r="B446">
        <v>0.15679999999999999</v>
      </c>
      <c r="C446">
        <v>0.1663</v>
      </c>
      <c r="D446">
        <v>0.14599999999999999</v>
      </c>
      <c r="E446">
        <v>0.14949999999999999</v>
      </c>
      <c r="F446">
        <v>12805093.18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-0.65517241379310331</v>
      </c>
      <c r="Q446">
        <f t="shared" si="975"/>
        <v>-8389543.8075862043</v>
      </c>
      <c r="R446">
        <f t="shared" si="976"/>
        <v>-212645481.21238258</v>
      </c>
      <c r="S446">
        <f t="shared" si="977"/>
        <v>-2126.4548121238258</v>
      </c>
      <c r="T446">
        <f t="shared" si="978"/>
        <v>-2.1264548121238258</v>
      </c>
    </row>
    <row r="447" spans="1:20" x14ac:dyDescent="0.25">
      <c r="A447" s="5">
        <v>44146</v>
      </c>
      <c r="B447">
        <v>0.16769999999999999</v>
      </c>
      <c r="C447">
        <v>0.1774</v>
      </c>
      <c r="D447">
        <v>0.1555</v>
      </c>
      <c r="E447">
        <v>0.157</v>
      </c>
      <c r="F447">
        <v>16350897.869999999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-0.86301369863013688</v>
      </c>
      <c r="Q447">
        <f t="shared" si="975"/>
        <v>-14111048.846712327</v>
      </c>
      <c r="R447">
        <f t="shared" si="976"/>
        <v>-204255937.40479639</v>
      </c>
      <c r="S447">
        <f t="shared" si="977"/>
        <v>-2042.559374047964</v>
      </c>
      <c r="T447">
        <f t="shared" si="978"/>
        <v>-2.0425593740479639</v>
      </c>
    </row>
    <row r="448" spans="1:20" x14ac:dyDescent="0.25">
      <c r="A448" s="5">
        <v>44145</v>
      </c>
      <c r="B448">
        <v>0.14949999999999999</v>
      </c>
      <c r="C448">
        <v>0.1709</v>
      </c>
      <c r="D448">
        <v>0.1467</v>
      </c>
      <c r="E448">
        <v>0.1676</v>
      </c>
      <c r="F448">
        <v>15835976.560000001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0.72727272727272751</v>
      </c>
      <c r="Q448">
        <f t="shared" si="975"/>
        <v>11517073.861818187</v>
      </c>
      <c r="R448">
        <f t="shared" si="976"/>
        <v>-190144888.55808407</v>
      </c>
      <c r="S448">
        <f t="shared" si="977"/>
        <v>-1901.4488855808406</v>
      </c>
      <c r="T448">
        <f t="shared" si="978"/>
        <v>-1.9014488855808407</v>
      </c>
    </row>
    <row r="449" spans="1:20" x14ac:dyDescent="0.25">
      <c r="A449" s="5">
        <v>44144</v>
      </c>
      <c r="B449">
        <v>0.15090000000000001</v>
      </c>
      <c r="C449">
        <v>0.1542</v>
      </c>
      <c r="D449">
        <v>0.1424</v>
      </c>
      <c r="E449">
        <v>0.14899999999999999</v>
      </c>
      <c r="F449">
        <v>17074359.239999998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0.11864406779660881</v>
      </c>
      <c r="Q449">
        <f t="shared" si="975"/>
        <v>2025771.4352542139</v>
      </c>
      <c r="R449">
        <f t="shared" si="976"/>
        <v>-201661962.41990227</v>
      </c>
      <c r="S449">
        <f t="shared" si="977"/>
        <v>-2016.6196241990226</v>
      </c>
      <c r="T449">
        <f t="shared" si="978"/>
        <v>-2.0166196241990226</v>
      </c>
    </row>
    <row r="450" spans="1:20" x14ac:dyDescent="0.25">
      <c r="A450" s="5">
        <v>44143</v>
      </c>
      <c r="B450">
        <v>0.1409</v>
      </c>
      <c r="C450">
        <v>0.15529999999999999</v>
      </c>
      <c r="D450">
        <v>0.1384</v>
      </c>
      <c r="E450">
        <v>0.151</v>
      </c>
      <c r="F450">
        <v>15853929.439999999</v>
      </c>
      <c r="G450">
        <v>0</v>
      </c>
      <c r="L450" t="s">
        <v>8</v>
      </c>
      <c r="M450" t="s">
        <v>7</v>
      </c>
      <c r="N450" t="s">
        <v>8</v>
      </c>
      <c r="P450">
        <f t="shared" si="974"/>
        <v>0.49112426035502976</v>
      </c>
      <c r="Q450">
        <f t="shared" si="975"/>
        <v>7786249.3699408313</v>
      </c>
      <c r="R450">
        <f t="shared" si="976"/>
        <v>-203687733.85515648</v>
      </c>
      <c r="S450">
        <f t="shared" si="977"/>
        <v>-2036.8773385515649</v>
      </c>
      <c r="T450">
        <f t="shared" si="978"/>
        <v>-2.0368773385515651</v>
      </c>
    </row>
    <row r="451" spans="1:20" x14ac:dyDescent="0.25">
      <c r="A451" s="5">
        <v>44142</v>
      </c>
      <c r="B451">
        <v>0.15490000000000001</v>
      </c>
      <c r="C451">
        <v>0.16950000000000001</v>
      </c>
      <c r="D451">
        <v>0.1338</v>
      </c>
      <c r="E451">
        <v>0.1416</v>
      </c>
      <c r="F451">
        <v>44981531.07</v>
      </c>
      <c r="G451">
        <v>0</v>
      </c>
      <c r="L451" t="s">
        <v>7</v>
      </c>
      <c r="M451" t="s">
        <v>7</v>
      </c>
      <c r="N451" t="s">
        <v>8</v>
      </c>
      <c r="P451">
        <f t="shared" si="974"/>
        <v>-0.56302521008403361</v>
      </c>
      <c r="Q451">
        <f t="shared" si="975"/>
        <v>-25325735.980588235</v>
      </c>
      <c r="R451">
        <f t="shared" si="976"/>
        <v>-211473983.2250973</v>
      </c>
      <c r="S451">
        <f t="shared" si="977"/>
        <v>-2114.739832250973</v>
      </c>
      <c r="T451">
        <f t="shared" si="978"/>
        <v>-2.1147398322509732</v>
      </c>
    </row>
    <row r="452" spans="1:20" x14ac:dyDescent="0.25">
      <c r="A452" s="5">
        <v>44141</v>
      </c>
      <c r="B452">
        <v>0.1293</v>
      </c>
      <c r="C452">
        <v>0.16930000000000001</v>
      </c>
      <c r="D452">
        <v>0.1285</v>
      </c>
      <c r="E452">
        <v>0.15459999999999999</v>
      </c>
      <c r="F452">
        <v>34544121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0.27941176470588147</v>
      </c>
      <c r="Q452">
        <f t="shared" si="975"/>
        <v>9652033.8088234998</v>
      </c>
      <c r="R452">
        <f t="shared" si="976"/>
        <v>-186148247.24450907</v>
      </c>
      <c r="S452">
        <f t="shared" si="977"/>
        <v>-1861.4824724450907</v>
      </c>
      <c r="T452">
        <f t="shared" si="978"/>
        <v>-1.8614824724450907</v>
      </c>
    </row>
    <row r="453" spans="1:20" x14ac:dyDescent="0.25">
      <c r="A453" s="5">
        <v>44140</v>
      </c>
      <c r="B453">
        <v>0.1241</v>
      </c>
      <c r="C453">
        <v>0.13600000000000001</v>
      </c>
      <c r="D453">
        <v>0.1215</v>
      </c>
      <c r="E453">
        <v>0.12970000000000001</v>
      </c>
      <c r="F453">
        <v>14017617.140000001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0.13103448275862145</v>
      </c>
      <c r="Q453">
        <f t="shared" si="975"/>
        <v>1836791.2114482867</v>
      </c>
      <c r="R453">
        <f t="shared" si="976"/>
        <v>-195800281.05333257</v>
      </c>
      <c r="S453">
        <f t="shared" si="977"/>
        <v>-1958.0028105333256</v>
      </c>
      <c r="T453">
        <f t="shared" si="978"/>
        <v>-1.9580028105333256</v>
      </c>
    </row>
    <row r="454" spans="1:20" x14ac:dyDescent="0.25">
      <c r="A454" s="5">
        <v>44139</v>
      </c>
      <c r="B454">
        <v>0.1363</v>
      </c>
      <c r="C454">
        <v>0.13650000000000001</v>
      </c>
      <c r="D454">
        <v>0.1212</v>
      </c>
      <c r="E454">
        <v>0.12379999999999999</v>
      </c>
      <c r="F454">
        <v>13760477.939999999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-0.66013071895424968</v>
      </c>
      <c r="Q454">
        <f t="shared" ref="Q454:Q517" si="980">F454*P454</f>
        <v>-9083714.1956862919</v>
      </c>
      <c r="R454">
        <f t="shared" ref="R454:R517" si="981">R455+Q454</f>
        <v>-197637072.26478085</v>
      </c>
      <c r="S454">
        <f t="shared" ref="S454:S517" si="982">R454/100000</f>
        <v>-1976.3707226478084</v>
      </c>
      <c r="T454">
        <f t="shared" ref="T454:T517" si="983">S454/1000</f>
        <v>-1.9763707226478084</v>
      </c>
    </row>
    <row r="455" spans="1:20" x14ac:dyDescent="0.25">
      <c r="A455" s="5">
        <v>44138</v>
      </c>
      <c r="B455">
        <v>0.1489</v>
      </c>
      <c r="C455">
        <v>0.14940000000000001</v>
      </c>
      <c r="D455">
        <v>0.1331</v>
      </c>
      <c r="E455">
        <v>0.13600000000000001</v>
      </c>
      <c r="F455">
        <v>12552536.85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-0.6441717791411028</v>
      </c>
      <c r="Q455">
        <f t="shared" si="980"/>
        <v>-8085989.9953987543</v>
      </c>
      <c r="R455">
        <f t="shared" si="981"/>
        <v>-188553358.06909457</v>
      </c>
      <c r="S455">
        <f t="shared" si="982"/>
        <v>-1885.5335806909457</v>
      </c>
      <c r="T455">
        <f t="shared" si="983"/>
        <v>-1.8855335806909457</v>
      </c>
    </row>
    <row r="456" spans="1:20" x14ac:dyDescent="0.25">
      <c r="A456" s="5">
        <v>44137</v>
      </c>
      <c r="B456">
        <v>0.14929999999999999</v>
      </c>
      <c r="C456">
        <v>0.15820000000000001</v>
      </c>
      <c r="D456">
        <v>0.1447</v>
      </c>
      <c r="E456">
        <v>0.14910000000000001</v>
      </c>
      <c r="F456">
        <v>13684179.32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-0.34814814814814649</v>
      </c>
      <c r="Q456">
        <f t="shared" si="980"/>
        <v>-4764121.6891851621</v>
      </c>
      <c r="R456">
        <f t="shared" si="981"/>
        <v>-180467368.07369581</v>
      </c>
      <c r="S456">
        <f t="shared" si="982"/>
        <v>-1804.673680736958</v>
      </c>
      <c r="T456">
        <f t="shared" si="983"/>
        <v>-1.8046736807369579</v>
      </c>
    </row>
    <row r="457" spans="1:20" x14ac:dyDescent="0.25">
      <c r="A457" s="5">
        <v>44136</v>
      </c>
      <c r="B457">
        <v>0.15140000000000001</v>
      </c>
      <c r="C457">
        <v>0.15359999999999999</v>
      </c>
      <c r="D457">
        <v>0.14449999999999999</v>
      </c>
      <c r="E457">
        <v>0.14929999999999999</v>
      </c>
      <c r="F457">
        <v>8003674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5.4945054945055014E-2</v>
      </c>
      <c r="Q457">
        <f t="shared" si="980"/>
        <v>439762.30769230821</v>
      </c>
      <c r="R457">
        <f t="shared" si="981"/>
        <v>-175703246.38451064</v>
      </c>
      <c r="S457">
        <f t="shared" si="982"/>
        <v>-1757.0324638451063</v>
      </c>
      <c r="T457">
        <f t="shared" si="983"/>
        <v>-1.7570324638451063</v>
      </c>
    </row>
    <row r="458" spans="1:20" x14ac:dyDescent="0.25">
      <c r="A458" s="5">
        <v>44135</v>
      </c>
      <c r="B458">
        <v>0.15679999999999999</v>
      </c>
      <c r="C458">
        <v>0.16350000000000001</v>
      </c>
      <c r="D458">
        <v>0.15079999999999999</v>
      </c>
      <c r="E458">
        <v>0.15179999999999999</v>
      </c>
      <c r="F458">
        <v>12128260.35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-0.84251968503937014</v>
      </c>
      <c r="Q458">
        <f t="shared" si="980"/>
        <v>-10218298.090157481</v>
      </c>
      <c r="R458">
        <f t="shared" si="981"/>
        <v>-176143008.69220296</v>
      </c>
      <c r="S458">
        <f t="shared" si="982"/>
        <v>-1761.4300869220297</v>
      </c>
      <c r="T458">
        <f t="shared" si="983"/>
        <v>-1.7614300869220296</v>
      </c>
    </row>
    <row r="459" spans="1:20" x14ac:dyDescent="0.25">
      <c r="A459" s="5">
        <v>44134</v>
      </c>
      <c r="B459">
        <v>0.1522</v>
      </c>
      <c r="C459">
        <v>0.16389999999999999</v>
      </c>
      <c r="D459">
        <v>0.13850000000000001</v>
      </c>
      <c r="E459">
        <v>0.15640000000000001</v>
      </c>
      <c r="F459">
        <v>27965171.73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0.40944881889763896</v>
      </c>
      <c r="Q459">
        <f t="shared" si="980"/>
        <v>11450306.535118142</v>
      </c>
      <c r="R459">
        <f t="shared" si="981"/>
        <v>-165924710.60204548</v>
      </c>
      <c r="S459">
        <f t="shared" si="982"/>
        <v>-1659.2471060204548</v>
      </c>
      <c r="T459">
        <f t="shared" si="983"/>
        <v>-1.6592471060204548</v>
      </c>
    </row>
    <row r="460" spans="1:20" x14ac:dyDescent="0.25">
      <c r="A460" s="5">
        <v>44133</v>
      </c>
      <c r="B460">
        <v>0.16700000000000001</v>
      </c>
      <c r="C460">
        <v>0.17100000000000001</v>
      </c>
      <c r="D460">
        <v>0.151</v>
      </c>
      <c r="E460">
        <v>0.1525</v>
      </c>
      <c r="F460">
        <v>8213600.3799999999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-0.85</v>
      </c>
      <c r="Q460">
        <f t="shared" si="980"/>
        <v>-6981560.3229999999</v>
      </c>
      <c r="R460">
        <f t="shared" si="981"/>
        <v>-177375017.13716361</v>
      </c>
      <c r="S460">
        <f t="shared" si="982"/>
        <v>-1773.750171371636</v>
      </c>
      <c r="T460">
        <f t="shared" si="983"/>
        <v>-1.7737501713716362</v>
      </c>
    </row>
    <row r="461" spans="1:20" x14ac:dyDescent="0.25">
      <c r="A461" s="5">
        <v>44132</v>
      </c>
      <c r="B461">
        <v>0.191</v>
      </c>
      <c r="C461">
        <v>0.1968</v>
      </c>
      <c r="D461">
        <v>0.16370000000000001</v>
      </c>
      <c r="E461">
        <v>0.16689999999999999</v>
      </c>
      <c r="F461">
        <v>9518962.7100000009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-0.80664652567975947</v>
      </c>
      <c r="Q461">
        <f t="shared" si="980"/>
        <v>-7678438.1980966888</v>
      </c>
      <c r="R461">
        <f t="shared" si="981"/>
        <v>-170393456.8141636</v>
      </c>
      <c r="S461">
        <f t="shared" si="982"/>
        <v>-1703.934568141636</v>
      </c>
      <c r="T461">
        <f t="shared" si="983"/>
        <v>-1.703934568141636</v>
      </c>
    </row>
    <row r="462" spans="1:20" x14ac:dyDescent="0.25">
      <c r="A462" s="5">
        <v>44131</v>
      </c>
      <c r="B462">
        <v>0.1963</v>
      </c>
      <c r="C462">
        <v>0.2001</v>
      </c>
      <c r="D462">
        <v>0.185</v>
      </c>
      <c r="E462">
        <v>0.191</v>
      </c>
      <c r="F462">
        <v>9961968.3800000008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-0.20529801324503252</v>
      </c>
      <c r="Q462">
        <f t="shared" si="980"/>
        <v>-2045172.3164238355</v>
      </c>
      <c r="R462">
        <f t="shared" si="981"/>
        <v>-162715018.6160669</v>
      </c>
      <c r="S462">
        <f t="shared" si="982"/>
        <v>-1627.1501861606691</v>
      </c>
      <c r="T462">
        <f t="shared" si="983"/>
        <v>-1.6271501861606692</v>
      </c>
    </row>
    <row r="463" spans="1:20" x14ac:dyDescent="0.25">
      <c r="A463" s="5">
        <v>44130</v>
      </c>
      <c r="B463">
        <v>0.2099</v>
      </c>
      <c r="C463">
        <v>0.22489999999999999</v>
      </c>
      <c r="D463">
        <v>0.19070000000000001</v>
      </c>
      <c r="E463">
        <v>0.19670000000000001</v>
      </c>
      <c r="F463">
        <v>13198596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-0.64912280701754332</v>
      </c>
      <c r="Q463">
        <f t="shared" si="980"/>
        <v>-8567509.6842105184</v>
      </c>
      <c r="R463">
        <f t="shared" si="981"/>
        <v>-160669846.29964307</v>
      </c>
      <c r="S463">
        <f t="shared" si="982"/>
        <v>-1606.6984629964306</v>
      </c>
      <c r="T463">
        <f t="shared" si="983"/>
        <v>-1.6066984629964307</v>
      </c>
    </row>
    <row r="464" spans="1:20" x14ac:dyDescent="0.25">
      <c r="A464" s="5">
        <v>44129</v>
      </c>
      <c r="B464">
        <v>0.22589999999999999</v>
      </c>
      <c r="C464">
        <v>0.23250000000000001</v>
      </c>
      <c r="D464">
        <v>0.2056</v>
      </c>
      <c r="E464">
        <v>0.20949999999999999</v>
      </c>
      <c r="F464">
        <v>9555428.8100000005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-0.71003717472119066</v>
      </c>
      <c r="Q464">
        <f t="shared" si="980"/>
        <v>-6784709.6755018691</v>
      </c>
      <c r="R464">
        <f t="shared" si="981"/>
        <v>-152102336.61543256</v>
      </c>
      <c r="S464">
        <f t="shared" si="982"/>
        <v>-1521.0233661543257</v>
      </c>
      <c r="T464">
        <f t="shared" si="983"/>
        <v>-1.5210233661543258</v>
      </c>
    </row>
    <row r="465" spans="1:20" x14ac:dyDescent="0.25">
      <c r="A465" s="5">
        <v>44128</v>
      </c>
      <c r="B465">
        <v>0.2223</v>
      </c>
      <c r="C465">
        <v>0.23549999999999999</v>
      </c>
      <c r="D465">
        <v>0.219</v>
      </c>
      <c r="E465">
        <v>0.22600000000000001</v>
      </c>
      <c r="F465">
        <v>7440718.6299999999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-0.15151515151515008</v>
      </c>
      <c r="Q465">
        <f t="shared" si="980"/>
        <v>-1127381.6106060499</v>
      </c>
      <c r="R465">
        <f t="shared" si="981"/>
        <v>-145317626.93993068</v>
      </c>
      <c r="S465">
        <f t="shared" si="982"/>
        <v>-1453.1762693993069</v>
      </c>
      <c r="T465">
        <f t="shared" si="983"/>
        <v>-1.4531762693993069</v>
      </c>
    </row>
    <row r="466" spans="1:20" x14ac:dyDescent="0.25">
      <c r="A466" s="5">
        <v>44127</v>
      </c>
      <c r="B466">
        <v>0.23580000000000001</v>
      </c>
      <c r="C466">
        <v>0.2374</v>
      </c>
      <c r="D466">
        <v>0.217</v>
      </c>
      <c r="E466">
        <v>0.2223</v>
      </c>
      <c r="F466">
        <v>7186024.2599999998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-0.48039215686274522</v>
      </c>
      <c r="Q466">
        <f t="shared" si="980"/>
        <v>-3452109.6935294126</v>
      </c>
      <c r="R466">
        <f t="shared" si="981"/>
        <v>-144190245.32932463</v>
      </c>
      <c r="S466">
        <f t="shared" si="982"/>
        <v>-1441.9024532932463</v>
      </c>
      <c r="T466">
        <f t="shared" si="983"/>
        <v>-1.4419024532932463</v>
      </c>
    </row>
    <row r="467" spans="1:20" x14ac:dyDescent="0.25">
      <c r="A467" s="5">
        <v>44126</v>
      </c>
      <c r="B467">
        <v>0.24199999999999999</v>
      </c>
      <c r="C467">
        <v>0.24790000000000001</v>
      </c>
      <c r="D467">
        <v>0.23300000000000001</v>
      </c>
      <c r="E467">
        <v>0.23569999999999999</v>
      </c>
      <c r="F467">
        <v>6970507.3700000001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-0.63758389261745219</v>
      </c>
      <c r="Q467">
        <f t="shared" si="980"/>
        <v>-4444283.2224832391</v>
      </c>
      <c r="R467">
        <f t="shared" si="981"/>
        <v>-140738135.63579521</v>
      </c>
      <c r="S467">
        <f t="shared" si="982"/>
        <v>-1407.381356357952</v>
      </c>
      <c r="T467">
        <f t="shared" si="983"/>
        <v>-1.407381356357952</v>
      </c>
    </row>
    <row r="468" spans="1:20" x14ac:dyDescent="0.25">
      <c r="A468" s="5">
        <v>44125</v>
      </c>
      <c r="B468">
        <v>0.2366</v>
      </c>
      <c r="C468">
        <v>0.25209999999999999</v>
      </c>
      <c r="D468">
        <v>0.23599999999999999</v>
      </c>
      <c r="E468">
        <v>0.24199999999999999</v>
      </c>
      <c r="F468">
        <v>6837716.5199999996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-0.25465838509316718</v>
      </c>
      <c r="Q468">
        <f t="shared" si="980"/>
        <v>-1741281.846708071</v>
      </c>
      <c r="R468">
        <f t="shared" si="981"/>
        <v>-136293852.41331196</v>
      </c>
      <c r="S468">
        <f t="shared" si="982"/>
        <v>-1362.9385241331195</v>
      </c>
      <c r="T468">
        <f t="shared" si="983"/>
        <v>-1.3629385241331196</v>
      </c>
    </row>
    <row r="469" spans="1:20" x14ac:dyDescent="0.25">
      <c r="A469" s="5">
        <v>44124</v>
      </c>
      <c r="B469">
        <v>0.26190000000000002</v>
      </c>
      <c r="C469">
        <v>0.26279999999999998</v>
      </c>
      <c r="D469">
        <v>0.23319999999999999</v>
      </c>
      <c r="E469">
        <v>0.2366</v>
      </c>
      <c r="F469">
        <v>7320352.2300000004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-0.77027027027026918</v>
      </c>
      <c r="Q469">
        <f t="shared" si="980"/>
        <v>-5638649.6906756684</v>
      </c>
      <c r="R469">
        <f t="shared" si="981"/>
        <v>-134552570.5666039</v>
      </c>
      <c r="S469">
        <f t="shared" si="982"/>
        <v>-1345.5257056660389</v>
      </c>
      <c r="T469">
        <f t="shared" si="983"/>
        <v>-1.3455257056660388</v>
      </c>
    </row>
    <row r="470" spans="1:20" x14ac:dyDescent="0.25">
      <c r="A470" s="5">
        <v>44123</v>
      </c>
      <c r="B470">
        <v>0.2576</v>
      </c>
      <c r="C470">
        <v>0.27</v>
      </c>
      <c r="D470">
        <v>0.24809999999999999</v>
      </c>
      <c r="E470">
        <v>0.26200000000000001</v>
      </c>
      <c r="F470">
        <v>9283951.3200000003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0.2694063926940643</v>
      </c>
      <c r="Q470">
        <f t="shared" si="980"/>
        <v>2501155.8350684969</v>
      </c>
      <c r="R470">
        <f t="shared" si="981"/>
        <v>-128913920.87592822</v>
      </c>
      <c r="S470">
        <f t="shared" si="982"/>
        <v>-1289.1392087592822</v>
      </c>
      <c r="T470">
        <f t="shared" si="983"/>
        <v>-1.2891392087592821</v>
      </c>
    </row>
    <row r="471" spans="1:20" x14ac:dyDescent="0.25">
      <c r="A471" s="5">
        <v>44122</v>
      </c>
      <c r="B471">
        <v>0.25409999999999999</v>
      </c>
      <c r="C471">
        <v>0.26150000000000001</v>
      </c>
      <c r="D471">
        <v>0.25</v>
      </c>
      <c r="E471">
        <v>0.25790000000000002</v>
      </c>
      <c r="F471">
        <v>6108899.1900000004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0.37391304347826282</v>
      </c>
      <c r="Q471">
        <f t="shared" si="980"/>
        <v>2284197.0884347945</v>
      </c>
      <c r="R471">
        <f t="shared" si="981"/>
        <v>-131415076.71099672</v>
      </c>
      <c r="S471">
        <f t="shared" si="982"/>
        <v>-1314.1507671099671</v>
      </c>
      <c r="T471">
        <f t="shared" si="983"/>
        <v>-1.314150767109967</v>
      </c>
    </row>
    <row r="472" spans="1:20" x14ac:dyDescent="0.25">
      <c r="A472" s="5">
        <v>44121</v>
      </c>
      <c r="B472">
        <v>0.25169999999999998</v>
      </c>
      <c r="C472">
        <v>0.26090000000000002</v>
      </c>
      <c r="D472">
        <v>0.24340000000000001</v>
      </c>
      <c r="E472">
        <v>0.25409999999999999</v>
      </c>
      <c r="F472">
        <v>6974226.75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0.22285714285714031</v>
      </c>
      <c r="Q472">
        <f t="shared" si="980"/>
        <v>1554256.2471428395</v>
      </c>
      <c r="R472">
        <f t="shared" si="981"/>
        <v>-133699273.79943152</v>
      </c>
      <c r="S472">
        <f t="shared" si="982"/>
        <v>-1336.9927379943151</v>
      </c>
      <c r="T472">
        <f t="shared" si="983"/>
        <v>-1.3369927379943152</v>
      </c>
    </row>
    <row r="473" spans="1:20" x14ac:dyDescent="0.25">
      <c r="A473" s="5">
        <v>44120</v>
      </c>
      <c r="B473">
        <v>0.26340000000000002</v>
      </c>
      <c r="C473">
        <v>0.26619999999999999</v>
      </c>
      <c r="D473">
        <v>0.24779999999999999</v>
      </c>
      <c r="E473">
        <v>0.25140000000000001</v>
      </c>
      <c r="F473">
        <v>7175494.2999999998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-0.60869565217391086</v>
      </c>
      <c r="Q473">
        <f t="shared" si="980"/>
        <v>-4367692.1826086799</v>
      </c>
      <c r="R473">
        <f t="shared" si="981"/>
        <v>-135253530.04657435</v>
      </c>
      <c r="S473">
        <f t="shared" si="982"/>
        <v>-1352.5353004657436</v>
      </c>
      <c r="T473">
        <f t="shared" si="983"/>
        <v>-1.3525353004657437</v>
      </c>
    </row>
    <row r="474" spans="1:20" x14ac:dyDescent="0.25">
      <c r="A474" s="5">
        <v>44119</v>
      </c>
      <c r="B474">
        <v>0.27300000000000002</v>
      </c>
      <c r="C474">
        <v>0.27460000000000001</v>
      </c>
      <c r="D474">
        <v>0.25600000000000001</v>
      </c>
      <c r="E474">
        <v>0.2641</v>
      </c>
      <c r="F474">
        <v>8197990.2300000004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-0.12903225806451679</v>
      </c>
      <c r="Q474">
        <f t="shared" si="980"/>
        <v>-1057805.1909677475</v>
      </c>
      <c r="R474">
        <f t="shared" si="981"/>
        <v>-130885837.86396568</v>
      </c>
      <c r="S474">
        <f t="shared" si="982"/>
        <v>-1308.8583786396568</v>
      </c>
      <c r="T474">
        <f t="shared" si="983"/>
        <v>-1.3088583786396568</v>
      </c>
    </row>
    <row r="475" spans="1:20" x14ac:dyDescent="0.25">
      <c r="A475" s="5">
        <v>44118</v>
      </c>
      <c r="B475">
        <v>0.2752</v>
      </c>
      <c r="C475">
        <v>0.2989</v>
      </c>
      <c r="D475">
        <v>0.26</v>
      </c>
      <c r="E475">
        <v>0.2732</v>
      </c>
      <c r="F475">
        <v>15061028.57</v>
      </c>
      <c r="G475">
        <v>0</v>
      </c>
      <c r="L475" t="s">
        <v>8</v>
      </c>
      <c r="M475" t="s">
        <v>8</v>
      </c>
      <c r="N475" t="s">
        <v>7</v>
      </c>
      <c r="P475">
        <f t="shared" si="979"/>
        <v>-0.32133676092545022</v>
      </c>
      <c r="Q475">
        <f t="shared" si="980"/>
        <v>-4839662.1368894652</v>
      </c>
      <c r="R475">
        <f t="shared" si="981"/>
        <v>-129828032.67299792</v>
      </c>
      <c r="S475">
        <f t="shared" si="982"/>
        <v>-1298.2803267299792</v>
      </c>
      <c r="T475">
        <f t="shared" si="983"/>
        <v>-1.2982803267299792</v>
      </c>
    </row>
    <row r="476" spans="1:20" x14ac:dyDescent="0.25">
      <c r="A476" s="5">
        <v>44117</v>
      </c>
      <c r="B476">
        <v>0.25950000000000001</v>
      </c>
      <c r="C476">
        <v>0.28389999999999999</v>
      </c>
      <c r="D476">
        <v>0.25430000000000003</v>
      </c>
      <c r="E476">
        <v>0.2752</v>
      </c>
      <c r="F476">
        <v>14933112.529999999</v>
      </c>
      <c r="G476">
        <v>0</v>
      </c>
      <c r="L476" t="s">
        <v>8</v>
      </c>
      <c r="M476" t="s">
        <v>7</v>
      </c>
      <c r="N476" t="s">
        <v>7</v>
      </c>
      <c r="P476">
        <f t="shared" si="979"/>
        <v>0.41216216216216234</v>
      </c>
      <c r="Q476">
        <f t="shared" si="980"/>
        <v>6154863.948175678</v>
      </c>
      <c r="R476">
        <f t="shared" si="981"/>
        <v>-124988370.53610845</v>
      </c>
      <c r="S476">
        <f t="shared" si="982"/>
        <v>-1249.8837053610846</v>
      </c>
      <c r="T476">
        <f t="shared" si="983"/>
        <v>-1.2498837053610845</v>
      </c>
    </row>
    <row r="477" spans="1:20" x14ac:dyDescent="0.25">
      <c r="A477" s="5">
        <v>44116</v>
      </c>
      <c r="B477">
        <v>0.27810000000000001</v>
      </c>
      <c r="C477">
        <v>0.27929999999999999</v>
      </c>
      <c r="D477">
        <v>0.25419999999999998</v>
      </c>
      <c r="E477">
        <v>0.25950000000000001</v>
      </c>
      <c r="F477">
        <v>11171555.359999999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-0.57768924302788649</v>
      </c>
      <c r="Q477">
        <f t="shared" si="980"/>
        <v>-6453687.3593625277</v>
      </c>
      <c r="R477">
        <f t="shared" si="981"/>
        <v>-131143234.48428413</v>
      </c>
      <c r="S477">
        <f t="shared" si="982"/>
        <v>-1311.4323448428413</v>
      </c>
      <c r="T477">
        <f t="shared" si="983"/>
        <v>-1.3114323448428413</v>
      </c>
    </row>
    <row r="478" spans="1:20" x14ac:dyDescent="0.25">
      <c r="A478" s="5">
        <v>44115</v>
      </c>
      <c r="B478">
        <v>0.26619999999999999</v>
      </c>
      <c r="C478">
        <v>0.28210000000000002</v>
      </c>
      <c r="D478">
        <v>0.24759999999999999</v>
      </c>
      <c r="E478">
        <v>0.27829999999999999</v>
      </c>
      <c r="F478">
        <v>13961839.310000001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0.77971014492753499</v>
      </c>
      <c r="Q478">
        <f t="shared" si="980"/>
        <v>10886187.751855055</v>
      </c>
      <c r="R478">
        <f t="shared" si="981"/>
        <v>-124689547.1249216</v>
      </c>
      <c r="S478">
        <f t="shared" si="982"/>
        <v>-1246.8954712492161</v>
      </c>
      <c r="T478">
        <f t="shared" si="983"/>
        <v>-1.2468954712492162</v>
      </c>
    </row>
    <row r="479" spans="1:20" x14ac:dyDescent="0.25">
      <c r="A479" s="5">
        <v>44114</v>
      </c>
      <c r="B479">
        <v>0.2928</v>
      </c>
      <c r="C479">
        <v>0.31</v>
      </c>
      <c r="D479">
        <v>0.25690000000000002</v>
      </c>
      <c r="E479">
        <v>0.26619999999999999</v>
      </c>
      <c r="F479">
        <v>12461652.210000001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-0.64971751412429457</v>
      </c>
      <c r="Q479">
        <f t="shared" si="980"/>
        <v>-8096553.6957627218</v>
      </c>
      <c r="R479">
        <f t="shared" si="981"/>
        <v>-135575734.87677667</v>
      </c>
      <c r="S479">
        <f t="shared" si="982"/>
        <v>-1355.7573487677666</v>
      </c>
      <c r="T479">
        <f t="shared" si="983"/>
        <v>-1.3557573487677665</v>
      </c>
    </row>
    <row r="480" spans="1:20" x14ac:dyDescent="0.25">
      <c r="A480" s="5">
        <v>44113</v>
      </c>
      <c r="B480">
        <v>0.2843</v>
      </c>
      <c r="C480">
        <v>0.309</v>
      </c>
      <c r="D480">
        <v>0.26279999999999998</v>
      </c>
      <c r="E480">
        <v>0.29270000000000002</v>
      </c>
      <c r="F480">
        <v>17931919.199999999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0.29437229437229545</v>
      </c>
      <c r="Q480">
        <f t="shared" si="980"/>
        <v>5278660.197402617</v>
      </c>
      <c r="R480">
        <f t="shared" si="981"/>
        <v>-127479181.18101396</v>
      </c>
      <c r="S480">
        <f t="shared" si="982"/>
        <v>-1274.7918118101395</v>
      </c>
      <c r="T480">
        <f t="shared" si="983"/>
        <v>-1.2747918118101396</v>
      </c>
    </row>
    <row r="481" spans="1:20" x14ac:dyDescent="0.25">
      <c r="A481" s="5">
        <v>44112</v>
      </c>
      <c r="B481">
        <v>0.26290000000000002</v>
      </c>
      <c r="C481">
        <v>0.33</v>
      </c>
      <c r="D481">
        <v>0.2452</v>
      </c>
      <c r="E481">
        <v>0.28249999999999997</v>
      </c>
      <c r="F481">
        <v>19023890.449999999</v>
      </c>
      <c r="G481">
        <v>0</v>
      </c>
      <c r="L481" t="s">
        <v>7</v>
      </c>
      <c r="M481" t="s">
        <v>8</v>
      </c>
      <c r="N481" t="s">
        <v>7</v>
      </c>
      <c r="P481">
        <f t="shared" si="979"/>
        <v>-0.12028301886792533</v>
      </c>
      <c r="Q481">
        <f t="shared" si="980"/>
        <v>-2288250.9739386947</v>
      </c>
      <c r="R481">
        <f t="shared" si="981"/>
        <v>-132757841.37841657</v>
      </c>
      <c r="S481">
        <f t="shared" si="982"/>
        <v>-1327.5784137841656</v>
      </c>
      <c r="T481">
        <f t="shared" si="983"/>
        <v>-1.3275784137841655</v>
      </c>
    </row>
    <row r="482" spans="1:20" x14ac:dyDescent="0.25">
      <c r="A482" s="5">
        <v>44111</v>
      </c>
      <c r="B482">
        <v>0.30120000000000002</v>
      </c>
      <c r="C482">
        <v>0.30120000000000002</v>
      </c>
      <c r="D482">
        <v>0.25209999999999999</v>
      </c>
      <c r="E482">
        <v>0.26319999999999999</v>
      </c>
      <c r="F482">
        <v>19582935.710000001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-0.54786150712830994</v>
      </c>
      <c r="Q482">
        <f t="shared" si="980"/>
        <v>-10728736.672077401</v>
      </c>
      <c r="R482">
        <f t="shared" si="981"/>
        <v>-130469590.40447788</v>
      </c>
      <c r="S482">
        <f t="shared" si="982"/>
        <v>-1304.6959040447789</v>
      </c>
      <c r="T482">
        <f t="shared" si="983"/>
        <v>-1.304695904044779</v>
      </c>
    </row>
    <row r="483" spans="1:20" x14ac:dyDescent="0.25">
      <c r="A483" s="5">
        <v>44110</v>
      </c>
      <c r="B483">
        <v>0.37819999999999998</v>
      </c>
      <c r="C483">
        <v>0.40889999999999999</v>
      </c>
      <c r="D483">
        <v>0.2888</v>
      </c>
      <c r="E483">
        <v>0.3009</v>
      </c>
      <c r="F483">
        <v>26750520.870000001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-0.7985012489592006</v>
      </c>
      <c r="Q483">
        <f t="shared" si="980"/>
        <v>-21360324.325004164</v>
      </c>
      <c r="R483">
        <f t="shared" si="981"/>
        <v>-119740853.73240048</v>
      </c>
      <c r="S483">
        <f t="shared" si="982"/>
        <v>-1197.4085373240048</v>
      </c>
      <c r="T483">
        <f t="shared" si="983"/>
        <v>-1.1974085373240049</v>
      </c>
    </row>
    <row r="484" spans="1:20" x14ac:dyDescent="0.25">
      <c r="A484" s="5">
        <v>44109</v>
      </c>
      <c r="B484">
        <v>0.35949999999999999</v>
      </c>
      <c r="C484">
        <v>0.41110000000000002</v>
      </c>
      <c r="D484">
        <v>0.30499999999999999</v>
      </c>
      <c r="E484">
        <v>0.37980000000000003</v>
      </c>
      <c r="F484">
        <v>31160193.780000001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0.40999057492931223</v>
      </c>
      <c r="Q484">
        <f t="shared" si="980"/>
        <v>12775385.762770979</v>
      </c>
      <c r="R484">
        <f t="shared" si="981"/>
        <v>-98380529.407396317</v>
      </c>
      <c r="S484">
        <f t="shared" si="982"/>
        <v>-983.80529407396318</v>
      </c>
      <c r="T484">
        <f t="shared" si="983"/>
        <v>-0.98380529407396322</v>
      </c>
    </row>
    <row r="485" spans="1:20" x14ac:dyDescent="0.25">
      <c r="A485" s="5">
        <v>44108</v>
      </c>
      <c r="B485">
        <v>0.41539999999999999</v>
      </c>
      <c r="C485">
        <v>0.42</v>
      </c>
      <c r="D485">
        <v>0.32</v>
      </c>
      <c r="E485">
        <v>0.35970000000000002</v>
      </c>
      <c r="F485">
        <v>17075380.280000001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-0.20599999999999957</v>
      </c>
      <c r="Q485">
        <f t="shared" si="980"/>
        <v>-3517528.3376799929</v>
      </c>
      <c r="R485">
        <f t="shared" si="981"/>
        <v>-111155915.1701673</v>
      </c>
      <c r="S485">
        <f t="shared" si="982"/>
        <v>-1111.559151701673</v>
      </c>
      <c r="T485">
        <f t="shared" si="983"/>
        <v>-1.111559151701673</v>
      </c>
    </row>
    <row r="486" spans="1:20" x14ac:dyDescent="0.25">
      <c r="A486" s="5">
        <v>44107</v>
      </c>
      <c r="B486">
        <v>0.46729999999999999</v>
      </c>
      <c r="C486">
        <v>0.49590000000000001</v>
      </c>
      <c r="D486">
        <v>0.4052</v>
      </c>
      <c r="E486">
        <v>0.41520000000000001</v>
      </c>
      <c r="F486">
        <v>19534215.440000001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-0.77949283351708909</v>
      </c>
      <c r="Q486">
        <f t="shared" si="980"/>
        <v>-15226780.943858873</v>
      </c>
      <c r="R486">
        <f t="shared" si="981"/>
        <v>-107638386.8324873</v>
      </c>
      <c r="S486">
        <f t="shared" si="982"/>
        <v>-1076.383868324873</v>
      </c>
      <c r="T486">
        <f t="shared" si="983"/>
        <v>-1.076383868324873</v>
      </c>
    </row>
    <row r="487" spans="1:20" x14ac:dyDescent="0.25">
      <c r="A487" s="5">
        <v>44106</v>
      </c>
      <c r="B487">
        <v>0.5625</v>
      </c>
      <c r="C487">
        <v>0.58099999999999996</v>
      </c>
      <c r="D487">
        <v>0.42709999999999998</v>
      </c>
      <c r="E487">
        <v>0.46729999999999999</v>
      </c>
      <c r="F487">
        <v>20402131.539999999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-0.47758284600389839</v>
      </c>
      <c r="Q487">
        <f t="shared" si="980"/>
        <v>-9743708.0454190969</v>
      </c>
      <c r="R487">
        <f t="shared" si="981"/>
        <v>-92411605.888628423</v>
      </c>
      <c r="S487">
        <f t="shared" si="982"/>
        <v>-924.11605888628424</v>
      </c>
      <c r="T487">
        <f t="shared" si="983"/>
        <v>-0.92411605888628423</v>
      </c>
    </row>
    <row r="488" spans="1:20" x14ac:dyDescent="0.25">
      <c r="A488" s="5">
        <v>44105</v>
      </c>
      <c r="B488">
        <v>0.63019999999999998</v>
      </c>
      <c r="C488">
        <v>0.68489999999999995</v>
      </c>
      <c r="D488">
        <v>0.55110000000000003</v>
      </c>
      <c r="E488">
        <v>0.56320000000000003</v>
      </c>
      <c r="F488">
        <v>18162834.789999999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-0.819133034379671</v>
      </c>
      <c r="Q488">
        <f t="shared" si="980"/>
        <v>-14877777.974469354</v>
      </c>
      <c r="R488">
        <f t="shared" si="981"/>
        <v>-82667897.843209326</v>
      </c>
      <c r="S488">
        <f t="shared" si="982"/>
        <v>-826.67897843209323</v>
      </c>
      <c r="T488">
        <f t="shared" si="983"/>
        <v>-0.82667897843209326</v>
      </c>
    </row>
    <row r="489" spans="1:20" x14ac:dyDescent="0.25">
      <c r="A489" s="5">
        <v>44104</v>
      </c>
      <c r="B489">
        <v>0.64549999999999996</v>
      </c>
      <c r="C489">
        <v>0.7</v>
      </c>
      <c r="D489">
        <v>0.58499999999999996</v>
      </c>
      <c r="E489">
        <v>0.62949999999999995</v>
      </c>
      <c r="F489">
        <v>23449146.359999999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-0.22608695652173935</v>
      </c>
      <c r="Q489">
        <f t="shared" si="980"/>
        <v>-5301546.1335652228</v>
      </c>
      <c r="R489">
        <f t="shared" si="981"/>
        <v>-67790119.868739977</v>
      </c>
      <c r="S489">
        <f t="shared" si="982"/>
        <v>-677.90119868739976</v>
      </c>
      <c r="T489">
        <f t="shared" si="983"/>
        <v>-0.67790119868739973</v>
      </c>
    </row>
    <row r="490" spans="1:20" x14ac:dyDescent="0.25">
      <c r="A490" s="5">
        <v>44103</v>
      </c>
      <c r="B490">
        <v>0.9546</v>
      </c>
      <c r="C490">
        <v>0.98009999999999997</v>
      </c>
      <c r="D490">
        <v>0.56999999999999995</v>
      </c>
      <c r="E490">
        <v>0.64549999999999996</v>
      </c>
      <c r="F490">
        <v>39162289.420000002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-0.63179712265301147</v>
      </c>
      <c r="Q490">
        <f t="shared" si="980"/>
        <v>-24742621.772060476</v>
      </c>
      <c r="R490">
        <f t="shared" si="981"/>
        <v>-62488573.73517476</v>
      </c>
      <c r="S490">
        <f t="shared" si="982"/>
        <v>-624.88573735174759</v>
      </c>
      <c r="T490">
        <f t="shared" si="983"/>
        <v>-0.62488573735174757</v>
      </c>
    </row>
    <row r="491" spans="1:20" x14ac:dyDescent="0.25">
      <c r="A491" s="5">
        <v>44102</v>
      </c>
      <c r="B491">
        <v>0.3</v>
      </c>
      <c r="C491">
        <v>4.5</v>
      </c>
      <c r="D491">
        <v>0.3</v>
      </c>
      <c r="E491">
        <v>0.95299999999999996</v>
      </c>
      <c r="F491">
        <v>54779888.82</v>
      </c>
      <c r="G491">
        <v>0</v>
      </c>
      <c r="P491">
        <f t="shared" si="979"/>
        <v>-0.68904761904761902</v>
      </c>
      <c r="Q491">
        <f t="shared" si="980"/>
        <v>-37745951.963114284</v>
      </c>
      <c r="R491">
        <f t="shared" si="981"/>
        <v>-37745951.963114284</v>
      </c>
      <c r="S491">
        <f t="shared" si="982"/>
        <v>-377.45951963114283</v>
      </c>
      <c r="T491">
        <f t="shared" si="983"/>
        <v>-0.37745951963114283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R662" sqref="IR66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$A$661</v>
      </c>
      <c r="D111" s="1" t="str">
        <f>ADDRESS(C121-1,D121,1,1)</f>
        <v>$IR$661</v>
      </c>
      <c r="E111"/>
    </row>
    <row r="112" spans="1:5" x14ac:dyDescent="0.25">
      <c r="A112" s="7">
        <v>12164.144957890772</v>
      </c>
      <c r="C112" s="1" t="str">
        <f>ADDRESS(C121,1,1,1)</f>
        <v>$A$662</v>
      </c>
      <c r="D112" s="1" t="str">
        <f>ADDRESS(C121,D121-1,1,1)</f>
        <v>$IQ$662</v>
      </c>
      <c r="E112"/>
    </row>
    <row r="113" spans="1:5" x14ac:dyDescent="0.25">
      <c r="A113" s="7">
        <v>11925.63231165762</v>
      </c>
      <c r="C113" s="1" t="str">
        <f>ADDRESS(C121+1,1,1,1)</f>
        <v>$A$663</v>
      </c>
      <c r="D113" s="1" t="str">
        <f>ADDRESS(C121-1,D121+1,1,1)</f>
        <v>$IS$661</v>
      </c>
    </row>
    <row r="114" spans="1:5" x14ac:dyDescent="0.25">
      <c r="A114" s="7">
        <v>11691.796383978059</v>
      </c>
      <c r="C114" s="1" t="str">
        <f>ADDRESS(C121,D121,1,1)</f>
        <v>$IR$662</v>
      </c>
      <c r="D114" s="1" t="str">
        <f>ADDRESS(C121+1,D121+1,1,1)</f>
        <v>$IS$663</v>
      </c>
    </row>
    <row r="115" spans="1:5" x14ac:dyDescent="0.25">
      <c r="A115" s="7">
        <v>11462.545474488292</v>
      </c>
      <c r="C115" s="1" t="str">
        <f>ADDRESS(C121+1,D121,1,1)</f>
        <v>$IR$663</v>
      </c>
    </row>
    <row r="116" spans="1:5" x14ac:dyDescent="0.25">
      <c r="A116" s="7">
        <v>11237.789680870874</v>
      </c>
      <c r="C116" s="1">
        <f>C117-1</f>
        <v>661</v>
      </c>
    </row>
    <row r="117" spans="1:5" x14ac:dyDescent="0.25">
      <c r="A117" s="7">
        <v>11017.440863598895</v>
      </c>
      <c r="C117" s="1">
        <f>C121</f>
        <v>662</v>
      </c>
      <c r="D117" s="1">
        <f>D121</f>
        <v>252</v>
      </c>
    </row>
    <row r="118" spans="1:5" x14ac:dyDescent="0.25">
      <c r="A118" s="7">
        <v>10801.412611371465</v>
      </c>
      <c r="C118" s="1">
        <f>C117+1</f>
        <v>663</v>
      </c>
      <c r="D118" s="1">
        <f>D117+1</f>
        <v>253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662</v>
      </c>
      <c r="D121" s="19">
        <v>252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R662</v>
      </c>
      <c r="D123" s="1" t="str">
        <f>"C"&amp;D121</f>
        <v>C252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0.22645771341837515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103" x14ac:dyDescent="0.25">
      <c r="A561" s="7">
        <v>1.6734181143540252</v>
      </c>
      <c r="B561"/>
      <c r="C561"/>
      <c r="D561"/>
      <c r="E561"/>
    </row>
    <row r="562" spans="1:103" x14ac:dyDescent="0.25">
      <c r="A562" s="7">
        <v>1.6406059944647307</v>
      </c>
      <c r="B562"/>
      <c r="C562"/>
      <c r="D562"/>
      <c r="E562"/>
    </row>
    <row r="563" spans="1:103" x14ac:dyDescent="0.25">
      <c r="A563" s="7">
        <v>1.6084372494752261</v>
      </c>
      <c r="B563"/>
      <c r="C563"/>
      <c r="D563"/>
      <c r="E563"/>
    </row>
    <row r="564" spans="1:103" x14ac:dyDescent="0.25">
      <c r="A564" s="7">
        <v>1.5768992641913981</v>
      </c>
      <c r="B564"/>
      <c r="C564"/>
      <c r="D564"/>
      <c r="E564"/>
    </row>
    <row r="565" spans="1:103" x14ac:dyDescent="0.25">
      <c r="A565" s="7">
        <v>1.5459796707758806</v>
      </c>
      <c r="B565"/>
      <c r="C565"/>
      <c r="D565"/>
      <c r="E565"/>
    </row>
    <row r="566" spans="1:103" x14ac:dyDescent="0.25">
      <c r="A566" s="7">
        <v>1.5156663438979221</v>
      </c>
      <c r="B566"/>
      <c r="C566"/>
      <c r="D566"/>
      <c r="E566"/>
    </row>
    <row r="567" spans="1:103" x14ac:dyDescent="0.25">
      <c r="A567" s="7">
        <v>1.4859473959783549</v>
      </c>
      <c r="B567"/>
      <c r="C567"/>
      <c r="D567"/>
      <c r="E567"/>
    </row>
    <row r="568" spans="1:103" x14ac:dyDescent="0.25">
      <c r="A568" s="7">
        <v>1.4568111725277988</v>
      </c>
      <c r="B568"/>
      <c r="C568"/>
      <c r="D568"/>
      <c r="E568"/>
    </row>
    <row r="569" spans="1:103" x14ac:dyDescent="0.25">
      <c r="A569" s="7">
        <v>1.4282462475762734</v>
      </c>
      <c r="B569"/>
      <c r="C569"/>
      <c r="D569"/>
      <c r="E569"/>
    </row>
    <row r="570" spans="1:103" x14ac:dyDescent="0.25">
      <c r="A570" s="7">
        <v>1.4002414191924248</v>
      </c>
      <c r="B570"/>
      <c r="C570"/>
      <c r="D570"/>
      <c r="E570"/>
    </row>
    <row r="571" spans="1:103" x14ac:dyDescent="0.25">
      <c r="A571" s="7">
        <v>1.3727857050906125</v>
      </c>
      <c r="B571"/>
      <c r="C571"/>
      <c r="D571"/>
      <c r="E571"/>
    </row>
    <row r="572" spans="1:103" x14ac:dyDescent="0.25">
      <c r="A572" s="7">
        <v>1.3458683383241299</v>
      </c>
      <c r="B572"/>
      <c r="C572"/>
      <c r="D572"/>
      <c r="E572"/>
    </row>
    <row r="573" spans="1:103" x14ac:dyDescent="0.25">
      <c r="A573" s="7">
        <v>1.3194787630628724</v>
      </c>
      <c r="B573"/>
      <c r="C573"/>
      <c r="D573"/>
      <c r="E573"/>
    </row>
    <row r="574" spans="1:103" x14ac:dyDescent="0.25">
      <c r="A574" s="7">
        <v>1.2936066304537963</v>
      </c>
      <c r="B574"/>
      <c r="C574"/>
      <c r="D574"/>
      <c r="E574"/>
    </row>
    <row r="575" spans="1:103" x14ac:dyDescent="0.25">
      <c r="A575" s="7">
        <v>1.2682417945625455</v>
      </c>
      <c r="B575"/>
      <c r="C575"/>
      <c r="D575"/>
      <c r="E575"/>
    </row>
    <row r="576" spans="1:103" x14ac:dyDescent="0.25">
      <c r="A576" s="7">
        <v>1.2433743083946525</v>
      </c>
      <c r="B576"/>
      <c r="C576"/>
      <c r="D576"/>
      <c r="E576"/>
      <c r="CY576" s="27" t="s">
        <v>8</v>
      </c>
    </row>
    <row r="577" spans="1:128" x14ac:dyDescent="0.25">
      <c r="A577" s="7">
        <v>1.2189944199947573</v>
      </c>
      <c r="B577"/>
      <c r="C577"/>
      <c r="D577"/>
      <c r="E577"/>
      <c r="CY577" s="27" t="s">
        <v>8</v>
      </c>
      <c r="CZ577" s="27" t="s">
        <v>7</v>
      </c>
    </row>
    <row r="578" spans="1:128" x14ac:dyDescent="0.25">
      <c r="A578" s="7">
        <v>1.1950925686223111</v>
      </c>
      <c r="B578"/>
      <c r="C578"/>
      <c r="D578"/>
      <c r="E578"/>
      <c r="CY578" s="27" t="s">
        <v>8</v>
      </c>
      <c r="CZ578" s="27" t="s">
        <v>7</v>
      </c>
    </row>
    <row r="579" spans="1:128" x14ac:dyDescent="0.25">
      <c r="A579" s="7">
        <v>1.1716593810022657</v>
      </c>
      <c r="B579"/>
      <c r="C579"/>
      <c r="D579"/>
      <c r="E579"/>
      <c r="CY579" s="27" t="s">
        <v>8</v>
      </c>
      <c r="CZ579" s="27" t="s">
        <v>7</v>
      </c>
      <c r="DG579" s="27" t="s">
        <v>8</v>
      </c>
    </row>
    <row r="580" spans="1:128" x14ac:dyDescent="0.25">
      <c r="A580" s="7">
        <v>1.14868566764928</v>
      </c>
      <c r="B580"/>
      <c r="C580"/>
      <c r="D580"/>
      <c r="E580"/>
      <c r="CY580" s="27" t="s">
        <v>8</v>
      </c>
      <c r="CZ580" s="27" t="s">
        <v>7</v>
      </c>
      <c r="DE580" s="27" t="s">
        <v>8</v>
      </c>
      <c r="DG580" s="27" t="s">
        <v>8</v>
      </c>
      <c r="DH580" s="27" t="s">
        <v>7</v>
      </c>
    </row>
    <row r="581" spans="1:128" x14ac:dyDescent="0.25">
      <c r="A581" s="7">
        <v>1.1261624192640001</v>
      </c>
      <c r="B581"/>
      <c r="C581"/>
      <c r="D581"/>
      <c r="E581"/>
      <c r="CY581" s="27" t="s">
        <v>8</v>
      </c>
      <c r="CZ581" s="27" t="s">
        <v>7</v>
      </c>
      <c r="DE581" s="27" t="s">
        <v>8</v>
      </c>
      <c r="DF581" s="27" t="s">
        <v>7</v>
      </c>
      <c r="DG581" s="27" t="s">
        <v>8</v>
      </c>
      <c r="DH581" s="27" t="s">
        <v>7</v>
      </c>
      <c r="DS581" s="27" t="s">
        <v>8</v>
      </c>
    </row>
    <row r="582" spans="1:128" x14ac:dyDescent="0.25">
      <c r="A582" s="7">
        <v>1.1040808032</v>
      </c>
      <c r="B582"/>
      <c r="C582"/>
      <c r="D582"/>
      <c r="E582"/>
      <c r="CY582" s="27" t="s">
        <v>8</v>
      </c>
      <c r="CZ582" s="27" t="s">
        <v>7</v>
      </c>
      <c r="DE582" s="27" t="s">
        <v>8</v>
      </c>
      <c r="DF582" s="27" t="s">
        <v>7</v>
      </c>
      <c r="DG582" s="27" t="s">
        <v>8</v>
      </c>
      <c r="DH582" s="27" t="s">
        <v>7</v>
      </c>
      <c r="DS582" s="27" t="s">
        <v>8</v>
      </c>
      <c r="DT582" s="27" t="s">
        <v>7</v>
      </c>
    </row>
    <row r="583" spans="1:128" x14ac:dyDescent="0.25">
      <c r="A583" s="7">
        <v>1.08243216</v>
      </c>
      <c r="B583"/>
      <c r="C583"/>
      <c r="D583"/>
      <c r="E583"/>
      <c r="CY583" s="27" t="s">
        <v>8</v>
      </c>
      <c r="CZ583" s="27" t="s">
        <v>7</v>
      </c>
      <c r="DA583" s="27" t="s">
        <v>8</v>
      </c>
      <c r="DE583" s="27" t="s">
        <v>8</v>
      </c>
      <c r="DF583" s="27" t="s">
        <v>7</v>
      </c>
      <c r="DG583" s="27" t="s">
        <v>8</v>
      </c>
      <c r="DH583" s="27" t="s">
        <v>7</v>
      </c>
      <c r="DS583" s="27" t="s">
        <v>8</v>
      </c>
      <c r="DT583" s="27" t="s">
        <v>7</v>
      </c>
    </row>
    <row r="584" spans="1:128" x14ac:dyDescent="0.25">
      <c r="A584" s="7">
        <v>1.0612079999999999</v>
      </c>
      <c r="B584"/>
      <c r="C584"/>
      <c r="D584"/>
      <c r="E584"/>
      <c r="CY584" s="27" t="s">
        <v>8</v>
      </c>
      <c r="CZ584" s="27" t="s">
        <v>7</v>
      </c>
      <c r="DA584" s="27" t="s">
        <v>8</v>
      </c>
      <c r="DB584" s="27" t="s">
        <v>7</v>
      </c>
      <c r="DE584" s="27" t="s">
        <v>8</v>
      </c>
      <c r="DF584" s="27" t="s">
        <v>7</v>
      </c>
      <c r="DG584" s="27" t="s">
        <v>8</v>
      </c>
      <c r="DH584" s="27" t="s">
        <v>7</v>
      </c>
      <c r="DS584" s="27" t="s">
        <v>8</v>
      </c>
      <c r="DT584" s="27" t="s">
        <v>7</v>
      </c>
    </row>
    <row r="585" spans="1:128" x14ac:dyDescent="0.25">
      <c r="A585" s="7">
        <v>1.0404</v>
      </c>
      <c r="B585"/>
      <c r="C585"/>
      <c r="D585"/>
      <c r="E585"/>
      <c r="CY585" s="27" t="s">
        <v>8</v>
      </c>
      <c r="CZ585" s="27" t="s">
        <v>7</v>
      </c>
      <c r="DA585" s="27" t="s">
        <v>8</v>
      </c>
      <c r="DB585" s="27" t="s">
        <v>7</v>
      </c>
      <c r="DE585" s="27" t="s">
        <v>8</v>
      </c>
      <c r="DF585" s="27" t="s">
        <v>7</v>
      </c>
      <c r="DG585" s="27" t="s">
        <v>8</v>
      </c>
      <c r="DH585" s="27" t="s">
        <v>7</v>
      </c>
      <c r="DO585" s="27" t="s">
        <v>8</v>
      </c>
      <c r="DQ585" s="27" t="s">
        <v>8</v>
      </c>
      <c r="DS585" s="27" t="s">
        <v>8</v>
      </c>
      <c r="DT585" s="27" t="s">
        <v>7</v>
      </c>
      <c r="DU585" s="27" t="s">
        <v>8</v>
      </c>
    </row>
    <row r="586" spans="1:128" x14ac:dyDescent="0.25">
      <c r="A586" s="7">
        <v>1.02</v>
      </c>
      <c r="B586"/>
      <c r="C586"/>
      <c r="D586"/>
      <c r="E586"/>
      <c r="CY586" s="27" t="s">
        <v>8</v>
      </c>
      <c r="CZ586" s="27" t="s">
        <v>7</v>
      </c>
      <c r="DA586" s="27" t="s">
        <v>8</v>
      </c>
      <c r="DB586" s="27" t="s">
        <v>7</v>
      </c>
      <c r="DC586" s="27" t="s">
        <v>8</v>
      </c>
      <c r="DE586" s="27" t="s">
        <v>8</v>
      </c>
      <c r="DF586" s="27" t="s">
        <v>7</v>
      </c>
      <c r="DG586" s="27" t="s">
        <v>8</v>
      </c>
      <c r="DH586" s="27" t="s">
        <v>7</v>
      </c>
      <c r="DO586" s="27" t="s">
        <v>8</v>
      </c>
      <c r="DP586" s="27" t="s">
        <v>7</v>
      </c>
      <c r="DQ586" s="27" t="s">
        <v>8</v>
      </c>
      <c r="DR586" s="27" t="s">
        <v>7</v>
      </c>
      <c r="DS586" s="27" t="s">
        <v>8</v>
      </c>
      <c r="DT586" s="27" t="s">
        <v>7</v>
      </c>
      <c r="DU586" s="27" t="s">
        <v>8</v>
      </c>
      <c r="DV586" s="27" t="s">
        <v>7</v>
      </c>
    </row>
    <row r="587" spans="1:128" x14ac:dyDescent="0.25">
      <c r="A587" s="7">
        <v>1</v>
      </c>
      <c r="B587"/>
      <c r="C587"/>
      <c r="D587"/>
      <c r="E587" s="29" t="s">
        <v>8</v>
      </c>
      <c r="CY587" s="27" t="s">
        <v>8</v>
      </c>
      <c r="CZ587" s="27" t="s">
        <v>7</v>
      </c>
      <c r="DA587" s="27" t="s">
        <v>8</v>
      </c>
      <c r="DB587" s="27" t="s">
        <v>7</v>
      </c>
      <c r="DC587" s="27" t="s">
        <v>8</v>
      </c>
      <c r="DD587" s="27" t="s">
        <v>7</v>
      </c>
      <c r="DE587" s="27" t="s">
        <v>8</v>
      </c>
      <c r="DF587" s="27" t="s">
        <v>7</v>
      </c>
      <c r="DG587" s="27" t="s">
        <v>8</v>
      </c>
      <c r="DH587" s="27" t="s">
        <v>7</v>
      </c>
      <c r="DO587" s="27" t="s">
        <v>8</v>
      </c>
      <c r="DP587" s="27" t="s">
        <v>7</v>
      </c>
      <c r="DQ587" s="27" t="s">
        <v>8</v>
      </c>
      <c r="DR587" s="27" t="s">
        <v>7</v>
      </c>
      <c r="DS587" s="27" t="s">
        <v>8</v>
      </c>
      <c r="DT587" s="27" t="s">
        <v>7</v>
      </c>
      <c r="DU587" s="27" t="s">
        <v>8</v>
      </c>
      <c r="DV587" s="27" t="s">
        <v>7</v>
      </c>
    </row>
    <row r="588" spans="1:128" x14ac:dyDescent="0.25">
      <c r="A588" s="7">
        <v>0.98039215686274506</v>
      </c>
      <c r="B588"/>
      <c r="C588"/>
      <c r="D588"/>
      <c r="E588"/>
      <c r="F588" s="27" t="s">
        <v>7</v>
      </c>
      <c r="CY588" s="27" t="s">
        <v>8</v>
      </c>
      <c r="CZ588" s="27" t="s">
        <v>7</v>
      </c>
      <c r="DA588" s="27" t="s">
        <v>8</v>
      </c>
      <c r="DB588" s="27" t="s">
        <v>7</v>
      </c>
      <c r="DC588" s="27" t="s">
        <v>8</v>
      </c>
      <c r="DD588" s="27" t="s">
        <v>7</v>
      </c>
      <c r="DE588" s="27" t="s">
        <v>8</v>
      </c>
      <c r="DF588" s="27" t="s">
        <v>7</v>
      </c>
      <c r="DG588" s="27" t="s">
        <v>8</v>
      </c>
      <c r="DH588" s="27" t="s">
        <v>7</v>
      </c>
      <c r="DO588" s="27" t="s">
        <v>8</v>
      </c>
      <c r="DP588" s="27" t="s">
        <v>7</v>
      </c>
      <c r="DQ588" s="27" t="s">
        <v>8</v>
      </c>
      <c r="DR588" s="27" t="s">
        <v>7</v>
      </c>
      <c r="DS588" s="27" t="s">
        <v>8</v>
      </c>
      <c r="DT588" s="27" t="s">
        <v>7</v>
      </c>
      <c r="DU588" s="27" t="s">
        <v>8</v>
      </c>
      <c r="DV588" s="27" t="s">
        <v>7</v>
      </c>
    </row>
    <row r="589" spans="1:128" x14ac:dyDescent="0.25">
      <c r="A589" s="7">
        <v>0.96116878123798544</v>
      </c>
      <c r="B589"/>
      <c r="C589"/>
      <c r="D589"/>
      <c r="E589"/>
      <c r="F589" s="27" t="s">
        <v>7</v>
      </c>
      <c r="CY589" s="27" t="s">
        <v>8</v>
      </c>
      <c r="CZ589" s="27" t="s">
        <v>7</v>
      </c>
      <c r="DA589" s="27" t="s">
        <v>8</v>
      </c>
      <c r="DB589" s="27" t="s">
        <v>7</v>
      </c>
      <c r="DC589" s="27" t="s">
        <v>8</v>
      </c>
      <c r="DD589" s="27" t="s">
        <v>7</v>
      </c>
      <c r="DE589" s="27" t="s">
        <v>8</v>
      </c>
      <c r="DF589" s="27" t="s">
        <v>7</v>
      </c>
      <c r="DG589" s="27" t="s">
        <v>8</v>
      </c>
      <c r="DH589" s="27" t="s">
        <v>7</v>
      </c>
      <c r="DO589" s="27" t="s">
        <v>8</v>
      </c>
      <c r="DP589" s="27" t="s">
        <v>7</v>
      </c>
      <c r="DQ589" s="27" t="s">
        <v>8</v>
      </c>
      <c r="DR589" s="27" t="s">
        <v>7</v>
      </c>
      <c r="DS589" s="27" t="s">
        <v>8</v>
      </c>
      <c r="DT589" s="27" t="s">
        <v>7</v>
      </c>
      <c r="DU589" s="27" t="s">
        <v>8</v>
      </c>
      <c r="DV589" s="27" t="s">
        <v>7</v>
      </c>
    </row>
    <row r="590" spans="1:128" x14ac:dyDescent="0.25">
      <c r="A590" s="7">
        <v>0.94232233454704462</v>
      </c>
      <c r="B590"/>
      <c r="C590"/>
      <c r="D590"/>
      <c r="E590"/>
      <c r="F590" s="27" t="s">
        <v>7</v>
      </c>
      <c r="CW590" s="27" t="s">
        <v>8</v>
      </c>
      <c r="CY590" s="27" t="s">
        <v>8</v>
      </c>
      <c r="CZ590" s="27" t="s">
        <v>7</v>
      </c>
      <c r="DA590" s="27" t="s">
        <v>8</v>
      </c>
      <c r="DB590" s="27" t="s">
        <v>7</v>
      </c>
      <c r="DC590" s="27" t="s">
        <v>8</v>
      </c>
      <c r="DD590" s="27" t="s">
        <v>7</v>
      </c>
      <c r="DE590" s="27" t="s">
        <v>8</v>
      </c>
      <c r="DF590" s="27" t="s">
        <v>7</v>
      </c>
      <c r="DG590" s="27" t="s">
        <v>8</v>
      </c>
      <c r="DH590" s="27" t="s">
        <v>7</v>
      </c>
      <c r="DO590" s="27" t="s">
        <v>8</v>
      </c>
      <c r="DP590" s="27" t="s">
        <v>7</v>
      </c>
      <c r="DQ590" s="27" t="s">
        <v>8</v>
      </c>
      <c r="DR590" s="27" t="s">
        <v>7</v>
      </c>
      <c r="DS590" s="27" t="s">
        <v>8</v>
      </c>
      <c r="DT590" s="27" t="s">
        <v>7</v>
      </c>
      <c r="DU590" s="27" t="s">
        <v>8</v>
      </c>
      <c r="DV590" s="27" t="s">
        <v>7</v>
      </c>
      <c r="DW590" s="27" t="s">
        <v>8</v>
      </c>
    </row>
    <row r="591" spans="1:128" x14ac:dyDescent="0.25">
      <c r="A591" s="7">
        <v>0.92384542602651432</v>
      </c>
      <c r="B591"/>
      <c r="C591"/>
      <c r="D591"/>
      <c r="E591"/>
      <c r="F591" s="27" t="s">
        <v>7</v>
      </c>
      <c r="CW591" s="27" t="s">
        <v>8</v>
      </c>
      <c r="CX591" s="27" t="s">
        <v>7</v>
      </c>
      <c r="CY591" s="27" t="s">
        <v>8</v>
      </c>
      <c r="CZ591" s="27" t="s">
        <v>7</v>
      </c>
      <c r="DA591" s="27" t="s">
        <v>8</v>
      </c>
      <c r="DB591" s="27" t="s">
        <v>7</v>
      </c>
      <c r="DC591" s="27" t="s">
        <v>8</v>
      </c>
      <c r="DD591" s="27" t="s">
        <v>7</v>
      </c>
      <c r="DF591" s="27" t="s">
        <v>7</v>
      </c>
      <c r="DG591" s="27" t="s">
        <v>8</v>
      </c>
      <c r="DH591" s="27" t="s">
        <v>7</v>
      </c>
      <c r="DI591" s="27" t="s">
        <v>8</v>
      </c>
      <c r="DO591" s="27" t="s">
        <v>8</v>
      </c>
      <c r="DP591" s="27" t="s">
        <v>7</v>
      </c>
      <c r="DQ591" s="27" t="s">
        <v>8</v>
      </c>
      <c r="DR591" s="27" t="s">
        <v>7</v>
      </c>
      <c r="DT591" s="27" t="s">
        <v>7</v>
      </c>
      <c r="DU591" s="27" t="s">
        <v>8</v>
      </c>
      <c r="DV591" s="27" t="s">
        <v>7</v>
      </c>
      <c r="DW591" s="27" t="s">
        <v>8</v>
      </c>
      <c r="DX591" s="27" t="s">
        <v>7</v>
      </c>
    </row>
    <row r="592" spans="1:128" x14ac:dyDescent="0.25">
      <c r="A592" s="7">
        <v>0.90573080982991594</v>
      </c>
      <c r="B592"/>
      <c r="C592"/>
      <c r="D592"/>
      <c r="E592"/>
      <c r="F592" s="27" t="s">
        <v>7</v>
      </c>
      <c r="CW592" s="27" t="s">
        <v>8</v>
      </c>
      <c r="CX592" s="27" t="s">
        <v>7</v>
      </c>
      <c r="CY592" s="27" t="s">
        <v>8</v>
      </c>
      <c r="CZ592" s="27" t="s">
        <v>7</v>
      </c>
      <c r="DA592" s="27" t="s">
        <v>8</v>
      </c>
      <c r="DB592" s="27" t="s">
        <v>7</v>
      </c>
      <c r="DC592" s="27" t="s">
        <v>8</v>
      </c>
      <c r="DF592" s="27" t="s">
        <v>7</v>
      </c>
      <c r="DG592" s="27" t="s">
        <v>8</v>
      </c>
      <c r="DH592" s="27" t="s">
        <v>7</v>
      </c>
      <c r="DI592" s="27" t="s">
        <v>8</v>
      </c>
      <c r="DJ592" s="27" t="s">
        <v>7</v>
      </c>
      <c r="DO592" s="27" t="s">
        <v>8</v>
      </c>
      <c r="DP592" s="27" t="s">
        <v>7</v>
      </c>
      <c r="DQ592" s="27" t="s">
        <v>8</v>
      </c>
      <c r="DT592" s="27" t="s">
        <v>7</v>
      </c>
      <c r="DU592" s="27" t="s">
        <v>8</v>
      </c>
      <c r="DV592" s="27" t="s">
        <v>7</v>
      </c>
      <c r="DW592" s="27" t="s">
        <v>8</v>
      </c>
      <c r="DX592" s="27" t="s">
        <v>7</v>
      </c>
    </row>
    <row r="593" spans="1:224" x14ac:dyDescent="0.25">
      <c r="A593" s="7">
        <v>0.8879713821861922</v>
      </c>
      <c r="B593"/>
      <c r="C593"/>
      <c r="D593"/>
      <c r="E593"/>
      <c r="F593" s="27" t="s">
        <v>7</v>
      </c>
      <c r="CW593" s="27" t="s">
        <v>8</v>
      </c>
      <c r="CX593" s="27" t="s">
        <v>7</v>
      </c>
      <c r="CY593" s="27" t="s">
        <v>8</v>
      </c>
      <c r="CZ593" s="27" t="s">
        <v>7</v>
      </c>
      <c r="DB593" s="27" t="s">
        <v>7</v>
      </c>
      <c r="DC593" s="27" t="s">
        <v>8</v>
      </c>
      <c r="DF593" s="27" t="s">
        <v>7</v>
      </c>
      <c r="DG593" s="27" t="s">
        <v>8</v>
      </c>
      <c r="DH593" s="27" t="s">
        <v>7</v>
      </c>
      <c r="DI593" s="27" t="s">
        <v>8</v>
      </c>
      <c r="DJ593" s="27" t="s">
        <v>7</v>
      </c>
      <c r="DO593" s="27" t="s">
        <v>8</v>
      </c>
      <c r="DP593" s="27" t="s">
        <v>7</v>
      </c>
      <c r="DQ593" s="27" t="s">
        <v>8</v>
      </c>
      <c r="DT593" s="27" t="s">
        <v>7</v>
      </c>
      <c r="DU593" s="27" t="s">
        <v>8</v>
      </c>
      <c r="DV593" s="27" t="s">
        <v>7</v>
      </c>
      <c r="DW593" s="27" t="s">
        <v>8</v>
      </c>
      <c r="DX593" s="27" t="s">
        <v>7</v>
      </c>
    </row>
    <row r="594" spans="1:224" x14ac:dyDescent="0.25">
      <c r="A594" s="7">
        <v>0.87056017861391399</v>
      </c>
      <c r="B594"/>
      <c r="C594"/>
      <c r="D594"/>
      <c r="E594"/>
      <c r="F594" s="27" t="s">
        <v>7</v>
      </c>
      <c r="CW594" s="27" t="s">
        <v>8</v>
      </c>
      <c r="CX594" s="27" t="s">
        <v>7</v>
      </c>
      <c r="CY594" s="27" t="s">
        <v>8</v>
      </c>
      <c r="DB594" s="27" t="s">
        <v>7</v>
      </c>
      <c r="DC594" s="27" t="s">
        <v>8</v>
      </c>
      <c r="DF594" s="27" t="s">
        <v>7</v>
      </c>
      <c r="DG594" s="27" t="s">
        <v>8</v>
      </c>
      <c r="DH594" s="27" t="s">
        <v>7</v>
      </c>
      <c r="DI594" s="27" t="s">
        <v>8</v>
      </c>
      <c r="DJ594" s="27" t="s">
        <v>7</v>
      </c>
      <c r="DO594" s="27" t="s">
        <v>8</v>
      </c>
      <c r="DP594" s="27" t="s">
        <v>7</v>
      </c>
      <c r="DQ594" s="27" t="s">
        <v>8</v>
      </c>
      <c r="DT594" s="27" t="s">
        <v>7</v>
      </c>
      <c r="DV594" s="27" t="s">
        <v>7</v>
      </c>
      <c r="DW594" s="27" t="s">
        <v>8</v>
      </c>
      <c r="DX594" s="27" t="s">
        <v>7</v>
      </c>
    </row>
    <row r="595" spans="1:224" x14ac:dyDescent="0.25">
      <c r="A595" s="7">
        <v>0.85349037119011173</v>
      </c>
      <c r="B595"/>
      <c r="C595"/>
      <c r="D595"/>
      <c r="E595"/>
      <c r="F595" s="27" t="s">
        <v>7</v>
      </c>
      <c r="CW595" s="27" t="s">
        <v>8</v>
      </c>
      <c r="CX595" s="27" t="s">
        <v>7</v>
      </c>
      <c r="CY595" s="27" t="s">
        <v>8</v>
      </c>
      <c r="DB595" s="27" t="s">
        <v>7</v>
      </c>
      <c r="DF595" s="27" t="s">
        <v>7</v>
      </c>
      <c r="DG595" s="27" t="s">
        <v>8</v>
      </c>
      <c r="DH595" s="27" t="s">
        <v>7</v>
      </c>
      <c r="DI595" s="27" t="s">
        <v>8</v>
      </c>
      <c r="DJ595" s="27" t="s">
        <v>7</v>
      </c>
      <c r="DO595" s="27" t="s">
        <v>8</v>
      </c>
      <c r="DP595" s="27" t="s">
        <v>7</v>
      </c>
      <c r="DQ595" s="27" t="s">
        <v>8</v>
      </c>
      <c r="DV595" s="27" t="s">
        <v>7</v>
      </c>
      <c r="DW595" s="27" t="s">
        <v>8</v>
      </c>
      <c r="DX595" s="27" t="s">
        <v>7</v>
      </c>
    </row>
    <row r="596" spans="1:224" x14ac:dyDescent="0.25">
      <c r="A596" s="7">
        <v>0.83675526587265858</v>
      </c>
      <c r="B596"/>
      <c r="C596"/>
      <c r="D596"/>
      <c r="E596"/>
      <c r="F596" s="27" t="s">
        <v>7</v>
      </c>
      <c r="CW596" s="27" t="s">
        <v>8</v>
      </c>
      <c r="CX596" s="27" t="s">
        <v>7</v>
      </c>
      <c r="CY596" s="27" t="s">
        <v>8</v>
      </c>
      <c r="DF596" s="27" t="s">
        <v>7</v>
      </c>
      <c r="DG596" s="27" t="s">
        <v>8</v>
      </c>
      <c r="DH596" s="27" t="s">
        <v>7</v>
      </c>
      <c r="DI596" s="27" t="s">
        <v>8</v>
      </c>
      <c r="DJ596" s="27" t="s">
        <v>7</v>
      </c>
      <c r="DO596" s="27" t="s">
        <v>8</v>
      </c>
      <c r="DP596" s="27" t="s">
        <v>7</v>
      </c>
      <c r="DV596" s="27" t="s">
        <v>7</v>
      </c>
      <c r="DW596" s="27" t="s">
        <v>8</v>
      </c>
      <c r="DX596" s="27" t="s">
        <v>7</v>
      </c>
    </row>
    <row r="597" spans="1:224" x14ac:dyDescent="0.25">
      <c r="A597" s="7">
        <v>0.82034829987515545</v>
      </c>
      <c r="B597"/>
      <c r="C597"/>
      <c r="D597"/>
      <c r="E597"/>
      <c r="F597" s="27" t="s">
        <v>7</v>
      </c>
      <c r="CW597" s="27" t="s">
        <v>8</v>
      </c>
      <c r="CX597" s="27" t="s">
        <v>7</v>
      </c>
      <c r="CY597" s="27" t="s">
        <v>8</v>
      </c>
      <c r="DF597" s="27" t="s">
        <v>7</v>
      </c>
      <c r="DG597" s="27" t="s">
        <v>8</v>
      </c>
      <c r="DH597" s="27" t="s">
        <v>7</v>
      </c>
      <c r="DJ597" s="27" t="s">
        <v>7</v>
      </c>
      <c r="DO597" s="27" t="s">
        <v>8</v>
      </c>
      <c r="DV597" s="27" t="s">
        <v>7</v>
      </c>
      <c r="DW597" s="27" t="s">
        <v>8</v>
      </c>
      <c r="DX597" s="27" t="s">
        <v>7</v>
      </c>
    </row>
    <row r="598" spans="1:224" x14ac:dyDescent="0.25">
      <c r="A598" s="7">
        <v>0.80426303909328967</v>
      </c>
      <c r="B598"/>
      <c r="C598"/>
      <c r="D598"/>
      <c r="E598"/>
      <c r="F598" s="27" t="s">
        <v>7</v>
      </c>
      <c r="CW598" s="27" t="s">
        <v>8</v>
      </c>
      <c r="CX598" s="27" t="s">
        <v>7</v>
      </c>
      <c r="CY598" s="27" t="s">
        <v>8</v>
      </c>
      <c r="DF598" s="27" t="s">
        <v>7</v>
      </c>
      <c r="DG598" s="27" t="s">
        <v>8</v>
      </c>
      <c r="DJ598" s="27" t="s">
        <v>7</v>
      </c>
      <c r="DM598" s="27" t="s">
        <v>8</v>
      </c>
      <c r="DO598" s="27" t="s">
        <v>8</v>
      </c>
      <c r="DV598" s="27" t="s">
        <v>7</v>
      </c>
      <c r="DW598" s="27" t="s">
        <v>8</v>
      </c>
      <c r="DX598" s="27" t="s">
        <v>7</v>
      </c>
    </row>
    <row r="599" spans="1:224" x14ac:dyDescent="0.25">
      <c r="A599" s="7">
        <v>0.78849317558165644</v>
      </c>
      <c r="B599"/>
      <c r="C599"/>
      <c r="D599"/>
      <c r="E599"/>
      <c r="F599" s="27" t="s">
        <v>7</v>
      </c>
      <c r="CW599" s="27" t="s">
        <v>8</v>
      </c>
      <c r="CX599" s="27" t="s">
        <v>7</v>
      </c>
      <c r="CY599" s="27" t="s">
        <v>8</v>
      </c>
      <c r="DF599" s="27" t="s">
        <v>7</v>
      </c>
      <c r="DG599" s="27" t="s">
        <v>8</v>
      </c>
      <c r="DJ599" s="27" t="s">
        <v>7</v>
      </c>
      <c r="DM599" s="27" t="s">
        <v>8</v>
      </c>
      <c r="DN599" s="27" t="s">
        <v>7</v>
      </c>
      <c r="DO599" s="27" t="s">
        <v>8</v>
      </c>
      <c r="DV599" s="27" t="s">
        <v>7</v>
      </c>
      <c r="DW599" s="27" t="s">
        <v>8</v>
      </c>
      <c r="DX599" s="27" t="s">
        <v>7</v>
      </c>
      <c r="FU599" s="27" t="s">
        <v>8</v>
      </c>
      <c r="FY599" s="27" t="s">
        <v>8</v>
      </c>
    </row>
    <row r="600" spans="1:224" x14ac:dyDescent="0.25">
      <c r="A600" s="7">
        <v>0.77303252508005538</v>
      </c>
      <c r="B600"/>
      <c r="C600"/>
      <c r="D600"/>
      <c r="E600"/>
      <c r="F600" s="27" t="s">
        <v>7</v>
      </c>
      <c r="CW600" s="27" t="s">
        <v>8</v>
      </c>
      <c r="CX600" s="27" t="s">
        <v>7</v>
      </c>
      <c r="DF600" s="27" t="s">
        <v>7</v>
      </c>
      <c r="DG600" s="27" t="s">
        <v>8</v>
      </c>
      <c r="DJ600" s="27" t="s">
        <v>7</v>
      </c>
      <c r="DM600" s="27" t="s">
        <v>8</v>
      </c>
      <c r="DN600" s="27" t="s">
        <v>7</v>
      </c>
      <c r="DO600" s="27" t="s">
        <v>8</v>
      </c>
      <c r="DV600" s="27" t="s">
        <v>7</v>
      </c>
      <c r="DW600" s="27" t="s">
        <v>8</v>
      </c>
      <c r="DX600" s="27" t="s">
        <v>7</v>
      </c>
      <c r="FU600" s="27" t="s">
        <v>8</v>
      </c>
      <c r="FV600" s="27" t="s">
        <v>7</v>
      </c>
      <c r="FY600" s="27" t="s">
        <v>8</v>
      </c>
      <c r="FZ600" s="27" t="s">
        <v>7</v>
      </c>
    </row>
    <row r="601" spans="1:224" x14ac:dyDescent="0.25">
      <c r="A601" s="7">
        <v>0.75787502458828959</v>
      </c>
      <c r="B601"/>
      <c r="C601"/>
      <c r="D601"/>
      <c r="E601"/>
      <c r="F601" s="27" t="s">
        <v>7</v>
      </c>
      <c r="CW601" s="27" t="s">
        <v>8</v>
      </c>
      <c r="DF601" s="27" t="s">
        <v>7</v>
      </c>
      <c r="DG601" s="27" t="s">
        <v>8</v>
      </c>
      <c r="DJ601" s="27" t="s">
        <v>7</v>
      </c>
      <c r="DM601" s="27" t="s">
        <v>8</v>
      </c>
      <c r="DN601" s="27" t="s">
        <v>7</v>
      </c>
      <c r="DO601" s="27" t="s">
        <v>8</v>
      </c>
      <c r="DV601" s="27" t="s">
        <v>7</v>
      </c>
      <c r="DX601" s="27" t="s">
        <v>7</v>
      </c>
      <c r="DY601" s="27" t="s">
        <v>8</v>
      </c>
      <c r="FU601" s="27" t="s">
        <v>8</v>
      </c>
      <c r="FV601" s="27" t="s">
        <v>7</v>
      </c>
      <c r="FY601" s="27" t="s">
        <v>8</v>
      </c>
      <c r="FZ601" s="27" t="s">
        <v>7</v>
      </c>
    </row>
    <row r="602" spans="1:224" x14ac:dyDescent="0.25">
      <c r="A602" s="7">
        <v>0.74301472998851925</v>
      </c>
      <c r="B602"/>
      <c r="C602"/>
      <c r="D602"/>
      <c r="E602"/>
      <c r="F602" s="27" t="s">
        <v>7</v>
      </c>
      <c r="CW602" s="27" t="s">
        <v>8</v>
      </c>
      <c r="DF602" s="27" t="s">
        <v>7</v>
      </c>
      <c r="DG602" s="27" t="s">
        <v>8</v>
      </c>
      <c r="DJ602" s="27" t="s">
        <v>7</v>
      </c>
      <c r="DK602" s="27" t="s">
        <v>8</v>
      </c>
      <c r="DM602" s="27" t="s">
        <v>8</v>
      </c>
      <c r="DN602" s="27" t="s">
        <v>7</v>
      </c>
      <c r="DO602" s="27" t="s">
        <v>8</v>
      </c>
      <c r="DX602" s="27" t="s">
        <v>7</v>
      </c>
      <c r="DY602" s="27" t="s">
        <v>8</v>
      </c>
      <c r="DZ602" s="27" t="s">
        <v>7</v>
      </c>
      <c r="FU602" s="27" t="s">
        <v>8</v>
      </c>
      <c r="FV602" s="27" t="s">
        <v>7</v>
      </c>
      <c r="FY602" s="27" t="s">
        <v>8</v>
      </c>
      <c r="FZ602" s="27" t="s">
        <v>7</v>
      </c>
    </row>
    <row r="603" spans="1:224" x14ac:dyDescent="0.25">
      <c r="A603" s="7">
        <v>0.72844581371423456</v>
      </c>
      <c r="B603"/>
      <c r="C603"/>
      <c r="D603"/>
      <c r="E603"/>
      <c r="F603" s="27" t="s">
        <v>7</v>
      </c>
      <c r="CU603" s="27" t="s">
        <v>8</v>
      </c>
      <c r="CW603" s="27" t="s">
        <v>8</v>
      </c>
      <c r="DF603" s="27" t="s">
        <v>7</v>
      </c>
      <c r="DG603" s="27" t="s">
        <v>8</v>
      </c>
      <c r="DJ603" s="27" t="s">
        <v>7</v>
      </c>
      <c r="DK603" s="27" t="s">
        <v>8</v>
      </c>
      <c r="DL603" s="27" t="s">
        <v>7</v>
      </c>
      <c r="DM603" s="27" t="s">
        <v>8</v>
      </c>
      <c r="DN603" s="27" t="s">
        <v>7</v>
      </c>
      <c r="DO603" s="27" t="s">
        <v>8</v>
      </c>
      <c r="DX603" s="27" t="s">
        <v>7</v>
      </c>
      <c r="DY603" s="27" t="s">
        <v>8</v>
      </c>
      <c r="DZ603" s="27" t="s">
        <v>7</v>
      </c>
      <c r="FS603" s="27" t="s">
        <v>8</v>
      </c>
      <c r="FU603" s="27" t="s">
        <v>8</v>
      </c>
      <c r="FV603" s="27" t="s">
        <v>7</v>
      </c>
      <c r="FY603" s="27" t="s">
        <v>8</v>
      </c>
      <c r="FZ603" s="27" t="s">
        <v>7</v>
      </c>
      <c r="HG603" s="27" t="s">
        <v>8</v>
      </c>
      <c r="HK603" s="27" t="s">
        <v>8</v>
      </c>
    </row>
    <row r="604" spans="1:224" x14ac:dyDescent="0.25">
      <c r="A604" s="7">
        <v>0.71416256246493581</v>
      </c>
      <c r="B604"/>
      <c r="C604"/>
      <c r="D604"/>
      <c r="E604"/>
      <c r="F604" s="27" t="s">
        <v>7</v>
      </c>
      <c r="CU604" s="27" t="s">
        <v>8</v>
      </c>
      <c r="CV604" s="27" t="s">
        <v>7</v>
      </c>
      <c r="CW604" s="27" t="s">
        <v>8</v>
      </c>
      <c r="DF604" s="27" t="s">
        <v>7</v>
      </c>
      <c r="DG604" s="27" t="s">
        <v>8</v>
      </c>
      <c r="DJ604" s="27" t="s">
        <v>7</v>
      </c>
      <c r="DK604" s="27" t="s">
        <v>8</v>
      </c>
      <c r="DL604" s="27" t="s">
        <v>7</v>
      </c>
      <c r="DM604" s="27" t="s">
        <v>8</v>
      </c>
      <c r="DN604" s="27" t="s">
        <v>7</v>
      </c>
      <c r="DX604" s="27" t="s">
        <v>7</v>
      </c>
      <c r="DY604" s="27" t="s">
        <v>8</v>
      </c>
      <c r="DZ604" s="27" t="s">
        <v>7</v>
      </c>
      <c r="FS604" s="27" t="s">
        <v>8</v>
      </c>
      <c r="FT604" s="27" t="s">
        <v>7</v>
      </c>
      <c r="FU604" s="27" t="s">
        <v>8</v>
      </c>
      <c r="FV604" s="27" t="s">
        <v>7</v>
      </c>
      <c r="FY604" s="27" t="s">
        <v>8</v>
      </c>
      <c r="FZ604" s="27" t="s">
        <v>7</v>
      </c>
      <c r="HG604" s="27" t="s">
        <v>8</v>
      </c>
      <c r="HH604" s="27" t="s">
        <v>7</v>
      </c>
      <c r="HK604" s="27" t="s">
        <v>8</v>
      </c>
      <c r="HL604" s="27" t="s">
        <v>7</v>
      </c>
    </row>
    <row r="605" spans="1:224" x14ac:dyDescent="0.25">
      <c r="A605" s="7">
        <v>0.7001593749656233</v>
      </c>
      <c r="B605"/>
      <c r="C605"/>
      <c r="D605"/>
      <c r="E605"/>
      <c r="F605" s="27" t="s">
        <v>7</v>
      </c>
      <c r="CU605" s="27" t="s">
        <v>8</v>
      </c>
      <c r="CV605" s="27" t="s">
        <v>7</v>
      </c>
      <c r="CW605" s="27" t="s">
        <v>8</v>
      </c>
      <c r="DF605" s="27" t="s">
        <v>7</v>
      </c>
      <c r="DG605" s="27" t="s">
        <v>8</v>
      </c>
      <c r="DJ605" s="27" t="s">
        <v>7</v>
      </c>
      <c r="DK605" s="27" t="s">
        <v>8</v>
      </c>
      <c r="DL605" s="27" t="s">
        <v>7</v>
      </c>
      <c r="DM605" s="27" t="s">
        <v>8</v>
      </c>
      <c r="DX605" s="27" t="s">
        <v>7</v>
      </c>
      <c r="DY605" s="27" t="s">
        <v>8</v>
      </c>
      <c r="DZ605" s="27" t="s">
        <v>7</v>
      </c>
      <c r="FS605" s="27" t="s">
        <v>8</v>
      </c>
      <c r="FT605" s="27" t="s">
        <v>7</v>
      </c>
      <c r="FU605" s="27" t="s">
        <v>8</v>
      </c>
      <c r="FV605" s="27" t="s">
        <v>7</v>
      </c>
      <c r="FY605" s="27" t="s">
        <v>8</v>
      </c>
      <c r="FZ605" s="27" t="s">
        <v>7</v>
      </c>
      <c r="HG605" s="27" t="s">
        <v>8</v>
      </c>
      <c r="HH605" s="27" t="s">
        <v>7</v>
      </c>
      <c r="HK605" s="27" t="s">
        <v>8</v>
      </c>
      <c r="HL605" s="27" t="s">
        <v>7</v>
      </c>
    </row>
    <row r="606" spans="1:224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CU606" s="27" t="s">
        <v>8</v>
      </c>
      <c r="CV606" s="27" t="s">
        <v>7</v>
      </c>
      <c r="CW606" s="27" t="s">
        <v>8</v>
      </c>
      <c r="DF606" s="27" t="s">
        <v>7</v>
      </c>
      <c r="DG606" s="27" t="s">
        <v>8</v>
      </c>
      <c r="DJ606" s="27" t="s">
        <v>7</v>
      </c>
      <c r="DK606" s="27" t="s">
        <v>8</v>
      </c>
      <c r="DL606" s="27" t="s">
        <v>7</v>
      </c>
      <c r="DM606" s="27" t="s">
        <v>8</v>
      </c>
      <c r="DX606" s="27" t="s">
        <v>7</v>
      </c>
      <c r="DZ606" s="27" t="s">
        <v>7</v>
      </c>
      <c r="FS606" s="27" t="s">
        <v>8</v>
      </c>
      <c r="FT606" s="27" t="s">
        <v>7</v>
      </c>
      <c r="FV606" s="27" t="s">
        <v>7</v>
      </c>
      <c r="FW606" s="27" t="s">
        <v>8</v>
      </c>
      <c r="FY606" s="27" t="s">
        <v>8</v>
      </c>
      <c r="FZ606" s="27" t="s">
        <v>7</v>
      </c>
      <c r="HG606" s="27" t="s">
        <v>8</v>
      </c>
      <c r="HH606" s="27" t="s">
        <v>7</v>
      </c>
      <c r="HK606" s="27" t="s">
        <v>8</v>
      </c>
      <c r="HL606" s="27" t="s">
        <v>7</v>
      </c>
      <c r="HO606" s="27" t="s">
        <v>8</v>
      </c>
    </row>
    <row r="607" spans="1:224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H607" s="27" t="s">
        <v>7</v>
      </c>
      <c r="CU607" s="27" t="s">
        <v>8</v>
      </c>
      <c r="CV607" s="27" t="s">
        <v>7</v>
      </c>
      <c r="CW607" s="27" t="s">
        <v>8</v>
      </c>
      <c r="DF607" s="27" t="s">
        <v>7</v>
      </c>
      <c r="DG607" s="27" t="s">
        <v>8</v>
      </c>
      <c r="DJ607" s="27" t="s">
        <v>7</v>
      </c>
      <c r="DK607" s="27" t="s">
        <v>8</v>
      </c>
      <c r="DL607" s="27" t="s">
        <v>7</v>
      </c>
      <c r="DM607" s="27" t="s">
        <v>8</v>
      </c>
      <c r="DZ607" s="27" t="s">
        <v>7</v>
      </c>
      <c r="FS607" s="27" t="s">
        <v>8</v>
      </c>
      <c r="FV607" s="27" t="s">
        <v>7</v>
      </c>
      <c r="FW607" s="27" t="s">
        <v>8</v>
      </c>
      <c r="FX607" s="27" t="s">
        <v>7</v>
      </c>
      <c r="FY607" s="27" t="s">
        <v>8</v>
      </c>
      <c r="FZ607" s="27" t="s">
        <v>7</v>
      </c>
      <c r="HG607" s="27" t="s">
        <v>8</v>
      </c>
      <c r="HH607" s="27" t="s">
        <v>7</v>
      </c>
      <c r="HK607" s="27" t="s">
        <v>8</v>
      </c>
      <c r="HL607" s="27" t="s">
        <v>7</v>
      </c>
      <c r="HO607" s="27" t="s">
        <v>8</v>
      </c>
      <c r="HP607" s="27" t="s">
        <v>7</v>
      </c>
    </row>
    <row r="608" spans="1:224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H608" s="27" t="s">
        <v>7</v>
      </c>
      <c r="BY608" s="27" t="s">
        <v>8</v>
      </c>
      <c r="CU608" s="27" t="s">
        <v>8</v>
      </c>
      <c r="CV608" s="27" t="s">
        <v>7</v>
      </c>
      <c r="CW608" s="27" t="s">
        <v>8</v>
      </c>
      <c r="DF608" s="27" t="s">
        <v>7</v>
      </c>
      <c r="DG608" s="27" t="s">
        <v>8</v>
      </c>
      <c r="DJ608" s="27" t="s">
        <v>7</v>
      </c>
      <c r="DK608" s="27" t="s">
        <v>8</v>
      </c>
      <c r="DL608" s="27" t="s">
        <v>7</v>
      </c>
      <c r="DM608" s="27" t="s">
        <v>8</v>
      </c>
      <c r="DZ608" s="27" t="s">
        <v>7</v>
      </c>
      <c r="EA608" s="27" t="s">
        <v>8</v>
      </c>
      <c r="EG608" s="27" t="s">
        <v>8</v>
      </c>
      <c r="FS608" s="27" t="s">
        <v>8</v>
      </c>
      <c r="FV608" s="27" t="s">
        <v>7</v>
      </c>
      <c r="FW608" s="27" t="s">
        <v>8</v>
      </c>
      <c r="FX608" s="27" t="s">
        <v>7</v>
      </c>
      <c r="FY608" s="27" t="s">
        <v>8</v>
      </c>
      <c r="FZ608" s="27" t="s">
        <v>7</v>
      </c>
      <c r="HG608" s="27" t="s">
        <v>8</v>
      </c>
      <c r="HH608" s="27" t="s">
        <v>7</v>
      </c>
      <c r="HI608" s="27" t="s">
        <v>8</v>
      </c>
      <c r="HK608" s="27" t="s">
        <v>8</v>
      </c>
      <c r="HL608" s="27" t="s">
        <v>7</v>
      </c>
      <c r="HO608" s="27" t="s">
        <v>8</v>
      </c>
      <c r="HP608" s="27" t="s">
        <v>7</v>
      </c>
    </row>
    <row r="609" spans="1:230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H609" s="27" t="s">
        <v>7</v>
      </c>
      <c r="BY609" s="27" t="s">
        <v>8</v>
      </c>
      <c r="BZ609" s="27" t="s">
        <v>7</v>
      </c>
      <c r="CU609" s="27" t="s">
        <v>8</v>
      </c>
      <c r="CV609" s="27" t="s">
        <v>7</v>
      </c>
      <c r="CW609" s="27" t="s">
        <v>8</v>
      </c>
      <c r="DF609" s="27" t="s">
        <v>7</v>
      </c>
      <c r="DG609" s="27" t="s">
        <v>8</v>
      </c>
      <c r="DJ609" s="27" t="s">
        <v>7</v>
      </c>
      <c r="DK609" s="27" t="s">
        <v>8</v>
      </c>
      <c r="DL609" s="27" t="s">
        <v>7</v>
      </c>
      <c r="DM609" s="27" t="s">
        <v>8</v>
      </c>
      <c r="DZ609" s="27" t="s">
        <v>7</v>
      </c>
      <c r="EA609" s="27" t="s">
        <v>8</v>
      </c>
      <c r="EB609" s="27" t="s">
        <v>7</v>
      </c>
      <c r="EG609" s="27" t="s">
        <v>8</v>
      </c>
      <c r="EH609" s="27" t="s">
        <v>7</v>
      </c>
      <c r="FQ609" s="27" t="s">
        <v>8</v>
      </c>
      <c r="FS609" s="27" t="s">
        <v>8</v>
      </c>
      <c r="FV609" s="27" t="s">
        <v>7</v>
      </c>
      <c r="FW609" s="27" t="s">
        <v>8</v>
      </c>
      <c r="FX609" s="27" t="s">
        <v>7</v>
      </c>
      <c r="FZ609" s="27" t="s">
        <v>7</v>
      </c>
      <c r="GE609" s="27" t="s">
        <v>8</v>
      </c>
      <c r="HE609" s="27" t="s">
        <v>8</v>
      </c>
      <c r="HG609" s="27" t="s">
        <v>8</v>
      </c>
      <c r="HH609" s="27" t="s">
        <v>7</v>
      </c>
      <c r="HI609" s="27" t="s">
        <v>8</v>
      </c>
      <c r="HJ609" s="27" t="s">
        <v>7</v>
      </c>
      <c r="HK609" s="27" t="s">
        <v>8</v>
      </c>
      <c r="HL609" s="27" t="s">
        <v>7</v>
      </c>
      <c r="HO609" s="27" t="s">
        <v>8</v>
      </c>
      <c r="HP609" s="27" t="s">
        <v>7</v>
      </c>
    </row>
    <row r="610" spans="1:230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H610" s="27" t="s">
        <v>7</v>
      </c>
      <c r="BY610" s="27" t="s">
        <v>8</v>
      </c>
      <c r="BZ610" s="27" t="s">
        <v>7</v>
      </c>
      <c r="CU610" s="27" t="s">
        <v>8</v>
      </c>
      <c r="CV610" s="27" t="s">
        <v>7</v>
      </c>
      <c r="CW610" s="27" t="s">
        <v>8</v>
      </c>
      <c r="DF610" s="27" t="s">
        <v>7</v>
      </c>
      <c r="DG610" s="27" t="s">
        <v>8</v>
      </c>
      <c r="DJ610" s="27" t="s">
        <v>7</v>
      </c>
      <c r="DK610" s="27" t="s">
        <v>8</v>
      </c>
      <c r="DL610" s="27" t="s">
        <v>7</v>
      </c>
      <c r="DM610" s="27" t="s">
        <v>8</v>
      </c>
      <c r="DZ610" s="27" t="s">
        <v>7</v>
      </c>
      <c r="EA610" s="27" t="s">
        <v>8</v>
      </c>
      <c r="EB610" s="27" t="s">
        <v>7</v>
      </c>
      <c r="EG610" s="27" t="s">
        <v>8</v>
      </c>
      <c r="EH610" s="27" t="s">
        <v>7</v>
      </c>
      <c r="EI610" s="27" t="s">
        <v>8</v>
      </c>
      <c r="FQ610" s="27" t="s">
        <v>8</v>
      </c>
      <c r="FR610" s="27" t="s">
        <v>7</v>
      </c>
      <c r="FS610" s="27" t="s">
        <v>8</v>
      </c>
      <c r="FV610" s="27" t="s">
        <v>7</v>
      </c>
      <c r="FW610" s="27" t="s">
        <v>8</v>
      </c>
      <c r="FZ610" s="27" t="s">
        <v>7</v>
      </c>
      <c r="GA610" s="27" t="s">
        <v>8</v>
      </c>
      <c r="GE610" s="27" t="s">
        <v>8</v>
      </c>
      <c r="GF610" s="27" t="s">
        <v>7</v>
      </c>
      <c r="HE610" s="27" t="s">
        <v>8</v>
      </c>
      <c r="HF610" s="27" t="s">
        <v>7</v>
      </c>
      <c r="HG610" s="27" t="s">
        <v>8</v>
      </c>
      <c r="HH610" s="27" t="s">
        <v>7</v>
      </c>
      <c r="HI610" s="27" t="s">
        <v>8</v>
      </c>
      <c r="HJ610" s="27" t="s">
        <v>7</v>
      </c>
      <c r="HK610" s="27" t="s">
        <v>8</v>
      </c>
      <c r="HL610" s="27" t="s">
        <v>7</v>
      </c>
      <c r="HO610" s="27" t="s">
        <v>8</v>
      </c>
      <c r="HP610" s="27" t="s">
        <v>7</v>
      </c>
    </row>
    <row r="611" spans="1:230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BY611" s="27" t="s">
        <v>8</v>
      </c>
      <c r="BZ611" s="27" t="s">
        <v>7</v>
      </c>
      <c r="CU611" s="27" t="s">
        <v>8</v>
      </c>
      <c r="CV611" s="27" t="s">
        <v>7</v>
      </c>
      <c r="CW611" s="27" t="s">
        <v>8</v>
      </c>
      <c r="DF611" s="27" t="s">
        <v>7</v>
      </c>
      <c r="DG611" s="27" t="s">
        <v>8</v>
      </c>
      <c r="DJ611" s="27" t="s">
        <v>7</v>
      </c>
      <c r="DK611" s="27" t="s">
        <v>8</v>
      </c>
      <c r="DL611" s="27" t="s">
        <v>7</v>
      </c>
      <c r="DM611" s="27" t="s">
        <v>8</v>
      </c>
      <c r="DZ611" s="27" t="s">
        <v>7</v>
      </c>
      <c r="EA611" s="27" t="s">
        <v>8</v>
      </c>
      <c r="EB611" s="27" t="s">
        <v>7</v>
      </c>
      <c r="EC611" s="27" t="s">
        <v>8</v>
      </c>
      <c r="EG611" s="27" t="s">
        <v>8</v>
      </c>
      <c r="EH611" s="27" t="s">
        <v>7</v>
      </c>
      <c r="EI611" s="27" t="s">
        <v>8</v>
      </c>
      <c r="EJ611" s="27" t="s">
        <v>7</v>
      </c>
      <c r="FQ611" s="27" t="s">
        <v>8</v>
      </c>
      <c r="FR611" s="27" t="s">
        <v>7</v>
      </c>
      <c r="FS611" s="27" t="s">
        <v>8</v>
      </c>
      <c r="FV611" s="27" t="s">
        <v>7</v>
      </c>
      <c r="FZ611" s="27" t="s">
        <v>7</v>
      </c>
      <c r="GA611" s="27" t="s">
        <v>8</v>
      </c>
      <c r="GB611" s="27" t="s">
        <v>7</v>
      </c>
      <c r="GC611" s="27" t="s">
        <v>8</v>
      </c>
      <c r="GE611" s="27" t="s">
        <v>8</v>
      </c>
      <c r="GF611" s="27" t="s">
        <v>7</v>
      </c>
      <c r="HE611" s="27" t="s">
        <v>8</v>
      </c>
      <c r="HF611" s="27" t="s">
        <v>7</v>
      </c>
      <c r="HG611" s="27" t="s">
        <v>8</v>
      </c>
      <c r="HH611" s="27" t="s">
        <v>7</v>
      </c>
      <c r="HI611" s="27" t="s">
        <v>8</v>
      </c>
      <c r="HJ611" s="27" t="s">
        <v>7</v>
      </c>
      <c r="HK611" s="27" t="s">
        <v>8</v>
      </c>
      <c r="HL611" s="27" t="s">
        <v>7</v>
      </c>
      <c r="HM611" s="27" t="s">
        <v>8</v>
      </c>
      <c r="HO611" s="27" t="s">
        <v>8</v>
      </c>
      <c r="HP611" s="27" t="s">
        <v>7</v>
      </c>
    </row>
    <row r="612" spans="1:230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H612" s="27" t="s">
        <v>7</v>
      </c>
      <c r="BY612" s="27" t="s">
        <v>8</v>
      </c>
      <c r="BZ612" s="27" t="s">
        <v>7</v>
      </c>
      <c r="CU612" s="27" t="s">
        <v>8</v>
      </c>
      <c r="CV612" s="27" t="s">
        <v>7</v>
      </c>
      <c r="DF612" s="27" t="s">
        <v>7</v>
      </c>
      <c r="DJ612" s="27" t="s">
        <v>7</v>
      </c>
      <c r="DK612" s="27" t="s">
        <v>8</v>
      </c>
      <c r="DL612" s="27" t="s">
        <v>7</v>
      </c>
      <c r="DZ612" s="27" t="s">
        <v>7</v>
      </c>
      <c r="EA612" s="27" t="s">
        <v>8</v>
      </c>
      <c r="EB612" s="27" t="s">
        <v>7</v>
      </c>
      <c r="EC612" s="27" t="s">
        <v>8</v>
      </c>
      <c r="ED612" s="27" t="s">
        <v>7</v>
      </c>
      <c r="EG612" s="27" t="s">
        <v>8</v>
      </c>
      <c r="EH612" s="27" t="s">
        <v>7</v>
      </c>
      <c r="EI612" s="27" t="s">
        <v>8</v>
      </c>
      <c r="EJ612" s="27" t="s">
        <v>7</v>
      </c>
      <c r="FQ612" s="27" t="s">
        <v>8</v>
      </c>
      <c r="FR612" s="27" t="s">
        <v>7</v>
      </c>
      <c r="FS612" s="27" t="s">
        <v>8</v>
      </c>
      <c r="FZ612" s="27" t="s">
        <v>7</v>
      </c>
      <c r="GA612" s="27" t="s">
        <v>8</v>
      </c>
      <c r="GB612" s="27" t="s">
        <v>7</v>
      </c>
      <c r="GC612" s="27" t="s">
        <v>8</v>
      </c>
      <c r="GD612" s="27" t="s">
        <v>7</v>
      </c>
      <c r="GE612" s="27" t="s">
        <v>8</v>
      </c>
      <c r="GF612" s="27" t="s">
        <v>7</v>
      </c>
      <c r="HE612" s="27" t="s">
        <v>8</v>
      </c>
      <c r="HF612" s="27" t="s">
        <v>7</v>
      </c>
      <c r="HG612" s="27" t="s">
        <v>8</v>
      </c>
      <c r="HH612" s="27" t="s">
        <v>7</v>
      </c>
      <c r="HI612" s="27" t="s">
        <v>8</v>
      </c>
      <c r="HJ612" s="27" t="s">
        <v>7</v>
      </c>
      <c r="HL612" s="27" t="s">
        <v>7</v>
      </c>
      <c r="HM612" s="27" t="s">
        <v>8</v>
      </c>
      <c r="HN612" s="27" t="s">
        <v>7</v>
      </c>
      <c r="HO612" s="27" t="s">
        <v>8</v>
      </c>
      <c r="HP612" s="27" t="s">
        <v>7</v>
      </c>
      <c r="HQ612" s="27" t="s">
        <v>8</v>
      </c>
    </row>
    <row r="613" spans="1:230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H613" s="27" t="s">
        <v>7</v>
      </c>
      <c r="BY613" s="27" t="s">
        <v>8</v>
      </c>
      <c r="BZ613" s="27" t="s">
        <v>7</v>
      </c>
      <c r="CU613" s="27" t="s">
        <v>8</v>
      </c>
      <c r="DJ613" s="27" t="s">
        <v>7</v>
      </c>
      <c r="DK613" s="27" t="s">
        <v>8</v>
      </c>
      <c r="DZ613" s="27" t="s">
        <v>7</v>
      </c>
      <c r="EA613" s="27" t="s">
        <v>8</v>
      </c>
      <c r="EB613" s="27" t="s">
        <v>7</v>
      </c>
      <c r="EC613" s="27" t="s">
        <v>8</v>
      </c>
      <c r="ED613" s="27" t="s">
        <v>7</v>
      </c>
      <c r="EG613" s="27" t="s">
        <v>8</v>
      </c>
      <c r="EH613" s="27" t="s">
        <v>7</v>
      </c>
      <c r="EI613" s="27" t="s">
        <v>8</v>
      </c>
      <c r="EJ613" s="27" t="s">
        <v>7</v>
      </c>
      <c r="FQ613" s="27" t="s">
        <v>8</v>
      </c>
      <c r="FR613" s="27" t="s">
        <v>7</v>
      </c>
      <c r="FS613" s="27" t="s">
        <v>8</v>
      </c>
      <c r="FZ613" s="27" t="s">
        <v>7</v>
      </c>
      <c r="GA613" s="27" t="s">
        <v>8</v>
      </c>
      <c r="GB613" s="27" t="s">
        <v>7</v>
      </c>
      <c r="GC613" s="27" t="s">
        <v>8</v>
      </c>
      <c r="GD613" s="27" t="s">
        <v>7</v>
      </c>
      <c r="GE613" s="27" t="s">
        <v>8</v>
      </c>
      <c r="GF613" s="27" t="s">
        <v>7</v>
      </c>
      <c r="GG613" s="27" t="s">
        <v>8</v>
      </c>
      <c r="HE613" s="27" t="s">
        <v>8</v>
      </c>
      <c r="HF613" s="27" t="s">
        <v>7</v>
      </c>
      <c r="HG613" s="27" t="s">
        <v>8</v>
      </c>
      <c r="HH613" s="27" t="s">
        <v>7</v>
      </c>
      <c r="HL613" s="27" t="s">
        <v>7</v>
      </c>
      <c r="HM613" s="27" t="s">
        <v>8</v>
      </c>
      <c r="HN613" s="27" t="s">
        <v>7</v>
      </c>
      <c r="HO613" s="27" t="s">
        <v>8</v>
      </c>
      <c r="HP613" s="27" t="s">
        <v>7</v>
      </c>
      <c r="HQ613" s="27" t="s">
        <v>8</v>
      </c>
      <c r="HR613" s="27" t="s">
        <v>7</v>
      </c>
      <c r="HU613" s="27" t="s">
        <v>8</v>
      </c>
    </row>
    <row r="614" spans="1:230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H614" s="27" t="s">
        <v>7</v>
      </c>
      <c r="BY614" s="27" t="s">
        <v>8</v>
      </c>
      <c r="BZ614" s="27" t="s">
        <v>7</v>
      </c>
      <c r="CU614" s="27" t="s">
        <v>8</v>
      </c>
      <c r="DJ614" s="27" t="s">
        <v>7</v>
      </c>
      <c r="DZ614" s="27" t="s">
        <v>7</v>
      </c>
      <c r="EA614" s="27" t="s">
        <v>8</v>
      </c>
      <c r="EB614" s="27" t="s">
        <v>7</v>
      </c>
      <c r="EC614" s="27" t="s">
        <v>8</v>
      </c>
      <c r="ED614" s="27" t="s">
        <v>7</v>
      </c>
      <c r="EG614" s="27" t="s">
        <v>8</v>
      </c>
      <c r="EH614" s="27" t="s">
        <v>7</v>
      </c>
      <c r="EI614" s="27" t="s">
        <v>8</v>
      </c>
      <c r="EJ614" s="27" t="s">
        <v>7</v>
      </c>
      <c r="EK614" s="27" t="s">
        <v>8</v>
      </c>
      <c r="FQ614" s="27" t="s">
        <v>8</v>
      </c>
      <c r="FR614" s="27" t="s">
        <v>7</v>
      </c>
      <c r="FS614" s="27" t="s">
        <v>8</v>
      </c>
      <c r="FZ614" s="27" t="s">
        <v>7</v>
      </c>
      <c r="GA614" s="27" t="s">
        <v>8</v>
      </c>
      <c r="GB614" s="27" t="s">
        <v>7</v>
      </c>
      <c r="GC614" s="27" t="s">
        <v>8</v>
      </c>
      <c r="GD614" s="27" t="s">
        <v>7</v>
      </c>
      <c r="GE614" s="27" t="s">
        <v>8</v>
      </c>
      <c r="GF614" s="27" t="s">
        <v>7</v>
      </c>
      <c r="GG614" s="27" t="s">
        <v>8</v>
      </c>
      <c r="GH614" s="27" t="s">
        <v>7</v>
      </c>
      <c r="HE614" s="27" t="s">
        <v>8</v>
      </c>
      <c r="HF614" s="27" t="s">
        <v>7</v>
      </c>
      <c r="HL614" s="27" t="s">
        <v>7</v>
      </c>
      <c r="HM614" s="27" t="s">
        <v>8</v>
      </c>
      <c r="HN614" s="27" t="s">
        <v>7</v>
      </c>
      <c r="HO614" s="27" t="s">
        <v>8</v>
      </c>
      <c r="HP614" s="27" t="s">
        <v>7</v>
      </c>
      <c r="HQ614" s="27" t="s">
        <v>8</v>
      </c>
      <c r="HR614" s="27" t="s">
        <v>7</v>
      </c>
      <c r="HU614" s="27" t="s">
        <v>8</v>
      </c>
      <c r="HV614" s="27" t="s">
        <v>7</v>
      </c>
    </row>
    <row r="615" spans="1:230" x14ac:dyDescent="0.25">
      <c r="A615" s="7">
        <v>0.57437455289470052</v>
      </c>
      <c r="B615"/>
      <c r="C615"/>
      <c r="D615"/>
      <c r="E615"/>
      <c r="F615" s="27" t="s">
        <v>7</v>
      </c>
      <c r="H615" s="27" t="s">
        <v>7</v>
      </c>
      <c r="BY615" s="27" t="s">
        <v>8</v>
      </c>
      <c r="BZ615" s="27" t="s">
        <v>7</v>
      </c>
      <c r="CC615" s="27" t="s">
        <v>8</v>
      </c>
      <c r="CQ615" s="27" t="s">
        <v>8</v>
      </c>
      <c r="CU615" s="27" t="s">
        <v>8</v>
      </c>
      <c r="DZ615" s="27" t="s">
        <v>7</v>
      </c>
      <c r="EA615" s="27" t="s">
        <v>8</v>
      </c>
      <c r="EB615" s="27" t="s">
        <v>7</v>
      </c>
      <c r="EC615" s="27" t="s">
        <v>8</v>
      </c>
      <c r="ED615" s="27" t="s">
        <v>7</v>
      </c>
      <c r="EE615" s="27" t="s">
        <v>8</v>
      </c>
      <c r="EG615" s="27" t="s">
        <v>8</v>
      </c>
      <c r="EH615" s="27" t="s">
        <v>7</v>
      </c>
      <c r="EI615" s="27" t="s">
        <v>8</v>
      </c>
      <c r="EJ615" s="27" t="s">
        <v>7</v>
      </c>
      <c r="EK615" s="27" t="s">
        <v>8</v>
      </c>
      <c r="EL615" s="27" t="s">
        <v>7</v>
      </c>
      <c r="FQ615" s="27" t="s">
        <v>8</v>
      </c>
      <c r="FR615" s="27" t="s">
        <v>7</v>
      </c>
      <c r="FS615" s="27" t="s">
        <v>8</v>
      </c>
      <c r="FZ615" s="27" t="s">
        <v>7</v>
      </c>
      <c r="GA615" s="27" t="s">
        <v>8</v>
      </c>
      <c r="GB615" s="27" t="s">
        <v>7</v>
      </c>
      <c r="GC615" s="27" t="s">
        <v>8</v>
      </c>
      <c r="GD615" s="27" t="s">
        <v>7</v>
      </c>
      <c r="GE615" s="27" t="s">
        <v>8</v>
      </c>
      <c r="GF615" s="27" t="s">
        <v>7</v>
      </c>
      <c r="GG615" s="27" t="s">
        <v>8</v>
      </c>
      <c r="GH615" s="27" t="s">
        <v>7</v>
      </c>
      <c r="GY615" s="27" t="s">
        <v>8</v>
      </c>
      <c r="HA615" s="27" t="s">
        <v>8</v>
      </c>
      <c r="HE615" s="27" t="s">
        <v>8</v>
      </c>
      <c r="HL615" s="27" t="s">
        <v>7</v>
      </c>
      <c r="HN615" s="27" t="s">
        <v>7</v>
      </c>
      <c r="HO615" s="27" t="s">
        <v>8</v>
      </c>
      <c r="HP615" s="27" t="s">
        <v>7</v>
      </c>
      <c r="HQ615" s="27" t="s">
        <v>8</v>
      </c>
      <c r="HR615" s="27" t="s">
        <v>7</v>
      </c>
      <c r="HU615" s="27" t="s">
        <v>8</v>
      </c>
      <c r="HV615" s="27" t="s">
        <v>7</v>
      </c>
    </row>
    <row r="616" spans="1:230" x14ac:dyDescent="0.25">
      <c r="A616" s="7">
        <v>0.56311230675951029</v>
      </c>
      <c r="B616"/>
      <c r="C616"/>
      <c r="D616"/>
      <c r="E616"/>
      <c r="H616" s="27" t="s">
        <v>7</v>
      </c>
      <c r="BY616" s="27" t="s">
        <v>8</v>
      </c>
      <c r="BZ616" s="27" t="s">
        <v>7</v>
      </c>
      <c r="CC616" s="27" t="s">
        <v>8</v>
      </c>
      <c r="CD616" s="27" t="s">
        <v>7</v>
      </c>
      <c r="CQ616" s="27" t="s">
        <v>8</v>
      </c>
      <c r="CR616" s="27" t="s">
        <v>7</v>
      </c>
      <c r="CS616" s="27" t="s">
        <v>8</v>
      </c>
      <c r="CU616" s="27" t="s">
        <v>8</v>
      </c>
      <c r="DZ616" s="27" t="s">
        <v>7</v>
      </c>
      <c r="EA616" s="27" t="s">
        <v>8</v>
      </c>
      <c r="EB616" s="27" t="s">
        <v>7</v>
      </c>
      <c r="EC616" s="27" t="s">
        <v>8</v>
      </c>
      <c r="ED616" s="27" t="s">
        <v>7</v>
      </c>
      <c r="EE616" s="27" t="s">
        <v>8</v>
      </c>
      <c r="EF616" s="27" t="s">
        <v>7</v>
      </c>
      <c r="EG616" s="27" t="s">
        <v>8</v>
      </c>
      <c r="EH616" s="27" t="s">
        <v>7</v>
      </c>
      <c r="EI616" s="27" t="s">
        <v>8</v>
      </c>
      <c r="EJ616" s="27" t="s">
        <v>7</v>
      </c>
      <c r="EK616" s="27" t="s">
        <v>8</v>
      </c>
      <c r="EL616" s="27" t="s">
        <v>7</v>
      </c>
      <c r="EM616" s="27" t="s">
        <v>8</v>
      </c>
      <c r="FO616" s="27" t="s">
        <v>8</v>
      </c>
      <c r="FQ616" s="27" t="s">
        <v>8</v>
      </c>
      <c r="FR616" s="27" t="s">
        <v>7</v>
      </c>
      <c r="FS616" s="27" t="s">
        <v>8</v>
      </c>
      <c r="FZ616" s="27" t="s">
        <v>7</v>
      </c>
      <c r="GA616" s="27" t="s">
        <v>8</v>
      </c>
      <c r="GB616" s="27" t="s">
        <v>7</v>
      </c>
      <c r="GC616" s="27" t="s">
        <v>8</v>
      </c>
      <c r="GD616" s="27" t="s">
        <v>7</v>
      </c>
      <c r="GF616" s="27" t="s">
        <v>7</v>
      </c>
      <c r="GH616" s="27" t="s">
        <v>7</v>
      </c>
      <c r="GY616" s="27" t="s">
        <v>8</v>
      </c>
      <c r="GZ616" s="27" t="s">
        <v>7</v>
      </c>
      <c r="HA616" s="27" t="s">
        <v>8</v>
      </c>
      <c r="HB616" s="27" t="s">
        <v>7</v>
      </c>
      <c r="HE616" s="27" t="s">
        <v>8</v>
      </c>
      <c r="HN616" s="27" t="s">
        <v>7</v>
      </c>
      <c r="HO616" s="27" t="s">
        <v>8</v>
      </c>
      <c r="HP616" s="27" t="s">
        <v>7</v>
      </c>
      <c r="HQ616" s="27" t="s">
        <v>8</v>
      </c>
      <c r="HR616" s="27" t="s">
        <v>7</v>
      </c>
      <c r="HS616" s="27" t="s">
        <v>8</v>
      </c>
      <c r="HU616" s="27" t="s">
        <v>8</v>
      </c>
      <c r="HV616" s="27" t="s">
        <v>7</v>
      </c>
    </row>
    <row r="617" spans="1:230" x14ac:dyDescent="0.25">
      <c r="A617" s="7">
        <v>0.55207088897991208</v>
      </c>
      <c r="B617"/>
      <c r="C617"/>
      <c r="D617"/>
      <c r="E617"/>
      <c r="H617" s="27" t="s">
        <v>7</v>
      </c>
      <c r="BY617" s="27" t="s">
        <v>8</v>
      </c>
      <c r="BZ617" s="27" t="s">
        <v>7</v>
      </c>
      <c r="CA617" s="27" t="s">
        <v>8</v>
      </c>
      <c r="CC617" s="27" t="s">
        <v>8</v>
      </c>
      <c r="CD617" s="27" t="s">
        <v>7</v>
      </c>
      <c r="CE617" s="27" t="s">
        <v>8</v>
      </c>
      <c r="CQ617" s="27" t="s">
        <v>8</v>
      </c>
      <c r="CR617" s="27" t="s">
        <v>7</v>
      </c>
      <c r="CS617" s="27" t="s">
        <v>8</v>
      </c>
      <c r="CT617" s="27" t="s">
        <v>7</v>
      </c>
      <c r="CU617" s="27" t="s">
        <v>8</v>
      </c>
      <c r="DZ617" s="27" t="s">
        <v>7</v>
      </c>
      <c r="EA617" s="27" t="s">
        <v>8</v>
      </c>
      <c r="EB617" s="27" t="s">
        <v>7</v>
      </c>
      <c r="EC617" s="27" t="s">
        <v>8</v>
      </c>
      <c r="ED617" s="27" t="s">
        <v>7</v>
      </c>
      <c r="EE617" s="27" t="s">
        <v>8</v>
      </c>
      <c r="EF617" s="27" t="s">
        <v>7</v>
      </c>
      <c r="EG617" s="27" t="s">
        <v>8</v>
      </c>
      <c r="EH617" s="27" t="s">
        <v>7</v>
      </c>
      <c r="EI617" s="27" t="s">
        <v>8</v>
      </c>
      <c r="EJ617" s="27" t="s">
        <v>7</v>
      </c>
      <c r="EK617" s="27" t="s">
        <v>8</v>
      </c>
      <c r="EL617" s="27" t="s">
        <v>7</v>
      </c>
      <c r="EM617" s="27" t="s">
        <v>8</v>
      </c>
      <c r="EN617" s="27" t="s">
        <v>7</v>
      </c>
      <c r="FM617" s="27" t="s">
        <v>8</v>
      </c>
      <c r="FO617" s="27" t="s">
        <v>8</v>
      </c>
      <c r="FP617" s="27" t="s">
        <v>7</v>
      </c>
      <c r="FQ617" s="27" t="s">
        <v>8</v>
      </c>
      <c r="FR617" s="27" t="s">
        <v>7</v>
      </c>
      <c r="FS617" s="27" t="s">
        <v>8</v>
      </c>
      <c r="FZ617" s="27" t="s">
        <v>7</v>
      </c>
      <c r="GA617" s="27" t="s">
        <v>8</v>
      </c>
      <c r="GB617" s="27" t="s">
        <v>7</v>
      </c>
      <c r="GH617" s="27" t="s">
        <v>7</v>
      </c>
      <c r="GY617" s="27" t="s">
        <v>8</v>
      </c>
      <c r="GZ617" s="27" t="s">
        <v>7</v>
      </c>
      <c r="HA617" s="27" t="s">
        <v>8</v>
      </c>
      <c r="HB617" s="27" t="s">
        <v>7</v>
      </c>
      <c r="HE617" s="27" t="s">
        <v>8</v>
      </c>
      <c r="HN617" s="27" t="s">
        <v>7</v>
      </c>
      <c r="HO617" s="27" t="s">
        <v>8</v>
      </c>
      <c r="HP617" s="27" t="s">
        <v>7</v>
      </c>
      <c r="HQ617" s="27" t="s">
        <v>8</v>
      </c>
      <c r="HR617" s="27" t="s">
        <v>7</v>
      </c>
      <c r="HS617" s="27" t="s">
        <v>8</v>
      </c>
      <c r="HT617" s="27" t="s">
        <v>7</v>
      </c>
      <c r="HU617" s="27" t="s">
        <v>8</v>
      </c>
      <c r="HV617" s="27" t="s">
        <v>7</v>
      </c>
    </row>
    <row r="618" spans="1:230" x14ac:dyDescent="0.25">
      <c r="A618" s="7">
        <v>0.54124596958814908</v>
      </c>
      <c r="B618"/>
      <c r="C618"/>
      <c r="D618"/>
      <c r="E618"/>
      <c r="H618" s="27" t="s">
        <v>7</v>
      </c>
      <c r="BY618" s="27" t="s">
        <v>8</v>
      </c>
      <c r="BZ618" s="27" t="s">
        <v>7</v>
      </c>
      <c r="CA618" s="27" t="s">
        <v>8</v>
      </c>
      <c r="CB618" s="27" t="s">
        <v>7</v>
      </c>
      <c r="CC618" s="27" t="s">
        <v>8</v>
      </c>
      <c r="CD618" s="27" t="s">
        <v>7</v>
      </c>
      <c r="CE618" s="27" t="s">
        <v>8</v>
      </c>
      <c r="CF618" s="27" t="s">
        <v>7</v>
      </c>
      <c r="CQ618" s="27" t="s">
        <v>8</v>
      </c>
      <c r="CR618" s="27" t="s">
        <v>7</v>
      </c>
      <c r="CS618" s="27" t="s">
        <v>8</v>
      </c>
      <c r="CT618" s="27" t="s">
        <v>7</v>
      </c>
      <c r="CU618" s="27" t="s">
        <v>8</v>
      </c>
      <c r="DZ618" s="27" t="s">
        <v>7</v>
      </c>
      <c r="EA618" s="27" t="s">
        <v>8</v>
      </c>
      <c r="EB618" s="27" t="s">
        <v>7</v>
      </c>
      <c r="EC618" s="27" t="s">
        <v>8</v>
      </c>
      <c r="ED618" s="27" t="s">
        <v>7</v>
      </c>
      <c r="EE618" s="27" t="s">
        <v>8</v>
      </c>
      <c r="EF618" s="27" t="s">
        <v>7</v>
      </c>
      <c r="EG618" s="27" t="s">
        <v>8</v>
      </c>
      <c r="EH618" s="27" t="s">
        <v>7</v>
      </c>
      <c r="EJ618" s="27" t="s">
        <v>7</v>
      </c>
      <c r="EK618" s="27" t="s">
        <v>8</v>
      </c>
      <c r="EL618" s="27" t="s">
        <v>7</v>
      </c>
      <c r="EM618" s="27" t="s">
        <v>8</v>
      </c>
      <c r="EN618" s="27" t="s">
        <v>7</v>
      </c>
      <c r="FM618" s="27" t="s">
        <v>8</v>
      </c>
      <c r="FN618" s="27" t="s">
        <v>7</v>
      </c>
      <c r="FO618" s="27" t="s">
        <v>8</v>
      </c>
      <c r="FP618" s="27" t="s">
        <v>7</v>
      </c>
      <c r="FQ618" s="27" t="s">
        <v>8</v>
      </c>
      <c r="FR618" s="27" t="s">
        <v>7</v>
      </c>
      <c r="FZ618" s="27" t="s">
        <v>7</v>
      </c>
      <c r="GA618" s="27" t="s">
        <v>8</v>
      </c>
      <c r="GH618" s="27" t="s">
        <v>7</v>
      </c>
      <c r="GQ618" s="27" t="s">
        <v>8</v>
      </c>
      <c r="GS618" s="27" t="s">
        <v>8</v>
      </c>
      <c r="GW618" s="27" t="s">
        <v>8</v>
      </c>
      <c r="GY618" s="27" t="s">
        <v>8</v>
      </c>
      <c r="GZ618" s="27" t="s">
        <v>7</v>
      </c>
      <c r="HA618" s="27" t="s">
        <v>8</v>
      </c>
      <c r="HB618" s="27" t="s">
        <v>7</v>
      </c>
      <c r="HE618" s="27" t="s">
        <v>8</v>
      </c>
      <c r="HN618" s="27" t="s">
        <v>7</v>
      </c>
      <c r="HO618" s="27" t="s">
        <v>8</v>
      </c>
      <c r="HP618" s="27" t="s">
        <v>7</v>
      </c>
      <c r="HQ618" s="27" t="s">
        <v>8</v>
      </c>
      <c r="HR618" s="27" t="s">
        <v>7</v>
      </c>
      <c r="HS618" s="27" t="s">
        <v>8</v>
      </c>
      <c r="HT618" s="27" t="s">
        <v>7</v>
      </c>
      <c r="HU618" s="27" t="s">
        <v>8</v>
      </c>
      <c r="HV618" s="27" t="s">
        <v>7</v>
      </c>
    </row>
    <row r="619" spans="1:230" x14ac:dyDescent="0.25">
      <c r="A619" s="7">
        <v>0.53063330351779314</v>
      </c>
      <c r="B619"/>
      <c r="C619"/>
      <c r="D619"/>
      <c r="E619"/>
      <c r="H619" s="27" t="s">
        <v>7</v>
      </c>
      <c r="BY619" s="27" t="s">
        <v>8</v>
      </c>
      <c r="BZ619" s="27" t="s">
        <v>7</v>
      </c>
      <c r="CA619" s="27" t="s">
        <v>8</v>
      </c>
      <c r="CB619" s="27" t="s">
        <v>7</v>
      </c>
      <c r="CC619" s="27" t="s">
        <v>8</v>
      </c>
      <c r="CD619" s="27" t="s">
        <v>7</v>
      </c>
      <c r="CE619" s="27" t="s">
        <v>8</v>
      </c>
      <c r="CF619" s="27" t="s">
        <v>7</v>
      </c>
      <c r="CQ619" s="27" t="s">
        <v>8</v>
      </c>
      <c r="CR619" s="27" t="s">
        <v>7</v>
      </c>
      <c r="CS619" s="27" t="s">
        <v>8</v>
      </c>
      <c r="CT619" s="27" t="s">
        <v>7</v>
      </c>
      <c r="CU619" s="27" t="s">
        <v>8</v>
      </c>
      <c r="DZ619" s="27" t="s">
        <v>7</v>
      </c>
      <c r="EA619" s="27" t="s">
        <v>8</v>
      </c>
      <c r="EB619" s="27" t="s">
        <v>7</v>
      </c>
      <c r="EC619" s="27" t="s">
        <v>8</v>
      </c>
      <c r="ED619" s="27" t="s">
        <v>7</v>
      </c>
      <c r="EE619" s="27" t="s">
        <v>8</v>
      </c>
      <c r="EF619" s="27" t="s">
        <v>7</v>
      </c>
      <c r="EG619" s="27" t="s">
        <v>8</v>
      </c>
      <c r="EJ619" s="27" t="s">
        <v>7</v>
      </c>
      <c r="EK619" s="27" t="s">
        <v>8</v>
      </c>
      <c r="EL619" s="27" t="s">
        <v>7</v>
      </c>
      <c r="EM619" s="27" t="s">
        <v>8</v>
      </c>
      <c r="EN619" s="27" t="s">
        <v>7</v>
      </c>
      <c r="FM619" s="27" t="s">
        <v>8</v>
      </c>
      <c r="FN619" s="27" t="s">
        <v>7</v>
      </c>
      <c r="FO619" s="27" t="s">
        <v>8</v>
      </c>
      <c r="FP619" s="27" t="s">
        <v>7</v>
      </c>
      <c r="FQ619" s="27" t="s">
        <v>8</v>
      </c>
      <c r="FZ619" s="27" t="s">
        <v>7</v>
      </c>
      <c r="GA619" s="27" t="s">
        <v>8</v>
      </c>
      <c r="GH619" s="27" t="s">
        <v>7</v>
      </c>
      <c r="GQ619" s="27" t="s">
        <v>8</v>
      </c>
      <c r="GR619" s="27" t="s">
        <v>7</v>
      </c>
      <c r="GS619" s="27" t="s">
        <v>8</v>
      </c>
      <c r="GT619" s="27" t="s">
        <v>7</v>
      </c>
      <c r="GW619" s="27" t="s">
        <v>8</v>
      </c>
      <c r="GX619" s="27" t="s">
        <v>7</v>
      </c>
      <c r="GY619" s="27" t="s">
        <v>8</v>
      </c>
      <c r="GZ619" s="27" t="s">
        <v>7</v>
      </c>
      <c r="HB619" s="27" t="s">
        <v>7</v>
      </c>
      <c r="HE619" s="27" t="s">
        <v>8</v>
      </c>
      <c r="HN619" s="27" t="s">
        <v>7</v>
      </c>
      <c r="HP619" s="27" t="s">
        <v>7</v>
      </c>
      <c r="HQ619" s="27" t="s">
        <v>8</v>
      </c>
      <c r="HR619" s="27" t="s">
        <v>7</v>
      </c>
      <c r="HS619" s="27" t="s">
        <v>8</v>
      </c>
      <c r="HT619" s="27" t="s">
        <v>7</v>
      </c>
      <c r="HU619" s="27" t="s">
        <v>8</v>
      </c>
      <c r="HV619" s="27" t="s">
        <v>7</v>
      </c>
    </row>
    <row r="620" spans="1:230" x14ac:dyDescent="0.25">
      <c r="A620" s="7">
        <v>0.52022872893901284</v>
      </c>
      <c r="B620"/>
      <c r="C620"/>
      <c r="D620"/>
      <c r="E620"/>
      <c r="H620" s="27" t="s">
        <v>7</v>
      </c>
      <c r="BY620" s="27" t="s">
        <v>8</v>
      </c>
      <c r="BZ620" s="27" t="s">
        <v>7</v>
      </c>
      <c r="CA620" s="27" t="s">
        <v>8</v>
      </c>
      <c r="CB620" s="27" t="s">
        <v>7</v>
      </c>
      <c r="CC620" s="27" t="s">
        <v>8</v>
      </c>
      <c r="CD620" s="27" t="s">
        <v>7</v>
      </c>
      <c r="CE620" s="27" t="s">
        <v>8</v>
      </c>
      <c r="CF620" s="27" t="s">
        <v>7</v>
      </c>
      <c r="CO620" s="27" t="s">
        <v>8</v>
      </c>
      <c r="CQ620" s="27" t="s">
        <v>8</v>
      </c>
      <c r="CR620" s="27" t="s">
        <v>7</v>
      </c>
      <c r="CS620" s="27" t="s">
        <v>8</v>
      </c>
      <c r="CT620" s="27" t="s">
        <v>7</v>
      </c>
      <c r="CU620" s="27" t="s">
        <v>8</v>
      </c>
      <c r="DZ620" s="27" t="s">
        <v>7</v>
      </c>
      <c r="EA620" s="27" t="s">
        <v>8</v>
      </c>
      <c r="EB620" s="27" t="s">
        <v>7</v>
      </c>
      <c r="EC620" s="27" t="s">
        <v>8</v>
      </c>
      <c r="ED620" s="27" t="s">
        <v>7</v>
      </c>
      <c r="EE620" s="27" t="s">
        <v>8</v>
      </c>
      <c r="EF620" s="27" t="s">
        <v>7</v>
      </c>
      <c r="EJ620" s="27" t="s">
        <v>7</v>
      </c>
      <c r="EK620" s="27" t="s">
        <v>8</v>
      </c>
      <c r="EL620" s="27" t="s">
        <v>7</v>
      </c>
      <c r="EM620" s="27" t="s">
        <v>8</v>
      </c>
      <c r="EN620" s="27" t="s">
        <v>7</v>
      </c>
      <c r="FM620" s="27" t="s">
        <v>8</v>
      </c>
      <c r="FN620" s="27" t="s">
        <v>7</v>
      </c>
      <c r="FO620" s="27" t="s">
        <v>8</v>
      </c>
      <c r="FP620" s="27" t="s">
        <v>7</v>
      </c>
      <c r="FQ620" s="27" t="s">
        <v>8</v>
      </c>
      <c r="FZ620" s="27" t="s">
        <v>7</v>
      </c>
      <c r="GA620" s="27" t="s">
        <v>8</v>
      </c>
      <c r="GH620" s="27" t="s">
        <v>7</v>
      </c>
      <c r="GI620" s="27" t="s">
        <v>8</v>
      </c>
      <c r="GO620" s="27" t="s">
        <v>8</v>
      </c>
      <c r="GQ620" s="27" t="s">
        <v>8</v>
      </c>
      <c r="GR620" s="27" t="s">
        <v>7</v>
      </c>
      <c r="GS620" s="27" t="s">
        <v>8</v>
      </c>
      <c r="GT620" s="27" t="s">
        <v>7</v>
      </c>
      <c r="GU620" s="27" t="s">
        <v>8</v>
      </c>
      <c r="GW620" s="27" t="s">
        <v>8</v>
      </c>
      <c r="GX620" s="27" t="s">
        <v>7</v>
      </c>
      <c r="GY620" s="27" t="s">
        <v>8</v>
      </c>
      <c r="HB620" s="27" t="s">
        <v>7</v>
      </c>
      <c r="HE620" s="27" t="s">
        <v>8</v>
      </c>
      <c r="HP620" s="27" t="s">
        <v>7</v>
      </c>
      <c r="HR620" s="27" t="s">
        <v>7</v>
      </c>
      <c r="HS620" s="27" t="s">
        <v>8</v>
      </c>
      <c r="HT620" s="27" t="s">
        <v>7</v>
      </c>
      <c r="HU620" s="27" t="s">
        <v>8</v>
      </c>
      <c r="HV620" s="27" t="s">
        <v>7</v>
      </c>
    </row>
    <row r="621" spans="1:230" x14ac:dyDescent="0.25">
      <c r="A621" s="7">
        <v>0.51002816562648323</v>
      </c>
      <c r="B621"/>
      <c r="C621"/>
      <c r="D621"/>
      <c r="E621"/>
      <c r="H621" s="27" t="s">
        <v>7</v>
      </c>
      <c r="BY621" s="27" t="s">
        <v>8</v>
      </c>
      <c r="BZ621" s="27" t="s">
        <v>7</v>
      </c>
      <c r="CA621" s="27" t="s">
        <v>8</v>
      </c>
      <c r="CB621" s="27" t="s">
        <v>7</v>
      </c>
      <c r="CC621" s="27" t="s">
        <v>8</v>
      </c>
      <c r="CD621" s="27" t="s">
        <v>7</v>
      </c>
      <c r="CE621" s="27" t="s">
        <v>8</v>
      </c>
      <c r="CF621" s="27" t="s">
        <v>7</v>
      </c>
      <c r="CO621" s="27" t="s">
        <v>8</v>
      </c>
      <c r="CP621" s="27" t="s">
        <v>7</v>
      </c>
      <c r="CQ621" s="27" t="s">
        <v>8</v>
      </c>
      <c r="CR621" s="27" t="s">
        <v>7</v>
      </c>
      <c r="CS621" s="27" t="s">
        <v>8</v>
      </c>
      <c r="CT621" s="27" t="s">
        <v>7</v>
      </c>
      <c r="CU621" s="27" t="s">
        <v>8</v>
      </c>
      <c r="DZ621" s="27" t="s">
        <v>7</v>
      </c>
      <c r="EA621" s="27" t="s">
        <v>8</v>
      </c>
      <c r="EB621" s="27" t="s">
        <v>7</v>
      </c>
      <c r="EC621" s="27" t="s">
        <v>8</v>
      </c>
      <c r="ED621" s="27" t="s">
        <v>7</v>
      </c>
      <c r="EE621" s="27" t="s">
        <v>8</v>
      </c>
      <c r="EJ621" s="27" t="s">
        <v>7</v>
      </c>
      <c r="EK621" s="27" t="s">
        <v>8</v>
      </c>
      <c r="EL621" s="27" t="s">
        <v>7</v>
      </c>
      <c r="EM621" s="27" t="s">
        <v>8</v>
      </c>
      <c r="EN621" s="27" t="s">
        <v>7</v>
      </c>
      <c r="FM621" s="27" t="s">
        <v>8</v>
      </c>
      <c r="FN621" s="27" t="s">
        <v>7</v>
      </c>
      <c r="FO621" s="27" t="s">
        <v>8</v>
      </c>
      <c r="FP621" s="27" t="s">
        <v>7</v>
      </c>
      <c r="FQ621" s="27" t="s">
        <v>8</v>
      </c>
      <c r="FZ621" s="27" t="s">
        <v>7</v>
      </c>
      <c r="GA621" s="27" t="s">
        <v>8</v>
      </c>
      <c r="GH621" s="27" t="s">
        <v>7</v>
      </c>
      <c r="GI621" s="27" t="s">
        <v>8</v>
      </c>
      <c r="GJ621" s="27" t="s">
        <v>7</v>
      </c>
      <c r="GO621" s="27" t="s">
        <v>8</v>
      </c>
      <c r="GP621" s="27" t="s">
        <v>7</v>
      </c>
      <c r="GQ621" s="27" t="s">
        <v>8</v>
      </c>
      <c r="GR621" s="27" t="s">
        <v>7</v>
      </c>
      <c r="GS621" s="27" t="s">
        <v>8</v>
      </c>
      <c r="GT621" s="27" t="s">
        <v>7</v>
      </c>
      <c r="GU621" s="27" t="s">
        <v>8</v>
      </c>
      <c r="GV621" s="27" t="s">
        <v>7</v>
      </c>
      <c r="GW621" s="27" t="s">
        <v>8</v>
      </c>
      <c r="GX621" s="27" t="s">
        <v>7</v>
      </c>
      <c r="GY621" s="27" t="s">
        <v>8</v>
      </c>
      <c r="HB621" s="27" t="s">
        <v>7</v>
      </c>
      <c r="HC621" s="27" t="s">
        <v>8</v>
      </c>
      <c r="HE621" s="27" t="s">
        <v>8</v>
      </c>
      <c r="HR621" s="27" t="s">
        <v>7</v>
      </c>
      <c r="HT621" s="27" t="s">
        <v>7</v>
      </c>
      <c r="HV621" s="27" t="s">
        <v>7</v>
      </c>
    </row>
    <row r="622" spans="1:230" x14ac:dyDescent="0.25">
      <c r="A622" s="7">
        <v>0.50002761335929735</v>
      </c>
      <c r="B622"/>
      <c r="C622"/>
      <c r="D622"/>
      <c r="E622"/>
      <c r="H622" s="27" t="s">
        <v>7</v>
      </c>
      <c r="BY622" s="27" t="s">
        <v>8</v>
      </c>
      <c r="BZ622" s="27" t="s">
        <v>7</v>
      </c>
      <c r="CA622" s="27" t="s">
        <v>8</v>
      </c>
      <c r="CB622" s="27" t="s">
        <v>7</v>
      </c>
      <c r="CC622" s="27" t="s">
        <v>8</v>
      </c>
      <c r="CD622" s="27" t="s">
        <v>7</v>
      </c>
      <c r="CE622" s="27" t="s">
        <v>8</v>
      </c>
      <c r="CF622" s="27" t="s">
        <v>7</v>
      </c>
      <c r="CO622" s="27" t="s">
        <v>8</v>
      </c>
      <c r="CP622" s="27" t="s">
        <v>7</v>
      </c>
      <c r="CQ622" s="27" t="s">
        <v>8</v>
      </c>
      <c r="CR622" s="27" t="s">
        <v>7</v>
      </c>
      <c r="CS622" s="27" t="s">
        <v>8</v>
      </c>
      <c r="CT622" s="27" t="s">
        <v>7</v>
      </c>
      <c r="CU622" s="27" t="s">
        <v>8</v>
      </c>
      <c r="DZ622" s="27" t="s">
        <v>7</v>
      </c>
      <c r="EA622" s="27" t="s">
        <v>8</v>
      </c>
      <c r="EB622" s="27" t="s">
        <v>7</v>
      </c>
      <c r="EC622" s="27" t="s">
        <v>8</v>
      </c>
      <c r="ED622" s="27" t="s">
        <v>7</v>
      </c>
      <c r="EE622" s="27" t="s">
        <v>8</v>
      </c>
      <c r="EJ622" s="27" t="s">
        <v>7</v>
      </c>
      <c r="EK622" s="27" t="s">
        <v>8</v>
      </c>
      <c r="EL622" s="27" t="s">
        <v>7</v>
      </c>
      <c r="EM622" s="27" t="s">
        <v>8</v>
      </c>
      <c r="EN622" s="27" t="s">
        <v>7</v>
      </c>
      <c r="FI622" s="27" t="s">
        <v>8</v>
      </c>
      <c r="FM622" s="27" t="s">
        <v>8</v>
      </c>
      <c r="FN622" s="27" t="s">
        <v>7</v>
      </c>
      <c r="FO622" s="27" t="s">
        <v>8</v>
      </c>
      <c r="FP622" s="27" t="s">
        <v>7</v>
      </c>
      <c r="FQ622" s="27" t="s">
        <v>8</v>
      </c>
      <c r="FZ622" s="27" t="s">
        <v>7</v>
      </c>
      <c r="GA622" s="27" t="s">
        <v>8</v>
      </c>
      <c r="GH622" s="27" t="s">
        <v>7</v>
      </c>
      <c r="GI622" s="27" t="s">
        <v>8</v>
      </c>
      <c r="GJ622" s="27" t="s">
        <v>7</v>
      </c>
      <c r="GO622" s="27" t="s">
        <v>8</v>
      </c>
      <c r="GP622" s="27" t="s">
        <v>7</v>
      </c>
      <c r="GQ622" s="27" t="s">
        <v>8</v>
      </c>
      <c r="GR622" s="27" t="s">
        <v>7</v>
      </c>
      <c r="GT622" s="27" t="s">
        <v>7</v>
      </c>
      <c r="GU622" s="27" t="s">
        <v>8</v>
      </c>
      <c r="GV622" s="27" t="s">
        <v>7</v>
      </c>
      <c r="GW622" s="27" t="s">
        <v>8</v>
      </c>
      <c r="GX622" s="27" t="s">
        <v>7</v>
      </c>
      <c r="GY622" s="27" t="s">
        <v>8</v>
      </c>
      <c r="HB622" s="27" t="s">
        <v>7</v>
      </c>
      <c r="HC622" s="27" t="s">
        <v>8</v>
      </c>
      <c r="HD622" s="27" t="s">
        <v>7</v>
      </c>
      <c r="HE622" s="27" t="s">
        <v>8</v>
      </c>
      <c r="HV622" s="27" t="s">
        <v>7</v>
      </c>
    </row>
    <row r="623" spans="1:230" x14ac:dyDescent="0.25">
      <c r="A623" s="7">
        <v>0.49022315035225228</v>
      </c>
      <c r="B623"/>
      <c r="C623"/>
      <c r="D623"/>
      <c r="E623"/>
      <c r="H623" s="27" t="s">
        <v>7</v>
      </c>
      <c r="BY623" s="27" t="s">
        <v>8</v>
      </c>
      <c r="BZ623" s="27" t="s">
        <v>7</v>
      </c>
      <c r="CA623" s="27" t="s">
        <v>8</v>
      </c>
      <c r="CB623" s="27" t="s">
        <v>7</v>
      </c>
      <c r="CC623" s="27" t="s">
        <v>8</v>
      </c>
      <c r="CD623" s="27" t="s">
        <v>7</v>
      </c>
      <c r="CE623" s="27" t="s">
        <v>8</v>
      </c>
      <c r="CF623" s="27" t="s">
        <v>7</v>
      </c>
      <c r="CM623" s="27" t="s">
        <v>8</v>
      </c>
      <c r="CO623" s="27" t="s">
        <v>8</v>
      </c>
      <c r="CP623" s="27" t="s">
        <v>7</v>
      </c>
      <c r="CQ623" s="27" t="s">
        <v>8</v>
      </c>
      <c r="CR623" s="27" t="s">
        <v>7</v>
      </c>
      <c r="CT623" s="27" t="s">
        <v>7</v>
      </c>
      <c r="CU623" s="27" t="s">
        <v>8</v>
      </c>
      <c r="DZ623" s="27" t="s">
        <v>7</v>
      </c>
      <c r="EA623" s="27" t="s">
        <v>8</v>
      </c>
      <c r="EB623" s="27" t="s">
        <v>7</v>
      </c>
      <c r="EC623" s="27" t="s">
        <v>8</v>
      </c>
      <c r="ED623" s="27" t="s">
        <v>7</v>
      </c>
      <c r="EE623" s="27" t="s">
        <v>8</v>
      </c>
      <c r="EJ623" s="27" t="s">
        <v>7</v>
      </c>
      <c r="EK623" s="27" t="s">
        <v>8</v>
      </c>
      <c r="EL623" s="27" t="s">
        <v>7</v>
      </c>
      <c r="EM623" s="27" t="s">
        <v>8</v>
      </c>
      <c r="EN623" s="27" t="s">
        <v>7</v>
      </c>
      <c r="FI623" s="27" t="s">
        <v>8</v>
      </c>
      <c r="FJ623" s="27" t="s">
        <v>7</v>
      </c>
      <c r="FM623" s="27" t="s">
        <v>8</v>
      </c>
      <c r="FN623" s="27" t="s">
        <v>7</v>
      </c>
      <c r="FP623" s="27" t="s">
        <v>7</v>
      </c>
      <c r="FZ623" s="27" t="s">
        <v>7</v>
      </c>
      <c r="GA623" s="27" t="s">
        <v>8</v>
      </c>
      <c r="GH623" s="27" t="s">
        <v>7</v>
      </c>
      <c r="GI623" s="27" t="s">
        <v>8</v>
      </c>
      <c r="GJ623" s="27" t="s">
        <v>7</v>
      </c>
      <c r="GO623" s="27" t="s">
        <v>8</v>
      </c>
      <c r="GP623" s="27" t="s">
        <v>7</v>
      </c>
      <c r="GQ623" s="27" t="s">
        <v>8</v>
      </c>
      <c r="GT623" s="27" t="s">
        <v>7</v>
      </c>
      <c r="GU623" s="27" t="s">
        <v>8</v>
      </c>
      <c r="GV623" s="27" t="s">
        <v>7</v>
      </c>
      <c r="GX623" s="27" t="s">
        <v>7</v>
      </c>
      <c r="GY623" s="27" t="s">
        <v>8</v>
      </c>
      <c r="HB623" s="27" t="s">
        <v>7</v>
      </c>
      <c r="HC623" s="27" t="s">
        <v>8</v>
      </c>
      <c r="HD623" s="27" t="s">
        <v>7</v>
      </c>
      <c r="HE623" s="27" t="s">
        <v>8</v>
      </c>
      <c r="HV623" s="27" t="s">
        <v>7</v>
      </c>
    </row>
    <row r="624" spans="1:230" x14ac:dyDescent="0.25">
      <c r="A624" s="7">
        <v>0.48061093171789437</v>
      </c>
      <c r="B624"/>
      <c r="C624"/>
      <c r="D624"/>
      <c r="E624"/>
      <c r="H624" s="27" t="s">
        <v>7</v>
      </c>
      <c r="BY624" s="27" t="s">
        <v>8</v>
      </c>
      <c r="BZ624" s="27" t="s">
        <v>7</v>
      </c>
      <c r="CA624" s="27" t="s">
        <v>8</v>
      </c>
      <c r="CB624" s="27" t="s">
        <v>7</v>
      </c>
      <c r="CC624" s="27" t="s">
        <v>8</v>
      </c>
      <c r="CD624" s="27" t="s">
        <v>7</v>
      </c>
      <c r="CE624" s="27" t="s">
        <v>8</v>
      </c>
      <c r="CF624" s="27" t="s">
        <v>7</v>
      </c>
      <c r="CM624" s="27" t="s">
        <v>8</v>
      </c>
      <c r="CN624" s="27" t="s">
        <v>7</v>
      </c>
      <c r="CO624" s="27" t="s">
        <v>8</v>
      </c>
      <c r="CP624" s="27" t="s">
        <v>7</v>
      </c>
      <c r="CQ624" s="27" t="s">
        <v>8</v>
      </c>
      <c r="CT624" s="27" t="s">
        <v>7</v>
      </c>
      <c r="CU624" s="27" t="s">
        <v>8</v>
      </c>
      <c r="DZ624" s="27" t="s">
        <v>7</v>
      </c>
      <c r="EA624" s="27" t="s">
        <v>8</v>
      </c>
      <c r="EB624" s="27" t="s">
        <v>7</v>
      </c>
      <c r="EC624" s="27" t="s">
        <v>8</v>
      </c>
      <c r="ED624" s="27" t="s">
        <v>7</v>
      </c>
      <c r="EE624" s="27" t="s">
        <v>8</v>
      </c>
      <c r="EJ624" s="27" t="s">
        <v>7</v>
      </c>
      <c r="EL624" s="27" t="s">
        <v>7</v>
      </c>
      <c r="EN624" s="27" t="s">
        <v>7</v>
      </c>
      <c r="FI624" s="27" t="s">
        <v>8</v>
      </c>
      <c r="FJ624" s="27" t="s">
        <v>7</v>
      </c>
      <c r="FK624" s="27" t="s">
        <v>8</v>
      </c>
      <c r="FM624" s="27" t="s">
        <v>8</v>
      </c>
      <c r="FZ624" s="27" t="s">
        <v>7</v>
      </c>
      <c r="GH624" s="27" t="s">
        <v>7</v>
      </c>
      <c r="GI624" s="27" t="s">
        <v>8</v>
      </c>
      <c r="GJ624" s="27" t="s">
        <v>7</v>
      </c>
      <c r="GK624" s="27" t="s">
        <v>8</v>
      </c>
      <c r="GO624" s="27" t="s">
        <v>8</v>
      </c>
      <c r="GP624" s="27" t="s">
        <v>7</v>
      </c>
      <c r="GT624" s="27" t="s">
        <v>7</v>
      </c>
      <c r="GU624" s="27" t="s">
        <v>8</v>
      </c>
      <c r="GX624" s="27" t="s">
        <v>7</v>
      </c>
      <c r="HB624" s="27" t="s">
        <v>7</v>
      </c>
      <c r="HC624" s="27" t="s">
        <v>8</v>
      </c>
      <c r="HD624" s="27" t="s">
        <v>7</v>
      </c>
      <c r="HE624" s="27" t="s">
        <v>8</v>
      </c>
      <c r="HV624" s="27" t="s">
        <v>7</v>
      </c>
    </row>
    <row r="625" spans="1:247" x14ac:dyDescent="0.25">
      <c r="A625" s="7">
        <v>0.47118718795871994</v>
      </c>
      <c r="B625"/>
      <c r="C625"/>
      <c r="D625"/>
      <c r="E625"/>
      <c r="H625" s="27" t="s">
        <v>7</v>
      </c>
      <c r="BY625" s="27" t="s">
        <v>8</v>
      </c>
      <c r="BZ625" s="27" t="s">
        <v>7</v>
      </c>
      <c r="CA625" s="27" t="s">
        <v>8</v>
      </c>
      <c r="CB625" s="27" t="s">
        <v>7</v>
      </c>
      <c r="CC625" s="27" t="s">
        <v>8</v>
      </c>
      <c r="CD625" s="27" t="s">
        <v>7</v>
      </c>
      <c r="CE625" s="27" t="s">
        <v>8</v>
      </c>
      <c r="CF625" s="27" t="s">
        <v>7</v>
      </c>
      <c r="CM625" s="27" t="s">
        <v>8</v>
      </c>
      <c r="CN625" s="27" t="s">
        <v>7</v>
      </c>
      <c r="CO625" s="27" t="s">
        <v>8</v>
      </c>
      <c r="CP625" s="27" t="s">
        <v>7</v>
      </c>
      <c r="CQ625" s="27" t="s">
        <v>8</v>
      </c>
      <c r="CT625" s="27" t="s">
        <v>7</v>
      </c>
      <c r="CU625" s="27" t="s">
        <v>8</v>
      </c>
      <c r="DZ625" s="27" t="s">
        <v>7</v>
      </c>
      <c r="EA625" s="27" t="s">
        <v>8</v>
      </c>
      <c r="EB625" s="27" t="s">
        <v>7</v>
      </c>
      <c r="EC625" s="27" t="s">
        <v>8</v>
      </c>
      <c r="ED625" s="27" t="s">
        <v>7</v>
      </c>
      <c r="EE625" s="27" t="s">
        <v>8</v>
      </c>
      <c r="EN625" s="27" t="s">
        <v>7</v>
      </c>
      <c r="FI625" s="27" t="s">
        <v>8</v>
      </c>
      <c r="FJ625" s="27" t="s">
        <v>7</v>
      </c>
      <c r="FK625" s="27" t="s">
        <v>8</v>
      </c>
      <c r="FL625" s="27" t="s">
        <v>7</v>
      </c>
      <c r="FM625" s="27" t="s">
        <v>8</v>
      </c>
      <c r="GH625" s="27" t="s">
        <v>7</v>
      </c>
      <c r="GI625" s="27" t="s">
        <v>8</v>
      </c>
      <c r="GJ625" s="27" t="s">
        <v>7</v>
      </c>
      <c r="GK625" s="27" t="s">
        <v>8</v>
      </c>
      <c r="GL625" s="27" t="s">
        <v>7</v>
      </c>
      <c r="GM625" s="27" t="s">
        <v>8</v>
      </c>
      <c r="GO625" s="27" t="s">
        <v>8</v>
      </c>
      <c r="GT625" s="27" t="s">
        <v>7</v>
      </c>
      <c r="GU625" s="27" t="s">
        <v>8</v>
      </c>
      <c r="HB625" s="27" t="s">
        <v>7</v>
      </c>
      <c r="HC625" s="27" t="s">
        <v>8</v>
      </c>
      <c r="HD625" s="27" t="s">
        <v>7</v>
      </c>
      <c r="HV625" s="27" t="s">
        <v>7</v>
      </c>
    </row>
    <row r="626" spans="1:247" x14ac:dyDescent="0.25">
      <c r="A626" s="7">
        <v>0.46194822348894116</v>
      </c>
      <c r="B626"/>
      <c r="C626"/>
      <c r="D626"/>
      <c r="E626"/>
      <c r="H626" s="27" t="s">
        <v>7</v>
      </c>
      <c r="BY626" s="27" t="s">
        <v>8</v>
      </c>
      <c r="BZ626" s="27" t="s">
        <v>7</v>
      </c>
      <c r="CA626" s="27" t="s">
        <v>8</v>
      </c>
      <c r="CB626" s="27" t="s">
        <v>7</v>
      </c>
      <c r="CC626" s="27" t="s">
        <v>8</v>
      </c>
      <c r="CD626" s="27" t="s">
        <v>7</v>
      </c>
      <c r="CE626" s="27" t="s">
        <v>8</v>
      </c>
      <c r="CF626" s="27" t="s">
        <v>7</v>
      </c>
      <c r="CM626" s="27" t="s">
        <v>8</v>
      </c>
      <c r="CN626" s="27" t="s">
        <v>7</v>
      </c>
      <c r="CO626" s="27" t="s">
        <v>8</v>
      </c>
      <c r="CP626" s="27" t="s">
        <v>7</v>
      </c>
      <c r="CQ626" s="27" t="s">
        <v>8</v>
      </c>
      <c r="CT626" s="27" t="s">
        <v>7</v>
      </c>
      <c r="CU626" s="27" t="s">
        <v>8</v>
      </c>
      <c r="DZ626" s="27" t="s">
        <v>7</v>
      </c>
      <c r="EA626" s="27" t="s">
        <v>8</v>
      </c>
      <c r="EB626" s="27" t="s">
        <v>7</v>
      </c>
      <c r="EC626" s="27" t="s">
        <v>8</v>
      </c>
      <c r="ED626" s="27" t="s">
        <v>7</v>
      </c>
      <c r="EE626" s="27" t="s">
        <v>8</v>
      </c>
      <c r="EN626" s="27" t="s">
        <v>7</v>
      </c>
      <c r="FI626" s="27" t="s">
        <v>8</v>
      </c>
      <c r="FJ626" s="27" t="s">
        <v>7</v>
      </c>
      <c r="FK626" s="27" t="s">
        <v>8</v>
      </c>
      <c r="FL626" s="27" t="s">
        <v>7</v>
      </c>
      <c r="FM626" s="27" t="s">
        <v>8</v>
      </c>
      <c r="GH626" s="27" t="s">
        <v>7</v>
      </c>
      <c r="GI626" s="27" t="s">
        <v>8</v>
      </c>
      <c r="GJ626" s="27" t="s">
        <v>7</v>
      </c>
      <c r="GK626" s="27" t="s">
        <v>8</v>
      </c>
      <c r="GL626" s="27" t="s">
        <v>7</v>
      </c>
      <c r="GM626" s="27" t="s">
        <v>8</v>
      </c>
      <c r="GN626" s="27" t="s">
        <v>7</v>
      </c>
      <c r="GO626" s="27" t="s">
        <v>8</v>
      </c>
      <c r="GT626" s="27" t="s">
        <v>7</v>
      </c>
      <c r="GU626" s="27" t="s">
        <v>8</v>
      </c>
      <c r="HB626" s="27" t="s">
        <v>7</v>
      </c>
      <c r="HV626" s="27" t="s">
        <v>7</v>
      </c>
    </row>
    <row r="627" spans="1:247" x14ac:dyDescent="0.25">
      <c r="A627" s="7">
        <v>0.45289041518523643</v>
      </c>
      <c r="B627"/>
      <c r="C627"/>
      <c r="D627"/>
      <c r="E627"/>
      <c r="H627" s="27" t="s">
        <v>7</v>
      </c>
      <c r="BY627" s="27" t="s">
        <v>8</v>
      </c>
      <c r="BZ627" s="27" t="s">
        <v>7</v>
      </c>
      <c r="CA627" s="27" t="s">
        <v>8</v>
      </c>
      <c r="CB627" s="27" t="s">
        <v>7</v>
      </c>
      <c r="CC627" s="27" t="s">
        <v>8</v>
      </c>
      <c r="CD627" s="27" t="s">
        <v>7</v>
      </c>
      <c r="CF627" s="27" t="s">
        <v>7</v>
      </c>
      <c r="CM627" s="27" t="s">
        <v>8</v>
      </c>
      <c r="CN627" s="27" t="s">
        <v>7</v>
      </c>
      <c r="CO627" s="27" t="s">
        <v>8</v>
      </c>
      <c r="CP627" s="27" t="s">
        <v>7</v>
      </c>
      <c r="CQ627" s="27" t="s">
        <v>8</v>
      </c>
      <c r="CT627" s="27" t="s">
        <v>7</v>
      </c>
      <c r="CU627" s="27" t="s">
        <v>8</v>
      </c>
      <c r="DZ627" s="27" t="s">
        <v>7</v>
      </c>
      <c r="EA627" s="27" t="s">
        <v>8</v>
      </c>
      <c r="EB627" s="27" t="s">
        <v>7</v>
      </c>
      <c r="EC627" s="27" t="s">
        <v>8</v>
      </c>
      <c r="ED627" s="27" t="s">
        <v>7</v>
      </c>
      <c r="EE627" s="27" t="s">
        <v>8</v>
      </c>
      <c r="EN627" s="27" t="s">
        <v>7</v>
      </c>
      <c r="FI627" s="27" t="s">
        <v>8</v>
      </c>
      <c r="FJ627" s="27" t="s">
        <v>7</v>
      </c>
      <c r="FK627" s="27" t="s">
        <v>8</v>
      </c>
      <c r="FL627" s="27" t="s">
        <v>7</v>
      </c>
      <c r="FM627" s="27" t="s">
        <v>8</v>
      </c>
      <c r="GH627" s="27" t="s">
        <v>7</v>
      </c>
      <c r="GI627" s="27" t="s">
        <v>8</v>
      </c>
      <c r="GJ627" s="27" t="s">
        <v>7</v>
      </c>
      <c r="GK627" s="27" t="s">
        <v>8</v>
      </c>
      <c r="GL627" s="27" t="s">
        <v>7</v>
      </c>
      <c r="GM627" s="27" t="s">
        <v>8</v>
      </c>
      <c r="GN627" s="27" t="s">
        <v>7</v>
      </c>
      <c r="GO627" s="27" t="s">
        <v>8</v>
      </c>
      <c r="GT627" s="27" t="s">
        <v>7</v>
      </c>
      <c r="GU627" s="27" t="s">
        <v>8</v>
      </c>
      <c r="HV627" s="27" t="s">
        <v>7</v>
      </c>
    </row>
    <row r="628" spans="1:247" x14ac:dyDescent="0.25">
      <c r="A628" s="7">
        <v>0.44401021096591808</v>
      </c>
      <c r="B628"/>
      <c r="C628"/>
      <c r="D628"/>
      <c r="E628"/>
      <c r="H628" s="27" t="s">
        <v>7</v>
      </c>
      <c r="BY628" s="27" t="s">
        <v>8</v>
      </c>
      <c r="BZ628" s="27" t="s">
        <v>7</v>
      </c>
      <c r="CA628" s="27" t="s">
        <v>8</v>
      </c>
      <c r="CB628" s="27" t="s">
        <v>7</v>
      </c>
      <c r="CC628" s="27" t="s">
        <v>8</v>
      </c>
      <c r="CF628" s="27" t="s">
        <v>7</v>
      </c>
      <c r="CM628" s="27" t="s">
        <v>8</v>
      </c>
      <c r="CN628" s="27" t="s">
        <v>7</v>
      </c>
      <c r="CO628" s="27" t="s">
        <v>8</v>
      </c>
      <c r="CP628" s="27" t="s">
        <v>7</v>
      </c>
      <c r="CQ628" s="27" t="s">
        <v>8</v>
      </c>
      <c r="CT628" s="27" t="s">
        <v>7</v>
      </c>
      <c r="CU628" s="27" t="s">
        <v>8</v>
      </c>
      <c r="DZ628" s="27" t="s">
        <v>7</v>
      </c>
      <c r="EA628" s="27" t="s">
        <v>8</v>
      </c>
      <c r="EB628" s="27" t="s">
        <v>7</v>
      </c>
      <c r="EC628" s="27" t="s">
        <v>8</v>
      </c>
      <c r="ED628" s="27" t="s">
        <v>7</v>
      </c>
      <c r="EE628" s="27" t="s">
        <v>8</v>
      </c>
      <c r="EN628" s="27" t="s">
        <v>7</v>
      </c>
      <c r="FI628" s="27" t="s">
        <v>8</v>
      </c>
      <c r="FJ628" s="27" t="s">
        <v>7</v>
      </c>
      <c r="FL628" s="27" t="s">
        <v>7</v>
      </c>
      <c r="GH628" s="27" t="s">
        <v>7</v>
      </c>
      <c r="GI628" s="27" t="s">
        <v>8</v>
      </c>
      <c r="GJ628" s="27" t="s">
        <v>7</v>
      </c>
      <c r="GK628" s="27" t="s">
        <v>8</v>
      </c>
      <c r="GL628" s="27" t="s">
        <v>7</v>
      </c>
      <c r="GM628" s="27" t="s">
        <v>8</v>
      </c>
      <c r="GN628" s="27" t="s">
        <v>7</v>
      </c>
      <c r="GO628" s="27" t="s">
        <v>8</v>
      </c>
      <c r="GT628" s="27" t="s">
        <v>7</v>
      </c>
      <c r="GU628" s="27" t="s">
        <v>8</v>
      </c>
      <c r="HV628" s="27" t="s">
        <v>7</v>
      </c>
    </row>
    <row r="629" spans="1:247" x14ac:dyDescent="0.25">
      <c r="A629" s="7">
        <v>0.4353041283979589</v>
      </c>
      <c r="B629"/>
      <c r="C629"/>
      <c r="D629"/>
      <c r="E629"/>
      <c r="H629" s="27" t="s">
        <v>7</v>
      </c>
      <c r="BY629" s="27" t="s">
        <v>8</v>
      </c>
      <c r="BZ629" s="27" t="s">
        <v>7</v>
      </c>
      <c r="CA629" s="27" t="s">
        <v>8</v>
      </c>
      <c r="CB629" s="27" t="s">
        <v>7</v>
      </c>
      <c r="CF629" s="27" t="s">
        <v>7</v>
      </c>
      <c r="CM629" s="27" t="s">
        <v>8</v>
      </c>
      <c r="CN629" s="27" t="s">
        <v>7</v>
      </c>
      <c r="CO629" s="27" t="s">
        <v>8</v>
      </c>
      <c r="CP629" s="27" t="s">
        <v>7</v>
      </c>
      <c r="CT629" s="27" t="s">
        <v>7</v>
      </c>
      <c r="CU629" s="27" t="s">
        <v>8</v>
      </c>
      <c r="DZ629" s="27" t="s">
        <v>7</v>
      </c>
      <c r="EA629" s="27" t="s">
        <v>8</v>
      </c>
      <c r="EB629" s="27" t="s">
        <v>7</v>
      </c>
      <c r="EC629" s="27" t="s">
        <v>8</v>
      </c>
      <c r="ED629" s="27" t="s">
        <v>7</v>
      </c>
      <c r="EN629" s="27" t="s">
        <v>7</v>
      </c>
      <c r="FI629" s="27" t="s">
        <v>8</v>
      </c>
      <c r="GH629" s="27" t="s">
        <v>7</v>
      </c>
      <c r="GI629" s="27" t="s">
        <v>8</v>
      </c>
      <c r="GJ629" s="27" t="s">
        <v>7</v>
      </c>
      <c r="GL629" s="27" t="s">
        <v>7</v>
      </c>
      <c r="GM629" s="27" t="s">
        <v>8</v>
      </c>
      <c r="GN629" s="27" t="s">
        <v>7</v>
      </c>
      <c r="GO629" s="27" t="s">
        <v>8</v>
      </c>
      <c r="GT629" s="27" t="s">
        <v>7</v>
      </c>
      <c r="HV629" s="27" t="s">
        <v>7</v>
      </c>
    </row>
    <row r="630" spans="1:247" x14ac:dyDescent="0.25">
      <c r="A630" s="7">
        <v>0.4267687533313323</v>
      </c>
      <c r="B630"/>
      <c r="C630"/>
      <c r="D630"/>
      <c r="E630"/>
      <c r="H630" s="27" t="s">
        <v>7</v>
      </c>
      <c r="BW630" s="27" t="s">
        <v>8</v>
      </c>
      <c r="BY630" s="27" t="s">
        <v>8</v>
      </c>
      <c r="BZ630" s="27" t="s">
        <v>7</v>
      </c>
      <c r="CA630" s="27" t="s">
        <v>8</v>
      </c>
      <c r="CF630" s="27" t="s">
        <v>7</v>
      </c>
      <c r="CM630" s="27" t="s">
        <v>8</v>
      </c>
      <c r="CN630" s="27" t="s">
        <v>7</v>
      </c>
      <c r="CT630" s="27" t="s">
        <v>7</v>
      </c>
      <c r="CU630" s="27" t="s">
        <v>8</v>
      </c>
      <c r="DZ630" s="27" t="s">
        <v>7</v>
      </c>
      <c r="EA630" s="27" t="s">
        <v>8</v>
      </c>
      <c r="EB630" s="27" t="s">
        <v>7</v>
      </c>
      <c r="EC630" s="27" t="s">
        <v>8</v>
      </c>
      <c r="EN630" s="27" t="s">
        <v>7</v>
      </c>
      <c r="EU630" s="27" t="s">
        <v>8</v>
      </c>
      <c r="FI630" s="27" t="s">
        <v>8</v>
      </c>
      <c r="GH630" s="27" t="s">
        <v>7</v>
      </c>
      <c r="GI630" s="27" t="s">
        <v>8</v>
      </c>
      <c r="GL630" s="27" t="s">
        <v>7</v>
      </c>
      <c r="GM630" s="27" t="s">
        <v>8</v>
      </c>
      <c r="GN630" s="27" t="s">
        <v>7</v>
      </c>
      <c r="GO630" s="27" t="s">
        <v>8</v>
      </c>
      <c r="HV630" s="27" t="s">
        <v>7</v>
      </c>
      <c r="HW630" s="27" t="s">
        <v>8</v>
      </c>
    </row>
    <row r="631" spans="1:247" x14ac:dyDescent="0.25">
      <c r="A631" s="7">
        <v>0.41840073856012971</v>
      </c>
      <c r="B631"/>
      <c r="C631"/>
      <c r="D631"/>
      <c r="E631"/>
      <c r="H631" s="27" t="s">
        <v>7</v>
      </c>
      <c r="BW631" s="27" t="s">
        <v>8</v>
      </c>
      <c r="BX631" s="27" t="s">
        <v>7</v>
      </c>
      <c r="BY631" s="27" t="s">
        <v>8</v>
      </c>
      <c r="BZ631" s="27" t="s">
        <v>7</v>
      </c>
      <c r="CA631" s="27" t="s">
        <v>8</v>
      </c>
      <c r="CF631" s="27" t="s">
        <v>7</v>
      </c>
      <c r="CM631" s="27" t="s">
        <v>8</v>
      </c>
      <c r="CT631" s="27" t="s">
        <v>7</v>
      </c>
      <c r="CU631" s="27" t="s">
        <v>8</v>
      </c>
      <c r="DZ631" s="27" t="s">
        <v>7</v>
      </c>
      <c r="EA631" s="27" t="s">
        <v>8</v>
      </c>
      <c r="EB631" s="27" t="s">
        <v>7</v>
      </c>
      <c r="EC631" s="27" t="s">
        <v>8</v>
      </c>
      <c r="EN631" s="27" t="s">
        <v>7</v>
      </c>
      <c r="EU631" s="27" t="s">
        <v>8</v>
      </c>
      <c r="EV631" s="27" t="s">
        <v>7</v>
      </c>
      <c r="FG631" s="27" t="s">
        <v>8</v>
      </c>
      <c r="FI631" s="27" t="s">
        <v>8</v>
      </c>
      <c r="GH631" s="27" t="s">
        <v>7</v>
      </c>
      <c r="GL631" s="27" t="s">
        <v>7</v>
      </c>
      <c r="GN631" s="27" t="s">
        <v>7</v>
      </c>
      <c r="GO631" s="27" t="s">
        <v>8</v>
      </c>
      <c r="HV631" s="27" t="s">
        <v>7</v>
      </c>
      <c r="HW631" s="27" t="s">
        <v>8</v>
      </c>
      <c r="HX631" s="27" t="s">
        <v>7</v>
      </c>
      <c r="HY631" s="27" t="s">
        <v>8</v>
      </c>
    </row>
    <row r="632" spans="1:247" x14ac:dyDescent="0.25">
      <c r="A632" s="7">
        <v>0.41019680250993112</v>
      </c>
      <c r="B632"/>
      <c r="C632"/>
      <c r="D632"/>
      <c r="E632"/>
      <c r="H632" s="27" t="s">
        <v>7</v>
      </c>
      <c r="BW632" s="27" t="s">
        <v>8</v>
      </c>
      <c r="BX632" s="27" t="s">
        <v>7</v>
      </c>
      <c r="BY632" s="27" t="s">
        <v>8</v>
      </c>
      <c r="BZ632" s="27" t="s">
        <v>7</v>
      </c>
      <c r="CA632" s="27" t="s">
        <v>8</v>
      </c>
      <c r="CF632" s="27" t="s">
        <v>7</v>
      </c>
      <c r="CM632" s="27" t="s">
        <v>8</v>
      </c>
      <c r="CT632" s="27" t="s">
        <v>7</v>
      </c>
      <c r="CU632" s="27" t="s">
        <v>8</v>
      </c>
      <c r="DZ632" s="27" t="s">
        <v>7</v>
      </c>
      <c r="EA632" s="27" t="s">
        <v>8</v>
      </c>
      <c r="EB632" s="27" t="s">
        <v>7</v>
      </c>
      <c r="EC632" s="27" t="s">
        <v>8</v>
      </c>
      <c r="EN632" s="27" t="s">
        <v>7</v>
      </c>
      <c r="EU632" s="27" t="s">
        <v>8</v>
      </c>
      <c r="EV632" s="27" t="s">
        <v>7</v>
      </c>
      <c r="FG632" s="27" t="s">
        <v>8</v>
      </c>
      <c r="FH632" s="27" t="s">
        <v>7</v>
      </c>
      <c r="FI632" s="27" t="s">
        <v>8</v>
      </c>
      <c r="GN632" s="27" t="s">
        <v>7</v>
      </c>
      <c r="GO632" s="27" t="s">
        <v>8</v>
      </c>
      <c r="HV632" s="27" t="s">
        <v>7</v>
      </c>
      <c r="HW632" s="27" t="s">
        <v>8</v>
      </c>
      <c r="HX632" s="27" t="s">
        <v>7</v>
      </c>
      <c r="HY632" s="27" t="s">
        <v>8</v>
      </c>
      <c r="HZ632" s="27" t="s">
        <v>7</v>
      </c>
      <c r="IG632" s="27" t="s">
        <v>8</v>
      </c>
    </row>
    <row r="633" spans="1:247" x14ac:dyDescent="0.25">
      <c r="A633" s="7">
        <v>0.40215372795091286</v>
      </c>
      <c r="B633"/>
      <c r="C633"/>
      <c r="D633"/>
      <c r="E633"/>
      <c r="H633" s="27" t="s">
        <v>7</v>
      </c>
      <c r="BW633" s="27" t="s">
        <v>8</v>
      </c>
      <c r="BX633" s="27" t="s">
        <v>7</v>
      </c>
      <c r="BY633" s="27" t="s">
        <v>8</v>
      </c>
      <c r="BZ633" s="27" t="s">
        <v>7</v>
      </c>
      <c r="CF633" s="27" t="s">
        <v>7</v>
      </c>
      <c r="CK633" s="27" t="s">
        <v>8</v>
      </c>
      <c r="CM633" s="27" t="s">
        <v>8</v>
      </c>
      <c r="CT633" s="27" t="s">
        <v>7</v>
      </c>
      <c r="DZ633" s="27" t="s">
        <v>7</v>
      </c>
      <c r="EA633" s="27" t="s">
        <v>8</v>
      </c>
      <c r="EB633" s="27" t="s">
        <v>7</v>
      </c>
      <c r="EC633" s="27" t="s">
        <v>8</v>
      </c>
      <c r="EN633" s="27" t="s">
        <v>7</v>
      </c>
      <c r="EO633" s="27" t="s">
        <v>8</v>
      </c>
      <c r="ES633" s="27" t="s">
        <v>8</v>
      </c>
      <c r="EU633" s="27" t="s">
        <v>8</v>
      </c>
      <c r="EV633" s="27" t="s">
        <v>7</v>
      </c>
      <c r="FG633" s="27" t="s">
        <v>8</v>
      </c>
      <c r="FH633" s="27" t="s">
        <v>7</v>
      </c>
      <c r="FI633" s="27" t="s">
        <v>8</v>
      </c>
      <c r="GN633" s="27" t="s">
        <v>7</v>
      </c>
      <c r="HV633" s="27" t="s">
        <v>7</v>
      </c>
      <c r="HW633" s="27" t="s">
        <v>8</v>
      </c>
      <c r="HX633" s="27" t="s">
        <v>7</v>
      </c>
      <c r="HY633" s="27" t="s">
        <v>8</v>
      </c>
      <c r="HZ633" s="27" t="s">
        <v>7</v>
      </c>
      <c r="IG633" s="27" t="s">
        <v>8</v>
      </c>
      <c r="IH633" s="27" t="s">
        <v>7</v>
      </c>
      <c r="II633" s="27" t="s">
        <v>8</v>
      </c>
    </row>
    <row r="634" spans="1:247" x14ac:dyDescent="0.25">
      <c r="A634" s="7">
        <v>0.39426836073618904</v>
      </c>
      <c r="B634"/>
      <c r="C634"/>
      <c r="D634"/>
      <c r="E634"/>
      <c r="H634" s="27" t="s">
        <v>7</v>
      </c>
      <c r="BW634" s="27" t="s">
        <v>8</v>
      </c>
      <c r="BX634" s="27" t="s">
        <v>7</v>
      </c>
      <c r="BY634" s="27" t="s">
        <v>8</v>
      </c>
      <c r="CF634" s="27" t="s">
        <v>7</v>
      </c>
      <c r="CK634" s="27" t="s">
        <v>8</v>
      </c>
      <c r="CL634" s="27" t="s">
        <v>7</v>
      </c>
      <c r="CM634" s="27" t="s">
        <v>8</v>
      </c>
      <c r="DZ634" s="27" t="s">
        <v>7</v>
      </c>
      <c r="EA634" s="27" t="s">
        <v>8</v>
      </c>
      <c r="EB634" s="27" t="s">
        <v>7</v>
      </c>
      <c r="EC634" s="27" t="s">
        <v>8</v>
      </c>
      <c r="EN634" s="27" t="s">
        <v>7</v>
      </c>
      <c r="EO634" s="27" t="s">
        <v>8</v>
      </c>
      <c r="EP634" s="27" t="s">
        <v>7</v>
      </c>
      <c r="EQ634" s="27" t="s">
        <v>8</v>
      </c>
      <c r="ES634" s="27" t="s">
        <v>8</v>
      </c>
      <c r="ET634" s="27" t="s">
        <v>7</v>
      </c>
      <c r="EU634" s="27" t="s">
        <v>8</v>
      </c>
      <c r="EV634" s="27" t="s">
        <v>7</v>
      </c>
      <c r="EW634" s="27" t="s">
        <v>8</v>
      </c>
      <c r="FG634" s="27" t="s">
        <v>8</v>
      </c>
      <c r="FH634" s="27" t="s">
        <v>7</v>
      </c>
      <c r="FI634" s="27" t="s">
        <v>8</v>
      </c>
      <c r="HV634" s="27" t="s">
        <v>7</v>
      </c>
      <c r="HW634" s="27" t="s">
        <v>8</v>
      </c>
      <c r="HX634" s="27" t="s">
        <v>7</v>
      </c>
      <c r="HY634" s="27" t="s">
        <v>8</v>
      </c>
      <c r="HZ634" s="27" t="s">
        <v>7</v>
      </c>
      <c r="IG634" s="27" t="s">
        <v>8</v>
      </c>
      <c r="IH634" s="27" t="s">
        <v>7</v>
      </c>
      <c r="II634" s="27" t="s">
        <v>8</v>
      </c>
      <c r="IJ634" s="27" t="s">
        <v>7</v>
      </c>
    </row>
    <row r="635" spans="1:247" x14ac:dyDescent="0.25">
      <c r="A635" s="7">
        <v>0.38653760856489122</v>
      </c>
      <c r="B635"/>
      <c r="C635"/>
      <c r="D635"/>
      <c r="E635"/>
      <c r="H635" s="27" t="s">
        <v>7</v>
      </c>
      <c r="BW635" s="27" t="s">
        <v>8</v>
      </c>
      <c r="BX635" s="27" t="s">
        <v>7</v>
      </c>
      <c r="BY635" s="27" t="s">
        <v>8</v>
      </c>
      <c r="CF635" s="27" t="s">
        <v>7</v>
      </c>
      <c r="CG635" s="27" t="s">
        <v>8</v>
      </c>
      <c r="CK635" s="27" t="s">
        <v>8</v>
      </c>
      <c r="CL635" s="27" t="s">
        <v>7</v>
      </c>
      <c r="CM635" s="27" t="s">
        <v>8</v>
      </c>
      <c r="DZ635" s="27" t="s">
        <v>7</v>
      </c>
      <c r="EA635" s="27" t="s">
        <v>8</v>
      </c>
      <c r="EB635" s="27" t="s">
        <v>7</v>
      </c>
      <c r="EC635" s="27" t="s">
        <v>8</v>
      </c>
      <c r="EN635" s="27" t="s">
        <v>7</v>
      </c>
      <c r="EO635" s="27" t="s">
        <v>8</v>
      </c>
      <c r="EP635" s="27" t="s">
        <v>7</v>
      </c>
      <c r="EQ635" s="27" t="s">
        <v>8</v>
      </c>
      <c r="ER635" s="27" t="s">
        <v>7</v>
      </c>
      <c r="ES635" s="27" t="s">
        <v>8</v>
      </c>
      <c r="ET635" s="27" t="s">
        <v>7</v>
      </c>
      <c r="EU635" s="27" t="s">
        <v>8</v>
      </c>
      <c r="EV635" s="27" t="s">
        <v>7</v>
      </c>
      <c r="EW635" s="27" t="s">
        <v>8</v>
      </c>
      <c r="EX635" s="27" t="s">
        <v>7</v>
      </c>
      <c r="FG635" s="27" t="s">
        <v>8</v>
      </c>
      <c r="FH635" s="27" t="s">
        <v>7</v>
      </c>
      <c r="FI635" s="27" t="s">
        <v>8</v>
      </c>
      <c r="HV635" s="27" t="s">
        <v>7</v>
      </c>
      <c r="HW635" s="27" t="s">
        <v>8</v>
      </c>
      <c r="HX635" s="27" t="s">
        <v>7</v>
      </c>
      <c r="HY635" s="27" t="s">
        <v>8</v>
      </c>
      <c r="HZ635" s="27" t="s">
        <v>7</v>
      </c>
      <c r="IA635" s="27" t="s">
        <v>8</v>
      </c>
      <c r="IG635" s="27" t="s">
        <v>8</v>
      </c>
      <c r="IH635" s="27" t="s">
        <v>7</v>
      </c>
      <c r="II635" s="27" t="s">
        <v>8</v>
      </c>
      <c r="IJ635" s="27" t="s">
        <v>7</v>
      </c>
    </row>
    <row r="636" spans="1:247" x14ac:dyDescent="0.25">
      <c r="A636" s="7">
        <v>0.37895843976950117</v>
      </c>
      <c r="B636"/>
      <c r="C636"/>
      <c r="D636"/>
      <c r="E636"/>
      <c r="H636" s="27" t="s">
        <v>7</v>
      </c>
      <c r="BW636" s="27" t="s">
        <v>8</v>
      </c>
      <c r="BX636" s="27" t="s">
        <v>7</v>
      </c>
      <c r="BY636" s="27" t="s">
        <v>8</v>
      </c>
      <c r="CF636" s="27" t="s">
        <v>7</v>
      </c>
      <c r="CG636" s="27" t="s">
        <v>8</v>
      </c>
      <c r="CH636" s="27" t="s">
        <v>7</v>
      </c>
      <c r="CK636" s="27" t="s">
        <v>8</v>
      </c>
      <c r="CL636" s="27" t="s">
        <v>7</v>
      </c>
      <c r="CM636" s="27" t="s">
        <v>8</v>
      </c>
      <c r="DZ636" s="27" t="s">
        <v>7</v>
      </c>
      <c r="EA636" s="27" t="s">
        <v>8</v>
      </c>
      <c r="EB636" s="27" t="s">
        <v>7</v>
      </c>
      <c r="EC636" s="27" t="s">
        <v>8</v>
      </c>
      <c r="EN636" s="27" t="s">
        <v>7</v>
      </c>
      <c r="EO636" s="27" t="s">
        <v>8</v>
      </c>
      <c r="EP636" s="27" t="s">
        <v>7</v>
      </c>
      <c r="EQ636" s="27" t="s">
        <v>8</v>
      </c>
      <c r="ER636" s="27" t="s">
        <v>7</v>
      </c>
      <c r="ES636" s="27" t="s">
        <v>8</v>
      </c>
      <c r="ET636" s="27" t="s">
        <v>7</v>
      </c>
      <c r="EU636" s="27" t="s">
        <v>8</v>
      </c>
      <c r="EV636" s="27" t="s">
        <v>7</v>
      </c>
      <c r="EW636" s="27" t="s">
        <v>8</v>
      </c>
      <c r="EX636" s="27" t="s">
        <v>7</v>
      </c>
      <c r="FE636" s="27" t="s">
        <v>8</v>
      </c>
      <c r="FG636" s="27" t="s">
        <v>8</v>
      </c>
      <c r="FH636" s="27" t="s">
        <v>7</v>
      </c>
      <c r="FI636" s="27" t="s">
        <v>8</v>
      </c>
      <c r="HV636" s="27" t="s">
        <v>7</v>
      </c>
      <c r="HW636" s="27" t="s">
        <v>8</v>
      </c>
      <c r="HX636" s="27" t="s">
        <v>7</v>
      </c>
      <c r="HY636" s="27" t="s">
        <v>8</v>
      </c>
      <c r="HZ636" s="27" t="s">
        <v>7</v>
      </c>
      <c r="IA636" s="27" t="s">
        <v>8</v>
      </c>
      <c r="IB636" s="27" t="s">
        <v>7</v>
      </c>
      <c r="IG636" s="27" t="s">
        <v>8</v>
      </c>
      <c r="IH636" s="27" t="s">
        <v>7</v>
      </c>
      <c r="II636" s="27" t="s">
        <v>8</v>
      </c>
      <c r="IJ636" s="27" t="s">
        <v>7</v>
      </c>
    </row>
    <row r="637" spans="1:247" x14ac:dyDescent="0.25">
      <c r="A637" s="7">
        <v>0.37152788212696197</v>
      </c>
      <c r="B637"/>
      <c r="C637"/>
      <c r="D637"/>
      <c r="E637"/>
      <c r="H637" s="27" t="s">
        <v>7</v>
      </c>
      <c r="BW637" s="27" t="s">
        <v>8</v>
      </c>
      <c r="BX637" s="27" t="s">
        <v>7</v>
      </c>
      <c r="BY637" s="27" t="s">
        <v>8</v>
      </c>
      <c r="CF637" s="27" t="s">
        <v>7</v>
      </c>
      <c r="CG637" s="27" t="s">
        <v>8</v>
      </c>
      <c r="CH637" s="27" t="s">
        <v>7</v>
      </c>
      <c r="CK637" s="27" t="s">
        <v>8</v>
      </c>
      <c r="CL637" s="27" t="s">
        <v>7</v>
      </c>
      <c r="CM637" s="27" t="s">
        <v>8</v>
      </c>
      <c r="DZ637" s="27" t="s">
        <v>7</v>
      </c>
      <c r="EA637" s="27" t="s">
        <v>8</v>
      </c>
      <c r="EB637" s="27" t="s">
        <v>7</v>
      </c>
      <c r="EC637" s="27" t="s">
        <v>8</v>
      </c>
      <c r="EN637" s="27" t="s">
        <v>7</v>
      </c>
      <c r="EO637" s="27" t="s">
        <v>8</v>
      </c>
      <c r="EP637" s="27" t="s">
        <v>7</v>
      </c>
      <c r="EQ637" s="27" t="s">
        <v>8</v>
      </c>
      <c r="ER637" s="27" t="s">
        <v>7</v>
      </c>
      <c r="ES637" s="27" t="s">
        <v>8</v>
      </c>
      <c r="ET637" s="27" t="s">
        <v>7</v>
      </c>
      <c r="EU637" s="27" t="s">
        <v>8</v>
      </c>
      <c r="EV637" s="27" t="s">
        <v>7</v>
      </c>
      <c r="EW637" s="27" t="s">
        <v>8</v>
      </c>
      <c r="EX637" s="27" t="s">
        <v>7</v>
      </c>
      <c r="FE637" s="27" t="s">
        <v>8</v>
      </c>
      <c r="FF637" s="27" t="s">
        <v>7</v>
      </c>
      <c r="FG637" s="27" t="s">
        <v>8</v>
      </c>
      <c r="FH637" s="27" t="s">
        <v>7</v>
      </c>
      <c r="HV637" s="27" t="s">
        <v>7</v>
      </c>
      <c r="HW637" s="27" t="s">
        <v>8</v>
      </c>
      <c r="HX637" s="27" t="s">
        <v>7</v>
      </c>
      <c r="HY637" s="27" t="s">
        <v>8</v>
      </c>
      <c r="HZ637" s="27" t="s">
        <v>7</v>
      </c>
      <c r="IA637" s="27" t="s">
        <v>8</v>
      </c>
      <c r="IB637" s="27" t="s">
        <v>7</v>
      </c>
      <c r="IC637" s="27" t="s">
        <v>8</v>
      </c>
      <c r="IG637" s="27" t="s">
        <v>8</v>
      </c>
      <c r="IH637" s="27" t="s">
        <v>7</v>
      </c>
      <c r="II637" s="27" t="s">
        <v>8</v>
      </c>
      <c r="IJ637" s="27" t="s">
        <v>7</v>
      </c>
    </row>
    <row r="638" spans="1:247" x14ac:dyDescent="0.25">
      <c r="A638" s="7">
        <v>0.36424302169310002</v>
      </c>
      <c r="B638"/>
      <c r="C638"/>
      <c r="D638"/>
      <c r="E638"/>
      <c r="H638" s="27" t="s">
        <v>7</v>
      </c>
      <c r="BW638" s="27" t="s">
        <v>8</v>
      </c>
      <c r="BX638" s="27" t="s">
        <v>7</v>
      </c>
      <c r="BY638" s="27" t="s">
        <v>8</v>
      </c>
      <c r="CF638" s="27" t="s">
        <v>7</v>
      </c>
      <c r="CG638" s="27" t="s">
        <v>8</v>
      </c>
      <c r="CH638" s="27" t="s">
        <v>7</v>
      </c>
      <c r="CK638" s="27" t="s">
        <v>8</v>
      </c>
      <c r="CL638" s="27" t="s">
        <v>7</v>
      </c>
      <c r="CM638" s="27" t="s">
        <v>8</v>
      </c>
      <c r="DZ638" s="27" t="s">
        <v>7</v>
      </c>
      <c r="EA638" s="27" t="s">
        <v>8</v>
      </c>
      <c r="EB638" s="27" t="s">
        <v>7</v>
      </c>
      <c r="EC638" s="27" t="s">
        <v>8</v>
      </c>
      <c r="EN638" s="27" t="s">
        <v>7</v>
      </c>
      <c r="EO638" s="27" t="s">
        <v>8</v>
      </c>
      <c r="EP638" s="27" t="s">
        <v>7</v>
      </c>
      <c r="EQ638" s="27" t="s">
        <v>8</v>
      </c>
      <c r="ER638" s="27" t="s">
        <v>7</v>
      </c>
      <c r="ES638" s="27" t="s">
        <v>8</v>
      </c>
      <c r="ET638" s="27" t="s">
        <v>7</v>
      </c>
      <c r="EV638" s="27" t="s">
        <v>7</v>
      </c>
      <c r="EW638" s="27" t="s">
        <v>8</v>
      </c>
      <c r="EX638" s="27" t="s">
        <v>7</v>
      </c>
      <c r="EY638" s="27" t="s">
        <v>8</v>
      </c>
      <c r="FE638" s="27" t="s">
        <v>8</v>
      </c>
      <c r="FF638" s="27" t="s">
        <v>7</v>
      </c>
      <c r="FG638" s="27" t="s">
        <v>8</v>
      </c>
      <c r="HV638" s="27" t="s">
        <v>7</v>
      </c>
      <c r="HW638" s="27" t="s">
        <v>8</v>
      </c>
      <c r="HX638" s="27" t="s">
        <v>7</v>
      </c>
      <c r="HY638" s="27" t="s">
        <v>8</v>
      </c>
      <c r="HZ638" s="27" t="s">
        <v>7</v>
      </c>
      <c r="IA638" s="27" t="s">
        <v>8</v>
      </c>
      <c r="IB638" s="27" t="s">
        <v>7</v>
      </c>
      <c r="IC638" s="27" t="s">
        <v>8</v>
      </c>
      <c r="ID638" s="27" t="s">
        <v>7</v>
      </c>
      <c r="IG638" s="27" t="s">
        <v>8</v>
      </c>
      <c r="IH638" s="27" t="s">
        <v>7</v>
      </c>
      <c r="II638" s="27" t="s">
        <v>8</v>
      </c>
      <c r="IJ638" s="27" t="s">
        <v>7</v>
      </c>
    </row>
    <row r="639" spans="1:247" x14ac:dyDescent="0.25">
      <c r="A639" s="7">
        <v>0.35710100165990194</v>
      </c>
      <c r="B639"/>
      <c r="C639"/>
      <c r="D639"/>
      <c r="E639"/>
      <c r="H639" s="27" t="s">
        <v>7</v>
      </c>
      <c r="BU639" s="27" t="s">
        <v>8</v>
      </c>
      <c r="BW639" s="27" t="s">
        <v>8</v>
      </c>
      <c r="BX639" s="27" t="s">
        <v>7</v>
      </c>
      <c r="BY639" s="27" t="s">
        <v>8</v>
      </c>
      <c r="CF639" s="27" t="s">
        <v>7</v>
      </c>
      <c r="CG639" s="27" t="s">
        <v>8</v>
      </c>
      <c r="CH639" s="27" t="s">
        <v>7</v>
      </c>
      <c r="CK639" s="27" t="s">
        <v>8</v>
      </c>
      <c r="CL639" s="27" t="s">
        <v>7</v>
      </c>
      <c r="CM639" s="27" t="s">
        <v>8</v>
      </c>
      <c r="DZ639" s="27" t="s">
        <v>7</v>
      </c>
      <c r="EA639" s="27" t="s">
        <v>8</v>
      </c>
      <c r="EB639" s="27" t="s">
        <v>7</v>
      </c>
      <c r="EC639" s="27" t="s">
        <v>8</v>
      </c>
      <c r="EN639" s="27" t="s">
        <v>7</v>
      </c>
      <c r="EO639" s="27" t="s">
        <v>8</v>
      </c>
      <c r="EP639" s="27" t="s">
        <v>7</v>
      </c>
      <c r="EQ639" s="27" t="s">
        <v>8</v>
      </c>
      <c r="ER639" s="27" t="s">
        <v>7</v>
      </c>
      <c r="ES639" s="27" t="s">
        <v>8</v>
      </c>
      <c r="EV639" s="27" t="s">
        <v>7</v>
      </c>
      <c r="EX639" s="27" t="s">
        <v>7</v>
      </c>
      <c r="EY639" s="27" t="s">
        <v>8</v>
      </c>
      <c r="EZ639" s="27" t="s">
        <v>7</v>
      </c>
      <c r="FC639" s="27" t="s">
        <v>8</v>
      </c>
      <c r="FE639" s="27" t="s">
        <v>8</v>
      </c>
      <c r="FF639" s="27" t="s">
        <v>7</v>
      </c>
      <c r="HV639" s="27" t="s">
        <v>7</v>
      </c>
      <c r="HW639" s="27" t="s">
        <v>8</v>
      </c>
      <c r="HX639" s="27" t="s">
        <v>7</v>
      </c>
      <c r="HY639" s="27" t="s">
        <v>8</v>
      </c>
      <c r="HZ639" s="27" t="s">
        <v>7</v>
      </c>
      <c r="IB639" s="27" t="s">
        <v>7</v>
      </c>
      <c r="IC639" s="27" t="s">
        <v>8</v>
      </c>
      <c r="ID639" s="27" t="s">
        <v>7</v>
      </c>
      <c r="IE639" s="27" t="s">
        <v>8</v>
      </c>
      <c r="IG639" s="27" t="s">
        <v>8</v>
      </c>
      <c r="IH639" s="27" t="s">
        <v>7</v>
      </c>
      <c r="II639" s="27" t="s">
        <v>8</v>
      </c>
      <c r="IJ639" s="27" t="s">
        <v>7</v>
      </c>
    </row>
    <row r="640" spans="1:247" x14ac:dyDescent="0.25">
      <c r="A640" s="7">
        <v>0.35009902123519804</v>
      </c>
      <c r="B640"/>
      <c r="C640"/>
      <c r="D640"/>
      <c r="E640"/>
      <c r="H640" s="27" t="s">
        <v>7</v>
      </c>
      <c r="BU640" s="27" t="s">
        <v>8</v>
      </c>
      <c r="BV640" s="27" t="s">
        <v>7</v>
      </c>
      <c r="BW640" s="27" t="s">
        <v>8</v>
      </c>
      <c r="BX640" s="27" t="s">
        <v>7</v>
      </c>
      <c r="BY640" s="27" t="s">
        <v>8</v>
      </c>
      <c r="CF640" s="27" t="s">
        <v>7</v>
      </c>
      <c r="CG640" s="27" t="s">
        <v>8</v>
      </c>
      <c r="CH640" s="27" t="s">
        <v>7</v>
      </c>
      <c r="CI640" s="27" t="s">
        <v>8</v>
      </c>
      <c r="CK640" s="27" t="s">
        <v>8</v>
      </c>
      <c r="CL640" s="27" t="s">
        <v>7</v>
      </c>
      <c r="CM640" s="27" t="s">
        <v>8</v>
      </c>
      <c r="DZ640" s="27" t="s">
        <v>7</v>
      </c>
      <c r="EA640" s="27" t="s">
        <v>8</v>
      </c>
      <c r="EB640" s="27" t="s">
        <v>7</v>
      </c>
      <c r="EC640" s="27" t="s">
        <v>8</v>
      </c>
      <c r="EN640" s="27" t="s">
        <v>7</v>
      </c>
      <c r="EO640" s="27" t="s">
        <v>8</v>
      </c>
      <c r="EP640" s="27" t="s">
        <v>7</v>
      </c>
      <c r="EQ640" s="27" t="s">
        <v>8</v>
      </c>
      <c r="ER640" s="27" t="s">
        <v>7</v>
      </c>
      <c r="ES640" s="27" t="s">
        <v>8</v>
      </c>
      <c r="EX640" s="27" t="s">
        <v>7</v>
      </c>
      <c r="EY640" s="27" t="s">
        <v>8</v>
      </c>
      <c r="EZ640" s="27" t="s">
        <v>7</v>
      </c>
      <c r="FA640" s="27" t="s">
        <v>8</v>
      </c>
      <c r="FC640" s="27" t="s">
        <v>8</v>
      </c>
      <c r="FD640" s="27" t="s">
        <v>7</v>
      </c>
      <c r="FE640" s="27" t="s">
        <v>8</v>
      </c>
      <c r="HV640" s="27" t="s">
        <v>7</v>
      </c>
      <c r="HW640" s="27" t="s">
        <v>8</v>
      </c>
      <c r="HX640" s="27" t="s">
        <v>7</v>
      </c>
      <c r="IB640" s="27" t="s">
        <v>7</v>
      </c>
      <c r="IC640" s="27" t="s">
        <v>8</v>
      </c>
      <c r="ID640" s="27" t="s">
        <v>7</v>
      </c>
      <c r="IE640" s="27" t="s">
        <v>8</v>
      </c>
      <c r="IF640" s="27" t="s">
        <v>7</v>
      </c>
      <c r="IG640" s="27" t="s">
        <v>8</v>
      </c>
      <c r="IH640" s="27" t="s">
        <v>7</v>
      </c>
      <c r="II640" s="27" t="s">
        <v>8</v>
      </c>
      <c r="IJ640" s="27" t="s">
        <v>7</v>
      </c>
      <c r="IM640" s="27" t="s">
        <v>8</v>
      </c>
    </row>
    <row r="641" spans="1:248" x14ac:dyDescent="0.25">
      <c r="A641" s="7">
        <v>0.34323433454431179</v>
      </c>
      <c r="B641"/>
      <c r="C641"/>
      <c r="D641"/>
      <c r="E641"/>
      <c r="H641" s="27" t="s">
        <v>7</v>
      </c>
      <c r="BU641" s="27" t="s">
        <v>8</v>
      </c>
      <c r="BV641" s="27" t="s">
        <v>7</v>
      </c>
      <c r="BW641" s="27" t="s">
        <v>8</v>
      </c>
      <c r="BX641" s="27" t="s">
        <v>7</v>
      </c>
      <c r="BY641" s="27" t="s">
        <v>8</v>
      </c>
      <c r="CF641" s="27" t="s">
        <v>7</v>
      </c>
      <c r="CG641" s="27" t="s">
        <v>8</v>
      </c>
      <c r="CH641" s="27" t="s">
        <v>7</v>
      </c>
      <c r="CI641" s="27" t="s">
        <v>8</v>
      </c>
      <c r="CJ641" s="27" t="s">
        <v>7</v>
      </c>
      <c r="CK641" s="27" t="s">
        <v>8</v>
      </c>
      <c r="CL641" s="27" t="s">
        <v>7</v>
      </c>
      <c r="CM641" s="27" t="s">
        <v>8</v>
      </c>
      <c r="DZ641" s="27" t="s">
        <v>7</v>
      </c>
      <c r="EA641" s="27" t="s">
        <v>8</v>
      </c>
      <c r="EB641" s="27" t="s">
        <v>7</v>
      </c>
      <c r="EC641" s="27" t="s">
        <v>8</v>
      </c>
      <c r="EN641" s="27" t="s">
        <v>7</v>
      </c>
      <c r="EO641" s="27" t="s">
        <v>8</v>
      </c>
      <c r="EP641" s="27" t="s">
        <v>7</v>
      </c>
      <c r="EQ641" s="27" t="s">
        <v>8</v>
      </c>
      <c r="ER641" s="27" t="s">
        <v>7</v>
      </c>
      <c r="EX641" s="27" t="s">
        <v>7</v>
      </c>
      <c r="EY641" s="27" t="s">
        <v>8</v>
      </c>
      <c r="EZ641" s="27" t="s">
        <v>7</v>
      </c>
      <c r="FA641" s="27" t="s">
        <v>8</v>
      </c>
      <c r="FB641" s="27" t="s">
        <v>7</v>
      </c>
      <c r="FC641" s="27" t="s">
        <v>8</v>
      </c>
      <c r="FD641" s="27" t="s">
        <v>7</v>
      </c>
      <c r="FE641" s="27" t="s">
        <v>8</v>
      </c>
      <c r="HV641" s="27" t="s">
        <v>7</v>
      </c>
      <c r="HW641" s="27" t="s">
        <v>8</v>
      </c>
      <c r="IB641" s="27" t="s">
        <v>7</v>
      </c>
      <c r="IC641" s="27" t="s">
        <v>8</v>
      </c>
      <c r="ID641" s="27" t="s">
        <v>7</v>
      </c>
      <c r="IE641" s="27" t="s">
        <v>8</v>
      </c>
      <c r="IF641" s="27" t="s">
        <v>7</v>
      </c>
      <c r="IG641" s="27" t="s">
        <v>8</v>
      </c>
      <c r="IH641" s="27" t="s">
        <v>7</v>
      </c>
      <c r="IJ641" s="27" t="s">
        <v>7</v>
      </c>
      <c r="IM641" s="27" t="s">
        <v>8</v>
      </c>
      <c r="IN641" s="27" t="s">
        <v>7</v>
      </c>
    </row>
    <row r="642" spans="1:248" x14ac:dyDescent="0.25">
      <c r="A642" s="7">
        <v>0.33650424955324681</v>
      </c>
      <c r="B642"/>
      <c r="C642"/>
      <c r="D642"/>
      <c r="E642"/>
      <c r="H642" s="27" t="s">
        <v>7</v>
      </c>
      <c r="BS642" s="27" t="s">
        <v>8</v>
      </c>
      <c r="BU642" s="27" t="s">
        <v>8</v>
      </c>
      <c r="BV642" s="27" t="s">
        <v>7</v>
      </c>
      <c r="BW642" s="27" t="s">
        <v>8</v>
      </c>
      <c r="BX642" s="27" t="s">
        <v>7</v>
      </c>
      <c r="BY642" s="27" t="s">
        <v>8</v>
      </c>
      <c r="CF642" s="27" t="s">
        <v>7</v>
      </c>
      <c r="CG642" s="27" t="s">
        <v>8</v>
      </c>
      <c r="CH642" s="27" t="s">
        <v>7</v>
      </c>
      <c r="CI642" s="27" t="s">
        <v>8</v>
      </c>
      <c r="CJ642" s="27" t="s">
        <v>7</v>
      </c>
      <c r="CK642" s="27" t="s">
        <v>8</v>
      </c>
      <c r="CL642" s="27" t="s">
        <v>7</v>
      </c>
      <c r="DZ642" s="27" t="s">
        <v>7</v>
      </c>
      <c r="EA642" s="27" t="s">
        <v>8</v>
      </c>
      <c r="EB642" s="27" t="s">
        <v>7</v>
      </c>
      <c r="EC642" s="27" t="s">
        <v>8</v>
      </c>
      <c r="EN642" s="27" t="s">
        <v>7</v>
      </c>
      <c r="EO642" s="27" t="s">
        <v>8</v>
      </c>
      <c r="EP642" s="27" t="s">
        <v>7</v>
      </c>
      <c r="EQ642" s="27" t="s">
        <v>8</v>
      </c>
      <c r="EX642" s="27" t="s">
        <v>7</v>
      </c>
      <c r="EZ642" s="27" t="s">
        <v>7</v>
      </c>
      <c r="FA642" s="27" t="s">
        <v>8</v>
      </c>
      <c r="FB642" s="27" t="s">
        <v>7</v>
      </c>
      <c r="FC642" s="27" t="s">
        <v>8</v>
      </c>
      <c r="FD642" s="27" t="s">
        <v>7</v>
      </c>
      <c r="HV642" s="27" t="s">
        <v>7</v>
      </c>
      <c r="HW642" s="27" t="s">
        <v>8</v>
      </c>
      <c r="IB642" s="27" t="s">
        <v>7</v>
      </c>
      <c r="IC642" s="27" t="s">
        <v>8</v>
      </c>
      <c r="ID642" s="27" t="s">
        <v>7</v>
      </c>
      <c r="IE642" s="27" t="s">
        <v>8</v>
      </c>
      <c r="IF642" s="27" t="s">
        <v>7</v>
      </c>
      <c r="IG642" s="27" t="s">
        <v>8</v>
      </c>
      <c r="IJ642" s="27" t="s">
        <v>7</v>
      </c>
      <c r="IM642" s="27" t="s">
        <v>8</v>
      </c>
      <c r="IN642" s="27" t="s">
        <v>7</v>
      </c>
    </row>
    <row r="643" spans="1:248" x14ac:dyDescent="0.25">
      <c r="A643" s="7">
        <v>0.3299061270129871</v>
      </c>
      <c r="B643"/>
      <c r="C643"/>
      <c r="D643"/>
      <c r="E643"/>
      <c r="H643" s="27" t="s">
        <v>7</v>
      </c>
      <c r="BS643" s="27" t="s">
        <v>8</v>
      </c>
      <c r="BT643" s="27" t="s">
        <v>7</v>
      </c>
      <c r="BU643" s="27" t="s">
        <v>8</v>
      </c>
      <c r="BV643" s="27" t="s">
        <v>7</v>
      </c>
      <c r="BW643" s="27" t="s">
        <v>8</v>
      </c>
      <c r="BX643" s="27" t="s">
        <v>7</v>
      </c>
      <c r="BY643" s="27" t="s">
        <v>8</v>
      </c>
      <c r="CF643" s="27" t="s">
        <v>7</v>
      </c>
      <c r="CG643" s="27" t="s">
        <v>8</v>
      </c>
      <c r="CH643" s="27" t="s">
        <v>7</v>
      </c>
      <c r="CI643" s="27" t="s">
        <v>8</v>
      </c>
      <c r="CJ643" s="27" t="s">
        <v>7</v>
      </c>
      <c r="CK643" s="27" t="s">
        <v>8</v>
      </c>
      <c r="DZ643" s="27" t="s">
        <v>7</v>
      </c>
      <c r="EA643" s="27" t="s">
        <v>8</v>
      </c>
      <c r="EB643" s="27" t="s">
        <v>7</v>
      </c>
      <c r="EC643" s="27" t="s">
        <v>8</v>
      </c>
      <c r="EN643" s="27" t="s">
        <v>7</v>
      </c>
      <c r="EO643" s="27" t="s">
        <v>8</v>
      </c>
      <c r="EP643" s="27" t="s">
        <v>7</v>
      </c>
      <c r="EQ643" s="27" t="s">
        <v>8</v>
      </c>
      <c r="EZ643" s="27" t="s">
        <v>7</v>
      </c>
      <c r="FB643" s="27" t="s">
        <v>7</v>
      </c>
      <c r="FC643" s="27" t="s">
        <v>8</v>
      </c>
      <c r="HV643" s="27" t="s">
        <v>7</v>
      </c>
      <c r="HW643" s="27" t="s">
        <v>8</v>
      </c>
      <c r="IB643" s="27" t="s">
        <v>7</v>
      </c>
      <c r="IC643" s="27" t="s">
        <v>8</v>
      </c>
      <c r="ID643" s="27" t="s">
        <v>7</v>
      </c>
      <c r="IF643" s="27" t="s">
        <v>7</v>
      </c>
      <c r="IG643" s="27" t="s">
        <v>8</v>
      </c>
      <c r="IJ643" s="27" t="s">
        <v>7</v>
      </c>
      <c r="IK643" s="27" t="s">
        <v>8</v>
      </c>
      <c r="IM643" s="27" t="s">
        <v>8</v>
      </c>
      <c r="IN643" s="27" t="s">
        <v>7</v>
      </c>
    </row>
    <row r="644" spans="1:248" x14ac:dyDescent="0.25">
      <c r="A644" s="7">
        <v>0.32343737942449713</v>
      </c>
      <c r="B644"/>
      <c r="C644"/>
      <c r="D644"/>
      <c r="E644"/>
      <c r="H644" s="27" t="s">
        <v>7</v>
      </c>
      <c r="BS644" s="27" t="s">
        <v>8</v>
      </c>
      <c r="BT644" s="27" t="s">
        <v>7</v>
      </c>
      <c r="BU644" s="27" t="s">
        <v>8</v>
      </c>
      <c r="BV644" s="27" t="s">
        <v>7</v>
      </c>
      <c r="BW644" s="27" t="s">
        <v>8</v>
      </c>
      <c r="BX644" s="27" t="s">
        <v>7</v>
      </c>
      <c r="BY644" s="27" t="s">
        <v>8</v>
      </c>
      <c r="CF644" s="27" t="s">
        <v>7</v>
      </c>
      <c r="CG644" s="27" t="s">
        <v>8</v>
      </c>
      <c r="CH644" s="27" t="s">
        <v>7</v>
      </c>
      <c r="CI644" s="27" t="s">
        <v>8</v>
      </c>
      <c r="CJ644" s="27" t="s">
        <v>7</v>
      </c>
      <c r="CK644" s="27" t="s">
        <v>8</v>
      </c>
      <c r="DZ644" s="27" t="s">
        <v>7</v>
      </c>
      <c r="EA644" s="27" t="s">
        <v>8</v>
      </c>
      <c r="EB644" s="27" t="s">
        <v>7</v>
      </c>
      <c r="EN644" s="27" t="s">
        <v>7</v>
      </c>
      <c r="EO644" s="27" t="s">
        <v>8</v>
      </c>
      <c r="EP644" s="27" t="s">
        <v>7</v>
      </c>
      <c r="FB644" s="18" t="s">
        <v>7</v>
      </c>
      <c r="FC644" s="27" t="s">
        <v>8</v>
      </c>
      <c r="HV644" s="27" t="s">
        <v>7</v>
      </c>
      <c r="HW644" s="27" t="s">
        <v>8</v>
      </c>
      <c r="IB644" s="27" t="s">
        <v>7</v>
      </c>
      <c r="IF644" s="27" t="s">
        <v>7</v>
      </c>
      <c r="IG644" s="27" t="s">
        <v>8</v>
      </c>
      <c r="IJ644" s="27" t="s">
        <v>7</v>
      </c>
      <c r="IK644" s="27" t="s">
        <v>8</v>
      </c>
      <c r="IL644" s="27" t="s">
        <v>7</v>
      </c>
      <c r="IM644" s="27" t="s">
        <v>8</v>
      </c>
      <c r="IN644" s="27" t="s">
        <v>7</v>
      </c>
    </row>
    <row r="645" spans="1:248" x14ac:dyDescent="0.25">
      <c r="A645" s="7">
        <v>0.31709547002401678</v>
      </c>
      <c r="B645"/>
      <c r="C645"/>
      <c r="D645"/>
      <c r="E645"/>
      <c r="H645" s="27" t="s">
        <v>7</v>
      </c>
      <c r="BS645" s="27" t="s">
        <v>8</v>
      </c>
      <c r="BT645" s="27" t="s">
        <v>7</v>
      </c>
      <c r="BU645" s="27" t="s">
        <v>8</v>
      </c>
      <c r="BV645" s="27" t="s">
        <v>7</v>
      </c>
      <c r="BW645" s="27" t="s">
        <v>8</v>
      </c>
      <c r="BX645" s="27" t="s">
        <v>7</v>
      </c>
      <c r="BY645" s="27" t="s">
        <v>8</v>
      </c>
      <c r="CF645" s="27" t="s">
        <v>7</v>
      </c>
      <c r="CG645" s="27" t="s">
        <v>8</v>
      </c>
      <c r="CH645" s="27" t="s">
        <v>7</v>
      </c>
      <c r="CI645" s="27" t="s">
        <v>8</v>
      </c>
      <c r="CJ645" s="27" t="s">
        <v>7</v>
      </c>
      <c r="CK645" s="27" t="s">
        <v>8</v>
      </c>
      <c r="DZ645" s="27" t="s">
        <v>7</v>
      </c>
      <c r="EN645" s="27" t="s">
        <v>7</v>
      </c>
      <c r="EO645" s="27" t="s">
        <v>8</v>
      </c>
      <c r="FB645" s="27" t="s">
        <v>7</v>
      </c>
      <c r="FC645" s="27" t="s">
        <v>8</v>
      </c>
      <c r="HV645" s="27" t="s">
        <v>7</v>
      </c>
      <c r="HW645" s="27" t="s">
        <v>8</v>
      </c>
      <c r="IF645" s="27" t="s">
        <v>7</v>
      </c>
      <c r="IJ645" s="27" t="s">
        <v>7</v>
      </c>
      <c r="IK645" s="27" t="s">
        <v>8</v>
      </c>
      <c r="IL645" s="27" t="s">
        <v>7</v>
      </c>
      <c r="IM645" s="27" t="s">
        <v>8</v>
      </c>
      <c r="IN645" s="27" t="s">
        <v>7</v>
      </c>
    </row>
    <row r="646" spans="1:248" x14ac:dyDescent="0.25">
      <c r="A646" s="7">
        <v>0.31087791178825175</v>
      </c>
      <c r="B646"/>
      <c r="C646"/>
      <c r="D646"/>
      <c r="E646"/>
      <c r="H646" s="27" t="s">
        <v>7</v>
      </c>
      <c r="BS646" s="27" t="s">
        <v>8</v>
      </c>
      <c r="BT646" s="27" t="s">
        <v>7</v>
      </c>
      <c r="BU646" s="27" t="s">
        <v>8</v>
      </c>
      <c r="BV646" s="27" t="s">
        <v>7</v>
      </c>
      <c r="BW646" s="27" t="s">
        <v>8</v>
      </c>
      <c r="BX646" s="27" t="s">
        <v>7</v>
      </c>
      <c r="BY646" s="27" t="s">
        <v>8</v>
      </c>
      <c r="CF646" s="27" t="s">
        <v>7</v>
      </c>
      <c r="CG646" s="27" t="s">
        <v>8</v>
      </c>
      <c r="CH646" s="27" t="s">
        <v>7</v>
      </c>
      <c r="CI646" s="27" t="s">
        <v>8</v>
      </c>
      <c r="CJ646" s="27" t="s">
        <v>7</v>
      </c>
      <c r="CK646" s="27" t="s">
        <v>8</v>
      </c>
      <c r="EN646" s="27" t="s">
        <v>7</v>
      </c>
      <c r="EO646" s="27" t="s">
        <v>8</v>
      </c>
      <c r="FB646" s="27" t="s">
        <v>7</v>
      </c>
      <c r="FC646" s="27" t="s">
        <v>8</v>
      </c>
      <c r="HV646" s="27" t="s">
        <v>7</v>
      </c>
      <c r="HW646" s="27" t="s">
        <v>8</v>
      </c>
      <c r="IJ646" s="27" t="s">
        <v>7</v>
      </c>
      <c r="IL646" s="27" t="s">
        <v>7</v>
      </c>
      <c r="IM646" s="27" t="s">
        <v>8</v>
      </c>
      <c r="IN646" s="27" t="s">
        <v>7</v>
      </c>
    </row>
    <row r="647" spans="1:248" x14ac:dyDescent="0.25">
      <c r="A647" s="7">
        <v>0.30478226645907036</v>
      </c>
      <c r="B647"/>
      <c r="C647"/>
      <c r="D647"/>
      <c r="E647"/>
      <c r="H647" s="27" t="s">
        <v>7</v>
      </c>
      <c r="I647" s="27" t="s">
        <v>8</v>
      </c>
      <c r="BS647" s="27" t="s">
        <v>8</v>
      </c>
      <c r="BT647" s="27" t="s">
        <v>7</v>
      </c>
      <c r="BU647" s="27" t="s">
        <v>8</v>
      </c>
      <c r="BV647" s="27" t="s">
        <v>7</v>
      </c>
      <c r="BW647" s="27" t="s">
        <v>8</v>
      </c>
      <c r="BX647" s="27" t="s">
        <v>7</v>
      </c>
      <c r="BY647" s="27" t="s">
        <v>8</v>
      </c>
      <c r="CF647" s="27" t="s">
        <v>7</v>
      </c>
      <c r="CG647" s="27" t="s">
        <v>8</v>
      </c>
      <c r="CH647" s="27" t="s">
        <v>7</v>
      </c>
      <c r="CI647" s="27" t="s">
        <v>8</v>
      </c>
      <c r="CJ647" s="27" t="s">
        <v>7</v>
      </c>
      <c r="CK647" s="27" t="s">
        <v>8</v>
      </c>
      <c r="EN647" s="27" t="s">
        <v>7</v>
      </c>
      <c r="FB647" s="27" t="s">
        <v>7</v>
      </c>
      <c r="FC647" s="27" t="s">
        <v>8</v>
      </c>
      <c r="HV647" s="27" t="s">
        <v>7</v>
      </c>
      <c r="IL647" s="27" t="s">
        <v>7</v>
      </c>
      <c r="IM647" s="27" t="s">
        <v>8</v>
      </c>
      <c r="IN647" s="27" t="s">
        <v>7</v>
      </c>
    </row>
    <row r="648" spans="1:248" x14ac:dyDescent="0.25">
      <c r="A648" s="7">
        <v>0.29880614358732388</v>
      </c>
      <c r="B648"/>
      <c r="C648"/>
      <c r="D648"/>
      <c r="E648"/>
      <c r="H648" s="27" t="s">
        <v>7</v>
      </c>
      <c r="I648" s="27" t="s">
        <v>8</v>
      </c>
      <c r="J648" s="27" t="s">
        <v>7</v>
      </c>
      <c r="K648" s="27" t="s">
        <v>8</v>
      </c>
      <c r="BS648" s="27" t="s">
        <v>8</v>
      </c>
      <c r="BT648" s="27" t="s">
        <v>7</v>
      </c>
      <c r="BU648" s="27" t="s">
        <v>8</v>
      </c>
      <c r="BV648" s="27" t="s">
        <v>7</v>
      </c>
      <c r="BX648" s="27" t="s">
        <v>7</v>
      </c>
      <c r="BY648" s="27" t="s">
        <v>8</v>
      </c>
      <c r="CF648" s="27" t="s">
        <v>7</v>
      </c>
      <c r="CG648" s="27" t="s">
        <v>8</v>
      </c>
      <c r="CH648" s="27" t="s">
        <v>7</v>
      </c>
      <c r="CI648" s="27" t="s">
        <v>8</v>
      </c>
      <c r="CJ648" s="27" t="s">
        <v>7</v>
      </c>
      <c r="CK648" s="27" t="s">
        <v>8</v>
      </c>
      <c r="FB648" s="27" t="s">
        <v>7</v>
      </c>
      <c r="FC648" s="27" t="s">
        <v>8</v>
      </c>
      <c r="IL648" s="27" t="s">
        <v>7</v>
      </c>
      <c r="IN648" s="27" t="s">
        <v>7</v>
      </c>
    </row>
    <row r="649" spans="1:248" x14ac:dyDescent="0.25">
      <c r="A649" s="7">
        <v>0.2929471995954156</v>
      </c>
      <c r="B649"/>
      <c r="C649"/>
      <c r="D649"/>
      <c r="E649"/>
      <c r="H649" s="27" t="s">
        <v>7</v>
      </c>
      <c r="I649" s="27" t="s">
        <v>8</v>
      </c>
      <c r="J649" s="27" t="s">
        <v>7</v>
      </c>
      <c r="K649" s="27" t="s">
        <v>8</v>
      </c>
      <c r="L649" s="27" t="s">
        <v>7</v>
      </c>
      <c r="BS649" s="27" t="s">
        <v>8</v>
      </c>
      <c r="BT649" s="27" t="s">
        <v>7</v>
      </c>
      <c r="BU649" s="27" t="s">
        <v>8</v>
      </c>
      <c r="BX649" s="27" t="s">
        <v>7</v>
      </c>
      <c r="CF649" s="27" t="s">
        <v>7</v>
      </c>
      <c r="CG649" s="27" t="s">
        <v>8</v>
      </c>
      <c r="CH649" s="27" t="s">
        <v>7</v>
      </c>
      <c r="CJ649" s="27" t="s">
        <v>7</v>
      </c>
      <c r="CK649" s="27" t="s">
        <v>8</v>
      </c>
      <c r="FB649" s="27" t="s">
        <v>7</v>
      </c>
      <c r="IN649" s="27" t="s">
        <v>7</v>
      </c>
    </row>
    <row r="650" spans="1:248" x14ac:dyDescent="0.25">
      <c r="A650" s="7">
        <v>0.28720313685825055</v>
      </c>
      <c r="B650"/>
      <c r="C650"/>
      <c r="D650"/>
      <c r="E650"/>
      <c r="H650" s="27" t="s">
        <v>7</v>
      </c>
      <c r="I650" s="27" t="s">
        <v>8</v>
      </c>
      <c r="J650" s="27" t="s">
        <v>7</v>
      </c>
      <c r="K650" s="27" t="s">
        <v>8</v>
      </c>
      <c r="L650" s="27" t="s">
        <v>7</v>
      </c>
      <c r="BS650" s="27" t="s">
        <v>8</v>
      </c>
      <c r="BT650" s="27" t="s">
        <v>7</v>
      </c>
      <c r="BU650" s="27" t="s">
        <v>8</v>
      </c>
      <c r="CF650" s="27" t="s">
        <v>7</v>
      </c>
      <c r="CG650" s="27" t="s">
        <v>8</v>
      </c>
      <c r="CJ650" s="27" t="s">
        <v>7</v>
      </c>
      <c r="CK650" s="27" t="s">
        <v>8</v>
      </c>
      <c r="IN650" s="27" t="s">
        <v>7</v>
      </c>
    </row>
    <row r="651" spans="1:248" x14ac:dyDescent="0.25">
      <c r="A651" s="7">
        <v>0.28157170280220645</v>
      </c>
      <c r="B651"/>
      <c r="C651"/>
      <c r="D651"/>
      <c r="E651"/>
      <c r="H651" s="27" t="s">
        <v>7</v>
      </c>
      <c r="I651" s="27" t="s">
        <v>8</v>
      </c>
      <c r="J651" s="27" t="s">
        <v>7</v>
      </c>
      <c r="K651" s="27" t="s">
        <v>8</v>
      </c>
      <c r="L651" s="27" t="s">
        <v>7</v>
      </c>
      <c r="BS651" s="27" t="s">
        <v>8</v>
      </c>
      <c r="BT651" s="27" t="s">
        <v>7</v>
      </c>
      <c r="BU651" s="27" t="s">
        <v>8</v>
      </c>
      <c r="CF651" s="27" t="s">
        <v>7</v>
      </c>
      <c r="CJ651" s="27" t="s">
        <v>7</v>
      </c>
      <c r="CK651" s="27" t="s">
        <v>8</v>
      </c>
      <c r="IN651" s="27" t="s">
        <v>7</v>
      </c>
    </row>
    <row r="652" spans="1:248" x14ac:dyDescent="0.25">
      <c r="A652" s="7">
        <v>0.27605068902177105</v>
      </c>
      <c r="B652"/>
      <c r="C652"/>
      <c r="D652"/>
      <c r="E652"/>
      <c r="H652" s="27" t="s">
        <v>7</v>
      </c>
      <c r="I652" s="27" t="s">
        <v>8</v>
      </c>
      <c r="J652" s="27" t="s">
        <v>7</v>
      </c>
      <c r="K652" s="27" t="s">
        <v>8</v>
      </c>
      <c r="L652" s="27" t="s">
        <v>7</v>
      </c>
      <c r="BS652" s="27" t="s">
        <v>8</v>
      </c>
      <c r="BT652" s="27" t="s">
        <v>7</v>
      </c>
      <c r="CJ652" s="27" t="s">
        <v>7</v>
      </c>
      <c r="IN652" s="27" t="s">
        <v>7</v>
      </c>
    </row>
    <row r="653" spans="1:248" x14ac:dyDescent="0.25">
      <c r="A653" s="7">
        <v>0.27063793041350104</v>
      </c>
      <c r="B653"/>
      <c r="C653"/>
      <c r="D653"/>
      <c r="E653"/>
      <c r="H653" s="27" t="s">
        <v>7</v>
      </c>
      <c r="I653" s="27" t="s">
        <v>8</v>
      </c>
      <c r="J653" s="27" t="s">
        <v>7</v>
      </c>
      <c r="K653" s="27" t="s">
        <v>8</v>
      </c>
      <c r="L653" s="27" t="s">
        <v>7</v>
      </c>
      <c r="BS653" s="27" t="s">
        <v>8</v>
      </c>
      <c r="IN653" s="27" t="s">
        <v>7</v>
      </c>
    </row>
    <row r="654" spans="1:248" x14ac:dyDescent="0.25">
      <c r="A654" s="7">
        <v>0.26533130432696184</v>
      </c>
      <c r="B654"/>
      <c r="C654"/>
      <c r="D654"/>
      <c r="E654"/>
      <c r="H654" s="27" t="s">
        <v>7</v>
      </c>
      <c r="I654" s="27" t="s">
        <v>8</v>
      </c>
      <c r="J654" s="27" t="s">
        <v>7</v>
      </c>
      <c r="K654" s="27" t="s">
        <v>8</v>
      </c>
      <c r="L654" s="27" t="s">
        <v>7</v>
      </c>
      <c r="M654" s="27" t="s">
        <v>8</v>
      </c>
      <c r="BS654" s="27" t="s">
        <v>8</v>
      </c>
      <c r="IN654" s="27" t="s">
        <v>7</v>
      </c>
    </row>
    <row r="655" spans="1:248" x14ac:dyDescent="0.25">
      <c r="A655" s="7">
        <v>0.26012872973231554</v>
      </c>
      <c r="B655"/>
      <c r="C655"/>
      <c r="D655"/>
      <c r="E655"/>
      <c r="H655" s="27" t="s">
        <v>7</v>
      </c>
      <c r="I655" s="27" t="s">
        <v>8</v>
      </c>
      <c r="J655" s="27" t="s">
        <v>7</v>
      </c>
      <c r="K655" s="27" t="s">
        <v>8</v>
      </c>
      <c r="L655" s="27" t="s">
        <v>7</v>
      </c>
      <c r="M655" s="27" t="s">
        <v>8</v>
      </c>
      <c r="N655" s="27" t="s">
        <v>7</v>
      </c>
      <c r="BS655" s="27" t="s">
        <v>8</v>
      </c>
      <c r="IN655" s="27" t="s">
        <v>7</v>
      </c>
    </row>
    <row r="656" spans="1:248" x14ac:dyDescent="0.25">
      <c r="A656" s="7">
        <v>0.25502816640423093</v>
      </c>
      <c r="B656"/>
      <c r="C656"/>
      <c r="D656"/>
      <c r="E656"/>
      <c r="H656" s="27" t="s">
        <v>7</v>
      </c>
      <c r="I656" s="27" t="s">
        <v>8</v>
      </c>
      <c r="J656" s="27" t="s">
        <v>7</v>
      </c>
      <c r="K656" s="27" t="s">
        <v>8</v>
      </c>
      <c r="L656" s="27" t="s">
        <v>7</v>
      </c>
      <c r="M656" s="27" t="s">
        <v>8</v>
      </c>
      <c r="N656" s="27" t="s">
        <v>7</v>
      </c>
      <c r="BS656" s="27" t="s">
        <v>8</v>
      </c>
      <c r="IN656" s="27" t="s">
        <v>7</v>
      </c>
    </row>
    <row r="657" spans="1:252" x14ac:dyDescent="0.25">
      <c r="A657" s="7">
        <v>0.25002761412179503</v>
      </c>
      <c r="B657"/>
      <c r="C657"/>
      <c r="D657"/>
      <c r="E657"/>
      <c r="H657" s="27" t="s">
        <v>7</v>
      </c>
      <c r="J657" s="27" t="s">
        <v>7</v>
      </c>
      <c r="L657" s="27" t="s">
        <v>7</v>
      </c>
      <c r="M657" s="27" t="s">
        <v>8</v>
      </c>
      <c r="N657" s="27" t="s">
        <v>7</v>
      </c>
      <c r="O657" s="27" t="s">
        <v>8</v>
      </c>
      <c r="BS657" s="27" t="s">
        <v>8</v>
      </c>
      <c r="IN657" s="27" t="s">
        <v>7</v>
      </c>
    </row>
    <row r="658" spans="1:252" x14ac:dyDescent="0.25">
      <c r="A658" s="7">
        <v>0.24512511188411276</v>
      </c>
      <c r="B658"/>
      <c r="C658"/>
      <c r="D658"/>
      <c r="E658"/>
      <c r="L658" s="27" t="s">
        <v>7</v>
      </c>
      <c r="N658" s="27" t="s">
        <v>7</v>
      </c>
      <c r="O658" s="27" t="s">
        <v>8</v>
      </c>
      <c r="P658" s="27" t="s">
        <v>7</v>
      </c>
      <c r="BO658" s="27" t="s">
        <v>8</v>
      </c>
      <c r="BS658" s="27" t="s">
        <v>8</v>
      </c>
      <c r="IN658" s="27" t="s">
        <v>7</v>
      </c>
      <c r="IQ658" s="27" t="s">
        <v>8</v>
      </c>
    </row>
    <row r="659" spans="1:252" x14ac:dyDescent="0.25">
      <c r="A659" s="7">
        <v>0.24031873714128701</v>
      </c>
      <c r="B659"/>
      <c r="C659"/>
      <c r="D659"/>
      <c r="E659"/>
      <c r="N659" s="27" t="s">
        <v>7</v>
      </c>
      <c r="O659" s="27" t="s">
        <v>8</v>
      </c>
      <c r="P659" s="27" t="s">
        <v>7</v>
      </c>
      <c r="AG659" s="27" t="s">
        <v>8</v>
      </c>
      <c r="BO659" s="27" t="s">
        <v>8</v>
      </c>
      <c r="BP659" s="27" t="s">
        <v>7</v>
      </c>
      <c r="BS659" s="27" t="s">
        <v>8</v>
      </c>
      <c r="IN659" s="27" t="s">
        <v>7</v>
      </c>
      <c r="IO659" s="27" t="s">
        <v>8</v>
      </c>
      <c r="IQ659" s="27" t="s">
        <v>8</v>
      </c>
      <c r="IR659" s="27" t="s">
        <v>7</v>
      </c>
    </row>
    <row r="660" spans="1:252" x14ac:dyDescent="0.25">
      <c r="A660" s="7">
        <v>0.23560660504047748</v>
      </c>
      <c r="B660"/>
      <c r="C660"/>
      <c r="D660"/>
      <c r="E660"/>
      <c r="N660" s="27" t="s">
        <v>7</v>
      </c>
      <c r="P660" s="27" t="s">
        <v>7</v>
      </c>
      <c r="AG660" s="27" t="s">
        <v>8</v>
      </c>
      <c r="AH660" s="27" t="s">
        <v>7</v>
      </c>
      <c r="AM660" s="27" t="s">
        <v>8</v>
      </c>
      <c r="AO660" s="27" t="s">
        <v>8</v>
      </c>
      <c r="BO660" s="27" t="s">
        <v>8</v>
      </c>
      <c r="BP660" s="27" t="s">
        <v>7</v>
      </c>
      <c r="BS660" s="27" t="s">
        <v>8</v>
      </c>
      <c r="IN660" s="27" t="s">
        <v>7</v>
      </c>
      <c r="IO660" s="27" t="s">
        <v>8</v>
      </c>
      <c r="IP660" s="27" t="s">
        <v>7</v>
      </c>
      <c r="IQ660" s="27" t="s">
        <v>8</v>
      </c>
      <c r="IR660" s="27" t="s">
        <v>7</v>
      </c>
    </row>
    <row r="661" spans="1:252" x14ac:dyDescent="0.25">
      <c r="A661" s="7">
        <v>0.23098686768674265</v>
      </c>
      <c r="B661"/>
      <c r="C661"/>
      <c r="D661"/>
      <c r="E661"/>
      <c r="P661" s="27" t="s">
        <v>7</v>
      </c>
      <c r="Q661" s="27" t="s">
        <v>8</v>
      </c>
      <c r="AE661" s="27" t="s">
        <v>8</v>
      </c>
      <c r="AG661" s="27" t="s">
        <v>8</v>
      </c>
      <c r="AH661" s="27" t="s">
        <v>7</v>
      </c>
      <c r="AM661" s="27" t="s">
        <v>8</v>
      </c>
      <c r="AN661" s="27" t="s">
        <v>7</v>
      </c>
      <c r="AO661" s="27" t="s">
        <v>8</v>
      </c>
      <c r="AP661" s="27" t="s">
        <v>7</v>
      </c>
      <c r="BO661" s="27" t="s">
        <v>8</v>
      </c>
      <c r="BP661" s="27" t="s">
        <v>7</v>
      </c>
      <c r="BS661" s="27" t="s">
        <v>8</v>
      </c>
      <c r="IN661" s="27" t="s">
        <v>7</v>
      </c>
      <c r="IO661" s="27" t="s">
        <v>8</v>
      </c>
      <c r="IP661" s="27" t="s">
        <v>7</v>
      </c>
      <c r="IQ661" s="27" t="s">
        <v>8</v>
      </c>
      <c r="IR661" s="27" t="s">
        <v>7</v>
      </c>
    </row>
    <row r="662" spans="1:252" x14ac:dyDescent="0.25">
      <c r="A662" s="7">
        <v>0.22645771341837515</v>
      </c>
      <c r="B662"/>
      <c r="C662"/>
      <c r="D662"/>
      <c r="E662"/>
      <c r="P662" s="27" t="s">
        <v>7</v>
      </c>
      <c r="Q662" s="27" t="s">
        <v>8</v>
      </c>
      <c r="R662" s="27" t="s">
        <v>7</v>
      </c>
      <c r="AE662" s="27" t="s">
        <v>8</v>
      </c>
      <c r="AF662" s="27" t="s">
        <v>7</v>
      </c>
      <c r="AG662" s="27" t="s">
        <v>8</v>
      </c>
      <c r="AH662" s="27" t="s">
        <v>7</v>
      </c>
      <c r="AM662" s="27" t="s">
        <v>8</v>
      </c>
      <c r="AN662" s="27" t="s">
        <v>7</v>
      </c>
      <c r="AO662" s="27" t="s">
        <v>8</v>
      </c>
      <c r="AP662" s="27" t="s">
        <v>7</v>
      </c>
      <c r="BO662" s="27" t="s">
        <v>8</v>
      </c>
      <c r="BP662" s="27" t="s">
        <v>7</v>
      </c>
      <c r="BQ662" s="27" t="s">
        <v>8</v>
      </c>
      <c r="BS662" s="27" t="s">
        <v>8</v>
      </c>
      <c r="IN662" s="27" t="s">
        <v>7</v>
      </c>
      <c r="IO662" s="27" t="s">
        <v>8</v>
      </c>
      <c r="IP662" s="27" t="s">
        <v>7</v>
      </c>
      <c r="IQ662" s="27" t="s">
        <v>8</v>
      </c>
      <c r="IR662" s="27" t="s">
        <v>7</v>
      </c>
    </row>
    <row r="663" spans="1:252" x14ac:dyDescent="0.25">
      <c r="A663" s="7">
        <v>0.22201736609644623</v>
      </c>
      <c r="B663"/>
      <c r="C663"/>
      <c r="D663"/>
      <c r="E663"/>
      <c r="P663" s="27" t="s">
        <v>7</v>
      </c>
      <c r="Q663" s="27" t="s">
        <v>8</v>
      </c>
      <c r="R663" s="27" t="s">
        <v>7</v>
      </c>
      <c r="AE663" s="27" t="s">
        <v>8</v>
      </c>
      <c r="AF663" s="27" t="s">
        <v>7</v>
      </c>
      <c r="AG663" s="27" t="s">
        <v>8</v>
      </c>
      <c r="AH663" s="27" t="s">
        <v>7</v>
      </c>
      <c r="AM663" s="27" t="s">
        <v>8</v>
      </c>
      <c r="AN663" s="27" t="s">
        <v>7</v>
      </c>
      <c r="AO663" s="27" t="s">
        <v>8</v>
      </c>
      <c r="AP663" s="27" t="s">
        <v>7</v>
      </c>
      <c r="BO663" s="27" t="s">
        <v>8</v>
      </c>
      <c r="BP663" s="27" t="s">
        <v>7</v>
      </c>
      <c r="BQ663" s="27" t="s">
        <v>8</v>
      </c>
      <c r="BR663" s="27" t="s">
        <v>7</v>
      </c>
      <c r="BS663" s="27" t="s">
        <v>8</v>
      </c>
      <c r="IN663" s="27" t="s">
        <v>7</v>
      </c>
      <c r="IO663" s="27" t="s">
        <v>8</v>
      </c>
      <c r="IP663" s="27" t="s">
        <v>7</v>
      </c>
      <c r="IQ663" s="27" t="s">
        <v>8</v>
      </c>
    </row>
    <row r="664" spans="1:252" x14ac:dyDescent="0.25">
      <c r="A664" s="7">
        <v>0.21766408440828061</v>
      </c>
      <c r="B664"/>
      <c r="C664"/>
      <c r="D664"/>
      <c r="E664"/>
      <c r="P664" s="27" t="s">
        <v>7</v>
      </c>
      <c r="R664" s="27" t="s">
        <v>7</v>
      </c>
      <c r="AC664" s="27" t="s">
        <v>8</v>
      </c>
      <c r="AE664" s="27" t="s">
        <v>8</v>
      </c>
      <c r="AF664" s="27" t="s">
        <v>7</v>
      </c>
      <c r="AG664" s="27" t="s">
        <v>8</v>
      </c>
      <c r="AH664" s="27" t="s">
        <v>7</v>
      </c>
      <c r="AM664" s="27" t="s">
        <v>8</v>
      </c>
      <c r="AN664" s="27" t="s">
        <v>7</v>
      </c>
      <c r="AO664" s="27" t="s">
        <v>8</v>
      </c>
      <c r="AP664" s="27" t="s">
        <v>7</v>
      </c>
      <c r="AU664" s="27" t="s">
        <v>8</v>
      </c>
      <c r="BO664" s="27" t="s">
        <v>8</v>
      </c>
      <c r="BP664" s="27" t="s">
        <v>7</v>
      </c>
      <c r="BQ664" s="27" t="s">
        <v>8</v>
      </c>
      <c r="BR664" s="27" t="s">
        <v>7</v>
      </c>
      <c r="BS664" s="27" t="s">
        <v>8</v>
      </c>
      <c r="IN664" s="27" t="s">
        <v>7</v>
      </c>
      <c r="IO664" s="27" t="s">
        <v>8</v>
      </c>
      <c r="IP664" s="27" t="s">
        <v>7</v>
      </c>
      <c r="IQ664" s="27" t="s">
        <v>8</v>
      </c>
    </row>
    <row r="665" spans="1:252" x14ac:dyDescent="0.25">
      <c r="A665" s="7">
        <v>0.21339616118458882</v>
      </c>
      <c r="B665"/>
      <c r="C665"/>
      <c r="D665"/>
      <c r="E665"/>
      <c r="R665" s="27" t="s">
        <v>7</v>
      </c>
      <c r="AC665" s="27" t="s">
        <v>8</v>
      </c>
      <c r="AD665" s="27" t="s">
        <v>7</v>
      </c>
      <c r="AE665" s="27" t="s">
        <v>8</v>
      </c>
      <c r="AF665" s="27" t="s">
        <v>7</v>
      </c>
      <c r="AG665" s="27" t="s">
        <v>8</v>
      </c>
      <c r="AH665" s="27" t="s">
        <v>7</v>
      </c>
      <c r="AM665" s="27" t="s">
        <v>8</v>
      </c>
      <c r="AN665" s="27" t="s">
        <v>7</v>
      </c>
      <c r="AO665" s="27" t="s">
        <v>8</v>
      </c>
      <c r="AP665" s="27" t="s">
        <v>7</v>
      </c>
      <c r="AU665" s="27" t="s">
        <v>8</v>
      </c>
      <c r="AV665" s="27" t="s">
        <v>7</v>
      </c>
      <c r="BO665" s="27" t="s">
        <v>8</v>
      </c>
      <c r="BP665" s="27" t="s">
        <v>7</v>
      </c>
      <c r="BQ665" s="27" t="s">
        <v>8</v>
      </c>
      <c r="BR665" s="27" t="s">
        <v>7</v>
      </c>
      <c r="BS665" s="27" t="s">
        <v>8</v>
      </c>
      <c r="IN665" s="27" t="s">
        <v>7</v>
      </c>
      <c r="IO665" s="27" t="s">
        <v>8</v>
      </c>
      <c r="IP665" s="27" t="s">
        <v>7</v>
      </c>
      <c r="IQ665" s="27" t="s">
        <v>8</v>
      </c>
    </row>
    <row r="666" spans="1:252" x14ac:dyDescent="0.25">
      <c r="A666" s="7">
        <v>0.20921192272998904</v>
      </c>
      <c r="B666"/>
      <c r="C666"/>
      <c r="D666"/>
      <c r="E666"/>
      <c r="R666" s="27" t="s">
        <v>7</v>
      </c>
      <c r="AC666" s="27" t="s">
        <v>8</v>
      </c>
      <c r="AD666" s="27" t="s">
        <v>7</v>
      </c>
      <c r="AE666" s="27" t="s">
        <v>8</v>
      </c>
      <c r="AF666" s="27" t="s">
        <v>7</v>
      </c>
      <c r="AG666" s="27" t="s">
        <v>8</v>
      </c>
      <c r="AH666" s="27" t="s">
        <v>7</v>
      </c>
      <c r="AM666" s="27" t="s">
        <v>8</v>
      </c>
      <c r="AN666" s="27" t="s">
        <v>7</v>
      </c>
      <c r="AO666" s="27" t="s">
        <v>8</v>
      </c>
      <c r="AP666" s="27" t="s">
        <v>7</v>
      </c>
      <c r="AQ666" s="27" t="s">
        <v>8</v>
      </c>
      <c r="AS666" s="27" t="s">
        <v>8</v>
      </c>
      <c r="AU666" s="27" t="s">
        <v>8</v>
      </c>
      <c r="AV666" s="27" t="s">
        <v>7</v>
      </c>
      <c r="BO666" s="27" t="s">
        <v>8</v>
      </c>
      <c r="BP666" s="27" t="s">
        <v>7</v>
      </c>
      <c r="BQ666" s="27" t="s">
        <v>8</v>
      </c>
      <c r="BR666" s="27" t="s">
        <v>7</v>
      </c>
      <c r="BS666" s="27" t="s">
        <v>8</v>
      </c>
      <c r="IN666" s="27" t="s">
        <v>7</v>
      </c>
      <c r="IO666" s="27" t="s">
        <v>8</v>
      </c>
      <c r="IP666" s="27" t="s">
        <v>7</v>
      </c>
      <c r="IQ666" s="27" t="s">
        <v>8</v>
      </c>
    </row>
    <row r="667" spans="1:252" x14ac:dyDescent="0.25">
      <c r="A667" s="7">
        <v>0.20510972816665593</v>
      </c>
      <c r="B667"/>
      <c r="C667"/>
      <c r="D667"/>
      <c r="E667"/>
      <c r="R667" s="27" t="s">
        <v>7</v>
      </c>
      <c r="AC667" s="27" t="s">
        <v>8</v>
      </c>
      <c r="AD667" s="27" t="s">
        <v>7</v>
      </c>
      <c r="AE667" s="27" t="s">
        <v>8</v>
      </c>
      <c r="AF667" s="27" t="s">
        <v>7</v>
      </c>
      <c r="AG667" s="27" t="s">
        <v>8</v>
      </c>
      <c r="AH667" s="27" t="s">
        <v>7</v>
      </c>
      <c r="AM667" s="27" t="s">
        <v>8</v>
      </c>
      <c r="AN667" s="27" t="s">
        <v>7</v>
      </c>
      <c r="AO667" s="27" t="s">
        <v>8</v>
      </c>
      <c r="AP667" s="27" t="s">
        <v>7</v>
      </c>
      <c r="AQ667" s="27" t="s">
        <v>8</v>
      </c>
      <c r="AR667" s="27" t="s">
        <v>7</v>
      </c>
      <c r="AS667" s="27" t="s">
        <v>8</v>
      </c>
      <c r="AT667" s="27" t="s">
        <v>7</v>
      </c>
      <c r="AU667" s="27" t="s">
        <v>8</v>
      </c>
      <c r="AV667" s="27" t="s">
        <v>7</v>
      </c>
      <c r="BM667" s="27" t="s">
        <v>8</v>
      </c>
      <c r="BO667" s="27" t="s">
        <v>8</v>
      </c>
      <c r="BP667" s="27" t="s">
        <v>7</v>
      </c>
      <c r="BQ667" s="27" t="s">
        <v>8</v>
      </c>
      <c r="BR667" s="27" t="s">
        <v>7</v>
      </c>
      <c r="BS667" s="27" t="s">
        <v>8</v>
      </c>
      <c r="IN667" s="27" t="s">
        <v>7</v>
      </c>
      <c r="IP667" s="27" t="s">
        <v>7</v>
      </c>
    </row>
    <row r="668" spans="1:252" x14ac:dyDescent="0.25">
      <c r="A668" s="7">
        <v>0.20108796879083912</v>
      </c>
      <c r="B668"/>
      <c r="C668"/>
      <c r="D668"/>
      <c r="E668"/>
      <c r="R668" s="27" t="s">
        <v>7</v>
      </c>
      <c r="AC668" s="27" t="s">
        <v>8</v>
      </c>
      <c r="AD668" s="27" t="s">
        <v>7</v>
      </c>
      <c r="AE668" s="27" t="s">
        <v>8</v>
      </c>
      <c r="AF668" s="27" t="s">
        <v>7</v>
      </c>
      <c r="AG668" s="27" t="s">
        <v>8</v>
      </c>
      <c r="AH668" s="27" t="s">
        <v>7</v>
      </c>
      <c r="AK668" s="27" t="s">
        <v>8</v>
      </c>
      <c r="AM668" s="27" t="s">
        <v>8</v>
      </c>
      <c r="AN668" s="27" t="s">
        <v>7</v>
      </c>
      <c r="AO668" s="27" t="s">
        <v>8</v>
      </c>
      <c r="AP668" s="27" t="s">
        <v>7</v>
      </c>
      <c r="AQ668" s="27" t="s">
        <v>8</v>
      </c>
      <c r="AR668" s="27" t="s">
        <v>7</v>
      </c>
      <c r="AS668" s="27" t="s">
        <v>8</v>
      </c>
      <c r="AT668" s="27" t="s">
        <v>7</v>
      </c>
      <c r="AU668" s="27" t="s">
        <v>8</v>
      </c>
      <c r="AV668" s="27" t="s">
        <v>7</v>
      </c>
      <c r="BM668" s="27" t="s">
        <v>8</v>
      </c>
      <c r="BN668" s="27" t="s">
        <v>7</v>
      </c>
      <c r="BO668" s="27" t="s">
        <v>8</v>
      </c>
      <c r="BP668" s="27" t="s">
        <v>7</v>
      </c>
      <c r="BQ668" s="27" t="s">
        <v>8</v>
      </c>
      <c r="BR668" s="27" t="s">
        <v>7</v>
      </c>
      <c r="BS668" s="27" t="s">
        <v>8</v>
      </c>
    </row>
    <row r="669" spans="1:252" x14ac:dyDescent="0.25">
      <c r="A669" s="7">
        <v>0.19714506744199917</v>
      </c>
      <c r="B669"/>
      <c r="C669"/>
      <c r="D669"/>
      <c r="E669"/>
      <c r="R669" s="27" t="s">
        <v>7</v>
      </c>
      <c r="AC669" s="27" t="s">
        <v>8</v>
      </c>
      <c r="AD669" s="27" t="s">
        <v>7</v>
      </c>
      <c r="AE669" s="27" t="s">
        <v>8</v>
      </c>
      <c r="AF669" s="27" t="s">
        <v>7</v>
      </c>
      <c r="AG669" s="27" t="s">
        <v>8</v>
      </c>
      <c r="AH669" s="27" t="s">
        <v>7</v>
      </c>
      <c r="AK669" s="27" t="s">
        <v>8</v>
      </c>
      <c r="AL669" s="27" t="s">
        <v>7</v>
      </c>
      <c r="AM669" s="27" t="s">
        <v>8</v>
      </c>
      <c r="AN669" s="27" t="s">
        <v>7</v>
      </c>
      <c r="AO669" s="27" t="s">
        <v>8</v>
      </c>
      <c r="AP669" s="27" t="s">
        <v>7</v>
      </c>
      <c r="AQ669" s="27" t="s">
        <v>8</v>
      </c>
      <c r="AR669" s="27" t="s">
        <v>7</v>
      </c>
      <c r="AS669" s="27" t="s">
        <v>8</v>
      </c>
      <c r="AT669" s="27" t="s">
        <v>7</v>
      </c>
      <c r="AV669" s="27" t="s">
        <v>7</v>
      </c>
      <c r="BM669" s="27" t="s">
        <v>8</v>
      </c>
      <c r="BN669" s="27" t="s">
        <v>7</v>
      </c>
      <c r="BO669" s="27" t="s">
        <v>8</v>
      </c>
      <c r="BP669" s="27" t="s">
        <v>7</v>
      </c>
      <c r="BQ669" s="27" t="s">
        <v>8</v>
      </c>
      <c r="BR669" s="27" t="s">
        <v>7</v>
      </c>
    </row>
    <row r="670" spans="1:252" x14ac:dyDescent="0.25">
      <c r="A670" s="7">
        <v>0.19327947788431293</v>
      </c>
      <c r="B670"/>
      <c r="C670"/>
      <c r="D670"/>
      <c r="E670"/>
      <c r="R670" s="27" t="s">
        <v>7</v>
      </c>
      <c r="AC670" s="27" t="s">
        <v>8</v>
      </c>
      <c r="AD670" s="27" t="s">
        <v>7</v>
      </c>
      <c r="AE670" s="27" t="s">
        <v>8</v>
      </c>
      <c r="AF670" s="27" t="s">
        <v>7</v>
      </c>
      <c r="AH670" s="27" t="s">
        <v>7</v>
      </c>
      <c r="AI670" s="27" t="s">
        <v>8</v>
      </c>
      <c r="AK670" s="27" t="s">
        <v>8</v>
      </c>
      <c r="AL670" s="27" t="s">
        <v>7</v>
      </c>
      <c r="AM670" s="27" t="s">
        <v>8</v>
      </c>
      <c r="AN670" s="27" t="s">
        <v>7</v>
      </c>
      <c r="AO670" s="27" t="s">
        <v>8</v>
      </c>
      <c r="AP670" s="27" t="s">
        <v>7</v>
      </c>
      <c r="AQ670" s="27" t="s">
        <v>8</v>
      </c>
      <c r="AR670" s="27" t="s">
        <v>7</v>
      </c>
      <c r="AV670" s="27" t="s">
        <v>7</v>
      </c>
      <c r="BM670" s="27" t="s">
        <v>8</v>
      </c>
      <c r="BN670" s="27" t="s">
        <v>7</v>
      </c>
      <c r="BO670" s="27" t="s">
        <v>8</v>
      </c>
      <c r="BP670" s="27" t="s">
        <v>7</v>
      </c>
      <c r="BQ670" s="27" t="s">
        <v>8</v>
      </c>
    </row>
    <row r="671" spans="1:252" x14ac:dyDescent="0.25">
      <c r="A671" s="7">
        <v>0.18948968420030682</v>
      </c>
      <c r="B671"/>
      <c r="C671"/>
      <c r="D671"/>
      <c r="E671"/>
      <c r="R671" s="27" t="s">
        <v>7</v>
      </c>
      <c r="AC671" s="27" t="s">
        <v>8</v>
      </c>
      <c r="AD671" s="27" t="s">
        <v>7</v>
      </c>
      <c r="AE671" s="27" t="s">
        <v>8</v>
      </c>
      <c r="AH671" s="27" t="s">
        <v>7</v>
      </c>
      <c r="AI671" s="27" t="s">
        <v>8</v>
      </c>
      <c r="AJ671" s="27" t="s">
        <v>7</v>
      </c>
      <c r="AK671" s="27" t="s">
        <v>8</v>
      </c>
      <c r="AL671" s="27" t="s">
        <v>7</v>
      </c>
      <c r="AM671" s="27" t="s">
        <v>8</v>
      </c>
      <c r="AN671" s="27" t="s">
        <v>7</v>
      </c>
      <c r="AO671" s="27" t="s">
        <v>8</v>
      </c>
      <c r="AP671" s="27" t="s">
        <v>7</v>
      </c>
      <c r="AQ671" s="27" t="s">
        <v>8</v>
      </c>
      <c r="AV671" s="27" t="s">
        <v>7</v>
      </c>
      <c r="BM671" s="27" t="s">
        <v>8</v>
      </c>
      <c r="BN671" s="27" t="s">
        <v>7</v>
      </c>
      <c r="BO671" s="27" t="s">
        <v>8</v>
      </c>
      <c r="BP671" s="27" t="s">
        <v>7</v>
      </c>
      <c r="BQ671" s="27" t="s">
        <v>8</v>
      </c>
    </row>
    <row r="672" spans="1:252" x14ac:dyDescent="0.25">
      <c r="A672" s="7">
        <v>0.18577420019637925</v>
      </c>
      <c r="B672"/>
      <c r="C672"/>
      <c r="D672"/>
      <c r="E672"/>
      <c r="R672" s="27" t="s">
        <v>7</v>
      </c>
      <c r="AC672" s="27" t="s">
        <v>8</v>
      </c>
      <c r="AD672" s="27" t="s">
        <v>7</v>
      </c>
      <c r="AE672" s="27" t="s">
        <v>8</v>
      </c>
      <c r="AH672" s="27" t="s">
        <v>7</v>
      </c>
      <c r="AI672" s="27" t="s">
        <v>8</v>
      </c>
      <c r="AJ672" s="27" t="s">
        <v>7</v>
      </c>
      <c r="AK672" s="27" t="s">
        <v>8</v>
      </c>
      <c r="AL672" s="27" t="s">
        <v>7</v>
      </c>
      <c r="AM672" s="27" t="s">
        <v>8</v>
      </c>
      <c r="AN672" s="27" t="s">
        <v>7</v>
      </c>
      <c r="AP672" s="27" t="s">
        <v>7</v>
      </c>
      <c r="AQ672" s="27" t="s">
        <v>8</v>
      </c>
      <c r="AV672" s="27" t="s">
        <v>7</v>
      </c>
      <c r="BM672" s="27" t="s">
        <v>8</v>
      </c>
      <c r="BN672" s="27" t="s">
        <v>7</v>
      </c>
      <c r="BO672" s="27" t="s">
        <v>8</v>
      </c>
      <c r="BP672" s="27" t="s">
        <v>7</v>
      </c>
      <c r="BQ672" s="27" t="s">
        <v>8</v>
      </c>
    </row>
    <row r="673" spans="1:69" x14ac:dyDescent="0.25">
      <c r="A673" s="7">
        <v>0.18213156881997963</v>
      </c>
      <c r="B673"/>
      <c r="C673"/>
      <c r="D673"/>
      <c r="E673"/>
      <c r="R673" s="27" t="s">
        <v>7</v>
      </c>
      <c r="AC673" s="27" t="s">
        <v>8</v>
      </c>
      <c r="AD673" s="27" t="s">
        <v>7</v>
      </c>
      <c r="AE673" s="27" t="s">
        <v>8</v>
      </c>
      <c r="AH673" s="27" t="s">
        <v>7</v>
      </c>
      <c r="AI673" s="27" t="s">
        <v>8</v>
      </c>
      <c r="AJ673" s="27" t="s">
        <v>7</v>
      </c>
      <c r="AK673" s="27" t="s">
        <v>8</v>
      </c>
      <c r="AL673" s="27" t="s">
        <v>7</v>
      </c>
      <c r="AM673" s="27" t="s">
        <v>8</v>
      </c>
      <c r="AP673" s="27" t="s">
        <v>7</v>
      </c>
      <c r="AQ673" s="27" t="s">
        <v>8</v>
      </c>
      <c r="AV673" s="27" t="s">
        <v>7</v>
      </c>
      <c r="BM673" s="27" t="s">
        <v>8</v>
      </c>
      <c r="BN673" s="27" t="s">
        <v>7</v>
      </c>
      <c r="BO673" s="27" t="s">
        <v>8</v>
      </c>
      <c r="BP673" s="27" t="s">
        <v>7</v>
      </c>
      <c r="BQ673" s="27" t="s">
        <v>8</v>
      </c>
    </row>
    <row r="674" spans="1:69" x14ac:dyDescent="0.25">
      <c r="A674" s="7">
        <v>0.17856036158821534</v>
      </c>
      <c r="B674"/>
      <c r="C674"/>
      <c r="D674"/>
      <c r="E674"/>
      <c r="R674" s="27" t="s">
        <v>7</v>
      </c>
      <c r="AC674" s="27" t="s">
        <v>8</v>
      </c>
      <c r="AD674" s="27" t="s">
        <v>7</v>
      </c>
      <c r="AE674" s="27" t="s">
        <v>8</v>
      </c>
      <c r="AH674" s="27" t="s">
        <v>7</v>
      </c>
      <c r="AI674" s="27" t="s">
        <v>8</v>
      </c>
      <c r="AJ674" s="27" t="s">
        <v>7</v>
      </c>
      <c r="AK674" s="27" t="s">
        <v>8</v>
      </c>
      <c r="AL674" s="27" t="s">
        <v>7</v>
      </c>
      <c r="AP674" s="27" t="s">
        <v>7</v>
      </c>
      <c r="AQ674" s="27" t="s">
        <v>8</v>
      </c>
      <c r="AV674" s="27" t="s">
        <v>7</v>
      </c>
      <c r="BM674" s="27" t="s">
        <v>8</v>
      </c>
      <c r="BN674" s="27" t="s">
        <v>7</v>
      </c>
      <c r="BO674" s="27" t="s">
        <v>8</v>
      </c>
      <c r="BP674" s="27" t="s">
        <v>7</v>
      </c>
      <c r="BQ674" s="27" t="s">
        <v>8</v>
      </c>
    </row>
    <row r="675" spans="1:69" x14ac:dyDescent="0.25">
      <c r="A675" s="7">
        <v>0.17505917802766208</v>
      </c>
      <c r="B675"/>
      <c r="C675"/>
      <c r="D675"/>
      <c r="E675"/>
      <c r="R675" s="27" t="s">
        <v>7</v>
      </c>
      <c r="AA675" s="27" t="s">
        <v>8</v>
      </c>
      <c r="AC675" s="27" t="s">
        <v>8</v>
      </c>
      <c r="AD675" s="27" t="s">
        <v>7</v>
      </c>
      <c r="AH675" s="27" t="s">
        <v>7</v>
      </c>
      <c r="AI675" s="27" t="s">
        <v>8</v>
      </c>
      <c r="AJ675" s="27" t="s">
        <v>7</v>
      </c>
      <c r="AP675" s="27" t="s">
        <v>7</v>
      </c>
      <c r="AV675" s="27" t="s">
        <v>7</v>
      </c>
      <c r="BI675" s="27" t="s">
        <v>8</v>
      </c>
      <c r="BM675" s="27" t="s">
        <v>8</v>
      </c>
      <c r="BN675" s="27" t="s">
        <v>7</v>
      </c>
      <c r="BO675" s="27" t="s">
        <v>8</v>
      </c>
      <c r="BP675" s="27" t="s">
        <v>7</v>
      </c>
      <c r="BQ675" s="27" t="s">
        <v>8</v>
      </c>
    </row>
    <row r="676" spans="1:69" x14ac:dyDescent="0.25">
      <c r="A676" s="7">
        <v>0.17162664512515888</v>
      </c>
      <c r="B676"/>
      <c r="C676"/>
      <c r="D676"/>
      <c r="E676"/>
      <c r="R676" s="27" t="s">
        <v>7</v>
      </c>
      <c r="AA676" s="27" t="s">
        <v>8</v>
      </c>
      <c r="AB676" s="27" t="s">
        <v>7</v>
      </c>
      <c r="AC676" s="27" t="s">
        <v>8</v>
      </c>
      <c r="AH676" s="27" t="s">
        <v>7</v>
      </c>
      <c r="AI676" s="27" t="s">
        <v>8</v>
      </c>
      <c r="AV676" s="27" t="s">
        <v>7</v>
      </c>
      <c r="BI676" s="27" t="s">
        <v>8</v>
      </c>
      <c r="BJ676" s="27" t="s">
        <v>7</v>
      </c>
      <c r="BM676" s="27" t="s">
        <v>8</v>
      </c>
      <c r="BN676" s="27" t="s">
        <v>7</v>
      </c>
      <c r="BO676" s="27" t="s">
        <v>8</v>
      </c>
      <c r="BP676" s="27" t="s">
        <v>7</v>
      </c>
    </row>
    <row r="677" spans="1:69" x14ac:dyDescent="0.25">
      <c r="A677" s="7">
        <v>0.16826141678937145</v>
      </c>
      <c r="B677"/>
      <c r="C677"/>
      <c r="D677"/>
      <c r="E677"/>
      <c r="R677" s="27" t="s">
        <v>7</v>
      </c>
      <c r="W677" s="27" t="s">
        <v>8</v>
      </c>
      <c r="AA677" s="27" t="s">
        <v>8</v>
      </c>
      <c r="AB677" s="27" t="s">
        <v>7</v>
      </c>
      <c r="AC677" s="27" t="s">
        <v>8</v>
      </c>
      <c r="AH677" s="27" t="s">
        <v>7</v>
      </c>
      <c r="AI677" s="27" t="s">
        <v>8</v>
      </c>
      <c r="AV677" s="27" t="s">
        <v>7</v>
      </c>
      <c r="BI677" s="27" t="s">
        <v>8</v>
      </c>
      <c r="BJ677" s="27" t="s">
        <v>7</v>
      </c>
      <c r="BM677" s="27" t="s">
        <v>8</v>
      </c>
      <c r="BN677" s="27" t="s">
        <v>7</v>
      </c>
      <c r="BO677" s="27" t="s">
        <v>8</v>
      </c>
    </row>
    <row r="678" spans="1:69" x14ac:dyDescent="0.25">
      <c r="A678" s="7">
        <v>0.16496217332291319</v>
      </c>
      <c r="B678"/>
      <c r="C678"/>
      <c r="D678"/>
      <c r="E678"/>
      <c r="R678" s="27" t="s">
        <v>7</v>
      </c>
      <c r="W678" s="27" t="s">
        <v>8</v>
      </c>
      <c r="X678" s="27" t="s">
        <v>7</v>
      </c>
      <c r="AA678" s="27" t="s">
        <v>8</v>
      </c>
      <c r="AB678" s="27" t="s">
        <v>7</v>
      </c>
      <c r="AC678" s="27" t="s">
        <v>8</v>
      </c>
      <c r="AH678" s="27" t="s">
        <v>7</v>
      </c>
      <c r="AI678" s="27" t="s">
        <v>8</v>
      </c>
      <c r="AV678" s="27" t="s">
        <v>7</v>
      </c>
      <c r="BI678" s="27" t="s">
        <v>8</v>
      </c>
      <c r="BJ678" s="27" t="s">
        <v>7</v>
      </c>
      <c r="BM678" s="27" t="s">
        <v>8</v>
      </c>
      <c r="BN678" s="27" t="s">
        <v>7</v>
      </c>
      <c r="BO678" s="27" t="s">
        <v>8</v>
      </c>
    </row>
    <row r="679" spans="1:69" x14ac:dyDescent="0.25">
      <c r="A679" s="7">
        <v>0.16172762090481685</v>
      </c>
      <c r="B679"/>
      <c r="C679"/>
      <c r="D679"/>
      <c r="E679"/>
      <c r="R679" s="27" t="s">
        <v>7</v>
      </c>
      <c r="S679" s="27" t="s">
        <v>8</v>
      </c>
      <c r="W679" s="27" t="s">
        <v>8</v>
      </c>
      <c r="X679" s="27" t="s">
        <v>7</v>
      </c>
      <c r="AA679" s="27" t="s">
        <v>8</v>
      </c>
      <c r="AB679" s="27" t="s">
        <v>7</v>
      </c>
      <c r="AC679" s="27" t="s">
        <v>8</v>
      </c>
      <c r="AH679" s="27" t="s">
        <v>7</v>
      </c>
      <c r="AV679" s="27" t="s">
        <v>7</v>
      </c>
      <c r="BG679" s="27" t="s">
        <v>8</v>
      </c>
      <c r="BI679" s="27" t="s">
        <v>8</v>
      </c>
      <c r="BJ679" s="27" t="s">
        <v>7</v>
      </c>
      <c r="BK679" s="27" t="s">
        <v>8</v>
      </c>
      <c r="BM679" s="27" t="s">
        <v>8</v>
      </c>
      <c r="BN679" s="27" t="s">
        <v>7</v>
      </c>
      <c r="BO679" s="27" t="s">
        <v>8</v>
      </c>
    </row>
    <row r="680" spans="1:69" x14ac:dyDescent="0.25">
      <c r="A680" s="7">
        <v>0.15855649108315376</v>
      </c>
      <c r="B680"/>
      <c r="C680"/>
      <c r="D680"/>
      <c r="E680"/>
      <c r="R680" s="27" t="s">
        <v>7</v>
      </c>
      <c r="S680" s="27" t="s">
        <v>8</v>
      </c>
      <c r="T680" s="27" t="s">
        <v>7</v>
      </c>
      <c r="W680" s="27" t="s">
        <v>8</v>
      </c>
      <c r="X680" s="27" t="s">
        <v>7</v>
      </c>
      <c r="AA680" s="27" t="s">
        <v>8</v>
      </c>
      <c r="AB680" s="27" t="s">
        <v>7</v>
      </c>
      <c r="AC680" s="27" t="s">
        <v>8</v>
      </c>
      <c r="AV680" s="27" t="s">
        <v>7</v>
      </c>
      <c r="BG680" s="27" t="s">
        <v>8</v>
      </c>
      <c r="BH680" s="27" t="s">
        <v>7</v>
      </c>
      <c r="BI680" s="27" t="s">
        <v>8</v>
      </c>
      <c r="BJ680" s="27" t="s">
        <v>7</v>
      </c>
      <c r="BK680" s="27" t="s">
        <v>8</v>
      </c>
      <c r="BL680" s="27" t="s">
        <v>7</v>
      </c>
      <c r="BM680" s="27" t="s">
        <v>8</v>
      </c>
      <c r="BN680" s="27" t="s">
        <v>7</v>
      </c>
      <c r="BO680" s="27" t="s">
        <v>8</v>
      </c>
    </row>
    <row r="681" spans="1:69" x14ac:dyDescent="0.25">
      <c r="A681" s="7">
        <v>0.15544754027760171</v>
      </c>
      <c r="B681"/>
      <c r="C681"/>
      <c r="D681"/>
      <c r="E681"/>
      <c r="R681" s="27" t="s">
        <v>7</v>
      </c>
      <c r="S681" s="27" t="s">
        <v>8</v>
      </c>
      <c r="T681" s="27" t="s">
        <v>7</v>
      </c>
      <c r="U681" s="27" t="s">
        <v>8</v>
      </c>
      <c r="W681" s="27" t="s">
        <v>8</v>
      </c>
      <c r="X681" s="27" t="s">
        <v>7</v>
      </c>
      <c r="AA681" s="27" t="s">
        <v>8</v>
      </c>
      <c r="AB681" s="27" t="s">
        <v>7</v>
      </c>
      <c r="AC681" s="27" t="s">
        <v>8</v>
      </c>
      <c r="AV681" s="27" t="s">
        <v>7</v>
      </c>
      <c r="BG681" s="27" t="s">
        <v>8</v>
      </c>
      <c r="BH681" s="27" t="s">
        <v>7</v>
      </c>
      <c r="BI681" s="27" t="s">
        <v>8</v>
      </c>
      <c r="BJ681" s="27" t="s">
        <v>7</v>
      </c>
      <c r="BK681" s="27" t="s">
        <v>8</v>
      </c>
      <c r="BL681" s="27" t="s">
        <v>7</v>
      </c>
      <c r="BM681" s="27" t="s">
        <v>8</v>
      </c>
      <c r="BN681" s="27" t="s">
        <v>7</v>
      </c>
      <c r="BO681" s="27" t="s">
        <v>8</v>
      </c>
    </row>
    <row r="682" spans="1:69" x14ac:dyDescent="0.25">
      <c r="A682" s="7">
        <v>0.15239954929176638</v>
      </c>
      <c r="B682"/>
      <c r="C682"/>
      <c r="D682"/>
      <c r="E682"/>
      <c r="R682" s="27" t="s">
        <v>7</v>
      </c>
      <c r="S682" s="27" t="s">
        <v>8</v>
      </c>
      <c r="T682" s="27" t="s">
        <v>7</v>
      </c>
      <c r="U682" s="27" t="s">
        <v>8</v>
      </c>
      <c r="V682" s="27" t="s">
        <v>7</v>
      </c>
      <c r="W682" s="27" t="s">
        <v>8</v>
      </c>
      <c r="X682" s="27" t="s">
        <v>7</v>
      </c>
      <c r="Y682" s="27" t="s">
        <v>8</v>
      </c>
      <c r="AA682" s="27" t="s">
        <v>8</v>
      </c>
      <c r="AB682" s="27" t="s">
        <v>7</v>
      </c>
      <c r="AC682" s="27" t="s">
        <v>8</v>
      </c>
      <c r="AV682" s="27" t="s">
        <v>7</v>
      </c>
      <c r="BE682" s="27" t="s">
        <v>8</v>
      </c>
      <c r="BG682" s="27" t="s">
        <v>8</v>
      </c>
      <c r="BH682" s="27" t="s">
        <v>7</v>
      </c>
      <c r="BI682" s="27" t="s">
        <v>8</v>
      </c>
      <c r="BJ682" s="27" t="s">
        <v>7</v>
      </c>
      <c r="BK682" s="27" t="s">
        <v>8</v>
      </c>
      <c r="BL682" s="27" t="s">
        <v>7</v>
      </c>
      <c r="BM682" s="27" t="s">
        <v>8</v>
      </c>
      <c r="BN682" s="27" t="s">
        <v>7</v>
      </c>
      <c r="BO682" s="27" t="s">
        <v>8</v>
      </c>
    </row>
    <row r="683" spans="1:69" x14ac:dyDescent="0.25">
      <c r="A683" s="7">
        <v>0.14941132283506509</v>
      </c>
      <c r="B683"/>
      <c r="C683"/>
      <c r="D683"/>
      <c r="E683"/>
      <c r="R683" s="27" t="s">
        <v>7</v>
      </c>
      <c r="S683" s="27" t="s">
        <v>8</v>
      </c>
      <c r="T683" s="27" t="s">
        <v>7</v>
      </c>
      <c r="U683" s="27" t="s">
        <v>8</v>
      </c>
      <c r="V683" s="27" t="s">
        <v>7</v>
      </c>
      <c r="W683" s="27" t="s">
        <v>8</v>
      </c>
      <c r="X683" s="27" t="s">
        <v>7</v>
      </c>
      <c r="Y683" s="27" t="s">
        <v>8</v>
      </c>
      <c r="Z683" s="27" t="s">
        <v>7</v>
      </c>
      <c r="AA683" s="27" t="s">
        <v>8</v>
      </c>
      <c r="AB683" s="27" t="s">
        <v>7</v>
      </c>
      <c r="AC683" s="27" t="s">
        <v>8</v>
      </c>
      <c r="AV683" s="27" t="s">
        <v>7</v>
      </c>
      <c r="AW683" s="27" t="s">
        <v>8</v>
      </c>
      <c r="BE683" s="27" t="s">
        <v>8</v>
      </c>
      <c r="BF683" s="27" t="s">
        <v>7</v>
      </c>
      <c r="BG683" s="27" t="s">
        <v>8</v>
      </c>
      <c r="BH683" s="27" t="s">
        <v>7</v>
      </c>
      <c r="BI683" s="27" t="s">
        <v>8</v>
      </c>
      <c r="BJ683" s="27" t="s">
        <v>7</v>
      </c>
      <c r="BK683" s="27" t="s">
        <v>8</v>
      </c>
      <c r="BL683" s="27" t="s">
        <v>7</v>
      </c>
      <c r="BM683" s="27" t="s">
        <v>8</v>
      </c>
      <c r="BN683" s="27" t="s">
        <v>7</v>
      </c>
    </row>
    <row r="684" spans="1:69" x14ac:dyDescent="0.25">
      <c r="A684" s="7">
        <v>0.14648168905398537</v>
      </c>
      <c r="B684"/>
      <c r="C684"/>
      <c r="D684"/>
      <c r="E684"/>
      <c r="R684" s="27" t="s">
        <v>7</v>
      </c>
      <c r="S684" s="27" t="s">
        <v>8</v>
      </c>
      <c r="T684" s="27" t="s">
        <v>7</v>
      </c>
      <c r="V684" s="27" t="s">
        <v>7</v>
      </c>
      <c r="W684" s="27" t="s">
        <v>8</v>
      </c>
      <c r="X684" s="27" t="s">
        <v>7</v>
      </c>
      <c r="Y684" s="27" t="s">
        <v>8</v>
      </c>
      <c r="Z684" s="27" t="s">
        <v>7</v>
      </c>
      <c r="AA684" s="27" t="s">
        <v>8</v>
      </c>
      <c r="AB684" s="27" t="s">
        <v>7</v>
      </c>
      <c r="AV684" s="27" t="s">
        <v>7</v>
      </c>
      <c r="AW684" s="27" t="s">
        <v>8</v>
      </c>
      <c r="AX684" s="27" t="s">
        <v>7</v>
      </c>
      <c r="BE684" s="27" t="s">
        <v>8</v>
      </c>
      <c r="BF684" s="27" t="s">
        <v>7</v>
      </c>
      <c r="BG684" s="27" t="s">
        <v>8</v>
      </c>
      <c r="BH684" s="27" t="s">
        <v>7</v>
      </c>
      <c r="BI684" s="27" t="s">
        <v>8</v>
      </c>
      <c r="BJ684" s="27" t="s">
        <v>7</v>
      </c>
      <c r="BK684" s="27" t="s">
        <v>8</v>
      </c>
      <c r="BL684" s="27" t="s">
        <v>7</v>
      </c>
      <c r="BM684" s="27" t="s">
        <v>8</v>
      </c>
    </row>
    <row r="685" spans="1:69" x14ac:dyDescent="0.25">
      <c r="A685" s="7">
        <v>0.14360949907253467</v>
      </c>
      <c r="B685"/>
      <c r="C685"/>
      <c r="D685"/>
      <c r="E685"/>
      <c r="R685" s="27" t="s">
        <v>7</v>
      </c>
      <c r="S685" s="27" t="s">
        <v>8</v>
      </c>
      <c r="V685" s="27" t="s">
        <v>7</v>
      </c>
      <c r="W685" s="27" t="s">
        <v>8</v>
      </c>
      <c r="X685" s="27" t="s">
        <v>7</v>
      </c>
      <c r="Y685" s="27" t="s">
        <v>8</v>
      </c>
      <c r="Z685" s="27" t="s">
        <v>7</v>
      </c>
      <c r="AV685" s="27" t="s">
        <v>7</v>
      </c>
      <c r="AW685" s="27" t="s">
        <v>8</v>
      </c>
      <c r="AX685" s="27" t="s">
        <v>7</v>
      </c>
      <c r="BE685" s="27" t="s">
        <v>8</v>
      </c>
      <c r="BF685" s="27" t="s">
        <v>7</v>
      </c>
      <c r="BG685" s="27" t="s">
        <v>8</v>
      </c>
      <c r="BH685" s="27" t="s">
        <v>7</v>
      </c>
      <c r="BI685" s="27" t="s">
        <v>8</v>
      </c>
      <c r="BJ685" s="27" t="s">
        <v>7</v>
      </c>
      <c r="BK685" s="27" t="s">
        <v>8</v>
      </c>
      <c r="BL685" s="27" t="s">
        <v>7</v>
      </c>
      <c r="BM685" s="27" t="s">
        <v>8</v>
      </c>
    </row>
    <row r="686" spans="1:69" x14ac:dyDescent="0.25">
      <c r="A686" s="7">
        <v>0.14079362654170066</v>
      </c>
      <c r="B686"/>
      <c r="C686"/>
      <c r="D686"/>
      <c r="E686"/>
      <c r="R686" s="27" t="s">
        <v>7</v>
      </c>
      <c r="V686" s="27" t="s">
        <v>7</v>
      </c>
      <c r="W686" s="27" t="s">
        <v>8</v>
      </c>
      <c r="X686" s="27" t="s">
        <v>7</v>
      </c>
      <c r="Y686" s="27" t="s">
        <v>8</v>
      </c>
      <c r="AV686" s="27" t="s">
        <v>7</v>
      </c>
      <c r="AW686" s="27" t="s">
        <v>8</v>
      </c>
      <c r="AX686" s="27" t="s">
        <v>7</v>
      </c>
      <c r="AY686" s="27" t="s">
        <v>8</v>
      </c>
      <c r="BE686" s="27" t="s">
        <v>8</v>
      </c>
      <c r="BF686" s="27" t="s">
        <v>7</v>
      </c>
      <c r="BG686" s="27" t="s">
        <v>8</v>
      </c>
      <c r="BH686" s="27" t="s">
        <v>7</v>
      </c>
      <c r="BI686" s="27" t="s">
        <v>8</v>
      </c>
      <c r="BJ686" s="27" t="s">
        <v>7</v>
      </c>
      <c r="BK686" s="27" t="s">
        <v>8</v>
      </c>
      <c r="BL686" s="27" t="s">
        <v>7</v>
      </c>
    </row>
    <row r="687" spans="1:69" x14ac:dyDescent="0.25">
      <c r="A687" s="7">
        <v>0.13803296719774574</v>
      </c>
      <c r="B687"/>
      <c r="C687"/>
      <c r="D687"/>
      <c r="E687"/>
      <c r="V687" s="27" t="s">
        <v>7</v>
      </c>
      <c r="W687" s="27" t="s">
        <v>8</v>
      </c>
      <c r="X687" s="27" t="s">
        <v>7</v>
      </c>
      <c r="Y687" s="27" t="s">
        <v>8</v>
      </c>
      <c r="AV687" s="27" t="s">
        <v>7</v>
      </c>
      <c r="AW687" s="27" t="s">
        <v>8</v>
      </c>
      <c r="AX687" s="27" t="s">
        <v>7</v>
      </c>
      <c r="AY687" s="27" t="s">
        <v>8</v>
      </c>
      <c r="AZ687" s="27" t="s">
        <v>7</v>
      </c>
      <c r="BE687" s="27" t="s">
        <v>8</v>
      </c>
      <c r="BF687" s="27" t="s">
        <v>7</v>
      </c>
      <c r="BG687" s="27" t="s">
        <v>8</v>
      </c>
      <c r="BH687" s="27" t="s">
        <v>7</v>
      </c>
      <c r="BI687" s="27" t="s">
        <v>8</v>
      </c>
      <c r="BJ687" s="27" t="s">
        <v>7</v>
      </c>
      <c r="BK687" s="27" t="s">
        <v>8</v>
      </c>
    </row>
    <row r="688" spans="1:69" x14ac:dyDescent="0.25">
      <c r="A688" s="7">
        <v>0.1353264384291625</v>
      </c>
      <c r="B688"/>
      <c r="C688"/>
      <c r="D688"/>
      <c r="E688"/>
      <c r="V688" s="27" t="s">
        <v>7</v>
      </c>
      <c r="W688" s="27" t="s">
        <v>8</v>
      </c>
      <c r="X688" s="27" t="s">
        <v>7</v>
      </c>
      <c r="AV688" s="27" t="s">
        <v>7</v>
      </c>
      <c r="AW688" s="27" t="s">
        <v>8</v>
      </c>
      <c r="AX688" s="27" t="s">
        <v>7</v>
      </c>
      <c r="AY688" s="27" t="s">
        <v>8</v>
      </c>
      <c r="AZ688" s="27" t="s">
        <v>7</v>
      </c>
      <c r="BE688" s="27" t="s">
        <v>8</v>
      </c>
      <c r="BF688" s="27" t="s">
        <v>7</v>
      </c>
      <c r="BG688" s="27" t="s">
        <v>8</v>
      </c>
      <c r="BH688" s="27" t="s">
        <v>7</v>
      </c>
      <c r="BI688" s="27" t="s">
        <v>8</v>
      </c>
      <c r="BJ688" s="27" t="s">
        <v>7</v>
      </c>
    </row>
    <row r="689" spans="1:61" x14ac:dyDescent="0.25">
      <c r="A689" s="7">
        <v>0.13267297885212009</v>
      </c>
      <c r="B689"/>
      <c r="C689"/>
      <c r="D689"/>
      <c r="E689"/>
      <c r="V689" s="27" t="s">
        <v>7</v>
      </c>
      <c r="W689" s="27" t="s">
        <v>8</v>
      </c>
      <c r="AV689" s="27" t="s">
        <v>7</v>
      </c>
      <c r="AW689" s="27" t="s">
        <v>8</v>
      </c>
      <c r="AX689" s="27" t="s">
        <v>7</v>
      </c>
      <c r="AY689" s="27" t="s">
        <v>8</v>
      </c>
      <c r="AZ689" s="27" t="s">
        <v>7</v>
      </c>
      <c r="BA689" s="27" t="s">
        <v>8</v>
      </c>
      <c r="BC689" s="27" t="s">
        <v>8</v>
      </c>
      <c r="BE689" s="27" t="s">
        <v>8</v>
      </c>
      <c r="BF689" s="27" t="s">
        <v>7</v>
      </c>
      <c r="BG689" s="27" t="s">
        <v>8</v>
      </c>
      <c r="BH689" s="27" t="s">
        <v>7</v>
      </c>
      <c r="BI689" s="27" t="s">
        <v>8</v>
      </c>
    </row>
    <row r="690" spans="1:61" x14ac:dyDescent="0.25">
      <c r="A690" s="7">
        <v>0.13007154789423539</v>
      </c>
      <c r="B690"/>
      <c r="C690"/>
      <c r="D690"/>
      <c r="E690"/>
      <c r="V690" s="27" t="s">
        <v>7</v>
      </c>
      <c r="W690" s="27" t="s">
        <v>8</v>
      </c>
      <c r="AV690" s="27" t="s">
        <v>7</v>
      </c>
      <c r="AW690" s="27" t="s">
        <v>8</v>
      </c>
      <c r="AX690" s="27" t="s">
        <v>7</v>
      </c>
      <c r="AY690" s="27" t="s">
        <v>8</v>
      </c>
      <c r="AZ690" s="27" t="s">
        <v>7</v>
      </c>
      <c r="BA690" s="27" t="s">
        <v>8</v>
      </c>
      <c r="BB690" s="27" t="s">
        <v>7</v>
      </c>
      <c r="BC690" s="27" t="s">
        <v>8</v>
      </c>
      <c r="BD690" s="27" t="s">
        <v>7</v>
      </c>
      <c r="BE690" s="27" t="s">
        <v>8</v>
      </c>
      <c r="BF690" s="27" t="s">
        <v>7</v>
      </c>
      <c r="BH690" s="27" t="s">
        <v>7</v>
      </c>
      <c r="BI690" s="27" t="s">
        <v>8</v>
      </c>
    </row>
    <row r="691" spans="1:61" x14ac:dyDescent="0.25">
      <c r="A691" s="7">
        <v>0.12752112538650529</v>
      </c>
      <c r="B691"/>
      <c r="C691"/>
      <c r="D691"/>
      <c r="E691"/>
      <c r="V691" s="27" t="s">
        <v>7</v>
      </c>
      <c r="W691" s="27" t="s">
        <v>8</v>
      </c>
      <c r="AV691" s="27" t="s">
        <v>7</v>
      </c>
      <c r="AW691" s="27" t="s">
        <v>8</v>
      </c>
      <c r="AX691" s="27" t="s">
        <v>7</v>
      </c>
      <c r="AZ691" s="27" t="s">
        <v>7</v>
      </c>
      <c r="BA691" s="27" t="s">
        <v>8</v>
      </c>
      <c r="BB691" s="27" t="s">
        <v>7</v>
      </c>
      <c r="BC691" s="27" t="s">
        <v>8</v>
      </c>
      <c r="BD691" s="27" t="s">
        <v>7</v>
      </c>
      <c r="BE691" s="27" t="s">
        <v>8</v>
      </c>
      <c r="BH691" s="27" t="s">
        <v>7</v>
      </c>
    </row>
    <row r="692" spans="1:61" x14ac:dyDescent="0.25">
      <c r="A692" s="7">
        <v>0.12502071116324048</v>
      </c>
      <c r="B692"/>
      <c r="C692"/>
      <c r="D692"/>
      <c r="E692"/>
      <c r="V692" s="27" t="s">
        <v>7</v>
      </c>
      <c r="W692" s="27" t="s">
        <v>8</v>
      </c>
      <c r="AV692" s="27" t="s">
        <v>7</v>
      </c>
      <c r="AZ692" s="27" t="s">
        <v>7</v>
      </c>
      <c r="BA692" s="27" t="s">
        <v>8</v>
      </c>
      <c r="BB692" s="27" t="s">
        <v>7</v>
      </c>
      <c r="BC692" s="27" t="s">
        <v>8</v>
      </c>
      <c r="BD692" s="27" t="s">
        <v>7</v>
      </c>
      <c r="BE692" s="27" t="s">
        <v>8</v>
      </c>
    </row>
    <row r="693" spans="1:61" x14ac:dyDescent="0.25">
      <c r="A693" s="7">
        <v>0.1225693246698436</v>
      </c>
      <c r="B693"/>
      <c r="C693"/>
      <c r="D693"/>
      <c r="E693"/>
      <c r="V693" s="27" t="s">
        <v>7</v>
      </c>
      <c r="AZ693" s="27" t="s">
        <v>7</v>
      </c>
      <c r="BB693" s="27" t="s">
        <v>7</v>
      </c>
      <c r="BC693" s="27" t="s">
        <v>8</v>
      </c>
      <c r="BD693" s="27" t="s">
        <v>7</v>
      </c>
    </row>
    <row r="694" spans="1:61" x14ac:dyDescent="0.25">
      <c r="A694" s="7">
        <v>0.12016600457827803</v>
      </c>
      <c r="B694"/>
      <c r="C694"/>
      <c r="D694"/>
      <c r="E694"/>
      <c r="BB694" s="27" t="s">
        <v>7</v>
      </c>
    </row>
    <row r="695" spans="1:61" x14ac:dyDescent="0.25">
      <c r="A695" s="7">
        <v>0.1178098084100765</v>
      </c>
      <c r="B695"/>
      <c r="C695"/>
      <c r="D695"/>
      <c r="E695"/>
    </row>
    <row r="696" spans="1:61" x14ac:dyDescent="0.25">
      <c r="A696" s="7">
        <v>0.11549981216674166</v>
      </c>
      <c r="B696"/>
      <c r="C696"/>
      <c r="D696"/>
      <c r="E696"/>
    </row>
    <row r="697" spans="1:61" x14ac:dyDescent="0.25">
      <c r="A697" s="7">
        <v>0.11323510996739378</v>
      </c>
      <c r="B697"/>
      <c r="C697"/>
      <c r="D697"/>
      <c r="E697"/>
    </row>
    <row r="698" spans="1:61" x14ac:dyDescent="0.25">
      <c r="A698" s="7">
        <v>0.11101481369352331</v>
      </c>
      <c r="B698"/>
      <c r="C698"/>
      <c r="D698"/>
      <c r="E698"/>
    </row>
    <row r="699" spans="1:61" x14ac:dyDescent="0.25">
      <c r="A699" s="7">
        <v>0.10883805264070913</v>
      </c>
      <c r="B699"/>
      <c r="C699"/>
      <c r="D699"/>
      <c r="E699"/>
    </row>
    <row r="700" spans="1:61" x14ac:dyDescent="0.25">
      <c r="A700" s="7">
        <v>0.10670397317716582</v>
      </c>
      <c r="B700"/>
      <c r="C700"/>
      <c r="D700"/>
      <c r="E700"/>
    </row>
    <row r="701" spans="1:61" x14ac:dyDescent="0.25">
      <c r="A701" s="7">
        <v>0.1046117384089861</v>
      </c>
      <c r="B701"/>
      <c r="C701"/>
      <c r="D701"/>
      <c r="E701"/>
    </row>
    <row r="702" spans="1:61" x14ac:dyDescent="0.25">
      <c r="A702" s="7">
        <v>0.10256052785194716</v>
      </c>
      <c r="B702"/>
      <c r="C702"/>
      <c r="D702"/>
      <c r="E702"/>
    </row>
    <row r="703" spans="1:61" x14ac:dyDescent="0.25">
      <c r="A703" s="7">
        <v>0.10054953710975212</v>
      </c>
      <c r="B703"/>
      <c r="C703"/>
      <c r="D703"/>
      <c r="E703"/>
    </row>
    <row r="704" spans="1:61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92" operator="equal">
      <formula>$U$1</formula>
    </cfRule>
    <cfRule type="cellIs" dxfId="89" priority="893" operator="equal">
      <formula>$S$1</formula>
    </cfRule>
  </conditionalFormatting>
  <conditionalFormatting sqref="D27">
    <cfRule type="cellIs" dxfId="88" priority="890" operator="equal">
      <formula>$S$1</formula>
    </cfRule>
    <cfRule type="cellIs" dxfId="87" priority="891" operator="equal">
      <formula>$U$1</formula>
    </cfRule>
  </conditionalFormatting>
  <conditionalFormatting sqref="C164">
    <cfRule type="cellIs" dxfId="86" priority="888" operator="equal">
      <formula>$U$1</formula>
    </cfRule>
    <cfRule type="cellIs" dxfId="85" priority="889" operator="equal">
      <formula>$S$1</formula>
    </cfRule>
  </conditionalFormatting>
  <conditionalFormatting sqref="D164">
    <cfRule type="cellIs" dxfId="84" priority="886" operator="equal">
      <formula>$S$1</formula>
    </cfRule>
    <cfRule type="cellIs" dxfId="83" priority="887" operator="equal">
      <formula>$U$1</formula>
    </cfRule>
  </conditionalFormatting>
  <conditionalFormatting sqref="C55">
    <cfRule type="cellIs" dxfId="82" priority="884" operator="equal">
      <formula>$U$1</formula>
    </cfRule>
    <cfRule type="cellIs" dxfId="81" priority="885" operator="equal">
      <formula>$S$1</formula>
    </cfRule>
  </conditionalFormatting>
  <conditionalFormatting sqref="D55">
    <cfRule type="cellIs" dxfId="80" priority="882" operator="equal">
      <formula>$S$1</formula>
    </cfRule>
    <cfRule type="cellIs" dxfId="79" priority="883" operator="equal">
      <formula>$U$1</formula>
    </cfRule>
  </conditionalFormatting>
  <conditionalFormatting sqref="C89">
    <cfRule type="cellIs" dxfId="78" priority="880" operator="equal">
      <formula>$U$1</formula>
    </cfRule>
    <cfRule type="cellIs" dxfId="77" priority="881" operator="equal">
      <formula>$S$1</formula>
    </cfRule>
  </conditionalFormatting>
  <conditionalFormatting sqref="D89">
    <cfRule type="cellIs" dxfId="76" priority="878" operator="equal">
      <formula>$S$1</formula>
    </cfRule>
    <cfRule type="cellIs" dxfId="75" priority="879" operator="equal">
      <formula>$U$1</formula>
    </cfRule>
  </conditionalFormatting>
  <conditionalFormatting sqref="C136">
    <cfRule type="cellIs" dxfId="74" priority="876" operator="equal">
      <formula>$U$1</formula>
    </cfRule>
    <cfRule type="cellIs" dxfId="73" priority="877" operator="equal">
      <formula>$S$1</formula>
    </cfRule>
  </conditionalFormatting>
  <conditionalFormatting sqref="D136">
    <cfRule type="cellIs" dxfId="72" priority="874" operator="equal">
      <formula>$S$1</formula>
    </cfRule>
    <cfRule type="cellIs" dxfId="71" priority="875" operator="equal">
      <formula>$U$1</formula>
    </cfRule>
  </conditionalFormatting>
  <conditionalFormatting sqref="C1">
    <cfRule type="cellIs" dxfId="70" priority="87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35" zoomScale="90" zoomScaleNormal="90" workbookViewId="0">
      <pane xSplit="4" topLeftCell="BV1" activePane="topRight" state="frozen"/>
      <selection activeCell="A109" sqref="A109"/>
      <selection pane="topRight" activeCell="EE269" sqref="EE26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$A$268</v>
      </c>
      <c r="D111" s="1" t="str">
        <f>ADDRESS(C121-1,D121,1,1)</f>
        <v>$EE$268</v>
      </c>
      <c r="E111"/>
    </row>
    <row r="112" spans="1:5" x14ac:dyDescent="0.25">
      <c r="A112" s="30">
        <v>515.50191262726139</v>
      </c>
      <c r="C112" s="1" t="str">
        <f>ADDRESS(C121,1,1,1)</f>
        <v>$A$269</v>
      </c>
      <c r="D112" s="1" t="str">
        <f>ADDRESS(C121,D121-1,1,1)</f>
        <v>$ED$269</v>
      </c>
      <c r="E112"/>
    </row>
    <row r="113" spans="1:5" x14ac:dyDescent="0.25">
      <c r="A113" s="30">
        <v>490.95420250215363</v>
      </c>
      <c r="C113" s="1" t="str">
        <f>ADDRESS(C121+1,1,1,1)</f>
        <v>$A$270</v>
      </c>
      <c r="D113" s="1" t="str">
        <f>ADDRESS(C121-1,D121+1,1,1)</f>
        <v>$EF$268</v>
      </c>
    </row>
    <row r="114" spans="1:5" x14ac:dyDescent="0.25">
      <c r="A114" s="30">
        <v>467.57543095443202</v>
      </c>
      <c r="C114" s="1" t="str">
        <f>ADDRESS(C121,D121,1,1)</f>
        <v>$EE$269</v>
      </c>
      <c r="D114" s="1" t="str">
        <f>ADDRESS(C121+1,D121+1,1,1)</f>
        <v>$EF$270</v>
      </c>
    </row>
    <row r="115" spans="1:5" x14ac:dyDescent="0.25">
      <c r="A115" s="30">
        <v>445.30993424231622</v>
      </c>
      <c r="C115" s="1" t="str">
        <f>ADDRESS(C121+1,D121,1,1)</f>
        <v>$EE$270</v>
      </c>
    </row>
    <row r="116" spans="1:5" x14ac:dyDescent="0.25">
      <c r="A116" s="30">
        <v>424.10469927839637</v>
      </c>
      <c r="C116" s="1">
        <f>C117-1</f>
        <v>268</v>
      </c>
    </row>
    <row r="117" spans="1:5" x14ac:dyDescent="0.25">
      <c r="A117" s="30">
        <v>403.9092374079965</v>
      </c>
      <c r="C117" s="1">
        <f>C121</f>
        <v>269</v>
      </c>
      <c r="D117" s="1">
        <f>D121</f>
        <v>135</v>
      </c>
    </row>
    <row r="118" spans="1:5" x14ac:dyDescent="0.25">
      <c r="A118" s="30">
        <v>384.6754641980919</v>
      </c>
      <c r="C118" s="1">
        <f>C117+1</f>
        <v>270</v>
      </c>
      <c r="D118" s="1">
        <f>D117+1</f>
        <v>136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269</v>
      </c>
      <c r="D121" s="19">
        <v>135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R269</v>
      </c>
      <c r="D123" s="1" t="str">
        <f>"C"&amp;D121</f>
        <v>C135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0.24294632108864825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83" x14ac:dyDescent="0.25">
      <c r="A225" s="30">
        <v>2.0789281794113688</v>
      </c>
      <c r="E225"/>
    </row>
    <row r="226" spans="1:83" x14ac:dyDescent="0.25">
      <c r="A226" s="30">
        <v>1.9799315994393987</v>
      </c>
      <c r="E226"/>
    </row>
    <row r="227" spans="1:83" x14ac:dyDescent="0.25">
      <c r="A227" s="30">
        <v>1.8856491423232367</v>
      </c>
      <c r="E227"/>
    </row>
    <row r="228" spans="1:83" x14ac:dyDescent="0.25">
      <c r="A228" s="30">
        <v>1.7958563260221301</v>
      </c>
      <c r="C228" s="7"/>
      <c r="D228"/>
      <c r="E228"/>
    </row>
    <row r="229" spans="1:83" x14ac:dyDescent="0.25">
      <c r="A229" s="30">
        <v>1.7103393581163142</v>
      </c>
      <c r="E229"/>
    </row>
    <row r="230" spans="1:83" x14ac:dyDescent="0.25">
      <c r="A230" s="30">
        <v>1.628894626777442</v>
      </c>
      <c r="E230"/>
    </row>
    <row r="231" spans="1:83" x14ac:dyDescent="0.25">
      <c r="A231" s="30">
        <v>1.5513282159785162</v>
      </c>
      <c r="C231"/>
      <c r="D231"/>
      <c r="E231"/>
    </row>
    <row r="232" spans="1:83" x14ac:dyDescent="0.25">
      <c r="A232" s="30">
        <v>1.477455443789063</v>
      </c>
      <c r="E232"/>
    </row>
    <row r="233" spans="1:83" x14ac:dyDescent="0.25">
      <c r="A233" s="30">
        <v>1.4071004226562505</v>
      </c>
      <c r="E233"/>
    </row>
    <row r="234" spans="1:83" x14ac:dyDescent="0.25">
      <c r="A234" s="30">
        <v>1.3400956406250004</v>
      </c>
      <c r="E234"/>
    </row>
    <row r="235" spans="1:83" x14ac:dyDescent="0.25">
      <c r="A235" s="30">
        <v>1.2762815625000004</v>
      </c>
      <c r="C235"/>
      <c r="E235"/>
    </row>
    <row r="236" spans="1:83" x14ac:dyDescent="0.25">
      <c r="A236" s="30">
        <v>1.2155062500000002</v>
      </c>
      <c r="E236"/>
      <c r="BQ236" s="27" t="s">
        <v>8</v>
      </c>
    </row>
    <row r="237" spans="1:83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Q237" s="27" t="s">
        <v>8</v>
      </c>
      <c r="BR237" s="27" t="s">
        <v>7</v>
      </c>
      <c r="BU237" s="32" t="s">
        <v>8</v>
      </c>
      <c r="BW237" s="32" t="s">
        <v>8</v>
      </c>
    </row>
    <row r="238" spans="1:83" x14ac:dyDescent="0.25">
      <c r="A238" s="30">
        <v>1.1025</v>
      </c>
      <c r="E238"/>
      <c r="BQ238" s="27" t="s">
        <v>8</v>
      </c>
      <c r="BR238" s="27" t="s">
        <v>7</v>
      </c>
      <c r="BU238" s="27" t="s">
        <v>8</v>
      </c>
      <c r="BV238" s="27" t="s">
        <v>7</v>
      </c>
      <c r="BW238" s="27" t="s">
        <v>8</v>
      </c>
      <c r="BX238" s="27" t="s">
        <v>7</v>
      </c>
      <c r="CC238" s="31" t="s">
        <v>8</v>
      </c>
    </row>
    <row r="239" spans="1:83" x14ac:dyDescent="0.25">
      <c r="A239" s="30">
        <v>1.05</v>
      </c>
      <c r="E239"/>
      <c r="BQ239" s="27" t="s">
        <v>8</v>
      </c>
      <c r="BR239" s="27" t="s">
        <v>7</v>
      </c>
      <c r="BS239" s="27" t="s">
        <v>8</v>
      </c>
      <c r="BU239" s="27" t="s">
        <v>8</v>
      </c>
      <c r="BV239" s="27" t="s">
        <v>7</v>
      </c>
      <c r="BW239" s="27" t="s">
        <v>8</v>
      </c>
      <c r="BX239" s="27" t="s">
        <v>7</v>
      </c>
      <c r="CA239" s="27" t="s">
        <v>8</v>
      </c>
      <c r="CC239" s="27" t="s">
        <v>8</v>
      </c>
      <c r="CD239" s="31" t="s">
        <v>7</v>
      </c>
    </row>
    <row r="240" spans="1:83" x14ac:dyDescent="0.25">
      <c r="A240" s="30">
        <v>1</v>
      </c>
      <c r="E240" s="29" t="s">
        <v>8</v>
      </c>
      <c r="BQ240" s="27" t="s">
        <v>8</v>
      </c>
      <c r="BR240" s="27" t="s">
        <v>7</v>
      </c>
      <c r="BS240" s="27" t="s">
        <v>8</v>
      </c>
      <c r="BT240" s="27" t="s">
        <v>7</v>
      </c>
      <c r="BU240" s="27" t="s">
        <v>8</v>
      </c>
      <c r="BV240" s="27" t="s">
        <v>7</v>
      </c>
      <c r="BW240" s="27" t="s">
        <v>8</v>
      </c>
      <c r="BX240" s="27" t="s">
        <v>7</v>
      </c>
      <c r="CA240" s="27" t="s">
        <v>8</v>
      </c>
      <c r="CB240" s="27" t="s">
        <v>7</v>
      </c>
      <c r="CC240" s="27" t="s">
        <v>8</v>
      </c>
      <c r="CD240" s="27" t="s">
        <v>7</v>
      </c>
      <c r="CE240" s="31"/>
    </row>
    <row r="241" spans="1:126" x14ac:dyDescent="0.25">
      <c r="A241" s="30">
        <v>0.952380952380952</v>
      </c>
      <c r="B241"/>
      <c r="C241"/>
      <c r="D241"/>
      <c r="E241"/>
      <c r="F241" s="27" t="s">
        <v>7</v>
      </c>
      <c r="BQ241" s="27" t="s">
        <v>8</v>
      </c>
      <c r="BR241" s="27" t="s">
        <v>7</v>
      </c>
      <c r="BS241" s="27" t="s">
        <v>8</v>
      </c>
      <c r="BT241" s="27" t="s">
        <v>7</v>
      </c>
      <c r="BU241" s="27" t="s">
        <v>8</v>
      </c>
      <c r="BV241" s="27" t="s">
        <v>7</v>
      </c>
      <c r="BW241" s="27" t="s">
        <v>8</v>
      </c>
      <c r="BX241" s="27" t="s">
        <v>7</v>
      </c>
      <c r="CA241" s="27" t="s">
        <v>8</v>
      </c>
      <c r="CB241" s="27" t="s">
        <v>7</v>
      </c>
      <c r="CC241" s="27" t="s">
        <v>8</v>
      </c>
      <c r="CD241" s="27" t="s">
        <v>7</v>
      </c>
      <c r="CE241" s="27" t="s">
        <v>8</v>
      </c>
      <c r="CF241" s="31"/>
    </row>
    <row r="242" spans="1:126" x14ac:dyDescent="0.25">
      <c r="A242" s="30">
        <v>0.90702947845804915</v>
      </c>
      <c r="B242"/>
      <c r="C242"/>
      <c r="D242"/>
      <c r="E242"/>
      <c r="F242" s="27" t="s">
        <v>7</v>
      </c>
      <c r="BO242" s="27" t="s">
        <v>8</v>
      </c>
      <c r="BQ242" s="27" t="s">
        <v>8</v>
      </c>
      <c r="BR242" s="27" t="s">
        <v>7</v>
      </c>
      <c r="BT242" s="27" t="s">
        <v>7</v>
      </c>
      <c r="BU242" s="27" t="s">
        <v>8</v>
      </c>
      <c r="BV242" s="27" t="s">
        <v>7</v>
      </c>
      <c r="BW242" s="27" t="s">
        <v>8</v>
      </c>
      <c r="BX242" s="27" t="s">
        <v>7</v>
      </c>
      <c r="CA242" s="27" t="s">
        <v>8</v>
      </c>
      <c r="CB242" s="27" t="s">
        <v>7</v>
      </c>
      <c r="CC242" s="27" t="s">
        <v>8</v>
      </c>
      <c r="CD242" s="27" t="s">
        <v>7</v>
      </c>
      <c r="CE242" s="27" t="s">
        <v>8</v>
      </c>
      <c r="CF242" s="27" t="s">
        <v>7</v>
      </c>
      <c r="CG242" s="31"/>
    </row>
    <row r="243" spans="1:126" x14ac:dyDescent="0.25">
      <c r="A243" s="30">
        <v>0.86383759853147501</v>
      </c>
      <c r="B243"/>
      <c r="C243"/>
      <c r="D243"/>
      <c r="E243"/>
      <c r="F243" s="27" t="s">
        <v>7</v>
      </c>
      <c r="BM243" s="27" t="s">
        <v>8</v>
      </c>
      <c r="BO243" s="27" t="s">
        <v>8</v>
      </c>
      <c r="BP243" s="27" t="s">
        <v>7</v>
      </c>
      <c r="BQ243" s="27" t="s">
        <v>8</v>
      </c>
      <c r="BT243" s="27" t="s">
        <v>7</v>
      </c>
      <c r="BV243" s="27" t="s">
        <v>7</v>
      </c>
      <c r="BW243" s="27" t="s">
        <v>8</v>
      </c>
      <c r="BX243" s="27" t="s">
        <v>7</v>
      </c>
      <c r="CA243" s="27" t="s">
        <v>8</v>
      </c>
      <c r="CB243" s="27" t="s">
        <v>7</v>
      </c>
      <c r="CC243" s="27" t="s">
        <v>8</v>
      </c>
      <c r="CD243" s="27" t="s">
        <v>7</v>
      </c>
      <c r="CE243" s="27" t="s">
        <v>8</v>
      </c>
      <c r="CF243" s="27" t="s">
        <v>7</v>
      </c>
      <c r="CH243" s="31"/>
    </row>
    <row r="244" spans="1:126" x14ac:dyDescent="0.25">
      <c r="A244" s="30">
        <v>0.82270247479188063</v>
      </c>
      <c r="B244"/>
      <c r="C244"/>
      <c r="D244"/>
      <c r="E244"/>
      <c r="F244" s="27" t="s">
        <v>7</v>
      </c>
      <c r="BM244" s="27" t="s">
        <v>8</v>
      </c>
      <c r="BN244" s="27" t="s">
        <v>7</v>
      </c>
      <c r="BO244" s="27" t="s">
        <v>8</v>
      </c>
      <c r="BP244" s="27" t="s">
        <v>7</v>
      </c>
      <c r="BQ244" s="27" t="s">
        <v>8</v>
      </c>
      <c r="BV244" s="27" t="s">
        <v>7</v>
      </c>
      <c r="BW244" s="27" t="s">
        <v>8</v>
      </c>
      <c r="BX244" s="27" t="s">
        <v>7</v>
      </c>
      <c r="CA244" s="27" t="s">
        <v>8</v>
      </c>
      <c r="CB244" s="27" t="s">
        <v>7</v>
      </c>
      <c r="CD244" s="27" t="s">
        <v>7</v>
      </c>
      <c r="CE244" s="27" t="s">
        <v>8</v>
      </c>
      <c r="CF244" s="27" t="s">
        <v>7</v>
      </c>
      <c r="CI244" s="31"/>
    </row>
    <row r="245" spans="1:126" x14ac:dyDescent="0.25">
      <c r="A245" s="30">
        <v>0.78352616646845741</v>
      </c>
      <c r="B245"/>
      <c r="C245"/>
      <c r="D245"/>
      <c r="E245"/>
      <c r="F245" s="27" t="s">
        <v>7</v>
      </c>
      <c r="BM245" s="27" t="s">
        <v>8</v>
      </c>
      <c r="BN245" s="27" t="s">
        <v>7</v>
      </c>
      <c r="BO245" s="27" t="s">
        <v>8</v>
      </c>
      <c r="BP245" s="27" t="s">
        <v>7</v>
      </c>
      <c r="BV245" s="27" t="s">
        <v>7</v>
      </c>
      <c r="BW245" s="27" t="s">
        <v>8</v>
      </c>
      <c r="BX245" s="27" t="s">
        <v>7</v>
      </c>
      <c r="CA245" s="27" t="s">
        <v>8</v>
      </c>
      <c r="CD245" s="33" t="s">
        <v>7</v>
      </c>
      <c r="CF245" s="27" t="s">
        <v>7</v>
      </c>
      <c r="CJ245" s="31"/>
      <c r="DA245" s="32" t="s">
        <v>8</v>
      </c>
      <c r="DC245" s="32" t="s">
        <v>8</v>
      </c>
    </row>
    <row r="246" spans="1:126" x14ac:dyDescent="0.25">
      <c r="A246" s="30">
        <v>0.74621539663662584</v>
      </c>
      <c r="B246"/>
      <c r="C246"/>
      <c r="D246"/>
      <c r="E246"/>
      <c r="F246" s="27" t="s">
        <v>7</v>
      </c>
      <c r="BM246" s="27" t="s">
        <v>8</v>
      </c>
      <c r="BN246" s="27" t="s">
        <v>7</v>
      </c>
      <c r="BV246" s="27" t="s">
        <v>7</v>
      </c>
      <c r="BW246" s="27" t="s">
        <v>8</v>
      </c>
      <c r="BX246" s="27" t="s">
        <v>7</v>
      </c>
      <c r="BY246" s="27" t="s">
        <v>8</v>
      </c>
      <c r="CA246" s="27" t="s">
        <v>8</v>
      </c>
      <c r="CF246" s="27" t="s">
        <v>7</v>
      </c>
      <c r="CK246" s="31"/>
      <c r="DA246" s="27" t="s">
        <v>8</v>
      </c>
      <c r="DB246" s="27" t="s">
        <v>7</v>
      </c>
      <c r="DC246" s="27" t="s">
        <v>8</v>
      </c>
      <c r="DD246" s="31" t="s">
        <v>7</v>
      </c>
    </row>
    <row r="247" spans="1:126" x14ac:dyDescent="0.25">
      <c r="A247" s="30">
        <v>0.71068133013011958</v>
      </c>
      <c r="B247"/>
      <c r="C247"/>
      <c r="D247"/>
      <c r="E247"/>
      <c r="F247" s="27" t="s">
        <v>7</v>
      </c>
      <c r="BM247" s="27" t="s">
        <v>8</v>
      </c>
      <c r="BV247" s="27" t="s">
        <v>7</v>
      </c>
      <c r="BW247" s="27" t="s">
        <v>8</v>
      </c>
      <c r="BX247" s="27" t="s">
        <v>7</v>
      </c>
      <c r="BY247" s="27" t="s">
        <v>8</v>
      </c>
      <c r="BZ247" s="27" t="s">
        <v>7</v>
      </c>
      <c r="CA247" s="27" t="s">
        <v>8</v>
      </c>
      <c r="CF247" s="27" t="s">
        <v>7</v>
      </c>
      <c r="CL247" s="31"/>
      <c r="DA247" s="27" t="s">
        <v>8</v>
      </c>
      <c r="DB247" s="27" t="s">
        <v>7</v>
      </c>
      <c r="DC247" s="27" t="s">
        <v>8</v>
      </c>
      <c r="DD247" s="27" t="s">
        <v>7</v>
      </c>
      <c r="DE247" s="31"/>
      <c r="DM247" s="27" t="s">
        <v>8</v>
      </c>
      <c r="DO247" s="27" t="s">
        <v>8</v>
      </c>
    </row>
    <row r="248" spans="1:126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BM248" s="27" t="s">
        <v>8</v>
      </c>
      <c r="BV248" s="27" t="s">
        <v>7</v>
      </c>
      <c r="BW248" s="27" t="s">
        <v>8</v>
      </c>
      <c r="BX248" s="27" t="s">
        <v>7</v>
      </c>
      <c r="BY248" s="27" t="s">
        <v>8</v>
      </c>
      <c r="BZ248" s="27" t="s">
        <v>7</v>
      </c>
      <c r="CA248" s="27" t="s">
        <v>8</v>
      </c>
      <c r="CF248" s="27" t="s">
        <v>7</v>
      </c>
      <c r="CM248" s="31"/>
      <c r="DA248" s="27" t="s">
        <v>8</v>
      </c>
      <c r="DB248" s="27" t="s">
        <v>7</v>
      </c>
      <c r="DC248" s="27" t="s">
        <v>8</v>
      </c>
      <c r="DD248" s="27" t="s">
        <v>7</v>
      </c>
      <c r="DF248" s="31"/>
      <c r="DM248" s="27" t="s">
        <v>8</v>
      </c>
      <c r="DN248" s="27" t="s">
        <v>7</v>
      </c>
      <c r="DO248" s="27" t="s">
        <v>8</v>
      </c>
      <c r="DP248" s="27" t="s">
        <v>7</v>
      </c>
      <c r="DQ248" s="27" t="s">
        <v>8</v>
      </c>
    </row>
    <row r="249" spans="1:126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AU249" s="27" t="s">
        <v>8</v>
      </c>
      <c r="BM249" s="27" t="s">
        <v>8</v>
      </c>
      <c r="BV249" s="27" t="s">
        <v>7</v>
      </c>
      <c r="BW249" s="27" t="s">
        <v>8</v>
      </c>
      <c r="BX249" s="27" t="s">
        <v>7</v>
      </c>
      <c r="BY249" s="27" t="s">
        <v>8</v>
      </c>
      <c r="BZ249" s="27" t="s">
        <v>7</v>
      </c>
      <c r="CA249" s="27" t="s">
        <v>8</v>
      </c>
      <c r="CF249" s="27" t="s">
        <v>7</v>
      </c>
      <c r="CG249" s="27" t="s">
        <v>8</v>
      </c>
      <c r="CM249" s="27" t="s">
        <v>8</v>
      </c>
      <c r="CN249" s="31"/>
      <c r="CY249" s="27" t="s">
        <v>8</v>
      </c>
      <c r="DA249" s="27" t="s">
        <v>8</v>
      </c>
      <c r="DB249" s="27" t="s">
        <v>7</v>
      </c>
      <c r="DC249" s="27" t="s">
        <v>8</v>
      </c>
      <c r="DD249" s="27" t="s">
        <v>7</v>
      </c>
      <c r="DE249" s="27" t="s">
        <v>8</v>
      </c>
      <c r="DG249" s="31"/>
      <c r="DM249" s="27" t="s">
        <v>8</v>
      </c>
      <c r="DN249" s="27" t="s">
        <v>7</v>
      </c>
      <c r="DO249" s="27" t="s">
        <v>8</v>
      </c>
      <c r="DP249" s="27" t="s">
        <v>7</v>
      </c>
      <c r="DQ249" s="27" t="s">
        <v>8</v>
      </c>
      <c r="DR249" s="27" t="s">
        <v>7</v>
      </c>
    </row>
    <row r="250" spans="1:126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H250" s="27" t="s">
        <v>7</v>
      </c>
      <c r="AU250" s="27" t="s">
        <v>8</v>
      </c>
      <c r="AV250" s="27" t="s">
        <v>7</v>
      </c>
      <c r="BM250" s="27" t="s">
        <v>8</v>
      </c>
      <c r="BV250" s="27" t="s">
        <v>7</v>
      </c>
      <c r="BX250" s="27" t="s">
        <v>7</v>
      </c>
      <c r="BY250" s="27" t="s">
        <v>8</v>
      </c>
      <c r="BZ250" s="27" t="s">
        <v>7</v>
      </c>
      <c r="CF250" s="27" t="s">
        <v>7</v>
      </c>
      <c r="CG250" s="27" t="s">
        <v>8</v>
      </c>
      <c r="CH250" s="27" t="s">
        <v>7</v>
      </c>
      <c r="CK250" s="27" t="s">
        <v>8</v>
      </c>
      <c r="CM250" s="27" t="s">
        <v>8</v>
      </c>
      <c r="CN250" s="27" t="s">
        <v>7</v>
      </c>
      <c r="CO250" s="31"/>
      <c r="CY250" s="27" t="s">
        <v>8</v>
      </c>
      <c r="CZ250" s="27" t="s">
        <v>7</v>
      </c>
      <c r="DA250" s="27" t="s">
        <v>8</v>
      </c>
      <c r="DB250" s="27" t="s">
        <v>7</v>
      </c>
      <c r="DD250" s="27" t="s">
        <v>7</v>
      </c>
      <c r="DE250" s="27" t="s">
        <v>8</v>
      </c>
      <c r="DF250" s="27" t="s">
        <v>7</v>
      </c>
      <c r="DH250" s="31"/>
      <c r="DM250" s="27" t="s">
        <v>8</v>
      </c>
      <c r="DN250" s="27" t="s">
        <v>7</v>
      </c>
      <c r="DP250" s="27" t="s">
        <v>7</v>
      </c>
      <c r="DQ250" s="27" t="s">
        <v>8</v>
      </c>
      <c r="DR250" s="27" t="s">
        <v>7</v>
      </c>
      <c r="DS250" s="27" t="s">
        <v>8</v>
      </c>
    </row>
    <row r="251" spans="1:126" x14ac:dyDescent="0.25">
      <c r="A251" s="30">
        <v>0.58467928908643485</v>
      </c>
      <c r="B251"/>
      <c r="C251"/>
      <c r="D251"/>
      <c r="E251"/>
      <c r="F251" s="27" t="s">
        <v>7</v>
      </c>
      <c r="H251" s="27" t="s">
        <v>7</v>
      </c>
      <c r="AU251" s="27" t="s">
        <v>8</v>
      </c>
      <c r="AV251" s="27" t="s">
        <v>7</v>
      </c>
      <c r="AY251" s="27" t="s">
        <v>8</v>
      </c>
      <c r="BM251" s="27" t="s">
        <v>8</v>
      </c>
      <c r="BX251" s="27" t="s">
        <v>7</v>
      </c>
      <c r="CF251" s="27" t="s">
        <v>7</v>
      </c>
      <c r="CG251" s="27" t="s">
        <v>8</v>
      </c>
      <c r="CH251" s="27" t="s">
        <v>7</v>
      </c>
      <c r="CK251" s="27" t="s">
        <v>8</v>
      </c>
      <c r="CL251" s="27" t="s">
        <v>7</v>
      </c>
      <c r="CM251" s="27" t="s">
        <v>8</v>
      </c>
      <c r="CN251" s="27" t="s">
        <v>7</v>
      </c>
      <c r="CO251" s="27" t="s">
        <v>8</v>
      </c>
      <c r="CP251" s="31"/>
      <c r="CY251" s="27" t="s">
        <v>8</v>
      </c>
      <c r="CZ251" s="27" t="s">
        <v>7</v>
      </c>
      <c r="DA251" s="27" t="s">
        <v>8</v>
      </c>
      <c r="DD251" s="27" t="s">
        <v>7</v>
      </c>
      <c r="DE251" s="27" t="s">
        <v>8</v>
      </c>
      <c r="DF251" s="27" t="s">
        <v>7</v>
      </c>
      <c r="DI251" s="31"/>
      <c r="DM251" s="27" t="s">
        <v>8</v>
      </c>
      <c r="DP251" s="27" t="s">
        <v>7</v>
      </c>
      <c r="DQ251" s="27" t="s">
        <v>8</v>
      </c>
      <c r="DR251" s="27" t="s">
        <v>7</v>
      </c>
      <c r="DS251" s="27" t="s">
        <v>8</v>
      </c>
      <c r="DT251" s="27" t="s">
        <v>7</v>
      </c>
      <c r="DU251" s="27" t="s">
        <v>8</v>
      </c>
    </row>
    <row r="252" spans="1:126" x14ac:dyDescent="0.25">
      <c r="A252" s="30">
        <v>0.55683741817755672</v>
      </c>
      <c r="B252"/>
      <c r="C252"/>
      <c r="D252"/>
      <c r="E252"/>
      <c r="H252" s="27" t="s">
        <v>7</v>
      </c>
      <c r="AU252" s="27" t="s">
        <v>8</v>
      </c>
      <c r="AV252" s="27" t="s">
        <v>7</v>
      </c>
      <c r="AY252" s="27" t="s">
        <v>8</v>
      </c>
      <c r="AZ252" s="27" t="s">
        <v>7</v>
      </c>
      <c r="BK252" s="27" t="s">
        <v>8</v>
      </c>
      <c r="BM252" s="27" t="s">
        <v>8</v>
      </c>
      <c r="CF252" s="27" t="s">
        <v>7</v>
      </c>
      <c r="CG252" s="27" t="s">
        <v>8</v>
      </c>
      <c r="CH252" s="27" t="s">
        <v>7</v>
      </c>
      <c r="CK252" s="27" t="s">
        <v>8</v>
      </c>
      <c r="CL252" s="27" t="s">
        <v>7</v>
      </c>
      <c r="CM252" s="27" t="s">
        <v>8</v>
      </c>
      <c r="CN252" s="27" t="s">
        <v>7</v>
      </c>
      <c r="CO252" s="27" t="s">
        <v>8</v>
      </c>
      <c r="CP252" s="27" t="s">
        <v>7</v>
      </c>
      <c r="CQ252" s="31" t="s">
        <v>8</v>
      </c>
      <c r="CY252" s="27" t="s">
        <v>8</v>
      </c>
      <c r="CZ252" s="27" t="s">
        <v>7</v>
      </c>
      <c r="DD252" s="27" t="s">
        <v>7</v>
      </c>
      <c r="DE252" s="27" t="s">
        <v>8</v>
      </c>
      <c r="DF252" s="27" t="s">
        <v>7</v>
      </c>
      <c r="DJ252" s="31"/>
      <c r="DK252" s="27" t="s">
        <v>8</v>
      </c>
      <c r="DM252" s="27" t="s">
        <v>8</v>
      </c>
      <c r="DP252" s="27" t="s">
        <v>7</v>
      </c>
      <c r="DQ252" s="27" t="s">
        <v>8</v>
      </c>
      <c r="DR252" s="27" t="s">
        <v>7</v>
      </c>
      <c r="DS252" s="27" t="s">
        <v>8</v>
      </c>
      <c r="DT252" s="27" t="s">
        <v>7</v>
      </c>
      <c r="DU252" s="27" t="s">
        <v>8</v>
      </c>
      <c r="DV252" s="27" t="s">
        <v>7</v>
      </c>
    </row>
    <row r="253" spans="1:126" x14ac:dyDescent="0.25">
      <c r="A253" s="30">
        <v>0.53032135064529184</v>
      </c>
      <c r="B253"/>
      <c r="C253"/>
      <c r="D253"/>
      <c r="E253"/>
      <c r="H253" s="27" t="s">
        <v>7</v>
      </c>
      <c r="AU253" s="27" t="s">
        <v>8</v>
      </c>
      <c r="AV253" s="27" t="s">
        <v>7</v>
      </c>
      <c r="AW253" s="27" t="s">
        <v>8</v>
      </c>
      <c r="AY253" s="27" t="s">
        <v>8</v>
      </c>
      <c r="AZ253" s="27" t="s">
        <v>7</v>
      </c>
      <c r="BI253" s="27" t="s">
        <v>8</v>
      </c>
      <c r="BK253" s="27" t="s">
        <v>8</v>
      </c>
      <c r="BL253" s="27" t="s">
        <v>7</v>
      </c>
      <c r="BM253" s="27" t="s">
        <v>8</v>
      </c>
      <c r="CF253" s="27" t="s">
        <v>7</v>
      </c>
      <c r="CG253" s="27" t="s">
        <v>8</v>
      </c>
      <c r="CH253" s="27" t="s">
        <v>7</v>
      </c>
      <c r="CK253" s="34" t="s">
        <v>8</v>
      </c>
      <c r="CL253" s="27" t="s">
        <v>7</v>
      </c>
      <c r="CM253" s="27" t="s">
        <v>8</v>
      </c>
      <c r="CN253" s="27" t="s">
        <v>7</v>
      </c>
      <c r="CO253" s="27" t="s">
        <v>8</v>
      </c>
      <c r="CP253" s="27" t="s">
        <v>7</v>
      </c>
      <c r="CQ253" s="27" t="s">
        <v>8</v>
      </c>
      <c r="CR253" s="31" t="s">
        <v>7</v>
      </c>
      <c r="CY253" s="27" t="s">
        <v>8</v>
      </c>
      <c r="DD253" s="27" t="s">
        <v>7</v>
      </c>
      <c r="DE253" s="27" t="s">
        <v>8</v>
      </c>
      <c r="DF253" s="27" t="s">
        <v>7</v>
      </c>
      <c r="DI253" s="27" t="s">
        <v>8</v>
      </c>
      <c r="DK253" s="31" t="s">
        <v>8</v>
      </c>
      <c r="DL253" s="27" t="s">
        <v>7</v>
      </c>
      <c r="DM253" s="27" t="s">
        <v>8</v>
      </c>
      <c r="DP253" s="27" t="s">
        <v>7</v>
      </c>
      <c r="DR253" s="27" t="s">
        <v>7</v>
      </c>
      <c r="DT253" s="27" t="s">
        <v>7</v>
      </c>
      <c r="DU253" s="27" t="s">
        <v>8</v>
      </c>
      <c r="DV253" s="27" t="s">
        <v>7</v>
      </c>
    </row>
    <row r="254" spans="1:126" x14ac:dyDescent="0.25">
      <c r="A254" s="30">
        <v>0.50506795299551588</v>
      </c>
      <c r="B254"/>
      <c r="C254"/>
      <c r="D254"/>
      <c r="E254"/>
      <c r="H254" s="27" t="s">
        <v>7</v>
      </c>
      <c r="AU254" s="27" t="s">
        <v>8</v>
      </c>
      <c r="AV254" s="27" t="s">
        <v>7</v>
      </c>
      <c r="AW254" s="27" t="s">
        <v>8</v>
      </c>
      <c r="AX254" s="27" t="s">
        <v>7</v>
      </c>
      <c r="AY254" s="27" t="s">
        <v>8</v>
      </c>
      <c r="AZ254" s="27" t="s">
        <v>7</v>
      </c>
      <c r="BI254" s="27" t="s">
        <v>8</v>
      </c>
      <c r="BJ254" s="27" t="s">
        <v>7</v>
      </c>
      <c r="BK254" s="27" t="s">
        <v>8</v>
      </c>
      <c r="BL254" s="27" t="s">
        <v>7</v>
      </c>
      <c r="BM254" s="27" t="s">
        <v>8</v>
      </c>
      <c r="CF254" s="27" t="s">
        <v>7</v>
      </c>
      <c r="CG254" s="27" t="s">
        <v>8</v>
      </c>
      <c r="CH254" s="27" t="s">
        <v>7</v>
      </c>
      <c r="CI254" s="27" t="s">
        <v>8</v>
      </c>
      <c r="CK254" s="27" t="s">
        <v>8</v>
      </c>
      <c r="CL254" s="27" t="s">
        <v>7</v>
      </c>
      <c r="CM254" s="27" t="s">
        <v>8</v>
      </c>
      <c r="CN254" s="27" t="s">
        <v>7</v>
      </c>
      <c r="CO254" s="27" t="s">
        <v>8</v>
      </c>
      <c r="CP254" s="27" t="s">
        <v>7</v>
      </c>
      <c r="CQ254" s="27" t="s">
        <v>8</v>
      </c>
      <c r="CR254" s="27" t="s">
        <v>7</v>
      </c>
      <c r="CS254" s="31"/>
      <c r="CY254" s="27" t="s">
        <v>8</v>
      </c>
      <c r="DD254" s="27" t="s">
        <v>7</v>
      </c>
      <c r="DE254" s="27" t="s">
        <v>8</v>
      </c>
      <c r="DF254" s="27" t="s">
        <v>7</v>
      </c>
      <c r="DG254" s="27" t="s">
        <v>8</v>
      </c>
      <c r="DI254" s="27" t="s">
        <v>8</v>
      </c>
      <c r="DJ254" s="27" t="s">
        <v>7</v>
      </c>
      <c r="DK254" s="27" t="s">
        <v>8</v>
      </c>
      <c r="DL254" s="27" t="s">
        <v>7</v>
      </c>
      <c r="DM254" s="27" t="s">
        <v>8</v>
      </c>
      <c r="DT254" s="27" t="s">
        <v>7</v>
      </c>
      <c r="DV254" s="27" t="s">
        <v>7</v>
      </c>
    </row>
    <row r="255" spans="1:126" x14ac:dyDescent="0.25">
      <c r="A255" s="30">
        <v>0.48101709809096732</v>
      </c>
      <c r="E255"/>
      <c r="H255" s="27" t="s">
        <v>7</v>
      </c>
      <c r="AU255" s="27" t="s">
        <v>8</v>
      </c>
      <c r="AV255" s="27" t="s">
        <v>7</v>
      </c>
      <c r="AW255" s="27" t="s">
        <v>8</v>
      </c>
      <c r="AX255" s="27" t="s">
        <v>7</v>
      </c>
      <c r="AY255" s="27" t="s">
        <v>8</v>
      </c>
      <c r="AZ255" s="27" t="s">
        <v>7</v>
      </c>
      <c r="BG255" s="27" t="s">
        <v>8</v>
      </c>
      <c r="BI255" s="27" t="s">
        <v>8</v>
      </c>
      <c r="BJ255" s="27" t="s">
        <v>7</v>
      </c>
      <c r="BK255" s="27" t="s">
        <v>8</v>
      </c>
      <c r="BL255" s="27" t="s">
        <v>7</v>
      </c>
      <c r="BM255" s="27" t="s">
        <v>8</v>
      </c>
      <c r="CF255" s="27" t="s">
        <v>7</v>
      </c>
      <c r="CG255" s="27" t="s">
        <v>8</v>
      </c>
      <c r="CH255" s="27" t="s">
        <v>7</v>
      </c>
      <c r="CI255" s="27" t="s">
        <v>8</v>
      </c>
      <c r="CJ255" s="27" t="s">
        <v>7</v>
      </c>
      <c r="CK255" s="27" t="s">
        <v>8</v>
      </c>
      <c r="CL255" s="27" t="s">
        <v>7</v>
      </c>
      <c r="CM255" s="27" t="s">
        <v>8</v>
      </c>
      <c r="CN255" s="32" t="s">
        <v>7</v>
      </c>
      <c r="CP255" s="32" t="s">
        <v>7</v>
      </c>
      <c r="CR255" s="27" t="s">
        <v>7</v>
      </c>
      <c r="CT255" s="31"/>
      <c r="CY255" s="27" t="s">
        <v>8</v>
      </c>
      <c r="DD255" s="27" t="s">
        <v>7</v>
      </c>
      <c r="DF255" s="27" t="s">
        <v>7</v>
      </c>
      <c r="DG255" s="27" t="s">
        <v>8</v>
      </c>
      <c r="DH255" s="27" t="s">
        <v>7</v>
      </c>
      <c r="DI255" s="27" t="s">
        <v>8</v>
      </c>
      <c r="DJ255" s="27" t="s">
        <v>7</v>
      </c>
      <c r="DK255" s="27" t="s">
        <v>8</v>
      </c>
      <c r="DL255" s="27" t="s">
        <v>7</v>
      </c>
      <c r="DV255" s="27" t="s">
        <v>7</v>
      </c>
    </row>
    <row r="256" spans="1:126" x14ac:dyDescent="0.25">
      <c r="A256" s="30">
        <v>0.45811152199139726</v>
      </c>
      <c r="E256"/>
      <c r="H256" s="27" t="s">
        <v>7</v>
      </c>
      <c r="AU256" s="27" t="s">
        <v>8</v>
      </c>
      <c r="AV256" s="27" t="s">
        <v>7</v>
      </c>
      <c r="AW256" s="27" t="s">
        <v>8</v>
      </c>
      <c r="AX256" s="27" t="s">
        <v>7</v>
      </c>
      <c r="AY256" s="27" t="s">
        <v>8</v>
      </c>
      <c r="AZ256" s="27" t="s">
        <v>7</v>
      </c>
      <c r="BG256" s="27" t="s">
        <v>8</v>
      </c>
      <c r="BH256" s="27" t="s">
        <v>7</v>
      </c>
      <c r="BI256" s="27" t="s">
        <v>8</v>
      </c>
      <c r="BJ256" s="27" t="s">
        <v>7</v>
      </c>
      <c r="BK256" s="27" t="s">
        <v>8</v>
      </c>
      <c r="BL256" s="27" t="s">
        <v>7</v>
      </c>
      <c r="BM256" s="27" t="s">
        <v>8</v>
      </c>
      <c r="CF256" s="27" t="s">
        <v>7</v>
      </c>
      <c r="CG256" s="27" t="s">
        <v>8</v>
      </c>
      <c r="CH256" s="27" t="s">
        <v>7</v>
      </c>
      <c r="CI256" s="27" t="s">
        <v>8</v>
      </c>
      <c r="CJ256" s="27" t="s">
        <v>7</v>
      </c>
      <c r="CK256" s="27" t="s">
        <v>8</v>
      </c>
      <c r="CL256" s="27" t="s">
        <v>7</v>
      </c>
      <c r="CM256" s="27" t="s">
        <v>8</v>
      </c>
      <c r="CR256" s="33" t="s">
        <v>7</v>
      </c>
      <c r="CU256" s="31"/>
      <c r="CY256" s="27" t="s">
        <v>8</v>
      </c>
      <c r="DF256" s="27" t="s">
        <v>7</v>
      </c>
      <c r="DG256" s="27" t="s">
        <v>8</v>
      </c>
      <c r="DH256" s="27" t="s">
        <v>7</v>
      </c>
      <c r="DI256" s="27" t="s">
        <v>8</v>
      </c>
      <c r="DJ256" s="27" t="s">
        <v>7</v>
      </c>
      <c r="DK256" s="27" t="s">
        <v>8</v>
      </c>
      <c r="DV256" s="27" t="s">
        <v>7</v>
      </c>
    </row>
    <row r="257" spans="1:135" x14ac:dyDescent="0.25">
      <c r="A257" s="30">
        <v>0.43629668761085438</v>
      </c>
      <c r="B257"/>
      <c r="C257"/>
      <c r="D257"/>
      <c r="E257"/>
      <c r="H257" s="27" t="s">
        <v>7</v>
      </c>
      <c r="AU257" s="27" t="s">
        <v>8</v>
      </c>
      <c r="AV257" s="27" t="s">
        <v>7</v>
      </c>
      <c r="AW257" s="27" t="s">
        <v>8</v>
      </c>
      <c r="AX257" s="27" t="s">
        <v>7</v>
      </c>
      <c r="AZ257" s="27" t="s">
        <v>7</v>
      </c>
      <c r="BG257" s="27" t="s">
        <v>8</v>
      </c>
      <c r="BH257" s="27" t="s">
        <v>7</v>
      </c>
      <c r="BI257" s="27" t="s">
        <v>8</v>
      </c>
      <c r="BJ257" s="27" t="s">
        <v>7</v>
      </c>
      <c r="BL257" s="27" t="s">
        <v>7</v>
      </c>
      <c r="BM257" s="27" t="s">
        <v>8</v>
      </c>
      <c r="CF257" s="27" t="s">
        <v>7</v>
      </c>
      <c r="CG257" s="27" t="s">
        <v>8</v>
      </c>
      <c r="CH257" s="27" t="s">
        <v>7</v>
      </c>
      <c r="CJ257" s="27" t="s">
        <v>7</v>
      </c>
      <c r="CK257" s="27" t="s">
        <v>8</v>
      </c>
      <c r="CL257" s="27" t="s">
        <v>7</v>
      </c>
      <c r="CR257" s="27" t="s">
        <v>7</v>
      </c>
      <c r="CV257" s="31"/>
      <c r="CY257" s="34" t="s">
        <v>8</v>
      </c>
      <c r="DF257" s="27" t="s">
        <v>7</v>
      </c>
      <c r="DH257" s="27" t="s">
        <v>7</v>
      </c>
      <c r="DI257" s="27" t="s">
        <v>8</v>
      </c>
      <c r="DJ257" s="27" t="s">
        <v>7</v>
      </c>
      <c r="DV257" s="27" t="s">
        <v>7</v>
      </c>
    </row>
    <row r="258" spans="1:135" x14ac:dyDescent="0.25">
      <c r="A258" s="30">
        <v>0.41552065486748019</v>
      </c>
      <c r="B258"/>
      <c r="C258"/>
      <c r="D258"/>
      <c r="E258"/>
      <c r="H258" s="27" t="s">
        <v>7</v>
      </c>
      <c r="AS258" s="27" t="s">
        <v>8</v>
      </c>
      <c r="AU258" s="27" t="s">
        <v>8</v>
      </c>
      <c r="AV258" s="27" t="s">
        <v>7</v>
      </c>
      <c r="AZ258" s="27" t="s">
        <v>7</v>
      </c>
      <c r="BG258" s="27" t="s">
        <v>8</v>
      </c>
      <c r="BH258" s="27" t="s">
        <v>7</v>
      </c>
      <c r="BL258" s="27" t="s">
        <v>7</v>
      </c>
      <c r="CF258" s="27" t="s">
        <v>7</v>
      </c>
      <c r="CG258" s="27" t="s">
        <v>8</v>
      </c>
      <c r="CJ258" s="27" t="s">
        <v>7</v>
      </c>
      <c r="CK258" s="27" t="s">
        <v>8</v>
      </c>
      <c r="CR258" s="27" t="s">
        <v>7</v>
      </c>
      <c r="CW258" s="34" t="s">
        <v>8</v>
      </c>
      <c r="CY258" s="27" t="s">
        <v>8</v>
      </c>
      <c r="DE258" s="31"/>
      <c r="DH258" s="27" t="s">
        <v>7</v>
      </c>
      <c r="DV258" s="27" t="s">
        <v>7</v>
      </c>
      <c r="DW258" s="27" t="s">
        <v>8</v>
      </c>
      <c r="DY258" s="27" t="s">
        <v>8</v>
      </c>
      <c r="EC258" s="27" t="s">
        <v>8</v>
      </c>
    </row>
    <row r="259" spans="1:135" x14ac:dyDescent="0.25">
      <c r="A259" s="30">
        <v>0.39573395701664765</v>
      </c>
      <c r="B259"/>
      <c r="C259"/>
      <c r="D259"/>
      <c r="E259"/>
      <c r="H259" s="27" t="s">
        <v>7</v>
      </c>
      <c r="AS259" s="27" t="s">
        <v>8</v>
      </c>
      <c r="AT259" s="27" t="s">
        <v>7</v>
      </c>
      <c r="AU259" s="27" t="s">
        <v>8</v>
      </c>
      <c r="AZ259" s="27" t="s">
        <v>7</v>
      </c>
      <c r="BE259" s="27" t="s">
        <v>8</v>
      </c>
      <c r="BG259" s="27" t="s">
        <v>8</v>
      </c>
      <c r="CF259" s="27" t="s">
        <v>7</v>
      </c>
      <c r="CG259" s="27" t="s">
        <v>8</v>
      </c>
      <c r="CJ259" s="27" t="s">
        <v>7</v>
      </c>
      <c r="CK259" s="27" t="s">
        <v>8</v>
      </c>
      <c r="CR259" s="27" t="s">
        <v>7</v>
      </c>
      <c r="CS259" s="32" t="s">
        <v>8</v>
      </c>
      <c r="CU259" s="32" t="s">
        <v>8</v>
      </c>
      <c r="CW259" s="27" t="s">
        <v>8</v>
      </c>
      <c r="CX259" s="31" t="s">
        <v>7</v>
      </c>
      <c r="CY259" s="27" t="s">
        <v>8</v>
      </c>
      <c r="DD259" s="31"/>
      <c r="DV259" s="27" t="s">
        <v>7</v>
      </c>
      <c r="DW259" s="27" t="s">
        <v>8</v>
      </c>
      <c r="DX259" s="27" t="s">
        <v>7</v>
      </c>
      <c r="DY259" s="27" t="s">
        <v>8</v>
      </c>
      <c r="DZ259" s="27" t="s">
        <v>7</v>
      </c>
      <c r="EC259" s="27" t="s">
        <v>8</v>
      </c>
      <c r="ED259" s="27" t="s">
        <v>7</v>
      </c>
    </row>
    <row r="260" spans="1:135" x14ac:dyDescent="0.25">
      <c r="A260" s="30">
        <v>0.37688948287299762</v>
      </c>
      <c r="B260"/>
      <c r="C260"/>
      <c r="D260"/>
      <c r="E260"/>
      <c r="H260" s="27" t="s">
        <v>7</v>
      </c>
      <c r="AS260" s="27" t="s">
        <v>8</v>
      </c>
      <c r="AT260" s="27" t="s">
        <v>7</v>
      </c>
      <c r="AU260" s="27" t="s">
        <v>8</v>
      </c>
      <c r="AZ260" s="27" t="s">
        <v>7</v>
      </c>
      <c r="BA260" s="27" t="s">
        <v>8</v>
      </c>
      <c r="BE260" s="27" t="s">
        <v>8</v>
      </c>
      <c r="BF260" s="27" t="s">
        <v>7</v>
      </c>
      <c r="BG260" s="27" t="s">
        <v>8</v>
      </c>
      <c r="CF260" s="27" t="s">
        <v>7</v>
      </c>
      <c r="CG260" s="27" t="s">
        <v>8</v>
      </c>
      <c r="CJ260" s="27" t="s">
        <v>7</v>
      </c>
      <c r="CK260" s="27" t="s">
        <v>8</v>
      </c>
      <c r="CR260" s="27" t="s">
        <v>7</v>
      </c>
      <c r="CS260" s="27" t="s">
        <v>8</v>
      </c>
      <c r="CT260" s="27" t="s">
        <v>7</v>
      </c>
      <c r="CU260" s="27" t="s">
        <v>8</v>
      </c>
      <c r="CV260" s="27" t="s">
        <v>7</v>
      </c>
      <c r="CW260" s="27" t="s">
        <v>8</v>
      </c>
      <c r="CX260" s="27" t="s">
        <v>7</v>
      </c>
      <c r="CY260" s="27" t="s">
        <v>8</v>
      </c>
      <c r="DC260" s="31"/>
      <c r="DV260" s="27" t="s">
        <v>7</v>
      </c>
      <c r="DW260" s="27" t="s">
        <v>8</v>
      </c>
      <c r="DX260" s="27" t="s">
        <v>7</v>
      </c>
      <c r="DY260" s="27" t="s">
        <v>8</v>
      </c>
      <c r="DZ260" s="27" t="s">
        <v>7</v>
      </c>
      <c r="EA260" s="27" t="s">
        <v>8</v>
      </c>
      <c r="EC260" s="27" t="s">
        <v>8</v>
      </c>
      <c r="ED260" s="27" t="s">
        <v>7</v>
      </c>
    </row>
    <row r="261" spans="1:135" x14ac:dyDescent="0.25">
      <c r="A261" s="30">
        <v>0.35894236464094997</v>
      </c>
      <c r="B261"/>
      <c r="C261"/>
      <c r="D261"/>
      <c r="E261"/>
      <c r="H261" s="27" t="s">
        <v>7</v>
      </c>
      <c r="AQ261" s="27" t="s">
        <v>8</v>
      </c>
      <c r="AS261" s="27" t="s">
        <v>8</v>
      </c>
      <c r="AT261" s="27" t="s">
        <v>7</v>
      </c>
      <c r="AU261" s="27" t="s">
        <v>8</v>
      </c>
      <c r="AZ261" s="27" t="s">
        <v>7</v>
      </c>
      <c r="BA261" s="27" t="s">
        <v>8</v>
      </c>
      <c r="BB261" s="27" t="s">
        <v>7</v>
      </c>
      <c r="BE261" s="27" t="s">
        <v>8</v>
      </c>
      <c r="BF261" s="27" t="s">
        <v>7</v>
      </c>
      <c r="BG261" s="27" t="s">
        <v>8</v>
      </c>
      <c r="CF261" s="27" t="s">
        <v>7</v>
      </c>
      <c r="CG261" s="27" t="s">
        <v>8</v>
      </c>
      <c r="CJ261" s="27" t="s">
        <v>7</v>
      </c>
      <c r="CK261" s="27" t="s">
        <v>8</v>
      </c>
      <c r="CR261" s="27" t="s">
        <v>7</v>
      </c>
      <c r="CS261" s="27" t="s">
        <v>8</v>
      </c>
      <c r="CT261" s="27" t="s">
        <v>7</v>
      </c>
      <c r="CU261" s="27" t="s">
        <v>8</v>
      </c>
      <c r="CV261" s="27" t="s">
        <v>7</v>
      </c>
      <c r="CW261" s="27" t="s">
        <v>8</v>
      </c>
      <c r="CX261" s="27" t="s">
        <v>7</v>
      </c>
      <c r="CY261" s="27" t="s">
        <v>8</v>
      </c>
      <c r="DB261" s="31"/>
      <c r="DV261" s="27" t="s">
        <v>7</v>
      </c>
      <c r="DW261" s="27" t="s">
        <v>8</v>
      </c>
      <c r="DX261" s="27" t="s">
        <v>7</v>
      </c>
      <c r="DZ261" s="27" t="s">
        <v>7</v>
      </c>
      <c r="EA261" s="27" t="s">
        <v>8</v>
      </c>
      <c r="EB261" s="27" t="s">
        <v>7</v>
      </c>
      <c r="EC261" s="27" t="s">
        <v>8</v>
      </c>
      <c r="ED261" s="27" t="s">
        <v>7</v>
      </c>
    </row>
    <row r="262" spans="1:135" x14ac:dyDescent="0.25">
      <c r="A262" s="30">
        <v>0.34184987108661891</v>
      </c>
      <c r="B262"/>
      <c r="C262"/>
      <c r="D262"/>
      <c r="E262"/>
      <c r="H262" s="27" t="s">
        <v>7</v>
      </c>
      <c r="AQ262" s="27" t="s">
        <v>8</v>
      </c>
      <c r="AR262" s="27" t="s">
        <v>7</v>
      </c>
      <c r="AS262" s="27" t="s">
        <v>8</v>
      </c>
      <c r="AT262" s="27" t="s">
        <v>7</v>
      </c>
      <c r="AU262" s="27" t="s">
        <v>8</v>
      </c>
      <c r="AZ262" s="27" t="s">
        <v>7</v>
      </c>
      <c r="BA262" s="27" t="s">
        <v>8</v>
      </c>
      <c r="BB262" s="27" t="s">
        <v>7</v>
      </c>
      <c r="BC262" s="27" t="s">
        <v>8</v>
      </c>
      <c r="BE262" s="27" t="s">
        <v>8</v>
      </c>
      <c r="BF262" s="27" t="s">
        <v>7</v>
      </c>
      <c r="CF262" s="27" t="s">
        <v>7</v>
      </c>
      <c r="CG262" s="27" t="s">
        <v>8</v>
      </c>
      <c r="CJ262" s="27" t="s">
        <v>7</v>
      </c>
      <c r="CK262" s="27" t="s">
        <v>8</v>
      </c>
      <c r="CR262" s="27" t="s">
        <v>7</v>
      </c>
      <c r="CS262" s="27" t="s">
        <v>8</v>
      </c>
      <c r="CT262" s="27" t="s">
        <v>7</v>
      </c>
      <c r="CU262" s="27" t="s">
        <v>8</v>
      </c>
      <c r="CV262" s="27" t="s">
        <v>7</v>
      </c>
      <c r="CX262" s="27" t="s">
        <v>7</v>
      </c>
      <c r="CY262" s="27" t="s">
        <v>8</v>
      </c>
      <c r="DA262" s="31"/>
      <c r="DV262" s="27" t="s">
        <v>7</v>
      </c>
      <c r="DW262" s="27" t="s">
        <v>8</v>
      </c>
      <c r="DZ262" s="27" t="s">
        <v>7</v>
      </c>
      <c r="EA262" s="27" t="s">
        <v>8</v>
      </c>
      <c r="EB262" s="27" t="s">
        <v>7</v>
      </c>
      <c r="EC262" s="27" t="s">
        <v>8</v>
      </c>
      <c r="ED262" s="27" t="s">
        <v>7</v>
      </c>
    </row>
    <row r="263" spans="1:135" x14ac:dyDescent="0.25">
      <c r="A263" s="30">
        <v>0.32557130579677979</v>
      </c>
      <c r="B263"/>
      <c r="C263"/>
      <c r="D263"/>
      <c r="E263"/>
      <c r="H263" s="27" t="s">
        <v>7</v>
      </c>
      <c r="I263" s="27" t="s">
        <v>8</v>
      </c>
      <c r="AO263" s="27" t="s">
        <v>8</v>
      </c>
      <c r="AQ263" s="27" t="s">
        <v>8</v>
      </c>
      <c r="AR263" s="27" t="s">
        <v>7</v>
      </c>
      <c r="AS263" s="27" t="s">
        <v>8</v>
      </c>
      <c r="AT263" s="27" t="s">
        <v>7</v>
      </c>
      <c r="AU263" s="27" t="s">
        <v>8</v>
      </c>
      <c r="AZ263" s="27" t="s">
        <v>7</v>
      </c>
      <c r="BA263" s="27" t="s">
        <v>8</v>
      </c>
      <c r="BB263" s="27" t="s">
        <v>7</v>
      </c>
      <c r="BC263" s="27" t="s">
        <v>8</v>
      </c>
      <c r="BD263" s="27" t="s">
        <v>7</v>
      </c>
      <c r="BE263" s="27" t="s">
        <v>8</v>
      </c>
      <c r="CF263" s="27" t="s">
        <v>7</v>
      </c>
      <c r="CJ263" s="27" t="s">
        <v>7</v>
      </c>
      <c r="CR263" s="27" t="s">
        <v>7</v>
      </c>
      <c r="CS263" s="27" t="s">
        <v>8</v>
      </c>
      <c r="CT263" s="27" t="s">
        <v>7</v>
      </c>
      <c r="CX263" s="33" t="s">
        <v>7</v>
      </c>
      <c r="CY263" s="27" t="s">
        <v>8</v>
      </c>
      <c r="CZ263" s="31"/>
      <c r="DV263" s="27" t="s">
        <v>7</v>
      </c>
      <c r="DW263" s="27" t="s">
        <v>8</v>
      </c>
      <c r="DZ263" s="27" t="s">
        <v>7</v>
      </c>
      <c r="EB263" s="27" t="s">
        <v>7</v>
      </c>
      <c r="ED263" s="27" t="s">
        <v>7</v>
      </c>
    </row>
    <row r="264" spans="1:135" x14ac:dyDescent="0.25">
      <c r="A264" s="30">
        <v>0.3100679102826473</v>
      </c>
      <c r="B264"/>
      <c r="C264"/>
      <c r="D264"/>
      <c r="E264"/>
      <c r="H264" s="27" t="s">
        <v>7</v>
      </c>
      <c r="I264" s="27" t="s">
        <v>8</v>
      </c>
      <c r="J264" s="27" t="s">
        <v>7</v>
      </c>
      <c r="AO264" s="27" t="s">
        <v>8</v>
      </c>
      <c r="AP264" s="27" t="s">
        <v>7</v>
      </c>
      <c r="AQ264" s="27" t="s">
        <v>8</v>
      </c>
      <c r="AR264" s="27" t="s">
        <v>7</v>
      </c>
      <c r="AS264" s="27" t="s">
        <v>8</v>
      </c>
      <c r="AT264" s="27" t="s">
        <v>7</v>
      </c>
      <c r="AU264" s="27" t="s">
        <v>8</v>
      </c>
      <c r="AZ264" s="27" t="s">
        <v>7</v>
      </c>
      <c r="BA264" s="27" t="s">
        <v>8</v>
      </c>
      <c r="BB264" s="27" t="s">
        <v>7</v>
      </c>
      <c r="BC264" s="27" t="s">
        <v>8</v>
      </c>
      <c r="BD264" s="27" t="s">
        <v>7</v>
      </c>
      <c r="BE264" s="27" t="s">
        <v>8</v>
      </c>
      <c r="CR264" s="27" t="s">
        <v>7</v>
      </c>
      <c r="CX264" s="27" t="s">
        <v>7</v>
      </c>
      <c r="CY264" s="31" t="s">
        <v>8</v>
      </c>
      <c r="DV264" s="27" t="s">
        <v>7</v>
      </c>
      <c r="ED264" s="27" t="s">
        <v>7</v>
      </c>
    </row>
    <row r="265" spans="1:135" x14ac:dyDescent="0.25">
      <c r="A265" s="30">
        <v>0.2953027716977592</v>
      </c>
      <c r="B265"/>
      <c r="C265"/>
      <c r="D265"/>
      <c r="E265"/>
      <c r="H265" s="27" t="s">
        <v>7</v>
      </c>
      <c r="I265" s="27" t="s">
        <v>8</v>
      </c>
      <c r="J265" s="27" t="s">
        <v>7</v>
      </c>
      <c r="K265" s="27" t="s">
        <v>8</v>
      </c>
      <c r="AO265" s="27" t="s">
        <v>8</v>
      </c>
      <c r="AP265" s="27" t="s">
        <v>7</v>
      </c>
      <c r="AQ265" s="27" t="s">
        <v>8</v>
      </c>
      <c r="AR265" s="27" t="s">
        <v>7</v>
      </c>
      <c r="AT265" s="27" t="s">
        <v>7</v>
      </c>
      <c r="AZ265" s="27" t="s">
        <v>7</v>
      </c>
      <c r="BA265" s="27" t="s">
        <v>8</v>
      </c>
      <c r="BB265" s="27" t="s">
        <v>7</v>
      </c>
      <c r="BD265" s="27" t="s">
        <v>7</v>
      </c>
      <c r="BE265" s="27" t="s">
        <v>8</v>
      </c>
      <c r="CX265" s="31" t="s">
        <v>7</v>
      </c>
      <c r="ED265" s="27" t="s">
        <v>7</v>
      </c>
    </row>
    <row r="266" spans="1:135" x14ac:dyDescent="0.25">
      <c r="A266" s="30">
        <v>0.28124073495024676</v>
      </c>
      <c r="B266"/>
      <c r="C266"/>
      <c r="D266"/>
      <c r="E266"/>
      <c r="H266" s="27" t="s">
        <v>7</v>
      </c>
      <c r="I266" s="27" t="s">
        <v>8</v>
      </c>
      <c r="J266" s="27" t="s">
        <v>7</v>
      </c>
      <c r="K266" s="27" t="s">
        <v>8</v>
      </c>
      <c r="L266" s="27" t="s">
        <v>7</v>
      </c>
      <c r="AO266" s="27" t="s">
        <v>8</v>
      </c>
      <c r="AP266" s="27" t="s">
        <v>7</v>
      </c>
      <c r="AZ266" s="27" t="s">
        <v>7</v>
      </c>
      <c r="BD266" s="27" t="s">
        <v>7</v>
      </c>
      <c r="ED266" s="27" t="s">
        <v>7</v>
      </c>
    </row>
    <row r="267" spans="1:135" x14ac:dyDescent="0.25">
      <c r="A267" s="30">
        <v>0.26784831900023492</v>
      </c>
      <c r="B267"/>
      <c r="C267"/>
      <c r="D267"/>
      <c r="E267"/>
      <c r="H267" s="27" t="s">
        <v>7</v>
      </c>
      <c r="I267" s="27" t="s">
        <v>8</v>
      </c>
      <c r="J267" s="27" t="s">
        <v>7</v>
      </c>
      <c r="K267" s="27" t="s">
        <v>8</v>
      </c>
      <c r="L267" s="27" t="s">
        <v>7</v>
      </c>
      <c r="AO267" s="27" t="s">
        <v>8</v>
      </c>
      <c r="ED267" s="27" t="s">
        <v>7</v>
      </c>
    </row>
    <row r="268" spans="1:135" x14ac:dyDescent="0.25">
      <c r="A268" s="30">
        <v>0.25509363714308075</v>
      </c>
      <c r="B268"/>
      <c r="C268"/>
      <c r="D268"/>
      <c r="E268"/>
      <c r="H268" s="27" t="s">
        <v>7</v>
      </c>
      <c r="J268" s="27" t="s">
        <v>7</v>
      </c>
      <c r="L268" s="27" t="s">
        <v>7</v>
      </c>
      <c r="AO268" s="27" t="s">
        <v>8</v>
      </c>
      <c r="ED268" s="27" t="s">
        <v>7</v>
      </c>
    </row>
    <row r="269" spans="1:135" x14ac:dyDescent="0.25">
      <c r="A269" s="30">
        <v>0.24294632108864825</v>
      </c>
      <c r="B269"/>
      <c r="C269"/>
      <c r="D269"/>
      <c r="E269"/>
      <c r="L269" s="27" t="s">
        <v>7</v>
      </c>
      <c r="U269" s="27" t="s">
        <v>8</v>
      </c>
      <c r="AK269" s="27" t="s">
        <v>8</v>
      </c>
      <c r="AO269" s="27" t="s">
        <v>8</v>
      </c>
      <c r="ED269" s="27" t="s">
        <v>7</v>
      </c>
      <c r="EE269" s="27" t="s">
        <v>8</v>
      </c>
    </row>
    <row r="270" spans="1:135" x14ac:dyDescent="0.25">
      <c r="A270" s="30">
        <v>0.23137744865585538</v>
      </c>
      <c r="B270"/>
      <c r="C270"/>
      <c r="D270"/>
      <c r="E270"/>
      <c r="L270" s="27" t="s">
        <v>7</v>
      </c>
      <c r="S270" s="27" t="s">
        <v>8</v>
      </c>
      <c r="U270" s="27" t="s">
        <v>8</v>
      </c>
      <c r="V270" s="27" t="s">
        <v>7</v>
      </c>
      <c r="W270" s="27" t="s">
        <v>8</v>
      </c>
      <c r="Y270" s="27" t="s">
        <v>8</v>
      </c>
      <c r="AK270" s="27" t="s">
        <v>8</v>
      </c>
      <c r="AL270" s="27" t="s">
        <v>7</v>
      </c>
      <c r="AO270" s="27" t="s">
        <v>8</v>
      </c>
      <c r="ED270" s="27" t="s">
        <v>7</v>
      </c>
      <c r="EE270" s="27" t="s">
        <v>8</v>
      </c>
    </row>
    <row r="271" spans="1:135" x14ac:dyDescent="0.25">
      <c r="A271" s="30">
        <v>0.22035947491033836</v>
      </c>
      <c r="B271"/>
      <c r="C271"/>
      <c r="D271"/>
      <c r="E271"/>
      <c r="L271" s="27" t="s">
        <v>7</v>
      </c>
      <c r="S271" s="27" t="s">
        <v>8</v>
      </c>
      <c r="T271" s="27" t="s">
        <v>7</v>
      </c>
      <c r="U271" s="27" t="s">
        <v>8</v>
      </c>
      <c r="V271" s="27" t="s">
        <v>7</v>
      </c>
      <c r="W271" s="27" t="s">
        <v>8</v>
      </c>
      <c r="X271" s="27" t="s">
        <v>7</v>
      </c>
      <c r="Y271" s="27" t="s">
        <v>8</v>
      </c>
      <c r="Z271" s="27" t="s">
        <v>7</v>
      </c>
      <c r="AK271" s="27" t="s">
        <v>8</v>
      </c>
      <c r="AL271" s="27" t="s">
        <v>7</v>
      </c>
      <c r="AM271" s="27" t="s">
        <v>8</v>
      </c>
      <c r="AO271" s="27" t="s">
        <v>8</v>
      </c>
      <c r="ED271" s="27" t="s">
        <v>7</v>
      </c>
      <c r="EE271" s="27" t="s">
        <v>8</v>
      </c>
    </row>
    <row r="272" spans="1:135" x14ac:dyDescent="0.25">
      <c r="A272" s="30">
        <v>0.20986616658127455</v>
      </c>
      <c r="B272"/>
      <c r="C272"/>
      <c r="D272"/>
      <c r="E272"/>
      <c r="L272" s="27" t="s">
        <v>7</v>
      </c>
      <c r="Q272" s="27" t="s">
        <v>8</v>
      </c>
      <c r="S272" s="27" t="s">
        <v>8</v>
      </c>
      <c r="T272" s="27" t="s">
        <v>7</v>
      </c>
      <c r="U272" s="27" t="s">
        <v>8</v>
      </c>
      <c r="V272" s="27" t="s">
        <v>7</v>
      </c>
      <c r="W272" s="27" t="s">
        <v>8</v>
      </c>
      <c r="X272" s="27" t="s">
        <v>7</v>
      </c>
      <c r="Y272" s="27" t="s">
        <v>8</v>
      </c>
      <c r="Z272" s="27" t="s">
        <v>7</v>
      </c>
      <c r="AA272" s="27" t="s">
        <v>8</v>
      </c>
      <c r="AK272" s="27" t="s">
        <v>8</v>
      </c>
      <c r="AL272" s="27" t="s">
        <v>7</v>
      </c>
      <c r="AM272" s="27" t="s">
        <v>8</v>
      </c>
      <c r="AN272" s="27" t="s">
        <v>7</v>
      </c>
      <c r="AO272" s="27" t="s">
        <v>8</v>
      </c>
      <c r="ED272" s="27" t="s">
        <v>7</v>
      </c>
    </row>
    <row r="273" spans="1:41" x14ac:dyDescent="0.25">
      <c r="A273" s="30">
        <v>0.19987253960121379</v>
      </c>
      <c r="B273"/>
      <c r="C273"/>
      <c r="D273"/>
      <c r="E273"/>
      <c r="L273" s="27" t="s">
        <v>7</v>
      </c>
      <c r="Q273" s="27" t="s">
        <v>8</v>
      </c>
      <c r="R273" s="27" t="s">
        <v>7</v>
      </c>
      <c r="S273" s="27" t="s">
        <v>8</v>
      </c>
      <c r="T273" s="27" t="s">
        <v>7</v>
      </c>
      <c r="V273" s="27" t="s">
        <v>7</v>
      </c>
      <c r="W273" s="27" t="s">
        <v>8</v>
      </c>
      <c r="X273" s="27" t="s">
        <v>7</v>
      </c>
      <c r="Y273" s="27" t="s">
        <v>8</v>
      </c>
      <c r="Z273" s="27" t="s">
        <v>7</v>
      </c>
      <c r="AA273" s="27" t="s">
        <v>8</v>
      </c>
      <c r="AB273" s="27" t="s">
        <v>7</v>
      </c>
      <c r="AI273" s="27" t="s">
        <v>8</v>
      </c>
      <c r="AK273" s="27" t="s">
        <v>8</v>
      </c>
      <c r="AL273" s="27" t="s">
        <v>7</v>
      </c>
      <c r="AM273" s="27" t="s">
        <v>8</v>
      </c>
      <c r="AN273" s="27" t="s">
        <v>7</v>
      </c>
      <c r="AO273" s="27" t="s">
        <v>8</v>
      </c>
    </row>
    <row r="274" spans="1:41" x14ac:dyDescent="0.25">
      <c r="A274" s="30">
        <v>0.19035479962020352</v>
      </c>
      <c r="B274"/>
      <c r="C274"/>
      <c r="D274"/>
      <c r="E274"/>
      <c r="L274" s="27" t="s">
        <v>7</v>
      </c>
      <c r="Q274" s="27" t="s">
        <v>8</v>
      </c>
      <c r="R274" s="27" t="s">
        <v>7</v>
      </c>
      <c r="S274" s="27" t="s">
        <v>8</v>
      </c>
      <c r="V274" s="27" t="s">
        <v>7</v>
      </c>
      <c r="W274" s="27" t="s">
        <v>8</v>
      </c>
      <c r="X274" s="27" t="s">
        <v>7</v>
      </c>
      <c r="Y274" s="27" t="s">
        <v>8</v>
      </c>
      <c r="Z274" s="27" t="s">
        <v>7</v>
      </c>
      <c r="AA274" s="27" t="s">
        <v>8</v>
      </c>
      <c r="AB274" s="27" t="s">
        <v>7</v>
      </c>
      <c r="AI274" s="27" t="s">
        <v>8</v>
      </c>
      <c r="AJ274" s="27" t="s">
        <v>7</v>
      </c>
      <c r="AK274" s="27" t="s">
        <v>8</v>
      </c>
      <c r="AL274" s="27" t="s">
        <v>7</v>
      </c>
      <c r="AM274" s="27" t="s">
        <v>8</v>
      </c>
      <c r="AN274" s="27" t="s">
        <v>7</v>
      </c>
    </row>
    <row r="275" spans="1:41" x14ac:dyDescent="0.25">
      <c r="A275" s="30">
        <v>0.18129028535257471</v>
      </c>
      <c r="B275"/>
      <c r="C275"/>
      <c r="D275"/>
      <c r="E275"/>
      <c r="L275" s="27" t="s">
        <v>7</v>
      </c>
      <c r="Q275" s="27" t="s">
        <v>8</v>
      </c>
      <c r="R275" s="27" t="s">
        <v>7</v>
      </c>
      <c r="S275" s="27" t="s">
        <v>8</v>
      </c>
      <c r="V275" s="27" t="s">
        <v>7</v>
      </c>
      <c r="W275" s="27" t="s">
        <v>8</v>
      </c>
      <c r="X275" s="27" t="s">
        <v>7</v>
      </c>
      <c r="Z275" s="27" t="s">
        <v>7</v>
      </c>
      <c r="AB275" s="27" t="s">
        <v>7</v>
      </c>
      <c r="AI275" s="27" t="s">
        <v>8</v>
      </c>
      <c r="AJ275" s="27" t="s">
        <v>7</v>
      </c>
      <c r="AK275" s="27" t="s">
        <v>8</v>
      </c>
      <c r="AL275" s="27" t="s">
        <v>7</v>
      </c>
      <c r="AM275" s="27" t="s">
        <v>8</v>
      </c>
    </row>
    <row r="276" spans="1:41" x14ac:dyDescent="0.25">
      <c r="A276" s="30">
        <v>0.17265741462149967</v>
      </c>
      <c r="B276"/>
      <c r="C276"/>
      <c r="D276"/>
      <c r="E276"/>
      <c r="L276" s="27" t="s">
        <v>7</v>
      </c>
      <c r="O276" s="27" t="s">
        <v>8</v>
      </c>
      <c r="Q276" s="27" t="s">
        <v>8</v>
      </c>
      <c r="R276" s="27" t="s">
        <v>7</v>
      </c>
      <c r="V276" s="27" t="s">
        <v>7</v>
      </c>
      <c r="W276" s="27" t="s">
        <v>8</v>
      </c>
      <c r="AB276" s="27" t="s">
        <v>7</v>
      </c>
      <c r="AG276" s="27" t="s">
        <v>8</v>
      </c>
      <c r="AI276" s="27" t="s">
        <v>8</v>
      </c>
      <c r="AJ276" s="27" t="s">
        <v>7</v>
      </c>
      <c r="AK276" s="27" t="s">
        <v>8</v>
      </c>
      <c r="AL276" s="27" t="s">
        <v>7</v>
      </c>
    </row>
    <row r="277" spans="1:41" x14ac:dyDescent="0.25">
      <c r="A277" s="30">
        <v>0.16443563297285677</v>
      </c>
      <c r="B277"/>
      <c r="C277"/>
      <c r="D277"/>
      <c r="E277"/>
      <c r="L277" s="27" t="s">
        <v>7</v>
      </c>
      <c r="M277" s="27" t="s">
        <v>8</v>
      </c>
      <c r="O277" s="27" t="s">
        <v>8</v>
      </c>
      <c r="P277" s="27" t="s">
        <v>7</v>
      </c>
      <c r="Q277" s="27" t="s">
        <v>8</v>
      </c>
      <c r="V277" s="27" t="s">
        <v>7</v>
      </c>
      <c r="AB277" s="27" t="s">
        <v>7</v>
      </c>
      <c r="AG277" s="27" t="s">
        <v>8</v>
      </c>
      <c r="AH277" s="27" t="s">
        <v>7</v>
      </c>
      <c r="AI277" s="27" t="s">
        <v>8</v>
      </c>
      <c r="AJ277" s="27" t="s">
        <v>7</v>
      </c>
      <c r="AK277" s="27" t="s">
        <v>8</v>
      </c>
    </row>
    <row r="278" spans="1:41" x14ac:dyDescent="0.25">
      <c r="A278" s="30">
        <v>0.15660536473605399</v>
      </c>
      <c r="B278"/>
      <c r="C278"/>
      <c r="D278"/>
      <c r="E278"/>
      <c r="L278" s="27" t="s">
        <v>7</v>
      </c>
      <c r="M278" s="27" t="s">
        <v>8</v>
      </c>
      <c r="N278" s="27" t="s">
        <v>7</v>
      </c>
      <c r="O278" s="27" t="s">
        <v>8</v>
      </c>
      <c r="P278" s="27" t="s">
        <v>7</v>
      </c>
      <c r="Q278" s="27" t="s">
        <v>8</v>
      </c>
      <c r="AB278" s="27" t="s">
        <v>7</v>
      </c>
      <c r="AE278" s="27" t="s">
        <v>8</v>
      </c>
      <c r="AG278" s="27" t="s">
        <v>8</v>
      </c>
      <c r="AH278" s="27" t="s">
        <v>7</v>
      </c>
      <c r="AI278" s="27" t="s">
        <v>8</v>
      </c>
      <c r="AJ278" s="27" t="s">
        <v>7</v>
      </c>
      <c r="AK278" s="27" t="s">
        <v>8</v>
      </c>
    </row>
    <row r="279" spans="1:41" x14ac:dyDescent="0.25">
      <c r="A279" s="30">
        <v>0.14914796641528946</v>
      </c>
      <c r="B279"/>
      <c r="C279"/>
      <c r="D279"/>
      <c r="E279"/>
      <c r="L279" s="27" t="s">
        <v>7</v>
      </c>
      <c r="M279" s="27" t="s">
        <v>8</v>
      </c>
      <c r="N279" s="27" t="s">
        <v>7</v>
      </c>
      <c r="O279" s="27" t="s">
        <v>8</v>
      </c>
      <c r="P279" s="27" t="s">
        <v>7</v>
      </c>
      <c r="AB279" s="27" t="s">
        <v>7</v>
      </c>
      <c r="AC279" s="27" t="s">
        <v>8</v>
      </c>
      <c r="AE279" s="27" t="s">
        <v>8</v>
      </c>
      <c r="AF279" s="27" t="s">
        <v>7</v>
      </c>
      <c r="AG279" s="27" t="s">
        <v>8</v>
      </c>
      <c r="AH279" s="27" t="s">
        <v>7</v>
      </c>
      <c r="AI279" s="27" t="s">
        <v>8</v>
      </c>
      <c r="AJ279" s="27" t="s">
        <v>7</v>
      </c>
    </row>
    <row r="280" spans="1:41" x14ac:dyDescent="0.25">
      <c r="A280" s="30">
        <v>0.14204568230027562</v>
      </c>
      <c r="B280"/>
      <c r="C280"/>
      <c r="D280"/>
      <c r="E280"/>
      <c r="L280" s="27" t="s">
        <v>7</v>
      </c>
      <c r="M280" s="27" t="s">
        <v>8</v>
      </c>
      <c r="N280" s="27" t="s">
        <v>7</v>
      </c>
      <c r="O280" s="27" t="s">
        <v>8</v>
      </c>
      <c r="AB280" s="27" t="s">
        <v>7</v>
      </c>
      <c r="AC280" s="27" t="s">
        <v>8</v>
      </c>
      <c r="AD280" s="27" t="s">
        <v>7</v>
      </c>
      <c r="AE280" s="27" t="s">
        <v>8</v>
      </c>
      <c r="AF280" s="27" t="s">
        <v>7</v>
      </c>
      <c r="AG280" s="27" t="s">
        <v>8</v>
      </c>
      <c r="AH280" s="27" t="s">
        <v>7</v>
      </c>
      <c r="AI280" s="27" t="s">
        <v>8</v>
      </c>
    </row>
    <row r="281" spans="1:41" x14ac:dyDescent="0.25">
      <c r="A281" s="30">
        <v>0.13528160219073862</v>
      </c>
      <c r="B281"/>
      <c r="C281"/>
      <c r="D281"/>
      <c r="E281"/>
      <c r="L281" s="27" t="s">
        <v>7</v>
      </c>
      <c r="M281" s="27" t="s">
        <v>8</v>
      </c>
      <c r="N281" s="27" t="s">
        <v>7</v>
      </c>
      <c r="AB281" s="27" t="s">
        <v>7</v>
      </c>
      <c r="AC281" s="27" t="s">
        <v>8</v>
      </c>
      <c r="AD281" s="27" t="s">
        <v>7</v>
      </c>
      <c r="AE281" s="27" t="s">
        <v>8</v>
      </c>
      <c r="AF281" s="27" t="s">
        <v>7</v>
      </c>
      <c r="AG281" s="27" t="s">
        <v>8</v>
      </c>
      <c r="AH281" s="27" t="s">
        <v>7</v>
      </c>
    </row>
    <row r="282" spans="1:41" x14ac:dyDescent="0.25">
      <c r="A282" s="30">
        <v>0.12883962113403674</v>
      </c>
      <c r="B282"/>
      <c r="C282"/>
      <c r="D282"/>
      <c r="E282"/>
      <c r="L282" s="27" t="s">
        <v>7</v>
      </c>
      <c r="M282" s="27" t="s">
        <v>8</v>
      </c>
      <c r="AB282" s="27" t="s">
        <v>7</v>
      </c>
      <c r="AD282" s="27" t="s">
        <v>7</v>
      </c>
      <c r="AE282" s="27" t="s">
        <v>8</v>
      </c>
      <c r="AF282" s="27" t="s">
        <v>7</v>
      </c>
    </row>
    <row r="283" spans="1:41" x14ac:dyDescent="0.25">
      <c r="A283" s="30">
        <v>0.12270440108003494</v>
      </c>
      <c r="B283"/>
      <c r="C283"/>
      <c r="D283"/>
      <c r="E283"/>
      <c r="L283" s="27" t="s">
        <v>7</v>
      </c>
      <c r="AD283" s="27" t="s">
        <v>7</v>
      </c>
    </row>
    <row r="284" spans="1:41" x14ac:dyDescent="0.25">
      <c r="A284" s="30">
        <v>0.11686133436193799</v>
      </c>
      <c r="B284"/>
      <c r="C284"/>
      <c r="D284"/>
      <c r="E284"/>
    </row>
    <row r="285" spans="1:41" x14ac:dyDescent="0.25">
      <c r="A285" s="30">
        <v>0.11129650891613138</v>
      </c>
      <c r="B285"/>
      <c r="C285"/>
      <c r="D285"/>
      <c r="E285"/>
    </row>
    <row r="286" spans="1:41" x14ac:dyDescent="0.25">
      <c r="A286" s="30">
        <v>0.10599667515822032</v>
      </c>
      <c r="B286"/>
      <c r="C286"/>
      <c r="D286"/>
      <c r="E286"/>
    </row>
    <row r="287" spans="1:41" x14ac:dyDescent="0.25">
      <c r="A287" s="30">
        <v>0.10094921443640027</v>
      </c>
      <c r="B287"/>
      <c r="C287"/>
      <c r="D287"/>
      <c r="E287"/>
    </row>
    <row r="288" spans="1:41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07" operator="equal">
      <formula>$U$1</formula>
    </cfRule>
    <cfRule type="cellIs" dxfId="67" priority="908" operator="equal">
      <formula>$S$1</formula>
    </cfRule>
  </conditionalFormatting>
  <conditionalFormatting sqref="D136">
    <cfRule type="cellIs" dxfId="66" priority="905" operator="equal">
      <formula>$S$1</formula>
    </cfRule>
    <cfRule type="cellIs" dxfId="65" priority="906" operator="equal">
      <formula>$U$1</formula>
    </cfRule>
  </conditionalFormatting>
  <conditionalFormatting sqref="C162">
    <cfRule type="cellIs" dxfId="64" priority="903" operator="equal">
      <formula>$U$1</formula>
    </cfRule>
    <cfRule type="cellIs" dxfId="63" priority="904" operator="equal">
      <formula>$S$1</formula>
    </cfRule>
  </conditionalFormatting>
  <conditionalFormatting sqref="D162">
    <cfRule type="cellIs" dxfId="62" priority="901" operator="equal">
      <formula>$S$1</formula>
    </cfRule>
    <cfRule type="cellIs" dxfId="61" priority="902" operator="equal">
      <formula>$U$1</formula>
    </cfRule>
  </conditionalFormatting>
  <conditionalFormatting sqref="C187">
    <cfRule type="cellIs" dxfId="60" priority="899" operator="equal">
      <formula>$U$1</formula>
    </cfRule>
    <cfRule type="cellIs" dxfId="59" priority="900" operator="equal">
      <formula>$S$1</formula>
    </cfRule>
  </conditionalFormatting>
  <conditionalFormatting sqref="D187">
    <cfRule type="cellIs" dxfId="58" priority="897" operator="equal">
      <formula>$S$1</formula>
    </cfRule>
    <cfRule type="cellIs" dxfId="57" priority="898" operator="equal">
      <formula>$U$1</formula>
    </cfRule>
  </conditionalFormatting>
  <conditionalFormatting sqref="C212">
    <cfRule type="cellIs" dxfId="56" priority="895" operator="equal">
      <formula>$U$1</formula>
    </cfRule>
    <cfRule type="cellIs" dxfId="55" priority="896" operator="equal">
      <formula>$S$1</formula>
    </cfRule>
  </conditionalFormatting>
  <conditionalFormatting sqref="D212">
    <cfRule type="cellIs" dxfId="54" priority="893" operator="equal">
      <formula>$S$1</formula>
    </cfRule>
    <cfRule type="cellIs" dxfId="53" priority="894" operator="equal">
      <formula>$U$1</formula>
    </cfRule>
  </conditionalFormatting>
  <conditionalFormatting sqref="C237">
    <cfRule type="cellIs" dxfId="52" priority="891" operator="equal">
      <formula>$U$1</formula>
    </cfRule>
    <cfRule type="cellIs" dxfId="51" priority="892" operator="equal">
      <formula>$S$1</formula>
    </cfRule>
  </conditionalFormatting>
  <conditionalFormatting sqref="D237">
    <cfRule type="cellIs" dxfId="50" priority="889" operator="equal">
      <formula>$S$1</formula>
    </cfRule>
    <cfRule type="cellIs" dxfId="49" priority="890" operator="equal">
      <formula>$U$1</formula>
    </cfRule>
  </conditionalFormatting>
  <conditionalFormatting sqref="C106">
    <cfRule type="cellIs" dxfId="48" priority="887" operator="equal">
      <formula>$U$1</formula>
    </cfRule>
    <cfRule type="cellIs" dxfId="47" priority="888" operator="equal">
      <formula>$S$1</formula>
    </cfRule>
  </conditionalFormatting>
  <conditionalFormatting sqref="D106">
    <cfRule type="cellIs" dxfId="46" priority="885" operator="equal">
      <formula>$S$1</formula>
    </cfRule>
    <cfRule type="cellIs" dxfId="45" priority="886" operator="equal">
      <formula>$U$1</formula>
    </cfRule>
  </conditionalFormatting>
  <conditionalFormatting sqref="C81">
    <cfRule type="cellIs" dxfId="44" priority="883" operator="equal">
      <formula>$U$1</formula>
    </cfRule>
    <cfRule type="cellIs" dxfId="43" priority="884" operator="equal">
      <formula>$S$1</formula>
    </cfRule>
  </conditionalFormatting>
  <conditionalFormatting sqref="D81">
    <cfRule type="cellIs" dxfId="42" priority="881" operator="equal">
      <formula>$S$1</formula>
    </cfRule>
    <cfRule type="cellIs" dxfId="41" priority="882" operator="equal">
      <formula>$U$1</formula>
    </cfRule>
  </conditionalFormatting>
  <conditionalFormatting sqref="C56">
    <cfRule type="cellIs" dxfId="40" priority="879" operator="equal">
      <formula>$U$1</formula>
    </cfRule>
    <cfRule type="cellIs" dxfId="39" priority="880" operator="equal">
      <formula>$S$1</formula>
    </cfRule>
  </conditionalFormatting>
  <conditionalFormatting sqref="D56">
    <cfRule type="cellIs" dxfId="38" priority="877" operator="equal">
      <formula>$S$1</formula>
    </cfRule>
    <cfRule type="cellIs" dxfId="37" priority="878" operator="equal">
      <formula>$U$1</formula>
    </cfRule>
  </conditionalFormatting>
  <conditionalFormatting sqref="C31">
    <cfRule type="cellIs" dxfId="36" priority="875" operator="equal">
      <formula>$U$1</formula>
    </cfRule>
    <cfRule type="cellIs" dxfId="35" priority="876" operator="equal">
      <formula>$S$1</formula>
    </cfRule>
  </conditionalFormatting>
  <conditionalFormatting sqref="D31">
    <cfRule type="cellIs" dxfId="34" priority="873" operator="equal">
      <formula>$S$1</formula>
    </cfRule>
    <cfRule type="cellIs" dxfId="33" priority="87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10" zoomScale="90" zoomScaleNormal="90" workbookViewId="0">
      <pane xSplit="4" topLeftCell="G1" activePane="topRight" state="frozen"/>
      <selection activeCell="A109" sqref="A109"/>
      <selection pane="topRight" activeCell="AR137" sqref="AR13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$A$136</v>
      </c>
      <c r="D111" s="1" t="str">
        <f>ADDRESS(C121-1,D121,1,1)</f>
        <v>$AR$136</v>
      </c>
      <c r="E111"/>
    </row>
    <row r="112" spans="1:5" x14ac:dyDescent="0.25">
      <c r="A112" s="30">
        <v>2.3579476910000019</v>
      </c>
      <c r="C112" s="1" t="str">
        <f>ADDRESS(C121,1,1,1)</f>
        <v>$A$137</v>
      </c>
      <c r="D112" s="1" t="str">
        <f>ADDRESS(C121,D121-1,1,1)</f>
        <v>$AQ$137</v>
      </c>
      <c r="E112"/>
    </row>
    <row r="113" spans="1:44" x14ac:dyDescent="0.25">
      <c r="A113" s="30">
        <v>2.1435888100000016</v>
      </c>
      <c r="C113" s="1" t="str">
        <f>ADDRESS(C121+1,1,1,1)</f>
        <v>$A$138</v>
      </c>
      <c r="D113" s="1" t="str">
        <f>ADDRESS(C121-1,D121+1,1,1)</f>
        <v>$AS$136</v>
      </c>
    </row>
    <row r="114" spans="1:44" x14ac:dyDescent="0.25">
      <c r="A114" s="30">
        <v>1.9487171000000014</v>
      </c>
      <c r="C114" s="1" t="str">
        <f>ADDRESS(C121,D121,1,1)</f>
        <v>$AR$137</v>
      </c>
      <c r="D114" s="1" t="str">
        <f>ADDRESS(C121+1,D121+1,1,1)</f>
        <v>$AS$138</v>
      </c>
    </row>
    <row r="115" spans="1:44" x14ac:dyDescent="0.25">
      <c r="A115" s="30">
        <v>1.7715610000000011</v>
      </c>
      <c r="C115" s="1" t="str">
        <f>ADDRESS(C121+1,D121,1,1)</f>
        <v>$AR$138</v>
      </c>
    </row>
    <row r="116" spans="1:44" x14ac:dyDescent="0.25">
      <c r="A116" s="30">
        <v>1.6105100000000008</v>
      </c>
      <c r="C116" s="1">
        <f>C117-1</f>
        <v>136</v>
      </c>
    </row>
    <row r="117" spans="1:44" x14ac:dyDescent="0.25">
      <c r="A117" s="30">
        <v>1.4641000000000006</v>
      </c>
      <c r="C117" s="1">
        <f>C121</f>
        <v>137</v>
      </c>
      <c r="D117" s="1">
        <f>D121</f>
        <v>44</v>
      </c>
    </row>
    <row r="118" spans="1:44" x14ac:dyDescent="0.25">
      <c r="A118" s="30">
        <v>1.3310000000000004</v>
      </c>
      <c r="C118" s="1">
        <f>C117+1</f>
        <v>138</v>
      </c>
      <c r="D118" s="1">
        <f>D117+1</f>
        <v>45</v>
      </c>
    </row>
    <row r="119" spans="1:44" x14ac:dyDescent="0.25">
      <c r="A119" s="30">
        <v>1.2100000000000002</v>
      </c>
      <c r="Y119" s="27" t="s">
        <v>8</v>
      </c>
    </row>
    <row r="120" spans="1:44" x14ac:dyDescent="0.25">
      <c r="A120" s="30">
        <v>1.1000000000000001</v>
      </c>
      <c r="C120" s="1" t="s">
        <v>9</v>
      </c>
      <c r="Y120" s="27" t="s">
        <v>8</v>
      </c>
      <c r="Z120" s="27" t="s">
        <v>7</v>
      </c>
      <c r="AA120" s="32" t="s">
        <v>8</v>
      </c>
      <c r="AC120" s="32" t="s">
        <v>8</v>
      </c>
    </row>
    <row r="121" spans="1:44" x14ac:dyDescent="0.25">
      <c r="A121" s="30">
        <v>1</v>
      </c>
      <c r="C121" s="18">
        <v>137</v>
      </c>
      <c r="D121" s="19">
        <v>44</v>
      </c>
      <c r="E121" s="18" t="s">
        <v>8</v>
      </c>
      <c r="Y121" s="27" t="s">
        <v>8</v>
      </c>
      <c r="Z121" s="27" t="s">
        <v>7</v>
      </c>
      <c r="AA121" s="27" t="s">
        <v>8</v>
      </c>
      <c r="AB121" s="27" t="s">
        <v>7</v>
      </c>
      <c r="AC121" s="27" t="s">
        <v>8</v>
      </c>
      <c r="AD121" s="31" t="s">
        <v>7</v>
      </c>
    </row>
    <row r="122" spans="1:44" x14ac:dyDescent="0.25">
      <c r="A122" s="30">
        <v>0.90909090909090895</v>
      </c>
      <c r="C122" s="1" t="str">
        <f>INDEX(1:1048576,C117,D117)</f>
        <v>O</v>
      </c>
      <c r="F122" s="27" t="s">
        <v>7</v>
      </c>
      <c r="Y122" s="27" t="s">
        <v>8</v>
      </c>
      <c r="Z122" s="27" t="s">
        <v>7</v>
      </c>
      <c r="AA122" s="27" t="s">
        <v>8</v>
      </c>
      <c r="AB122" s="27" t="s">
        <v>7</v>
      </c>
      <c r="AC122" s="27" t="s">
        <v>8</v>
      </c>
      <c r="AD122" s="27" t="s">
        <v>7</v>
      </c>
      <c r="AE122" s="31"/>
    </row>
    <row r="123" spans="1:44" x14ac:dyDescent="0.25">
      <c r="A123" s="30">
        <v>0.82644628099173523</v>
      </c>
      <c r="C123" s="1" t="str">
        <f>"R"&amp;C121</f>
        <v>R137</v>
      </c>
      <c r="D123" s="1" t="str">
        <f>"C"&amp;D121</f>
        <v>C44</v>
      </c>
      <c r="F123" s="27" t="s">
        <v>7</v>
      </c>
      <c r="Y123" s="27" t="s">
        <v>8</v>
      </c>
      <c r="Z123" s="27" t="s">
        <v>7</v>
      </c>
      <c r="AA123" s="27" t="s">
        <v>8</v>
      </c>
      <c r="AB123" s="27" t="s">
        <v>7</v>
      </c>
      <c r="AC123" s="27" t="s">
        <v>8</v>
      </c>
      <c r="AD123" s="27" t="s">
        <v>7</v>
      </c>
      <c r="AF123" s="31"/>
    </row>
    <row r="124" spans="1:4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Y124" s="27" t="s">
        <v>8</v>
      </c>
      <c r="Z124" s="27" t="s">
        <v>7</v>
      </c>
      <c r="AA124" s="27" t="s">
        <v>8</v>
      </c>
      <c r="AB124" s="27" t="s">
        <v>7</v>
      </c>
      <c r="AC124" s="27" t="s">
        <v>8</v>
      </c>
      <c r="AD124" s="27" t="s">
        <v>7</v>
      </c>
      <c r="AG124" s="31"/>
      <c r="AM124" s="27" t="s">
        <v>8</v>
      </c>
    </row>
    <row r="125" spans="1:44" x14ac:dyDescent="0.25">
      <c r="A125" s="30">
        <v>0.68301345536507019</v>
      </c>
      <c r="F125" s="27" t="s">
        <v>7</v>
      </c>
      <c r="Y125" s="27" t="s">
        <v>8</v>
      </c>
      <c r="Z125" s="27" t="s">
        <v>7</v>
      </c>
      <c r="AA125" s="27" t="s">
        <v>8</v>
      </c>
      <c r="AB125" s="27" t="s">
        <v>7</v>
      </c>
      <c r="AC125" s="27" t="s">
        <v>8</v>
      </c>
      <c r="AD125" s="27" t="s">
        <v>7</v>
      </c>
      <c r="AH125" s="31"/>
      <c r="AM125" s="27" t="s">
        <v>8</v>
      </c>
      <c r="AN125" s="27" t="s">
        <v>7</v>
      </c>
      <c r="AO125" s="27" t="s">
        <v>8</v>
      </c>
    </row>
    <row r="126" spans="1:44" x14ac:dyDescent="0.25">
      <c r="A126" s="30">
        <v>0.6209213230591546</v>
      </c>
      <c r="C126" s="1" t="s">
        <v>10</v>
      </c>
      <c r="F126" s="27" t="s">
        <v>7</v>
      </c>
      <c r="Q126" s="27" t="s">
        <v>8</v>
      </c>
      <c r="Y126" s="27" t="s">
        <v>8</v>
      </c>
      <c r="Z126" s="32" t="s">
        <v>7</v>
      </c>
      <c r="AB126" s="32" t="s">
        <v>7</v>
      </c>
      <c r="AD126" s="27" t="s">
        <v>7</v>
      </c>
      <c r="AE126" s="32" t="s">
        <v>8</v>
      </c>
      <c r="AG126" s="32" t="s">
        <v>8</v>
      </c>
      <c r="AI126" s="32" t="s">
        <v>8</v>
      </c>
      <c r="AM126" s="27" t="s">
        <v>8</v>
      </c>
      <c r="AN126" s="27" t="s">
        <v>7</v>
      </c>
      <c r="AO126" s="27" t="s">
        <v>8</v>
      </c>
      <c r="AP126" s="27" t="s">
        <v>7</v>
      </c>
    </row>
    <row r="127" spans="1:44" x14ac:dyDescent="0.25">
      <c r="A127" s="30">
        <v>0.56447393005377677</v>
      </c>
      <c r="C127" s="30">
        <v>0.2176291357901482</v>
      </c>
      <c r="D127"/>
      <c r="F127" s="27" t="s">
        <v>7</v>
      </c>
      <c r="Q127" s="27" t="s">
        <v>8</v>
      </c>
      <c r="R127" s="27" t="s">
        <v>7</v>
      </c>
      <c r="S127" s="27" t="s">
        <v>8</v>
      </c>
      <c r="W127" s="27" t="s">
        <v>8</v>
      </c>
      <c r="Y127" s="27" t="s">
        <v>8</v>
      </c>
      <c r="AD127" s="27" t="s">
        <v>7</v>
      </c>
      <c r="AE127" s="27" t="s">
        <v>8</v>
      </c>
      <c r="AF127" s="27" t="s">
        <v>7</v>
      </c>
      <c r="AG127" s="27" t="s">
        <v>8</v>
      </c>
      <c r="AH127" s="27" t="s">
        <v>7</v>
      </c>
      <c r="AI127" s="27" t="s">
        <v>8</v>
      </c>
      <c r="AJ127" s="31" t="s">
        <v>7</v>
      </c>
      <c r="AM127" s="27" t="s">
        <v>8</v>
      </c>
      <c r="AN127" s="27" t="s">
        <v>7</v>
      </c>
      <c r="AO127" s="27" t="s">
        <v>8</v>
      </c>
      <c r="AP127" s="27" t="s">
        <v>7</v>
      </c>
      <c r="AR127" s="19"/>
    </row>
    <row r="128" spans="1:44" x14ac:dyDescent="0.25">
      <c r="A128" s="30">
        <v>0.51315811823070612</v>
      </c>
      <c r="F128" s="27" t="s">
        <v>7</v>
      </c>
      <c r="Q128" s="27" t="s">
        <v>8</v>
      </c>
      <c r="R128" s="27" t="s">
        <v>7</v>
      </c>
      <c r="S128" s="27" t="s">
        <v>8</v>
      </c>
      <c r="T128" s="27" t="s">
        <v>7</v>
      </c>
      <c r="W128" s="27" t="s">
        <v>8</v>
      </c>
      <c r="X128" s="27" t="s">
        <v>7</v>
      </c>
      <c r="Y128" s="27" t="s">
        <v>8</v>
      </c>
      <c r="AD128" s="27" t="s">
        <v>7</v>
      </c>
      <c r="AE128" s="27" t="s">
        <v>8</v>
      </c>
      <c r="AF128" s="27" t="s">
        <v>7</v>
      </c>
      <c r="AG128" s="27" t="s">
        <v>8</v>
      </c>
      <c r="AH128" s="27" t="s">
        <v>7</v>
      </c>
      <c r="AI128" s="27" t="s">
        <v>8</v>
      </c>
      <c r="AJ128" s="27" t="s">
        <v>7</v>
      </c>
      <c r="AK128" s="31"/>
      <c r="AM128" s="27" t="s">
        <v>8</v>
      </c>
      <c r="AN128" s="27" t="s">
        <v>7</v>
      </c>
      <c r="AO128" s="27" t="s">
        <v>8</v>
      </c>
      <c r="AP128" s="27" t="s">
        <v>7</v>
      </c>
      <c r="AQ128" s="19"/>
    </row>
    <row r="129" spans="1:4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Q129" s="27" t="s">
        <v>8</v>
      </c>
      <c r="R129" s="27" t="s">
        <v>7</v>
      </c>
      <c r="S129" s="27" t="s">
        <v>8</v>
      </c>
      <c r="T129" s="27" t="s">
        <v>7</v>
      </c>
      <c r="W129" s="27" t="s">
        <v>8</v>
      </c>
      <c r="X129" s="27" t="s">
        <v>7</v>
      </c>
      <c r="Y129" s="27" t="s">
        <v>8</v>
      </c>
      <c r="AD129" s="27" t="s">
        <v>7</v>
      </c>
      <c r="AE129" s="27" t="s">
        <v>8</v>
      </c>
      <c r="AF129" s="27" t="s">
        <v>7</v>
      </c>
      <c r="AG129" s="27" t="s">
        <v>8</v>
      </c>
      <c r="AH129" s="27" t="s">
        <v>7</v>
      </c>
      <c r="AJ129" s="27" t="s">
        <v>7</v>
      </c>
      <c r="AL129" s="31"/>
      <c r="AM129" s="34" t="s">
        <v>8</v>
      </c>
      <c r="AN129" s="27" t="s">
        <v>7</v>
      </c>
      <c r="AO129" s="27" t="s">
        <v>8</v>
      </c>
      <c r="AP129" s="31" t="s">
        <v>7</v>
      </c>
    </row>
    <row r="130" spans="1:44" x14ac:dyDescent="0.25">
      <c r="A130" s="30">
        <v>0.42409761837248428</v>
      </c>
      <c r="C130" s="6"/>
      <c r="D130" s="6"/>
      <c r="E130"/>
      <c r="F130" s="27" t="s">
        <v>7</v>
      </c>
      <c r="O130" s="27" t="s">
        <v>8</v>
      </c>
      <c r="Q130" s="27" t="s">
        <v>8</v>
      </c>
      <c r="R130" s="27" t="s">
        <v>7</v>
      </c>
      <c r="T130" s="27" t="s">
        <v>7</v>
      </c>
      <c r="W130" s="27" t="s">
        <v>8</v>
      </c>
      <c r="X130" s="27" t="s">
        <v>7</v>
      </c>
      <c r="AD130" s="27" t="s">
        <v>7</v>
      </c>
      <c r="AE130" s="27" t="s">
        <v>8</v>
      </c>
      <c r="AF130" s="27" t="s">
        <v>7</v>
      </c>
      <c r="AG130" s="27" t="s">
        <v>8</v>
      </c>
      <c r="AJ130" s="33" t="s">
        <v>7</v>
      </c>
      <c r="AK130" s="27" t="s">
        <v>8</v>
      </c>
      <c r="AM130" s="31" t="s">
        <v>8</v>
      </c>
      <c r="AN130" s="27" t="s">
        <v>7</v>
      </c>
      <c r="AO130" s="31"/>
      <c r="AP130" s="27" t="s">
        <v>7</v>
      </c>
      <c r="AQ130" s="27" t="s">
        <v>8</v>
      </c>
    </row>
    <row r="131" spans="1:44" x14ac:dyDescent="0.25">
      <c r="A131" s="30">
        <v>0.38554328942953109</v>
      </c>
      <c r="E131"/>
      <c r="F131" s="27" t="s">
        <v>7</v>
      </c>
      <c r="O131" s="27" t="s">
        <v>8</v>
      </c>
      <c r="P131" s="27" t="s">
        <v>7</v>
      </c>
      <c r="Q131" s="27" t="s">
        <v>8</v>
      </c>
      <c r="T131" s="27" t="s">
        <v>7</v>
      </c>
      <c r="U131" s="27" t="s">
        <v>8</v>
      </c>
      <c r="W131" s="27" t="s">
        <v>8</v>
      </c>
      <c r="AD131" s="27" t="s">
        <v>7</v>
      </c>
      <c r="AE131" s="27" t="s">
        <v>8</v>
      </c>
      <c r="AF131" s="27" t="s">
        <v>7</v>
      </c>
      <c r="AG131" s="27" t="s">
        <v>8</v>
      </c>
      <c r="AJ131" s="27" t="s">
        <v>7</v>
      </c>
      <c r="AK131" s="27" t="s">
        <v>8</v>
      </c>
      <c r="AL131" s="27" t="s">
        <v>7</v>
      </c>
      <c r="AM131" s="27" t="s">
        <v>8</v>
      </c>
      <c r="AN131" s="31"/>
      <c r="AP131" s="27" t="s">
        <v>7</v>
      </c>
      <c r="AQ131" s="27" t="s">
        <v>8</v>
      </c>
      <c r="AR131" s="27" t="s">
        <v>7</v>
      </c>
    </row>
    <row r="132" spans="1:44" x14ac:dyDescent="0.25">
      <c r="A132" s="30">
        <v>0.35049389948139187</v>
      </c>
      <c r="C132" s="1" t="s">
        <v>13</v>
      </c>
      <c r="E132"/>
      <c r="F132" s="27" t="s">
        <v>7</v>
      </c>
      <c r="O132" s="27" t="s">
        <v>8</v>
      </c>
      <c r="P132" s="27" t="s">
        <v>7</v>
      </c>
      <c r="Q132" s="27" t="s">
        <v>8</v>
      </c>
      <c r="T132" s="27" t="s">
        <v>7</v>
      </c>
      <c r="U132" s="27" t="s">
        <v>8</v>
      </c>
      <c r="V132" s="27" t="s">
        <v>7</v>
      </c>
      <c r="W132" s="27" t="s">
        <v>8</v>
      </c>
      <c r="AD132" s="27" t="s">
        <v>7</v>
      </c>
      <c r="AE132" s="27" t="s">
        <v>8</v>
      </c>
      <c r="AF132" s="27" t="s">
        <v>7</v>
      </c>
      <c r="AJ132" s="27" t="s">
        <v>7</v>
      </c>
      <c r="AK132" s="27" t="s">
        <v>8</v>
      </c>
      <c r="AL132" s="27" t="s">
        <v>7</v>
      </c>
      <c r="AM132" s="31" t="s">
        <v>8</v>
      </c>
      <c r="AP132" s="27" t="s">
        <v>7</v>
      </c>
      <c r="AQ132" s="27" t="s">
        <v>8</v>
      </c>
      <c r="AR132" s="27" t="s">
        <v>7</v>
      </c>
    </row>
    <row r="133" spans="1:44" x14ac:dyDescent="0.25">
      <c r="A133" s="30">
        <v>0.31863081771035617</v>
      </c>
      <c r="C133" s="1" t="str">
        <f>C122</f>
        <v>O</v>
      </c>
      <c r="E133"/>
      <c r="F133" s="27" t="s">
        <v>7</v>
      </c>
      <c r="O133" s="27" t="s">
        <v>8</v>
      </c>
      <c r="P133" s="27" t="s">
        <v>7</v>
      </c>
      <c r="T133" s="31" t="s">
        <v>7</v>
      </c>
      <c r="U133" s="27" t="s">
        <v>8</v>
      </c>
      <c r="V133" s="27" t="s">
        <v>7</v>
      </c>
      <c r="W133" s="27" t="s">
        <v>8</v>
      </c>
      <c r="AD133" s="27" t="s">
        <v>7</v>
      </c>
      <c r="AJ133" s="32" t="s">
        <v>7</v>
      </c>
      <c r="AL133" s="32" t="s">
        <v>7</v>
      </c>
      <c r="AP133" s="27" t="s">
        <v>7</v>
      </c>
      <c r="AR133" s="27" t="s">
        <v>7</v>
      </c>
    </row>
    <row r="134" spans="1:44" x14ac:dyDescent="0.25">
      <c r="A134" s="30">
        <v>0.28966437973668741</v>
      </c>
      <c r="C134"/>
      <c r="D134"/>
      <c r="E134"/>
      <c r="F134" s="27" t="s">
        <v>7</v>
      </c>
      <c r="O134" s="27" t="s">
        <v>8</v>
      </c>
      <c r="S134" s="31"/>
      <c r="T134" s="32" t="s">
        <v>7</v>
      </c>
      <c r="V134" s="32" t="s">
        <v>7</v>
      </c>
      <c r="AR134" s="27" t="s">
        <v>7</v>
      </c>
    </row>
    <row r="135" spans="1:44" x14ac:dyDescent="0.25">
      <c r="A135" s="30">
        <v>0.2633312543060794</v>
      </c>
      <c r="C135" s="1" t="s">
        <v>14</v>
      </c>
      <c r="E135"/>
      <c r="F135" s="27" t="s">
        <v>7</v>
      </c>
      <c r="O135" s="27" t="s">
        <v>8</v>
      </c>
      <c r="R135" s="31"/>
      <c r="AR135" s="27" t="s">
        <v>7</v>
      </c>
    </row>
    <row r="136" spans="1:4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G136" s="27" t="s">
        <v>8</v>
      </c>
      <c r="I136" s="27" t="s">
        <v>8</v>
      </c>
      <c r="M136" s="27" t="s">
        <v>8</v>
      </c>
      <c r="O136" s="27" t="s">
        <v>8</v>
      </c>
      <c r="Q136" s="31"/>
      <c r="AR136" s="27" t="s">
        <v>7</v>
      </c>
    </row>
    <row r="137" spans="1:44" x14ac:dyDescent="0.25">
      <c r="A137" s="30">
        <v>0.2176291357901482</v>
      </c>
      <c r="E137"/>
      <c r="F137" s="27" t="s">
        <v>7</v>
      </c>
      <c r="G137" s="27" t="s">
        <v>8</v>
      </c>
      <c r="H137" s="27" t="s">
        <v>7</v>
      </c>
      <c r="I137" s="27" t="s">
        <v>8</v>
      </c>
      <c r="J137" s="27" t="s">
        <v>7</v>
      </c>
      <c r="M137" s="27" t="s">
        <v>8</v>
      </c>
      <c r="N137" s="27" t="s">
        <v>7</v>
      </c>
      <c r="O137" s="27" t="s">
        <v>8</v>
      </c>
      <c r="P137" s="31"/>
      <c r="AR137" s="27" t="s">
        <v>7</v>
      </c>
    </row>
    <row r="138" spans="1:4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G138" s="27" t="s">
        <v>8</v>
      </c>
      <c r="H138" s="27" t="s">
        <v>7</v>
      </c>
      <c r="I138" s="27" t="s">
        <v>8</v>
      </c>
      <c r="J138" s="27" t="s">
        <v>7</v>
      </c>
      <c r="K138" s="27" t="s">
        <v>8</v>
      </c>
      <c r="M138" s="27" t="s">
        <v>8</v>
      </c>
      <c r="N138" s="27" t="s">
        <v>7</v>
      </c>
      <c r="O138" s="31" t="s">
        <v>8</v>
      </c>
    </row>
    <row r="139" spans="1:44" x14ac:dyDescent="0.25">
      <c r="A139" s="30">
        <v>0.17985878990921333</v>
      </c>
      <c r="E139"/>
      <c r="F139" s="27" t="s">
        <v>7</v>
      </c>
      <c r="G139" s="27" t="s">
        <v>8</v>
      </c>
      <c r="H139" s="27" t="s">
        <v>7</v>
      </c>
      <c r="I139" s="27" t="s">
        <v>8</v>
      </c>
      <c r="J139" s="27" t="s">
        <v>7</v>
      </c>
      <c r="K139" s="27" t="s">
        <v>8</v>
      </c>
      <c r="L139" s="27" t="s">
        <v>7</v>
      </c>
      <c r="M139" s="27" t="s">
        <v>8</v>
      </c>
      <c r="N139" s="31" t="s">
        <v>7</v>
      </c>
    </row>
    <row r="140" spans="1:44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  <c r="H140" s="27" t="s">
        <v>7</v>
      </c>
      <c r="J140" s="27" t="s">
        <v>7</v>
      </c>
      <c r="K140" s="27" t="s">
        <v>8</v>
      </c>
      <c r="L140" s="27" t="s">
        <v>7</v>
      </c>
      <c r="M140" s="31" t="s">
        <v>8</v>
      </c>
    </row>
    <row r="141" spans="1:44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  <c r="J141" s="27" t="s">
        <v>7</v>
      </c>
      <c r="K141" s="27" t="s">
        <v>8</v>
      </c>
      <c r="L141" s="31" t="s">
        <v>7</v>
      </c>
    </row>
    <row r="142" spans="1:44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  <c r="J142" s="27" t="s">
        <v>7</v>
      </c>
      <c r="K142" s="31" t="s">
        <v>8</v>
      </c>
    </row>
    <row r="143" spans="1:44" x14ac:dyDescent="0.25">
      <c r="A143" s="30">
        <v>0.12284597357367205</v>
      </c>
      <c r="C143" s="1">
        <v>3</v>
      </c>
      <c r="E143"/>
      <c r="F143" s="27" t="s">
        <v>7</v>
      </c>
      <c r="J143" s="31" t="s">
        <v>7</v>
      </c>
    </row>
    <row r="144" spans="1:44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91" operator="equal">
      <formula>$U$1</formula>
    </cfRule>
    <cfRule type="cellIs" dxfId="30" priority="892" operator="equal">
      <formula>$S$1</formula>
    </cfRule>
  </conditionalFormatting>
  <conditionalFormatting sqref="D136">
    <cfRule type="cellIs" dxfId="29" priority="889" operator="equal">
      <formula>$S$1</formula>
    </cfRule>
    <cfRule type="cellIs" dxfId="28" priority="890" operator="equal">
      <formula>$U$1</formula>
    </cfRule>
  </conditionalFormatting>
  <conditionalFormatting sqref="C102">
    <cfRule type="cellIs" dxfId="27" priority="887" operator="equal">
      <formula>$U$1</formula>
    </cfRule>
    <cfRule type="cellIs" dxfId="26" priority="888" operator="equal">
      <formula>$S$1</formula>
    </cfRule>
  </conditionalFormatting>
  <conditionalFormatting sqref="D102">
    <cfRule type="cellIs" dxfId="25" priority="885" operator="equal">
      <formula>$S$1</formula>
    </cfRule>
    <cfRule type="cellIs" dxfId="24" priority="886" operator="equal">
      <formula>$U$1</formula>
    </cfRule>
  </conditionalFormatting>
  <conditionalFormatting sqref="C77">
    <cfRule type="cellIs" dxfId="23" priority="883" operator="equal">
      <formula>$U$1</formula>
    </cfRule>
    <cfRule type="cellIs" dxfId="22" priority="884" operator="equal">
      <formula>$S$1</formula>
    </cfRule>
  </conditionalFormatting>
  <conditionalFormatting sqref="D77">
    <cfRule type="cellIs" dxfId="21" priority="881" operator="equal">
      <formula>$S$1</formula>
    </cfRule>
    <cfRule type="cellIs" dxfId="20" priority="882" operator="equal">
      <formula>$U$1</formula>
    </cfRule>
  </conditionalFormatting>
  <conditionalFormatting sqref="C52">
    <cfRule type="cellIs" dxfId="19" priority="879" operator="equal">
      <formula>$U$1</formula>
    </cfRule>
    <cfRule type="cellIs" dxfId="18" priority="880" operator="equal">
      <formula>$S$1</formula>
    </cfRule>
  </conditionalFormatting>
  <conditionalFormatting sqref="D52">
    <cfRule type="cellIs" dxfId="17" priority="877" operator="equal">
      <formula>$S$1</formula>
    </cfRule>
    <cfRule type="cellIs" dxfId="16" priority="878" operator="equal">
      <formula>$U$1</formula>
    </cfRule>
  </conditionalFormatting>
  <conditionalFormatting sqref="C26">
    <cfRule type="cellIs" dxfId="15" priority="875" operator="equal">
      <formula>$U$1</formula>
    </cfRule>
    <cfRule type="cellIs" dxfId="14" priority="876" operator="equal">
      <formula>$S$1</formula>
    </cfRule>
  </conditionalFormatting>
  <conditionalFormatting sqref="D26">
    <cfRule type="cellIs" dxfId="13" priority="873" operator="equal">
      <formula>$S$1</formula>
    </cfRule>
    <cfRule type="cellIs" dxfId="12" priority="87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0.2953027716977592</v>
      </c>
      <c r="F3" s="30">
        <v>0.3100679102826473</v>
      </c>
      <c r="G3" s="30">
        <v>0.64460891621779492</v>
      </c>
      <c r="H3" s="25">
        <f>IF(G3="","",(3*(G3-F3))+E3)</f>
        <v>1.298925789503202</v>
      </c>
      <c r="I3" s="7"/>
      <c r="J3" s="7">
        <f>(E3+G3)/2</f>
        <v>0.46995584395777706</v>
      </c>
      <c r="K3" s="7">
        <f>H3/2</f>
        <v>0.64946289475160102</v>
      </c>
      <c r="M3" s="26">
        <f>IF(OR(J3="",H3=""),"",H3/J3)</f>
        <v>2.7639315612381306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2022-01-28T01:16:42Z</dcterms:modified>
</cp:coreProperties>
</file>