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02DCCC78-47F4-4A26-B232-FEC44ECCD1F1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984" i="1"/>
  <c r="Q984" i="1" s="1"/>
  <c r="R984" i="1" s="1"/>
  <c r="P983" i="1"/>
  <c r="Q983" i="1" s="1"/>
  <c r="P982" i="1"/>
  <c r="Q982" i="1" s="1"/>
  <c r="P981" i="1"/>
  <c r="Q981" i="1" s="1"/>
  <c r="P980" i="1"/>
  <c r="Q980" i="1" s="1"/>
  <c r="P979" i="1"/>
  <c r="Q979" i="1" s="1"/>
  <c r="P978" i="1"/>
  <c r="Q978" i="1" s="1"/>
  <c r="P977" i="1"/>
  <c r="Q977" i="1" s="1"/>
  <c r="P976" i="1"/>
  <c r="Q976" i="1" s="1"/>
  <c r="P975" i="1"/>
  <c r="Q975" i="1" s="1"/>
  <c r="P974" i="1"/>
  <c r="Q974" i="1" s="1"/>
  <c r="P973" i="1"/>
  <c r="Q973" i="1" s="1"/>
  <c r="P972" i="1"/>
  <c r="Q972" i="1" s="1"/>
  <c r="P971" i="1"/>
  <c r="Q971" i="1" s="1"/>
  <c r="P970" i="1"/>
  <c r="Q970" i="1" s="1"/>
  <c r="P969" i="1"/>
  <c r="Q969" i="1" s="1"/>
  <c r="P968" i="1"/>
  <c r="Q968" i="1" s="1"/>
  <c r="P967" i="1"/>
  <c r="Q967" i="1" s="1"/>
  <c r="P966" i="1"/>
  <c r="Q966" i="1" s="1"/>
  <c r="P965" i="1"/>
  <c r="Q965" i="1" s="1"/>
  <c r="P964" i="1"/>
  <c r="Q964" i="1" s="1"/>
  <c r="P963" i="1"/>
  <c r="Q963" i="1" s="1"/>
  <c r="P962" i="1"/>
  <c r="Q962" i="1" s="1"/>
  <c r="P961" i="1"/>
  <c r="Q961" i="1" s="1"/>
  <c r="P960" i="1"/>
  <c r="Q960" i="1" s="1"/>
  <c r="P959" i="1"/>
  <c r="Q959" i="1" s="1"/>
  <c r="P958" i="1"/>
  <c r="Q958" i="1" s="1"/>
  <c r="P957" i="1"/>
  <c r="Q957" i="1" s="1"/>
  <c r="P956" i="1"/>
  <c r="Q956" i="1" s="1"/>
  <c r="P955" i="1"/>
  <c r="Q955" i="1" s="1"/>
  <c r="P954" i="1"/>
  <c r="Q954" i="1" s="1"/>
  <c r="P953" i="1"/>
  <c r="Q953" i="1" s="1"/>
  <c r="P952" i="1"/>
  <c r="Q952" i="1" s="1"/>
  <c r="P951" i="1"/>
  <c r="Q951" i="1" s="1"/>
  <c r="P950" i="1"/>
  <c r="Q950" i="1" s="1"/>
  <c r="P949" i="1"/>
  <c r="Q949" i="1" s="1"/>
  <c r="P948" i="1"/>
  <c r="Q948" i="1" s="1"/>
  <c r="P947" i="1"/>
  <c r="Q947" i="1" s="1"/>
  <c r="P946" i="1"/>
  <c r="Q946" i="1" s="1"/>
  <c r="P945" i="1"/>
  <c r="Q945" i="1" s="1"/>
  <c r="P944" i="1"/>
  <c r="Q944" i="1" s="1"/>
  <c r="P943" i="1"/>
  <c r="Q943" i="1" s="1"/>
  <c r="P942" i="1"/>
  <c r="Q942" i="1" s="1"/>
  <c r="P941" i="1"/>
  <c r="Q941" i="1" s="1"/>
  <c r="P940" i="1"/>
  <c r="Q940" i="1" s="1"/>
  <c r="P939" i="1"/>
  <c r="Q939" i="1" s="1"/>
  <c r="P938" i="1"/>
  <c r="Q938" i="1" s="1"/>
  <c r="P937" i="1"/>
  <c r="Q937" i="1" s="1"/>
  <c r="P936" i="1"/>
  <c r="Q936" i="1" s="1"/>
  <c r="P935" i="1"/>
  <c r="Q935" i="1" s="1"/>
  <c r="P934" i="1"/>
  <c r="Q934" i="1" s="1"/>
  <c r="P933" i="1"/>
  <c r="Q933" i="1" s="1"/>
  <c r="P932" i="1"/>
  <c r="Q932" i="1" s="1"/>
  <c r="P931" i="1"/>
  <c r="Q931" i="1" s="1"/>
  <c r="P930" i="1"/>
  <c r="Q930" i="1" s="1"/>
  <c r="P929" i="1"/>
  <c r="Q929" i="1" s="1"/>
  <c r="P928" i="1"/>
  <c r="Q928" i="1" s="1"/>
  <c r="P927" i="1"/>
  <c r="Q927" i="1" s="1"/>
  <c r="P926" i="1"/>
  <c r="Q926" i="1" s="1"/>
  <c r="P925" i="1"/>
  <c r="Q925" i="1" s="1"/>
  <c r="P924" i="1"/>
  <c r="Q924" i="1" s="1"/>
  <c r="P923" i="1"/>
  <c r="Q923" i="1" s="1"/>
  <c r="P922" i="1"/>
  <c r="Q922" i="1" s="1"/>
  <c r="P921" i="1"/>
  <c r="Q921" i="1" s="1"/>
  <c r="P920" i="1"/>
  <c r="Q920" i="1" s="1"/>
  <c r="P919" i="1"/>
  <c r="Q919" i="1" s="1"/>
  <c r="P918" i="1"/>
  <c r="Q918" i="1" s="1"/>
  <c r="P917" i="1"/>
  <c r="Q917" i="1" s="1"/>
  <c r="P916" i="1"/>
  <c r="Q916" i="1" s="1"/>
  <c r="P915" i="1"/>
  <c r="Q915" i="1" s="1"/>
  <c r="P914" i="1"/>
  <c r="Q914" i="1" s="1"/>
  <c r="P913" i="1"/>
  <c r="Q913" i="1" s="1"/>
  <c r="P912" i="1"/>
  <c r="Q912" i="1" s="1"/>
  <c r="P911" i="1"/>
  <c r="Q911" i="1" s="1"/>
  <c r="P910" i="1"/>
  <c r="Q910" i="1" s="1"/>
  <c r="P909" i="1"/>
  <c r="Q909" i="1" s="1"/>
  <c r="P908" i="1"/>
  <c r="Q908" i="1" s="1"/>
  <c r="P907" i="1"/>
  <c r="Q907" i="1" s="1"/>
  <c r="P906" i="1"/>
  <c r="Q906" i="1" s="1"/>
  <c r="P905" i="1"/>
  <c r="Q905" i="1" s="1"/>
  <c r="P904" i="1"/>
  <c r="Q904" i="1" s="1"/>
  <c r="P903" i="1"/>
  <c r="Q903" i="1" s="1"/>
  <c r="P902" i="1"/>
  <c r="Q902" i="1" s="1"/>
  <c r="P901" i="1"/>
  <c r="Q901" i="1" s="1"/>
  <c r="P900" i="1"/>
  <c r="Q900" i="1" s="1"/>
  <c r="P899" i="1"/>
  <c r="Q899" i="1" s="1"/>
  <c r="P898" i="1"/>
  <c r="Q898" i="1" s="1"/>
  <c r="P897" i="1"/>
  <c r="Q897" i="1" s="1"/>
  <c r="P896" i="1"/>
  <c r="Q896" i="1" s="1"/>
  <c r="P895" i="1"/>
  <c r="Q895" i="1" s="1"/>
  <c r="P894" i="1"/>
  <c r="Q894" i="1" s="1"/>
  <c r="P893" i="1"/>
  <c r="Q893" i="1" s="1"/>
  <c r="P892" i="1"/>
  <c r="Q892" i="1" s="1"/>
  <c r="P891" i="1"/>
  <c r="Q891" i="1" s="1"/>
  <c r="P890" i="1"/>
  <c r="Q890" i="1" s="1"/>
  <c r="P889" i="1"/>
  <c r="Q889" i="1" s="1"/>
  <c r="P888" i="1"/>
  <c r="Q888" i="1" s="1"/>
  <c r="P887" i="1"/>
  <c r="Q887" i="1" s="1"/>
  <c r="P886" i="1"/>
  <c r="Q886" i="1" s="1"/>
  <c r="P885" i="1"/>
  <c r="Q885" i="1" s="1"/>
  <c r="P884" i="1"/>
  <c r="Q884" i="1" s="1"/>
  <c r="P883" i="1"/>
  <c r="Q883" i="1" s="1"/>
  <c r="P882" i="1"/>
  <c r="Q882" i="1" s="1"/>
  <c r="P881" i="1"/>
  <c r="Q881" i="1" s="1"/>
  <c r="P880" i="1"/>
  <c r="Q880" i="1" s="1"/>
  <c r="P879" i="1"/>
  <c r="Q879" i="1" s="1"/>
  <c r="P878" i="1"/>
  <c r="Q878" i="1" s="1"/>
  <c r="P877" i="1"/>
  <c r="Q877" i="1" s="1"/>
  <c r="P876" i="1"/>
  <c r="Q876" i="1" s="1"/>
  <c r="P875" i="1"/>
  <c r="Q875" i="1" s="1"/>
  <c r="P874" i="1"/>
  <c r="Q874" i="1" s="1"/>
  <c r="P873" i="1"/>
  <c r="Q873" i="1" s="1"/>
  <c r="P872" i="1"/>
  <c r="Q872" i="1" s="1"/>
  <c r="P871" i="1"/>
  <c r="Q871" i="1" s="1"/>
  <c r="P870" i="1"/>
  <c r="Q870" i="1" s="1"/>
  <c r="P869" i="1"/>
  <c r="Q869" i="1" s="1"/>
  <c r="P868" i="1"/>
  <c r="Q868" i="1" s="1"/>
  <c r="P867" i="1"/>
  <c r="Q867" i="1" s="1"/>
  <c r="P866" i="1"/>
  <c r="Q866" i="1" s="1"/>
  <c r="P865" i="1"/>
  <c r="Q865" i="1" s="1"/>
  <c r="P864" i="1"/>
  <c r="Q864" i="1" s="1"/>
  <c r="P863" i="1"/>
  <c r="Q863" i="1" s="1"/>
  <c r="P862" i="1"/>
  <c r="Q862" i="1" s="1"/>
  <c r="P861" i="1"/>
  <c r="Q861" i="1" s="1"/>
  <c r="P860" i="1"/>
  <c r="Q860" i="1" s="1"/>
  <c r="P859" i="1"/>
  <c r="Q859" i="1" s="1"/>
  <c r="P858" i="1"/>
  <c r="Q858" i="1" s="1"/>
  <c r="P857" i="1"/>
  <c r="Q857" i="1" s="1"/>
  <c r="P856" i="1"/>
  <c r="Q856" i="1" s="1"/>
  <c r="P855" i="1"/>
  <c r="Q855" i="1" s="1"/>
  <c r="P854" i="1"/>
  <c r="Q854" i="1" s="1"/>
  <c r="P853" i="1"/>
  <c r="Q853" i="1" s="1"/>
  <c r="P852" i="1"/>
  <c r="Q852" i="1" s="1"/>
  <c r="P851" i="1"/>
  <c r="Q851" i="1" s="1"/>
  <c r="P850" i="1"/>
  <c r="Q850" i="1" s="1"/>
  <c r="P849" i="1"/>
  <c r="Q849" i="1" s="1"/>
  <c r="P848" i="1"/>
  <c r="Q848" i="1" s="1"/>
  <c r="P847" i="1"/>
  <c r="Q847" i="1" s="1"/>
  <c r="P846" i="1"/>
  <c r="Q846" i="1" s="1"/>
  <c r="P845" i="1"/>
  <c r="Q845" i="1" s="1"/>
  <c r="P844" i="1"/>
  <c r="Q844" i="1" s="1"/>
  <c r="P843" i="1"/>
  <c r="Q843" i="1" s="1"/>
  <c r="P842" i="1"/>
  <c r="Q842" i="1" s="1"/>
  <c r="P841" i="1"/>
  <c r="Q841" i="1" s="1"/>
  <c r="P840" i="1"/>
  <c r="Q840" i="1" s="1"/>
  <c r="P839" i="1"/>
  <c r="Q839" i="1" s="1"/>
  <c r="P838" i="1"/>
  <c r="Q838" i="1" s="1"/>
  <c r="P837" i="1"/>
  <c r="Q837" i="1" s="1"/>
  <c r="P836" i="1"/>
  <c r="Q836" i="1" s="1"/>
  <c r="P835" i="1"/>
  <c r="Q835" i="1" s="1"/>
  <c r="P834" i="1"/>
  <c r="Q834" i="1" s="1"/>
  <c r="P833" i="1"/>
  <c r="Q833" i="1" s="1"/>
  <c r="P832" i="1"/>
  <c r="Q832" i="1" s="1"/>
  <c r="P831" i="1"/>
  <c r="Q831" i="1" s="1"/>
  <c r="P830" i="1"/>
  <c r="Q830" i="1" s="1"/>
  <c r="P829" i="1"/>
  <c r="Q829" i="1" s="1"/>
  <c r="P828" i="1"/>
  <c r="Q828" i="1" s="1"/>
  <c r="P827" i="1"/>
  <c r="Q827" i="1" s="1"/>
  <c r="P826" i="1"/>
  <c r="Q826" i="1" s="1"/>
  <c r="P825" i="1"/>
  <c r="Q825" i="1" s="1"/>
  <c r="P824" i="1"/>
  <c r="Q824" i="1" s="1"/>
  <c r="P823" i="1"/>
  <c r="Q823" i="1" s="1"/>
  <c r="P822" i="1"/>
  <c r="Q822" i="1" s="1"/>
  <c r="P821" i="1"/>
  <c r="Q821" i="1" s="1"/>
  <c r="P820" i="1"/>
  <c r="Q820" i="1" s="1"/>
  <c r="P819" i="1"/>
  <c r="Q819" i="1" s="1"/>
  <c r="P818" i="1"/>
  <c r="Q818" i="1" s="1"/>
  <c r="P817" i="1"/>
  <c r="Q817" i="1" s="1"/>
  <c r="P816" i="1"/>
  <c r="Q816" i="1" s="1"/>
  <c r="P815" i="1"/>
  <c r="Q815" i="1" s="1"/>
  <c r="P814" i="1"/>
  <c r="Q814" i="1" s="1"/>
  <c r="P813" i="1"/>
  <c r="Q813" i="1" s="1"/>
  <c r="P812" i="1"/>
  <c r="Q812" i="1" s="1"/>
  <c r="P811" i="1"/>
  <c r="Q811" i="1" s="1"/>
  <c r="P810" i="1"/>
  <c r="Q810" i="1" s="1"/>
  <c r="P809" i="1"/>
  <c r="Q809" i="1" s="1"/>
  <c r="P808" i="1"/>
  <c r="Q808" i="1" s="1"/>
  <c r="P807" i="1"/>
  <c r="Q807" i="1" s="1"/>
  <c r="P806" i="1"/>
  <c r="Q806" i="1" s="1"/>
  <c r="P805" i="1"/>
  <c r="Q805" i="1" s="1"/>
  <c r="P804" i="1"/>
  <c r="Q804" i="1" s="1"/>
  <c r="P803" i="1"/>
  <c r="Q803" i="1" s="1"/>
  <c r="P802" i="1"/>
  <c r="Q802" i="1" s="1"/>
  <c r="P801" i="1"/>
  <c r="Q801" i="1" s="1"/>
  <c r="P800" i="1"/>
  <c r="Q800" i="1" s="1"/>
  <c r="P799" i="1"/>
  <c r="Q799" i="1" s="1"/>
  <c r="P798" i="1"/>
  <c r="Q798" i="1" s="1"/>
  <c r="P797" i="1"/>
  <c r="Q797" i="1" s="1"/>
  <c r="P796" i="1"/>
  <c r="Q796" i="1" s="1"/>
  <c r="P795" i="1"/>
  <c r="Q795" i="1" s="1"/>
  <c r="P794" i="1"/>
  <c r="Q794" i="1" s="1"/>
  <c r="P793" i="1"/>
  <c r="Q793" i="1" s="1"/>
  <c r="P792" i="1"/>
  <c r="Q792" i="1" s="1"/>
  <c r="P791" i="1"/>
  <c r="Q791" i="1" s="1"/>
  <c r="P790" i="1"/>
  <c r="Q790" i="1" s="1"/>
  <c r="P789" i="1"/>
  <c r="Q789" i="1" s="1"/>
  <c r="P788" i="1"/>
  <c r="Q788" i="1" s="1"/>
  <c r="P787" i="1"/>
  <c r="Q787" i="1" s="1"/>
  <c r="P786" i="1"/>
  <c r="Q786" i="1" s="1"/>
  <c r="P785" i="1"/>
  <c r="Q785" i="1" s="1"/>
  <c r="P784" i="1"/>
  <c r="Q784" i="1" s="1"/>
  <c r="P783" i="1"/>
  <c r="Q783" i="1" s="1"/>
  <c r="P782" i="1"/>
  <c r="Q782" i="1" s="1"/>
  <c r="P781" i="1"/>
  <c r="Q781" i="1" s="1"/>
  <c r="P780" i="1"/>
  <c r="Q780" i="1" s="1"/>
  <c r="P779" i="1"/>
  <c r="Q779" i="1" s="1"/>
  <c r="P778" i="1"/>
  <c r="Q778" i="1" s="1"/>
  <c r="P777" i="1"/>
  <c r="Q777" i="1" s="1"/>
  <c r="P776" i="1"/>
  <c r="Q776" i="1" s="1"/>
  <c r="P775" i="1"/>
  <c r="Q775" i="1" s="1"/>
  <c r="P774" i="1"/>
  <c r="Q774" i="1" s="1"/>
  <c r="P773" i="1"/>
  <c r="Q773" i="1" s="1"/>
  <c r="P772" i="1"/>
  <c r="Q772" i="1" s="1"/>
  <c r="P771" i="1"/>
  <c r="Q771" i="1" s="1"/>
  <c r="P770" i="1"/>
  <c r="Q770" i="1" s="1"/>
  <c r="P769" i="1"/>
  <c r="Q769" i="1" s="1"/>
  <c r="P768" i="1"/>
  <c r="Q768" i="1" s="1"/>
  <c r="P767" i="1"/>
  <c r="Q767" i="1" s="1"/>
  <c r="P766" i="1"/>
  <c r="Q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984" i="1"/>
  <c r="T984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6" i="5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6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D136" i="5" s="1"/>
  <c r="C122" i="4"/>
  <c r="C133" i="4" s="1"/>
  <c r="D136" i="4" s="1"/>
  <c r="C118" i="4"/>
  <c r="R983" i="1"/>
  <c r="S983" i="1" s="1"/>
  <c r="T983" i="1" s="1"/>
  <c r="C116" i="3"/>
  <c r="C122" i="3"/>
  <c r="C133" i="3" s="1"/>
  <c r="D136" i="3" s="1"/>
  <c r="R982" i="1" l="1"/>
  <c r="C136" i="5"/>
  <c r="C138" i="5" s="1"/>
  <c r="C136" i="4"/>
  <c r="C138" i="4" s="1"/>
  <c r="C136" i="3"/>
  <c r="C138" i="3" s="1"/>
  <c r="R981" i="1"/>
  <c r="S982" i="1"/>
  <c r="T982" i="1" s="1"/>
  <c r="R980" i="1" l="1"/>
  <c r="S981" i="1"/>
  <c r="T981" i="1" s="1"/>
  <c r="R979" i="1" l="1"/>
  <c r="S980" i="1"/>
  <c r="T980" i="1" s="1"/>
  <c r="R978" i="1" l="1"/>
  <c r="S979" i="1"/>
  <c r="T979" i="1" s="1"/>
  <c r="R977" i="1" l="1"/>
  <c r="S978" i="1"/>
  <c r="T978" i="1" s="1"/>
  <c r="R976" i="1" l="1"/>
  <c r="S977" i="1"/>
  <c r="T977" i="1" s="1"/>
  <c r="R975" i="1" l="1"/>
  <c r="S976" i="1"/>
  <c r="T976" i="1" s="1"/>
  <c r="R974" i="1" l="1"/>
  <c r="S975" i="1"/>
  <c r="T975" i="1" s="1"/>
  <c r="R973" i="1" l="1"/>
  <c r="S974" i="1"/>
  <c r="T974" i="1" s="1"/>
  <c r="R972" i="1" l="1"/>
  <c r="S973" i="1"/>
  <c r="T973" i="1" s="1"/>
  <c r="R971" i="1" l="1"/>
  <c r="S972" i="1"/>
  <c r="T972" i="1" s="1"/>
  <c r="R970" i="1" l="1"/>
  <c r="S971" i="1"/>
  <c r="T971" i="1" s="1"/>
  <c r="R969" i="1" l="1"/>
  <c r="S970" i="1"/>
  <c r="T970" i="1" s="1"/>
  <c r="R968" i="1" l="1"/>
  <c r="S969" i="1"/>
  <c r="T969" i="1" s="1"/>
  <c r="R967" i="1" l="1"/>
  <c r="S968" i="1"/>
  <c r="T968" i="1" s="1"/>
  <c r="R966" i="1" l="1"/>
  <c r="S967" i="1"/>
  <c r="T967" i="1" s="1"/>
  <c r="R965" i="1" l="1"/>
  <c r="S966" i="1"/>
  <c r="T966" i="1" s="1"/>
  <c r="R964" i="1" l="1"/>
  <c r="S965" i="1"/>
  <c r="T965" i="1" s="1"/>
  <c r="R963" i="1" l="1"/>
  <c r="S964" i="1"/>
  <c r="T964" i="1" s="1"/>
  <c r="R962" i="1" l="1"/>
  <c r="S963" i="1"/>
  <c r="T963" i="1" s="1"/>
  <c r="R961" i="1" l="1"/>
  <c r="S962" i="1"/>
  <c r="T962" i="1" s="1"/>
  <c r="R960" i="1" l="1"/>
  <c r="S961" i="1"/>
  <c r="T961" i="1" s="1"/>
  <c r="R959" i="1" l="1"/>
  <c r="S960" i="1"/>
  <c r="T960" i="1" s="1"/>
  <c r="R958" i="1" l="1"/>
  <c r="S959" i="1"/>
  <c r="T959" i="1" s="1"/>
  <c r="R957" i="1" l="1"/>
  <c r="S958" i="1"/>
  <c r="T958" i="1" s="1"/>
  <c r="R956" i="1" l="1"/>
  <c r="S957" i="1"/>
  <c r="T957" i="1" s="1"/>
  <c r="R955" i="1" l="1"/>
  <c r="S956" i="1"/>
  <c r="T956" i="1" s="1"/>
  <c r="R954" i="1" l="1"/>
  <c r="S955" i="1"/>
  <c r="T955" i="1" s="1"/>
  <c r="R953" i="1" l="1"/>
  <c r="S954" i="1"/>
  <c r="T954" i="1" s="1"/>
  <c r="R952" i="1" l="1"/>
  <c r="S953" i="1"/>
  <c r="T953" i="1" s="1"/>
  <c r="R951" i="1" l="1"/>
  <c r="S952" i="1"/>
  <c r="T952" i="1" s="1"/>
  <c r="R950" i="1" l="1"/>
  <c r="S951" i="1"/>
  <c r="T951" i="1" s="1"/>
  <c r="R949" i="1" l="1"/>
  <c r="S950" i="1"/>
  <c r="T950" i="1" s="1"/>
  <c r="R948" i="1" l="1"/>
  <c r="S949" i="1"/>
  <c r="T949" i="1" s="1"/>
  <c r="R947" i="1" l="1"/>
  <c r="S948" i="1"/>
  <c r="T948" i="1" s="1"/>
  <c r="R946" i="1" l="1"/>
  <c r="S947" i="1"/>
  <c r="T947" i="1" s="1"/>
  <c r="R945" i="1" l="1"/>
  <c r="S946" i="1"/>
  <c r="T946" i="1" s="1"/>
  <c r="R944" i="1" l="1"/>
  <c r="S945" i="1"/>
  <c r="T945" i="1" s="1"/>
  <c r="R943" i="1" l="1"/>
  <c r="S944" i="1"/>
  <c r="T944" i="1" s="1"/>
  <c r="R942" i="1" l="1"/>
  <c r="S943" i="1"/>
  <c r="T943" i="1" s="1"/>
  <c r="R941" i="1" l="1"/>
  <c r="S942" i="1"/>
  <c r="T942" i="1" s="1"/>
  <c r="R940" i="1" l="1"/>
  <c r="S941" i="1"/>
  <c r="T941" i="1" s="1"/>
  <c r="R939" i="1" l="1"/>
  <c r="S940" i="1"/>
  <c r="T940" i="1" s="1"/>
  <c r="R938" i="1" l="1"/>
  <c r="S939" i="1"/>
  <c r="T939" i="1" s="1"/>
  <c r="R937" i="1" l="1"/>
  <c r="S938" i="1"/>
  <c r="T938" i="1" s="1"/>
  <c r="R936" i="1" l="1"/>
  <c r="S937" i="1"/>
  <c r="T937" i="1" s="1"/>
  <c r="R935" i="1" l="1"/>
  <c r="S936" i="1"/>
  <c r="T936" i="1" s="1"/>
  <c r="R934" i="1" l="1"/>
  <c r="S935" i="1"/>
  <c r="T935" i="1" s="1"/>
  <c r="R933" i="1" l="1"/>
  <c r="S934" i="1"/>
  <c r="T934" i="1" s="1"/>
  <c r="R932" i="1" l="1"/>
  <c r="S933" i="1"/>
  <c r="T933" i="1" s="1"/>
  <c r="R931" i="1" l="1"/>
  <c r="S932" i="1"/>
  <c r="T932" i="1" s="1"/>
  <c r="R930" i="1" l="1"/>
  <c r="S931" i="1"/>
  <c r="T931" i="1" s="1"/>
  <c r="R929" i="1" l="1"/>
  <c r="S930" i="1"/>
  <c r="T930" i="1" s="1"/>
  <c r="R928" i="1" l="1"/>
  <c r="S929" i="1"/>
  <c r="T929" i="1" s="1"/>
  <c r="R927" i="1" l="1"/>
  <c r="S928" i="1"/>
  <c r="T928" i="1" s="1"/>
  <c r="R926" i="1" l="1"/>
  <c r="S927" i="1"/>
  <c r="T927" i="1" s="1"/>
  <c r="R925" i="1" l="1"/>
  <c r="S926" i="1"/>
  <c r="T926" i="1" s="1"/>
  <c r="R924" i="1" l="1"/>
  <c r="S925" i="1"/>
  <c r="T925" i="1" s="1"/>
  <c r="R923" i="1" l="1"/>
  <c r="S924" i="1"/>
  <c r="T924" i="1" s="1"/>
  <c r="R922" i="1" l="1"/>
  <c r="S923" i="1"/>
  <c r="T923" i="1" s="1"/>
  <c r="R921" i="1" l="1"/>
  <c r="S922" i="1"/>
  <c r="T922" i="1" s="1"/>
  <c r="R920" i="1" l="1"/>
  <c r="S921" i="1"/>
  <c r="T921" i="1" s="1"/>
  <c r="R919" i="1" l="1"/>
  <c r="S920" i="1"/>
  <c r="T920" i="1" s="1"/>
  <c r="R918" i="1" l="1"/>
  <c r="S919" i="1"/>
  <c r="T919" i="1" s="1"/>
  <c r="R917" i="1" l="1"/>
  <c r="S918" i="1"/>
  <c r="T918" i="1" s="1"/>
  <c r="R916" i="1" l="1"/>
  <c r="S917" i="1"/>
  <c r="T917" i="1" s="1"/>
  <c r="R915" i="1" l="1"/>
  <c r="S916" i="1"/>
  <c r="T916" i="1" s="1"/>
  <c r="R914" i="1" l="1"/>
  <c r="S915" i="1"/>
  <c r="T915" i="1" s="1"/>
  <c r="R913" i="1" l="1"/>
  <c r="S914" i="1"/>
  <c r="T914" i="1" s="1"/>
  <c r="R912" i="1" l="1"/>
  <c r="S913" i="1"/>
  <c r="T913" i="1" s="1"/>
  <c r="R911" i="1" l="1"/>
  <c r="S912" i="1"/>
  <c r="T912" i="1" s="1"/>
  <c r="R910" i="1" l="1"/>
  <c r="S911" i="1"/>
  <c r="T911" i="1" s="1"/>
  <c r="R909" i="1" l="1"/>
  <c r="S910" i="1"/>
  <c r="T910" i="1" s="1"/>
  <c r="R908" i="1" l="1"/>
  <c r="S909" i="1"/>
  <c r="T909" i="1" s="1"/>
  <c r="R907" i="1" l="1"/>
  <c r="S908" i="1"/>
  <c r="T908" i="1" s="1"/>
  <c r="R906" i="1" l="1"/>
  <c r="S907" i="1"/>
  <c r="T907" i="1" s="1"/>
  <c r="R905" i="1" l="1"/>
  <c r="S906" i="1"/>
  <c r="T906" i="1" s="1"/>
  <c r="R904" i="1" l="1"/>
  <c r="S905" i="1"/>
  <c r="T905" i="1" s="1"/>
  <c r="R903" i="1" l="1"/>
  <c r="S904" i="1"/>
  <c r="T904" i="1" s="1"/>
  <c r="R902" i="1" l="1"/>
  <c r="S903" i="1"/>
  <c r="T903" i="1" s="1"/>
  <c r="R901" i="1" l="1"/>
  <c r="S902" i="1"/>
  <c r="T902" i="1" s="1"/>
  <c r="R900" i="1" l="1"/>
  <c r="S901" i="1"/>
  <c r="T901" i="1" s="1"/>
  <c r="R899" i="1" l="1"/>
  <c r="S900" i="1"/>
  <c r="T900" i="1" s="1"/>
  <c r="R898" i="1" l="1"/>
  <c r="S899" i="1"/>
  <c r="T899" i="1" s="1"/>
  <c r="R897" i="1" l="1"/>
  <c r="S898" i="1"/>
  <c r="T898" i="1" s="1"/>
  <c r="R896" i="1" l="1"/>
  <c r="S897" i="1"/>
  <c r="T897" i="1" s="1"/>
  <c r="R895" i="1" l="1"/>
  <c r="S896" i="1"/>
  <c r="T896" i="1" s="1"/>
  <c r="R894" i="1" l="1"/>
  <c r="S895" i="1"/>
  <c r="T895" i="1" s="1"/>
  <c r="R893" i="1" l="1"/>
  <c r="S894" i="1"/>
  <c r="T894" i="1" s="1"/>
  <c r="R892" i="1" l="1"/>
  <c r="S893" i="1"/>
  <c r="T893" i="1" s="1"/>
  <c r="R891" i="1" l="1"/>
  <c r="S892" i="1"/>
  <c r="T892" i="1" s="1"/>
  <c r="R890" i="1" l="1"/>
  <c r="S891" i="1"/>
  <c r="T891" i="1" s="1"/>
  <c r="R889" i="1" l="1"/>
  <c r="S890" i="1"/>
  <c r="T890" i="1" s="1"/>
  <c r="R888" i="1" l="1"/>
  <c r="S889" i="1"/>
  <c r="T889" i="1" s="1"/>
  <c r="R887" i="1" l="1"/>
  <c r="S888" i="1"/>
  <c r="T888" i="1" s="1"/>
  <c r="R886" i="1" l="1"/>
  <c r="S887" i="1"/>
  <c r="T887" i="1" s="1"/>
  <c r="R885" i="1" l="1"/>
  <c r="S886" i="1"/>
  <c r="T886" i="1" s="1"/>
  <c r="R884" i="1" l="1"/>
  <c r="S885" i="1"/>
  <c r="T885" i="1" s="1"/>
  <c r="R883" i="1" l="1"/>
  <c r="S884" i="1"/>
  <c r="T884" i="1" s="1"/>
  <c r="R882" i="1" l="1"/>
  <c r="S883" i="1"/>
  <c r="T883" i="1" s="1"/>
  <c r="R881" i="1" l="1"/>
  <c r="S882" i="1"/>
  <c r="T882" i="1" s="1"/>
  <c r="R880" i="1" l="1"/>
  <c r="S881" i="1"/>
  <c r="T881" i="1" s="1"/>
  <c r="R879" i="1" l="1"/>
  <c r="S880" i="1"/>
  <c r="T880" i="1" s="1"/>
  <c r="R878" i="1" l="1"/>
  <c r="S879" i="1"/>
  <c r="T879" i="1" s="1"/>
  <c r="R877" i="1" l="1"/>
  <c r="S878" i="1"/>
  <c r="T878" i="1" s="1"/>
  <c r="R876" i="1" l="1"/>
  <c r="S877" i="1"/>
  <c r="T877" i="1" s="1"/>
  <c r="R875" i="1" l="1"/>
  <c r="S876" i="1"/>
  <c r="T876" i="1" s="1"/>
  <c r="R874" i="1" l="1"/>
  <c r="S875" i="1"/>
  <c r="T875" i="1" s="1"/>
  <c r="R873" i="1" l="1"/>
  <c r="S874" i="1"/>
  <c r="T874" i="1" s="1"/>
  <c r="R872" i="1" l="1"/>
  <c r="S873" i="1"/>
  <c r="T873" i="1" s="1"/>
  <c r="R871" i="1" l="1"/>
  <c r="S872" i="1"/>
  <c r="T872" i="1" s="1"/>
  <c r="R870" i="1" l="1"/>
  <c r="S871" i="1"/>
  <c r="T871" i="1" s="1"/>
  <c r="R869" i="1" l="1"/>
  <c r="S870" i="1"/>
  <c r="T870" i="1" s="1"/>
  <c r="R868" i="1" l="1"/>
  <c r="S869" i="1"/>
  <c r="T869" i="1" s="1"/>
  <c r="R867" i="1" l="1"/>
  <c r="S868" i="1"/>
  <c r="T868" i="1" s="1"/>
  <c r="R866" i="1" l="1"/>
  <c r="S867" i="1"/>
  <c r="T867" i="1" s="1"/>
  <c r="R865" i="1" l="1"/>
  <c r="S866" i="1"/>
  <c r="T866" i="1" s="1"/>
  <c r="R864" i="1" l="1"/>
  <c r="S865" i="1"/>
  <c r="T865" i="1" s="1"/>
  <c r="R863" i="1" l="1"/>
  <c r="S864" i="1"/>
  <c r="T864" i="1" s="1"/>
  <c r="R862" i="1" l="1"/>
  <c r="S863" i="1"/>
  <c r="T863" i="1" s="1"/>
  <c r="R861" i="1" l="1"/>
  <c r="S862" i="1"/>
  <c r="T862" i="1" s="1"/>
  <c r="R860" i="1" l="1"/>
  <c r="S861" i="1"/>
  <c r="T861" i="1" s="1"/>
  <c r="R859" i="1" l="1"/>
  <c r="S860" i="1"/>
  <c r="T860" i="1" s="1"/>
  <c r="R858" i="1" l="1"/>
  <c r="S859" i="1"/>
  <c r="T859" i="1" s="1"/>
  <c r="R857" i="1" l="1"/>
  <c r="S858" i="1"/>
  <c r="T858" i="1" s="1"/>
  <c r="R856" i="1" l="1"/>
  <c r="S857" i="1"/>
  <c r="T857" i="1" s="1"/>
  <c r="R855" i="1" l="1"/>
  <c r="S856" i="1"/>
  <c r="T856" i="1" s="1"/>
  <c r="R854" i="1" l="1"/>
  <c r="S855" i="1"/>
  <c r="T855" i="1" s="1"/>
  <c r="R853" i="1" l="1"/>
  <c r="S854" i="1"/>
  <c r="T854" i="1" s="1"/>
  <c r="R852" i="1" l="1"/>
  <c r="S853" i="1"/>
  <c r="T853" i="1" s="1"/>
  <c r="R851" i="1" l="1"/>
  <c r="S852" i="1"/>
  <c r="T852" i="1" s="1"/>
  <c r="R850" i="1" l="1"/>
  <c r="S851" i="1"/>
  <c r="T851" i="1" s="1"/>
  <c r="R849" i="1" l="1"/>
  <c r="S850" i="1"/>
  <c r="T850" i="1" s="1"/>
  <c r="R848" i="1" l="1"/>
  <c r="S849" i="1"/>
  <c r="T849" i="1" s="1"/>
  <c r="R847" i="1" l="1"/>
  <c r="S848" i="1"/>
  <c r="T848" i="1" s="1"/>
  <c r="R846" i="1" l="1"/>
  <c r="S847" i="1"/>
  <c r="T847" i="1" s="1"/>
  <c r="R845" i="1" l="1"/>
  <c r="S846" i="1"/>
  <c r="T846" i="1" s="1"/>
  <c r="R844" i="1" l="1"/>
  <c r="S845" i="1"/>
  <c r="T845" i="1" s="1"/>
  <c r="R843" i="1" l="1"/>
  <c r="S844" i="1"/>
  <c r="T844" i="1" s="1"/>
  <c r="R842" i="1" l="1"/>
  <c r="S843" i="1"/>
  <c r="T843" i="1" s="1"/>
  <c r="R841" i="1" l="1"/>
  <c r="S842" i="1"/>
  <c r="T842" i="1" s="1"/>
  <c r="R840" i="1" l="1"/>
  <c r="S841" i="1"/>
  <c r="T841" i="1" s="1"/>
  <c r="R839" i="1" l="1"/>
  <c r="S840" i="1"/>
  <c r="T840" i="1" s="1"/>
  <c r="R838" i="1" l="1"/>
  <c r="S839" i="1"/>
  <c r="T839" i="1" s="1"/>
  <c r="R837" i="1" l="1"/>
  <c r="S838" i="1"/>
  <c r="T838" i="1" s="1"/>
  <c r="R836" i="1" l="1"/>
  <c r="S837" i="1"/>
  <c r="T837" i="1" s="1"/>
  <c r="R835" i="1" l="1"/>
  <c r="S836" i="1"/>
  <c r="T836" i="1" s="1"/>
  <c r="R834" i="1" l="1"/>
  <c r="S835" i="1"/>
  <c r="T835" i="1" s="1"/>
  <c r="R833" i="1" l="1"/>
  <c r="S834" i="1"/>
  <c r="T834" i="1" s="1"/>
  <c r="R832" i="1" l="1"/>
  <c r="S833" i="1"/>
  <c r="T833" i="1" s="1"/>
  <c r="R831" i="1" l="1"/>
  <c r="S832" i="1"/>
  <c r="T832" i="1" s="1"/>
  <c r="R830" i="1" l="1"/>
  <c r="S831" i="1"/>
  <c r="T831" i="1" s="1"/>
  <c r="R829" i="1" l="1"/>
  <c r="S830" i="1"/>
  <c r="T830" i="1" s="1"/>
  <c r="R828" i="1" l="1"/>
  <c r="S829" i="1"/>
  <c r="T829" i="1" s="1"/>
  <c r="R827" i="1" l="1"/>
  <c r="S828" i="1"/>
  <c r="T828" i="1" s="1"/>
  <c r="R826" i="1" l="1"/>
  <c r="S827" i="1"/>
  <c r="T827" i="1" s="1"/>
  <c r="R825" i="1" l="1"/>
  <c r="S826" i="1"/>
  <c r="T826" i="1" s="1"/>
  <c r="R824" i="1" l="1"/>
  <c r="S825" i="1"/>
  <c r="T825" i="1" s="1"/>
  <c r="R823" i="1" l="1"/>
  <c r="S824" i="1"/>
  <c r="T824" i="1" s="1"/>
  <c r="R822" i="1" l="1"/>
  <c r="S823" i="1"/>
  <c r="T823" i="1" s="1"/>
  <c r="R821" i="1" l="1"/>
  <c r="S822" i="1"/>
  <c r="T822" i="1" s="1"/>
  <c r="R820" i="1" l="1"/>
  <c r="S821" i="1"/>
  <c r="T821" i="1" s="1"/>
  <c r="R819" i="1" l="1"/>
  <c r="S820" i="1"/>
  <c r="T820" i="1" s="1"/>
  <c r="R818" i="1" l="1"/>
  <c r="S819" i="1"/>
  <c r="T819" i="1" s="1"/>
  <c r="R817" i="1" l="1"/>
  <c r="S818" i="1"/>
  <c r="T818" i="1" s="1"/>
  <c r="R816" i="1" l="1"/>
  <c r="S817" i="1"/>
  <c r="T817" i="1" s="1"/>
  <c r="R815" i="1" l="1"/>
  <c r="S816" i="1"/>
  <c r="T816" i="1" s="1"/>
  <c r="R814" i="1" l="1"/>
  <c r="S815" i="1"/>
  <c r="T815" i="1" s="1"/>
  <c r="R813" i="1" l="1"/>
  <c r="S814" i="1"/>
  <c r="T814" i="1" s="1"/>
  <c r="R812" i="1" l="1"/>
  <c r="S813" i="1"/>
  <c r="T813" i="1" s="1"/>
  <c r="R811" i="1" l="1"/>
  <c r="S812" i="1"/>
  <c r="T812" i="1" s="1"/>
  <c r="R810" i="1" l="1"/>
  <c r="S811" i="1"/>
  <c r="T811" i="1" s="1"/>
  <c r="R809" i="1" l="1"/>
  <c r="S810" i="1"/>
  <c r="T810" i="1" s="1"/>
  <c r="R808" i="1" l="1"/>
  <c r="S809" i="1"/>
  <c r="T809" i="1" s="1"/>
  <c r="R807" i="1" l="1"/>
  <c r="S808" i="1"/>
  <c r="T808" i="1" s="1"/>
  <c r="R806" i="1" l="1"/>
  <c r="S807" i="1"/>
  <c r="T807" i="1" s="1"/>
  <c r="R805" i="1" l="1"/>
  <c r="S806" i="1"/>
  <c r="T806" i="1" s="1"/>
  <c r="R804" i="1" l="1"/>
  <c r="S805" i="1"/>
  <c r="T805" i="1" s="1"/>
  <c r="R803" i="1" l="1"/>
  <c r="S804" i="1"/>
  <c r="T804" i="1" s="1"/>
  <c r="R802" i="1" l="1"/>
  <c r="S803" i="1"/>
  <c r="T803" i="1" s="1"/>
  <c r="R801" i="1" l="1"/>
  <c r="S802" i="1"/>
  <c r="T802" i="1" s="1"/>
  <c r="R800" i="1" l="1"/>
  <c r="S801" i="1"/>
  <c r="T801" i="1" s="1"/>
  <c r="R799" i="1" l="1"/>
  <c r="S800" i="1"/>
  <c r="T800" i="1" s="1"/>
  <c r="R798" i="1" l="1"/>
  <c r="S799" i="1"/>
  <c r="T799" i="1" s="1"/>
  <c r="R797" i="1" l="1"/>
  <c r="S798" i="1"/>
  <c r="T798" i="1" s="1"/>
  <c r="R796" i="1" l="1"/>
  <c r="S797" i="1"/>
  <c r="T797" i="1" s="1"/>
  <c r="R795" i="1" l="1"/>
  <c r="S796" i="1"/>
  <c r="T796" i="1" s="1"/>
  <c r="R794" i="1" l="1"/>
  <c r="S795" i="1"/>
  <c r="T795" i="1" s="1"/>
  <c r="R793" i="1" l="1"/>
  <c r="S794" i="1"/>
  <c r="T794" i="1" s="1"/>
  <c r="R792" i="1" l="1"/>
  <c r="S793" i="1"/>
  <c r="T793" i="1" s="1"/>
  <c r="R791" i="1" l="1"/>
  <c r="S792" i="1"/>
  <c r="T792" i="1" s="1"/>
  <c r="R790" i="1" l="1"/>
  <c r="S791" i="1"/>
  <c r="T791" i="1" s="1"/>
  <c r="R789" i="1" l="1"/>
  <c r="S790" i="1"/>
  <c r="T790" i="1" s="1"/>
  <c r="R788" i="1" l="1"/>
  <c r="S789" i="1"/>
  <c r="T789" i="1" s="1"/>
  <c r="R787" i="1" l="1"/>
  <c r="S788" i="1"/>
  <c r="T788" i="1" s="1"/>
  <c r="R786" i="1" l="1"/>
  <c r="S787" i="1"/>
  <c r="T787" i="1" s="1"/>
  <c r="R785" i="1" l="1"/>
  <c r="S786" i="1"/>
  <c r="T786" i="1" s="1"/>
  <c r="R784" i="1" l="1"/>
  <c r="S785" i="1"/>
  <c r="T785" i="1" s="1"/>
  <c r="R783" i="1" l="1"/>
  <c r="S784" i="1"/>
  <c r="T784" i="1" s="1"/>
  <c r="R782" i="1" l="1"/>
  <c r="S783" i="1"/>
  <c r="T783" i="1" s="1"/>
  <c r="R781" i="1" l="1"/>
  <c r="S782" i="1"/>
  <c r="T782" i="1" s="1"/>
  <c r="R780" i="1" l="1"/>
  <c r="S781" i="1"/>
  <c r="T781" i="1" s="1"/>
  <c r="R779" i="1" l="1"/>
  <c r="S780" i="1"/>
  <c r="T780" i="1" s="1"/>
  <c r="R778" i="1" l="1"/>
  <c r="S779" i="1"/>
  <c r="T779" i="1" s="1"/>
  <c r="R777" i="1" l="1"/>
  <c r="S778" i="1"/>
  <c r="T778" i="1" s="1"/>
  <c r="R776" i="1" l="1"/>
  <c r="S777" i="1"/>
  <c r="T777" i="1" s="1"/>
  <c r="R775" i="1" l="1"/>
  <c r="S776" i="1"/>
  <c r="T776" i="1" s="1"/>
  <c r="R774" i="1" l="1"/>
  <c r="S775" i="1"/>
  <c r="T775" i="1" s="1"/>
  <c r="R773" i="1" l="1"/>
  <c r="S774" i="1"/>
  <c r="T774" i="1" s="1"/>
  <c r="R772" i="1" l="1"/>
  <c r="S773" i="1"/>
  <c r="T773" i="1" s="1"/>
  <c r="R771" i="1" l="1"/>
  <c r="S772" i="1"/>
  <c r="T772" i="1" s="1"/>
  <c r="R770" i="1" l="1"/>
  <c r="S771" i="1"/>
  <c r="T771" i="1" s="1"/>
  <c r="R769" i="1" l="1"/>
  <c r="S770" i="1"/>
  <c r="T770" i="1" s="1"/>
  <c r="R768" i="1" l="1"/>
  <c r="S769" i="1"/>
  <c r="T769" i="1" s="1"/>
  <c r="R767" i="1" l="1"/>
  <c r="S768" i="1"/>
  <c r="T768" i="1" s="1"/>
  <c r="R766" i="1" l="1"/>
  <c r="S767" i="1"/>
  <c r="T767" i="1" s="1"/>
  <c r="R765" i="1" l="1"/>
  <c r="S766" i="1"/>
  <c r="T766" i="1" s="1"/>
  <c r="R764" i="1" l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S71" i="1" l="1"/>
  <c r="T71" i="1" s="1"/>
  <c r="R70" i="1"/>
  <c r="R69" i="1" l="1"/>
  <c r="S70" i="1"/>
  <c r="T70" i="1" s="1"/>
  <c r="S69" i="1" l="1"/>
  <c r="T69" i="1" s="1"/>
  <c r="R68" i="1"/>
  <c r="S68" i="1" l="1"/>
  <c r="T68" i="1" s="1"/>
  <c r="R67" i="1"/>
  <c r="R66" i="1" l="1"/>
  <c r="S67" i="1"/>
  <c r="T67" i="1" s="1"/>
  <c r="R65" i="1" l="1"/>
  <c r="S66" i="1"/>
  <c r="T66" i="1" s="1"/>
  <c r="S65" i="1" l="1"/>
  <c r="T65" i="1" s="1"/>
  <c r="R64" i="1"/>
  <c r="S64" i="1" l="1"/>
  <c r="T64" i="1" s="1"/>
  <c r="R63" i="1"/>
  <c r="S63" i="1" l="1"/>
  <c r="T63" i="1" s="1"/>
  <c r="R62" i="1"/>
  <c r="R61" i="1" l="1"/>
  <c r="S62" i="1"/>
  <c r="T62" i="1" s="1"/>
  <c r="S61" i="1" l="1"/>
  <c r="T61" i="1" s="1"/>
  <c r="R60" i="1"/>
  <c r="S60" i="1" l="1"/>
  <c r="T60" i="1" s="1"/>
  <c r="R59" i="1"/>
  <c r="S59" i="1" l="1"/>
  <c r="T59" i="1" s="1"/>
  <c r="R58" i="1"/>
  <c r="R57" i="1" l="1"/>
  <c r="S58" i="1"/>
  <c r="T58" i="1" s="1"/>
  <c r="S57" i="1" l="1"/>
  <c r="T57" i="1" s="1"/>
  <c r="R56" i="1"/>
  <c r="R55" i="1" l="1"/>
  <c r="S56" i="1"/>
  <c r="T56" i="1" s="1"/>
  <c r="R54" i="1" l="1"/>
  <c r="S55" i="1"/>
  <c r="T55" i="1" s="1"/>
  <c r="R53" i="1" l="1"/>
  <c r="S54" i="1"/>
  <c r="T54" i="1" s="1"/>
  <c r="S53" i="1" l="1"/>
  <c r="T53" i="1" s="1"/>
  <c r="R52" i="1"/>
  <c r="S52" i="1" l="1"/>
  <c r="T52" i="1" s="1"/>
  <c r="R51" i="1"/>
  <c r="S51" i="1" l="1"/>
  <c r="T51" i="1" s="1"/>
  <c r="R50" i="1"/>
  <c r="R49" i="1" l="1"/>
  <c r="S50" i="1"/>
  <c r="T50" i="1" s="1"/>
  <c r="S49" i="1" l="1"/>
  <c r="T49" i="1" s="1"/>
  <c r="R48" i="1"/>
  <c r="S48" i="1" l="1"/>
  <c r="T48" i="1" s="1"/>
  <c r="R47" i="1"/>
  <c r="S47" i="1" l="1"/>
  <c r="T47" i="1" s="1"/>
  <c r="R46" i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R41" i="1" l="1"/>
  <c r="S42" i="1"/>
  <c r="T42" i="1" s="1"/>
  <c r="S41" i="1" l="1"/>
  <c r="T41" i="1" s="1"/>
  <c r="R40" i="1"/>
  <c r="S40" i="1" l="1"/>
  <c r="T40" i="1" s="1"/>
  <c r="R39" i="1"/>
  <c r="S39" i="1" l="1"/>
  <c r="T39" i="1" s="1"/>
  <c r="R38" i="1"/>
  <c r="S38" i="1" l="1"/>
  <c r="T38" i="1" s="1"/>
  <c r="R37" i="1"/>
  <c r="R36" i="1" l="1"/>
  <c r="S37" i="1"/>
  <c r="T37" i="1" s="1"/>
  <c r="S36" i="1" l="1"/>
  <c r="T36" i="1" s="1"/>
  <c r="R35" i="1"/>
  <c r="R34" i="1" l="1"/>
  <c r="S35" i="1"/>
  <c r="T35" i="1" s="1"/>
  <c r="R33" i="1" l="1"/>
  <c r="S34" i="1"/>
  <c r="T34" i="1" s="1"/>
  <c r="R32" i="1" l="1"/>
  <c r="S33" i="1"/>
  <c r="T33" i="1" s="1"/>
  <c r="S32" i="1" l="1"/>
  <c r="T32" i="1" s="1"/>
  <c r="R31" i="1"/>
  <c r="R30" i="1" l="1"/>
  <c r="S31" i="1"/>
  <c r="T31" i="1" s="1"/>
  <c r="R29" i="1" l="1"/>
  <c r="S30" i="1"/>
  <c r="T30" i="1" s="1"/>
  <c r="S29" i="1" l="1"/>
  <c r="T29" i="1" s="1"/>
  <c r="R28" i="1"/>
  <c r="S28" i="1" l="1"/>
  <c r="T28" i="1" s="1"/>
  <c r="R27" i="1"/>
  <c r="S27" i="1" l="1"/>
  <c r="T27" i="1" s="1"/>
  <c r="R26" i="1"/>
  <c r="R25" i="1" l="1"/>
  <c r="S26" i="1"/>
  <c r="T26" i="1" s="1"/>
  <c r="S25" i="1" l="1"/>
  <c r="T25" i="1" s="1"/>
  <c r="R24" i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<sst xmlns="http://schemas.openxmlformats.org/spreadsheetml/2006/main" count="9733" uniqueCount="34">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</sst>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  <c:pt idx="972">
                  <c:v>43616</c:v>
                </c:pt>
                <c:pt idx="973">
                  <c:v>43615</c:v>
                </c:pt>
                <c:pt idx="974">
                  <c:v>43614</c:v>
                </c:pt>
                <c:pt idx="975">
                  <c:v>43613</c:v>
                </c:pt>
                <c:pt idx="976">
                  <c:v>43612</c:v>
                </c:pt>
                <c:pt idx="977">
                  <c:v>43611</c:v>
                </c:pt>
                <c:pt idx="978">
                  <c:v>43610</c:v>
                </c:pt>
                <c:pt idx="979">
                  <c:v>43609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0.15890000000000001</c:v>
                </c:pt>
                <c:pt idx="1">
                  <c:v>0.16500000000000001</c:v>
                </c:pt>
                <c:pt idx="2">
                  <c:v>0.12870000000000001</c:v>
                </c:pt>
                <c:pt idx="3">
                  <c:v>0.13109999999999999</c:v>
                </c:pt>
                <c:pt idx="4">
                  <c:v>0.1401</c:v>
                </c:pt>
                <c:pt idx="5">
                  <c:v>0.1326</c:v>
                </c:pt>
                <c:pt idx="6">
                  <c:v>0.1545</c:v>
                </c:pt>
                <c:pt idx="7">
                  <c:v>0.18090000000000001</c:v>
                </c:pt>
                <c:pt idx="8">
                  <c:v>0.1986</c:v>
                </c:pt>
                <c:pt idx="9">
                  <c:v>0.18559999999999999</c:v>
                </c:pt>
                <c:pt idx="10">
                  <c:v>0.1754</c:v>
                </c:pt>
                <c:pt idx="11">
                  <c:v>0.18010000000000001</c:v>
                </c:pt>
                <c:pt idx="12">
                  <c:v>0.1754</c:v>
                </c:pt>
                <c:pt idx="13">
                  <c:v>0.17460000000000001</c:v>
                </c:pt>
                <c:pt idx="14">
                  <c:v>0.16930000000000001</c:v>
                </c:pt>
                <c:pt idx="15">
                  <c:v>0.1774</c:v>
                </c:pt>
                <c:pt idx="16">
                  <c:v>0.1706</c:v>
                </c:pt>
                <c:pt idx="17">
                  <c:v>0.16170000000000001</c:v>
                </c:pt>
                <c:pt idx="18">
                  <c:v>0.16719999999999999</c:v>
                </c:pt>
                <c:pt idx="19">
                  <c:v>0.1628</c:v>
                </c:pt>
                <c:pt idx="20">
                  <c:v>0.16750000000000001</c:v>
                </c:pt>
                <c:pt idx="21">
                  <c:v>0.1789</c:v>
                </c:pt>
                <c:pt idx="22">
                  <c:v>0.1817</c:v>
                </c:pt>
                <c:pt idx="23">
                  <c:v>0.193</c:v>
                </c:pt>
                <c:pt idx="24">
                  <c:v>0.19819999999999999</c:v>
                </c:pt>
                <c:pt idx="25">
                  <c:v>0.20480000000000001</c:v>
                </c:pt>
                <c:pt idx="26">
                  <c:v>0.19789999999999999</c:v>
                </c:pt>
                <c:pt idx="27">
                  <c:v>0.191</c:v>
                </c:pt>
                <c:pt idx="28">
                  <c:v>0.19739999999999999</c:v>
                </c:pt>
                <c:pt idx="29">
                  <c:v>0.1918</c:v>
                </c:pt>
                <c:pt idx="30">
                  <c:v>0.2046</c:v>
                </c:pt>
                <c:pt idx="31">
                  <c:v>0.22939999999999999</c:v>
                </c:pt>
                <c:pt idx="32">
                  <c:v>0.22950000000000001</c:v>
                </c:pt>
                <c:pt idx="33">
                  <c:v>0.21859999999999999</c:v>
                </c:pt>
                <c:pt idx="34">
                  <c:v>0.2147</c:v>
                </c:pt>
                <c:pt idx="35">
                  <c:v>0.22289999999999999</c:v>
                </c:pt>
                <c:pt idx="36">
                  <c:v>0.2054</c:v>
                </c:pt>
                <c:pt idx="37">
                  <c:v>0.19919999999999999</c:v>
                </c:pt>
                <c:pt idx="38">
                  <c:v>0.18709999999999999</c:v>
                </c:pt>
                <c:pt idx="39">
                  <c:v>0.1963</c:v>
                </c:pt>
                <c:pt idx="40">
                  <c:v>0.19600000000000001</c:v>
                </c:pt>
                <c:pt idx="41">
                  <c:v>0.1933</c:v>
                </c:pt>
                <c:pt idx="42">
                  <c:v>0.20030000000000001</c:v>
                </c:pt>
                <c:pt idx="43">
                  <c:v>0.21260000000000001</c:v>
                </c:pt>
                <c:pt idx="44">
                  <c:v>0.2006</c:v>
                </c:pt>
                <c:pt idx="45">
                  <c:v>0.19850000000000001</c:v>
                </c:pt>
                <c:pt idx="46">
                  <c:v>0.22770000000000001</c:v>
                </c:pt>
                <c:pt idx="47">
                  <c:v>0.23069999999999999</c:v>
                </c:pt>
                <c:pt idx="48">
                  <c:v>0.2253</c:v>
                </c:pt>
                <c:pt idx="49">
                  <c:v>0.22839999999999999</c:v>
                </c:pt>
                <c:pt idx="50">
                  <c:v>0.25169999999999998</c:v>
                </c:pt>
                <c:pt idx="51">
                  <c:v>0.2505</c:v>
                </c:pt>
                <c:pt idx="52">
                  <c:v>0.25690000000000002</c:v>
                </c:pt>
                <c:pt idx="53">
                  <c:v>0.25819999999999999</c:v>
                </c:pt>
                <c:pt idx="54">
                  <c:v>0.26429999999999998</c:v>
                </c:pt>
                <c:pt idx="55">
                  <c:v>0.31369999999999998</c:v>
                </c:pt>
                <c:pt idx="56">
                  <c:v>0.29670000000000002</c:v>
                </c:pt>
                <c:pt idx="57">
                  <c:v>0.30420000000000003</c:v>
                </c:pt>
                <c:pt idx="58">
                  <c:v>0.30549999999999999</c:v>
                </c:pt>
                <c:pt idx="59">
                  <c:v>0.3014</c:v>
                </c:pt>
                <c:pt idx="60">
                  <c:v>0.30370000000000003</c:v>
                </c:pt>
                <c:pt idx="61">
                  <c:v>0.30930000000000002</c:v>
                </c:pt>
                <c:pt idx="62">
                  <c:v>0.30499999999999999</c:v>
                </c:pt>
                <c:pt idx="63">
                  <c:v>0.33629999999999999</c:v>
                </c:pt>
                <c:pt idx="64">
                  <c:v>0.31879999999999997</c:v>
                </c:pt>
                <c:pt idx="65">
                  <c:v>0.32269999999999999</c:v>
                </c:pt>
                <c:pt idx="66">
                  <c:v>0.30769999999999997</c:v>
                </c:pt>
                <c:pt idx="67">
                  <c:v>0.3291</c:v>
                </c:pt>
                <c:pt idx="68">
                  <c:v>0.32850000000000001</c:v>
                </c:pt>
                <c:pt idx="69">
                  <c:v>0.32279999999999998</c:v>
                </c:pt>
                <c:pt idx="70">
                  <c:v>0.308</c:v>
                </c:pt>
                <c:pt idx="71">
                  <c:v>0.33760000000000001</c:v>
                </c:pt>
                <c:pt idx="72">
                  <c:v>0.31140000000000001</c:v>
                </c:pt>
                <c:pt idx="73">
                  <c:v>0.3347</c:v>
                </c:pt>
                <c:pt idx="74">
                  <c:v>0.33360000000000001</c:v>
                </c:pt>
                <c:pt idx="75">
                  <c:v>0.33989999999999998</c:v>
                </c:pt>
                <c:pt idx="76">
                  <c:v>0.34489999999999998</c:v>
                </c:pt>
                <c:pt idx="77">
                  <c:v>0.34699999999999998</c:v>
                </c:pt>
                <c:pt idx="78">
                  <c:v>0.34749999999999998</c:v>
                </c:pt>
                <c:pt idx="79">
                  <c:v>0.37619999999999998</c:v>
                </c:pt>
                <c:pt idx="80">
                  <c:v>0.38479999999999998</c:v>
                </c:pt>
                <c:pt idx="81">
                  <c:v>0.38440000000000002</c:v>
                </c:pt>
                <c:pt idx="82">
                  <c:v>0.38080000000000003</c:v>
                </c:pt>
                <c:pt idx="83">
                  <c:v>0.37519999999999998</c:v>
                </c:pt>
                <c:pt idx="84">
                  <c:v>0.36759999999999998</c:v>
                </c:pt>
                <c:pt idx="85">
                  <c:v>0.374</c:v>
                </c:pt>
                <c:pt idx="86">
                  <c:v>0.36030000000000001</c:v>
                </c:pt>
                <c:pt idx="87">
                  <c:v>0.34949999999999998</c:v>
                </c:pt>
                <c:pt idx="88">
                  <c:v>0.3533</c:v>
                </c:pt>
                <c:pt idx="89">
                  <c:v>0.38690000000000002</c:v>
                </c:pt>
                <c:pt idx="90">
                  <c:v>0.35589999999999999</c:v>
                </c:pt>
                <c:pt idx="91">
                  <c:v>0.32329999999999998</c:v>
                </c:pt>
                <c:pt idx="92">
                  <c:v>0.31219999999999998</c:v>
                </c:pt>
                <c:pt idx="93">
                  <c:v>0.33040000000000003</c:v>
                </c:pt>
                <c:pt idx="94">
                  <c:v>0.31030000000000002</c:v>
                </c:pt>
                <c:pt idx="95">
                  <c:v>0.29380000000000001</c:v>
                </c:pt>
                <c:pt idx="96">
                  <c:v>0.2994</c:v>
                </c:pt>
                <c:pt idx="97">
                  <c:v>0.3009</c:v>
                </c:pt>
                <c:pt idx="98">
                  <c:v>0.28389999999999999</c:v>
                </c:pt>
                <c:pt idx="99">
                  <c:v>0.2918</c:v>
                </c:pt>
                <c:pt idx="100">
                  <c:v>0.28210000000000002</c:v>
                </c:pt>
                <c:pt idx="101">
                  <c:v>0.28050000000000003</c:v>
                </c:pt>
                <c:pt idx="102">
                  <c:v>0.28199999999999997</c:v>
                </c:pt>
                <c:pt idx="103">
                  <c:v>0.28439999999999999</c:v>
                </c:pt>
                <c:pt idx="104">
                  <c:v>0.28670000000000001</c:v>
                </c:pt>
                <c:pt idx="105">
                  <c:v>0.29149999999999998</c:v>
                </c:pt>
                <c:pt idx="106">
                  <c:v>0.29249999999999998</c:v>
                </c:pt>
                <c:pt idx="107">
                  <c:v>0.28770000000000001</c:v>
                </c:pt>
                <c:pt idx="108">
                  <c:v>0.29670000000000002</c:v>
                </c:pt>
                <c:pt idx="109">
                  <c:v>0.29820000000000002</c:v>
                </c:pt>
                <c:pt idx="110">
                  <c:v>0.31459999999999999</c:v>
                </c:pt>
                <c:pt idx="111">
                  <c:v>0.3095</c:v>
                </c:pt>
                <c:pt idx="112">
                  <c:v>0.30399999999999999</c:v>
                </c:pt>
                <c:pt idx="113">
                  <c:v>0.30209999999999998</c:v>
                </c:pt>
                <c:pt idx="114">
                  <c:v>0.309</c:v>
                </c:pt>
                <c:pt idx="115">
                  <c:v>0.29820000000000002</c:v>
                </c:pt>
                <c:pt idx="116">
                  <c:v>0.29459999999999997</c:v>
                </c:pt>
                <c:pt idx="117">
                  <c:v>0.30130000000000001</c:v>
                </c:pt>
                <c:pt idx="118">
                  <c:v>0.29189999999999999</c:v>
                </c:pt>
                <c:pt idx="119">
                  <c:v>0.2621</c:v>
                </c:pt>
                <c:pt idx="120">
                  <c:v>0.253</c:v>
                </c:pt>
                <c:pt idx="121">
                  <c:v>0.25230000000000002</c:v>
                </c:pt>
                <c:pt idx="122">
                  <c:v>0.2646</c:v>
                </c:pt>
                <c:pt idx="123">
                  <c:v>0.27289999999999998</c:v>
                </c:pt>
                <c:pt idx="124">
                  <c:v>0.26429999999999998</c:v>
                </c:pt>
                <c:pt idx="125">
                  <c:v>0.26750000000000002</c:v>
                </c:pt>
                <c:pt idx="126">
                  <c:v>0.28760000000000002</c:v>
                </c:pt>
                <c:pt idx="127">
                  <c:v>0.28120000000000001</c:v>
                </c:pt>
                <c:pt idx="128">
                  <c:v>0.25719999999999998</c:v>
                </c:pt>
                <c:pt idx="129">
                  <c:v>0.26919999999999999</c:v>
                </c:pt>
                <c:pt idx="130">
                  <c:v>0.29849999999999999</c:v>
                </c:pt>
                <c:pt idx="131">
                  <c:v>0.30919999999999997</c:v>
                </c:pt>
                <c:pt idx="132">
                  <c:v>0.30630000000000002</c:v>
                </c:pt>
                <c:pt idx="133">
                  <c:v>0.316</c:v>
                </c:pt>
                <c:pt idx="134">
                  <c:v>0.3266</c:v>
                </c:pt>
                <c:pt idx="135">
                  <c:v>0.31580000000000003</c:v>
                </c:pt>
                <c:pt idx="136">
                  <c:v>0.29749999999999999</c:v>
                </c:pt>
                <c:pt idx="137">
                  <c:v>0.31950000000000001</c:v>
                </c:pt>
                <c:pt idx="138">
                  <c:v>0.31030000000000002</c:v>
                </c:pt>
                <c:pt idx="139">
                  <c:v>0.30769999999999997</c:v>
                </c:pt>
                <c:pt idx="140">
                  <c:v>0.33110000000000001</c:v>
                </c:pt>
                <c:pt idx="141">
                  <c:v>0.32579999999999998</c:v>
                </c:pt>
                <c:pt idx="142">
                  <c:v>0.33929999999999999</c:v>
                </c:pt>
                <c:pt idx="143">
                  <c:v>0.44130000000000003</c:v>
                </c:pt>
                <c:pt idx="144">
                  <c:v>0.39079999999999998</c:v>
                </c:pt>
                <c:pt idx="145">
                  <c:v>0.37519999999999998</c:v>
                </c:pt>
                <c:pt idx="146">
                  <c:v>0.36880000000000002</c:v>
                </c:pt>
                <c:pt idx="147">
                  <c:v>0.34449999999999997</c:v>
                </c:pt>
                <c:pt idx="148">
                  <c:v>0.34179999999999999</c:v>
                </c:pt>
                <c:pt idx="149">
                  <c:v>0.33050000000000002</c:v>
                </c:pt>
                <c:pt idx="150">
                  <c:v>0.3246</c:v>
                </c:pt>
                <c:pt idx="151">
                  <c:v>0.3291</c:v>
                </c:pt>
                <c:pt idx="152">
                  <c:v>0.32890000000000003</c:v>
                </c:pt>
                <c:pt idx="153">
                  <c:v>0.3372</c:v>
                </c:pt>
                <c:pt idx="154">
                  <c:v>0.318</c:v>
                </c:pt>
                <c:pt idx="155">
                  <c:v>0.34281</c:v>
                </c:pt>
                <c:pt idx="156">
                  <c:v>0.33145000000000002</c:v>
                </c:pt>
                <c:pt idx="157">
                  <c:v>0.35075000000000001</c:v>
                </c:pt>
                <c:pt idx="158">
                  <c:v>0.34089000000000003</c:v>
                </c:pt>
                <c:pt idx="159">
                  <c:v>0.33738000000000001</c:v>
                </c:pt>
                <c:pt idx="160">
                  <c:v>0.33806000000000003</c:v>
                </c:pt>
                <c:pt idx="161">
                  <c:v>0.33139999999999997</c:v>
                </c:pt>
                <c:pt idx="162">
                  <c:v>0.32373000000000002</c:v>
                </c:pt>
                <c:pt idx="163">
                  <c:v>0.33200000000000002</c:v>
                </c:pt>
                <c:pt idx="164">
                  <c:v>0.35737999999999998</c:v>
                </c:pt>
                <c:pt idx="165">
                  <c:v>0.34505000000000002</c:v>
                </c:pt>
                <c:pt idx="166">
                  <c:v>0.34815000000000002</c:v>
                </c:pt>
                <c:pt idx="167">
                  <c:v>0.35199999999999998</c:v>
                </c:pt>
                <c:pt idx="168">
                  <c:v>0.33389999999999997</c:v>
                </c:pt>
                <c:pt idx="169">
                  <c:v>0.34112999999999999</c:v>
                </c:pt>
                <c:pt idx="170">
                  <c:v>0.30809999999999998</c:v>
                </c:pt>
                <c:pt idx="171">
                  <c:v>0.30497999999999997</c:v>
                </c:pt>
                <c:pt idx="172">
                  <c:v>0.28577999999999998</c:v>
                </c:pt>
                <c:pt idx="173">
                  <c:v>0.31047000000000002</c:v>
                </c:pt>
                <c:pt idx="174">
                  <c:v>0.31490000000000001</c:v>
                </c:pt>
                <c:pt idx="175">
                  <c:v>0.32596999999999998</c:v>
                </c:pt>
                <c:pt idx="176">
                  <c:v>0.30479000000000001</c:v>
                </c:pt>
                <c:pt idx="177">
                  <c:v>0.29418</c:v>
                </c:pt>
                <c:pt idx="178">
                  <c:v>0.30342000000000002</c:v>
                </c:pt>
                <c:pt idx="179">
                  <c:v>0.31031999999999998</c:v>
                </c:pt>
                <c:pt idx="180">
                  <c:v>0.32919999999999999</c:v>
                </c:pt>
                <c:pt idx="181">
                  <c:v>0.33288000000000001</c:v>
                </c:pt>
                <c:pt idx="182">
                  <c:v>0.33316000000000001</c:v>
                </c:pt>
                <c:pt idx="183">
                  <c:v>0.32908999999999999</c:v>
                </c:pt>
                <c:pt idx="184">
                  <c:v>0.34149000000000002</c:v>
                </c:pt>
                <c:pt idx="185">
                  <c:v>0.33305000000000001</c:v>
                </c:pt>
                <c:pt idx="186">
                  <c:v>0.35554999999999998</c:v>
                </c:pt>
                <c:pt idx="187">
                  <c:v>0.32064999999999999</c:v>
                </c:pt>
                <c:pt idx="188">
                  <c:v>0.28544000000000003</c:v>
                </c:pt>
                <c:pt idx="189">
                  <c:v>0.28129999999999999</c:v>
                </c:pt>
                <c:pt idx="190">
                  <c:v>0.27141999999999999</c:v>
                </c:pt>
                <c:pt idx="191">
                  <c:v>0.23041</c:v>
                </c:pt>
                <c:pt idx="192">
                  <c:v>0.26095000000000002</c:v>
                </c:pt>
                <c:pt idx="193">
                  <c:v>0.29583999999999999</c:v>
                </c:pt>
                <c:pt idx="194">
                  <c:v>0.27528000000000002</c:v>
                </c:pt>
                <c:pt idx="195">
                  <c:v>0.26293</c:v>
                </c:pt>
                <c:pt idx="196">
                  <c:v>0.28950999999999999</c:v>
                </c:pt>
                <c:pt idx="197">
                  <c:v>0.30023</c:v>
                </c:pt>
                <c:pt idx="198">
                  <c:v>0.31135000000000002</c:v>
                </c:pt>
                <c:pt idx="199">
                  <c:v>0.33194000000000001</c:v>
                </c:pt>
                <c:pt idx="200">
                  <c:v>0.34683000000000003</c:v>
                </c:pt>
                <c:pt idx="201">
                  <c:v>0.34214</c:v>
                </c:pt>
                <c:pt idx="202">
                  <c:v>0.35843999999999998</c:v>
                </c:pt>
                <c:pt idx="203">
                  <c:v>0.38178000000000001</c:v>
                </c:pt>
                <c:pt idx="204">
                  <c:v>0.35300999999999999</c:v>
                </c:pt>
                <c:pt idx="205">
                  <c:v>0.35359000000000002</c:v>
                </c:pt>
                <c:pt idx="206">
                  <c:v>0.35303000000000001</c:v>
                </c:pt>
                <c:pt idx="207">
                  <c:v>0.37537999999999999</c:v>
                </c:pt>
                <c:pt idx="208">
                  <c:v>0.37719999999999998</c:v>
                </c:pt>
                <c:pt idx="209">
                  <c:v>0.36884</c:v>
                </c:pt>
                <c:pt idx="210">
                  <c:v>0.37767000000000001</c:v>
                </c:pt>
                <c:pt idx="211">
                  <c:v>0.41198000000000001</c:v>
                </c:pt>
                <c:pt idx="212">
                  <c:v>0.42802000000000001</c:v>
                </c:pt>
                <c:pt idx="213">
                  <c:v>0.42899999999999999</c:v>
                </c:pt>
                <c:pt idx="214">
                  <c:v>0.43151</c:v>
                </c:pt>
                <c:pt idx="215">
                  <c:v>0.42354000000000003</c:v>
                </c:pt>
                <c:pt idx="216">
                  <c:v>0.42552000000000001</c:v>
                </c:pt>
                <c:pt idx="217">
                  <c:v>0.48658000000000001</c:v>
                </c:pt>
                <c:pt idx="218">
                  <c:v>0.47999000000000003</c:v>
                </c:pt>
                <c:pt idx="219">
                  <c:v>0.45323999999999998</c:v>
                </c:pt>
                <c:pt idx="220">
                  <c:v>0.45867999999999998</c:v>
                </c:pt>
                <c:pt idx="221">
                  <c:v>0.58880999999999994</c:v>
                </c:pt>
                <c:pt idx="222">
                  <c:v>0.58730000000000004</c:v>
                </c:pt>
                <c:pt idx="223">
                  <c:v>0.57920000000000005</c:v>
                </c:pt>
                <c:pt idx="224">
                  <c:v>0.56206999999999996</c:v>
                </c:pt>
                <c:pt idx="225">
                  <c:v>0.504</c:v>
                </c:pt>
                <c:pt idx="226">
                  <c:v>0.49848999999999999</c:v>
                </c:pt>
                <c:pt idx="227">
                  <c:v>0.55018999999999996</c:v>
                </c:pt>
                <c:pt idx="228">
                  <c:v>0.57384999999999997</c:v>
                </c:pt>
                <c:pt idx="229">
                  <c:v>0.42363000000000001</c:v>
                </c:pt>
                <c:pt idx="230">
                  <c:v>0.48342000000000002</c:v>
                </c:pt>
                <c:pt idx="231">
                  <c:v>0.53090999999999999</c:v>
                </c:pt>
                <c:pt idx="232">
                  <c:v>0.57565</c:v>
                </c:pt>
                <c:pt idx="233">
                  <c:v>0.57750000000000001</c:v>
                </c:pt>
                <c:pt idx="234">
                  <c:v>0.47839999999999999</c:v>
                </c:pt>
                <c:pt idx="235">
                  <c:v>0.4597</c:v>
                </c:pt>
                <c:pt idx="236">
                  <c:v>0.44424000000000002</c:v>
                </c:pt>
                <c:pt idx="237">
                  <c:v>0.43142999999999998</c:v>
                </c:pt>
                <c:pt idx="238">
                  <c:v>0.43258000000000002</c:v>
                </c:pt>
                <c:pt idx="239">
                  <c:v>0.36737999999999998</c:v>
                </c:pt>
                <c:pt idx="240">
                  <c:v>0.36487000000000003</c:v>
                </c:pt>
                <c:pt idx="241">
                  <c:v>0.34007999999999999</c:v>
                </c:pt>
                <c:pt idx="242">
                  <c:v>0.30460999999999999</c:v>
                </c:pt>
                <c:pt idx="243">
                  <c:v>0.28627000000000002</c:v>
                </c:pt>
                <c:pt idx="244">
                  <c:v>0.29326999999999998</c:v>
                </c:pt>
                <c:pt idx="245">
                  <c:v>0.31268000000000001</c:v>
                </c:pt>
                <c:pt idx="246">
                  <c:v>0.30653999999999998</c:v>
                </c:pt>
                <c:pt idx="247">
                  <c:v>0.27915000000000001</c:v>
                </c:pt>
                <c:pt idx="248">
                  <c:v>0.27944000000000002</c:v>
                </c:pt>
                <c:pt idx="249">
                  <c:v>0.25157000000000002</c:v>
                </c:pt>
                <c:pt idx="250">
                  <c:v>0.27368999999999999</c:v>
                </c:pt>
                <c:pt idx="251">
                  <c:v>0.25489000000000001</c:v>
                </c:pt>
                <c:pt idx="252">
                  <c:v>0.28623999999999999</c:v>
                </c:pt>
                <c:pt idx="253">
                  <c:v>0.23274</c:v>
                </c:pt>
                <c:pt idx="254">
                  <c:v>0.33023999999999998</c:v>
                </c:pt>
                <c:pt idx="255">
                  <c:v>0.33172000000000001</c:v>
                </c:pt>
                <c:pt idx="256">
                  <c:v>0.34399999999999997</c:v>
                </c:pt>
                <c:pt idx="257">
                  <c:v>0.31496000000000002</c:v>
                </c:pt>
                <c:pt idx="258">
                  <c:v>0.34021000000000001</c:v>
                </c:pt>
                <c:pt idx="259">
                  <c:v>0.33435999999999999</c:v>
                </c:pt>
                <c:pt idx="260">
                  <c:v>0.28697</c:v>
                </c:pt>
                <c:pt idx="261">
                  <c:v>0.36498999999999998</c:v>
                </c:pt>
                <c:pt idx="262">
                  <c:v>0.34681000000000001</c:v>
                </c:pt>
                <c:pt idx="263">
                  <c:v>0.38740000000000002</c:v>
                </c:pt>
                <c:pt idx="264">
                  <c:v>0.40215000000000001</c:v>
                </c:pt>
                <c:pt idx="265">
                  <c:v>0.40605000000000002</c:v>
                </c:pt>
                <c:pt idx="266">
                  <c:v>0.38257000000000002</c:v>
                </c:pt>
                <c:pt idx="267">
                  <c:v>0.38418999999999998</c:v>
                </c:pt>
                <c:pt idx="268">
                  <c:v>0.32882</c:v>
                </c:pt>
                <c:pt idx="269">
                  <c:v>0.37214000000000003</c:v>
                </c:pt>
                <c:pt idx="270">
                  <c:v>0.35685</c:v>
                </c:pt>
                <c:pt idx="271">
                  <c:v>0.35871999999999998</c:v>
                </c:pt>
                <c:pt idx="272">
                  <c:v>0.35815000000000002</c:v>
                </c:pt>
                <c:pt idx="273">
                  <c:v>0.33615</c:v>
                </c:pt>
                <c:pt idx="274">
                  <c:v>0.31403999999999999</c:v>
                </c:pt>
                <c:pt idx="275">
                  <c:v>0.32129000000000002</c:v>
                </c:pt>
                <c:pt idx="276">
                  <c:v>0.30230000000000001</c:v>
                </c:pt>
                <c:pt idx="277">
                  <c:v>0.26626</c:v>
                </c:pt>
                <c:pt idx="278">
                  <c:v>0.23853099999999999</c:v>
                </c:pt>
                <c:pt idx="279">
                  <c:v>0.26500000000000001</c:v>
                </c:pt>
                <c:pt idx="280">
                  <c:v>0.25097599999999998</c:v>
                </c:pt>
                <c:pt idx="281">
                  <c:v>0.29003899999999999</c:v>
                </c:pt>
                <c:pt idx="282">
                  <c:v>0.31081999999999999</c:v>
                </c:pt>
                <c:pt idx="283">
                  <c:v>0.30004399999999998</c:v>
                </c:pt>
                <c:pt idx="284">
                  <c:v>0.318046</c:v>
                </c:pt>
                <c:pt idx="285">
                  <c:v>0.35557100000000003</c:v>
                </c:pt>
                <c:pt idx="286">
                  <c:v>0.38741399999999998</c:v>
                </c:pt>
                <c:pt idx="287">
                  <c:v>0.36333799999999999</c:v>
                </c:pt>
                <c:pt idx="288">
                  <c:v>0.33435799999999999</c:v>
                </c:pt>
                <c:pt idx="289">
                  <c:v>0.352329</c:v>
                </c:pt>
                <c:pt idx="290">
                  <c:v>0.35791200000000001</c:v>
                </c:pt>
                <c:pt idx="291">
                  <c:v>0.35421799999999998</c:v>
                </c:pt>
                <c:pt idx="292">
                  <c:v>0.36171599999999998</c:v>
                </c:pt>
                <c:pt idx="293">
                  <c:v>0.37516699999999997</c:v>
                </c:pt>
                <c:pt idx="294">
                  <c:v>0.38222699999999998</c:v>
                </c:pt>
                <c:pt idx="295">
                  <c:v>0.35998799999999997</c:v>
                </c:pt>
                <c:pt idx="296">
                  <c:v>0.34791899999999998</c:v>
                </c:pt>
                <c:pt idx="297">
                  <c:v>0.37692100000000001</c:v>
                </c:pt>
                <c:pt idx="298">
                  <c:v>0.41023100000000001</c:v>
                </c:pt>
                <c:pt idx="299">
                  <c:v>0.39385500000000001</c:v>
                </c:pt>
                <c:pt idx="300">
                  <c:v>0.43945299999999998</c:v>
                </c:pt>
                <c:pt idx="301">
                  <c:v>0.415404</c:v>
                </c:pt>
                <c:pt idx="302">
                  <c:v>0.41625200000000001</c:v>
                </c:pt>
                <c:pt idx="303">
                  <c:v>0.41109899999999999</c:v>
                </c:pt>
                <c:pt idx="304">
                  <c:v>0.41121000000000002</c:v>
                </c:pt>
                <c:pt idx="305">
                  <c:v>0.39938400000000002</c:v>
                </c:pt>
                <c:pt idx="306">
                  <c:v>0.396588</c:v>
                </c:pt>
                <c:pt idx="307">
                  <c:v>0.41653400000000002</c:v>
                </c:pt>
                <c:pt idx="308">
                  <c:v>0.41747299999999998</c:v>
                </c:pt>
                <c:pt idx="309">
                  <c:v>0.39288899999999999</c:v>
                </c:pt>
                <c:pt idx="310">
                  <c:v>0.47693799999999997</c:v>
                </c:pt>
                <c:pt idx="311">
                  <c:v>0.37167499999999998</c:v>
                </c:pt>
                <c:pt idx="312">
                  <c:v>0.33298299999999997</c:v>
                </c:pt>
                <c:pt idx="313">
                  <c:v>0.31790499999999999</c:v>
                </c:pt>
                <c:pt idx="314">
                  <c:v>0.34176699999999999</c:v>
                </c:pt>
                <c:pt idx="315">
                  <c:v>0.35247200000000001</c:v>
                </c:pt>
                <c:pt idx="316">
                  <c:v>0.34680299999999997</c:v>
                </c:pt>
                <c:pt idx="317">
                  <c:v>0.35306999999999999</c:v>
                </c:pt>
                <c:pt idx="318">
                  <c:v>0.34479500000000002</c:v>
                </c:pt>
                <c:pt idx="319">
                  <c:v>0.37420199999999998</c:v>
                </c:pt>
                <c:pt idx="320">
                  <c:v>0.36968299999999998</c:v>
                </c:pt>
                <c:pt idx="321">
                  <c:v>0.39442899999999997</c:v>
                </c:pt>
                <c:pt idx="322">
                  <c:v>0.36187599999999998</c:v>
                </c:pt>
                <c:pt idx="323">
                  <c:v>0.253021</c:v>
                </c:pt>
                <c:pt idx="324">
                  <c:v>0.184748</c:v>
                </c:pt>
                <c:pt idx="325">
                  <c:v>0.17161100000000001</c:v>
                </c:pt>
                <c:pt idx="326">
                  <c:v>0.14699400000000001</c:v>
                </c:pt>
                <c:pt idx="327">
                  <c:v>0.14047399999999999</c:v>
                </c:pt>
                <c:pt idx="328">
                  <c:v>0.13997100000000001</c:v>
                </c:pt>
                <c:pt idx="329">
                  <c:v>0.14332400000000001</c:v>
                </c:pt>
                <c:pt idx="330">
                  <c:v>0.12867799999999999</c:v>
                </c:pt>
                <c:pt idx="331">
                  <c:v>0.12248100000000001</c:v>
                </c:pt>
                <c:pt idx="332">
                  <c:v>0.112899</c:v>
                </c:pt>
                <c:pt idx="333">
                  <c:v>9.2105999999999993E-2</c:v>
                </c:pt>
                <c:pt idx="334">
                  <c:v>9.4728000000000007E-2</c:v>
                </c:pt>
                <c:pt idx="335">
                  <c:v>8.2858000000000001E-2</c:v>
                </c:pt>
                <c:pt idx="336">
                  <c:v>7.8599000000000002E-2</c:v>
                </c:pt>
                <c:pt idx="337">
                  <c:v>8.7108000000000005E-2</c:v>
                </c:pt>
                <c:pt idx="338">
                  <c:v>8.4445000000000006E-2</c:v>
                </c:pt>
                <c:pt idx="339">
                  <c:v>9.2491000000000004E-2</c:v>
                </c:pt>
                <c:pt idx="340">
                  <c:v>9.0146000000000004E-2</c:v>
                </c:pt>
                <c:pt idx="341">
                  <c:v>8.9167999999999997E-2</c:v>
                </c:pt>
                <c:pt idx="342">
                  <c:v>8.6817000000000005E-2</c:v>
                </c:pt>
                <c:pt idx="343">
                  <c:v>6.0868999999999999E-2</c:v>
                </c:pt>
                <c:pt idx="344">
                  <c:v>5.8393E-2</c:v>
                </c:pt>
                <c:pt idx="345">
                  <c:v>5.7983E-2</c:v>
                </c:pt>
                <c:pt idx="346">
                  <c:v>6.0898000000000001E-2</c:v>
                </c:pt>
                <c:pt idx="347">
                  <c:v>5.7473999999999997E-2</c:v>
                </c:pt>
                <c:pt idx="348">
                  <c:v>5.3836000000000002E-2</c:v>
                </c:pt>
                <c:pt idx="349">
                  <c:v>4.7867E-2</c:v>
                </c:pt>
                <c:pt idx="350">
                  <c:v>4.4899000000000001E-2</c:v>
                </c:pt>
                <c:pt idx="351">
                  <c:v>4.2008999999999998E-2</c:v>
                </c:pt>
                <c:pt idx="352">
                  <c:v>4.1883999999999998E-2</c:v>
                </c:pt>
                <c:pt idx="353">
                  <c:v>3.9172999999999999E-2</c:v>
                </c:pt>
                <c:pt idx="354">
                  <c:v>3.5589999999999997E-2</c:v>
                </c:pt>
                <c:pt idx="355">
                  <c:v>3.4169999999999999E-2</c:v>
                </c:pt>
                <c:pt idx="356">
                  <c:v>3.5359000000000002E-2</c:v>
                </c:pt>
                <c:pt idx="357">
                  <c:v>3.2624E-2</c:v>
                </c:pt>
                <c:pt idx="358">
                  <c:v>3.2849000000000003E-2</c:v>
                </c:pt>
                <c:pt idx="359">
                  <c:v>3.0505000000000001E-2</c:v>
                </c:pt>
                <c:pt idx="360">
                  <c:v>2.9253000000000001E-2</c:v>
                </c:pt>
                <c:pt idx="361">
                  <c:v>2.7866999999999999E-2</c:v>
                </c:pt>
                <c:pt idx="362">
                  <c:v>2.8771000000000001E-2</c:v>
                </c:pt>
                <c:pt idx="363">
                  <c:v>2.9444999999999999E-2</c:v>
                </c:pt>
                <c:pt idx="364">
                  <c:v>2.9323999999999999E-2</c:v>
                </c:pt>
                <c:pt idx="365">
                  <c:v>2.9239000000000001E-2</c:v>
                </c:pt>
                <c:pt idx="366">
                  <c:v>3.3123E-2</c:v>
                </c:pt>
                <c:pt idx="367">
                  <c:v>2.9090000000000001E-2</c:v>
                </c:pt>
                <c:pt idx="368">
                  <c:v>2.8500999999999999E-2</c:v>
                </c:pt>
                <c:pt idx="369">
                  <c:v>2.9377E-2</c:v>
                </c:pt>
                <c:pt idx="370">
                  <c:v>2.7276000000000002E-2</c:v>
                </c:pt>
                <c:pt idx="371">
                  <c:v>2.4844999999999999E-2</c:v>
                </c:pt>
                <c:pt idx="372">
                  <c:v>2.9638000000000001E-2</c:v>
                </c:pt>
                <c:pt idx="373">
                  <c:v>2.9264999999999999E-2</c:v>
                </c:pt>
                <c:pt idx="374">
                  <c:v>2.7466000000000001E-2</c:v>
                </c:pt>
                <c:pt idx="375">
                  <c:v>2.6523000000000001E-2</c:v>
                </c:pt>
                <c:pt idx="376">
                  <c:v>2.7542000000000001E-2</c:v>
                </c:pt>
                <c:pt idx="377">
                  <c:v>2.767E-2</c:v>
                </c:pt>
                <c:pt idx="378">
                  <c:v>2.9342E-2</c:v>
                </c:pt>
                <c:pt idx="379">
                  <c:v>2.8642999999999998E-2</c:v>
                </c:pt>
                <c:pt idx="380">
                  <c:v>2.5336999999999998E-2</c:v>
                </c:pt>
                <c:pt idx="381">
                  <c:v>2.4763E-2</c:v>
                </c:pt>
                <c:pt idx="382">
                  <c:v>2.6263000000000002E-2</c:v>
                </c:pt>
                <c:pt idx="383">
                  <c:v>2.7671000000000001E-2</c:v>
                </c:pt>
                <c:pt idx="384">
                  <c:v>2.6741999999999998E-2</c:v>
                </c:pt>
                <c:pt idx="385">
                  <c:v>2.8364E-2</c:v>
                </c:pt>
                <c:pt idx="386">
                  <c:v>3.0533000000000001E-2</c:v>
                </c:pt>
                <c:pt idx="387">
                  <c:v>3.0089999999999999E-2</c:v>
                </c:pt>
                <c:pt idx="388">
                  <c:v>2.9352E-2</c:v>
                </c:pt>
                <c:pt idx="389">
                  <c:v>3.2106999999999997E-2</c:v>
                </c:pt>
                <c:pt idx="390">
                  <c:v>3.7912000000000001E-2</c:v>
                </c:pt>
                <c:pt idx="391">
                  <c:v>3.3450000000000001E-2</c:v>
                </c:pt>
                <c:pt idx="392">
                  <c:v>3.3329999999999999E-2</c:v>
                </c:pt>
                <c:pt idx="393">
                  <c:v>2.8098000000000001E-2</c:v>
                </c:pt>
                <c:pt idx="394">
                  <c:v>2.7969999999999998E-2</c:v>
                </c:pt>
                <c:pt idx="395">
                  <c:v>2.9779E-2</c:v>
                </c:pt>
                <c:pt idx="396">
                  <c:v>2.7019999999999999E-2</c:v>
                </c:pt>
                <c:pt idx="397">
                  <c:v>3.5034000000000003E-2</c:v>
                </c:pt>
                <c:pt idx="398">
                  <c:v>2.3837000000000001E-2</c:v>
                </c:pt>
                <c:pt idx="399">
                  <c:v>1.9370999999999999E-2</c:v>
                </c:pt>
                <c:pt idx="400">
                  <c:v>1.8201999999999999E-2</c:v>
                </c:pt>
                <c:pt idx="401">
                  <c:v>1.7180000000000001E-2</c:v>
                </c:pt>
                <c:pt idx="402">
                  <c:v>1.5772000000000001E-2</c:v>
                </c:pt>
                <c:pt idx="403">
                  <c:v>1.6389999999999998E-2</c:v>
                </c:pt>
                <c:pt idx="404">
                  <c:v>1.7049000000000002E-2</c:v>
                </c:pt>
                <c:pt idx="405">
                  <c:v>1.7513000000000001E-2</c:v>
                </c:pt>
                <c:pt idx="406">
                  <c:v>1.6781000000000001E-2</c:v>
                </c:pt>
                <c:pt idx="407">
                  <c:v>1.7725000000000001E-2</c:v>
                </c:pt>
                <c:pt idx="408">
                  <c:v>1.6539999999999999E-2</c:v>
                </c:pt>
                <c:pt idx="409">
                  <c:v>1.7339E-2</c:v>
                </c:pt>
                <c:pt idx="410">
                  <c:v>1.3927999999999999E-2</c:v>
                </c:pt>
                <c:pt idx="411">
                  <c:v>1.3731999999999999E-2</c:v>
                </c:pt>
                <c:pt idx="412">
                  <c:v>1.376E-2</c:v>
                </c:pt>
                <c:pt idx="413">
                  <c:v>1.5172E-2</c:v>
                </c:pt>
                <c:pt idx="414">
                  <c:v>1.6865000000000002E-2</c:v>
                </c:pt>
                <c:pt idx="415">
                  <c:v>1.4005E-2</c:v>
                </c:pt>
                <c:pt idx="416">
                  <c:v>1.2970000000000001E-2</c:v>
                </c:pt>
                <c:pt idx="417">
                  <c:v>1.1956E-2</c:v>
                </c:pt>
                <c:pt idx="418">
                  <c:v>1.2430999999999999E-2</c:v>
                </c:pt>
                <c:pt idx="419">
                  <c:v>1.1875E-2</c:v>
                </c:pt>
                <c:pt idx="420">
                  <c:v>1.1109000000000001E-2</c:v>
                </c:pt>
                <c:pt idx="421">
                  <c:v>1.0822999999999999E-2</c:v>
                </c:pt>
                <c:pt idx="422">
                  <c:v>9.9410000000000002E-3</c:v>
                </c:pt>
                <c:pt idx="423">
                  <c:v>9.7649999999999994E-3</c:v>
                </c:pt>
                <c:pt idx="424">
                  <c:v>9.4570000000000001E-3</c:v>
                </c:pt>
                <c:pt idx="425">
                  <c:v>9.5090000000000001E-3</c:v>
                </c:pt>
                <c:pt idx="426">
                  <c:v>9.3120000000000008E-3</c:v>
                </c:pt>
                <c:pt idx="427">
                  <c:v>9.6279999999999994E-3</c:v>
                </c:pt>
                <c:pt idx="428">
                  <c:v>1.1755E-2</c:v>
                </c:pt>
                <c:pt idx="429">
                  <c:v>1.0515E-2</c:v>
                </c:pt>
                <c:pt idx="430">
                  <c:v>9.2359999999999994E-3</c:v>
                </c:pt>
                <c:pt idx="431">
                  <c:v>8.9730000000000001E-3</c:v>
                </c:pt>
                <c:pt idx="432">
                  <c:v>9.2709999999999997E-3</c:v>
                </c:pt>
                <c:pt idx="433">
                  <c:v>8.8909999999999996E-3</c:v>
                </c:pt>
                <c:pt idx="434">
                  <c:v>8.6459999999999992E-3</c:v>
                </c:pt>
                <c:pt idx="435">
                  <c:v>8.6979999999999991E-3</c:v>
                </c:pt>
                <c:pt idx="436">
                  <c:v>8.7270000000000004E-3</c:v>
                </c:pt>
                <c:pt idx="437">
                  <c:v>8.6599999999999993E-3</c:v>
                </c:pt>
                <c:pt idx="438">
                  <c:v>8.5330000000000007E-3</c:v>
                </c:pt>
                <c:pt idx="439">
                  <c:v>8.6339999999999993E-3</c:v>
                </c:pt>
                <c:pt idx="440">
                  <c:v>8.9359999999999995E-3</c:v>
                </c:pt>
                <c:pt idx="441">
                  <c:v>8.6680000000000004E-3</c:v>
                </c:pt>
                <c:pt idx="442">
                  <c:v>8.8629999999999994E-3</c:v>
                </c:pt>
                <c:pt idx="443">
                  <c:v>8.9619999999999995E-3</c:v>
                </c:pt>
                <c:pt idx="444">
                  <c:v>8.8439999999999994E-3</c:v>
                </c:pt>
                <c:pt idx="445">
                  <c:v>9.1680000000000008E-3</c:v>
                </c:pt>
                <c:pt idx="446">
                  <c:v>8.796E-3</c:v>
                </c:pt>
                <c:pt idx="447">
                  <c:v>9.1599999999999997E-3</c:v>
                </c:pt>
                <c:pt idx="448">
                  <c:v>8.6929999999999993E-3</c:v>
                </c:pt>
                <c:pt idx="449">
                  <c:v>8.4749999999999999E-3</c:v>
                </c:pt>
                <c:pt idx="450">
                  <c:v>8.7550000000000006E-3</c:v>
                </c:pt>
                <c:pt idx="451">
                  <c:v>8.9630000000000005E-3</c:v>
                </c:pt>
                <c:pt idx="452">
                  <c:v>9.1610000000000007E-3</c:v>
                </c:pt>
                <c:pt idx="453">
                  <c:v>9.3010000000000002E-3</c:v>
                </c:pt>
                <c:pt idx="454">
                  <c:v>9.2700000000000005E-3</c:v>
                </c:pt>
                <c:pt idx="455">
                  <c:v>9.3620000000000005E-3</c:v>
                </c:pt>
                <c:pt idx="456">
                  <c:v>9.5709999999999996E-3</c:v>
                </c:pt>
                <c:pt idx="457">
                  <c:v>9.9010000000000001E-3</c:v>
                </c:pt>
                <c:pt idx="458">
                  <c:v>9.7370000000000009E-3</c:v>
                </c:pt>
                <c:pt idx="459">
                  <c:v>1.0000999999999999E-2</c:v>
                </c:pt>
                <c:pt idx="460">
                  <c:v>1.0286999999999999E-2</c:v>
                </c:pt>
                <c:pt idx="461">
                  <c:v>1.0094000000000001E-2</c:v>
                </c:pt>
                <c:pt idx="462">
                  <c:v>1.0142999999999999E-2</c:v>
                </c:pt>
                <c:pt idx="463">
                  <c:v>1.0005999999999999E-2</c:v>
                </c:pt>
                <c:pt idx="464">
                  <c:v>9.4979999999999995E-3</c:v>
                </c:pt>
                <c:pt idx="465">
                  <c:v>9.7649999999999994E-3</c:v>
                </c:pt>
                <c:pt idx="466">
                  <c:v>9.8580000000000004E-3</c:v>
                </c:pt>
                <c:pt idx="467">
                  <c:v>9.5729999999999999E-3</c:v>
                </c:pt>
                <c:pt idx="468">
                  <c:v>9.7040000000000008E-3</c:v>
                </c:pt>
                <c:pt idx="469">
                  <c:v>9.8379999999999995E-3</c:v>
                </c:pt>
                <c:pt idx="470">
                  <c:v>9.9000000000000008E-3</c:v>
                </c:pt>
                <c:pt idx="471">
                  <c:v>9.9069999999999991E-3</c:v>
                </c:pt>
                <c:pt idx="472">
                  <c:v>9.8779999999999996E-3</c:v>
                </c:pt>
                <c:pt idx="473">
                  <c:v>9.9050000000000006E-3</c:v>
                </c:pt>
                <c:pt idx="474">
                  <c:v>1.0102E-2</c:v>
                </c:pt>
                <c:pt idx="475">
                  <c:v>9.9010000000000001E-3</c:v>
                </c:pt>
                <c:pt idx="476">
                  <c:v>9.6430000000000005E-3</c:v>
                </c:pt>
                <c:pt idx="477">
                  <c:v>9.5560000000000003E-3</c:v>
                </c:pt>
                <c:pt idx="478">
                  <c:v>9.2999999999999992E-3</c:v>
                </c:pt>
                <c:pt idx="479">
                  <c:v>9.8650000000000005E-3</c:v>
                </c:pt>
                <c:pt idx="480">
                  <c:v>9.9520000000000008E-3</c:v>
                </c:pt>
                <c:pt idx="481">
                  <c:v>1.004E-2</c:v>
                </c:pt>
                <c:pt idx="482">
                  <c:v>9.3290000000000005E-3</c:v>
                </c:pt>
                <c:pt idx="483">
                  <c:v>9.9059999999999999E-3</c:v>
                </c:pt>
                <c:pt idx="484">
                  <c:v>1.0661E-2</c:v>
                </c:pt>
                <c:pt idx="485">
                  <c:v>1.1389E-2</c:v>
                </c:pt>
                <c:pt idx="486">
                  <c:v>1.0232E-2</c:v>
                </c:pt>
                <c:pt idx="487">
                  <c:v>1.0552000000000001E-2</c:v>
                </c:pt>
                <c:pt idx="488">
                  <c:v>1.0968E-2</c:v>
                </c:pt>
                <c:pt idx="489">
                  <c:v>9.9919999999999991E-3</c:v>
                </c:pt>
                <c:pt idx="490">
                  <c:v>9.6170000000000005E-3</c:v>
                </c:pt>
                <c:pt idx="491">
                  <c:v>8.5290000000000001E-3</c:v>
                </c:pt>
                <c:pt idx="492">
                  <c:v>9.0860000000000003E-3</c:v>
                </c:pt>
                <c:pt idx="493">
                  <c:v>9.1330000000000005E-3</c:v>
                </c:pt>
                <c:pt idx="494">
                  <c:v>9.1269999999999997E-3</c:v>
                </c:pt>
                <c:pt idx="495">
                  <c:v>9.6740000000000003E-3</c:v>
                </c:pt>
                <c:pt idx="496">
                  <c:v>9.9190000000000007E-3</c:v>
                </c:pt>
                <c:pt idx="497">
                  <c:v>9.2779999999999998E-3</c:v>
                </c:pt>
                <c:pt idx="498">
                  <c:v>9.1739999999999999E-3</c:v>
                </c:pt>
                <c:pt idx="499">
                  <c:v>9.1929999999999998E-3</c:v>
                </c:pt>
                <c:pt idx="500">
                  <c:v>9.4830000000000001E-3</c:v>
                </c:pt>
                <c:pt idx="501">
                  <c:v>9.1660000000000005E-3</c:v>
                </c:pt>
                <c:pt idx="502">
                  <c:v>9.6469999999999993E-3</c:v>
                </c:pt>
                <c:pt idx="503">
                  <c:v>9.3509999999999999E-3</c:v>
                </c:pt>
                <c:pt idx="504">
                  <c:v>9.2189999999999998E-3</c:v>
                </c:pt>
                <c:pt idx="505">
                  <c:v>8.8489999999999992E-3</c:v>
                </c:pt>
                <c:pt idx="506">
                  <c:v>8.2419999999999993E-3</c:v>
                </c:pt>
                <c:pt idx="507">
                  <c:v>8.5059999999999997E-3</c:v>
                </c:pt>
                <c:pt idx="508">
                  <c:v>8.5500000000000003E-3</c:v>
                </c:pt>
                <c:pt idx="509">
                  <c:v>8.2660000000000008E-3</c:v>
                </c:pt>
                <c:pt idx="510">
                  <c:v>8.9470000000000001E-3</c:v>
                </c:pt>
                <c:pt idx="511">
                  <c:v>8.4379999999999993E-3</c:v>
                </c:pt>
                <c:pt idx="512">
                  <c:v>9.9430000000000004E-3</c:v>
                </c:pt>
                <c:pt idx="513">
                  <c:v>1.048E-2</c:v>
                </c:pt>
                <c:pt idx="514">
                  <c:v>1.0737E-2</c:v>
                </c:pt>
                <c:pt idx="515">
                  <c:v>1.1098999999999999E-2</c:v>
                </c:pt>
                <c:pt idx="516">
                  <c:v>1.1252E-2</c:v>
                </c:pt>
                <c:pt idx="517">
                  <c:v>1.1119E-2</c:v>
                </c:pt>
                <c:pt idx="518">
                  <c:v>1.0562999999999999E-2</c:v>
                </c:pt>
                <c:pt idx="519">
                  <c:v>1.1769E-2</c:v>
                </c:pt>
                <c:pt idx="520">
                  <c:v>1.2263E-2</c:v>
                </c:pt>
                <c:pt idx="521">
                  <c:v>1.38E-2</c:v>
                </c:pt>
                <c:pt idx="522">
                  <c:v>1.1831E-2</c:v>
                </c:pt>
                <c:pt idx="523">
                  <c:v>1.1107000000000001E-2</c:v>
                </c:pt>
                <c:pt idx="524">
                  <c:v>1.0777999999999999E-2</c:v>
                </c:pt>
                <c:pt idx="525">
                  <c:v>1.0312E-2</c:v>
                </c:pt>
                <c:pt idx="526">
                  <c:v>9.6480000000000003E-3</c:v>
                </c:pt>
                <c:pt idx="527">
                  <c:v>1.0090999999999999E-2</c:v>
                </c:pt>
                <c:pt idx="528">
                  <c:v>9.5879999999999993E-3</c:v>
                </c:pt>
                <c:pt idx="529">
                  <c:v>9.5149999999999992E-3</c:v>
                </c:pt>
                <c:pt idx="530">
                  <c:v>9.3120000000000008E-3</c:v>
                </c:pt>
                <c:pt idx="531">
                  <c:v>9.5119999999999996E-3</c:v>
                </c:pt>
                <c:pt idx="532">
                  <c:v>9.4490000000000008E-3</c:v>
                </c:pt>
                <c:pt idx="533">
                  <c:v>9.5200000000000007E-3</c:v>
                </c:pt>
                <c:pt idx="534">
                  <c:v>8.9949999999999995E-3</c:v>
                </c:pt>
                <c:pt idx="535">
                  <c:v>9.3030000000000005E-3</c:v>
                </c:pt>
                <c:pt idx="536">
                  <c:v>8.7919999999999995E-3</c:v>
                </c:pt>
                <c:pt idx="537">
                  <c:v>9.0570000000000008E-3</c:v>
                </c:pt>
                <c:pt idx="538">
                  <c:v>8.7390000000000002E-3</c:v>
                </c:pt>
                <c:pt idx="539">
                  <c:v>8.9499999999999996E-3</c:v>
                </c:pt>
                <c:pt idx="540">
                  <c:v>8.8940000000000009E-3</c:v>
                </c:pt>
                <c:pt idx="541">
                  <c:v>9.1529999999999997E-3</c:v>
                </c:pt>
                <c:pt idx="542">
                  <c:v>8.5959999999999995E-3</c:v>
                </c:pt>
                <c:pt idx="543">
                  <c:v>8.4069999999999995E-3</c:v>
                </c:pt>
                <c:pt idx="544">
                  <c:v>8.9289999999999994E-3</c:v>
                </c:pt>
                <c:pt idx="545">
                  <c:v>8.3119999999999999E-3</c:v>
                </c:pt>
                <c:pt idx="546">
                  <c:v>8.1829999999999993E-3</c:v>
                </c:pt>
                <c:pt idx="547">
                  <c:v>8.2909999999999998E-3</c:v>
                </c:pt>
                <c:pt idx="548">
                  <c:v>8.3499999999999998E-3</c:v>
                </c:pt>
                <c:pt idx="549">
                  <c:v>7.8209999999999998E-3</c:v>
                </c:pt>
                <c:pt idx="550">
                  <c:v>8.1880000000000008E-3</c:v>
                </c:pt>
                <c:pt idx="551">
                  <c:v>8.3309999999999999E-3</c:v>
                </c:pt>
                <c:pt idx="552">
                  <c:v>8.1770000000000002E-3</c:v>
                </c:pt>
                <c:pt idx="553">
                  <c:v>8.4709999999999994E-3</c:v>
                </c:pt>
                <c:pt idx="554">
                  <c:v>8.6999999999999994E-3</c:v>
                </c:pt>
                <c:pt idx="555">
                  <c:v>8.3719999999999992E-3</c:v>
                </c:pt>
                <c:pt idx="556">
                  <c:v>8.3219999999999995E-3</c:v>
                </c:pt>
                <c:pt idx="557">
                  <c:v>8.3890000000000006E-3</c:v>
                </c:pt>
                <c:pt idx="558">
                  <c:v>8.4320000000000003E-3</c:v>
                </c:pt>
                <c:pt idx="559">
                  <c:v>8.4499999999999992E-3</c:v>
                </c:pt>
                <c:pt idx="560">
                  <c:v>8.3630000000000006E-3</c:v>
                </c:pt>
                <c:pt idx="561">
                  <c:v>8.6099999999999996E-3</c:v>
                </c:pt>
                <c:pt idx="562">
                  <c:v>8.6549999999999995E-3</c:v>
                </c:pt>
                <c:pt idx="563">
                  <c:v>8.6960000000000006E-3</c:v>
                </c:pt>
                <c:pt idx="564">
                  <c:v>9.6279999999999994E-3</c:v>
                </c:pt>
                <c:pt idx="565">
                  <c:v>8.5079999999999999E-3</c:v>
                </c:pt>
                <c:pt idx="566">
                  <c:v>8.3890000000000006E-3</c:v>
                </c:pt>
                <c:pt idx="567">
                  <c:v>8.5450000000000005E-3</c:v>
                </c:pt>
                <c:pt idx="568">
                  <c:v>8.8859999999999998E-3</c:v>
                </c:pt>
                <c:pt idx="569">
                  <c:v>8.8350000000000008E-3</c:v>
                </c:pt>
                <c:pt idx="570">
                  <c:v>8.6420000000000004E-3</c:v>
                </c:pt>
                <c:pt idx="571">
                  <c:v>8.0569999999999999E-3</c:v>
                </c:pt>
                <c:pt idx="572">
                  <c:v>8.2279999999999992E-3</c:v>
                </c:pt>
                <c:pt idx="573">
                  <c:v>8.1919999999999996E-3</c:v>
                </c:pt>
                <c:pt idx="574">
                  <c:v>8.5520000000000006E-3</c:v>
                </c:pt>
                <c:pt idx="575">
                  <c:v>8.2229999999999994E-3</c:v>
                </c:pt>
                <c:pt idx="576">
                  <c:v>8.1600000000000006E-3</c:v>
                </c:pt>
                <c:pt idx="577">
                  <c:v>8.3540000000000003E-3</c:v>
                </c:pt>
                <c:pt idx="578">
                  <c:v>8.4340000000000005E-3</c:v>
                </c:pt>
                <c:pt idx="579">
                  <c:v>8.182E-3</c:v>
                </c:pt>
                <c:pt idx="580">
                  <c:v>8.7849999999999994E-3</c:v>
                </c:pt>
                <c:pt idx="581">
                  <c:v>8.9829999999999997E-3</c:v>
                </c:pt>
                <c:pt idx="582">
                  <c:v>9.2090000000000002E-3</c:v>
                </c:pt>
                <c:pt idx="583">
                  <c:v>9.8440000000000003E-3</c:v>
                </c:pt>
                <c:pt idx="584">
                  <c:v>9.4190000000000003E-3</c:v>
                </c:pt>
                <c:pt idx="585">
                  <c:v>9.2589999999999999E-3</c:v>
                </c:pt>
                <c:pt idx="586">
                  <c:v>9.3690000000000006E-3</c:v>
                </c:pt>
                <c:pt idx="587">
                  <c:v>9.7190000000000002E-3</c:v>
                </c:pt>
                <c:pt idx="588">
                  <c:v>8.8620000000000001E-3</c:v>
                </c:pt>
                <c:pt idx="589">
                  <c:v>9.332E-3</c:v>
                </c:pt>
                <c:pt idx="590">
                  <c:v>9.8919999999999998E-3</c:v>
                </c:pt>
                <c:pt idx="591">
                  <c:v>1.0208E-2</c:v>
                </c:pt>
                <c:pt idx="592">
                  <c:v>1.0087E-2</c:v>
                </c:pt>
                <c:pt idx="593">
                  <c:v>1.1540999999999999E-2</c:v>
                </c:pt>
                <c:pt idx="594">
                  <c:v>1.0355E-2</c:v>
                </c:pt>
                <c:pt idx="595">
                  <c:v>6.2599999999999999E-3</c:v>
                </c:pt>
                <c:pt idx="596">
                  <c:v>7.0260000000000001E-3</c:v>
                </c:pt>
                <c:pt idx="597">
                  <c:v>7.345E-3</c:v>
                </c:pt>
                <c:pt idx="598">
                  <c:v>7.737E-3</c:v>
                </c:pt>
                <c:pt idx="599">
                  <c:v>8.0190000000000001E-3</c:v>
                </c:pt>
                <c:pt idx="600">
                  <c:v>8.2789999999999999E-3</c:v>
                </c:pt>
                <c:pt idx="601">
                  <c:v>8.3239999999999998E-3</c:v>
                </c:pt>
                <c:pt idx="602">
                  <c:v>8.6219999999999995E-3</c:v>
                </c:pt>
                <c:pt idx="603">
                  <c:v>8.6800000000000002E-3</c:v>
                </c:pt>
                <c:pt idx="604">
                  <c:v>8.5000000000000006E-3</c:v>
                </c:pt>
                <c:pt idx="605">
                  <c:v>8.9599999999999992E-3</c:v>
                </c:pt>
                <c:pt idx="606">
                  <c:v>8.5089999999999992E-3</c:v>
                </c:pt>
                <c:pt idx="607">
                  <c:v>9.9450000000000007E-3</c:v>
                </c:pt>
                <c:pt idx="608">
                  <c:v>1.0281999999999999E-2</c:v>
                </c:pt>
                <c:pt idx="609">
                  <c:v>8.6599999999999993E-3</c:v>
                </c:pt>
                <c:pt idx="610">
                  <c:v>1.0593999999999999E-2</c:v>
                </c:pt>
                <c:pt idx="611">
                  <c:v>1.3827000000000001E-2</c:v>
                </c:pt>
                <c:pt idx="612">
                  <c:v>1.6088000000000002E-2</c:v>
                </c:pt>
                <c:pt idx="613">
                  <c:v>1.7881999999999999E-2</c:v>
                </c:pt>
                <c:pt idx="614">
                  <c:v>9.0159999999999997E-3</c:v>
                </c:pt>
                <c:pt idx="615">
                  <c:v>6.6189999999999999E-3</c:v>
                </c:pt>
                <c:pt idx="616">
                  <c:v>7.6179999999999998E-3</c:v>
                </c:pt>
                <c:pt idx="617">
                  <c:v>3.8930000000000002E-3</c:v>
                </c:pt>
                <c:pt idx="618">
                  <c:v>2.9510000000000001E-3</c:v>
                </c:pt>
                <c:pt idx="619">
                  <c:v>2.5560000000000001E-3</c:v>
                </c:pt>
                <c:pt idx="620">
                  <c:v>2.5339999999999998E-3</c:v>
                </c:pt>
                <c:pt idx="621">
                  <c:v>2.7490000000000001E-3</c:v>
                </c:pt>
                <c:pt idx="622">
                  <c:v>2.3760000000000001E-3</c:v>
                </c:pt>
                <c:pt idx="623">
                  <c:v>2.1549999999999998E-3</c:v>
                </c:pt>
                <c:pt idx="624">
                  <c:v>2.0820000000000001E-3</c:v>
                </c:pt>
                <c:pt idx="625">
                  <c:v>2.1150000000000001E-3</c:v>
                </c:pt>
                <c:pt idx="626">
                  <c:v>1.8600000000000001E-3</c:v>
                </c:pt>
                <c:pt idx="627">
                  <c:v>1.8619999999999999E-3</c:v>
                </c:pt>
                <c:pt idx="628">
                  <c:v>2.1120000000000002E-3</c:v>
                </c:pt>
                <c:pt idx="629">
                  <c:v>2.2539999999999999E-3</c:v>
                </c:pt>
                <c:pt idx="630">
                  <c:v>2.0950000000000001E-3</c:v>
                </c:pt>
                <c:pt idx="631">
                  <c:v>2.0249999999999999E-3</c:v>
                </c:pt>
                <c:pt idx="632">
                  <c:v>2.0860000000000002E-3</c:v>
                </c:pt>
                <c:pt idx="633">
                  <c:v>2.0330000000000001E-3</c:v>
                </c:pt>
                <c:pt idx="634">
                  <c:v>2.0600000000000002E-3</c:v>
                </c:pt>
                <c:pt idx="635">
                  <c:v>2.1150000000000001E-3</c:v>
                </c:pt>
                <c:pt idx="636">
                  <c:v>2.0470000000000002E-3</c:v>
                </c:pt>
                <c:pt idx="637">
                  <c:v>1.9400000000000001E-3</c:v>
                </c:pt>
                <c:pt idx="638">
                  <c:v>1.9369999999999999E-3</c:v>
                </c:pt>
                <c:pt idx="639">
                  <c:v>1.887E-3</c:v>
                </c:pt>
                <c:pt idx="640">
                  <c:v>1.8500000000000001E-3</c:v>
                </c:pt>
                <c:pt idx="641">
                  <c:v>1.869E-3</c:v>
                </c:pt>
                <c:pt idx="642">
                  <c:v>1.818E-3</c:v>
                </c:pt>
                <c:pt idx="643">
                  <c:v>1.7409999999999999E-3</c:v>
                </c:pt>
                <c:pt idx="644">
                  <c:v>1.72E-3</c:v>
                </c:pt>
                <c:pt idx="645">
                  <c:v>1.7060000000000001E-3</c:v>
                </c:pt>
                <c:pt idx="646">
                  <c:v>1.632E-3</c:v>
                </c:pt>
                <c:pt idx="647">
                  <c:v>1.6459999999999999E-3</c:v>
                </c:pt>
                <c:pt idx="648">
                  <c:v>1.639E-3</c:v>
                </c:pt>
                <c:pt idx="649">
                  <c:v>1.6980000000000001E-3</c:v>
                </c:pt>
                <c:pt idx="650">
                  <c:v>1.6410000000000001E-3</c:v>
                </c:pt>
                <c:pt idx="651">
                  <c:v>1.6689999999999999E-3</c:v>
                </c:pt>
                <c:pt idx="652">
                  <c:v>1.609E-3</c:v>
                </c:pt>
                <c:pt idx="653">
                  <c:v>1.727E-3</c:v>
                </c:pt>
                <c:pt idx="654">
                  <c:v>1.668E-3</c:v>
                </c:pt>
                <c:pt idx="655">
                  <c:v>1.7080000000000001E-3</c:v>
                </c:pt>
                <c:pt idx="656">
                  <c:v>1.6659999999999999E-3</c:v>
                </c:pt>
                <c:pt idx="657">
                  <c:v>1.67E-3</c:v>
                </c:pt>
                <c:pt idx="658">
                  <c:v>1.828E-3</c:v>
                </c:pt>
                <c:pt idx="659">
                  <c:v>1.843E-3</c:v>
                </c:pt>
                <c:pt idx="660">
                  <c:v>1.7930000000000001E-3</c:v>
                </c:pt>
                <c:pt idx="661">
                  <c:v>1.8500000000000001E-3</c:v>
                </c:pt>
                <c:pt idx="662">
                  <c:v>1.7149999999999999E-3</c:v>
                </c:pt>
                <c:pt idx="663">
                  <c:v>1.737E-3</c:v>
                </c:pt>
                <c:pt idx="664">
                  <c:v>1.727E-3</c:v>
                </c:pt>
                <c:pt idx="665">
                  <c:v>1.7420000000000001E-3</c:v>
                </c:pt>
                <c:pt idx="666">
                  <c:v>1.74E-3</c:v>
                </c:pt>
                <c:pt idx="667">
                  <c:v>1.7340000000000001E-3</c:v>
                </c:pt>
                <c:pt idx="668">
                  <c:v>1.6969999999999999E-3</c:v>
                </c:pt>
                <c:pt idx="669">
                  <c:v>1.578E-3</c:v>
                </c:pt>
                <c:pt idx="670">
                  <c:v>1.6969999999999999E-3</c:v>
                </c:pt>
                <c:pt idx="671">
                  <c:v>1.696E-3</c:v>
                </c:pt>
                <c:pt idx="672">
                  <c:v>1.725E-3</c:v>
                </c:pt>
                <c:pt idx="673">
                  <c:v>1.6509999999999999E-3</c:v>
                </c:pt>
                <c:pt idx="674">
                  <c:v>1.6570000000000001E-3</c:v>
                </c:pt>
                <c:pt idx="675">
                  <c:v>1.6900000000000001E-3</c:v>
                </c:pt>
                <c:pt idx="676">
                  <c:v>1.5870000000000001E-3</c:v>
                </c:pt>
                <c:pt idx="677">
                  <c:v>1.7459999999999999E-3</c:v>
                </c:pt>
                <c:pt idx="678">
                  <c:v>1.8E-3</c:v>
                </c:pt>
                <c:pt idx="679">
                  <c:v>1.7179999999999999E-3</c:v>
                </c:pt>
                <c:pt idx="680">
                  <c:v>1.4760000000000001E-3</c:v>
                </c:pt>
                <c:pt idx="681">
                  <c:v>1.5410000000000001E-3</c:v>
                </c:pt>
                <c:pt idx="682">
                  <c:v>1.5009999999999999E-3</c:v>
                </c:pt>
                <c:pt idx="683">
                  <c:v>1.6260000000000001E-3</c:v>
                </c:pt>
                <c:pt idx="684">
                  <c:v>1.48E-3</c:v>
                </c:pt>
                <c:pt idx="685">
                  <c:v>1.3829999999999999E-3</c:v>
                </c:pt>
                <c:pt idx="686">
                  <c:v>1.116E-3</c:v>
                </c:pt>
                <c:pt idx="687">
                  <c:v>2.398E-3</c:v>
                </c:pt>
                <c:pt idx="688">
                  <c:v>2.4870000000000001E-3</c:v>
                </c:pt>
                <c:pt idx="689">
                  <c:v>2.5349999999999999E-3</c:v>
                </c:pt>
                <c:pt idx="690">
                  <c:v>2.5040000000000001E-3</c:v>
                </c:pt>
                <c:pt idx="691">
                  <c:v>2.8960000000000001E-3</c:v>
                </c:pt>
                <c:pt idx="692">
                  <c:v>2.9870000000000001E-3</c:v>
                </c:pt>
                <c:pt idx="693">
                  <c:v>3.0100000000000001E-3</c:v>
                </c:pt>
                <c:pt idx="694">
                  <c:v>2.9060000000000002E-3</c:v>
                </c:pt>
                <c:pt idx="695">
                  <c:v>2.823E-3</c:v>
                </c:pt>
                <c:pt idx="696">
                  <c:v>2.7320000000000001E-3</c:v>
                </c:pt>
                <c:pt idx="697">
                  <c:v>2.7130000000000001E-3</c:v>
                </c:pt>
                <c:pt idx="698">
                  <c:v>2.709E-3</c:v>
                </c:pt>
                <c:pt idx="699">
                  <c:v>2.7699999999999999E-3</c:v>
                </c:pt>
                <c:pt idx="700">
                  <c:v>2.696E-3</c:v>
                </c:pt>
                <c:pt idx="701">
                  <c:v>2.565E-3</c:v>
                </c:pt>
                <c:pt idx="702">
                  <c:v>2.9659999999999999E-3</c:v>
                </c:pt>
                <c:pt idx="703">
                  <c:v>3.1510000000000002E-3</c:v>
                </c:pt>
                <c:pt idx="704">
                  <c:v>3.2460000000000002E-3</c:v>
                </c:pt>
                <c:pt idx="705">
                  <c:v>3.1540000000000001E-3</c:v>
                </c:pt>
                <c:pt idx="706">
                  <c:v>3.1340000000000001E-3</c:v>
                </c:pt>
                <c:pt idx="707">
                  <c:v>3.1289999999999998E-3</c:v>
                </c:pt>
                <c:pt idx="708">
                  <c:v>3.088E-3</c:v>
                </c:pt>
                <c:pt idx="709">
                  <c:v>3.3939999999999999E-3</c:v>
                </c:pt>
                <c:pt idx="710">
                  <c:v>3.369E-3</c:v>
                </c:pt>
                <c:pt idx="711">
                  <c:v>3.274E-3</c:v>
                </c:pt>
                <c:pt idx="712">
                  <c:v>3.4580000000000001E-3</c:v>
                </c:pt>
                <c:pt idx="713">
                  <c:v>3.836E-3</c:v>
                </c:pt>
                <c:pt idx="714">
                  <c:v>3.9179999999999996E-3</c:v>
                </c:pt>
                <c:pt idx="715">
                  <c:v>3.7200000000000002E-3</c:v>
                </c:pt>
                <c:pt idx="716">
                  <c:v>3.5630000000000002E-3</c:v>
                </c:pt>
                <c:pt idx="717">
                  <c:v>3.4650000000000002E-3</c:v>
                </c:pt>
                <c:pt idx="718">
                  <c:v>3.333E-3</c:v>
                </c:pt>
                <c:pt idx="719">
                  <c:v>3.0309999999999998E-3</c:v>
                </c:pt>
                <c:pt idx="720">
                  <c:v>3.2000000000000002E-3</c:v>
                </c:pt>
                <c:pt idx="721">
                  <c:v>3.0240000000000002E-3</c:v>
                </c:pt>
                <c:pt idx="722">
                  <c:v>2.882E-3</c:v>
                </c:pt>
                <c:pt idx="723">
                  <c:v>2.7539999999999999E-3</c:v>
                </c:pt>
                <c:pt idx="724">
                  <c:v>2.5530000000000001E-3</c:v>
                </c:pt>
                <c:pt idx="725">
                  <c:v>2.5279999999999999E-3</c:v>
                </c:pt>
                <c:pt idx="726">
                  <c:v>2.496E-3</c:v>
                </c:pt>
                <c:pt idx="727">
                  <c:v>2.4819999999999998E-3</c:v>
                </c:pt>
                <c:pt idx="728">
                  <c:v>2.4979999999999998E-3</c:v>
                </c:pt>
                <c:pt idx="729">
                  <c:v>2.4810000000000001E-3</c:v>
                </c:pt>
                <c:pt idx="730">
                  <c:v>2.5999999999999999E-3</c:v>
                </c:pt>
                <c:pt idx="731">
                  <c:v>2.5739999999999999E-3</c:v>
                </c:pt>
                <c:pt idx="732">
                  <c:v>2.5000000000000001E-3</c:v>
                </c:pt>
                <c:pt idx="733">
                  <c:v>2.4889999999999999E-3</c:v>
                </c:pt>
                <c:pt idx="734">
                  <c:v>2.4489999999999998E-3</c:v>
                </c:pt>
                <c:pt idx="735">
                  <c:v>2.4919999999999999E-3</c:v>
                </c:pt>
                <c:pt idx="736">
                  <c:v>2.5149999999999999E-3</c:v>
                </c:pt>
                <c:pt idx="737">
                  <c:v>2.5140000000000002E-3</c:v>
                </c:pt>
                <c:pt idx="738">
                  <c:v>2.5790000000000001E-3</c:v>
                </c:pt>
                <c:pt idx="739">
                  <c:v>2.4599999999999999E-3</c:v>
                </c:pt>
                <c:pt idx="740">
                  <c:v>2.591E-3</c:v>
                </c:pt>
                <c:pt idx="741">
                  <c:v>2.598E-3</c:v>
                </c:pt>
                <c:pt idx="742">
                  <c:v>2.5839999999999999E-3</c:v>
                </c:pt>
                <c:pt idx="743">
                  <c:v>2.5669999999999998E-3</c:v>
                </c:pt>
                <c:pt idx="744">
                  <c:v>2.5720000000000001E-3</c:v>
                </c:pt>
                <c:pt idx="745">
                  <c:v>2.4559999999999998E-3</c:v>
                </c:pt>
                <c:pt idx="746">
                  <c:v>2.4520000000000002E-3</c:v>
                </c:pt>
                <c:pt idx="747">
                  <c:v>2.4030000000000002E-3</c:v>
                </c:pt>
                <c:pt idx="748">
                  <c:v>2.4020000000000001E-3</c:v>
                </c:pt>
                <c:pt idx="749">
                  <c:v>2.395E-3</c:v>
                </c:pt>
                <c:pt idx="750">
                  <c:v>2.5110000000000002E-3</c:v>
                </c:pt>
                <c:pt idx="751">
                  <c:v>2.382E-3</c:v>
                </c:pt>
                <c:pt idx="752">
                  <c:v>2.4610000000000001E-3</c:v>
                </c:pt>
                <c:pt idx="753">
                  <c:v>2.4120000000000001E-3</c:v>
                </c:pt>
                <c:pt idx="754">
                  <c:v>2.4290000000000002E-3</c:v>
                </c:pt>
                <c:pt idx="755">
                  <c:v>2.4030000000000002E-3</c:v>
                </c:pt>
                <c:pt idx="756">
                  <c:v>2.297E-3</c:v>
                </c:pt>
                <c:pt idx="757">
                  <c:v>2.3830000000000001E-3</c:v>
                </c:pt>
                <c:pt idx="758">
                  <c:v>2.369E-3</c:v>
                </c:pt>
                <c:pt idx="759">
                  <c:v>2.4269999999999999E-3</c:v>
                </c:pt>
                <c:pt idx="760">
                  <c:v>2.4759999999999999E-3</c:v>
                </c:pt>
                <c:pt idx="761">
                  <c:v>2.4780000000000002E-3</c:v>
                </c:pt>
                <c:pt idx="762">
                  <c:v>2.5490000000000001E-3</c:v>
                </c:pt>
                <c:pt idx="763">
                  <c:v>2.591E-3</c:v>
                </c:pt>
                <c:pt idx="764">
                  <c:v>2.454E-3</c:v>
                </c:pt>
                <c:pt idx="765">
                  <c:v>2.5119999999999999E-3</c:v>
                </c:pt>
                <c:pt idx="766">
                  <c:v>2.526E-3</c:v>
                </c:pt>
                <c:pt idx="767">
                  <c:v>2.709E-3</c:v>
                </c:pt>
                <c:pt idx="768">
                  <c:v>2.643E-3</c:v>
                </c:pt>
                <c:pt idx="769">
                  <c:v>2.6610000000000002E-3</c:v>
                </c:pt>
                <c:pt idx="770">
                  <c:v>2.5630000000000002E-3</c:v>
                </c:pt>
                <c:pt idx="771">
                  <c:v>2.6350000000000002E-3</c:v>
                </c:pt>
                <c:pt idx="772">
                  <c:v>2.3419999999999999E-3</c:v>
                </c:pt>
                <c:pt idx="773">
                  <c:v>2.5230000000000001E-3</c:v>
                </c:pt>
                <c:pt idx="774">
                  <c:v>2.5730000000000002E-3</c:v>
                </c:pt>
                <c:pt idx="775">
                  <c:v>2.5200000000000001E-3</c:v>
                </c:pt>
                <c:pt idx="776">
                  <c:v>2.63E-3</c:v>
                </c:pt>
                <c:pt idx="777">
                  <c:v>2.5839999999999999E-3</c:v>
                </c:pt>
                <c:pt idx="778">
                  <c:v>2.542E-3</c:v>
                </c:pt>
                <c:pt idx="779">
                  <c:v>2.5140000000000002E-3</c:v>
                </c:pt>
                <c:pt idx="780">
                  <c:v>2.7810000000000001E-3</c:v>
                </c:pt>
                <c:pt idx="781">
                  <c:v>2.8679999999999999E-3</c:v>
                </c:pt>
                <c:pt idx="782">
                  <c:v>2.748E-3</c:v>
                </c:pt>
                <c:pt idx="783">
                  <c:v>2.7100000000000002E-3</c:v>
                </c:pt>
                <c:pt idx="784">
                  <c:v>2.6589999999999999E-3</c:v>
                </c:pt>
                <c:pt idx="785">
                  <c:v>2.6329999999999999E-3</c:v>
                </c:pt>
                <c:pt idx="786">
                  <c:v>2.7200000000000002E-3</c:v>
                </c:pt>
                <c:pt idx="787">
                  <c:v>2.7309999999999999E-3</c:v>
                </c:pt>
                <c:pt idx="788">
                  <c:v>2.7550000000000001E-3</c:v>
                </c:pt>
                <c:pt idx="789">
                  <c:v>2.8739999999999998E-3</c:v>
                </c:pt>
                <c:pt idx="790">
                  <c:v>2.898E-3</c:v>
                </c:pt>
                <c:pt idx="791">
                  <c:v>2.8180000000000002E-3</c:v>
                </c:pt>
                <c:pt idx="792">
                  <c:v>2.8449999999999999E-3</c:v>
                </c:pt>
                <c:pt idx="793">
                  <c:v>2.8140000000000001E-3</c:v>
                </c:pt>
                <c:pt idx="794">
                  <c:v>2.7780000000000001E-3</c:v>
                </c:pt>
                <c:pt idx="795">
                  <c:v>2.591E-3</c:v>
                </c:pt>
                <c:pt idx="796">
                  <c:v>2.771E-3</c:v>
                </c:pt>
                <c:pt idx="797">
                  <c:v>2.6440000000000001E-3</c:v>
                </c:pt>
                <c:pt idx="798">
                  <c:v>2.9020000000000001E-3</c:v>
                </c:pt>
                <c:pt idx="799">
                  <c:v>3.1649999999999998E-3</c:v>
                </c:pt>
                <c:pt idx="800">
                  <c:v>3.1459999999999999E-3</c:v>
                </c:pt>
                <c:pt idx="801">
                  <c:v>3.2399999999999998E-3</c:v>
                </c:pt>
                <c:pt idx="802">
                  <c:v>3.3440000000000002E-3</c:v>
                </c:pt>
                <c:pt idx="803">
                  <c:v>3.4099999999999998E-3</c:v>
                </c:pt>
                <c:pt idx="804">
                  <c:v>3.2699999999999999E-3</c:v>
                </c:pt>
                <c:pt idx="805">
                  <c:v>3.2399999999999998E-3</c:v>
                </c:pt>
                <c:pt idx="806">
                  <c:v>3.2799999999999999E-3</c:v>
                </c:pt>
                <c:pt idx="807">
                  <c:v>3.31E-3</c:v>
                </c:pt>
                <c:pt idx="808">
                  <c:v>3.3400000000000001E-3</c:v>
                </c:pt>
                <c:pt idx="809">
                  <c:v>3.4099999999999998E-3</c:v>
                </c:pt>
                <c:pt idx="810">
                  <c:v>3.4299999999999999E-3</c:v>
                </c:pt>
                <c:pt idx="811">
                  <c:v>3.3999999999999998E-3</c:v>
                </c:pt>
                <c:pt idx="812">
                  <c:v>3.5899999999999999E-3</c:v>
                </c:pt>
                <c:pt idx="813">
                  <c:v>3.5000000000000001E-3</c:v>
                </c:pt>
                <c:pt idx="814">
                  <c:v>3.5599999999999998E-3</c:v>
                </c:pt>
                <c:pt idx="815">
                  <c:v>3.5899999999999999E-3</c:v>
                </c:pt>
                <c:pt idx="816">
                  <c:v>3.47E-3</c:v>
                </c:pt>
                <c:pt idx="817">
                  <c:v>3.48E-3</c:v>
                </c:pt>
                <c:pt idx="818">
                  <c:v>3.49E-3</c:v>
                </c:pt>
                <c:pt idx="819">
                  <c:v>3.3899999999999998E-3</c:v>
                </c:pt>
                <c:pt idx="820">
                  <c:v>3.4499999999999999E-3</c:v>
                </c:pt>
                <c:pt idx="821">
                  <c:v>3.5699999999999998E-3</c:v>
                </c:pt>
                <c:pt idx="822">
                  <c:v>3.4399999999999999E-3</c:v>
                </c:pt>
                <c:pt idx="823">
                  <c:v>3.3800000000000002E-3</c:v>
                </c:pt>
                <c:pt idx="824">
                  <c:v>3.2299999999999998E-3</c:v>
                </c:pt>
                <c:pt idx="825">
                  <c:v>3.3800000000000002E-3</c:v>
                </c:pt>
                <c:pt idx="826">
                  <c:v>3.2000000000000002E-3</c:v>
                </c:pt>
                <c:pt idx="827">
                  <c:v>3.1800000000000001E-3</c:v>
                </c:pt>
                <c:pt idx="828">
                  <c:v>3.3500000000000001E-3</c:v>
                </c:pt>
                <c:pt idx="829">
                  <c:v>3.3600000000000001E-3</c:v>
                </c:pt>
                <c:pt idx="830">
                  <c:v>3.3899999999999998E-3</c:v>
                </c:pt>
                <c:pt idx="831">
                  <c:v>3.32E-3</c:v>
                </c:pt>
                <c:pt idx="832">
                  <c:v>3.3E-3</c:v>
                </c:pt>
                <c:pt idx="833">
                  <c:v>3.48E-3</c:v>
                </c:pt>
                <c:pt idx="834">
                  <c:v>3.3700000000000002E-3</c:v>
                </c:pt>
                <c:pt idx="835">
                  <c:v>3.5799999999999998E-3</c:v>
                </c:pt>
                <c:pt idx="836">
                  <c:v>3.5500000000000002E-3</c:v>
                </c:pt>
                <c:pt idx="837">
                  <c:v>3.5200000000000001E-3</c:v>
                </c:pt>
                <c:pt idx="838">
                  <c:v>3.6700000000000001E-3</c:v>
                </c:pt>
                <c:pt idx="839">
                  <c:v>3.7000000000000002E-3</c:v>
                </c:pt>
                <c:pt idx="840">
                  <c:v>3.7100000000000002E-3</c:v>
                </c:pt>
                <c:pt idx="841">
                  <c:v>3.9500000000000004E-3</c:v>
                </c:pt>
                <c:pt idx="842">
                  <c:v>4.13E-3</c:v>
                </c:pt>
                <c:pt idx="843">
                  <c:v>4.0299999999999997E-3</c:v>
                </c:pt>
                <c:pt idx="844">
                  <c:v>3.3800000000000002E-3</c:v>
                </c:pt>
                <c:pt idx="845">
                  <c:v>3.4099999999999998E-3</c:v>
                </c:pt>
                <c:pt idx="846">
                  <c:v>3.3500000000000001E-3</c:v>
                </c:pt>
                <c:pt idx="847">
                  <c:v>3.29E-3</c:v>
                </c:pt>
                <c:pt idx="848">
                  <c:v>3.2100000000000002E-3</c:v>
                </c:pt>
                <c:pt idx="849">
                  <c:v>3.2000000000000002E-3</c:v>
                </c:pt>
                <c:pt idx="850">
                  <c:v>3.31E-3</c:v>
                </c:pt>
                <c:pt idx="851">
                  <c:v>3.2699999999999999E-3</c:v>
                </c:pt>
                <c:pt idx="852">
                  <c:v>3.4299999999999999E-3</c:v>
                </c:pt>
                <c:pt idx="853">
                  <c:v>3.4199999999999999E-3</c:v>
                </c:pt>
                <c:pt idx="854">
                  <c:v>3.1900000000000001E-3</c:v>
                </c:pt>
                <c:pt idx="855">
                  <c:v>3.4199999999999999E-3</c:v>
                </c:pt>
                <c:pt idx="856">
                  <c:v>3.3700000000000002E-3</c:v>
                </c:pt>
                <c:pt idx="857">
                  <c:v>4.0899999999999999E-3</c:v>
                </c:pt>
                <c:pt idx="858">
                  <c:v>4.2300000000000003E-3</c:v>
                </c:pt>
                <c:pt idx="859">
                  <c:v>4.4000000000000003E-3</c:v>
                </c:pt>
                <c:pt idx="860">
                  <c:v>4.5300000000000002E-3</c:v>
                </c:pt>
                <c:pt idx="861">
                  <c:v>4.5900000000000003E-3</c:v>
                </c:pt>
                <c:pt idx="862">
                  <c:v>4.7000000000000002E-3</c:v>
                </c:pt>
                <c:pt idx="863">
                  <c:v>4.3899999999999998E-3</c:v>
                </c:pt>
                <c:pt idx="864">
                  <c:v>4.3E-3</c:v>
                </c:pt>
                <c:pt idx="865">
                  <c:v>4.3200000000000001E-3</c:v>
                </c:pt>
                <c:pt idx="866">
                  <c:v>4.4000000000000003E-3</c:v>
                </c:pt>
                <c:pt idx="867">
                  <c:v>4.3400000000000001E-3</c:v>
                </c:pt>
                <c:pt idx="868">
                  <c:v>4.3400000000000001E-3</c:v>
                </c:pt>
                <c:pt idx="869">
                  <c:v>4.3299999999999996E-3</c:v>
                </c:pt>
                <c:pt idx="870">
                  <c:v>4.4799999999999996E-3</c:v>
                </c:pt>
                <c:pt idx="871">
                  <c:v>4.62E-3</c:v>
                </c:pt>
                <c:pt idx="872">
                  <c:v>4.64E-3</c:v>
                </c:pt>
                <c:pt idx="873">
                  <c:v>4.64E-3</c:v>
                </c:pt>
                <c:pt idx="874">
                  <c:v>4.4400000000000004E-3</c:v>
                </c:pt>
                <c:pt idx="875">
                  <c:v>4.5300000000000002E-3</c:v>
                </c:pt>
                <c:pt idx="876">
                  <c:v>4.5700000000000003E-3</c:v>
                </c:pt>
                <c:pt idx="877">
                  <c:v>4.6299999999999996E-3</c:v>
                </c:pt>
                <c:pt idx="878">
                  <c:v>4.6499999999999996E-3</c:v>
                </c:pt>
                <c:pt idx="879">
                  <c:v>4.7000000000000002E-3</c:v>
                </c:pt>
                <c:pt idx="880">
                  <c:v>4.7699999999999999E-3</c:v>
                </c:pt>
                <c:pt idx="881">
                  <c:v>4.81E-3</c:v>
                </c:pt>
                <c:pt idx="882">
                  <c:v>4.8500000000000001E-3</c:v>
                </c:pt>
                <c:pt idx="883">
                  <c:v>5.1599999999999997E-3</c:v>
                </c:pt>
                <c:pt idx="884">
                  <c:v>5.7200000000000003E-3</c:v>
                </c:pt>
                <c:pt idx="885">
                  <c:v>5.8599999999999998E-3</c:v>
                </c:pt>
                <c:pt idx="886">
                  <c:v>6.1700000000000001E-3</c:v>
                </c:pt>
                <c:pt idx="887">
                  <c:v>5.8100000000000001E-3</c:v>
                </c:pt>
                <c:pt idx="888">
                  <c:v>5.7600000000000004E-3</c:v>
                </c:pt>
                <c:pt idx="889">
                  <c:v>5.6299999999999996E-3</c:v>
                </c:pt>
                <c:pt idx="890">
                  <c:v>5.4000000000000003E-3</c:v>
                </c:pt>
                <c:pt idx="891">
                  <c:v>5.7800000000000004E-3</c:v>
                </c:pt>
                <c:pt idx="892">
                  <c:v>5.9500000000000004E-3</c:v>
                </c:pt>
                <c:pt idx="893">
                  <c:v>5.79E-3</c:v>
                </c:pt>
                <c:pt idx="894">
                  <c:v>5.7400000000000003E-3</c:v>
                </c:pt>
                <c:pt idx="895">
                  <c:v>5.8999999999999999E-3</c:v>
                </c:pt>
                <c:pt idx="896">
                  <c:v>5.8700000000000002E-3</c:v>
                </c:pt>
                <c:pt idx="897">
                  <c:v>6.0299999999999998E-3</c:v>
                </c:pt>
                <c:pt idx="898">
                  <c:v>6.7499999999999999E-3</c:v>
                </c:pt>
                <c:pt idx="899">
                  <c:v>7.1000000000000004E-3</c:v>
                </c:pt>
                <c:pt idx="900">
                  <c:v>7.2399999999999999E-3</c:v>
                </c:pt>
                <c:pt idx="901">
                  <c:v>6.5500000000000003E-3</c:v>
                </c:pt>
                <c:pt idx="902">
                  <c:v>6.1199999999999996E-3</c:v>
                </c:pt>
                <c:pt idx="903">
                  <c:v>6.4200000000000004E-3</c:v>
                </c:pt>
                <c:pt idx="904">
                  <c:v>6.3499999999999997E-3</c:v>
                </c:pt>
                <c:pt idx="905">
                  <c:v>6.4599999999999996E-3</c:v>
                </c:pt>
                <c:pt idx="906">
                  <c:v>6.4599999999999996E-3</c:v>
                </c:pt>
                <c:pt idx="907">
                  <c:v>6.4999999999999997E-3</c:v>
                </c:pt>
                <c:pt idx="908">
                  <c:v>6.7099999999999998E-3</c:v>
                </c:pt>
                <c:pt idx="909">
                  <c:v>6.9699999999999996E-3</c:v>
                </c:pt>
                <c:pt idx="910">
                  <c:v>7.2199999999999999E-3</c:v>
                </c:pt>
                <c:pt idx="911">
                  <c:v>7.6800000000000002E-3</c:v>
                </c:pt>
                <c:pt idx="912">
                  <c:v>7.28E-3</c:v>
                </c:pt>
                <c:pt idx="913">
                  <c:v>7.43E-3</c:v>
                </c:pt>
                <c:pt idx="914">
                  <c:v>7.2500000000000004E-3</c:v>
                </c:pt>
                <c:pt idx="915">
                  <c:v>7.1700000000000002E-3</c:v>
                </c:pt>
                <c:pt idx="916">
                  <c:v>7.7200000000000003E-3</c:v>
                </c:pt>
                <c:pt idx="917">
                  <c:v>7.4799999999999997E-3</c:v>
                </c:pt>
                <c:pt idx="918">
                  <c:v>7.3299999999999997E-3</c:v>
                </c:pt>
                <c:pt idx="919">
                  <c:v>7.5700000000000003E-3</c:v>
                </c:pt>
                <c:pt idx="920">
                  <c:v>7.4999999999999997E-3</c:v>
                </c:pt>
                <c:pt idx="921">
                  <c:v>7.0699999999999999E-3</c:v>
                </c:pt>
                <c:pt idx="922">
                  <c:v>7.2700000000000004E-3</c:v>
                </c:pt>
                <c:pt idx="923">
                  <c:v>7.1900000000000002E-3</c:v>
                </c:pt>
                <c:pt idx="924">
                  <c:v>7.11E-3</c:v>
                </c:pt>
                <c:pt idx="925">
                  <c:v>6.8599999999999998E-3</c:v>
                </c:pt>
                <c:pt idx="926">
                  <c:v>6.1000000000000004E-3</c:v>
                </c:pt>
                <c:pt idx="927">
                  <c:v>7.3000000000000001E-3</c:v>
                </c:pt>
                <c:pt idx="928">
                  <c:v>7.6899999999999998E-3</c:v>
                </c:pt>
                <c:pt idx="929">
                  <c:v>8.6300000000000005E-3</c:v>
                </c:pt>
                <c:pt idx="930">
                  <c:v>8.2500000000000004E-3</c:v>
                </c:pt>
                <c:pt idx="931">
                  <c:v>7.9299999999999995E-3</c:v>
                </c:pt>
                <c:pt idx="932">
                  <c:v>8.8900000000000003E-3</c:v>
                </c:pt>
                <c:pt idx="933">
                  <c:v>9.3699999999999999E-3</c:v>
                </c:pt>
                <c:pt idx="934">
                  <c:v>9.1299999999999992E-3</c:v>
                </c:pt>
                <c:pt idx="935">
                  <c:v>9.75E-3</c:v>
                </c:pt>
                <c:pt idx="936">
                  <c:v>9.7099999999999999E-3</c:v>
                </c:pt>
                <c:pt idx="937">
                  <c:v>8.6499999999999997E-3</c:v>
                </c:pt>
                <c:pt idx="938">
                  <c:v>8.7100000000000007E-3</c:v>
                </c:pt>
                <c:pt idx="939">
                  <c:v>9.11E-3</c:v>
                </c:pt>
                <c:pt idx="940">
                  <c:v>9.2300000000000004E-3</c:v>
                </c:pt>
                <c:pt idx="941">
                  <c:v>9.58E-3</c:v>
                </c:pt>
                <c:pt idx="942">
                  <c:v>9.1800000000000007E-3</c:v>
                </c:pt>
                <c:pt idx="943">
                  <c:v>9.3100000000000006E-3</c:v>
                </c:pt>
                <c:pt idx="944">
                  <c:v>9.0100000000000006E-3</c:v>
                </c:pt>
                <c:pt idx="945">
                  <c:v>8.8299999999999993E-3</c:v>
                </c:pt>
                <c:pt idx="946">
                  <c:v>9.6699999999999998E-3</c:v>
                </c:pt>
                <c:pt idx="947">
                  <c:v>1.0840000000000001E-2</c:v>
                </c:pt>
                <c:pt idx="948">
                  <c:v>1.1220000000000001E-2</c:v>
                </c:pt>
                <c:pt idx="949">
                  <c:v>1.111E-2</c:v>
                </c:pt>
                <c:pt idx="950">
                  <c:v>1.1209999999999999E-2</c:v>
                </c:pt>
                <c:pt idx="951">
                  <c:v>1.1509999999999999E-2</c:v>
                </c:pt>
                <c:pt idx="952">
                  <c:v>1.2789999999999999E-2</c:v>
                </c:pt>
                <c:pt idx="953">
                  <c:v>1.2149999999999999E-2</c:v>
                </c:pt>
                <c:pt idx="954">
                  <c:v>1.184E-2</c:v>
                </c:pt>
                <c:pt idx="955">
                  <c:v>1.204E-2</c:v>
                </c:pt>
                <c:pt idx="956">
                  <c:v>1.1990000000000001E-2</c:v>
                </c:pt>
                <c:pt idx="957">
                  <c:v>1.2200000000000001E-2</c:v>
                </c:pt>
                <c:pt idx="958">
                  <c:v>1.2540000000000001E-2</c:v>
                </c:pt>
                <c:pt idx="959">
                  <c:v>1.3180000000000001E-2</c:v>
                </c:pt>
                <c:pt idx="960">
                  <c:v>1.3480000000000001E-2</c:v>
                </c:pt>
                <c:pt idx="961">
                  <c:v>1.363E-2</c:v>
                </c:pt>
                <c:pt idx="962">
                  <c:v>1.4030000000000001E-2</c:v>
                </c:pt>
                <c:pt idx="963">
                  <c:v>1.3299999999999999E-2</c:v>
                </c:pt>
                <c:pt idx="964">
                  <c:v>1.499E-2</c:v>
                </c:pt>
                <c:pt idx="965">
                  <c:v>1.4449999999999999E-2</c:v>
                </c:pt>
                <c:pt idx="966">
                  <c:v>1.409E-2</c:v>
                </c:pt>
                <c:pt idx="967">
                  <c:v>1.3270000000000001E-2</c:v>
                </c:pt>
                <c:pt idx="968">
                  <c:v>1.2619999999999999E-2</c:v>
                </c:pt>
                <c:pt idx="969">
                  <c:v>1.3350000000000001E-2</c:v>
                </c:pt>
                <c:pt idx="970">
                  <c:v>1.465E-2</c:v>
                </c:pt>
                <c:pt idx="971">
                  <c:v>1.4160000000000001E-2</c:v>
                </c:pt>
                <c:pt idx="972">
                  <c:v>1.477E-2</c:v>
                </c:pt>
                <c:pt idx="973">
                  <c:v>1.4449999999999999E-2</c:v>
                </c:pt>
                <c:pt idx="974">
                  <c:v>1.7979999999999999E-2</c:v>
                </c:pt>
                <c:pt idx="975">
                  <c:v>1.643E-2</c:v>
                </c:pt>
                <c:pt idx="976">
                  <c:v>1.6459999999999999E-2</c:v>
                </c:pt>
                <c:pt idx="977">
                  <c:v>1.7559999999999999E-2</c:v>
                </c:pt>
                <c:pt idx="978">
                  <c:v>2.1999999999999999E-2</c:v>
                </c:pt>
                <c:pt idx="979">
                  <c:v>1.515E-2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CB-443F-A837-077FC79F27F1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  <c:pt idx="972">
                  <c:v>43616</c:v>
                </c:pt>
                <c:pt idx="973">
                  <c:v>43615</c:v>
                </c:pt>
                <c:pt idx="974">
                  <c:v>43614</c:v>
                </c:pt>
                <c:pt idx="975">
                  <c:v>43613</c:v>
                </c:pt>
                <c:pt idx="976">
                  <c:v>43612</c:v>
                </c:pt>
                <c:pt idx="977">
                  <c:v>43611</c:v>
                </c:pt>
                <c:pt idx="978">
                  <c:v>43610</c:v>
                </c:pt>
                <c:pt idx="979">
                  <c:v>43609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-10.101907063880532</c:v>
                </c:pt>
                <c:pt idx="1">
                  <c:v>-9.71272221328128</c:v>
                </c:pt>
                <c:pt idx="2">
                  <c:v>-10.026054200973588</c:v>
                </c:pt>
                <c:pt idx="3">
                  <c:v>-10.151335797994866</c:v>
                </c:pt>
                <c:pt idx="4">
                  <c:v>-10.316301912533326</c:v>
                </c:pt>
                <c:pt idx="5">
                  <c:v>-10.360325788644438</c:v>
                </c:pt>
                <c:pt idx="6">
                  <c:v>-10.062650070694438</c:v>
                </c:pt>
                <c:pt idx="7">
                  <c:v>-9.4912947510944399</c:v>
                </c:pt>
                <c:pt idx="8">
                  <c:v>-9.03718217595274</c:v>
                </c:pt>
                <c:pt idx="9">
                  <c:v>-9.346431496246856</c:v>
                </c:pt>
                <c:pt idx="10">
                  <c:v>-9.1340391439968531</c:v>
                </c:pt>
                <c:pt idx="11">
                  <c:v>-9.1438686533568543</c:v>
                </c:pt>
                <c:pt idx="12">
                  <c:v>-9.2545907546509714</c:v>
                </c:pt>
                <c:pt idx="13">
                  <c:v>-9.277423012092834</c:v>
                </c:pt>
                <c:pt idx="14">
                  <c:v>-9.4033747758006978</c:v>
                </c:pt>
                <c:pt idx="15">
                  <c:v>-9.0714598801696322</c:v>
                </c:pt>
                <c:pt idx="16">
                  <c:v>-9.1070988135029651</c:v>
                </c:pt>
                <c:pt idx="17">
                  <c:v>-9.2188450980629639</c:v>
                </c:pt>
                <c:pt idx="18">
                  <c:v>-9.1281165670020954</c:v>
                </c:pt>
                <c:pt idx="19">
                  <c:v>-9.1460469682265852</c:v>
                </c:pt>
                <c:pt idx="20">
                  <c:v>-8.9968017388295998</c:v>
                </c:pt>
                <c:pt idx="21">
                  <c:v>-8.9235648427426444</c:v>
                </c:pt>
                <c:pt idx="22">
                  <c:v>-9.0351353566448989</c:v>
                </c:pt>
                <c:pt idx="23">
                  <c:v>-8.882643980051494</c:v>
                </c:pt>
                <c:pt idx="24">
                  <c:v>-8.7962271732429809</c:v>
                </c:pt>
                <c:pt idx="25">
                  <c:v>-8.7566612415635916</c:v>
                </c:pt>
                <c:pt idx="26">
                  <c:v>-8.7699950214345588</c:v>
                </c:pt>
                <c:pt idx="27">
                  <c:v>-8.8437419140271523</c:v>
                </c:pt>
                <c:pt idx="28">
                  <c:v>-8.7693828364761313</c:v>
                </c:pt>
                <c:pt idx="29">
                  <c:v>-8.8597180894675844</c:v>
                </c:pt>
                <c:pt idx="30">
                  <c:v>-8.5796380379013186</c:v>
                </c:pt>
                <c:pt idx="31">
                  <c:v>-8.0427260838388186</c:v>
                </c:pt>
                <c:pt idx="32">
                  <c:v>-7.6528283891449416</c:v>
                </c:pt>
                <c:pt idx="33">
                  <c:v>-8.2389387736610722</c:v>
                </c:pt>
                <c:pt idx="34">
                  <c:v>-8.2648370785182124</c:v>
                </c:pt>
                <c:pt idx="35">
                  <c:v>-8.024297617499105</c:v>
                </c:pt>
                <c:pt idx="36">
                  <c:v>-8.5696939618505681</c:v>
                </c:pt>
                <c:pt idx="37">
                  <c:v>-8.5764742218505674</c:v>
                </c:pt>
                <c:pt idx="38">
                  <c:v>-8.7826485195778385</c:v>
                </c:pt>
                <c:pt idx="39">
                  <c:v>-8.7297335292330125</c:v>
                </c:pt>
                <c:pt idx="40">
                  <c:v>-8.5573618492330112</c:v>
                </c:pt>
                <c:pt idx="41">
                  <c:v>-8.6261498115187258</c:v>
                </c:pt>
                <c:pt idx="42">
                  <c:v>-8.486671675016483</c:v>
                </c:pt>
                <c:pt idx="43">
                  <c:v>-7.8788845550164837</c:v>
                </c:pt>
                <c:pt idx="44">
                  <c:v>-8.6860049677572242</c:v>
                </c:pt>
                <c:pt idx="45">
                  <c:v>-9.4376846610549343</c:v>
                </c:pt>
                <c:pt idx="46">
                  <c:v>-8.8467523570226767</c:v>
                </c:pt>
                <c:pt idx="47">
                  <c:v>-9.0046223994107368</c:v>
                </c:pt>
                <c:pt idx="48">
                  <c:v>-9.0149767762528423</c:v>
                </c:pt>
                <c:pt idx="49">
                  <c:v>-7.7656287081396336</c:v>
                </c:pt>
                <c:pt idx="50">
                  <c:v>-7.5405751103363547</c:v>
                </c:pt>
                <c:pt idx="51">
                  <c:v>-7.9419976837031889</c:v>
                </c:pt>
                <c:pt idx="52">
                  <c:v>-7.6807005409031905</c:v>
                </c:pt>
                <c:pt idx="53">
                  <c:v>-8.1993432568267579</c:v>
                </c:pt>
                <c:pt idx="54">
                  <c:v>-8.0529212765067584</c:v>
                </c:pt>
                <c:pt idx="55">
                  <c:v>-8.1715218290634866</c:v>
                </c:pt>
                <c:pt idx="56">
                  <c:v>-8.1069409544215087</c:v>
                </c:pt>
                <c:pt idx="57">
                  <c:v>-8.1537641373760561</c:v>
                </c:pt>
                <c:pt idx="58">
                  <c:v>-8.1358812691942379</c:v>
                </c:pt>
                <c:pt idx="59">
                  <c:v>-8.2089749643749599</c:v>
                </c:pt>
                <c:pt idx="60">
                  <c:v>-8.152361271591456</c:v>
                </c:pt>
                <c:pt idx="61">
                  <c:v>-8.2835580271470128</c:v>
                </c:pt>
                <c:pt idx="62">
                  <c:v>-8.2762783862504623</c:v>
                </c:pt>
                <c:pt idx="63">
                  <c:v>-7.9412397825743701</c:v>
                </c:pt>
                <c:pt idx="64">
                  <c:v>-8.1480707121150058</c:v>
                </c:pt>
                <c:pt idx="65">
                  <c:v>-8.0436484065594502</c:v>
                </c:pt>
                <c:pt idx="66">
                  <c:v>-8.1424767704056027</c:v>
                </c:pt>
                <c:pt idx="67">
                  <c:v>-7.8955333836467085</c:v>
                </c:pt>
                <c:pt idx="68">
                  <c:v>-7.9904435325068128</c:v>
                </c:pt>
                <c:pt idx="69">
                  <c:v>-8.1235169242902519</c:v>
                </c:pt>
                <c:pt idx="70">
                  <c:v>-8.3660585948784867</c:v>
                </c:pt>
                <c:pt idx="71">
                  <c:v>-8.2351434062510354</c:v>
                </c:pt>
                <c:pt idx="72">
                  <c:v>-8.4998120027856903</c:v>
                </c:pt>
                <c:pt idx="73">
                  <c:v>-8.4695086132033222</c:v>
                </c:pt>
                <c:pt idx="74">
                  <c:v>-8.3724141501882485</c:v>
                </c:pt>
                <c:pt idx="75">
                  <c:v>-8.3908638842978363</c:v>
                </c:pt>
                <c:pt idx="76">
                  <c:v>-8.2855085698978339</c:v>
                </c:pt>
                <c:pt idx="77">
                  <c:v>-8.3975795562880773</c:v>
                </c:pt>
                <c:pt idx="78">
                  <c:v>-8.5723624856311442</c:v>
                </c:pt>
                <c:pt idx="79">
                  <c:v>-8.3060589467068411</c:v>
                </c:pt>
                <c:pt idx="80">
                  <c:v>-8.0189615650939352</c:v>
                </c:pt>
                <c:pt idx="81">
                  <c:v>-7.8546748559316306</c:v>
                </c:pt>
                <c:pt idx="82">
                  <c:v>-8.0858621343454242</c:v>
                </c:pt>
                <c:pt idx="83">
                  <c:v>-8.2720636582289213</c:v>
                </c:pt>
                <c:pt idx="84">
                  <c:v>-8.3166430257941375</c:v>
                </c:pt>
                <c:pt idx="85">
                  <c:v>-8.090752323519995</c:v>
                </c:pt>
                <c:pt idx="86">
                  <c:v>-8.5654264840543455</c:v>
                </c:pt>
                <c:pt idx="87">
                  <c:v>-8.6721543995088908</c:v>
                </c:pt>
                <c:pt idx="88">
                  <c:v>-8.7316473045936327</c:v>
                </c:pt>
                <c:pt idx="89">
                  <c:v>-8.3385023892744847</c:v>
                </c:pt>
                <c:pt idx="90">
                  <c:v>-8.9526501721020697</c:v>
                </c:pt>
                <c:pt idx="91">
                  <c:v>-9.6330941796397589</c:v>
                </c:pt>
                <c:pt idx="92">
                  <c:v>-9.9562165222140155</c:v>
                </c:pt>
                <c:pt idx="93">
                  <c:v>-9.6540843417442996</c:v>
                </c:pt>
                <c:pt idx="94">
                  <c:v>-9.8809170562351625</c:v>
                </c:pt>
                <c:pt idx="95">
                  <c:v>-10.037392262724959</c:v>
                </c:pt>
                <c:pt idx="96">
                  <c:v>-10.004892824117364</c:v>
                </c:pt>
                <c:pt idx="97">
                  <c:v>-10.12356262078403</c:v>
                </c:pt>
                <c:pt idx="98">
                  <c:v>-10.193819053291771</c:v>
                </c:pt>
                <c:pt idx="99">
                  <c:v>-9.9606472363723402</c:v>
                </c:pt>
                <c:pt idx="100">
                  <c:v>-10.211344627496601</c:v>
                </c:pt>
                <c:pt idx="101">
                  <c:v>-9.9623445002238746</c:v>
                </c:pt>
                <c:pt idx="102">
                  <c:v>-9.996778962492785</c:v>
                </c:pt>
                <c:pt idx="103">
                  <c:v>-10.113530669334891</c:v>
                </c:pt>
                <c:pt idx="104">
                  <c:v>-9.9537955335454136</c:v>
                </c:pt>
                <c:pt idx="105">
                  <c:v>-9.8769120490526596</c:v>
                </c:pt>
                <c:pt idx="106">
                  <c:v>-9.8653144209803703</c:v>
                </c:pt>
                <c:pt idx="107">
                  <c:v>-10.063600971041719</c:v>
                </c:pt>
                <c:pt idx="108">
                  <c:v>-10.101857722385002</c:v>
                </c:pt>
                <c:pt idx="109">
                  <c:v>-9.8544713133283999</c:v>
                </c:pt>
                <c:pt idx="110">
                  <c:v>-9.483619718460675</c:v>
                </c:pt>
                <c:pt idx="111">
                  <c:v>-10.032921849832103</c:v>
                </c:pt>
                <c:pt idx="112">
                  <c:v>-10.114657571571232</c:v>
                </c:pt>
                <c:pt idx="113">
                  <c:v>-10.242208441009431</c:v>
                </c:pt>
                <c:pt idx="114">
                  <c:v>-10.408254511450608</c:v>
                </c:pt>
                <c:pt idx="115">
                  <c:v>-10.703308751015825</c:v>
                </c:pt>
                <c:pt idx="116">
                  <c:v>-10.998179615752667</c:v>
                </c:pt>
                <c:pt idx="117">
                  <c:v>-10.986150142061392</c:v>
                </c:pt>
                <c:pt idx="118">
                  <c:v>-11.305404276211592</c:v>
                </c:pt>
                <c:pt idx="119">
                  <c:v>-11.827395528237565</c:v>
                </c:pt>
                <c:pt idx="120">
                  <c:v>-12.535178468237564</c:v>
                </c:pt>
                <c:pt idx="121">
                  <c:v>-12.45972923252328</c:v>
                </c:pt>
                <c:pt idx="122">
                  <c:v>-12.323570094108645</c:v>
                </c:pt>
                <c:pt idx="123">
                  <c:v>-12.148357390128064</c:v>
                </c:pt>
                <c:pt idx="124">
                  <c:v>-12.060956206128063</c:v>
                </c:pt>
                <c:pt idx="125">
                  <c:v>-12.029465823100541</c:v>
                </c:pt>
                <c:pt idx="126">
                  <c:v>-11.965725389564629</c:v>
                </c:pt>
                <c:pt idx="127">
                  <c:v>-12.194030080198774</c:v>
                </c:pt>
                <c:pt idx="128">
                  <c:v>-12.468461287863445</c:v>
                </c:pt>
                <c:pt idx="129">
                  <c:v>-12.291332901401905</c:v>
                </c:pt>
                <c:pt idx="130">
                  <c:v>-12.081577361314407</c:v>
                </c:pt>
                <c:pt idx="131">
                  <c:v>-11.998189140091382</c:v>
                </c:pt>
                <c:pt idx="132">
                  <c:v>-12.022267960700077</c:v>
                </c:pt>
                <c:pt idx="133">
                  <c:v>-11.896716339383007</c:v>
                </c:pt>
                <c:pt idx="134">
                  <c:v>-11.816547411098984</c:v>
                </c:pt>
                <c:pt idx="135">
                  <c:v>-11.938414767765652</c:v>
                </c:pt>
                <c:pt idx="136">
                  <c:v>-12.104659194908509</c:v>
                </c:pt>
                <c:pt idx="137">
                  <c:v>-12.009045490322164</c:v>
                </c:pt>
                <c:pt idx="138">
                  <c:v>-12.192311823256295</c:v>
                </c:pt>
                <c:pt idx="139">
                  <c:v>-12.216368295624715</c:v>
                </c:pt>
                <c:pt idx="140">
                  <c:v>-11.941689040819224</c:v>
                </c:pt>
                <c:pt idx="141">
                  <c:v>-12.036000781010793</c:v>
                </c:pt>
                <c:pt idx="142">
                  <c:v>-12.224716571784722</c:v>
                </c:pt>
                <c:pt idx="143">
                  <c:v>-11.308864566117254</c:v>
                </c:pt>
                <c:pt idx="144">
                  <c:v>-12.846412193266129</c:v>
                </c:pt>
                <c:pt idx="145">
                  <c:v>-13.495573623266129</c:v>
                </c:pt>
                <c:pt idx="146">
                  <c:v>-13.183736713529287</c:v>
                </c:pt>
                <c:pt idx="147">
                  <c:v>-13.922937748238578</c:v>
                </c:pt>
                <c:pt idx="148">
                  <c:v>-14.052633510337852</c:v>
                </c:pt>
                <c:pt idx="149">
                  <c:v>-14.363089181194995</c:v>
                </c:pt>
                <c:pt idx="150">
                  <c:v>-14.521156668536769</c:v>
                </c:pt>
                <c:pt idx="151">
                  <c:v>-14.292884163444743</c:v>
                </c:pt>
                <c:pt idx="152">
                  <c:v>-14.318501240259559</c:v>
                </c:pt>
                <c:pt idx="153">
                  <c:v>-14.247267376491443</c:v>
                </c:pt>
                <c:pt idx="154">
                  <c:v>-14.611160914196361</c:v>
                </c:pt>
                <c:pt idx="155">
                  <c:v>-14.390370757658889</c:v>
                </c:pt>
                <c:pt idx="156">
                  <c:v>-14.696942624061247</c:v>
                </c:pt>
                <c:pt idx="157">
                  <c:v>-14.328043985273728</c:v>
                </c:pt>
                <c:pt idx="158">
                  <c:v>-14.646485394549126</c:v>
                </c:pt>
                <c:pt idx="159">
                  <c:v>-14.69080129956042</c:v>
                </c:pt>
                <c:pt idx="160">
                  <c:v>-14.564732674179712</c:v>
                </c:pt>
                <c:pt idx="161">
                  <c:v>-14.829148705984593</c:v>
                </c:pt>
                <c:pt idx="162">
                  <c:v>-15.21993574593068</c:v>
                </c:pt>
                <c:pt idx="163">
                  <c:v>-15.193394391160147</c:v>
                </c:pt>
                <c:pt idx="164">
                  <c:v>-14.67504242000069</c:v>
                </c:pt>
                <c:pt idx="165">
                  <c:v>-14.560553296014099</c:v>
                </c:pt>
                <c:pt idx="166">
                  <c:v>-14.912817026010924</c:v>
                </c:pt>
                <c:pt idx="167">
                  <c:v>-15.114005630570968</c:v>
                </c:pt>
                <c:pt idx="168">
                  <c:v>-15.497251452041322</c:v>
                </c:pt>
                <c:pt idx="169">
                  <c:v>-15.36739972673006</c:v>
                </c:pt>
                <c:pt idx="170">
                  <c:v>-15.928489143679524</c:v>
                </c:pt>
                <c:pt idx="171">
                  <c:v>-16.335450337787265</c:v>
                </c:pt>
                <c:pt idx="172">
                  <c:v>-16.730954543278951</c:v>
                </c:pt>
                <c:pt idx="173">
                  <c:v>-16.295314283108151</c:v>
                </c:pt>
                <c:pt idx="174">
                  <c:v>-16.084576770080098</c:v>
                </c:pt>
                <c:pt idx="175">
                  <c:v>-15.967346695977545</c:v>
                </c:pt>
                <c:pt idx="176">
                  <c:v>-16.626883018693643</c:v>
                </c:pt>
                <c:pt idx="177">
                  <c:v>-16.943561914055817</c:v>
                </c:pt>
                <c:pt idx="178">
                  <c:v>-17.008708222430606</c:v>
                </c:pt>
                <c:pt idx="179">
                  <c:v>-16.68082951150631</c:v>
                </c:pt>
                <c:pt idx="180">
                  <c:v>-15.949283479391147</c:v>
                </c:pt>
                <c:pt idx="181">
                  <c:v>-16.028862424546467</c:v>
                </c:pt>
                <c:pt idx="182">
                  <c:v>-16.365914203605872</c:v>
                </c:pt>
                <c:pt idx="183">
                  <c:v>-16.501682327966844</c:v>
                </c:pt>
                <c:pt idx="184">
                  <c:v>-16.456869905017633</c:v>
                </c:pt>
                <c:pt idx="185">
                  <c:v>-17.255666967697895</c:v>
                </c:pt>
                <c:pt idx="186">
                  <c:v>-16.084639376330223</c:v>
                </c:pt>
                <c:pt idx="187">
                  <c:v>-16.350210778088531</c:v>
                </c:pt>
                <c:pt idx="188">
                  <c:v>-16.734809457336322</c:v>
                </c:pt>
                <c:pt idx="189">
                  <c:v>-17.105453512406996</c:v>
                </c:pt>
                <c:pt idx="190">
                  <c:v>-17.420985906683914</c:v>
                </c:pt>
                <c:pt idx="191">
                  <c:v>-17.766214017427899</c:v>
                </c:pt>
                <c:pt idx="192">
                  <c:v>-16.781015987541352</c:v>
                </c:pt>
                <c:pt idx="193">
                  <c:v>-16.352819362351166</c:v>
                </c:pt>
                <c:pt idx="194">
                  <c:v>-16.691727638549846</c:v>
                </c:pt>
                <c:pt idx="195">
                  <c:v>-16.765986209619282</c:v>
                </c:pt>
                <c:pt idx="196">
                  <c:v>-16.083621072058982</c:v>
                </c:pt>
                <c:pt idx="197">
                  <c:v>-16.302727272821073</c:v>
                </c:pt>
                <c:pt idx="198">
                  <c:v>-16.572059710634015</c:v>
                </c:pt>
                <c:pt idx="199">
                  <c:v>-16.286813008701856</c:v>
                </c:pt>
                <c:pt idx="200">
                  <c:v>-16.245267589423346</c:v>
                </c:pt>
                <c:pt idx="201">
                  <c:v>-16.691385802840873</c:v>
                </c:pt>
                <c:pt idx="202">
                  <c:v>-16.642615660079286</c:v>
                </c:pt>
                <c:pt idx="203">
                  <c:v>-16.528023608867109</c:v>
                </c:pt>
                <c:pt idx="204">
                  <c:v>-17.173131864513209</c:v>
                </c:pt>
                <c:pt idx="205">
                  <c:v>-16.988018750464914</c:v>
                </c:pt>
                <c:pt idx="206">
                  <c:v>-17.35852008986809</c:v>
                </c:pt>
                <c:pt idx="207">
                  <c:v>-16.873339551115421</c:v>
                </c:pt>
                <c:pt idx="208">
                  <c:v>-16.840468397935425</c:v>
                </c:pt>
                <c:pt idx="209">
                  <c:v>-17.24150225303708</c:v>
                </c:pt>
                <c:pt idx="210">
                  <c:v>-17.472158268506885</c:v>
                </c:pt>
                <c:pt idx="211">
                  <c:v>-16.716532924511981</c:v>
                </c:pt>
                <c:pt idx="212">
                  <c:v>-17.062832938439264</c:v>
                </c:pt>
                <c:pt idx="213">
                  <c:v>-16.545477883068965</c:v>
                </c:pt>
                <c:pt idx="214">
                  <c:v>-16.989832564070209</c:v>
                </c:pt>
                <c:pt idx="215">
                  <c:v>-18.218875041427033</c:v>
                </c:pt>
                <c:pt idx="216">
                  <c:v>-19.207864589726181</c:v>
                </c:pt>
                <c:pt idx="217">
                  <c:v>-18.042517307925916</c:v>
                </c:pt>
                <c:pt idx="218">
                  <c:v>-18.836791572669718</c:v>
                </c:pt>
                <c:pt idx="219">
                  <c:v>-20.693722405057372</c:v>
                </c:pt>
                <c:pt idx="220">
                  <c:v>-22.286266025771766</c:v>
                </c:pt>
                <c:pt idx="221">
                  <c:v>-19.512943570776027</c:v>
                </c:pt>
                <c:pt idx="222">
                  <c:v>-21.035043117967362</c:v>
                </c:pt>
                <c:pt idx="223">
                  <c:v>-19.966071959068994</c:v>
                </c:pt>
                <c:pt idx="224">
                  <c:v>-18.457381614722845</c:v>
                </c:pt>
                <c:pt idx="225">
                  <c:v>-20.327885127284397</c:v>
                </c:pt>
                <c:pt idx="226">
                  <c:v>-20.837384498512424</c:v>
                </c:pt>
                <c:pt idx="227">
                  <c:v>-20.012502766339686</c:v>
                </c:pt>
                <c:pt idx="228">
                  <c:v>-19.551979979322937</c:v>
                </c:pt>
                <c:pt idx="229">
                  <c:v>-24.061569875585334</c:v>
                </c:pt>
                <c:pt idx="230">
                  <c:v>-21.999539690798787</c:v>
                </c:pt>
                <c:pt idx="231">
                  <c:v>-20.606782563175639</c:v>
                </c:pt>
                <c:pt idx="232">
                  <c:v>-18.045075744814135</c:v>
                </c:pt>
                <c:pt idx="233">
                  <c:v>-14.182859134329238</c:v>
                </c:pt>
                <c:pt idx="234">
                  <c:v>-18.223493068948699</c:v>
                </c:pt>
                <c:pt idx="235">
                  <c:v>-16.617129459326076</c:v>
                </c:pt>
                <c:pt idx="236">
                  <c:v>-17.608158978599612</c:v>
                </c:pt>
                <c:pt idx="237">
                  <c:v>-15.841911188237789</c:v>
                </c:pt>
                <c:pt idx="238">
                  <c:v>-17.341248111561903</c:v>
                </c:pt>
                <c:pt idx="239">
                  <c:v>-18.623065062386146</c:v>
                </c:pt>
                <c:pt idx="240">
                  <c:v>-19.255847904286146</c:v>
                </c:pt>
                <c:pt idx="241">
                  <c:v>-20.069021012698389</c:v>
                </c:pt>
                <c:pt idx="242">
                  <c:v>-20.695919127286711</c:v>
                </c:pt>
                <c:pt idx="243">
                  <c:v>-20.951837397582072</c:v>
                </c:pt>
                <c:pt idx="244">
                  <c:v>-20.405010529238222</c:v>
                </c:pt>
                <c:pt idx="245">
                  <c:v>-18.250454459626845</c:v>
                </c:pt>
                <c:pt idx="246">
                  <c:v>-18.650000865084579</c:v>
                </c:pt>
                <c:pt idx="247">
                  <c:v>-19.36242104059184</c:v>
                </c:pt>
                <c:pt idx="248">
                  <c:v>-19.679435710391839</c:v>
                </c:pt>
                <c:pt idx="249">
                  <c:v>-20.70483656039184</c:v>
                </c:pt>
                <c:pt idx="250">
                  <c:v>-20.642105085263918</c:v>
                </c:pt>
                <c:pt idx="251">
                  <c:v>-20.780792814461066</c:v>
                </c:pt>
                <c:pt idx="252">
                  <c:v>-20.757047500472055</c:v>
                </c:pt>
                <c:pt idx="253">
                  <c:v>-21.259883004449105</c:v>
                </c:pt>
                <c:pt idx="254">
                  <c:v>-21.103106626449676</c:v>
                </c:pt>
                <c:pt idx="255">
                  <c:v>-21.182926702688537</c:v>
                </c:pt>
                <c:pt idx="256">
                  <c:v>-21.362339876826098</c:v>
                </c:pt>
                <c:pt idx="257">
                  <c:v>-21.475063030542053</c:v>
                </c:pt>
                <c:pt idx="258">
                  <c:v>-21.195422734827766</c:v>
                </c:pt>
                <c:pt idx="259">
                  <c:v>-21.344007862249846</c:v>
                </c:pt>
                <c:pt idx="260">
                  <c:v>-21.728937517226296</c:v>
                </c:pt>
                <c:pt idx="261">
                  <c:v>-21.404533295970914</c:v>
                </c:pt>
                <c:pt idx="262">
                  <c:v>-21.813598361195979</c:v>
                </c:pt>
                <c:pt idx="263">
                  <c:v>-21.542981299315407</c:v>
                </c:pt>
                <c:pt idx="264">
                  <c:v>-21.413896434919323</c:v>
                </c:pt>
                <c:pt idx="265">
                  <c:v>-21.347078112367708</c:v>
                </c:pt>
                <c:pt idx="266">
                  <c:v>-21.787130098003772</c:v>
                </c:pt>
                <c:pt idx="267">
                  <c:v>-21.510148721737949</c:v>
                </c:pt>
                <c:pt idx="268">
                  <c:v>-21.893031616729989</c:v>
                </c:pt>
                <c:pt idx="269">
                  <c:v>-21.174964683845349</c:v>
                </c:pt>
                <c:pt idx="270">
                  <c:v>-20.90892470225587</c:v>
                </c:pt>
                <c:pt idx="271">
                  <c:v>-20.904393463580856</c:v>
                </c:pt>
                <c:pt idx="272">
                  <c:v>-20.630395760203758</c:v>
                </c:pt>
                <c:pt idx="273">
                  <c:v>-21.460406944317107</c:v>
                </c:pt>
                <c:pt idx="274">
                  <c:v>-22.171271374597286</c:v>
                </c:pt>
                <c:pt idx="275">
                  <c:v>-22.550712181095268</c:v>
                </c:pt>
                <c:pt idx="276">
                  <c:v>-22.786949167482366</c:v>
                </c:pt>
                <c:pt idx="277">
                  <c:v>-23.202976197815701</c:v>
                </c:pt>
                <c:pt idx="278">
                  <c:v>-23.15038169103595</c:v>
                </c:pt>
                <c:pt idx="279">
                  <c:v>-22.280993609647226</c:v>
                </c:pt>
                <c:pt idx="280">
                  <c:v>-23.564804230143384</c:v>
                </c:pt>
                <c:pt idx="281">
                  <c:v>-22.903182184299784</c:v>
                </c:pt>
                <c:pt idx="282">
                  <c:v>-22.052678178491174</c:v>
                </c:pt>
                <c:pt idx="283">
                  <c:v>-22.946989070880761</c:v>
                </c:pt>
                <c:pt idx="284">
                  <c:v>-22.396011635907065</c:v>
                </c:pt>
                <c:pt idx="285">
                  <c:v>-22.285368865910897</c:v>
                </c:pt>
                <c:pt idx="286">
                  <c:v>-21.102952523968554</c:v>
                </c:pt>
                <c:pt idx="287">
                  <c:v>-21.742854543475897</c:v>
                </c:pt>
                <c:pt idx="288">
                  <c:v>-22.364876842794857</c:v>
                </c:pt>
                <c:pt idx="289">
                  <c:v>-22.356797819271179</c:v>
                </c:pt>
                <c:pt idx="290">
                  <c:v>-22.641056622300766</c:v>
                </c:pt>
                <c:pt idx="291">
                  <c:v>-23.419447843784901</c:v>
                </c:pt>
                <c:pt idx="292">
                  <c:v>-23.360250512773867</c:v>
                </c:pt>
                <c:pt idx="293">
                  <c:v>-23.100289389862887</c:v>
                </c:pt>
                <c:pt idx="294">
                  <c:v>-23.109872993238053</c:v>
                </c:pt>
                <c:pt idx="295">
                  <c:v>-23.90659259400935</c:v>
                </c:pt>
                <c:pt idx="296">
                  <c:v>-23.364637503695011</c:v>
                </c:pt>
                <c:pt idx="297">
                  <c:v>-22.586971922563642</c:v>
                </c:pt>
                <c:pt idx="298">
                  <c:v>-21.330792471690572</c:v>
                </c:pt>
                <c:pt idx="299">
                  <c:v>-21.683092165061684</c:v>
                </c:pt>
                <c:pt idx="300">
                  <c:v>-20.191254832759242</c:v>
                </c:pt>
                <c:pt idx="301">
                  <c:v>-20.598229628549479</c:v>
                </c:pt>
                <c:pt idx="302">
                  <c:v>-20.56714496385101</c:v>
                </c:pt>
                <c:pt idx="303">
                  <c:v>-19.999908249067012</c:v>
                </c:pt>
                <c:pt idx="304">
                  <c:v>-20.29035254005834</c:v>
                </c:pt>
                <c:pt idx="305">
                  <c:v>-19.479081899593186</c:v>
                </c:pt>
                <c:pt idx="306">
                  <c:v>-19.433594874171533</c:v>
                </c:pt>
                <c:pt idx="307">
                  <c:v>-18.938855091215594</c:v>
                </c:pt>
                <c:pt idx="308">
                  <c:v>-19.945343039483518</c:v>
                </c:pt>
                <c:pt idx="309">
                  <c:v>-21.183235890784854</c:v>
                </c:pt>
                <c:pt idx="310">
                  <c:v>-17.25024960128701</c:v>
                </c:pt>
                <c:pt idx="311">
                  <c:v>-20.020306307259013</c:v>
                </c:pt>
                <c:pt idx="312">
                  <c:v>-18.652637920658151</c:v>
                </c:pt>
                <c:pt idx="313">
                  <c:v>-19.17101827016447</c:v>
                </c:pt>
                <c:pt idx="314">
                  <c:v>-18.314525550196066</c:v>
                </c:pt>
                <c:pt idx="315">
                  <c:v>-16.569685409993475</c:v>
                </c:pt>
                <c:pt idx="316">
                  <c:v>-17.37840227238004</c:v>
                </c:pt>
                <c:pt idx="317">
                  <c:v>-18.89734848798734</c:v>
                </c:pt>
                <c:pt idx="318">
                  <c:v>-19.260723595217719</c:v>
                </c:pt>
                <c:pt idx="319">
                  <c:v>-17.653431754223075</c:v>
                </c:pt>
                <c:pt idx="320">
                  <c:v>-17.357295847264794</c:v>
                </c:pt>
                <c:pt idx="321">
                  <c:v>-16.662493385409437</c:v>
                </c:pt>
                <c:pt idx="322">
                  <c:v>-15.343852274195109</c:v>
                </c:pt>
                <c:pt idx="323">
                  <c:v>-18.170221016983604</c:v>
                </c:pt>
                <c:pt idx="324">
                  <c:v>-21.20298213434987</c:v>
                </c:pt>
                <c:pt idx="325">
                  <c:v>-22.132576916761352</c:v>
                </c:pt>
                <c:pt idx="326">
                  <c:v>-24.147153003059977</c:v>
                </c:pt>
                <c:pt idx="327">
                  <c:v>-24.78008842981891</c:v>
                </c:pt>
                <c:pt idx="328">
                  <c:v>-24.615726166151529</c:v>
                </c:pt>
                <c:pt idx="329">
                  <c:v>-21.670336516652366</c:v>
                </c:pt>
                <c:pt idx="330">
                  <c:v>-22.981652364528951</c:v>
                </c:pt>
                <c:pt idx="331">
                  <c:v>-23.499748789766059</c:v>
                </c:pt>
                <c:pt idx="332">
                  <c:v>-22.26730340604475</c:v>
                </c:pt>
                <c:pt idx="333">
                  <c:v>-23.355381639016194</c:v>
                </c:pt>
                <c:pt idx="334">
                  <c:v>-22.550248614655601</c:v>
                </c:pt>
                <c:pt idx="335">
                  <c:v>-21.825957656959844</c:v>
                </c:pt>
                <c:pt idx="336">
                  <c:v>-22.009206872288313</c:v>
                </c:pt>
                <c:pt idx="337">
                  <c:v>-21.100473560478353</c:v>
                </c:pt>
                <c:pt idx="338">
                  <c:v>-21.541925740087727</c:v>
                </c:pt>
                <c:pt idx="339">
                  <c:v>-22.746554769946986</c:v>
                </c:pt>
                <c:pt idx="340">
                  <c:v>-23.139530154386428</c:v>
                </c:pt>
                <c:pt idx="341">
                  <c:v>-22.384574226657371</c:v>
                </c:pt>
                <c:pt idx="342">
                  <c:v>-19.798805761013231</c:v>
                </c:pt>
                <c:pt idx="343">
                  <c:v>-20.96401185978366</c:v>
                </c:pt>
                <c:pt idx="344">
                  <c:v>-21.074946947302251</c:v>
                </c:pt>
                <c:pt idx="345">
                  <c:v>-21.422403552712517</c:v>
                </c:pt>
                <c:pt idx="346">
                  <c:v>-21.040918134064238</c:v>
                </c:pt>
                <c:pt idx="347">
                  <c:v>-22.749456920418702</c:v>
                </c:pt>
                <c:pt idx="348">
                  <c:v>-23.847334556818932</c:v>
                </c:pt>
                <c:pt idx="349">
                  <c:v>-24.09077273616035</c:v>
                </c:pt>
                <c:pt idx="350">
                  <c:v>-24.196689986261291</c:v>
                </c:pt>
                <c:pt idx="351">
                  <c:v>-25.538533493963687</c:v>
                </c:pt>
                <c:pt idx="352">
                  <c:v>-25.704420523352134</c:v>
                </c:pt>
                <c:pt idx="353">
                  <c:v>-24.907684611654854</c:v>
                </c:pt>
                <c:pt idx="354">
                  <c:v>-26.496565832344437</c:v>
                </c:pt>
                <c:pt idx="355">
                  <c:v>-26.921748025892818</c:v>
                </c:pt>
                <c:pt idx="356">
                  <c:v>-26.811966221210781</c:v>
                </c:pt>
                <c:pt idx="357">
                  <c:v>-26.665453266744908</c:v>
                </c:pt>
                <c:pt idx="358">
                  <c:v>-27.130369635792533</c:v>
                </c:pt>
                <c:pt idx="359">
                  <c:v>-27.72405686789816</c:v>
                </c:pt>
                <c:pt idx="360">
                  <c:v>-27.97974676381995</c:v>
                </c:pt>
                <c:pt idx="361">
                  <c:v>-27.698405167536688</c:v>
                </c:pt>
                <c:pt idx="362">
                  <c:v>-27.525253463987138</c:v>
                </c:pt>
                <c:pt idx="363">
                  <c:v>-27.363743503819393</c:v>
                </c:pt>
                <c:pt idx="364">
                  <c:v>-27.102007977383249</c:v>
                </c:pt>
                <c:pt idx="365">
                  <c:v>-26.570039024716579</c:v>
                </c:pt>
                <c:pt idx="366">
                  <c:v>-26.020558218526368</c:v>
                </c:pt>
                <c:pt idx="367">
                  <c:v>-27.233768182963772</c:v>
                </c:pt>
                <c:pt idx="368">
                  <c:v>-26.642016724515745</c:v>
                </c:pt>
                <c:pt idx="369">
                  <c:v>-26.567704612565837</c:v>
                </c:pt>
                <c:pt idx="370">
                  <c:v>-27.205199267387542</c:v>
                </c:pt>
                <c:pt idx="371">
                  <c:v>-27.630666404633722</c:v>
                </c:pt>
                <c:pt idx="372">
                  <c:v>-26.663550783385116</c:v>
                </c:pt>
                <c:pt idx="373">
                  <c:v>-27.005614358908666</c:v>
                </c:pt>
                <c:pt idx="374">
                  <c:v>-27.545170677658291</c:v>
                </c:pt>
                <c:pt idx="375">
                  <c:v>-28.185131944555042</c:v>
                </c:pt>
                <c:pt idx="376">
                  <c:v>-27.952169930216453</c:v>
                </c:pt>
                <c:pt idx="377">
                  <c:v>-27.523607990237181</c:v>
                </c:pt>
                <c:pt idx="378">
                  <c:v>-27.580809772844429</c:v>
                </c:pt>
                <c:pt idx="379">
                  <c:v>-28.357551103255389</c:v>
                </c:pt>
                <c:pt idx="380">
                  <c:v>-30.265075750632079</c:v>
                </c:pt>
                <c:pt idx="381">
                  <c:v>-29.187068450803476</c:v>
                </c:pt>
                <c:pt idx="382">
                  <c:v>-30.559889938969079</c:v>
                </c:pt>
                <c:pt idx="383">
                  <c:v>-30.411001770097336</c:v>
                </c:pt>
                <c:pt idx="384">
                  <c:v>-31.030985811679344</c:v>
                </c:pt>
                <c:pt idx="385">
                  <c:v>-31.205083273152638</c:v>
                </c:pt>
                <c:pt idx="386">
                  <c:v>-31.217747537092151</c:v>
                </c:pt>
                <c:pt idx="387">
                  <c:v>-30.640299680561547</c:v>
                </c:pt>
                <c:pt idx="388">
                  <c:v>-29.827342673079251</c:v>
                </c:pt>
                <c:pt idx="389">
                  <c:v>-29.64965169918997</c:v>
                </c:pt>
                <c:pt idx="390">
                  <c:v>-27.931058800696295</c:v>
                </c:pt>
                <c:pt idx="391">
                  <c:v>-30.702998593115773</c:v>
                </c:pt>
                <c:pt idx="392">
                  <c:v>-27.683976614894359</c:v>
                </c:pt>
                <c:pt idx="393">
                  <c:v>-30.54546241180233</c:v>
                </c:pt>
                <c:pt idx="394">
                  <c:v>-30.589261473746777</c:v>
                </c:pt>
                <c:pt idx="395">
                  <c:v>-30.320482966599151</c:v>
                </c:pt>
                <c:pt idx="396">
                  <c:v>-32.914567827077171</c:v>
                </c:pt>
                <c:pt idx="397">
                  <c:v>-24.43489768399068</c:v>
                </c:pt>
                <c:pt idx="398">
                  <c:v>-37.936395221860572</c:v>
                </c:pt>
                <c:pt idx="399">
                  <c:v>-41.319976203187814</c:v>
                </c:pt>
                <c:pt idx="400">
                  <c:v>-42.001061223129469</c:v>
                </c:pt>
                <c:pt idx="401">
                  <c:v>-38.287169121939449</c:v>
                </c:pt>
                <c:pt idx="402">
                  <c:v>-39.299551377185509</c:v>
                </c:pt>
                <c:pt idx="403">
                  <c:v>-39.535712900490232</c:v>
                </c:pt>
                <c:pt idx="404">
                  <c:v>-39.040059993823562</c:v>
                </c:pt>
                <c:pt idx="405">
                  <c:v>-38.312173954845612</c:v>
                </c:pt>
                <c:pt idx="406">
                  <c:v>-39.345013981656521</c:v>
                </c:pt>
                <c:pt idx="407">
                  <c:v>-37.8648901678797</c:v>
                </c:pt>
                <c:pt idx="408">
                  <c:v>-39.632951539574051</c:v>
                </c:pt>
                <c:pt idx="409">
                  <c:v>-36.329433299425624</c:v>
                </c:pt>
                <c:pt idx="410">
                  <c:v>-39.363542333932273</c:v>
                </c:pt>
                <c:pt idx="411">
                  <c:v>-39.860792280137723</c:v>
                </c:pt>
                <c:pt idx="412">
                  <c:v>-39.586054339015362</c:v>
                </c:pt>
                <c:pt idx="413">
                  <c:v>-38.728175672542932</c:v>
                </c:pt>
                <c:pt idx="414">
                  <c:v>-36.409425620255931</c:v>
                </c:pt>
                <c:pt idx="415">
                  <c:v>-35.76353877648129</c:v>
                </c:pt>
                <c:pt idx="416">
                  <c:v>-34.879327938639882</c:v>
                </c:pt>
                <c:pt idx="417">
                  <c:v>-35.848106649055147</c:v>
                </c:pt>
                <c:pt idx="418">
                  <c:v>-35.817603651630222</c:v>
                </c:pt>
                <c:pt idx="419">
                  <c:v>-37.38650194487569</c:v>
                </c:pt>
                <c:pt idx="420">
                  <c:v>-36.080115371511305</c:v>
                </c:pt>
                <c:pt idx="421">
                  <c:v>-37.148849383984434</c:v>
                </c:pt>
                <c:pt idx="422">
                  <c:v>-38.484181353984432</c:v>
                </c:pt>
                <c:pt idx="423">
                  <c:v>-38.885993556911259</c:v>
                </c:pt>
                <c:pt idx="424">
                  <c:v>-39.280391590384127</c:v>
                </c:pt>
                <c:pt idx="425">
                  <c:v>-39.282889696410912</c:v>
                </c:pt>
                <c:pt idx="426">
                  <c:v>-39.3077861688488</c:v>
                </c:pt>
                <c:pt idx="427">
                  <c:v>-39.10712228578025</c:v>
                </c:pt>
                <c:pt idx="428">
                  <c:v>-36.90214303725989</c:v>
                </c:pt>
                <c:pt idx="429">
                  <c:v>-39.484799723777755</c:v>
                </c:pt>
                <c:pt idx="430">
                  <c:v>-41.290343407857456</c:v>
                </c:pt>
                <c:pt idx="431">
                  <c:v>-41.317049780311876</c:v>
                </c:pt>
                <c:pt idx="432">
                  <c:v>-41.296476307365083</c:v>
                </c:pt>
                <c:pt idx="433">
                  <c:v>-41.574206325503127</c:v>
                </c:pt>
                <c:pt idx="434">
                  <c:v>-41.67024510270312</c:v>
                </c:pt>
                <c:pt idx="435">
                  <c:v>-41.879810786036451</c:v>
                </c:pt>
                <c:pt idx="436">
                  <c:v>-42.245637811307475</c:v>
                </c:pt>
                <c:pt idx="437">
                  <c:v>-42.501737257085253</c:v>
                </c:pt>
                <c:pt idx="438">
                  <c:v>-42.741325671085256</c:v>
                </c:pt>
                <c:pt idx="439">
                  <c:v>-42.640507318812531</c:v>
                </c:pt>
                <c:pt idx="440">
                  <c:v>-42.523677291697147</c:v>
                </c:pt>
                <c:pt idx="441">
                  <c:v>-42.880717266827581</c:v>
                </c:pt>
                <c:pt idx="442">
                  <c:v>-42.730094518750668</c:v>
                </c:pt>
                <c:pt idx="443">
                  <c:v>-42.560484629139005</c:v>
                </c:pt>
                <c:pt idx="444">
                  <c:v>-42.785592843506819</c:v>
                </c:pt>
                <c:pt idx="445">
                  <c:v>-42.722393988416925</c:v>
                </c:pt>
                <c:pt idx="446">
                  <c:v>-42.816948426610473</c:v>
                </c:pt>
                <c:pt idx="447">
                  <c:v>-42.473827832703961</c:v>
                </c:pt>
                <c:pt idx="448">
                  <c:v>-42.842798184325581</c:v>
                </c:pt>
                <c:pt idx="449">
                  <c:v>-43.332475648791601</c:v>
                </c:pt>
                <c:pt idx="450">
                  <c:v>-43.184423086335464</c:v>
                </c:pt>
                <c:pt idx="451">
                  <c:v>-43.334881943104129</c:v>
                </c:pt>
                <c:pt idx="452">
                  <c:v>-43.204688742686621</c:v>
                </c:pt>
                <c:pt idx="453">
                  <c:v>-43.144743416858049</c:v>
                </c:pt>
                <c:pt idx="454">
                  <c:v>-43.076858959969172</c:v>
                </c:pt>
                <c:pt idx="455">
                  <c:v>-43.220923770977571</c:v>
                </c:pt>
                <c:pt idx="456">
                  <c:v>-43.037321907605488</c:v>
                </c:pt>
                <c:pt idx="457">
                  <c:v>-42.648198563288943</c:v>
                </c:pt>
                <c:pt idx="458">
                  <c:v>-42.925791702021336</c:v>
                </c:pt>
                <c:pt idx="459">
                  <c:v>-42.831529517646331</c:v>
                </c:pt>
                <c:pt idx="460">
                  <c:v>-42.544208748826776</c:v>
                </c:pt>
                <c:pt idx="461">
                  <c:v>-42.811662545735871</c:v>
                </c:pt>
                <c:pt idx="462">
                  <c:v>-42.816879446321231</c:v>
                </c:pt>
                <c:pt idx="463">
                  <c:v>-43.083243369154559</c:v>
                </c:pt>
                <c:pt idx="464">
                  <c:v>-42.883856449821224</c:v>
                </c:pt>
                <c:pt idx="465">
                  <c:v>-42.586602963324879</c:v>
                </c:pt>
                <c:pt idx="466">
                  <c:v>-42.339414629071143</c:v>
                </c:pt>
                <c:pt idx="467">
                  <c:v>-42.549560244013662</c:v>
                </c:pt>
                <c:pt idx="468">
                  <c:v>-42.378229220424501</c:v>
                </c:pt>
                <c:pt idx="469">
                  <c:v>-42.287404744771294</c:v>
                </c:pt>
                <c:pt idx="470">
                  <c:v>-42.617450635873332</c:v>
                </c:pt>
                <c:pt idx="471">
                  <c:v>-42.918423068730483</c:v>
                </c:pt>
                <c:pt idx="472">
                  <c:v>-43.068322178336395</c:v>
                </c:pt>
                <c:pt idx="473">
                  <c:v>-43.424802042406746</c:v>
                </c:pt>
                <c:pt idx="474">
                  <c:v>-43.334253627783625</c:v>
                </c:pt>
                <c:pt idx="475">
                  <c:v>-43.739191645364265</c:v>
                </c:pt>
                <c:pt idx="476">
                  <c:v>-44.0851045418976</c:v>
                </c:pt>
                <c:pt idx="477">
                  <c:v>-44.430383729945149</c:v>
                </c:pt>
                <c:pt idx="478">
                  <c:v>-44.581890013460296</c:v>
                </c:pt>
                <c:pt idx="479">
                  <c:v>-44.148274389485934</c:v>
                </c:pt>
                <c:pt idx="480">
                  <c:v>-44.265828347646227</c:v>
                </c:pt>
                <c:pt idx="481">
                  <c:v>-44.004752204383067</c:v>
                </c:pt>
                <c:pt idx="482">
                  <c:v>-44.399733101495372</c:v>
                </c:pt>
                <c:pt idx="483">
                  <c:v>-43.965207405806218</c:v>
                </c:pt>
                <c:pt idx="484">
                  <c:v>-43.135014451853799</c:v>
                </c:pt>
                <c:pt idx="485">
                  <c:v>-41.502326609184941</c:v>
                </c:pt>
                <c:pt idx="486">
                  <c:v>-43.296281665039196</c:v>
                </c:pt>
                <c:pt idx="487">
                  <c:v>-42.268533566834073</c:v>
                </c:pt>
                <c:pt idx="488">
                  <c:v>-42.841126226627182</c:v>
                </c:pt>
                <c:pt idx="489">
                  <c:v>-44.829485032782685</c:v>
                </c:pt>
                <c:pt idx="490">
                  <c:v>-45.090099852857037</c:v>
                </c:pt>
                <c:pt idx="491">
                  <c:v>-47.736883368175107</c:v>
                </c:pt>
                <c:pt idx="492">
                  <c:v>-46.699716148922782</c:v>
                </c:pt>
                <c:pt idx="493">
                  <c:v>-47.660520547824682</c:v>
                </c:pt>
                <c:pt idx="494">
                  <c:v>-48.140261121573701</c:v>
                </c:pt>
                <c:pt idx="495">
                  <c:v>-47.31219529263452</c:v>
                </c:pt>
                <c:pt idx="496">
                  <c:v>-46.743855231415004</c:v>
                </c:pt>
                <c:pt idx="497">
                  <c:v>-48.403283703608885</c:v>
                </c:pt>
                <c:pt idx="498">
                  <c:v>-48.773468021276734</c:v>
                </c:pt>
                <c:pt idx="499">
                  <c:v>-48.999298349420442</c:v>
                </c:pt>
                <c:pt idx="500">
                  <c:v>-48.473284889316574</c:v>
                </c:pt>
                <c:pt idx="501">
                  <c:v>-48.693709093643108</c:v>
                </c:pt>
                <c:pt idx="502">
                  <c:v>-48.616193838534066</c:v>
                </c:pt>
                <c:pt idx="503">
                  <c:v>-48.862832831989223</c:v>
                </c:pt>
                <c:pt idx="504">
                  <c:v>-49.262304291412072</c:v>
                </c:pt>
                <c:pt idx="505">
                  <c:v>-49.208978550760186</c:v>
                </c:pt>
                <c:pt idx="506">
                  <c:v>-49.388329890607899</c:v>
                </c:pt>
                <c:pt idx="507">
                  <c:v>-49.128511950851802</c:v>
                </c:pt>
                <c:pt idx="508">
                  <c:v>-49.613799677518465</c:v>
                </c:pt>
                <c:pt idx="509">
                  <c:v>-50.426459361327993</c:v>
                </c:pt>
                <c:pt idx="510">
                  <c:v>-49.138883190439678</c:v>
                </c:pt>
                <c:pt idx="511">
                  <c:v>-50.195397297748507</c:v>
                </c:pt>
                <c:pt idx="512">
                  <c:v>-48.360181638326118</c:v>
                </c:pt>
                <c:pt idx="513">
                  <c:v>-48.483462608214175</c:v>
                </c:pt>
                <c:pt idx="514">
                  <c:v>-47.707733490851908</c:v>
                </c:pt>
                <c:pt idx="515">
                  <c:v>-46.883799724833246</c:v>
                </c:pt>
                <c:pt idx="516">
                  <c:v>-45.640690659684616</c:v>
                </c:pt>
                <c:pt idx="517">
                  <c:v>-45.802579970359467</c:v>
                </c:pt>
                <c:pt idx="518">
                  <c:v>-46.733928613892154</c:v>
                </c:pt>
                <c:pt idx="519">
                  <c:v>-45.23941633131416</c:v>
                </c:pt>
                <c:pt idx="520">
                  <c:v>-44.218289333825275</c:v>
                </c:pt>
                <c:pt idx="521">
                  <c:v>-41.578866552854116</c:v>
                </c:pt>
                <c:pt idx="522">
                  <c:v>-43.195493786361972</c:v>
                </c:pt>
                <c:pt idx="523">
                  <c:v>-45.230491991783246</c:v>
                </c:pt>
                <c:pt idx="524">
                  <c:v>-46.343802527368837</c:v>
                </c:pt>
                <c:pt idx="525">
                  <c:v>-40.713635591025799</c:v>
                </c:pt>
                <c:pt idx="526">
                  <c:v>-43.538428746668863</c:v>
                </c:pt>
                <c:pt idx="527">
                  <c:v>-42.547478376653913</c:v>
                </c:pt>
                <c:pt idx="528">
                  <c:v>-42.680204196067699</c:v>
                </c:pt>
                <c:pt idx="529">
                  <c:v>-43.470322267189658</c:v>
                </c:pt>
                <c:pt idx="530">
                  <c:v>-44.045198205181102</c:v>
                </c:pt>
                <c:pt idx="531">
                  <c:v>-43.968901003791153</c:v>
                </c:pt>
                <c:pt idx="532">
                  <c:v>-43.172244718255435</c:v>
                </c:pt>
                <c:pt idx="533">
                  <c:v>-44.153423744607721</c:v>
                </c:pt>
                <c:pt idx="534">
                  <c:v>-45.91884439261208</c:v>
                </c:pt>
                <c:pt idx="535">
                  <c:v>-44.786894199389756</c:v>
                </c:pt>
                <c:pt idx="536">
                  <c:v>-47.348087851107159</c:v>
                </c:pt>
                <c:pt idx="537">
                  <c:v>-46.302849487277363</c:v>
                </c:pt>
                <c:pt idx="538">
                  <c:v>-47.859427669183994</c:v>
                </c:pt>
                <c:pt idx="539">
                  <c:v>-47.546318478758799</c:v>
                </c:pt>
                <c:pt idx="540">
                  <c:v>-48.359098507595988</c:v>
                </c:pt>
                <c:pt idx="541">
                  <c:v>-45.592930664913077</c:v>
                </c:pt>
                <c:pt idx="542">
                  <c:v>-47.469251850979035</c:v>
                </c:pt>
                <c:pt idx="543">
                  <c:v>-47.903316502465792</c:v>
                </c:pt>
                <c:pt idx="544">
                  <c:v>-45.916544490613937</c:v>
                </c:pt>
                <c:pt idx="545">
                  <c:v>-47.589761621397514</c:v>
                </c:pt>
                <c:pt idx="546">
                  <c:v>-47.067924980971974</c:v>
                </c:pt>
                <c:pt idx="547">
                  <c:v>-46.923905901075067</c:v>
                </c:pt>
                <c:pt idx="548">
                  <c:v>-46.267339276075063</c:v>
                </c:pt>
                <c:pt idx="549">
                  <c:v>-47.515229421439301</c:v>
                </c:pt>
                <c:pt idx="550">
                  <c:v>-47.378623477443448</c:v>
                </c:pt>
                <c:pt idx="551">
                  <c:v>-47.480158536607547</c:v>
                </c:pt>
                <c:pt idx="552">
                  <c:v>-47.791417401684456</c:v>
                </c:pt>
                <c:pt idx="553">
                  <c:v>-47.112542840819714</c:v>
                </c:pt>
                <c:pt idx="554">
                  <c:v>-46.986529791386374</c:v>
                </c:pt>
                <c:pt idx="555">
                  <c:v>-47.378237008440635</c:v>
                </c:pt>
                <c:pt idx="556">
                  <c:v>-47.42851779268306</c:v>
                </c:pt>
                <c:pt idx="557">
                  <c:v>-47.339217854905272</c:v>
                </c:pt>
                <c:pt idx="558">
                  <c:v>-47.357066755120321</c:v>
                </c:pt>
                <c:pt idx="559">
                  <c:v>-47.288624733815972</c:v>
                </c:pt>
                <c:pt idx="560">
                  <c:v>-47.373762741593744</c:v>
                </c:pt>
                <c:pt idx="561">
                  <c:v>-47.122446186683725</c:v>
                </c:pt>
                <c:pt idx="562">
                  <c:v>-47.095307219297702</c:v>
                </c:pt>
                <c:pt idx="563">
                  <c:v>-47.287600300677013</c:v>
                </c:pt>
                <c:pt idx="564">
                  <c:v>-45.039021817737392</c:v>
                </c:pt>
                <c:pt idx="565">
                  <c:v>-48.795547978915337</c:v>
                </c:pt>
                <c:pt idx="566">
                  <c:v>-48.612277958442363</c:v>
                </c:pt>
                <c:pt idx="567">
                  <c:v>-48.501404145519295</c:v>
                </c:pt>
                <c:pt idx="568">
                  <c:v>-48.35870144019205</c:v>
                </c:pt>
                <c:pt idx="569">
                  <c:v>-47.951643849937504</c:v>
                </c:pt>
                <c:pt idx="570">
                  <c:v>-49.802946623915993</c:v>
                </c:pt>
                <c:pt idx="571">
                  <c:v>-50.89694853447466</c:v>
                </c:pt>
                <c:pt idx="572">
                  <c:v>-50.509043825524046</c:v>
                </c:pt>
                <c:pt idx="573">
                  <c:v>-50.649227112287043</c:v>
                </c:pt>
                <c:pt idx="574">
                  <c:v>-49.723622746569511</c:v>
                </c:pt>
                <c:pt idx="575">
                  <c:v>-50.024667339818066</c:v>
                </c:pt>
                <c:pt idx="576">
                  <c:v>-50.343730865043291</c:v>
                </c:pt>
                <c:pt idx="577">
                  <c:v>-49.394010165043284</c:v>
                </c:pt>
                <c:pt idx="578">
                  <c:v>-49.722490773892851</c:v>
                </c:pt>
                <c:pt idx="579">
                  <c:v>-50.098319211787597</c:v>
                </c:pt>
                <c:pt idx="580">
                  <c:v>-49.132838446139701</c:v>
                </c:pt>
                <c:pt idx="581">
                  <c:v>-49.021003848932992</c:v>
                </c:pt>
                <c:pt idx="582">
                  <c:v>-48.974369285536106</c:v>
                </c:pt>
                <c:pt idx="583">
                  <c:v>-45.610466184549978</c:v>
                </c:pt>
                <c:pt idx="584">
                  <c:v>-48.578868907926122</c:v>
                </c:pt>
                <c:pt idx="585">
                  <c:v>-49.493239311744318</c:v>
                </c:pt>
                <c:pt idx="586">
                  <c:v>-45.842820428544321</c:v>
                </c:pt>
                <c:pt idx="587">
                  <c:v>-43.651542868169948</c:v>
                </c:pt>
                <c:pt idx="588">
                  <c:v>-43.053554505928268</c:v>
                </c:pt>
                <c:pt idx="589">
                  <c:v>-41.340666034526841</c:v>
                </c:pt>
                <c:pt idx="590">
                  <c:v>-39.191049332597011</c:v>
                </c:pt>
                <c:pt idx="591">
                  <c:v>-38.05853790757584</c:v>
                </c:pt>
                <c:pt idx="592">
                  <c:v>-44.261249817796234</c:v>
                </c:pt>
                <c:pt idx="593">
                  <c:v>-37.694937398212268</c:v>
                </c:pt>
                <c:pt idx="594">
                  <c:v>-35.339140687758217</c:v>
                </c:pt>
                <c:pt idx="595">
                  <c:v>-62.059024983223438</c:v>
                </c:pt>
                <c:pt idx="596">
                  <c:v>-58.030003555994782</c:v>
                </c:pt>
                <c:pt idx="597">
                  <c:v>-57.496761965235706</c:v>
                </c:pt>
                <c:pt idx="598">
                  <c:v>-56.306685900617701</c:v>
                </c:pt>
                <c:pt idx="599">
                  <c:v>-55.129739145412522</c:v>
                </c:pt>
                <c:pt idx="600">
                  <c:v>-54.467125981273043</c:v>
                </c:pt>
                <c:pt idx="601">
                  <c:v>-53.809927733877537</c:v>
                </c:pt>
                <c:pt idx="602">
                  <c:v>-51.483421791771498</c:v>
                </c:pt>
                <c:pt idx="603">
                  <c:v>-50.120574714628638</c:v>
                </c:pt>
                <c:pt idx="604">
                  <c:v>-51.822128697961972</c:v>
                </c:pt>
                <c:pt idx="605">
                  <c:v>-50.439394797885242</c:v>
                </c:pt>
                <c:pt idx="606">
                  <c:v>-48.170150510770618</c:v>
                </c:pt>
                <c:pt idx="607">
                  <c:v>-43.394068549571294</c:v>
                </c:pt>
                <c:pt idx="608">
                  <c:v>-37.127923597053318</c:v>
                </c:pt>
                <c:pt idx="609">
                  <c:v>-40.136293824452977</c:v>
                </c:pt>
                <c:pt idx="610">
                  <c:v>-28.343902175696147</c:v>
                </c:pt>
                <c:pt idx="611">
                  <c:v>-11.829771907926803</c:v>
                </c:pt>
                <c:pt idx="612">
                  <c:v>2.2955840791677713</c:v>
                </c:pt>
                <c:pt idx="613">
                  <c:v>22.612165610621226</c:v>
                </c:pt>
                <c:pt idx="614">
                  <c:v>12.745828399755606</c:v>
                </c:pt>
                <c:pt idx="615">
                  <c:v>1.8100219853159376</c:v>
                </c:pt>
                <c:pt idx="616">
                  <c:v>4.3367598976391699</c:v>
                </c:pt>
                <c:pt idx="617">
                  <c:v>-12.950609890243602</c:v>
                </c:pt>
                <c:pt idx="618">
                  <c:v>-15.186650002819142</c:v>
                </c:pt>
                <c:pt idx="619">
                  <c:v>-16.671461347381879</c:v>
                </c:pt>
                <c:pt idx="620">
                  <c:v>-16.715411461958151</c:v>
                </c:pt>
                <c:pt idx="621">
                  <c:v>-15.872620330052371</c:v>
                </c:pt>
                <c:pt idx="622">
                  <c:v>-17.041006788920296</c:v>
                </c:pt>
                <c:pt idx="623">
                  <c:v>-16.165359286311602</c:v>
                </c:pt>
                <c:pt idx="624">
                  <c:v>-16.700739905148808</c:v>
                </c:pt>
                <c:pt idx="625">
                  <c:v>-16.235189214107137</c:v>
                </c:pt>
                <c:pt idx="626">
                  <c:v>-16.75642487996749</c:v>
                </c:pt>
                <c:pt idx="627">
                  <c:v>-17.013628434353453</c:v>
                </c:pt>
                <c:pt idx="628">
                  <c:v>-16.580640376325775</c:v>
                </c:pt>
                <c:pt idx="629">
                  <c:v>-15.946384813502242</c:v>
                </c:pt>
                <c:pt idx="630">
                  <c:v>-16.264311118370664</c:v>
                </c:pt>
                <c:pt idx="631">
                  <c:v>-16.810118871703999</c:v>
                </c:pt>
                <c:pt idx="632">
                  <c:v>-16.153803950592884</c:v>
                </c:pt>
                <c:pt idx="633">
                  <c:v>-16.278596534923597</c:v>
                </c:pt>
                <c:pt idx="634">
                  <c:v>-16.520379219555174</c:v>
                </c:pt>
                <c:pt idx="635">
                  <c:v>-16.485482715572878</c:v>
                </c:pt>
                <c:pt idx="636">
                  <c:v>-16.976665195572878</c:v>
                </c:pt>
                <c:pt idx="637">
                  <c:v>-17.243273866027423</c:v>
                </c:pt>
                <c:pt idx="638">
                  <c:v>-16.739657188178818</c:v>
                </c:pt>
                <c:pt idx="639">
                  <c:v>-16.723398845713067</c:v>
                </c:pt>
                <c:pt idx="640">
                  <c:v>-16.926997350864578</c:v>
                </c:pt>
                <c:pt idx="641">
                  <c:v>-16.798360596319124</c:v>
                </c:pt>
                <c:pt idx="642">
                  <c:v>-16.448017813186599</c:v>
                </c:pt>
                <c:pt idx="643">
                  <c:v>-16.572348633186596</c:v>
                </c:pt>
                <c:pt idx="644">
                  <c:v>-16.582197544701746</c:v>
                </c:pt>
                <c:pt idx="645">
                  <c:v>-16.67107000370175</c:v>
                </c:pt>
                <c:pt idx="646">
                  <c:v>-16.77124268378175</c:v>
                </c:pt>
                <c:pt idx="647">
                  <c:v>-16.77124268378175</c:v>
                </c:pt>
                <c:pt idx="648">
                  <c:v>-16.32105653178175</c:v>
                </c:pt>
                <c:pt idx="649">
                  <c:v>-16.216591961210323</c:v>
                </c:pt>
                <c:pt idx="650">
                  <c:v>-16.332586833710323</c:v>
                </c:pt>
                <c:pt idx="651">
                  <c:v>-16.294856370376991</c:v>
                </c:pt>
                <c:pt idx="652">
                  <c:v>-16.420701957745411</c:v>
                </c:pt>
                <c:pt idx="653">
                  <c:v>-16.317264600228167</c:v>
                </c:pt>
                <c:pt idx="654">
                  <c:v>-16.667485975909987</c:v>
                </c:pt>
                <c:pt idx="655">
                  <c:v>-16.666197806935628</c:v>
                </c:pt>
                <c:pt idx="656">
                  <c:v>-16.33209875131519</c:v>
                </c:pt>
                <c:pt idx="657">
                  <c:v>-16.323565925600906</c:v>
                </c:pt>
                <c:pt idx="658">
                  <c:v>-16.216142180281757</c:v>
                </c:pt>
                <c:pt idx="659">
                  <c:v>-16.263638554010569</c:v>
                </c:pt>
                <c:pt idx="660">
                  <c:v>-16.4980721307229</c:v>
                </c:pt>
                <c:pt idx="661">
                  <c:v>-15.858663704523805</c:v>
                </c:pt>
                <c:pt idx="662">
                  <c:v>-16.271733606468249</c:v>
                </c:pt>
                <c:pt idx="663">
                  <c:v>-16.151179602622094</c:v>
                </c:pt>
                <c:pt idx="664">
                  <c:v>-16.207974980717331</c:v>
                </c:pt>
                <c:pt idx="665">
                  <c:v>-15.902581051791712</c:v>
                </c:pt>
                <c:pt idx="666">
                  <c:v>-16.061513922826197</c:v>
                </c:pt>
                <c:pt idx="667">
                  <c:v>-16.27770973088375</c:v>
                </c:pt>
                <c:pt idx="668">
                  <c:v>-16.374267735722459</c:v>
                </c:pt>
                <c:pt idx="669">
                  <c:v>-16.566490394361914</c:v>
                </c:pt>
                <c:pt idx="670">
                  <c:v>-16.371819734361917</c:v>
                </c:pt>
                <c:pt idx="671">
                  <c:v>-16.459481938208071</c:v>
                </c:pt>
                <c:pt idx="672">
                  <c:v>-15.747810038410091</c:v>
                </c:pt>
                <c:pt idx="673">
                  <c:v>-15.906764423301397</c:v>
                </c:pt>
                <c:pt idx="674">
                  <c:v>-15.953836770553302</c:v>
                </c:pt>
                <c:pt idx="675">
                  <c:v>-15.98878235088117</c:v>
                </c:pt>
                <c:pt idx="676">
                  <c:v>-16.251993956029686</c:v>
                </c:pt>
                <c:pt idx="677">
                  <c:v>-15.832205836354889</c:v>
                </c:pt>
                <c:pt idx="678">
                  <c:v>-15.76231604300761</c:v>
                </c:pt>
                <c:pt idx="679">
                  <c:v>-16.169892217524986</c:v>
                </c:pt>
                <c:pt idx="680">
                  <c:v>-16.549139218994632</c:v>
                </c:pt>
                <c:pt idx="681">
                  <c:v>-16.513173673076263</c:v>
                </c:pt>
                <c:pt idx="682">
                  <c:v>-16.461402003193911</c:v>
                </c:pt>
                <c:pt idx="683">
                  <c:v>-16.513165655479629</c:v>
                </c:pt>
                <c:pt idx="684">
                  <c:v>-16.37837387145596</c:v>
                </c:pt>
                <c:pt idx="685">
                  <c:v>-16.488474936772413</c:v>
                </c:pt>
                <c:pt idx="686">
                  <c:v>-17.040776753400984</c:v>
                </c:pt>
                <c:pt idx="687">
                  <c:v>-15.852481114264188</c:v>
                </c:pt>
                <c:pt idx="688">
                  <c:v>-15.756627908708632</c:v>
                </c:pt>
                <c:pt idx="689">
                  <c:v>-15.297282945394349</c:v>
                </c:pt>
                <c:pt idx="690">
                  <c:v>-15.412719681005859</c:v>
                </c:pt>
                <c:pt idx="691">
                  <c:v>-14.980059301005861</c:v>
                </c:pt>
                <c:pt idx="692">
                  <c:v>-14.853610968224796</c:v>
                </c:pt>
                <c:pt idx="693">
                  <c:v>-14.837745765901564</c:v>
                </c:pt>
                <c:pt idx="694">
                  <c:v>-14.934119081475334</c:v>
                </c:pt>
                <c:pt idx="695">
                  <c:v>-15.211291316146868</c:v>
                </c:pt>
                <c:pt idx="696">
                  <c:v>-15.165857078937565</c:v>
                </c:pt>
                <c:pt idx="697">
                  <c:v>-15.001274191626639</c:v>
                </c:pt>
                <c:pt idx="698">
                  <c:v>-14.899945513363166</c:v>
                </c:pt>
                <c:pt idx="699">
                  <c:v>-14.865996673006022</c:v>
                </c:pt>
                <c:pt idx="700">
                  <c:v>-14.595601689476609</c:v>
                </c:pt>
                <c:pt idx="701">
                  <c:v>-14.80536698768435</c:v>
                </c:pt>
                <c:pt idx="702">
                  <c:v>-14.662341549787959</c:v>
                </c:pt>
                <c:pt idx="703">
                  <c:v>-13.780493466933835</c:v>
                </c:pt>
                <c:pt idx="704">
                  <c:v>-13.605609460115655</c:v>
                </c:pt>
                <c:pt idx="705">
                  <c:v>-13.715033706751168</c:v>
                </c:pt>
                <c:pt idx="706">
                  <c:v>-13.724779804790385</c:v>
                </c:pt>
                <c:pt idx="707">
                  <c:v>-13.716309017190385</c:v>
                </c:pt>
                <c:pt idx="708">
                  <c:v>-13.920349793583078</c:v>
                </c:pt>
                <c:pt idx="709">
                  <c:v>-13.73156901218643</c:v>
                </c:pt>
                <c:pt idx="710">
                  <c:v>-14.070012805116365</c:v>
                </c:pt>
                <c:pt idx="711">
                  <c:v>-14.411410393792421</c:v>
                </c:pt>
                <c:pt idx="712">
                  <c:v>-14.373266287852321</c:v>
                </c:pt>
                <c:pt idx="713">
                  <c:v>-13.877084232264085</c:v>
                </c:pt>
                <c:pt idx="714">
                  <c:v>-13.818512587597422</c:v>
                </c:pt>
                <c:pt idx="715">
                  <c:v>-14.061550459946828</c:v>
                </c:pt>
                <c:pt idx="716">
                  <c:v>-14.07535824259989</c:v>
                </c:pt>
                <c:pt idx="717">
                  <c:v>-14.421936423193952</c:v>
                </c:pt>
                <c:pt idx="718">
                  <c:v>-14.451860916309075</c:v>
                </c:pt>
                <c:pt idx="719">
                  <c:v>-14.838375935586184</c:v>
                </c:pt>
                <c:pt idx="720">
                  <c:v>-14.789143932835252</c:v>
                </c:pt>
                <c:pt idx="721">
                  <c:v>-15.367692392835252</c:v>
                </c:pt>
                <c:pt idx="722">
                  <c:v>-15.590311378570988</c:v>
                </c:pt>
                <c:pt idx="723">
                  <c:v>-16.258415010314106</c:v>
                </c:pt>
                <c:pt idx="724">
                  <c:v>-16.568961387348327</c:v>
                </c:pt>
                <c:pt idx="725">
                  <c:v>-16.623202415191464</c:v>
                </c:pt>
                <c:pt idx="726">
                  <c:v>-16.628816889245517</c:v>
                </c:pt>
                <c:pt idx="727">
                  <c:v>-16.648324442635349</c:v>
                </c:pt>
                <c:pt idx="728">
                  <c:v>-16.592294700676582</c:v>
                </c:pt>
                <c:pt idx="729">
                  <c:v>-16.886838241168384</c:v>
                </c:pt>
                <c:pt idx="730">
                  <c:v>-16.758714461231282</c:v>
                </c:pt>
                <c:pt idx="731">
                  <c:v>-16.815710399701867</c:v>
                </c:pt>
                <c:pt idx="732">
                  <c:v>-17.071683885926355</c:v>
                </c:pt>
                <c:pt idx="733">
                  <c:v>-17.071683885926355</c:v>
                </c:pt>
                <c:pt idx="734">
                  <c:v>-17.150976935926355</c:v>
                </c:pt>
                <c:pt idx="735">
                  <c:v>-17.097479265126356</c:v>
                </c:pt>
                <c:pt idx="736">
                  <c:v>-16.997766557186438</c:v>
                </c:pt>
                <c:pt idx="737">
                  <c:v>-16.781866547922636</c:v>
                </c:pt>
                <c:pt idx="738">
                  <c:v>-16.733328614363312</c:v>
                </c:pt>
                <c:pt idx="739">
                  <c:v>-16.840753621530943</c:v>
                </c:pt>
                <c:pt idx="740">
                  <c:v>-16.7381581522943</c:v>
                </c:pt>
                <c:pt idx="741">
                  <c:v>-16.672201656933478</c:v>
                </c:pt>
                <c:pt idx="742">
                  <c:v>-17.066346994533479</c:v>
                </c:pt>
                <c:pt idx="743">
                  <c:v>-17.403868959061779</c:v>
                </c:pt>
                <c:pt idx="744">
                  <c:v>-17.003667146065826</c:v>
                </c:pt>
                <c:pt idx="745">
                  <c:v>-17.140284824007001</c:v>
                </c:pt>
                <c:pt idx="746">
                  <c:v>-17.073349162468542</c:v>
                </c:pt>
                <c:pt idx="747">
                  <c:v>-17.160081772468541</c:v>
                </c:pt>
                <c:pt idx="748">
                  <c:v>-17.043783526542615</c:v>
                </c:pt>
                <c:pt idx="749">
                  <c:v>-16.991365891617242</c:v>
                </c:pt>
                <c:pt idx="750">
                  <c:v>-16.505423888133077</c:v>
                </c:pt>
                <c:pt idx="751">
                  <c:v>-16.433687302260502</c:v>
                </c:pt>
                <c:pt idx="752">
                  <c:v>-16.420809563689076</c:v>
                </c:pt>
                <c:pt idx="753">
                  <c:v>-16.383197764295137</c:v>
                </c:pt>
                <c:pt idx="754">
                  <c:v>-16.310759797628467</c:v>
                </c:pt>
                <c:pt idx="755">
                  <c:v>-16.365869907628472</c:v>
                </c:pt>
                <c:pt idx="756">
                  <c:v>-16.409123407387504</c:v>
                </c:pt>
                <c:pt idx="757">
                  <c:v>-16.365257604875314</c:v>
                </c:pt>
                <c:pt idx="758">
                  <c:v>-16.359165463326015</c:v>
                </c:pt>
                <c:pt idx="759">
                  <c:v>-16.311872904826014</c:v>
                </c:pt>
                <c:pt idx="760">
                  <c:v>-16.30012807213371</c:v>
                </c:pt>
                <c:pt idx="761">
                  <c:v>-16.282657482286378</c:v>
                </c:pt>
                <c:pt idx="762">
                  <c:v>-16.259520262286379</c:v>
                </c:pt>
                <c:pt idx="763">
                  <c:v>-16.2257096258401</c:v>
                </c:pt>
                <c:pt idx="764">
                  <c:v>-16.295471841875084</c:v>
                </c:pt>
                <c:pt idx="765">
                  <c:v>-16.238857666391212</c:v>
                </c:pt>
                <c:pt idx="766">
                  <c:v>-16.256749588391216</c:v>
                </c:pt>
                <c:pt idx="767">
                  <c:v>-16.052791134791214</c:v>
                </c:pt>
                <c:pt idx="768">
                  <c:v>-16.112746304791216</c:v>
                </c:pt>
                <c:pt idx="769">
                  <c:v>-16.018568234520941</c:v>
                </c:pt>
                <c:pt idx="770">
                  <c:v>-16.03749790373492</c:v>
                </c:pt>
                <c:pt idx="771">
                  <c:v>-15.938915005086271</c:v>
                </c:pt>
                <c:pt idx="772">
                  <c:v>-16.058346458503991</c:v>
                </c:pt>
                <c:pt idx="773">
                  <c:v>-15.61638631850399</c:v>
                </c:pt>
                <c:pt idx="774">
                  <c:v>-15.449965441003989</c:v>
                </c:pt>
                <c:pt idx="775">
                  <c:v>-15.567006341462708</c:v>
                </c:pt>
                <c:pt idx="776">
                  <c:v>-15.512136200802811</c:v>
                </c:pt>
                <c:pt idx="777">
                  <c:v>-15.496461101672375</c:v>
                </c:pt>
                <c:pt idx="778">
                  <c:v>-15.76345455583904</c:v>
                </c:pt>
                <c:pt idx="779">
                  <c:v>-15.76345455583904</c:v>
                </c:pt>
                <c:pt idx="780">
                  <c:v>-15.299436514320053</c:v>
                </c:pt>
                <c:pt idx="781">
                  <c:v>-15.234832012202409</c:v>
                </c:pt>
                <c:pt idx="782">
                  <c:v>-15.468839422202405</c:v>
                </c:pt>
                <c:pt idx="783">
                  <c:v>-15.563499301121325</c:v>
                </c:pt>
                <c:pt idx="784">
                  <c:v>-15.625466419037993</c:v>
                </c:pt>
                <c:pt idx="785">
                  <c:v>-15.638751679485754</c:v>
                </c:pt>
                <c:pt idx="786">
                  <c:v>-15.528519100189273</c:v>
                </c:pt>
                <c:pt idx="787">
                  <c:v>-15.514960343877217</c:v>
                </c:pt>
                <c:pt idx="788">
                  <c:v>-15.543826430317894</c:v>
                </c:pt>
                <c:pt idx="789">
                  <c:v>-15.565091773175039</c:v>
                </c:pt>
                <c:pt idx="790">
                  <c:v>-15.581630586589672</c:v>
                </c:pt>
                <c:pt idx="791">
                  <c:v>-15.603835091985356</c:v>
                </c:pt>
                <c:pt idx="792">
                  <c:v>-15.576182635790669</c:v>
                </c:pt>
                <c:pt idx="793">
                  <c:v>-15.701434727353167</c:v>
                </c:pt>
                <c:pt idx="794">
                  <c:v>-15.772585886711457</c:v>
                </c:pt>
                <c:pt idx="795">
                  <c:v>-16.102232934700734</c:v>
                </c:pt>
                <c:pt idx="796">
                  <c:v>-15.962599484700732</c:v>
                </c:pt>
                <c:pt idx="797">
                  <c:v>-15.945379413296722</c:v>
                </c:pt>
                <c:pt idx="798">
                  <c:v>-15.899622255706362</c:v>
                </c:pt>
                <c:pt idx="799">
                  <c:v>-15.76023174990636</c:v>
                </c:pt>
                <c:pt idx="800">
                  <c:v>-15.845582322214053</c:v>
                </c:pt>
                <c:pt idx="801">
                  <c:v>-15.824938578142197</c:v>
                </c:pt>
                <c:pt idx="802">
                  <c:v>-15.692888268142196</c:v>
                </c:pt>
                <c:pt idx="803">
                  <c:v>-15.492540192099543</c:v>
                </c:pt>
                <c:pt idx="804">
                  <c:v>-15.593895559044748</c:v>
                </c:pt>
                <c:pt idx="805">
                  <c:v>-15.632469869720424</c:v>
                </c:pt>
                <c:pt idx="806">
                  <c:v>-15.631280271998904</c:v>
                </c:pt>
                <c:pt idx="807">
                  <c:v>-15.645335696443349</c:v>
                </c:pt>
                <c:pt idx="808">
                  <c:v>-15.672902835643349</c:v>
                </c:pt>
                <c:pt idx="809">
                  <c:v>-15.642483566976683</c:v>
                </c:pt>
                <c:pt idx="810">
                  <c:v>-15.730022671859034</c:v>
                </c:pt>
                <c:pt idx="811">
                  <c:v>-15.682782006192371</c:v>
                </c:pt>
                <c:pt idx="812">
                  <c:v>-15.509746904576984</c:v>
                </c:pt>
                <c:pt idx="813">
                  <c:v>-15.485527262990777</c:v>
                </c:pt>
                <c:pt idx="814">
                  <c:v>-15.468155784536233</c:v>
                </c:pt>
                <c:pt idx="815">
                  <c:v>-15.575688006536232</c:v>
                </c:pt>
                <c:pt idx="816">
                  <c:v>-15.66514637374676</c:v>
                </c:pt>
                <c:pt idx="817">
                  <c:v>-15.688648816655849</c:v>
                </c:pt>
                <c:pt idx="818">
                  <c:v>-15.721985151067614</c:v>
                </c:pt>
                <c:pt idx="819">
                  <c:v>-15.800423894400947</c:v>
                </c:pt>
                <c:pt idx="820">
                  <c:v>-15.966751267215759</c:v>
                </c:pt>
                <c:pt idx="821">
                  <c:v>-15.951084131263379</c:v>
                </c:pt>
                <c:pt idx="822">
                  <c:v>-15.643268552930044</c:v>
                </c:pt>
                <c:pt idx="823">
                  <c:v>-15.701795410263376</c:v>
                </c:pt>
                <c:pt idx="824">
                  <c:v>-16.017039270263375</c:v>
                </c:pt>
                <c:pt idx="825">
                  <c:v>-15.760570585063377</c:v>
                </c:pt>
                <c:pt idx="826">
                  <c:v>-16.023642565063376</c:v>
                </c:pt>
                <c:pt idx="827">
                  <c:v>-16.100749002755684</c:v>
                </c:pt>
                <c:pt idx="828">
                  <c:v>-15.991790843032282</c:v>
                </c:pt>
                <c:pt idx="829">
                  <c:v>-15.856065218339975</c:v>
                </c:pt>
                <c:pt idx="830">
                  <c:v>-15.672812785482831</c:v>
                </c:pt>
                <c:pt idx="831">
                  <c:v>-15.864421365482832</c:v>
                </c:pt>
                <c:pt idx="832">
                  <c:v>-15.817797183216165</c:v>
                </c:pt>
                <c:pt idx="833">
                  <c:v>-15.723021027998772</c:v>
                </c:pt>
                <c:pt idx="834">
                  <c:v>-15.776998323525092</c:v>
                </c:pt>
                <c:pt idx="835">
                  <c:v>-15.666936289172149</c:v>
                </c:pt>
                <c:pt idx="836">
                  <c:v>-15.479647594547149</c:v>
                </c:pt>
                <c:pt idx="837">
                  <c:v>-15.543213078213816</c:v>
                </c:pt>
                <c:pt idx="838">
                  <c:v>-15.425744400521507</c:v>
                </c:pt>
                <c:pt idx="839">
                  <c:v>-15.450737895854839</c:v>
                </c:pt>
                <c:pt idx="840">
                  <c:v>-15.487135220796016</c:v>
                </c:pt>
                <c:pt idx="841">
                  <c:v>-14.848309964796019</c:v>
                </c:pt>
                <c:pt idx="842">
                  <c:v>-13.79315930551031</c:v>
                </c:pt>
                <c:pt idx="843">
                  <c:v>-11.93873643615153</c:v>
                </c:pt>
                <c:pt idx="844">
                  <c:v>-12.652682470619615</c:v>
                </c:pt>
                <c:pt idx="845">
                  <c:v>-12.511954126457452</c:v>
                </c:pt>
                <c:pt idx="846">
                  <c:v>-12.591744722457452</c:v>
                </c:pt>
                <c:pt idx="847">
                  <c:v>-12.718773441692745</c:v>
                </c:pt>
                <c:pt idx="848">
                  <c:v>-12.750215335652745</c:v>
                </c:pt>
                <c:pt idx="849">
                  <c:v>-12.860008434509888</c:v>
                </c:pt>
                <c:pt idx="850">
                  <c:v>-12.729258631048351</c:v>
                </c:pt>
                <c:pt idx="851">
                  <c:v>-12.913257021787482</c:v>
                </c:pt>
                <c:pt idx="852">
                  <c:v>-12.880371934202115</c:v>
                </c:pt>
                <c:pt idx="853">
                  <c:v>-12.699921194565752</c:v>
                </c:pt>
                <c:pt idx="854">
                  <c:v>-12.623397489667791</c:v>
                </c:pt>
                <c:pt idx="855">
                  <c:v>-12.518452163546581</c:v>
                </c:pt>
                <c:pt idx="856">
                  <c:v>-12.338989700744929</c:v>
                </c:pt>
                <c:pt idx="857">
                  <c:v>-12.161434843926747</c:v>
                </c:pt>
                <c:pt idx="858">
                  <c:v>-12.004503419602422</c:v>
                </c:pt>
                <c:pt idx="859">
                  <c:v>-11.977467778602424</c:v>
                </c:pt>
                <c:pt idx="860">
                  <c:v>-11.938975540362424</c:v>
                </c:pt>
                <c:pt idx="861">
                  <c:v>-11.756880574416972</c:v>
                </c:pt>
                <c:pt idx="862">
                  <c:v>-11.930111975122854</c:v>
                </c:pt>
                <c:pt idx="863">
                  <c:v>-12.168688695306528</c:v>
                </c:pt>
                <c:pt idx="864">
                  <c:v>-12.598035304431527</c:v>
                </c:pt>
                <c:pt idx="865">
                  <c:v>-12.741289518976982</c:v>
                </c:pt>
                <c:pt idx="866">
                  <c:v>-12.7229785562711</c:v>
                </c:pt>
                <c:pt idx="867">
                  <c:v>-12.770120793871099</c:v>
                </c:pt>
                <c:pt idx="868">
                  <c:v>-12.9170987138711</c:v>
                </c:pt>
                <c:pt idx="869">
                  <c:v>-13.073484538578418</c:v>
                </c:pt>
                <c:pt idx="870">
                  <c:v>-12.974943800094545</c:v>
                </c:pt>
                <c:pt idx="871">
                  <c:v>-12.824121698694544</c:v>
                </c:pt>
                <c:pt idx="872">
                  <c:v>-13.001389779925313</c:v>
                </c:pt>
                <c:pt idx="873">
                  <c:v>-13.066641305725314</c:v>
                </c:pt>
                <c:pt idx="874">
                  <c:v>-13.136487525725315</c:v>
                </c:pt>
                <c:pt idx="875">
                  <c:v>-13.111129927759798</c:v>
                </c:pt>
                <c:pt idx="876">
                  <c:v>-13.034926740017861</c:v>
                </c:pt>
                <c:pt idx="877">
                  <c:v>-12.964170581756994</c:v>
                </c:pt>
                <c:pt idx="878">
                  <c:v>-12.753752893393358</c:v>
                </c:pt>
                <c:pt idx="879">
                  <c:v>-12.71672222594891</c:v>
                </c:pt>
                <c:pt idx="880">
                  <c:v>-12.747196514810982</c:v>
                </c:pt>
                <c:pt idx="881">
                  <c:v>-12.763259710010981</c:v>
                </c:pt>
                <c:pt idx="882">
                  <c:v>-12.82506233489987</c:v>
                </c:pt>
                <c:pt idx="883">
                  <c:v>-12.790961429566538</c:v>
                </c:pt>
                <c:pt idx="884">
                  <c:v>-12.557373824037127</c:v>
                </c:pt>
                <c:pt idx="885">
                  <c:v>-12.659053851863213</c:v>
                </c:pt>
                <c:pt idx="886">
                  <c:v>-12.376424650179002</c:v>
                </c:pt>
                <c:pt idx="887">
                  <c:v>-11.868830163702366</c:v>
                </c:pt>
                <c:pt idx="888">
                  <c:v>-11.965340047047194</c:v>
                </c:pt>
                <c:pt idx="889">
                  <c:v>-12.240965232109694</c:v>
                </c:pt>
                <c:pt idx="890">
                  <c:v>-12.526358295966837</c:v>
                </c:pt>
                <c:pt idx="891">
                  <c:v>-12.329794714238023</c:v>
                </c:pt>
                <c:pt idx="892">
                  <c:v>-12.238809039278022</c:v>
                </c:pt>
                <c:pt idx="893">
                  <c:v>-12.434792105354949</c:v>
                </c:pt>
                <c:pt idx="894">
                  <c:v>-12.491374679746253</c:v>
                </c:pt>
                <c:pt idx="895">
                  <c:v>-12.491374679746253</c:v>
                </c:pt>
                <c:pt idx="896">
                  <c:v>-12.54133086620779</c:v>
                </c:pt>
                <c:pt idx="897">
                  <c:v>-12.511822423786738</c:v>
                </c:pt>
                <c:pt idx="898">
                  <c:v>-12.164331439620071</c:v>
                </c:pt>
                <c:pt idx="899">
                  <c:v>-11.978772250816792</c:v>
                </c:pt>
                <c:pt idx="900">
                  <c:v>-11.725535491816792</c:v>
                </c:pt>
                <c:pt idx="901">
                  <c:v>-12.561195872021921</c:v>
                </c:pt>
                <c:pt idx="902">
                  <c:v>-12.520244144672525</c:v>
                </c:pt>
                <c:pt idx="903">
                  <c:v>-12.340022821631708</c:v>
                </c:pt>
                <c:pt idx="904">
                  <c:v>-12.128342326498375</c:v>
                </c:pt>
                <c:pt idx="905">
                  <c:v>-11.877689436069803</c:v>
                </c:pt>
                <c:pt idx="906">
                  <c:v>-11.887348359750963</c:v>
                </c:pt>
                <c:pt idx="907">
                  <c:v>-12.025301486456845</c:v>
                </c:pt>
                <c:pt idx="908">
                  <c:v>-11.917036166943332</c:v>
                </c:pt>
                <c:pt idx="909">
                  <c:v>-11.835315783894551</c:v>
                </c:pt>
                <c:pt idx="910">
                  <c:v>-11.740460346329334</c:v>
                </c:pt>
                <c:pt idx="911">
                  <c:v>-11.527499809829333</c:v>
                </c:pt>
                <c:pt idx="912">
                  <c:v>-11.704211252829333</c:v>
                </c:pt>
                <c:pt idx="913">
                  <c:v>-11.623114979438029</c:v>
                </c:pt>
                <c:pt idx="914">
                  <c:v>-11.517079299518027</c:v>
                </c:pt>
                <c:pt idx="915">
                  <c:v>-11.5932851375466</c:v>
                </c:pt>
                <c:pt idx="916">
                  <c:v>-11.455094674092054</c:v>
                </c:pt>
                <c:pt idx="917">
                  <c:v>-11.653456944442933</c:v>
                </c:pt>
                <c:pt idx="918">
                  <c:v>-11.653456944442933</c:v>
                </c:pt>
                <c:pt idx="919">
                  <c:v>-11.682401000942932</c:v>
                </c:pt>
                <c:pt idx="920">
                  <c:v>-11.148655938345918</c:v>
                </c:pt>
                <c:pt idx="921">
                  <c:v>-11.190782818279253</c:v>
                </c:pt>
                <c:pt idx="922">
                  <c:v>-11.113770702279252</c:v>
                </c:pt>
                <c:pt idx="923">
                  <c:v>-11.199302387803064</c:v>
                </c:pt>
                <c:pt idx="924">
                  <c:v>-11.409194551487275</c:v>
                </c:pt>
                <c:pt idx="925">
                  <c:v>-11.827754545927952</c:v>
                </c:pt>
                <c:pt idx="926">
                  <c:v>-12.146708212697181</c:v>
                </c:pt>
                <c:pt idx="927">
                  <c:v>-11.67230868764004</c:v>
                </c:pt>
                <c:pt idx="928">
                  <c:v>-11.85605004125169</c:v>
                </c:pt>
                <c:pt idx="929">
                  <c:v>-11.526419478845675</c:v>
                </c:pt>
                <c:pt idx="930">
                  <c:v>-11.614546730655197</c:v>
                </c:pt>
                <c:pt idx="931">
                  <c:v>-11.851143197222362</c:v>
                </c:pt>
                <c:pt idx="932">
                  <c:v>-11.598552062156571</c:v>
                </c:pt>
                <c:pt idx="933">
                  <c:v>-11.191187749299429</c:v>
                </c:pt>
                <c:pt idx="934">
                  <c:v>-11.440816983499429</c:v>
                </c:pt>
                <c:pt idx="935">
                  <c:v>-11.074028543278052</c:v>
                </c:pt>
                <c:pt idx="936">
                  <c:v>-10.157654798360621</c:v>
                </c:pt>
                <c:pt idx="937">
                  <c:v>-9.5479592735442953</c:v>
                </c:pt>
                <c:pt idx="938">
                  <c:v>-9.42806379599884</c:v>
                </c:pt>
                <c:pt idx="939">
                  <c:v>-8.9397233697529401</c:v>
                </c:pt>
                <c:pt idx="940">
                  <c:v>-9.1719518230802155</c:v>
                </c:pt>
                <c:pt idx="941">
                  <c:v>-9.2876423486684505</c:v>
                </c:pt>
                <c:pt idx="942">
                  <c:v>-9.4774866825091575</c:v>
                </c:pt>
                <c:pt idx="943">
                  <c:v>-8.0505947267514504</c:v>
                </c:pt>
                <c:pt idx="944">
                  <c:v>-8.4848320605100742</c:v>
                </c:pt>
                <c:pt idx="945">
                  <c:v>-8.743615314068899</c:v>
                </c:pt>
                <c:pt idx="946">
                  <c:v>-8.1406785887715998</c:v>
                </c:pt>
                <c:pt idx="947">
                  <c:v>-7.032246458655993</c:v>
                </c:pt>
                <c:pt idx="948">
                  <c:v>-6.6748078225309948</c:v>
                </c:pt>
                <c:pt idx="949">
                  <c:v>-6.8803102915643288</c:v>
                </c:pt>
                <c:pt idx="950">
                  <c:v>-6.5512957887309966</c:v>
                </c:pt>
                <c:pt idx="951">
                  <c:v>-6.6608229793831697</c:v>
                </c:pt>
                <c:pt idx="952">
                  <c:v>-5.8574034423243466</c:v>
                </c:pt>
                <c:pt idx="953">
                  <c:v>-6.2867352611415477</c:v>
                </c:pt>
                <c:pt idx="954">
                  <c:v>-6.2738717438661835</c:v>
                </c:pt>
                <c:pt idx="955">
                  <c:v>-6.3724916897233257</c:v>
                </c:pt>
                <c:pt idx="956">
                  <c:v>-5.7097731065509123</c:v>
                </c:pt>
                <c:pt idx="957">
                  <c:v>-5.5717307272175782</c:v>
                </c:pt>
                <c:pt idx="958">
                  <c:v>-5.3579262662175804</c:v>
                </c:pt>
                <c:pt idx="959">
                  <c:v>-5.3579262662175804</c:v>
                </c:pt>
                <c:pt idx="960">
                  <c:v>-5.032296428917582</c:v>
                </c:pt>
                <c:pt idx="961">
                  <c:v>-5.2128771518150234</c:v>
                </c:pt>
                <c:pt idx="962">
                  <c:v>-5.2658256809786579</c:v>
                </c:pt>
                <c:pt idx="963">
                  <c:v>-6.9031939690145903</c:v>
                </c:pt>
                <c:pt idx="964">
                  <c:v>-4.7834106536081364</c:v>
                </c:pt>
                <c:pt idx="965">
                  <c:v>-6.4156984217331363</c:v>
                </c:pt>
                <c:pt idx="966">
                  <c:v>-7.3010654412113958</c:v>
                </c:pt>
                <c:pt idx="967">
                  <c:v>-6.9363958033853104</c:v>
                </c:pt>
                <c:pt idx="968">
                  <c:v>-7.7544871159254605</c:v>
                </c:pt>
                <c:pt idx="969">
                  <c:v>-6.9465621662844326</c:v>
                </c:pt>
                <c:pt idx="970">
                  <c:v>-5.5260379123118293</c:v>
                </c:pt>
                <c:pt idx="971">
                  <c:v>-5.5061595151217473</c:v>
                </c:pt>
                <c:pt idx="972">
                  <c:v>-5.1308852869299724</c:v>
                </c:pt>
                <c:pt idx="973">
                  <c:v>-7.6241348973744181</c:v>
                </c:pt>
                <c:pt idx="974">
                  <c:v>-4.3733560620150067</c:v>
                </c:pt>
                <c:pt idx="975">
                  <c:v>-8.4397816289728969</c:v>
                </c:pt>
                <c:pt idx="976">
                  <c:v>-9.4550821931287423</c:v>
                </c:pt>
                <c:pt idx="977">
                  <c:v>-6.9360102486665163</c:v>
                </c:pt>
                <c:pt idx="978">
                  <c:v>3.6117799056300877</c:v>
                </c:pt>
                <c:pt idx="979">
                  <c:v>-6.2682949747750349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CB-443F-A837-077FC79F27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5295856"/>
        <c:axId val="535296272"/>
      </c:lineChart>
      <c:dateAx>
        <c:axId val="5352958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296272"/>
        <c:crosses val="autoZero"/>
        <c:auto val="1"/>
        <c:lblOffset val="100"/>
        <c:baseTimeUnit val="days"/>
      </c:dateAx>
      <c:valAx>
        <c:axId val="53529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295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9EA98E3-091A-45EE-B3E9-742BD33CB4D3}">
  <sheetPr codeName="Chart1"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CBA5BAC-0887-452A-9A06-CC581FEB1B6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0.67998999999999998</v>
      </c>
      <c r="D2" s="4">
        <f>MIN(D3:D1912)</f>
        <v>7.7200000000000001E-4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7</v>
      </c>
      <c r="N4" t="s">
        <v>8</v>
      </c>
    </row>
    <row r="5" spans="1:20" x14ac:dyDescent="0.25">
      <c r="A5" s="5">
        <v>44588</v>
      </c>
      <c r="B5">
        <v>0.16489999999999999</v>
      </c>
      <c r="C5">
        <v>0.18509999999999999</v>
      </c>
      <c r="D5">
        <v>0.15840000000000001</v>
      </c>
      <c r="E5">
        <v>0.15890000000000001</v>
      </c>
      <c r="F5">
        <v>40432823</v>
      </c>
      <c r="G5">
        <v>0.15890000000000001</v>
      </c>
      <c r="L5" t="s">
        <v>7</v>
      </c>
      <c r="M5" t="s">
        <v>7</v>
      </c>
      <c r="N5" t="s">
        <v>8</v>
      </c>
      <c r="P5">
        <f t="shared" ref="P5" si="0">IF(C5=D5,0,((E5-D5)-(C5-E5))/(C5-D5))</f>
        <v>-0.96254681647940066</v>
      </c>
      <c r="Q5">
        <f t="shared" ref="Q5" si="1">F5*P5</f>
        <v>-38918485.059925087</v>
      </c>
      <c r="R5">
        <f t="shared" ref="R5" si="2">R6+Q5</f>
        <v>-1010190706.3880532</v>
      </c>
      <c r="S5">
        <f t="shared" ref="S5" si="3">R5/100000</f>
        <v>-10101.907063880531</v>
      </c>
      <c r="T5">
        <f t="shared" ref="T5" si="4">S5/1000</f>
        <v>-10.101907063880532</v>
      </c>
    </row>
    <row r="6" spans="1:20" x14ac:dyDescent="0.25">
      <c r="A6" s="5">
        <v>44587</v>
      </c>
      <c r="B6">
        <v>0.1288</v>
      </c>
      <c r="C6">
        <v>0.192</v>
      </c>
      <c r="D6">
        <v>0.127</v>
      </c>
      <c r="E6">
        <v>0.16500000000000001</v>
      </c>
      <c r="F6">
        <v>185150720</v>
      </c>
      <c r="G6">
        <v>0.16500000000000001</v>
      </c>
      <c r="L6" t="s">
        <v>8</v>
      </c>
      <c r="M6" t="s">
        <v>8</v>
      </c>
      <c r="N6" t="s">
        <v>8</v>
      </c>
      <c r="P6">
        <f t="shared" ref="P6" si="5">IF(C6=D6,0,((E6-D6)-(C6-E6))/(C6-D6))</f>
        <v>0.16923076923076938</v>
      </c>
      <c r="Q6">
        <f t="shared" ref="Q6" si="6">F6*P6</f>
        <v>31333198.769230798</v>
      </c>
      <c r="R6">
        <f t="shared" ref="R6" si="7">R7+Q6</f>
        <v>-971272221.3281281</v>
      </c>
      <c r="S6">
        <f t="shared" ref="S6" si="8">R6/100000</f>
        <v>-9712.7222132812803</v>
      </c>
      <c r="T6">
        <f t="shared" ref="T6" si="9">S6/1000</f>
        <v>-9.71272221328128</v>
      </c>
    </row>
    <row r="7" spans="1:20" x14ac:dyDescent="0.25">
      <c r="A7" s="5">
        <v>44586</v>
      </c>
      <c r="B7">
        <v>0.13139999999999999</v>
      </c>
      <c r="C7">
        <v>0.13159999999999999</v>
      </c>
      <c r="D7">
        <v>0.1222</v>
      </c>
      <c r="E7">
        <v>0.12870000000000001</v>
      </c>
      <c r="F7">
        <v>32712417</v>
      </c>
      <c r="G7">
        <v>0.12870000000000001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0.38297872340425776</v>
      </c>
      <c r="Q7">
        <f t="shared" ref="Q7" si="11">F7*P7</f>
        <v>12528159.70212774</v>
      </c>
      <c r="R7">
        <f t="shared" ref="R7" si="12">R8+Q7</f>
        <v>-1002605420.0973589</v>
      </c>
      <c r="S7">
        <f t="shared" ref="S7" si="13">R7/100000</f>
        <v>-10026.054200973589</v>
      </c>
      <c r="T7">
        <f t="shared" ref="T7" si="14">S7/1000</f>
        <v>-10.026054200973588</v>
      </c>
    </row>
    <row r="8" spans="1:20" x14ac:dyDescent="0.25">
      <c r="A8" s="5">
        <v>44585</v>
      </c>
      <c r="B8">
        <v>0.14000000000000001</v>
      </c>
      <c r="C8">
        <v>0.14000000000000001</v>
      </c>
      <c r="D8">
        <v>0.114</v>
      </c>
      <c r="E8">
        <v>0.13109999999999999</v>
      </c>
      <c r="F8">
        <v>52306329</v>
      </c>
      <c r="G8">
        <v>0.13109999999999999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0.31538461538461415</v>
      </c>
      <c r="Q8">
        <f t="shared" ref="Q8" si="16">F8*P8</f>
        <v>16496611.45384609</v>
      </c>
      <c r="R8">
        <f t="shared" ref="R8" si="17">R9+Q8</f>
        <v>-1015133579.7994866</v>
      </c>
      <c r="S8">
        <f t="shared" ref="S8" si="18">R8/100000</f>
        <v>-10151.335797994867</v>
      </c>
      <c r="T8">
        <f t="shared" ref="T8" si="19">S8/1000</f>
        <v>-10.151335797994866</v>
      </c>
    </row>
    <row r="9" spans="1:20" x14ac:dyDescent="0.25">
      <c r="A9" s="5">
        <v>44584</v>
      </c>
      <c r="B9">
        <v>0.13270000000000001</v>
      </c>
      <c r="C9">
        <v>0.14799999999999999</v>
      </c>
      <c r="D9">
        <v>0.13</v>
      </c>
      <c r="E9">
        <v>0.1401</v>
      </c>
      <c r="F9">
        <v>36019535</v>
      </c>
      <c r="G9">
        <v>0.1401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0.12222222222222272</v>
      </c>
      <c r="Q9">
        <f t="shared" ref="Q9" si="21">F9*P9</f>
        <v>4402387.6111111287</v>
      </c>
      <c r="R9">
        <f t="shared" ref="R9" si="22">R10+Q9</f>
        <v>-1031630191.2533327</v>
      </c>
      <c r="S9">
        <f t="shared" ref="S9" si="23">R9/100000</f>
        <v>-10316.301912533327</v>
      </c>
      <c r="T9">
        <f t="shared" ref="T9" si="24">S9/1000</f>
        <v>-10.316301912533326</v>
      </c>
    </row>
    <row r="10" spans="1:20" x14ac:dyDescent="0.25">
      <c r="A10" s="5">
        <v>44583</v>
      </c>
      <c r="B10">
        <v>0.15429999999999999</v>
      </c>
      <c r="C10">
        <v>0.16109999999999999</v>
      </c>
      <c r="D10">
        <v>0.1211</v>
      </c>
      <c r="E10">
        <v>0.1326</v>
      </c>
      <c r="F10">
        <v>70041345.400000006</v>
      </c>
      <c r="G10">
        <v>0.1326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-0.4250000000000001</v>
      </c>
      <c r="Q10">
        <f t="shared" ref="Q10" si="26">F10*P10</f>
        <v>-29767571.795000009</v>
      </c>
      <c r="R10">
        <f t="shared" ref="R10" si="27">R11+Q10</f>
        <v>-1036032578.8644439</v>
      </c>
      <c r="S10">
        <f t="shared" ref="S10" si="28">R10/100000</f>
        <v>-10360.325788644439</v>
      </c>
      <c r="T10">
        <f t="shared" ref="T10" si="29">S10/1000</f>
        <v>-10.360325788644438</v>
      </c>
    </row>
    <row r="11" spans="1:20" x14ac:dyDescent="0.25">
      <c r="A11" s="5">
        <v>44582</v>
      </c>
      <c r="B11">
        <v>0.18079999999999999</v>
      </c>
      <c r="C11">
        <v>0.19009999999999999</v>
      </c>
      <c r="D11">
        <v>0.15010000000000001</v>
      </c>
      <c r="E11">
        <v>0.1545</v>
      </c>
      <c r="F11">
        <v>73250682</v>
      </c>
      <c r="G11">
        <v>0.1545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-0.78000000000000058</v>
      </c>
      <c r="Q11">
        <f t="shared" ref="Q11" si="31">F11*P11</f>
        <v>-57135531.960000046</v>
      </c>
      <c r="R11">
        <f t="shared" ref="R11" si="32">R12+Q11</f>
        <v>-1006265007.0694439</v>
      </c>
      <c r="S11">
        <f t="shared" ref="S11" si="33">R11/100000</f>
        <v>-10062.650070694439</v>
      </c>
      <c r="T11">
        <f t="shared" ref="T11" si="34">S11/1000</f>
        <v>-10.062650070694438</v>
      </c>
    </row>
    <row r="12" spans="1:20" x14ac:dyDescent="0.25">
      <c r="A12" s="5">
        <v>44581</v>
      </c>
      <c r="B12">
        <v>0.19869999999999999</v>
      </c>
      <c r="C12">
        <v>0.20480000000000001</v>
      </c>
      <c r="D12">
        <v>0.18010000000000001</v>
      </c>
      <c r="E12">
        <v>0.18090000000000001</v>
      </c>
      <c r="F12">
        <v>48556626</v>
      </c>
      <c r="G12">
        <v>0.18090000000000001</v>
      </c>
      <c r="L12" t="s">
        <v>8</v>
      </c>
      <c r="M12" t="s">
        <v>8</v>
      </c>
      <c r="N12" t="s">
        <v>7</v>
      </c>
      <c r="P12">
        <f t="shared" ref="P12" si="35">IF(C12=D12,0,((E12-D12)-(C12-E12))/(C12-D12))</f>
        <v>-0.93522267206477772</v>
      </c>
      <c r="Q12">
        <f t="shared" ref="Q12" si="36">F12*P12</f>
        <v>-45411257.514170058</v>
      </c>
      <c r="R12">
        <f t="shared" ref="R12" si="37">R13+Q12</f>
        <v>-949129475.1094439</v>
      </c>
      <c r="S12">
        <f t="shared" ref="S12" si="38">R12/100000</f>
        <v>-9491.2947510944396</v>
      </c>
      <c r="T12">
        <f t="shared" ref="T12" si="39">S12/1000</f>
        <v>-9.4912947510944399</v>
      </c>
    </row>
    <row r="13" spans="1:20" x14ac:dyDescent="0.25">
      <c r="A13" s="5">
        <v>44580</v>
      </c>
      <c r="B13">
        <v>0.1857</v>
      </c>
      <c r="C13">
        <v>0.20860000000000001</v>
      </c>
      <c r="D13">
        <v>0.18140000000000001</v>
      </c>
      <c r="E13">
        <v>0.1986</v>
      </c>
      <c r="F13">
        <v>116827521</v>
      </c>
      <c r="G13">
        <v>0.1986</v>
      </c>
      <c r="L13" t="s">
        <v>7</v>
      </c>
      <c r="M13" t="s">
        <v>8</v>
      </c>
      <c r="N13" t="s">
        <v>7</v>
      </c>
      <c r="P13">
        <f t="shared" ref="P13" si="40">IF(C13=D13,0,((E13-D13)-(C13-E13))/(C13-D13))</f>
        <v>0.26470588235294057</v>
      </c>
      <c r="Q13">
        <f t="shared" ref="Q13" si="41">F13*P13</f>
        <v>30924932.029411692</v>
      </c>
      <c r="R13">
        <f t="shared" ref="R13" si="42">R14+Q13</f>
        <v>-903718217.59527385</v>
      </c>
      <c r="S13">
        <f t="shared" ref="S13" si="43">R13/100000</f>
        <v>-9037.1821759527393</v>
      </c>
      <c r="T13">
        <f t="shared" ref="T13" si="44">S13/1000</f>
        <v>-9.03718217595274</v>
      </c>
    </row>
    <row r="14" spans="1:20" x14ac:dyDescent="0.25">
      <c r="A14" s="5">
        <v>44579</v>
      </c>
      <c r="B14">
        <v>0.1754</v>
      </c>
      <c r="C14">
        <v>0.20949999999999999</v>
      </c>
      <c r="D14">
        <v>0.16950000000000001</v>
      </c>
      <c r="E14">
        <v>0.18559999999999999</v>
      </c>
      <c r="F14">
        <v>108919155</v>
      </c>
      <c r="G14">
        <v>0.18559999999999999</v>
      </c>
      <c r="L14" t="s">
        <v>8</v>
      </c>
      <c r="M14" t="s">
        <v>8</v>
      </c>
      <c r="N14" t="s">
        <v>7</v>
      </c>
      <c r="P14">
        <f t="shared" ref="P14" si="45">IF(C14=D14,0,((E14-D14)-(C14-E14))/(C14-D14))</f>
        <v>-0.19500000000000084</v>
      </c>
      <c r="Q14">
        <f t="shared" ref="Q14" si="46">F14*P14</f>
        <v>-21239235.225000091</v>
      </c>
      <c r="R14">
        <f t="shared" ref="R14" si="47">R15+Q14</f>
        <v>-934643149.62468553</v>
      </c>
      <c r="S14">
        <f t="shared" ref="S14" si="48">R14/100000</f>
        <v>-9346.4314962468561</v>
      </c>
      <c r="T14">
        <f t="shared" ref="T14" si="49">S14/1000</f>
        <v>-9.346431496246856</v>
      </c>
    </row>
    <row r="15" spans="1:20" x14ac:dyDescent="0.25">
      <c r="A15" s="5">
        <v>44578</v>
      </c>
      <c r="B15">
        <v>0.18</v>
      </c>
      <c r="C15">
        <v>0.18149999999999999</v>
      </c>
      <c r="D15">
        <v>0.16900000000000001</v>
      </c>
      <c r="E15">
        <v>0.1754</v>
      </c>
      <c r="F15">
        <v>40956289</v>
      </c>
      <c r="G15">
        <v>0.1754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2.3999999999999608E-2</v>
      </c>
      <c r="Q15">
        <f t="shared" ref="Q15" si="51">F15*P15</f>
        <v>982950.93599998392</v>
      </c>
      <c r="R15">
        <f t="shared" ref="R15" si="52">R16+Q15</f>
        <v>-913403914.39968538</v>
      </c>
      <c r="S15">
        <f t="shared" ref="S15" si="53">R15/100000</f>
        <v>-9134.0391439968535</v>
      </c>
      <c r="T15">
        <f t="shared" ref="T15" si="54">S15/1000</f>
        <v>-9.1340391439968531</v>
      </c>
    </row>
    <row r="16" spans="1:20" x14ac:dyDescent="0.25">
      <c r="A16" s="5">
        <v>44577</v>
      </c>
      <c r="B16">
        <v>0.17530000000000001</v>
      </c>
      <c r="C16">
        <v>0.1822</v>
      </c>
      <c r="D16">
        <v>0.17369999999999999</v>
      </c>
      <c r="E16">
        <v>0.18010000000000001</v>
      </c>
      <c r="F16">
        <v>21886927</v>
      </c>
      <c r="G16">
        <v>0.18010000000000001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0.50588235294117911</v>
      </c>
      <c r="Q16">
        <f t="shared" ref="Q16" si="56">F16*P16</f>
        <v>11072210.129411822</v>
      </c>
      <c r="R16">
        <f t="shared" ref="R16" si="57">R17+Q16</f>
        <v>-914386865.33568537</v>
      </c>
      <c r="S16">
        <f t="shared" ref="S16" si="58">R16/100000</f>
        <v>-9143.8686533568543</v>
      </c>
      <c r="T16">
        <f t="shared" ref="T16" si="59">S16/1000</f>
        <v>-9.1438686533568543</v>
      </c>
    </row>
    <row r="17" spans="1:20" x14ac:dyDescent="0.25">
      <c r="A17" s="5">
        <v>44576</v>
      </c>
      <c r="B17">
        <v>0.17480000000000001</v>
      </c>
      <c r="C17">
        <v>0.17699999999999999</v>
      </c>
      <c r="D17">
        <v>0.17269999999999999</v>
      </c>
      <c r="E17">
        <v>0.1754</v>
      </c>
      <c r="F17">
        <v>8925337</v>
      </c>
      <c r="G17">
        <v>0.1754</v>
      </c>
      <c r="L17" t="s">
        <v>7</v>
      </c>
      <c r="M17" t="s">
        <v>8</v>
      </c>
      <c r="N17" t="s">
        <v>7</v>
      </c>
      <c r="P17">
        <f t="shared" ref="P17" si="60">IF(C17=D17,0,((E17-D17)-(C17-E17))/(C17-D17))</f>
        <v>0.25581395348837632</v>
      </c>
      <c r="Q17">
        <f t="shared" ref="Q17" si="61">F17*P17</f>
        <v>2283225.7441860843</v>
      </c>
      <c r="R17">
        <f t="shared" ref="R17" si="62">R18+Q17</f>
        <v>-925459075.46509719</v>
      </c>
      <c r="S17">
        <f t="shared" ref="S17" si="63">R17/100000</f>
        <v>-9254.5907546509716</v>
      </c>
      <c r="T17">
        <f t="shared" ref="T17" si="64">S17/1000</f>
        <v>-9.2545907546509714</v>
      </c>
    </row>
    <row r="18" spans="1:20" x14ac:dyDescent="0.25">
      <c r="A18" s="5">
        <v>44575</v>
      </c>
      <c r="B18">
        <v>0.1691</v>
      </c>
      <c r="C18">
        <v>0.17519999999999999</v>
      </c>
      <c r="D18">
        <v>0.1663</v>
      </c>
      <c r="E18">
        <v>0.17460000000000001</v>
      </c>
      <c r="F18">
        <v>14558061</v>
      </c>
      <c r="G18">
        <v>0.17460000000000001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0.86516853932584492</v>
      </c>
      <c r="Q18">
        <f t="shared" ref="Q18" si="66">F18*P18</f>
        <v>12595176.37078655</v>
      </c>
      <c r="R18">
        <f t="shared" ref="R18" si="67">R19+Q18</f>
        <v>-927742301.20928323</v>
      </c>
      <c r="S18">
        <f t="shared" ref="S18" si="68">R18/100000</f>
        <v>-9277.4230120928332</v>
      </c>
      <c r="T18">
        <f t="shared" ref="T18" si="69">S18/1000</f>
        <v>-9.277423012092834</v>
      </c>
    </row>
    <row r="19" spans="1:20" x14ac:dyDescent="0.25">
      <c r="A19" s="5">
        <v>44574</v>
      </c>
      <c r="B19">
        <v>0.17760000000000001</v>
      </c>
      <c r="C19">
        <v>0.1782</v>
      </c>
      <c r="D19">
        <v>0.16789999999999999</v>
      </c>
      <c r="E19">
        <v>0.16930000000000001</v>
      </c>
      <c r="F19">
        <v>45582979</v>
      </c>
      <c r="G19">
        <v>0.16930000000000001</v>
      </c>
      <c r="L19" t="s">
        <v>7</v>
      </c>
      <c r="M19" t="s">
        <v>8</v>
      </c>
      <c r="N19" t="s">
        <v>7</v>
      </c>
      <c r="P19">
        <f t="shared" ref="P19" si="70">IF(C19=D19,0,((E19-D19)-(C19-E19))/(C19-D19))</f>
        <v>-0.72815533980582292</v>
      </c>
      <c r="Q19">
        <f t="shared" ref="Q19" si="71">F19*P19</f>
        <v>-33191489.56310669</v>
      </c>
      <c r="R19">
        <f t="shared" ref="R19" si="72">R20+Q19</f>
        <v>-940337477.58006978</v>
      </c>
      <c r="S19">
        <f t="shared" ref="S19" si="73">R19/100000</f>
        <v>-9403.3747758006975</v>
      </c>
      <c r="T19">
        <f t="shared" ref="T19" si="74">S19/1000</f>
        <v>-9.4033747758006978</v>
      </c>
    </row>
    <row r="20" spans="1:20" x14ac:dyDescent="0.25">
      <c r="A20" s="5">
        <v>44573</v>
      </c>
      <c r="B20">
        <v>0.1706</v>
      </c>
      <c r="C20">
        <v>0.18390000000000001</v>
      </c>
      <c r="D20">
        <v>0.16889999999999999</v>
      </c>
      <c r="E20">
        <v>0.1774</v>
      </c>
      <c r="F20">
        <v>26729200</v>
      </c>
      <c r="G20">
        <v>0.1774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0.13333333333333333</v>
      </c>
      <c r="Q20">
        <f t="shared" ref="Q20" si="76">F20*P20</f>
        <v>3563893.3333333335</v>
      </c>
      <c r="R20">
        <f t="shared" ref="R20" si="77">R21+Q20</f>
        <v>-907145988.01696312</v>
      </c>
      <c r="S20">
        <f t="shared" ref="S20" si="78">R20/100000</f>
        <v>-9071.459880169632</v>
      </c>
      <c r="T20">
        <f t="shared" ref="T20" si="79">S20/1000</f>
        <v>-9.0714598801696322</v>
      </c>
    </row>
    <row r="21" spans="1:20" x14ac:dyDescent="0.25">
      <c r="A21" s="5">
        <v>44572</v>
      </c>
      <c r="B21">
        <v>0.1618</v>
      </c>
      <c r="C21">
        <v>0.17280000000000001</v>
      </c>
      <c r="D21">
        <v>0.1603</v>
      </c>
      <c r="E21">
        <v>0.1706</v>
      </c>
      <c r="F21">
        <v>17244797</v>
      </c>
      <c r="G21">
        <v>0.1706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0.64799999999999913</v>
      </c>
      <c r="Q21">
        <f t="shared" ref="Q21" si="81">F21*P21</f>
        <v>11174628.455999985</v>
      </c>
      <c r="R21">
        <f t="shared" ref="R21" si="82">R22+Q21</f>
        <v>-910709881.3502965</v>
      </c>
      <c r="S21">
        <f t="shared" ref="S21" si="83">R21/100000</f>
        <v>-9107.0988135029656</v>
      </c>
      <c r="T21">
        <f t="shared" ref="T21" si="84">S21/1000</f>
        <v>-9.1070988135029651</v>
      </c>
    </row>
    <row r="22" spans="1:20" x14ac:dyDescent="0.25">
      <c r="A22" s="5">
        <v>44571</v>
      </c>
      <c r="B22">
        <v>0.16719999999999999</v>
      </c>
      <c r="C22">
        <v>0.17799999999999999</v>
      </c>
      <c r="D22">
        <v>0.155</v>
      </c>
      <c r="E22">
        <v>0.16170000000000001</v>
      </c>
      <c r="F22">
        <v>21737043.899999999</v>
      </c>
      <c r="G22">
        <v>0.16170000000000001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-0.4173913043478249</v>
      </c>
      <c r="Q22">
        <f t="shared" ref="Q22" si="86">F22*P22</f>
        <v>-9072853.1060869303</v>
      </c>
      <c r="R22">
        <f t="shared" ref="R22" si="87">R23+Q22</f>
        <v>-921884509.80629647</v>
      </c>
      <c r="S22">
        <f t="shared" ref="S22" si="88">R22/100000</f>
        <v>-9218.8450980629641</v>
      </c>
      <c r="T22">
        <f t="shared" ref="T22" si="89">S22/1000</f>
        <v>-9.2188450980629639</v>
      </c>
    </row>
    <row r="23" spans="1:20" x14ac:dyDescent="0.25">
      <c r="A23" s="5">
        <v>44570</v>
      </c>
      <c r="B23">
        <v>0.1628</v>
      </c>
      <c r="C23">
        <v>0.17150000000000001</v>
      </c>
      <c r="D23">
        <v>0.16170000000000001</v>
      </c>
      <c r="E23">
        <v>0.16719999999999999</v>
      </c>
      <c r="F23">
        <v>14643161</v>
      </c>
      <c r="G23">
        <v>0.16719999999999999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0.12244897959183171</v>
      </c>
      <c r="Q23">
        <f t="shared" ref="Q23" si="91">F23*P23</f>
        <v>1793040.1224489061</v>
      </c>
      <c r="R23">
        <f t="shared" ref="R23" si="92">R24+Q23</f>
        <v>-912811656.7002095</v>
      </c>
      <c r="S23">
        <f t="shared" ref="S23" si="93">R23/100000</f>
        <v>-9128.1165670020946</v>
      </c>
      <c r="T23">
        <f t="shared" ref="T23" si="94">S23/1000</f>
        <v>-9.1281165670020954</v>
      </c>
    </row>
    <row r="24" spans="1:20" x14ac:dyDescent="0.25">
      <c r="A24" s="5">
        <v>44569</v>
      </c>
      <c r="B24">
        <v>0.16769999999999999</v>
      </c>
      <c r="C24">
        <v>0.17860000000000001</v>
      </c>
      <c r="D24">
        <v>0.15870000000000001</v>
      </c>
      <c r="E24">
        <v>0.1628</v>
      </c>
      <c r="F24">
        <v>25384445</v>
      </c>
      <c r="G24">
        <v>0.1628</v>
      </c>
      <c r="L24" t="s">
        <v>8</v>
      </c>
      <c r="M24" t="s">
        <v>7</v>
      </c>
      <c r="N24" t="s">
        <v>7</v>
      </c>
      <c r="P24">
        <f t="shared" ref="P24" si="95">IF(C24=D24,0,((E24-D24)-(C24-E24))/(C24-D24))</f>
        <v>-0.58793969849246308</v>
      </c>
      <c r="Q24">
        <f t="shared" ref="Q24" si="96">F24*P24</f>
        <v>-14924522.939698512</v>
      </c>
      <c r="R24">
        <f t="shared" ref="R24" si="97">R25+Q24</f>
        <v>-914604696.82265842</v>
      </c>
      <c r="S24">
        <f t="shared" ref="S24" si="98">R24/100000</f>
        <v>-9146.0469682265848</v>
      </c>
      <c r="T24">
        <f t="shared" ref="T24" si="99">S24/1000</f>
        <v>-9.1460469682265852</v>
      </c>
    </row>
    <row r="25" spans="1:20" x14ac:dyDescent="0.25">
      <c r="A25" s="5">
        <v>44568</v>
      </c>
      <c r="B25">
        <v>0.17879999999999999</v>
      </c>
      <c r="C25">
        <v>0.17910000000000001</v>
      </c>
      <c r="D25">
        <v>0.16070000000000001</v>
      </c>
      <c r="E25">
        <v>0.16750000000000001</v>
      </c>
      <c r="F25">
        <v>28074143.5</v>
      </c>
      <c r="G25">
        <v>0.16750000000000001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-0.26086956521739124</v>
      </c>
      <c r="Q25">
        <f t="shared" ref="Q25" si="101">F25*P25</f>
        <v>-7323689.6086956505</v>
      </c>
      <c r="R25">
        <f t="shared" ref="R25" si="102">R26+Q25</f>
        <v>-899680173.88295996</v>
      </c>
      <c r="S25">
        <f t="shared" ref="S25" si="103">R25/100000</f>
        <v>-8996.8017388295993</v>
      </c>
      <c r="T25">
        <f t="shared" ref="T25" si="104">S25/1000</f>
        <v>-8.9968017388295998</v>
      </c>
    </row>
    <row r="26" spans="1:20" x14ac:dyDescent="0.25">
      <c r="A26" s="5">
        <v>44567</v>
      </c>
      <c r="B26">
        <v>0.1817</v>
      </c>
      <c r="C26">
        <v>0.183</v>
      </c>
      <c r="D26">
        <v>0.16969999999999999</v>
      </c>
      <c r="E26">
        <v>0.1789</v>
      </c>
      <c r="F26">
        <v>29095839.899999999</v>
      </c>
      <c r="G26">
        <v>0.1789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0.38345864661654278</v>
      </c>
      <c r="Q26">
        <f t="shared" ref="Q26" si="106">F26*P26</f>
        <v>11157051.390225604</v>
      </c>
      <c r="R26">
        <f t="shared" ref="R26" si="107">R27+Q26</f>
        <v>-892356484.27426434</v>
      </c>
      <c r="S26">
        <f t="shared" ref="S26" si="108">R26/100000</f>
        <v>-8923.564842742644</v>
      </c>
      <c r="T26">
        <f t="shared" ref="T26" si="109">S26/1000</f>
        <v>-8.9235648427426444</v>
      </c>
    </row>
    <row r="27" spans="1:20" x14ac:dyDescent="0.25">
      <c r="A27" s="5">
        <v>44566</v>
      </c>
      <c r="B27">
        <v>0.19289999999999999</v>
      </c>
      <c r="C27">
        <v>0.20100000000000001</v>
      </c>
      <c r="D27">
        <v>0.17369999999999999</v>
      </c>
      <c r="E27">
        <v>0.1817</v>
      </c>
      <c r="F27">
        <v>36840837</v>
      </c>
      <c r="G27">
        <v>0.1817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-0.41391941391941378</v>
      </c>
      <c r="Q27">
        <f t="shared" ref="Q27" si="111">F27*P27</f>
        <v>-15249137.659340654</v>
      </c>
      <c r="R27">
        <f t="shared" ref="R27" si="112">R28+Q27</f>
        <v>-903513535.66448998</v>
      </c>
      <c r="S27">
        <f t="shared" ref="S27" si="113">R27/100000</f>
        <v>-9035.1353566448997</v>
      </c>
      <c r="T27">
        <f t="shared" ref="T27" si="114">S27/1000</f>
        <v>-9.0351353566448989</v>
      </c>
    </row>
    <row r="28" spans="1:20" x14ac:dyDescent="0.25">
      <c r="A28" s="5">
        <v>44565</v>
      </c>
      <c r="B28">
        <v>0.19819999999999999</v>
      </c>
      <c r="C28">
        <v>0.1993</v>
      </c>
      <c r="D28">
        <v>0.18990000000000001</v>
      </c>
      <c r="E28">
        <v>0.193</v>
      </c>
      <c r="F28">
        <v>25384937</v>
      </c>
      <c r="G28">
        <v>0.193</v>
      </c>
      <c r="L28" t="s">
        <v>7</v>
      </c>
      <c r="M28" t="s">
        <v>7</v>
      </c>
      <c r="N28" t="s">
        <v>8</v>
      </c>
      <c r="P28">
        <f t="shared" ref="P28" si="115">IF(C28=D28,0,((E28-D28)-(C28-E28))/(C28-D28))</f>
        <v>-0.34042553191489483</v>
      </c>
      <c r="Q28">
        <f t="shared" ref="Q28" si="116">F28*P28</f>
        <v>-8641680.6808510944</v>
      </c>
      <c r="R28">
        <f t="shared" ref="R28" si="117">R29+Q28</f>
        <v>-888264398.00514936</v>
      </c>
      <c r="S28">
        <f t="shared" ref="S28" si="118">R28/100000</f>
        <v>-8882.6439800514945</v>
      </c>
      <c r="T28">
        <f t="shared" ref="T28" si="119">S28/1000</f>
        <v>-8.882643980051494</v>
      </c>
    </row>
    <row r="29" spans="1:20" x14ac:dyDescent="0.25">
      <c r="A29" s="5">
        <v>44564</v>
      </c>
      <c r="B29">
        <v>0.20480000000000001</v>
      </c>
      <c r="C29">
        <v>0.20580000000000001</v>
      </c>
      <c r="D29">
        <v>0.19270000000000001</v>
      </c>
      <c r="E29">
        <v>0.19819999999999999</v>
      </c>
      <c r="F29">
        <v>24681605</v>
      </c>
      <c r="G29">
        <v>0.19819999999999999</v>
      </c>
      <c r="L29" t="s">
        <v>7</v>
      </c>
      <c r="M29" t="s">
        <v>7</v>
      </c>
      <c r="N29" t="s">
        <v>8</v>
      </c>
      <c r="P29">
        <f t="shared" ref="P29" si="120">IF(C29=D29,0,((E29-D29)-(C29-E29))/(C29-D29))</f>
        <v>-0.1603053435114539</v>
      </c>
      <c r="Q29">
        <f t="shared" ref="Q29" si="121">F29*P29</f>
        <v>-3956593.167939018</v>
      </c>
      <c r="R29">
        <f t="shared" ref="R29" si="122">R30+Q29</f>
        <v>-879622717.32429826</v>
      </c>
      <c r="S29">
        <f t="shared" ref="S29" si="123">R29/100000</f>
        <v>-8796.2271732429817</v>
      </c>
      <c r="T29">
        <f t="shared" ref="T29" si="124">S29/1000</f>
        <v>-8.7962271732429809</v>
      </c>
    </row>
    <row r="30" spans="1:20" x14ac:dyDescent="0.25">
      <c r="A30" s="5">
        <v>44563</v>
      </c>
      <c r="B30">
        <v>0.19789999999999999</v>
      </c>
      <c r="C30">
        <v>0.21199999999999999</v>
      </c>
      <c r="D30">
        <v>0.19650000000000001</v>
      </c>
      <c r="E30">
        <v>0.20480000000000001</v>
      </c>
      <c r="F30">
        <v>18788508</v>
      </c>
      <c r="G30">
        <v>0.20480000000000001</v>
      </c>
      <c r="L30" t="s">
        <v>8</v>
      </c>
      <c r="M30" t="s">
        <v>7</v>
      </c>
      <c r="N30" t="s">
        <v>8</v>
      </c>
      <c r="P30">
        <f t="shared" ref="P30" si="125">IF(C30=D30,0,((E30-D30)-(C30-E30))/(C30-D30))</f>
        <v>7.0967741935485079E-2</v>
      </c>
      <c r="Q30">
        <f t="shared" ref="Q30" si="126">F30*P30</f>
        <v>1333377.987096797</v>
      </c>
      <c r="R30">
        <f t="shared" ref="R30" si="127">R31+Q30</f>
        <v>-875666124.1563592</v>
      </c>
      <c r="S30">
        <f t="shared" ref="S30" si="128">R30/100000</f>
        <v>-8756.6612415635918</v>
      </c>
      <c r="T30">
        <f t="shared" ref="T30" si="129">S30/1000</f>
        <v>-8.7566612415635916</v>
      </c>
    </row>
    <row r="31" spans="1:20" x14ac:dyDescent="0.25">
      <c r="A31" s="5">
        <v>44562</v>
      </c>
      <c r="B31">
        <v>0.19109999999999999</v>
      </c>
      <c r="C31">
        <v>0.19919999999999999</v>
      </c>
      <c r="D31">
        <v>0.19109999999999999</v>
      </c>
      <c r="E31">
        <v>0.19789999999999999</v>
      </c>
      <c r="F31">
        <v>10860906</v>
      </c>
      <c r="G31">
        <v>0.19789999999999999</v>
      </c>
      <c r="L31" t="s">
        <v>8</v>
      </c>
      <c r="M31" t="s">
        <v>7</v>
      </c>
      <c r="N31" t="s">
        <v>8</v>
      </c>
      <c r="P31">
        <f t="shared" ref="P31" si="130">IF(C31=D31,0,((E31-D31)-(C31-E31))/(C31-D31))</f>
        <v>0.67901234567901325</v>
      </c>
      <c r="Q31">
        <f t="shared" ref="Q31" si="131">F31*P31</f>
        <v>7374689.2592592686</v>
      </c>
      <c r="R31">
        <f t="shared" ref="R31" si="132">R32+Q31</f>
        <v>-876999502.14345598</v>
      </c>
      <c r="S31">
        <f t="shared" ref="S31" si="133">R31/100000</f>
        <v>-8769.995021434559</v>
      </c>
      <c r="T31">
        <f t="shared" ref="T31" si="134">S31/1000</f>
        <v>-8.7699950214345588</v>
      </c>
    </row>
    <row r="32" spans="1:20" x14ac:dyDescent="0.25">
      <c r="A32" s="5">
        <v>44561</v>
      </c>
      <c r="B32">
        <v>0.19739999999999999</v>
      </c>
      <c r="C32">
        <v>0.19980000000000001</v>
      </c>
      <c r="D32">
        <v>0.18509999999999999</v>
      </c>
      <c r="E32">
        <v>0.191</v>
      </c>
      <c r="F32">
        <v>37692360</v>
      </c>
      <c r="G32">
        <v>0.191</v>
      </c>
      <c r="L32" t="s">
        <v>7</v>
      </c>
      <c r="M32" t="s">
        <v>7</v>
      </c>
      <c r="N32" t="s">
        <v>8</v>
      </c>
      <c r="P32">
        <f t="shared" ref="P32" si="135">IF(C32=D32,0,((E32-D32)-(C32-E32))/(C32-D32))</f>
        <v>-0.19727891156462465</v>
      </c>
      <c r="Q32">
        <f t="shared" ref="Q32" si="136">F32*P32</f>
        <v>-7435907.7551019955</v>
      </c>
      <c r="R32">
        <f t="shared" ref="R32" si="137">R33+Q32</f>
        <v>-884374191.40271521</v>
      </c>
      <c r="S32">
        <f t="shared" ref="S32" si="138">R32/100000</f>
        <v>-8843.7419140271522</v>
      </c>
      <c r="T32">
        <f t="shared" ref="T32" si="139">S32/1000</f>
        <v>-8.8437419140271523</v>
      </c>
    </row>
    <row r="33" spans="1:20" x14ac:dyDescent="0.25">
      <c r="A33" s="5">
        <v>44560</v>
      </c>
      <c r="B33">
        <v>0.192</v>
      </c>
      <c r="C33">
        <v>0.20030000000000001</v>
      </c>
      <c r="D33">
        <v>0.18859999999999999</v>
      </c>
      <c r="E33">
        <v>0.19739999999999999</v>
      </c>
      <c r="F33">
        <v>17913940</v>
      </c>
      <c r="G33">
        <v>0.19739999999999999</v>
      </c>
      <c r="L33" t="s">
        <v>7</v>
      </c>
      <c r="M33" t="s">
        <v>7</v>
      </c>
      <c r="N33" t="s">
        <v>8</v>
      </c>
      <c r="P33">
        <f t="shared" ref="P33" si="140">IF(C33=D33,0,((E33-D33)-(C33-E33))/(C33-D33))</f>
        <v>0.50427350427350259</v>
      </c>
      <c r="Q33">
        <f t="shared" ref="Q33" si="141">F33*P33</f>
        <v>9033525.2991452683</v>
      </c>
      <c r="R33">
        <f t="shared" ref="R33" si="142">R34+Q33</f>
        <v>-876938283.64761317</v>
      </c>
      <c r="S33">
        <f t="shared" ref="S33" si="143">R33/100000</f>
        <v>-8769.3828364761321</v>
      </c>
      <c r="T33">
        <f t="shared" ref="T33" si="144">S33/1000</f>
        <v>-8.7693828364761313</v>
      </c>
    </row>
    <row r="34" spans="1:20" x14ac:dyDescent="0.25">
      <c r="A34" s="5">
        <v>44559</v>
      </c>
      <c r="B34">
        <v>0.2046</v>
      </c>
      <c r="C34">
        <v>0.20680000000000001</v>
      </c>
      <c r="D34">
        <v>0.19020000000000001</v>
      </c>
      <c r="E34">
        <v>0.1918</v>
      </c>
      <c r="F34">
        <v>34696484</v>
      </c>
      <c r="G34">
        <v>0.1918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-0.80722891566265176</v>
      </c>
      <c r="Q34">
        <f t="shared" ref="Q34" si="146">F34*P34</f>
        <v>-28008005.156626545</v>
      </c>
      <c r="R34">
        <f t="shared" ref="R34" si="147">R35+Q34</f>
        <v>-885971808.94675839</v>
      </c>
      <c r="S34">
        <f t="shared" ref="S34" si="148">R34/100000</f>
        <v>-8859.7180894675839</v>
      </c>
      <c r="T34">
        <f t="shared" ref="T34" si="149">S34/1000</f>
        <v>-8.8597180894675844</v>
      </c>
    </row>
    <row r="35" spans="1:20" x14ac:dyDescent="0.25">
      <c r="A35" s="5">
        <v>44558</v>
      </c>
      <c r="B35">
        <v>0.22939999999999999</v>
      </c>
      <c r="C35">
        <v>0.2296</v>
      </c>
      <c r="D35">
        <v>0.20399999999999999</v>
      </c>
      <c r="E35">
        <v>0.2046</v>
      </c>
      <c r="F35">
        <v>56331746</v>
      </c>
      <c r="G35">
        <v>0.2046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-0.95312499999999867</v>
      </c>
      <c r="Q35">
        <f t="shared" ref="Q35" si="151">F35*P35</f>
        <v>-53691195.406249925</v>
      </c>
      <c r="R35">
        <f t="shared" ref="R35" si="152">R36+Q35</f>
        <v>-857963803.79013181</v>
      </c>
      <c r="S35">
        <f t="shared" ref="S35" si="153">R35/100000</f>
        <v>-8579.638037901319</v>
      </c>
      <c r="T35">
        <f t="shared" ref="T35" si="154">S35/1000</f>
        <v>-8.5796380379013186</v>
      </c>
    </row>
    <row r="36" spans="1:20" x14ac:dyDescent="0.25">
      <c r="A36" s="5">
        <v>44557</v>
      </c>
      <c r="B36">
        <v>0.2296</v>
      </c>
      <c r="C36">
        <v>0.25</v>
      </c>
      <c r="D36">
        <v>0.22550000000000001</v>
      </c>
      <c r="E36">
        <v>0.22939999999999999</v>
      </c>
      <c r="F36">
        <v>57200560</v>
      </c>
      <c r="G36">
        <v>0.22939999999999999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-0.68163265306122545</v>
      </c>
      <c r="Q36">
        <f t="shared" ref="Q36" si="156">F36*P36</f>
        <v>-38989769.469387807</v>
      </c>
      <c r="R36">
        <f t="shared" ref="R36" si="157">R37+Q36</f>
        <v>-804272608.38388193</v>
      </c>
      <c r="S36">
        <f t="shared" ref="S36" si="158">R36/100000</f>
        <v>-8042.7260838388192</v>
      </c>
      <c r="T36">
        <f t="shared" ref="T36" si="159">S36/1000</f>
        <v>-8.0427260838388186</v>
      </c>
    </row>
    <row r="37" spans="1:20" x14ac:dyDescent="0.25">
      <c r="A37" s="5">
        <v>44556</v>
      </c>
      <c r="B37">
        <v>0.21859999999999999</v>
      </c>
      <c r="C37">
        <v>0.23100000000000001</v>
      </c>
      <c r="D37">
        <v>0.21240000000000001</v>
      </c>
      <c r="E37">
        <v>0.22950000000000001</v>
      </c>
      <c r="F37">
        <v>69882392</v>
      </c>
      <c r="G37">
        <v>0.22950000000000001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0.83870967741935476</v>
      </c>
      <c r="Q37">
        <f t="shared" ref="Q37" si="161">F37*P37</f>
        <v>58611038.451612897</v>
      </c>
      <c r="R37">
        <f t="shared" ref="R37" si="162">R38+Q37</f>
        <v>-765282838.91449416</v>
      </c>
      <c r="S37">
        <f t="shared" ref="S37" si="163">R37/100000</f>
        <v>-7652.8283891449419</v>
      </c>
      <c r="T37">
        <f t="shared" ref="T37" si="164">S37/1000</f>
        <v>-7.6528283891449416</v>
      </c>
    </row>
    <row r="38" spans="1:20" x14ac:dyDescent="0.25">
      <c r="A38" s="5">
        <v>44555</v>
      </c>
      <c r="B38">
        <v>0.215</v>
      </c>
      <c r="C38">
        <v>0.22339999999999999</v>
      </c>
      <c r="D38">
        <v>0.21290000000000001</v>
      </c>
      <c r="E38">
        <v>0.21859999999999999</v>
      </c>
      <c r="F38">
        <v>30214689</v>
      </c>
      <c r="G38">
        <v>0.21859999999999999</v>
      </c>
      <c r="L38" t="s">
        <v>7</v>
      </c>
      <c r="M38" t="s">
        <v>8</v>
      </c>
      <c r="N38" t="s">
        <v>7</v>
      </c>
      <c r="P38">
        <f t="shared" ref="P38" si="165">IF(C38=D38,0,((E38-D38)-(C38-E38))/(C38-D38))</f>
        <v>8.5714285714284355E-2</v>
      </c>
      <c r="Q38">
        <f t="shared" ref="Q38" si="166">F38*P38</f>
        <v>2589830.4857142447</v>
      </c>
      <c r="R38">
        <f t="shared" ref="R38" si="167">R39+Q38</f>
        <v>-823893877.36610711</v>
      </c>
      <c r="S38">
        <f t="shared" ref="S38" si="168">R38/100000</f>
        <v>-8238.9387736610715</v>
      </c>
      <c r="T38">
        <f t="shared" ref="T38" si="169">S38/1000</f>
        <v>-8.2389387736610722</v>
      </c>
    </row>
    <row r="39" spans="1:20" x14ac:dyDescent="0.25">
      <c r="A39" s="5">
        <v>44554</v>
      </c>
      <c r="B39">
        <v>0.22289999999999999</v>
      </c>
      <c r="C39">
        <v>0.22700000000000001</v>
      </c>
      <c r="D39">
        <v>0.21129999999999999</v>
      </c>
      <c r="E39">
        <v>0.2147</v>
      </c>
      <c r="F39">
        <v>42432242</v>
      </c>
      <c r="G39">
        <v>0.2147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-0.56687898089171851</v>
      </c>
      <c r="Q39">
        <f t="shared" ref="Q39" si="171">F39*P39</f>
        <v>-24053946.101910777</v>
      </c>
      <c r="R39">
        <f t="shared" ref="R39" si="172">R40+Q39</f>
        <v>-826483707.8518213</v>
      </c>
      <c r="S39">
        <f t="shared" ref="S39" si="173">R39/100000</f>
        <v>-8264.8370785182124</v>
      </c>
      <c r="T39">
        <f t="shared" ref="T39" si="174">S39/1000</f>
        <v>-8.2648370785182124</v>
      </c>
    </row>
    <row r="40" spans="1:20" x14ac:dyDescent="0.25">
      <c r="A40" s="5">
        <v>44553</v>
      </c>
      <c r="B40">
        <v>0.20549999999999999</v>
      </c>
      <c r="C40">
        <v>0.2253</v>
      </c>
      <c r="D40">
        <v>0.2014</v>
      </c>
      <c r="E40">
        <v>0.22289999999999999</v>
      </c>
      <c r="F40">
        <v>68245930</v>
      </c>
      <c r="G40">
        <v>0.22289999999999999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0.79916317991631691</v>
      </c>
      <c r="Q40">
        <f t="shared" ref="Q40" si="176">F40*P40</f>
        <v>54539634.435146369</v>
      </c>
      <c r="R40">
        <f t="shared" ref="R40" si="177">R41+Q40</f>
        <v>-802429761.74991047</v>
      </c>
      <c r="S40">
        <f t="shared" ref="S40" si="178">R40/100000</f>
        <v>-8024.2976174991045</v>
      </c>
      <c r="T40">
        <f t="shared" ref="T40" si="179">S40/1000</f>
        <v>-8.024297617499105</v>
      </c>
    </row>
    <row r="41" spans="1:20" x14ac:dyDescent="0.25">
      <c r="A41" s="5">
        <v>44552</v>
      </c>
      <c r="B41">
        <v>0.19919999999999999</v>
      </c>
      <c r="C41">
        <v>0.21160000000000001</v>
      </c>
      <c r="D41">
        <v>0.19900000000000001</v>
      </c>
      <c r="E41">
        <v>0.2054</v>
      </c>
      <c r="F41">
        <v>42715638</v>
      </c>
      <c r="G41">
        <v>0.2054</v>
      </c>
      <c r="L41" t="s">
        <v>8</v>
      </c>
      <c r="M41" t="s">
        <v>8</v>
      </c>
      <c r="N41" t="s">
        <v>7</v>
      </c>
      <c r="P41">
        <f t="shared" ref="P41" si="180">IF(C41=D41,0,((E41-D41)-(C41-E41))/(C41-D41))</f>
        <v>1.5873015873014124E-2</v>
      </c>
      <c r="Q41">
        <f t="shared" ref="Q41" si="181">F41*P41</f>
        <v>678025.99999992526</v>
      </c>
      <c r="R41">
        <f t="shared" ref="R41" si="182">R42+Q41</f>
        <v>-856969396.18505681</v>
      </c>
      <c r="S41">
        <f t="shared" ref="S41" si="183">R41/100000</f>
        <v>-8569.6939618505676</v>
      </c>
      <c r="T41">
        <f t="shared" ref="T41" si="184">S41/1000</f>
        <v>-8.5696939618505681</v>
      </c>
    </row>
    <row r="42" spans="1:20" x14ac:dyDescent="0.25">
      <c r="A42" s="5">
        <v>44551</v>
      </c>
      <c r="B42">
        <v>0.187</v>
      </c>
      <c r="C42">
        <v>0.20019999999999999</v>
      </c>
      <c r="D42">
        <v>0.18260000000000001</v>
      </c>
      <c r="E42">
        <v>0.19919999999999999</v>
      </c>
      <c r="F42">
        <v>23260690</v>
      </c>
      <c r="G42">
        <v>0.19919999999999999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0.88636363636363613</v>
      </c>
      <c r="Q42">
        <f t="shared" ref="Q42" si="186">F42*P42</f>
        <v>20617429.772727266</v>
      </c>
      <c r="R42">
        <f t="shared" ref="R42" si="187">R43+Q42</f>
        <v>-857647422.18505669</v>
      </c>
      <c r="S42">
        <f t="shared" ref="S42" si="188">R42/100000</f>
        <v>-8576.4742218505671</v>
      </c>
      <c r="T42">
        <f t="shared" ref="T42" si="189">S42/1000</f>
        <v>-8.5764742218505674</v>
      </c>
    </row>
    <row r="43" spans="1:20" x14ac:dyDescent="0.25">
      <c r="A43" s="5">
        <v>44550</v>
      </c>
      <c r="B43">
        <v>0.19620000000000001</v>
      </c>
      <c r="C43">
        <v>0.19700000000000001</v>
      </c>
      <c r="D43">
        <v>0.17960000000000001</v>
      </c>
      <c r="E43">
        <v>0.18709999999999999</v>
      </c>
      <c r="F43">
        <v>38363368</v>
      </c>
      <c r="G43">
        <v>0.18709999999999999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-0.13793103448276098</v>
      </c>
      <c r="Q43">
        <f t="shared" ref="Q43" si="191">F43*P43</f>
        <v>-5291499.0344828488</v>
      </c>
      <c r="R43">
        <f t="shared" ref="R43" si="192">R44+Q43</f>
        <v>-878264851.95778394</v>
      </c>
      <c r="S43">
        <f t="shared" ref="S43" si="193">R43/100000</f>
        <v>-8782.6485195778387</v>
      </c>
      <c r="T43">
        <f t="shared" ref="T43" si="194">S43/1000</f>
        <v>-8.7826485195778385</v>
      </c>
    </row>
    <row r="44" spans="1:20" x14ac:dyDescent="0.25">
      <c r="A44" s="5">
        <v>44549</v>
      </c>
      <c r="B44">
        <v>0.19600000000000001</v>
      </c>
      <c r="C44">
        <v>0.20349999999999999</v>
      </c>
      <c r="D44">
        <v>0.1943</v>
      </c>
      <c r="E44">
        <v>0.1963</v>
      </c>
      <c r="F44">
        <v>30496528</v>
      </c>
      <c r="G44">
        <v>0.1963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-0.56521739130434678</v>
      </c>
      <c r="Q44">
        <f t="shared" ref="Q44" si="196">F44*P44</f>
        <v>-17237167.999999966</v>
      </c>
      <c r="R44">
        <f t="shared" ref="R44" si="197">R45+Q44</f>
        <v>-872973352.9233011</v>
      </c>
      <c r="S44">
        <f t="shared" ref="S44" si="198">R44/100000</f>
        <v>-8729.7335292330117</v>
      </c>
      <c r="T44">
        <f t="shared" ref="T44" si="199">S44/1000</f>
        <v>-8.7297335292330125</v>
      </c>
    </row>
    <row r="45" spans="1:20" x14ac:dyDescent="0.25">
      <c r="A45" s="5">
        <v>44548</v>
      </c>
      <c r="B45">
        <v>0.19339999999999999</v>
      </c>
      <c r="C45">
        <v>0.1993</v>
      </c>
      <c r="D45">
        <v>0.1888</v>
      </c>
      <c r="E45">
        <v>0.19600000000000001</v>
      </c>
      <c r="F45">
        <v>18519836</v>
      </c>
      <c r="G45">
        <v>0.19600000000000001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0.3714285714285725</v>
      </c>
      <c r="Q45">
        <f t="shared" ref="Q45" si="201">F45*P45</f>
        <v>6878796.2285714485</v>
      </c>
      <c r="R45">
        <f t="shared" ref="R45" si="202">R46+Q45</f>
        <v>-855736184.9233011</v>
      </c>
      <c r="S45">
        <f t="shared" ref="S45" si="203">R45/100000</f>
        <v>-8557.3618492330115</v>
      </c>
      <c r="T45">
        <f t="shared" ref="T45" si="204">S45/1000</f>
        <v>-8.5573618492330112</v>
      </c>
    </row>
    <row r="46" spans="1:20" x14ac:dyDescent="0.25">
      <c r="A46" s="5">
        <v>44547</v>
      </c>
      <c r="B46">
        <v>0.20030000000000001</v>
      </c>
      <c r="C46">
        <v>0.20619999999999999</v>
      </c>
      <c r="D46">
        <v>0.18390000000000001</v>
      </c>
      <c r="E46">
        <v>0.1933</v>
      </c>
      <c r="F46">
        <v>88867498.400000006</v>
      </c>
      <c r="G46">
        <v>0.1933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-0.15695067264574014</v>
      </c>
      <c r="Q46">
        <f t="shared" ref="Q46" si="206">F46*P46</f>
        <v>-13947813.650224237</v>
      </c>
      <c r="R46">
        <f t="shared" ref="R46" si="207">R47+Q46</f>
        <v>-862614981.15187252</v>
      </c>
      <c r="S46">
        <f t="shared" ref="S46" si="208">R46/100000</f>
        <v>-8626.149811518726</v>
      </c>
      <c r="T46">
        <f t="shared" ref="T46" si="209">S46/1000</f>
        <v>-8.6261498115187258</v>
      </c>
    </row>
    <row r="47" spans="1:20" x14ac:dyDescent="0.25">
      <c r="A47" s="5">
        <v>44546</v>
      </c>
      <c r="B47">
        <v>0.21260000000000001</v>
      </c>
      <c r="C47">
        <v>0.216</v>
      </c>
      <c r="D47">
        <v>0.20030000000000001</v>
      </c>
      <c r="E47">
        <v>0.20030000000000001</v>
      </c>
      <c r="F47">
        <v>60778712</v>
      </c>
      <c r="G47">
        <v>0.20030000000000001</v>
      </c>
      <c r="L47" t="s">
        <v>7</v>
      </c>
      <c r="M47" t="s">
        <v>7</v>
      </c>
      <c r="N47" t="s">
        <v>7</v>
      </c>
      <c r="P47">
        <f t="shared" ref="P47" si="210">IF(C47=D47,0,((E47-D47)-(C47-E47))/(C47-D47))</f>
        <v>-1</v>
      </c>
      <c r="Q47">
        <f t="shared" ref="Q47" si="211">F47*P47</f>
        <v>-60778712</v>
      </c>
      <c r="R47">
        <f t="shared" ref="R47" si="212">R48+Q47</f>
        <v>-848667167.50164831</v>
      </c>
      <c r="S47">
        <f t="shared" ref="S47" si="213">R47/100000</f>
        <v>-8486.6716750164833</v>
      </c>
      <c r="T47">
        <f t="shared" ref="T47" si="214">S47/1000</f>
        <v>-8.486671675016483</v>
      </c>
    </row>
    <row r="48" spans="1:20" x14ac:dyDescent="0.25">
      <c r="A48" s="5">
        <v>44545</v>
      </c>
      <c r="B48">
        <v>0.20050000000000001</v>
      </c>
      <c r="C48">
        <v>0.2145</v>
      </c>
      <c r="D48">
        <v>0.1875</v>
      </c>
      <c r="E48">
        <v>0.21260000000000001</v>
      </c>
      <c r="F48">
        <v>93932117</v>
      </c>
      <c r="G48">
        <v>0.21260000000000001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0.85925925925926039</v>
      </c>
      <c r="Q48">
        <f t="shared" ref="Q48" si="216">F48*P48</f>
        <v>80712041.274074182</v>
      </c>
      <c r="R48">
        <f t="shared" ref="R48" si="217">R49+Q48</f>
        <v>-787888455.50164831</v>
      </c>
      <c r="S48">
        <f t="shared" ref="S48" si="218">R48/100000</f>
        <v>-7878.8845550164833</v>
      </c>
      <c r="T48">
        <f t="shared" ref="T48" si="219">S48/1000</f>
        <v>-7.8788845550164837</v>
      </c>
    </row>
    <row r="49" spans="1:20" x14ac:dyDescent="0.25">
      <c r="A49" s="5">
        <v>44544</v>
      </c>
      <c r="B49">
        <v>0.19850000000000001</v>
      </c>
      <c r="C49">
        <v>0.20180000000000001</v>
      </c>
      <c r="D49">
        <v>0.18870000000000001</v>
      </c>
      <c r="E49">
        <v>0.2006</v>
      </c>
      <c r="F49">
        <v>92028074.599999994</v>
      </c>
      <c r="G49">
        <v>0.2006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0.81679389312977002</v>
      </c>
      <c r="Q49">
        <f t="shared" ref="Q49" si="221">F49*P49</f>
        <v>75167969.329770893</v>
      </c>
      <c r="R49">
        <f t="shared" ref="R49" si="222">R50+Q49</f>
        <v>-868600496.7757225</v>
      </c>
      <c r="S49">
        <f t="shared" ref="S49" si="223">R49/100000</f>
        <v>-8686.0049677572242</v>
      </c>
      <c r="T49">
        <f t="shared" ref="T49" si="224">S49/1000</f>
        <v>-8.6860049677572242</v>
      </c>
    </row>
    <row r="50" spans="1:20" x14ac:dyDescent="0.25">
      <c r="A50" s="5">
        <v>44543</v>
      </c>
      <c r="B50">
        <v>0.2278</v>
      </c>
      <c r="C50">
        <v>0.2293</v>
      </c>
      <c r="D50">
        <v>0.19520000000000001</v>
      </c>
      <c r="E50">
        <v>0.19850000000000001</v>
      </c>
      <c r="F50">
        <v>73275605.700000003</v>
      </c>
      <c r="G50">
        <v>0.19850000000000001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-0.80645161290322587</v>
      </c>
      <c r="Q50">
        <f t="shared" ref="Q50" si="226">F50*P50</f>
        <v>-59093230.403225817</v>
      </c>
      <c r="R50">
        <f t="shared" ref="R50" si="227">R51+Q50</f>
        <v>-943768466.10549343</v>
      </c>
      <c r="S50">
        <f t="shared" ref="S50" si="228">R50/100000</f>
        <v>-9437.6846610549346</v>
      </c>
      <c r="T50">
        <f t="shared" ref="T50" si="229">S50/1000</f>
        <v>-9.4376846610549343</v>
      </c>
    </row>
    <row r="51" spans="1:20" x14ac:dyDescent="0.25">
      <c r="A51" s="5">
        <v>44542</v>
      </c>
      <c r="B51">
        <v>0.2326</v>
      </c>
      <c r="C51">
        <v>0.2326</v>
      </c>
      <c r="D51">
        <v>0.21920000000000001</v>
      </c>
      <c r="E51">
        <v>0.22770000000000001</v>
      </c>
      <c r="F51">
        <v>58762738</v>
      </c>
      <c r="G51">
        <v>0.22770000000000001</v>
      </c>
      <c r="L51" t="s">
        <v>7</v>
      </c>
      <c r="M51" t="s">
        <v>7</v>
      </c>
      <c r="N51" t="s">
        <v>7</v>
      </c>
      <c r="P51">
        <f t="shared" ref="P51" si="230">IF(C51=D51,0,((E51-D51)-(C51-E51))/(C51-D51))</f>
        <v>0.268656716417912</v>
      </c>
      <c r="Q51">
        <f t="shared" ref="Q51" si="231">F51*P51</f>
        <v>15787004.238806061</v>
      </c>
      <c r="R51">
        <f t="shared" ref="R51" si="232">R52+Q51</f>
        <v>-884675235.70226765</v>
      </c>
      <c r="S51">
        <f t="shared" ref="S51" si="233">R51/100000</f>
        <v>-8846.7523570226767</v>
      </c>
      <c r="T51">
        <f t="shared" ref="T51" si="234">S51/1000</f>
        <v>-8.8467523570226767</v>
      </c>
    </row>
    <row r="52" spans="1:20" x14ac:dyDescent="0.25">
      <c r="A52" s="5">
        <v>44541</v>
      </c>
      <c r="B52">
        <v>0.2253</v>
      </c>
      <c r="C52">
        <v>0.2321</v>
      </c>
      <c r="D52">
        <v>0.22450000000000001</v>
      </c>
      <c r="E52">
        <v>0.23069999999999999</v>
      </c>
      <c r="F52">
        <v>1639443</v>
      </c>
      <c r="G52">
        <v>0.23069999999999999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0.63157894736841758</v>
      </c>
      <c r="Q52">
        <f t="shared" ref="Q52" si="236">F52*P52</f>
        <v>1035437.6842105206</v>
      </c>
      <c r="R52">
        <f t="shared" ref="R52" si="237">R53+Q52</f>
        <v>-900462239.94107366</v>
      </c>
      <c r="S52">
        <f t="shared" ref="S52" si="238">R52/100000</f>
        <v>-9004.6223994107368</v>
      </c>
      <c r="T52">
        <f t="shared" ref="T52" si="239">S52/1000</f>
        <v>-9.0046223994107368</v>
      </c>
    </row>
    <row r="53" spans="1:20" x14ac:dyDescent="0.25">
      <c r="A53" s="5">
        <v>44540</v>
      </c>
      <c r="B53">
        <v>0.22819999999999999</v>
      </c>
      <c r="C53">
        <v>0.2409</v>
      </c>
      <c r="D53">
        <v>0.22500000000000001</v>
      </c>
      <c r="E53">
        <v>0.2253</v>
      </c>
      <c r="F53">
        <v>129834211</v>
      </c>
      <c r="G53">
        <v>0.2253</v>
      </c>
      <c r="L53" t="s">
        <v>8</v>
      </c>
      <c r="M53" t="s">
        <v>7</v>
      </c>
      <c r="N53" t="s">
        <v>7</v>
      </c>
      <c r="P53">
        <f t="shared" ref="P53" si="240">IF(C53=D53,0,((E53-D53)-(C53-E53))/(C53-D53))</f>
        <v>-0.9622641509433969</v>
      </c>
      <c r="Q53">
        <f t="shared" ref="Q53" si="241">F53*P53</f>
        <v>-124934806.81132084</v>
      </c>
      <c r="R53">
        <f t="shared" ref="R53" si="242">R54+Q53</f>
        <v>-901497677.62528419</v>
      </c>
      <c r="S53">
        <f t="shared" ref="S53" si="243">R53/100000</f>
        <v>-9014.9767762528427</v>
      </c>
      <c r="T53">
        <f t="shared" ref="T53" si="244">S53/1000</f>
        <v>-9.0149767762528423</v>
      </c>
    </row>
    <row r="54" spans="1:20" x14ac:dyDescent="0.25">
      <c r="A54" s="5">
        <v>44539</v>
      </c>
      <c r="B54">
        <v>0.25180000000000002</v>
      </c>
      <c r="C54">
        <v>0.255</v>
      </c>
      <c r="D54">
        <v>0.22450000000000001</v>
      </c>
      <c r="E54">
        <v>0.22839999999999999</v>
      </c>
      <c r="F54">
        <v>30238479</v>
      </c>
      <c r="G54">
        <v>0.22839999999999999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-0.74426229508196806</v>
      </c>
      <c r="Q54">
        <f t="shared" ref="Q54" si="246">F54*P54</f>
        <v>-22505359.780327894</v>
      </c>
      <c r="R54">
        <f t="shared" ref="R54" si="247">R55+Q54</f>
        <v>-776562870.81396341</v>
      </c>
      <c r="S54">
        <f t="shared" ref="S54" si="248">R54/100000</f>
        <v>-7765.628708139634</v>
      </c>
      <c r="T54">
        <f t="shared" ref="T54" si="249">S54/1000</f>
        <v>-7.7656287081396336</v>
      </c>
    </row>
    <row r="55" spans="1:20" x14ac:dyDescent="0.25">
      <c r="A55" s="5">
        <v>44538</v>
      </c>
      <c r="B55">
        <v>0.25059999999999999</v>
      </c>
      <c r="C55">
        <v>0.25409999999999999</v>
      </c>
      <c r="D55">
        <v>0.23419999999999999</v>
      </c>
      <c r="E55">
        <v>0.25169999999999998</v>
      </c>
      <c r="F55">
        <v>52902710</v>
      </c>
      <c r="G55">
        <v>0.25169999999999998</v>
      </c>
      <c r="L55" t="s">
        <v>7</v>
      </c>
      <c r="M55" t="s">
        <v>7</v>
      </c>
      <c r="N55" t="s">
        <v>7</v>
      </c>
      <c r="P55">
        <f t="shared" ref="P55" si="250">IF(C55=D55,0,((E55-D55)-(C55-E55))/(C55-D55))</f>
        <v>0.75879396984924496</v>
      </c>
      <c r="Q55">
        <f t="shared" ref="Q55" si="251">F55*P55</f>
        <v>40142257.336683348</v>
      </c>
      <c r="R55">
        <f t="shared" ref="R55" si="252">R56+Q55</f>
        <v>-754057511.0336355</v>
      </c>
      <c r="S55">
        <f t="shared" ref="S55" si="253">R55/100000</f>
        <v>-7540.5751103363546</v>
      </c>
      <c r="T55">
        <f t="shared" ref="T55" si="254">S55/1000</f>
        <v>-7.5405751103363547</v>
      </c>
    </row>
    <row r="56" spans="1:20" x14ac:dyDescent="0.25">
      <c r="A56" s="5">
        <v>44537</v>
      </c>
      <c r="B56">
        <v>0.25729999999999997</v>
      </c>
      <c r="C56">
        <v>0.26429999999999998</v>
      </c>
      <c r="D56">
        <v>0.24429999999999999</v>
      </c>
      <c r="E56">
        <v>0.2505</v>
      </c>
      <c r="F56">
        <v>68762406</v>
      </c>
      <c r="G56">
        <v>0.2505</v>
      </c>
      <c r="L56" t="s">
        <v>8</v>
      </c>
      <c r="M56" t="s">
        <v>7</v>
      </c>
      <c r="N56" t="s">
        <v>7</v>
      </c>
      <c r="P56">
        <f t="shared" ref="P56" si="255">IF(C56=D56,0,((E56-D56)-(C56-E56))/(C56-D56))</f>
        <v>-0.37999999999999856</v>
      </c>
      <c r="Q56">
        <f t="shared" ref="Q56" si="256">F56*P56</f>
        <v>-26129714.279999901</v>
      </c>
      <c r="R56">
        <f t="shared" ref="R56" si="257">R57+Q56</f>
        <v>-794199768.37031889</v>
      </c>
      <c r="S56">
        <f t="shared" ref="S56" si="258">R56/100000</f>
        <v>-7941.9976837031891</v>
      </c>
      <c r="T56">
        <f t="shared" ref="T56" si="259">S56/1000</f>
        <v>-7.9419976837031889</v>
      </c>
    </row>
    <row r="57" spans="1:20" x14ac:dyDescent="0.25">
      <c r="A57" s="5">
        <v>44536</v>
      </c>
      <c r="B57">
        <v>0.25819999999999999</v>
      </c>
      <c r="C57">
        <v>0.2712</v>
      </c>
      <c r="D57">
        <v>0.22409999999999999</v>
      </c>
      <c r="E57">
        <v>0.25690000000000002</v>
      </c>
      <c r="F57">
        <v>132043632</v>
      </c>
      <c r="G57">
        <v>0.25690000000000002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0.39278131634819624</v>
      </c>
      <c r="Q57">
        <f t="shared" ref="Q57" si="261">F57*P57</f>
        <v>51864271.592356808</v>
      </c>
      <c r="R57">
        <f t="shared" ref="R57" si="262">R58+Q57</f>
        <v>-768070054.09031904</v>
      </c>
      <c r="S57">
        <f t="shared" ref="S57" si="263">R57/100000</f>
        <v>-7680.7005409031908</v>
      </c>
      <c r="T57">
        <f t="shared" ref="T57" si="264">S57/1000</f>
        <v>-7.6807005409031905</v>
      </c>
    </row>
    <row r="58" spans="1:20" x14ac:dyDescent="0.25">
      <c r="A58" s="5">
        <v>44535</v>
      </c>
      <c r="B58">
        <v>0.2641</v>
      </c>
      <c r="C58">
        <v>0.2843</v>
      </c>
      <c r="D58">
        <v>0.24679999999999999</v>
      </c>
      <c r="E58">
        <v>0.25819999999999999</v>
      </c>
      <c r="F58">
        <v>37352546</v>
      </c>
      <c r="G58">
        <v>0.25819999999999999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-0.39200000000000046</v>
      </c>
      <c r="Q58">
        <f t="shared" ref="Q58" si="266">F58*P58</f>
        <v>-14642198.032000016</v>
      </c>
      <c r="R58">
        <f t="shared" ref="R58" si="267">R59+Q58</f>
        <v>-819934325.68267584</v>
      </c>
      <c r="S58">
        <f t="shared" ref="S58" si="268">R58/100000</f>
        <v>-8199.3432568267581</v>
      </c>
      <c r="T58">
        <f t="shared" ref="T58" si="269">S58/1000</f>
        <v>-8.1993432568267579</v>
      </c>
    </row>
    <row r="59" spans="1:20" x14ac:dyDescent="0.25">
      <c r="A59" s="5">
        <v>44534</v>
      </c>
      <c r="B59">
        <v>0.3135</v>
      </c>
      <c r="C59">
        <v>0.31369999999999998</v>
      </c>
      <c r="D59">
        <v>0.2</v>
      </c>
      <c r="E59">
        <v>0.26429999999999998</v>
      </c>
      <c r="F59">
        <v>90502569.299999997</v>
      </c>
      <c r="G59">
        <v>0.26429999999999998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0.13104661389621788</v>
      </c>
      <c r="Q59">
        <f t="shared" ref="Q59" si="271">F59*P59</f>
        <v>11860055.255672801</v>
      </c>
      <c r="R59">
        <f t="shared" ref="R59" si="272">R60+Q59</f>
        <v>-805292127.65067577</v>
      </c>
      <c r="S59">
        <f t="shared" ref="S59" si="273">R59/100000</f>
        <v>-8052.9212765067577</v>
      </c>
      <c r="T59">
        <f t="shared" ref="T59" si="274">S59/1000</f>
        <v>-8.0529212765067584</v>
      </c>
    </row>
    <row r="60" spans="1:20" x14ac:dyDescent="0.25">
      <c r="A60" s="5">
        <v>44533</v>
      </c>
      <c r="B60">
        <v>0.29670000000000002</v>
      </c>
      <c r="C60">
        <v>0.33600000000000002</v>
      </c>
      <c r="D60">
        <v>0.29549999999999998</v>
      </c>
      <c r="E60">
        <v>0.31369999999999998</v>
      </c>
      <c r="F60">
        <v>63793303</v>
      </c>
      <c r="G60">
        <v>0.31369999999999998</v>
      </c>
      <c r="L60" t="s">
        <v>8</v>
      </c>
      <c r="M60" t="s">
        <v>7</v>
      </c>
      <c r="N60" t="s">
        <v>7</v>
      </c>
      <c r="P60">
        <f t="shared" ref="P60" si="275">IF(C60=D60,0,((E60-D60)-(C60-E60))/(C60-D60))</f>
        <v>-0.10123456790123567</v>
      </c>
      <c r="Q60">
        <f t="shared" ref="Q60" si="276">F60*P60</f>
        <v>-6458087.4641976012</v>
      </c>
      <c r="R60">
        <f t="shared" ref="R60" si="277">R61+Q60</f>
        <v>-817152182.90634859</v>
      </c>
      <c r="S60">
        <f t="shared" ref="S60" si="278">R60/100000</f>
        <v>-8171.5218290634857</v>
      </c>
      <c r="T60">
        <f t="shared" ref="T60" si="279">S60/1000</f>
        <v>-8.1715218290634866</v>
      </c>
    </row>
    <row r="61" spans="1:20" x14ac:dyDescent="0.25">
      <c r="A61" s="5">
        <v>44532</v>
      </c>
      <c r="B61">
        <v>0.30409999999999998</v>
      </c>
      <c r="C61">
        <v>0.30409999999999998</v>
      </c>
      <c r="D61">
        <v>0.28649999999999998</v>
      </c>
      <c r="E61">
        <v>0.29670000000000002</v>
      </c>
      <c r="F61">
        <v>29431715</v>
      </c>
      <c r="G61">
        <v>0.29670000000000002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0.15909090909091361</v>
      </c>
      <c r="Q61">
        <f t="shared" ref="Q61" si="281">F61*P61</f>
        <v>4682318.2954546781</v>
      </c>
      <c r="R61">
        <f t="shared" ref="R61" si="282">R62+Q61</f>
        <v>-810694095.44215095</v>
      </c>
      <c r="S61">
        <f t="shared" ref="S61" si="283">R61/100000</f>
        <v>-8106.9409544215096</v>
      </c>
      <c r="T61">
        <f t="shared" ref="T61" si="284">S61/1000</f>
        <v>-8.1069409544215087</v>
      </c>
    </row>
    <row r="62" spans="1:20" x14ac:dyDescent="0.25">
      <c r="A62" s="5">
        <v>44531</v>
      </c>
      <c r="B62">
        <v>0.30599999999999999</v>
      </c>
      <c r="C62">
        <v>0.31240000000000001</v>
      </c>
      <c r="D62">
        <v>0.29699999999999999</v>
      </c>
      <c r="E62">
        <v>0.30420000000000003</v>
      </c>
      <c r="F62">
        <v>27539617</v>
      </c>
      <c r="G62">
        <v>0.30420000000000003</v>
      </c>
      <c r="L62" t="s">
        <v>8</v>
      </c>
      <c r="M62" t="s">
        <v>7</v>
      </c>
      <c r="N62" t="s">
        <v>7</v>
      </c>
      <c r="P62">
        <f t="shared" ref="P62" si="285">IF(C62=D62,0,((E62-D62)-(C62-E62))/(C62-D62))</f>
        <v>-6.4935064935061279E-2</v>
      </c>
      <c r="Q62">
        <f t="shared" ref="Q62" si="286">F62*P62</f>
        <v>-1788286.8181817175</v>
      </c>
      <c r="R62">
        <f t="shared" ref="R62" si="287">R63+Q62</f>
        <v>-815376413.73760557</v>
      </c>
      <c r="S62">
        <f t="shared" ref="S62" si="288">R62/100000</f>
        <v>-8153.7641373760562</v>
      </c>
      <c r="T62">
        <f t="shared" ref="T62" si="289">S62/1000</f>
        <v>-8.1537641373760561</v>
      </c>
    </row>
    <row r="63" spans="1:20" x14ac:dyDescent="0.25">
      <c r="A63" s="5">
        <v>44530</v>
      </c>
      <c r="B63">
        <v>0.3014</v>
      </c>
      <c r="C63">
        <v>0.3115</v>
      </c>
      <c r="D63">
        <v>0.2949</v>
      </c>
      <c r="E63">
        <v>0.30549999999999999</v>
      </c>
      <c r="F63">
        <v>26377290</v>
      </c>
      <c r="G63">
        <v>0.30549999999999999</v>
      </c>
      <c r="L63" t="s">
        <v>8</v>
      </c>
      <c r="M63" t="s">
        <v>7</v>
      </c>
      <c r="N63" t="s">
        <v>7</v>
      </c>
      <c r="P63">
        <f t="shared" ref="P63" si="290">IF(C63=D63,0,((E63-D63)-(C63-E63))/(C63-D63))</f>
        <v>0.27710843373493926</v>
      </c>
      <c r="Q63">
        <f t="shared" ref="Q63" si="291">F63*P63</f>
        <v>7309369.5180722764</v>
      </c>
      <c r="R63">
        <f t="shared" ref="R63" si="292">R64+Q63</f>
        <v>-813588126.91942382</v>
      </c>
      <c r="S63">
        <f t="shared" ref="S63" si="293">R63/100000</f>
        <v>-8135.8812691942385</v>
      </c>
      <c r="T63">
        <f t="shared" ref="T63" si="294">S63/1000</f>
        <v>-8.1358812691942379</v>
      </c>
    </row>
    <row r="64" spans="1:20" x14ac:dyDescent="0.25">
      <c r="A64" s="5">
        <v>44529</v>
      </c>
      <c r="B64">
        <v>0.30380000000000001</v>
      </c>
      <c r="C64">
        <v>0.307</v>
      </c>
      <c r="D64">
        <v>0.29730000000000001</v>
      </c>
      <c r="E64">
        <v>0.3014</v>
      </c>
      <c r="F64">
        <v>36610188</v>
      </c>
      <c r="G64">
        <v>0.3014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-0.15463917525773233</v>
      </c>
      <c r="Q64">
        <f t="shared" ref="Q64" si="296">F64*P64</f>
        <v>-5661369.2783505293</v>
      </c>
      <c r="R64">
        <f t="shared" ref="R64" si="297">R65+Q64</f>
        <v>-820897496.43749607</v>
      </c>
      <c r="S64">
        <f t="shared" ref="S64" si="298">R64/100000</f>
        <v>-8208.9749643749601</v>
      </c>
      <c r="T64">
        <f t="shared" ref="T64" si="299">S64/1000</f>
        <v>-8.2089749643749599</v>
      </c>
    </row>
    <row r="65" spans="1:20" x14ac:dyDescent="0.25">
      <c r="A65" s="5">
        <v>44528</v>
      </c>
      <c r="B65">
        <v>0.309</v>
      </c>
      <c r="C65">
        <v>0.31019999999999998</v>
      </c>
      <c r="D65">
        <v>0.2868</v>
      </c>
      <c r="E65">
        <v>0.30370000000000003</v>
      </c>
      <c r="F65">
        <v>29519270</v>
      </c>
      <c r="G65">
        <v>0.30370000000000003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0.44444444444444814</v>
      </c>
      <c r="Q65">
        <f t="shared" ref="Q65" si="301">F65*P65</f>
        <v>13119675.555555664</v>
      </c>
      <c r="R65">
        <f t="shared" ref="R65" si="302">R66+Q65</f>
        <v>-815236127.15914559</v>
      </c>
      <c r="S65">
        <f t="shared" ref="S65" si="303">R65/100000</f>
        <v>-8152.361271591456</v>
      </c>
      <c r="T65">
        <f t="shared" ref="T65" si="304">S65/1000</f>
        <v>-8.152361271591456</v>
      </c>
    </row>
    <row r="66" spans="1:20" x14ac:dyDescent="0.25">
      <c r="A66" s="5">
        <v>44527</v>
      </c>
      <c r="B66">
        <v>0.30520000000000003</v>
      </c>
      <c r="C66">
        <v>0.31669999999999998</v>
      </c>
      <c r="D66">
        <v>0.30220000000000002</v>
      </c>
      <c r="E66">
        <v>0.30930000000000002</v>
      </c>
      <c r="F66">
        <v>35184931</v>
      </c>
      <c r="G66">
        <v>0.30930000000000002</v>
      </c>
      <c r="L66" t="s">
        <v>7</v>
      </c>
      <c r="M66" t="s">
        <v>8</v>
      </c>
      <c r="N66" t="s">
        <v>8</v>
      </c>
      <c r="P66">
        <f t="shared" ref="P66" si="305">IF(C66=D66,0,((E66-D66)-(C66-E66))/(C66-D66))</f>
        <v>-2.0689655172411576E-2</v>
      </c>
      <c r="Q66">
        <f t="shared" ref="Q66" si="306">F66*P66</f>
        <v>-727964.08965509443</v>
      </c>
      <c r="R66">
        <f t="shared" ref="R66" si="307">R67+Q66</f>
        <v>-828355802.71470129</v>
      </c>
      <c r="S66">
        <f t="shared" ref="S66" si="308">R66/100000</f>
        <v>-8283.5580271470135</v>
      </c>
      <c r="T66">
        <f t="shared" ref="T66" si="309">S66/1000</f>
        <v>-8.2835580271470128</v>
      </c>
    </row>
    <row r="67" spans="1:20" x14ac:dyDescent="0.25">
      <c r="A67" s="5">
        <v>44526</v>
      </c>
      <c r="B67">
        <v>0.33629999999999999</v>
      </c>
      <c r="C67">
        <v>0.33679999999999999</v>
      </c>
      <c r="D67">
        <v>0.2979</v>
      </c>
      <c r="E67">
        <v>0.30499999999999999</v>
      </c>
      <c r="F67">
        <v>52765189</v>
      </c>
      <c r="G67">
        <v>0.30499999999999999</v>
      </c>
      <c r="L67" t="s">
        <v>7</v>
      </c>
      <c r="M67" t="s">
        <v>8</v>
      </c>
      <c r="N67" t="s">
        <v>8</v>
      </c>
      <c r="P67">
        <f t="shared" ref="P67" si="310">IF(C67=D67,0,((E67-D67)-(C67-E67))/(C67-D67))</f>
        <v>-0.63496143958868911</v>
      </c>
      <c r="Q67">
        <f t="shared" ref="Q67" si="311">F67*P67</f>
        <v>-33503860.367609262</v>
      </c>
      <c r="R67">
        <f t="shared" ref="R67" si="312">R68+Q67</f>
        <v>-827627838.62504625</v>
      </c>
      <c r="S67">
        <f t="shared" ref="S67" si="313">R67/100000</f>
        <v>-8276.2783862504621</v>
      </c>
      <c r="T67">
        <f t="shared" ref="T67" si="314">S67/1000</f>
        <v>-8.2762783862504623</v>
      </c>
    </row>
    <row r="68" spans="1:20" x14ac:dyDescent="0.25">
      <c r="A68" s="5">
        <v>44525</v>
      </c>
      <c r="B68">
        <v>0.31709999999999999</v>
      </c>
      <c r="C68">
        <v>0.34160000000000001</v>
      </c>
      <c r="D68">
        <v>0.31330000000000002</v>
      </c>
      <c r="E68">
        <v>0.33629999999999999</v>
      </c>
      <c r="F68">
        <v>33069578</v>
      </c>
      <c r="G68">
        <v>0.33629999999999999</v>
      </c>
      <c r="L68" t="s">
        <v>8</v>
      </c>
      <c r="M68" t="s">
        <v>8</v>
      </c>
      <c r="N68" t="s">
        <v>8</v>
      </c>
      <c r="P68">
        <f t="shared" ref="P68" si="315">IF(C68=D68,0,((E68-D68)-(C68-E68))/(C68-D68))</f>
        <v>0.62544169611307221</v>
      </c>
      <c r="Q68">
        <f t="shared" ref="Q68" si="316">F68*P68</f>
        <v>20683092.954063538</v>
      </c>
      <c r="R68">
        <f t="shared" ref="R68" si="317">R69+Q68</f>
        <v>-794123978.25743699</v>
      </c>
      <c r="S68">
        <f t="shared" ref="S68" si="318">R68/100000</f>
        <v>-7941.2397825743701</v>
      </c>
      <c r="T68">
        <f t="shared" ref="T68" si="319">S68/1000</f>
        <v>-7.9412397825743701</v>
      </c>
    </row>
    <row r="69" spans="1:20" x14ac:dyDescent="0.25">
      <c r="A69" s="5">
        <v>44524</v>
      </c>
      <c r="B69">
        <v>0.32269999999999999</v>
      </c>
      <c r="C69">
        <v>0.33100000000000002</v>
      </c>
      <c r="D69">
        <v>0.31659999999999999</v>
      </c>
      <c r="E69">
        <v>0.31879999999999997</v>
      </c>
      <c r="F69">
        <v>15036812</v>
      </c>
      <c r="G69">
        <v>0.31879999999999997</v>
      </c>
      <c r="L69" t="s">
        <v>8</v>
      </c>
      <c r="M69" t="s">
        <v>8</v>
      </c>
      <c r="N69" t="s">
        <v>8</v>
      </c>
      <c r="P69">
        <f t="shared" ref="P69" si="320">IF(C69=D69,0,((E69-D69)-(C69-E69))/(C69-D69))</f>
        <v>-0.69444444444444775</v>
      </c>
      <c r="Q69">
        <f t="shared" ref="Q69" si="321">F69*P69</f>
        <v>-10442230.555555604</v>
      </c>
      <c r="R69">
        <f t="shared" ref="R69" si="322">R70+Q69</f>
        <v>-814807071.21150053</v>
      </c>
      <c r="S69">
        <f t="shared" ref="S69" si="323">R69/100000</f>
        <v>-8148.0707121150053</v>
      </c>
      <c r="T69">
        <f t="shared" ref="T69" si="324">S69/1000</f>
        <v>-8.1480707121150058</v>
      </c>
    </row>
    <row r="70" spans="1:20" x14ac:dyDescent="0.25">
      <c r="A70" s="5">
        <v>44523</v>
      </c>
      <c r="B70">
        <v>0.30769999999999997</v>
      </c>
      <c r="C70">
        <v>0.3352</v>
      </c>
      <c r="D70">
        <v>0.30530000000000002</v>
      </c>
      <c r="E70">
        <v>0.32269999999999999</v>
      </c>
      <c r="F70">
        <v>60305471</v>
      </c>
      <c r="G70">
        <v>0.32269999999999999</v>
      </c>
      <c r="L70" t="s">
        <v>8</v>
      </c>
      <c r="M70" t="s">
        <v>8</v>
      </c>
      <c r="N70" t="s">
        <v>8</v>
      </c>
      <c r="P70">
        <f t="shared" ref="P70" si="325">IF(C70=D70,0,((E70-D70)-(C70-E70))/(C70-D70))</f>
        <v>0.16387959866220611</v>
      </c>
      <c r="Q70">
        <f t="shared" ref="Q70" si="326">F70*P70</f>
        <v>9882836.3846153095</v>
      </c>
      <c r="R70">
        <f t="shared" ref="R70" si="327">R71+Q70</f>
        <v>-804364840.65594494</v>
      </c>
      <c r="S70">
        <f t="shared" ref="S70" si="328">R70/100000</f>
        <v>-8043.6484065594495</v>
      </c>
      <c r="T70">
        <f t="shared" ref="T70" si="329">S70/1000</f>
        <v>-8.0436484065594502</v>
      </c>
    </row>
    <row r="71" spans="1:20" x14ac:dyDescent="0.25">
      <c r="A71" s="5">
        <v>44522</v>
      </c>
      <c r="B71">
        <v>0.32900000000000001</v>
      </c>
      <c r="C71">
        <v>0.33029999999999998</v>
      </c>
      <c r="D71">
        <v>0.30499999999999999</v>
      </c>
      <c r="E71">
        <v>0.30769999999999997</v>
      </c>
      <c r="F71">
        <v>31395315</v>
      </c>
      <c r="G71">
        <v>0.30769999999999997</v>
      </c>
      <c r="L71" t="s">
        <v>7</v>
      </c>
      <c r="M71" t="s">
        <v>8</v>
      </c>
      <c r="N71" t="s">
        <v>8</v>
      </c>
      <c r="P71">
        <f t="shared" ref="P71" si="330">IF(C71=D71,0,((E71-D71)-(C71-E71))/(C71-D71))</f>
        <v>-0.78656126482213584</v>
      </c>
      <c r="Q71">
        <f t="shared" ref="Q71" si="331">F71*P71</f>
        <v>-24694338.675889373</v>
      </c>
      <c r="R71">
        <f t="shared" ref="R71" si="332">R72+Q71</f>
        <v>-814247677.04056025</v>
      </c>
      <c r="S71">
        <f t="shared" ref="S71" si="333">R71/100000</f>
        <v>-8142.4767704056021</v>
      </c>
      <c r="T71">
        <f t="shared" ref="T71" si="334">S71/1000</f>
        <v>-8.1424767704056027</v>
      </c>
    </row>
    <row r="72" spans="1:20" x14ac:dyDescent="0.25">
      <c r="A72" s="5">
        <v>44521</v>
      </c>
      <c r="B72">
        <v>0.32829999999999998</v>
      </c>
      <c r="C72">
        <v>0.33629999999999999</v>
      </c>
      <c r="D72">
        <v>0.317</v>
      </c>
      <c r="E72">
        <v>0.3291</v>
      </c>
      <c r="F72">
        <v>37382977</v>
      </c>
      <c r="G72">
        <v>0.3291</v>
      </c>
      <c r="L72" t="s">
        <v>8</v>
      </c>
      <c r="M72" t="s">
        <v>8</v>
      </c>
      <c r="N72" t="s">
        <v>8</v>
      </c>
      <c r="P72">
        <f t="shared" ref="P72" si="335">IF(C72=D72,0,((E72-D72)-(C72-E72))/(C72-D72))</f>
        <v>0.25388601036269531</v>
      </c>
      <c r="Q72">
        <f t="shared" ref="Q72" si="336">F72*P72</f>
        <v>9491014.886010401</v>
      </c>
      <c r="R72">
        <f t="shared" ref="R72" si="337">R73+Q72</f>
        <v>-789553338.36467087</v>
      </c>
      <c r="S72">
        <f t="shared" ref="S72" si="338">R72/100000</f>
        <v>-7895.5333836467089</v>
      </c>
      <c r="T72">
        <f t="shared" ref="T72" si="339">S72/1000</f>
        <v>-7.8955333836467085</v>
      </c>
    </row>
    <row r="73" spans="1:20" x14ac:dyDescent="0.25">
      <c r="A73" s="5">
        <v>44520</v>
      </c>
      <c r="B73">
        <v>0.3231</v>
      </c>
      <c r="C73">
        <v>0.33150000000000002</v>
      </c>
      <c r="D73">
        <v>0.31580000000000003</v>
      </c>
      <c r="E73">
        <v>0.32850000000000001</v>
      </c>
      <c r="F73">
        <v>21538683</v>
      </c>
      <c r="G73">
        <v>0.32850000000000001</v>
      </c>
      <c r="L73" t="s">
        <v>8</v>
      </c>
      <c r="M73" t="s">
        <v>8</v>
      </c>
      <c r="N73" t="s">
        <v>8</v>
      </c>
      <c r="P73">
        <f t="shared" ref="P73" si="340">IF(C73=D73,0,((E73-D73)-(C73-E73))/(C73-D73))</f>
        <v>0.61783439490445802</v>
      </c>
      <c r="Q73">
        <f t="shared" ref="Q73" si="341">F73*P73</f>
        <v>13307339.178343937</v>
      </c>
      <c r="R73">
        <f t="shared" ref="R73" si="342">R74+Q73</f>
        <v>-799044353.25068128</v>
      </c>
      <c r="S73">
        <f t="shared" ref="S73" si="343">R73/100000</f>
        <v>-7990.4435325068125</v>
      </c>
      <c r="T73">
        <f t="shared" ref="T73" si="344">S73/1000</f>
        <v>-7.9904435325068128</v>
      </c>
    </row>
    <row r="74" spans="1:20" x14ac:dyDescent="0.25">
      <c r="A74" s="5">
        <v>44519</v>
      </c>
      <c r="B74">
        <v>0.308</v>
      </c>
      <c r="C74">
        <v>0.32419999999999999</v>
      </c>
      <c r="D74">
        <v>0.3004</v>
      </c>
      <c r="E74">
        <v>0.32279999999999998</v>
      </c>
      <c r="F74">
        <v>27488056</v>
      </c>
      <c r="G74">
        <v>0.32279999999999998</v>
      </c>
      <c r="L74" t="s">
        <v>8</v>
      </c>
      <c r="M74" t="s">
        <v>8</v>
      </c>
      <c r="N74" t="s">
        <v>8</v>
      </c>
      <c r="P74">
        <f t="shared" ref="P74" si="345">IF(C74=D74,0,((E74-D74)-(C74-E74))/(C74-D74))</f>
        <v>0.88235294117646945</v>
      </c>
      <c r="Q74">
        <f t="shared" ref="Q74" si="346">F74*P74</f>
        <v>24254167.0588235</v>
      </c>
      <c r="R74">
        <f t="shared" ref="R74" si="347">R75+Q74</f>
        <v>-812351692.42902517</v>
      </c>
      <c r="S74">
        <f t="shared" ref="S74" si="348">R74/100000</f>
        <v>-8123.5169242902521</v>
      </c>
      <c r="T74">
        <f t="shared" ref="T74" si="349">S74/1000</f>
        <v>-8.1235169242902519</v>
      </c>
    </row>
    <row r="75" spans="1:20" x14ac:dyDescent="0.25">
      <c r="A75" s="5">
        <v>44518</v>
      </c>
      <c r="B75">
        <v>0.33760000000000001</v>
      </c>
      <c r="C75">
        <v>0.34250000000000003</v>
      </c>
      <c r="D75">
        <v>0.29659999999999997</v>
      </c>
      <c r="E75">
        <v>0.308</v>
      </c>
      <c r="F75">
        <v>26013018</v>
      </c>
      <c r="G75">
        <v>0.308</v>
      </c>
      <c r="L75" t="s">
        <v>7</v>
      </c>
      <c r="M75" t="s">
        <v>8</v>
      </c>
      <c r="N75" t="s">
        <v>8</v>
      </c>
      <c r="P75">
        <f t="shared" ref="P75" si="350">IF(C75=D75,0,((E75-D75)-(C75-E75))/(C75-D75))</f>
        <v>-0.50326797385620881</v>
      </c>
      <c r="Q75">
        <f t="shared" ref="Q75" si="351">F75*P75</f>
        <v>-13091518.862745089</v>
      </c>
      <c r="R75">
        <f t="shared" ref="R75" si="352">R76+Q75</f>
        <v>-836605859.48784864</v>
      </c>
      <c r="S75">
        <f t="shared" ref="S75" si="353">R75/100000</f>
        <v>-8366.0585948784865</v>
      </c>
      <c r="T75">
        <f t="shared" ref="T75" si="354">S75/1000</f>
        <v>-8.3660585948784867</v>
      </c>
    </row>
    <row r="76" spans="1:20" x14ac:dyDescent="0.25">
      <c r="A76" s="5">
        <v>44517</v>
      </c>
      <c r="B76">
        <v>0.31169999999999998</v>
      </c>
      <c r="C76">
        <v>0.34029999999999999</v>
      </c>
      <c r="D76">
        <v>0.2999</v>
      </c>
      <c r="E76">
        <v>0.33760000000000001</v>
      </c>
      <c r="F76">
        <v>30550318</v>
      </c>
      <c r="G76">
        <v>0.33760000000000001</v>
      </c>
      <c r="L76" t="s">
        <v>8</v>
      </c>
      <c r="M76" t="s">
        <v>7</v>
      </c>
      <c r="N76" t="s">
        <v>8</v>
      </c>
      <c r="P76">
        <f t="shared" ref="P76" si="355">IF(C76=D76,0,((E76-D76)-(C76-E76))/(C76-D76))</f>
        <v>0.86633663366336733</v>
      </c>
      <c r="Q76">
        <f t="shared" ref="Q76" si="356">F76*P76</f>
        <v>26466859.653465375</v>
      </c>
      <c r="R76">
        <f t="shared" ref="R76" si="357">R77+Q76</f>
        <v>-823514340.62510359</v>
      </c>
      <c r="S76">
        <f t="shared" ref="S76" si="358">R76/100000</f>
        <v>-8235.1434062510361</v>
      </c>
      <c r="T76">
        <f t="shared" ref="T76" si="359">S76/1000</f>
        <v>-8.2351434062510354</v>
      </c>
    </row>
    <row r="77" spans="1:20" x14ac:dyDescent="0.25">
      <c r="A77" s="5">
        <v>44516</v>
      </c>
      <c r="B77">
        <v>0.33479999999999999</v>
      </c>
      <c r="C77">
        <v>0.33529999999999999</v>
      </c>
      <c r="D77">
        <v>0.29220000000000002</v>
      </c>
      <c r="E77">
        <v>0.31140000000000001</v>
      </c>
      <c r="F77">
        <v>27788853</v>
      </c>
      <c r="G77">
        <v>0.31140000000000001</v>
      </c>
      <c r="L77" t="s">
        <v>7</v>
      </c>
      <c r="M77" t="s">
        <v>7</v>
      </c>
      <c r="N77" t="s">
        <v>8</v>
      </c>
      <c r="P77">
        <f t="shared" ref="P77" si="360">IF(C77=D77,0,((E77-D77)-(C77-E77))/(C77-D77))</f>
        <v>-0.10904872389791148</v>
      </c>
      <c r="Q77">
        <f t="shared" ref="Q77" si="361">F77*P77</f>
        <v>-3030338.9582366492</v>
      </c>
      <c r="R77">
        <f t="shared" ref="R77" si="362">R78+Q77</f>
        <v>-849981200.27856898</v>
      </c>
      <c r="S77">
        <f t="shared" ref="S77" si="363">R77/100000</f>
        <v>-8499.8120027856894</v>
      </c>
      <c r="T77">
        <f t="shared" ref="T77" si="364">S77/1000</f>
        <v>-8.4998120027856903</v>
      </c>
    </row>
    <row r="78" spans="1:20" x14ac:dyDescent="0.25">
      <c r="A78" s="5">
        <v>44515</v>
      </c>
      <c r="B78">
        <v>0.33360000000000001</v>
      </c>
      <c r="C78">
        <v>0.34810000000000002</v>
      </c>
      <c r="D78">
        <v>0.32819999999999999</v>
      </c>
      <c r="E78">
        <v>0.3347</v>
      </c>
      <c r="F78">
        <v>28002606</v>
      </c>
      <c r="G78">
        <v>0.3347</v>
      </c>
      <c r="L78" t="s">
        <v>7</v>
      </c>
      <c r="M78" t="s">
        <v>7</v>
      </c>
      <c r="N78" t="s">
        <v>8</v>
      </c>
      <c r="P78">
        <f t="shared" ref="P78" si="365">IF(C78=D78,0,((E78-D78)-(C78-E78))/(C78-D78))</f>
        <v>-0.34673366834170893</v>
      </c>
      <c r="Q78">
        <f t="shared" ref="Q78" si="366">F78*P78</f>
        <v>-9709446.3015075494</v>
      </c>
      <c r="R78">
        <f t="shared" ref="R78" si="367">R79+Q78</f>
        <v>-846950861.32033229</v>
      </c>
      <c r="S78">
        <f t="shared" ref="S78" si="368">R78/100000</f>
        <v>-8469.508613203323</v>
      </c>
      <c r="T78">
        <f t="shared" ref="T78" si="369">S78/1000</f>
        <v>-8.4695086132033222</v>
      </c>
    </row>
    <row r="79" spans="1:20" x14ac:dyDescent="0.25">
      <c r="A79" s="5">
        <v>44514</v>
      </c>
      <c r="B79">
        <v>0.34</v>
      </c>
      <c r="C79">
        <v>0.34060000000000001</v>
      </c>
      <c r="D79">
        <v>0.32600000000000001</v>
      </c>
      <c r="E79">
        <v>0.33360000000000001</v>
      </c>
      <c r="F79">
        <v>44894353</v>
      </c>
      <c r="G79">
        <v>0.33360000000000001</v>
      </c>
      <c r="L79" t="s">
        <v>7</v>
      </c>
      <c r="M79" t="s">
        <v>7</v>
      </c>
      <c r="N79" t="s">
        <v>8</v>
      </c>
      <c r="P79">
        <f t="shared" ref="P79" si="370">IF(C79=D79,0,((E79-D79)-(C79-E79))/(C79-D79))</f>
        <v>4.1095890410958173E-2</v>
      </c>
      <c r="Q79">
        <f t="shared" ref="Q79" si="371">F79*P79</f>
        <v>1844973.4109588712</v>
      </c>
      <c r="R79">
        <f t="shared" ref="R79" si="372">R80+Q79</f>
        <v>-837241415.0188247</v>
      </c>
      <c r="S79">
        <f t="shared" ref="S79" si="373">R79/100000</f>
        <v>-8372.4141501882477</v>
      </c>
      <c r="T79">
        <f t="shared" ref="T79" si="374">S79/1000</f>
        <v>-8.3724141501882485</v>
      </c>
    </row>
    <row r="80" spans="1:20" x14ac:dyDescent="0.25">
      <c r="A80" s="5">
        <v>44513</v>
      </c>
      <c r="B80">
        <v>0.34489999999999998</v>
      </c>
      <c r="C80">
        <v>0.34770000000000001</v>
      </c>
      <c r="D80">
        <v>0.3377</v>
      </c>
      <c r="E80">
        <v>0.33989999999999998</v>
      </c>
      <c r="F80">
        <v>18813449</v>
      </c>
      <c r="G80">
        <v>0.33989999999999998</v>
      </c>
      <c r="L80" t="s">
        <v>7</v>
      </c>
      <c r="M80" t="s">
        <v>7</v>
      </c>
      <c r="N80" t="s">
        <v>8</v>
      </c>
      <c r="P80">
        <f t="shared" ref="P80" si="375">IF(C80=D80,0,((E80-D80)-(C80-E80))/(C80-D80))</f>
        <v>-0.56000000000000449</v>
      </c>
      <c r="Q80">
        <f t="shared" ref="Q80" si="376">F80*P80</f>
        <v>-10535531.440000085</v>
      </c>
      <c r="R80">
        <f t="shared" ref="R80" si="377">R81+Q80</f>
        <v>-839086388.42978358</v>
      </c>
      <c r="S80">
        <f t="shared" ref="S80" si="378">R80/100000</f>
        <v>-8390.8638842978362</v>
      </c>
      <c r="T80">
        <f t="shared" ref="T80" si="379">S80/1000</f>
        <v>-8.3908638842978363</v>
      </c>
    </row>
    <row r="81" spans="1:20" x14ac:dyDescent="0.25">
      <c r="A81" s="5">
        <v>44512</v>
      </c>
      <c r="B81">
        <v>0.34699999999999998</v>
      </c>
      <c r="C81">
        <v>0.35220000000000001</v>
      </c>
      <c r="D81">
        <v>0.33169999999999999</v>
      </c>
      <c r="E81">
        <v>0.34489999999999998</v>
      </c>
      <c r="F81">
        <v>38939919</v>
      </c>
      <c r="G81">
        <v>0.34489999999999998</v>
      </c>
      <c r="L81" t="s">
        <v>7</v>
      </c>
      <c r="M81" t="s">
        <v>7</v>
      </c>
      <c r="N81" t="s">
        <v>8</v>
      </c>
      <c r="P81">
        <f t="shared" ref="P81" si="380">IF(C81=D81,0,((E81-D81)-(C81-E81))/(C81-D81))</f>
        <v>0.2878048780487783</v>
      </c>
      <c r="Q81">
        <f t="shared" ref="Q81" si="381">F81*P81</f>
        <v>11207098.639024304</v>
      </c>
      <c r="R81">
        <f t="shared" ref="R81" si="382">R82+Q81</f>
        <v>-828550856.98978353</v>
      </c>
      <c r="S81">
        <f t="shared" ref="S81" si="383">R81/100000</f>
        <v>-8285.5085698978346</v>
      </c>
      <c r="T81">
        <f t="shared" ref="T81" si="384">S81/1000</f>
        <v>-8.2855085698978339</v>
      </c>
    </row>
    <row r="82" spans="1:20" x14ac:dyDescent="0.25">
      <c r="A82" s="5">
        <v>44511</v>
      </c>
      <c r="B82">
        <v>0.3473</v>
      </c>
      <c r="C82">
        <v>0.35049999999999998</v>
      </c>
      <c r="D82">
        <v>0.33679999999999999</v>
      </c>
      <c r="E82">
        <v>0.34699999999999998</v>
      </c>
      <c r="F82">
        <v>35739196</v>
      </c>
      <c r="G82">
        <v>0.34699999999999998</v>
      </c>
      <c r="L82" t="s">
        <v>7</v>
      </c>
      <c r="M82" t="s">
        <v>7</v>
      </c>
      <c r="N82" t="s">
        <v>8</v>
      </c>
      <c r="P82">
        <f t="shared" ref="P82" si="385">IF(C82=D82,0,((E82-D82)-(C82-E82))/(C82-D82))</f>
        <v>0.48905109489051013</v>
      </c>
      <c r="Q82">
        <f t="shared" ref="Q82" si="386">F82*P82</f>
        <v>17478292.93430654</v>
      </c>
      <c r="R82">
        <f t="shared" ref="R82" si="387">R83+Q82</f>
        <v>-839757955.62880778</v>
      </c>
      <c r="S82">
        <f t="shared" ref="S82" si="388">R82/100000</f>
        <v>-8397.5795562880776</v>
      </c>
      <c r="T82">
        <f t="shared" ref="T82" si="389">S82/1000</f>
        <v>-8.3975795562880773</v>
      </c>
    </row>
    <row r="83" spans="1:20" x14ac:dyDescent="0.25">
      <c r="A83" s="5">
        <v>44510</v>
      </c>
      <c r="B83">
        <v>0.37630000000000002</v>
      </c>
      <c r="C83">
        <v>0.38390000000000002</v>
      </c>
      <c r="D83">
        <v>0.3337</v>
      </c>
      <c r="E83">
        <v>0.34749999999999998</v>
      </c>
      <c r="F83">
        <v>59152379</v>
      </c>
      <c r="G83">
        <v>0.34749999999999998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-0.45019920318725209</v>
      </c>
      <c r="Q83">
        <f t="shared" ref="Q83" si="391">F83*P83</f>
        <v>-26630353.892430343</v>
      </c>
      <c r="R83">
        <f t="shared" ref="R83" si="392">R84+Q83</f>
        <v>-857236248.56311429</v>
      </c>
      <c r="S83">
        <f t="shared" ref="S83" si="393">R83/100000</f>
        <v>-8572.3624856311435</v>
      </c>
      <c r="T83">
        <f t="shared" ref="T83" si="394">S83/1000</f>
        <v>-8.5723624856311442</v>
      </c>
    </row>
    <row r="84" spans="1:20" x14ac:dyDescent="0.25">
      <c r="A84" s="5">
        <v>44509</v>
      </c>
      <c r="B84">
        <v>0.38490000000000002</v>
      </c>
      <c r="C84">
        <v>0.39679999999999999</v>
      </c>
      <c r="D84">
        <v>0.372</v>
      </c>
      <c r="E84">
        <v>0.37619999999999998</v>
      </c>
      <c r="F84">
        <v>43414726</v>
      </c>
      <c r="G84">
        <v>0.37619999999999998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-0.66129032258064646</v>
      </c>
      <c r="Q84">
        <f t="shared" ref="Q84" si="396">F84*P84</f>
        <v>-28709738.161290377</v>
      </c>
      <c r="R84">
        <f t="shared" ref="R84" si="397">R85+Q84</f>
        <v>-830605894.67068398</v>
      </c>
      <c r="S84">
        <f t="shared" ref="S84" si="398">R84/100000</f>
        <v>-8306.0589467068403</v>
      </c>
      <c r="T84">
        <f t="shared" ref="T84" si="399">S84/1000</f>
        <v>-8.3060589467068411</v>
      </c>
    </row>
    <row r="85" spans="1:20" x14ac:dyDescent="0.25">
      <c r="A85" s="5">
        <v>44508</v>
      </c>
      <c r="B85">
        <v>0.38450000000000001</v>
      </c>
      <c r="C85">
        <v>0.39660000000000001</v>
      </c>
      <c r="D85">
        <v>0.3775</v>
      </c>
      <c r="E85">
        <v>0.38479999999999998</v>
      </c>
      <c r="F85">
        <v>69730581</v>
      </c>
      <c r="G85">
        <v>0.38479999999999998</v>
      </c>
      <c r="L85" t="s">
        <v>8</v>
      </c>
      <c r="M85" t="s">
        <v>8</v>
      </c>
      <c r="N85" t="s">
        <v>8</v>
      </c>
      <c r="P85">
        <f t="shared" ref="P85" si="400">IF(C85=D85,0,((E85-D85)-(C85-E85))/(C85-D85))</f>
        <v>-0.23560209424084075</v>
      </c>
      <c r="Q85">
        <f t="shared" ref="Q85" si="401">F85*P85</f>
        <v>-16428670.91623058</v>
      </c>
      <c r="R85">
        <f t="shared" ref="R85" si="402">R86+Q85</f>
        <v>-801896156.50939357</v>
      </c>
      <c r="S85">
        <f t="shared" ref="S85" si="403">R85/100000</f>
        <v>-8018.9615650939359</v>
      </c>
      <c r="T85">
        <f t="shared" ref="T85" si="404">S85/1000</f>
        <v>-8.0189615650939352</v>
      </c>
    </row>
    <row r="86" spans="1:20" x14ac:dyDescent="0.25">
      <c r="A86" s="5">
        <v>44507</v>
      </c>
      <c r="B86">
        <v>0.38069999999999998</v>
      </c>
      <c r="C86">
        <v>0.3876</v>
      </c>
      <c r="D86">
        <v>0.37309999999999999</v>
      </c>
      <c r="E86">
        <v>0.38440000000000002</v>
      </c>
      <c r="F86">
        <v>41385377</v>
      </c>
      <c r="G86">
        <v>0.38440000000000002</v>
      </c>
      <c r="L86" t="s">
        <v>8</v>
      </c>
      <c r="M86" t="s">
        <v>7</v>
      </c>
      <c r="N86" t="s">
        <v>8</v>
      </c>
      <c r="P86">
        <f t="shared" ref="P86" si="405">IF(C86=D86,0,((E86-D86)-(C86-E86))/(C86-D86))</f>
        <v>0.55862068965517553</v>
      </c>
      <c r="Q86">
        <f t="shared" ref="Q86" si="406">F86*P86</f>
        <v>23118727.841379438</v>
      </c>
      <c r="R86">
        <f t="shared" ref="R86" si="407">R87+Q86</f>
        <v>-785467485.59316301</v>
      </c>
      <c r="S86">
        <f t="shared" ref="S86" si="408">R86/100000</f>
        <v>-7854.6748559316302</v>
      </c>
      <c r="T86">
        <f t="shared" ref="T86" si="409">S86/1000</f>
        <v>-7.8546748559316306</v>
      </c>
    </row>
    <row r="87" spans="1:20" x14ac:dyDescent="0.25">
      <c r="A87" s="5">
        <v>44506</v>
      </c>
      <c r="B87">
        <v>0.37509999999999999</v>
      </c>
      <c r="C87">
        <v>0.38700000000000001</v>
      </c>
      <c r="D87">
        <v>0.3664</v>
      </c>
      <c r="E87">
        <v>0.38080000000000003</v>
      </c>
      <c r="F87">
        <v>46777456</v>
      </c>
      <c r="G87">
        <v>0.38080000000000003</v>
      </c>
      <c r="L87" t="s">
        <v>8</v>
      </c>
      <c r="M87" t="s">
        <v>7</v>
      </c>
      <c r="N87" t="s">
        <v>8</v>
      </c>
      <c r="P87">
        <f t="shared" ref="P87" si="410">IF(C87=D87,0,((E87-D87)-(C87-E87))/(C87-D87))</f>
        <v>0.39805825242718629</v>
      </c>
      <c r="Q87">
        <f t="shared" ref="Q87" si="411">F87*P87</f>
        <v>18620152.3883496</v>
      </c>
      <c r="R87">
        <f t="shared" ref="R87" si="412">R88+Q87</f>
        <v>-808586213.43454242</v>
      </c>
      <c r="S87">
        <f t="shared" ref="S87" si="413">R87/100000</f>
        <v>-8085.8621343454242</v>
      </c>
      <c r="T87">
        <f t="shared" ref="T87" si="414">S87/1000</f>
        <v>-8.0858621343454242</v>
      </c>
    </row>
    <row r="88" spans="1:20" x14ac:dyDescent="0.25">
      <c r="A88" s="5">
        <v>44505</v>
      </c>
      <c r="B88">
        <v>0.36749999999999999</v>
      </c>
      <c r="C88">
        <v>0.38500000000000001</v>
      </c>
      <c r="D88">
        <v>0.36199999999999999</v>
      </c>
      <c r="E88">
        <v>0.37519999999999998</v>
      </c>
      <c r="F88">
        <v>30156631</v>
      </c>
      <c r="G88">
        <v>0.37519999999999998</v>
      </c>
      <c r="L88" t="s">
        <v>7</v>
      </c>
      <c r="M88" t="s">
        <v>7</v>
      </c>
      <c r="N88" t="s">
        <v>8</v>
      </c>
      <c r="P88">
        <f t="shared" ref="P88" si="415">IF(C88=D88,0,((E88-D88)-(C88-E88))/(C88-D88))</f>
        <v>0.1478260869565198</v>
      </c>
      <c r="Q88">
        <f t="shared" ref="Q88" si="416">F88*P88</f>
        <v>4457936.7565216804</v>
      </c>
      <c r="R88">
        <f t="shared" ref="R88" si="417">R89+Q88</f>
        <v>-827206365.82289207</v>
      </c>
      <c r="S88">
        <f t="shared" ref="S88" si="418">R88/100000</f>
        <v>-8272.0636582289208</v>
      </c>
      <c r="T88">
        <f t="shared" ref="T88" si="419">S88/1000</f>
        <v>-8.2720636582289213</v>
      </c>
    </row>
    <row r="89" spans="1:20" x14ac:dyDescent="0.25">
      <c r="A89" s="5">
        <v>44504</v>
      </c>
      <c r="B89">
        <v>0.37380000000000002</v>
      </c>
      <c r="C89">
        <v>0.39</v>
      </c>
      <c r="D89">
        <v>0.3579</v>
      </c>
      <c r="E89">
        <v>0.36759999999999998</v>
      </c>
      <c r="F89">
        <v>57095209</v>
      </c>
      <c r="G89">
        <v>0.36759999999999998</v>
      </c>
      <c r="L89" t="s">
        <v>8</v>
      </c>
      <c r="M89" t="s">
        <v>7</v>
      </c>
      <c r="N89" t="s">
        <v>8</v>
      </c>
      <c r="P89">
        <f t="shared" ref="P89" si="420">IF(C89=D89,0,((E89-D89)-(C89-E89))/(C89-D89))</f>
        <v>-0.39563862928349025</v>
      </c>
      <c r="Q89">
        <f t="shared" ref="Q89" si="421">F89*P89</f>
        <v>-22589070.227414396</v>
      </c>
      <c r="R89">
        <f t="shared" ref="R89" si="422">R90+Q89</f>
        <v>-831664302.57941377</v>
      </c>
      <c r="S89">
        <f t="shared" ref="S89" si="423">R89/100000</f>
        <v>-8316.6430257941374</v>
      </c>
      <c r="T89">
        <f t="shared" ref="T89" si="424">S89/1000</f>
        <v>-8.3166430257941375</v>
      </c>
    </row>
    <row r="90" spans="1:20" x14ac:dyDescent="0.25">
      <c r="A90" s="5">
        <v>44503</v>
      </c>
      <c r="B90">
        <v>0.36030000000000001</v>
      </c>
      <c r="C90">
        <v>0.375</v>
      </c>
      <c r="D90">
        <v>0.3488</v>
      </c>
      <c r="E90">
        <v>0.374</v>
      </c>
      <c r="F90">
        <v>51390343</v>
      </c>
      <c r="G90">
        <v>0.374</v>
      </c>
      <c r="L90" t="s">
        <v>8</v>
      </c>
      <c r="M90" t="s">
        <v>7</v>
      </c>
      <c r="N90" t="s">
        <v>8</v>
      </c>
      <c r="P90">
        <f t="shared" ref="P90" si="425">IF(C90=D90,0,((E90-D90)-(C90-E90))/(C90-D90))</f>
        <v>0.92366412213740456</v>
      </c>
      <c r="Q90">
        <f t="shared" ref="Q90" si="426">F90*P90</f>
        <v>47467416.053435117</v>
      </c>
      <c r="R90">
        <f t="shared" ref="R90" si="427">R91+Q90</f>
        <v>-809075232.3519994</v>
      </c>
      <c r="S90">
        <f t="shared" ref="S90" si="428">R90/100000</f>
        <v>-8090.7523235199942</v>
      </c>
      <c r="T90">
        <f t="shared" ref="T90" si="429">S90/1000</f>
        <v>-8.090752323519995</v>
      </c>
    </row>
    <row r="91" spans="1:20" x14ac:dyDescent="0.25">
      <c r="A91" s="5">
        <v>44502</v>
      </c>
      <c r="B91">
        <v>0.34939999999999999</v>
      </c>
      <c r="C91">
        <v>0.36990000000000001</v>
      </c>
      <c r="D91">
        <v>0.34350000000000003</v>
      </c>
      <c r="E91">
        <v>0.36030000000000001</v>
      </c>
      <c r="F91">
        <v>39133569</v>
      </c>
      <c r="G91">
        <v>0.36030000000000001</v>
      </c>
      <c r="L91" t="s">
        <v>8</v>
      </c>
      <c r="M91" t="s">
        <v>7</v>
      </c>
      <c r="N91" t="s">
        <v>8</v>
      </c>
      <c r="P91">
        <f t="shared" ref="P91" si="430">IF(C91=D91,0,((E91-D91)-(C91-E91))/(C91-D91))</f>
        <v>0.27272727272727232</v>
      </c>
      <c r="Q91">
        <f t="shared" ref="Q91" si="431">F91*P91</f>
        <v>10672791.54545453</v>
      </c>
      <c r="R91">
        <f t="shared" ref="R91" si="432">R92+Q91</f>
        <v>-856542648.40543449</v>
      </c>
      <c r="S91">
        <f t="shared" ref="S91" si="433">R91/100000</f>
        <v>-8565.4264840543456</v>
      </c>
      <c r="T91">
        <f t="shared" ref="T91" si="434">S91/1000</f>
        <v>-8.5654264840543455</v>
      </c>
    </row>
    <row r="92" spans="1:20" x14ac:dyDescent="0.25">
      <c r="A92" s="5">
        <v>44501</v>
      </c>
      <c r="B92">
        <v>0.35360000000000003</v>
      </c>
      <c r="C92">
        <v>0.35730000000000001</v>
      </c>
      <c r="D92">
        <v>0.33960000000000001</v>
      </c>
      <c r="E92">
        <v>0.34949999999999998</v>
      </c>
      <c r="F92">
        <v>50144020</v>
      </c>
      <c r="G92">
        <v>0.34949999999999998</v>
      </c>
      <c r="L92" t="s">
        <v>7</v>
      </c>
      <c r="M92" t="s">
        <v>7</v>
      </c>
      <c r="N92" t="s">
        <v>8</v>
      </c>
      <c r="P92">
        <f t="shared" ref="P92" si="435">IF(C92=D92,0,((E92-D92)-(C92-E92))/(C92-D92))</f>
        <v>0.11864406779660655</v>
      </c>
      <c r="Q92">
        <f t="shared" ref="Q92" si="436">F92*P92</f>
        <v>5949290.5084743947</v>
      </c>
      <c r="R92">
        <f t="shared" ref="R92" si="437">R93+Q92</f>
        <v>-867215439.95088899</v>
      </c>
      <c r="S92">
        <f t="shared" ref="S92" si="438">R92/100000</f>
        <v>-8672.1543995088905</v>
      </c>
      <c r="T92">
        <f t="shared" ref="T92" si="439">S92/1000</f>
        <v>-8.6721543995088908</v>
      </c>
    </row>
    <row r="93" spans="1:20" x14ac:dyDescent="0.25">
      <c r="A93" s="5">
        <v>44500</v>
      </c>
      <c r="B93">
        <v>0.38700000000000001</v>
      </c>
      <c r="C93">
        <v>0.39679999999999999</v>
      </c>
      <c r="D93">
        <v>0.34039999999999998</v>
      </c>
      <c r="E93">
        <v>0.3533</v>
      </c>
      <c r="F93">
        <v>72462004</v>
      </c>
      <c r="G93">
        <v>0.3533</v>
      </c>
      <c r="L93" t="s">
        <v>7</v>
      </c>
      <c r="M93" t="s">
        <v>8</v>
      </c>
      <c r="N93" t="s">
        <v>8</v>
      </c>
      <c r="P93">
        <f t="shared" ref="P93" si="440">IF(C93=D93,0,((E93-D93)-(C93-E93))/(C93-D93))</f>
        <v>-0.54255319148936099</v>
      </c>
      <c r="Q93">
        <f t="shared" ref="Q93" si="441">F93*P93</f>
        <v>-39314491.531914845</v>
      </c>
      <c r="R93">
        <f t="shared" ref="R93" si="442">R94+Q93</f>
        <v>-873164730.45936334</v>
      </c>
      <c r="S93">
        <f t="shared" ref="S93" si="443">R93/100000</f>
        <v>-8731.6473045936327</v>
      </c>
      <c r="T93">
        <f t="shared" ref="T93" si="444">S93/1000</f>
        <v>-8.7316473045936327</v>
      </c>
    </row>
    <row r="94" spans="1:20" x14ac:dyDescent="0.25">
      <c r="A94" s="5">
        <v>44499</v>
      </c>
      <c r="B94">
        <v>0.35599999999999998</v>
      </c>
      <c r="C94">
        <v>0.39500000000000002</v>
      </c>
      <c r="D94">
        <v>0.33700000000000002</v>
      </c>
      <c r="E94">
        <v>0.38690000000000002</v>
      </c>
      <c r="F94">
        <v>85216678</v>
      </c>
      <c r="G94">
        <v>0.38690000000000002</v>
      </c>
      <c r="L94" t="s">
        <v>8</v>
      </c>
      <c r="M94" t="s">
        <v>8</v>
      </c>
      <c r="N94" t="s">
        <v>8</v>
      </c>
      <c r="P94">
        <f t="shared" ref="P94" si="445">IF(C94=D94,0,((E94-D94)-(C94-E94))/(C94-D94))</f>
        <v>0.7206896551724139</v>
      </c>
      <c r="Q94">
        <f t="shared" ref="Q94" si="446">F94*P94</f>
        <v>61414778.282758631</v>
      </c>
      <c r="R94">
        <f t="shared" ref="R94" si="447">R95+Q94</f>
        <v>-833850238.92744851</v>
      </c>
      <c r="S94">
        <f t="shared" ref="S94" si="448">R94/100000</f>
        <v>-8338.5023892744848</v>
      </c>
      <c r="T94">
        <f t="shared" ref="T94" si="449">S94/1000</f>
        <v>-8.3385023892744847</v>
      </c>
    </row>
    <row r="95" spans="1:20" x14ac:dyDescent="0.25">
      <c r="A95" s="5">
        <v>44498</v>
      </c>
      <c r="B95">
        <v>0.32300000000000001</v>
      </c>
      <c r="C95">
        <v>0.35880000000000001</v>
      </c>
      <c r="D95">
        <v>0.31900000000000001</v>
      </c>
      <c r="E95">
        <v>0.35589999999999999</v>
      </c>
      <c r="F95">
        <v>79651975</v>
      </c>
      <c r="G95">
        <v>0.35589999999999999</v>
      </c>
      <c r="L95" t="s">
        <v>8</v>
      </c>
      <c r="M95" t="s">
        <v>8</v>
      </c>
      <c r="N95" t="s">
        <v>8</v>
      </c>
      <c r="P95">
        <f t="shared" ref="P95" si="450">IF(C95=D95,0,((E95-D95)-(C95-E95))/(C95-D95))</f>
        <v>0.85427135678391897</v>
      </c>
      <c r="Q95">
        <f t="shared" ref="Q95" si="451">F95*P95</f>
        <v>68044400.753768787</v>
      </c>
      <c r="R95">
        <f t="shared" ref="R95" si="452">R96+Q95</f>
        <v>-895265017.2102071</v>
      </c>
      <c r="S95">
        <f t="shared" ref="S95" si="453">R95/100000</f>
        <v>-8952.6501721020704</v>
      </c>
      <c r="T95">
        <f t="shared" ref="T95" si="454">S95/1000</f>
        <v>-8.9526501721020697</v>
      </c>
    </row>
    <row r="96" spans="1:20" x14ac:dyDescent="0.25">
      <c r="A96" s="5">
        <v>44497</v>
      </c>
      <c r="B96">
        <v>0.3125</v>
      </c>
      <c r="C96">
        <v>0.33150000000000002</v>
      </c>
      <c r="D96">
        <v>0.29110000000000003</v>
      </c>
      <c r="E96">
        <v>0.32329999999999998</v>
      </c>
      <c r="F96">
        <v>54392261</v>
      </c>
      <c r="G96">
        <v>0.32329999999999998</v>
      </c>
      <c r="L96" t="s">
        <v>7</v>
      </c>
      <c r="M96" t="s">
        <v>7</v>
      </c>
      <c r="N96" t="s">
        <v>8</v>
      </c>
      <c r="P96">
        <f t="shared" ref="P96" si="455">IF(C96=D96,0,((E96-D96)-(C96-E96))/(C96-D96))</f>
        <v>0.59405940594059192</v>
      </c>
      <c r="Q96">
        <f t="shared" ref="Q96" si="456">F96*P96</f>
        <v>32312234.257425625</v>
      </c>
      <c r="R96">
        <f t="shared" ref="R96" si="457">R97+Q96</f>
        <v>-963309417.96397591</v>
      </c>
      <c r="S96">
        <f t="shared" ref="S96" si="458">R96/100000</f>
        <v>-9633.0941796397583</v>
      </c>
      <c r="T96">
        <f t="shared" ref="T96" si="459">S96/1000</f>
        <v>-9.6330941796397589</v>
      </c>
    </row>
    <row r="97" spans="1:20" x14ac:dyDescent="0.25">
      <c r="A97" s="5">
        <v>44496</v>
      </c>
      <c r="B97">
        <v>0.33019999999999999</v>
      </c>
      <c r="C97">
        <v>0.3639</v>
      </c>
      <c r="D97">
        <v>0.28299999999999997</v>
      </c>
      <c r="E97">
        <v>0.31219999999999998</v>
      </c>
      <c r="F97">
        <v>108633304</v>
      </c>
      <c r="G97">
        <v>0.31219999999999998</v>
      </c>
      <c r="L97" t="s">
        <v>8</v>
      </c>
      <c r="M97" t="s">
        <v>8</v>
      </c>
      <c r="N97" t="s">
        <v>8</v>
      </c>
      <c r="P97">
        <f t="shared" ref="P97" si="460">IF(C97=D97,0,((E97-D97)-(C97-E97))/(C97-D97))</f>
        <v>-0.27812113720642784</v>
      </c>
      <c r="Q97">
        <f t="shared" ref="Q97" si="461">F97*P97</f>
        <v>-30213218.046971586</v>
      </c>
      <c r="R97">
        <f t="shared" ref="R97" si="462">R98+Q97</f>
        <v>-995621652.22140157</v>
      </c>
      <c r="S97">
        <f t="shared" ref="S97" si="463">R97/100000</f>
        <v>-9956.2165222140156</v>
      </c>
      <c r="T97">
        <f t="shared" ref="T97" si="464">S97/1000</f>
        <v>-9.9562165222140155</v>
      </c>
    </row>
    <row r="98" spans="1:20" x14ac:dyDescent="0.25">
      <c r="A98" s="5">
        <v>44495</v>
      </c>
      <c r="B98">
        <v>0.31030000000000002</v>
      </c>
      <c r="C98">
        <v>0.34429999999999999</v>
      </c>
      <c r="D98">
        <v>0.30599999999999999</v>
      </c>
      <c r="E98">
        <v>0.33040000000000003</v>
      </c>
      <c r="F98">
        <v>82739933</v>
      </c>
      <c r="G98">
        <v>0.33040000000000003</v>
      </c>
      <c r="L98" t="s">
        <v>8</v>
      </c>
      <c r="M98" t="s">
        <v>8</v>
      </c>
      <c r="N98" t="s">
        <v>7</v>
      </c>
      <c r="P98">
        <f t="shared" ref="P98" si="465">IF(C98=D98,0,((E98-D98)-(C98-E98))/(C98-D98))</f>
        <v>0.2741514360313333</v>
      </c>
      <c r="Q98">
        <f t="shared" ref="Q98" si="466">F98*P98</f>
        <v>22683271.449086301</v>
      </c>
      <c r="R98">
        <f t="shared" ref="R98" si="467">R99+Q98</f>
        <v>-965408434.17443001</v>
      </c>
      <c r="S98">
        <f t="shared" ref="S98" si="468">R98/100000</f>
        <v>-9654.0843417442993</v>
      </c>
      <c r="T98">
        <f t="shared" ref="T98" si="469">S98/1000</f>
        <v>-9.6540843417442996</v>
      </c>
    </row>
    <row r="99" spans="1:20" x14ac:dyDescent="0.25">
      <c r="A99" s="5">
        <v>44494</v>
      </c>
      <c r="B99">
        <v>0.29380000000000001</v>
      </c>
      <c r="C99">
        <v>0.31790000000000002</v>
      </c>
      <c r="D99">
        <v>0.29339999999999999</v>
      </c>
      <c r="E99">
        <v>0.31030000000000002</v>
      </c>
      <c r="F99">
        <v>41221963</v>
      </c>
      <c r="G99">
        <v>0.31030000000000002</v>
      </c>
      <c r="L99" t="s">
        <v>8</v>
      </c>
      <c r="M99" t="s">
        <v>8</v>
      </c>
      <c r="N99" t="s">
        <v>7</v>
      </c>
      <c r="P99">
        <f t="shared" ref="P99" si="470">IF(C99=D99,0,((E99-D99)-(C99-E99))/(C99-D99))</f>
        <v>0.37959183673469477</v>
      </c>
      <c r="Q99">
        <f t="shared" ref="Q99" si="471">F99*P99</f>
        <v>15647520.648979628</v>
      </c>
      <c r="R99">
        <f t="shared" ref="R99" si="472">R100+Q99</f>
        <v>-988091705.62351632</v>
      </c>
      <c r="S99">
        <f t="shared" ref="S99" si="473">R99/100000</f>
        <v>-9880.9170562351628</v>
      </c>
      <c r="T99">
        <f t="shared" ref="T99" si="474">S99/1000</f>
        <v>-9.8809170562351625</v>
      </c>
    </row>
    <row r="100" spans="1:20" x14ac:dyDescent="0.25">
      <c r="A100" s="5">
        <v>44493</v>
      </c>
      <c r="B100">
        <v>0.29930000000000001</v>
      </c>
      <c r="C100">
        <v>0.30320000000000003</v>
      </c>
      <c r="D100">
        <v>0.28739999999999999</v>
      </c>
      <c r="E100">
        <v>0.29380000000000001</v>
      </c>
      <c r="F100">
        <v>17116371</v>
      </c>
      <c r="G100">
        <v>0.29380000000000001</v>
      </c>
      <c r="L100" t="s">
        <v>7</v>
      </c>
      <c r="M100" t="s">
        <v>8</v>
      </c>
      <c r="N100" t="s">
        <v>7</v>
      </c>
      <c r="P100">
        <f t="shared" ref="P100" si="475">IF(C100=D100,0,((E100-D100)-(C100-E100))/(C100-D100))</f>
        <v>-0.18987341772151872</v>
      </c>
      <c r="Q100">
        <f t="shared" ref="Q100" si="476">F100*P100</f>
        <v>-3249943.8607594892</v>
      </c>
      <c r="R100">
        <f t="shared" ref="R100" si="477">R101+Q100</f>
        <v>-1003739226.272496</v>
      </c>
      <c r="S100">
        <f t="shared" ref="S100" si="478">R100/100000</f>
        <v>-10037.392262724959</v>
      </c>
      <c r="T100">
        <f t="shared" ref="T100" si="479">S100/1000</f>
        <v>-10.037392262724959</v>
      </c>
    </row>
    <row r="101" spans="1:20" x14ac:dyDescent="0.25">
      <c r="A101" s="5">
        <v>44492</v>
      </c>
      <c r="B101">
        <v>0.30120000000000002</v>
      </c>
      <c r="C101">
        <v>0.30149999999999999</v>
      </c>
      <c r="D101">
        <v>0.29070000000000001</v>
      </c>
      <c r="E101">
        <v>0.2994</v>
      </c>
      <c r="F101">
        <v>19418694</v>
      </c>
      <c r="G101">
        <v>0.2994</v>
      </c>
      <c r="L101" t="s">
        <v>7</v>
      </c>
      <c r="M101" t="s">
        <v>8</v>
      </c>
      <c r="N101" t="s">
        <v>7</v>
      </c>
      <c r="P101">
        <f t="shared" ref="P101" si="480">IF(C101=D101,0,((E101-D101)-(C101-E101))/(C101-D101))</f>
        <v>0.61111111111111194</v>
      </c>
      <c r="Q101">
        <f t="shared" ref="Q101" si="481">F101*P101</f>
        <v>11866979.666666683</v>
      </c>
      <c r="R101">
        <f t="shared" ref="R101" si="482">R102+Q101</f>
        <v>-1000489282.4117365</v>
      </c>
      <c r="S101">
        <f t="shared" ref="S101" si="483">R101/100000</f>
        <v>-10004.892824117365</v>
      </c>
      <c r="T101">
        <f t="shared" ref="T101" si="484">S101/1000</f>
        <v>-10.004892824117364</v>
      </c>
    </row>
    <row r="102" spans="1:20" x14ac:dyDescent="0.25">
      <c r="A102" s="5">
        <v>44491</v>
      </c>
      <c r="B102">
        <v>0.28399999999999997</v>
      </c>
      <c r="C102">
        <v>0.3155</v>
      </c>
      <c r="D102">
        <v>0.28320000000000001</v>
      </c>
      <c r="E102">
        <v>0.3009</v>
      </c>
      <c r="F102">
        <v>73202670</v>
      </c>
      <c r="G102">
        <v>0.3009</v>
      </c>
      <c r="L102" t="s">
        <v>8</v>
      </c>
      <c r="M102" t="s">
        <v>8</v>
      </c>
      <c r="N102" t="s">
        <v>7</v>
      </c>
      <c r="P102">
        <f t="shared" ref="P102" si="485">IF(C102=D102,0,((E102-D102)-(C102-E102))/(C102-D102))</f>
        <v>9.5975232198142177E-2</v>
      </c>
      <c r="Q102">
        <f t="shared" ref="Q102" si="486">F102*P102</f>
        <v>7025643.2507739766</v>
      </c>
      <c r="R102">
        <f t="shared" ref="R102" si="487">R103+Q102</f>
        <v>-1012356262.0784031</v>
      </c>
      <c r="S102">
        <f t="shared" ref="S102" si="488">R102/100000</f>
        <v>-10123.562620784031</v>
      </c>
      <c r="T102">
        <f t="shared" ref="T102" si="489">S102/1000</f>
        <v>-10.12356262078403</v>
      </c>
    </row>
    <row r="103" spans="1:20" x14ac:dyDescent="0.25">
      <c r="A103" s="5">
        <v>44490</v>
      </c>
      <c r="B103">
        <v>0.2918</v>
      </c>
      <c r="C103">
        <v>0.30199999999999999</v>
      </c>
      <c r="D103">
        <v>0.28089999999999998</v>
      </c>
      <c r="E103">
        <v>0.28389999999999999</v>
      </c>
      <c r="F103">
        <v>32582287</v>
      </c>
      <c r="G103">
        <v>0.28389999999999999</v>
      </c>
      <c r="L103" t="s">
        <v>8</v>
      </c>
      <c r="M103" t="s">
        <v>8</v>
      </c>
      <c r="N103" t="s">
        <v>7</v>
      </c>
      <c r="P103">
        <f t="shared" ref="P103" si="490">IF(C103=D103,0,((E103-D103)-(C103-E103))/(C103-D103))</f>
        <v>-0.71563981042654012</v>
      </c>
      <c r="Q103">
        <f t="shared" ref="Q103" si="491">F103*P103</f>
        <v>-23317181.691943124</v>
      </c>
      <c r="R103">
        <f t="shared" ref="R103" si="492">R104+Q103</f>
        <v>-1019381905.3291771</v>
      </c>
      <c r="S103">
        <f t="shared" ref="S103" si="493">R103/100000</f>
        <v>-10193.819053291771</v>
      </c>
      <c r="T103">
        <f t="shared" ref="T103" si="494">S103/1000</f>
        <v>-10.193819053291771</v>
      </c>
    </row>
    <row r="104" spans="1:20" x14ac:dyDescent="0.25">
      <c r="A104" s="5">
        <v>44489</v>
      </c>
      <c r="B104">
        <v>0.28179999999999999</v>
      </c>
      <c r="C104">
        <v>0.29499999999999998</v>
      </c>
      <c r="D104">
        <v>0.27810000000000001</v>
      </c>
      <c r="E104">
        <v>0.2918</v>
      </c>
      <c r="F104">
        <v>40350342</v>
      </c>
      <c r="G104">
        <v>0.2918</v>
      </c>
      <c r="L104" t="s">
        <v>8</v>
      </c>
      <c r="M104" t="s">
        <v>8</v>
      </c>
      <c r="N104" t="s">
        <v>7</v>
      </c>
      <c r="P104">
        <f t="shared" ref="P104" si="495">IF(C104=D104,0,((E104-D104)-(C104-E104))/(C104-D104))</f>
        <v>0.62130177514793061</v>
      </c>
      <c r="Q104">
        <f t="shared" ref="Q104" si="496">F104*P104</f>
        <v>25069739.112426102</v>
      </c>
      <c r="R104">
        <f t="shared" ref="R104" si="497">R105+Q104</f>
        <v>-996064723.63723397</v>
      </c>
      <c r="S104">
        <f t="shared" ref="S104" si="498">R104/100000</f>
        <v>-9960.6472363723406</v>
      </c>
      <c r="T104">
        <f t="shared" ref="T104" si="499">S104/1000</f>
        <v>-9.9606472363723402</v>
      </c>
    </row>
    <row r="105" spans="1:20" x14ac:dyDescent="0.25">
      <c r="A105" s="5">
        <v>44488</v>
      </c>
      <c r="B105">
        <v>0.28039999999999998</v>
      </c>
      <c r="C105">
        <v>0.29089999999999999</v>
      </c>
      <c r="D105">
        <v>0.27879999999999999</v>
      </c>
      <c r="E105">
        <v>0.28210000000000002</v>
      </c>
      <c r="F105">
        <v>54780028</v>
      </c>
      <c r="G105">
        <v>0.28210000000000002</v>
      </c>
      <c r="L105" t="s">
        <v>7</v>
      </c>
      <c r="M105" t="s">
        <v>8</v>
      </c>
      <c r="N105" t="s">
        <v>7</v>
      </c>
      <c r="P105">
        <f t="shared" ref="P105" si="500">IF(C105=D105,0,((E105-D105)-(C105-E105))/(C105-D105))</f>
        <v>-0.45454545454545037</v>
      </c>
      <c r="Q105">
        <f t="shared" ref="Q105" si="501">F105*P105</f>
        <v>-24900012.727272499</v>
      </c>
      <c r="R105">
        <f t="shared" ref="R105" si="502">R106+Q105</f>
        <v>-1021134462.74966</v>
      </c>
      <c r="S105">
        <f t="shared" ref="S105" si="503">R105/100000</f>
        <v>-10211.344627496601</v>
      </c>
      <c r="T105">
        <f t="shared" ref="T105" si="504">S105/1000</f>
        <v>-10.211344627496601</v>
      </c>
    </row>
    <row r="106" spans="1:20" x14ac:dyDescent="0.25">
      <c r="A106" s="5">
        <v>44487</v>
      </c>
      <c r="B106">
        <v>0.28199999999999997</v>
      </c>
      <c r="C106">
        <v>0.2858</v>
      </c>
      <c r="D106">
        <v>0.27389999999999998</v>
      </c>
      <c r="E106">
        <v>0.28050000000000003</v>
      </c>
      <c r="F106">
        <v>31520777</v>
      </c>
      <c r="G106">
        <v>0.28050000000000003</v>
      </c>
      <c r="L106" t="s">
        <v>7</v>
      </c>
      <c r="M106" t="s">
        <v>8</v>
      </c>
      <c r="N106" t="s">
        <v>7</v>
      </c>
      <c r="P106">
        <f t="shared" ref="P106" si="505">IF(C106=D106,0,((E106-D106)-(C106-E106))/(C106-D106))</f>
        <v>0.10924369747899802</v>
      </c>
      <c r="Q106">
        <f t="shared" ref="Q106" si="506">F106*P106</f>
        <v>3443446.2268909588</v>
      </c>
      <c r="R106">
        <f t="shared" ref="R106" si="507">R107+Q106</f>
        <v>-996234450.0223875</v>
      </c>
      <c r="S106">
        <f t="shared" ref="S106" si="508">R106/100000</f>
        <v>-9962.344500223875</v>
      </c>
      <c r="T106">
        <f t="shared" ref="T106" si="509">S106/1000</f>
        <v>-9.9623445002238746</v>
      </c>
    </row>
    <row r="107" spans="1:20" x14ac:dyDescent="0.25">
      <c r="A107" s="5">
        <v>44486</v>
      </c>
      <c r="B107">
        <v>0.2843</v>
      </c>
      <c r="C107">
        <v>0.28699999999999998</v>
      </c>
      <c r="D107">
        <v>0.27179999999999999</v>
      </c>
      <c r="E107">
        <v>0.28199999999999997</v>
      </c>
      <c r="F107">
        <v>34127422</v>
      </c>
      <c r="G107">
        <v>0.28199999999999997</v>
      </c>
      <c r="L107" t="s">
        <v>7</v>
      </c>
      <c r="M107" t="s">
        <v>8</v>
      </c>
      <c r="N107" t="s">
        <v>7</v>
      </c>
      <c r="P107">
        <f t="shared" ref="P107" si="510">IF(C107=D107,0,((E107-D107)-(C107-E107))/(C107-D107))</f>
        <v>0.3421052631578938</v>
      </c>
      <c r="Q107">
        <f t="shared" ref="Q107" si="511">F107*P107</f>
        <v>11675170.684210494</v>
      </c>
      <c r="R107">
        <f t="shared" ref="R107" si="512">R108+Q107</f>
        <v>-999677896.24927843</v>
      </c>
      <c r="S107">
        <f t="shared" ref="S107" si="513">R107/100000</f>
        <v>-9996.7789624927846</v>
      </c>
      <c r="T107">
        <f t="shared" ref="T107" si="514">S107/1000</f>
        <v>-9.996778962492785</v>
      </c>
    </row>
    <row r="108" spans="1:20" x14ac:dyDescent="0.25">
      <c r="A108" s="5">
        <v>44485</v>
      </c>
      <c r="B108">
        <v>0.28660000000000002</v>
      </c>
      <c r="C108">
        <v>0.29070000000000001</v>
      </c>
      <c r="D108">
        <v>0.28120000000000001</v>
      </c>
      <c r="E108">
        <v>0.28439999999999999</v>
      </c>
      <c r="F108">
        <v>48951090</v>
      </c>
      <c r="G108">
        <v>0.28439999999999999</v>
      </c>
      <c r="L108" t="s">
        <v>7</v>
      </c>
      <c r="M108" t="s">
        <v>8</v>
      </c>
      <c r="N108" t="s">
        <v>7</v>
      </c>
      <c r="P108">
        <f t="shared" ref="P108" si="515">IF(C108=D108,0,((E108-D108)-(C108-E108))/(C108-D108))</f>
        <v>-0.32631578947368889</v>
      </c>
      <c r="Q108">
        <f t="shared" ref="Q108" si="516">F108*P108</f>
        <v>-15973513.578947598</v>
      </c>
      <c r="R108">
        <f t="shared" ref="R108" si="517">R109+Q108</f>
        <v>-1011353066.933489</v>
      </c>
      <c r="S108">
        <f t="shared" ref="S108" si="518">R108/100000</f>
        <v>-10113.53066933489</v>
      </c>
      <c r="T108">
        <f t="shared" ref="T108" si="519">S108/1000</f>
        <v>-10.113530669334891</v>
      </c>
    </row>
    <row r="109" spans="1:20" x14ac:dyDescent="0.25">
      <c r="A109" s="5">
        <v>44484</v>
      </c>
      <c r="B109">
        <v>0.29149999999999998</v>
      </c>
      <c r="C109">
        <v>0.30270000000000002</v>
      </c>
      <c r="D109">
        <v>0.27510000000000001</v>
      </c>
      <c r="E109">
        <v>0.28670000000000001</v>
      </c>
      <c r="F109">
        <v>48226913</v>
      </c>
      <c r="G109">
        <v>0.28670000000000001</v>
      </c>
      <c r="L109" t="s">
        <v>7</v>
      </c>
      <c r="M109" t="s">
        <v>8</v>
      </c>
      <c r="N109" t="s">
        <v>7</v>
      </c>
      <c r="P109">
        <f t="shared" ref="P109" si="520">IF(C109=D109,0,((E109-D109)-(C109-E109))/(C109-D109))</f>
        <v>-0.15942028985507292</v>
      </c>
      <c r="Q109">
        <f t="shared" ref="Q109" si="521">F109*P109</f>
        <v>-7688348.4492753847</v>
      </c>
      <c r="R109">
        <f t="shared" ref="R109" si="522">R110+Q109</f>
        <v>-995379553.35454142</v>
      </c>
      <c r="S109">
        <f t="shared" ref="S109" si="523">R109/100000</f>
        <v>-9953.7955335454135</v>
      </c>
      <c r="T109">
        <f t="shared" ref="T109" si="524">S109/1000</f>
        <v>-9.9537955335454136</v>
      </c>
    </row>
    <row r="110" spans="1:20" x14ac:dyDescent="0.25">
      <c r="A110" s="5">
        <v>44483</v>
      </c>
      <c r="B110">
        <v>0.29239999999999999</v>
      </c>
      <c r="C110">
        <v>0.29580000000000001</v>
      </c>
      <c r="D110">
        <v>0.28749999999999998</v>
      </c>
      <c r="E110">
        <v>0.29149999999999998</v>
      </c>
      <c r="F110">
        <v>32086771</v>
      </c>
      <c r="G110">
        <v>0.29149999999999998</v>
      </c>
      <c r="L110" t="s">
        <v>7</v>
      </c>
      <c r="M110" t="s">
        <v>8</v>
      </c>
      <c r="N110" t="s">
        <v>7</v>
      </c>
      <c r="P110">
        <f t="shared" ref="P110" si="525">IF(C110=D110,0,((E110-D110)-(C110-E110))/(C110-D110))</f>
        <v>-3.6144578313255592E-2</v>
      </c>
      <c r="Q110">
        <f t="shared" ref="Q110" si="526">F110*P110</f>
        <v>-1159762.8072289985</v>
      </c>
      <c r="R110">
        <f t="shared" ref="R110" si="527">R111+Q110</f>
        <v>-987691204.90526605</v>
      </c>
      <c r="S110">
        <f t="shared" ref="S110" si="528">R110/100000</f>
        <v>-9876.9120490526602</v>
      </c>
      <c r="T110">
        <f t="shared" ref="T110" si="529">S110/1000</f>
        <v>-9.8769120490526596</v>
      </c>
    </row>
    <row r="111" spans="1:20" x14ac:dyDescent="0.25">
      <c r="A111" s="5">
        <v>44482</v>
      </c>
      <c r="B111">
        <v>0.28739999999999999</v>
      </c>
      <c r="C111">
        <v>0.2928</v>
      </c>
      <c r="D111">
        <v>0.27650000000000002</v>
      </c>
      <c r="E111">
        <v>0.29249999999999998</v>
      </c>
      <c r="F111">
        <v>20586438</v>
      </c>
      <c r="G111">
        <v>0.29249999999999998</v>
      </c>
      <c r="L111" t="s">
        <v>7</v>
      </c>
      <c r="M111" t="s">
        <v>8</v>
      </c>
      <c r="N111" t="s">
        <v>7</v>
      </c>
      <c r="P111">
        <f t="shared" ref="P111" si="530">IF(C111=D111,0,((E111-D111)-(C111-E111))/(C111-D111))</f>
        <v>0.96319018404907697</v>
      </c>
      <c r="Q111">
        <f t="shared" ref="Q111" si="531">F111*P111</f>
        <v>19828655.006134912</v>
      </c>
      <c r="R111">
        <f t="shared" ref="R111" si="532">R112+Q111</f>
        <v>-986531442.098037</v>
      </c>
      <c r="S111">
        <f t="shared" ref="S111" si="533">R111/100000</f>
        <v>-9865.3144209803704</v>
      </c>
      <c r="T111">
        <f t="shared" ref="T111" si="534">S111/1000</f>
        <v>-9.8653144209803703</v>
      </c>
    </row>
    <row r="112" spans="1:20" x14ac:dyDescent="0.25">
      <c r="A112" s="5">
        <v>44481</v>
      </c>
      <c r="B112">
        <v>0.2964</v>
      </c>
      <c r="C112">
        <v>0.2964</v>
      </c>
      <c r="D112">
        <v>0.27629999999999999</v>
      </c>
      <c r="E112">
        <v>0.28770000000000001</v>
      </c>
      <c r="F112">
        <v>28480026</v>
      </c>
      <c r="G112">
        <v>0.28770000000000001</v>
      </c>
      <c r="L112" t="s">
        <v>7</v>
      </c>
      <c r="M112" t="s">
        <v>8</v>
      </c>
      <c r="N112" t="s">
        <v>7</v>
      </c>
      <c r="P112">
        <f t="shared" ref="P112" si="535">IF(C112=D112,0,((E112-D112)-(C112-E112))/(C112-D112))</f>
        <v>0.13432835820895694</v>
      </c>
      <c r="Q112">
        <f t="shared" ref="Q112" si="536">F112*P112</f>
        <v>3825675.1343284072</v>
      </c>
      <c r="R112">
        <f t="shared" ref="R112" si="537">R113+Q112</f>
        <v>-1006360097.1041719</v>
      </c>
      <c r="S112">
        <f t="shared" ref="S112" si="538">R112/100000</f>
        <v>-10063.600971041718</v>
      </c>
      <c r="T112">
        <f t="shared" ref="T112" si="539">S112/1000</f>
        <v>-10.063600971041719</v>
      </c>
    </row>
    <row r="113" spans="1:20" x14ac:dyDescent="0.25">
      <c r="A113" s="5">
        <v>44480</v>
      </c>
      <c r="B113">
        <v>0.29809999999999998</v>
      </c>
      <c r="C113">
        <v>0.32219999999999999</v>
      </c>
      <c r="D113">
        <v>0.29039999999999999</v>
      </c>
      <c r="E113">
        <v>0.29670000000000002</v>
      </c>
      <c r="F113">
        <v>40973374</v>
      </c>
      <c r="G113">
        <v>0.29670000000000002</v>
      </c>
      <c r="L113" t="s">
        <v>8</v>
      </c>
      <c r="M113" t="s">
        <v>8</v>
      </c>
      <c r="N113" t="s">
        <v>7</v>
      </c>
      <c r="P113">
        <f t="shared" ref="P113" si="540">IF(C113=D113,0,((E113-D113)-(C113-E113))/(C113-D113))</f>
        <v>-0.60377358490565858</v>
      </c>
      <c r="Q113">
        <f t="shared" ref="Q113" si="541">F113*P113</f>
        <v>-24738640.905660305</v>
      </c>
      <c r="R113">
        <f t="shared" ref="R113" si="542">R114+Q113</f>
        <v>-1010185772.2385002</v>
      </c>
      <c r="S113">
        <f t="shared" ref="S113" si="543">R113/100000</f>
        <v>-10101.857722385002</v>
      </c>
      <c r="T113">
        <f t="shared" ref="T113" si="544">S113/1000</f>
        <v>-10.101857722385002</v>
      </c>
    </row>
    <row r="114" spans="1:20" x14ac:dyDescent="0.25">
      <c r="A114" s="5">
        <v>44479</v>
      </c>
      <c r="B114">
        <v>0.31480000000000002</v>
      </c>
      <c r="C114">
        <v>0.31509999999999999</v>
      </c>
      <c r="D114">
        <v>0.29620000000000002</v>
      </c>
      <c r="E114">
        <v>0.29820000000000002</v>
      </c>
      <c r="F114">
        <v>47040907</v>
      </c>
      <c r="G114">
        <v>0.29820000000000002</v>
      </c>
      <c r="L114" t="s">
        <v>8</v>
      </c>
      <c r="M114" t="s">
        <v>8</v>
      </c>
      <c r="N114" t="s">
        <v>7</v>
      </c>
      <c r="P114">
        <f t="shared" ref="P114" si="545">IF(C114=D114,0,((E114-D114)-(C114-E114))/(C114-D114))</f>
        <v>-0.78835978835978782</v>
      </c>
      <c r="Q114">
        <f t="shared" ref="Q114" si="546">F114*P114</f>
        <v>-37085159.486772463</v>
      </c>
      <c r="R114">
        <f t="shared" ref="R114" si="547">R115+Q114</f>
        <v>-985447131.33283997</v>
      </c>
      <c r="S114">
        <f t="shared" ref="S114" si="548">R114/100000</f>
        <v>-9854.4713133284004</v>
      </c>
      <c r="T114">
        <f t="shared" ref="T114" si="549">S114/1000</f>
        <v>-9.8544713133283999</v>
      </c>
    </row>
    <row r="115" spans="1:20" x14ac:dyDescent="0.25">
      <c r="A115" s="5">
        <v>44478</v>
      </c>
      <c r="B115">
        <v>0.30959999999999999</v>
      </c>
      <c r="C115">
        <v>0.31590000000000001</v>
      </c>
      <c r="D115">
        <v>0.2984</v>
      </c>
      <c r="E115">
        <v>0.31459999999999999</v>
      </c>
      <c r="F115">
        <v>64515351</v>
      </c>
      <c r="G115">
        <v>0.31459999999999999</v>
      </c>
      <c r="L115" t="s">
        <v>8</v>
      </c>
      <c r="M115" t="s">
        <v>8</v>
      </c>
      <c r="N115" t="s">
        <v>7</v>
      </c>
      <c r="P115">
        <f t="shared" ref="P115" si="550">IF(C115=D115,0,((E115-D115)-(C115-E115))/(C115-D115))</f>
        <v>0.85142857142856887</v>
      </c>
      <c r="Q115">
        <f t="shared" ref="Q115" si="551">F115*P115</f>
        <v>54930213.137142695</v>
      </c>
      <c r="R115">
        <f t="shared" ref="R115" si="552">R116+Q115</f>
        <v>-948361971.84606755</v>
      </c>
      <c r="S115">
        <f t="shared" ref="S115" si="553">R115/100000</f>
        <v>-9483.6197184606754</v>
      </c>
      <c r="T115">
        <f t="shared" ref="T115" si="554">S115/1000</f>
        <v>-9.483619718460675</v>
      </c>
    </row>
    <row r="116" spans="1:20" x14ac:dyDescent="0.25">
      <c r="A116" s="5">
        <v>44477</v>
      </c>
      <c r="B116">
        <v>0.30409999999999998</v>
      </c>
      <c r="C116">
        <v>0.31580000000000003</v>
      </c>
      <c r="D116">
        <v>0.29970000000000002</v>
      </c>
      <c r="E116">
        <v>0.3095</v>
      </c>
      <c r="F116">
        <v>37598432</v>
      </c>
      <c r="G116">
        <v>0.3095</v>
      </c>
      <c r="L116" t="s">
        <v>8</v>
      </c>
      <c r="M116" t="s">
        <v>8</v>
      </c>
      <c r="N116" t="s">
        <v>7</v>
      </c>
      <c r="P116">
        <f t="shared" ref="P116" si="555">IF(C116=D116,0,((E116-D116)-(C116-E116))/(C116-D116))</f>
        <v>0.21739130434782278</v>
      </c>
      <c r="Q116">
        <f t="shared" ref="Q116" si="556">F116*P116</f>
        <v>8173572.1739129191</v>
      </c>
      <c r="R116">
        <f t="shared" ref="R116" si="557">R117+Q116</f>
        <v>-1003292184.9832102</v>
      </c>
      <c r="S116">
        <f t="shared" ref="S116" si="558">R116/100000</f>
        <v>-10032.921849832102</v>
      </c>
      <c r="T116">
        <f t="shared" ref="T116" si="559">S116/1000</f>
        <v>-10.032921849832103</v>
      </c>
    </row>
    <row r="117" spans="1:20" x14ac:dyDescent="0.25">
      <c r="A117" s="5">
        <v>44476</v>
      </c>
      <c r="B117">
        <v>0.30209999999999998</v>
      </c>
      <c r="C117">
        <v>0.31</v>
      </c>
      <c r="D117">
        <v>0.29220000000000002</v>
      </c>
      <c r="E117">
        <v>0.30399999999999999</v>
      </c>
      <c r="F117">
        <v>39144922</v>
      </c>
      <c r="G117">
        <v>0.30399999999999999</v>
      </c>
      <c r="L117" t="s">
        <v>8</v>
      </c>
      <c r="M117" t="s">
        <v>8</v>
      </c>
      <c r="N117" t="s">
        <v>7</v>
      </c>
      <c r="P117">
        <f t="shared" ref="P117" si="560">IF(C117=D117,0,((E117-D117)-(C117-E117))/(C117-D117))</f>
        <v>0.32584269662921223</v>
      </c>
      <c r="Q117">
        <f t="shared" ref="Q117" si="561">F117*P117</f>
        <v>12755086.943820175</v>
      </c>
      <c r="R117">
        <f t="shared" ref="R117" si="562">R118+Q117</f>
        <v>-1011465757.1571231</v>
      </c>
      <c r="S117">
        <f t="shared" ref="S117" si="563">R117/100000</f>
        <v>-10114.657571571232</v>
      </c>
      <c r="T117">
        <f t="shared" ref="T117" si="564">S117/1000</f>
        <v>-10.114657571571232</v>
      </c>
    </row>
    <row r="118" spans="1:20" x14ac:dyDescent="0.25">
      <c r="A118" s="5">
        <v>44475</v>
      </c>
      <c r="B118">
        <v>0.30890000000000001</v>
      </c>
      <c r="C118">
        <v>0.30940000000000001</v>
      </c>
      <c r="D118">
        <v>0.28220000000000001</v>
      </c>
      <c r="E118">
        <v>0.30209999999999998</v>
      </c>
      <c r="F118">
        <v>35844866</v>
      </c>
      <c r="G118">
        <v>0.30209999999999998</v>
      </c>
      <c r="L118" t="s">
        <v>7</v>
      </c>
      <c r="M118" t="s">
        <v>8</v>
      </c>
      <c r="N118" t="s">
        <v>7</v>
      </c>
      <c r="P118">
        <f t="shared" ref="P118" si="565">IF(C118=D118,0,((E118-D118)-(C118-E118))/(C118-D118))</f>
        <v>0.46323529411764497</v>
      </c>
      <c r="Q118">
        <f t="shared" ref="Q118" si="566">F118*P118</f>
        <v>16604607.044117572</v>
      </c>
      <c r="R118">
        <f t="shared" ref="R118" si="567">R119+Q118</f>
        <v>-1024220844.1009432</v>
      </c>
      <c r="S118">
        <f t="shared" ref="S118" si="568">R118/100000</f>
        <v>-10242.208441009432</v>
      </c>
      <c r="T118">
        <f t="shared" ref="T118" si="569">S118/1000</f>
        <v>-10.242208441009431</v>
      </c>
    </row>
    <row r="119" spans="1:20" x14ac:dyDescent="0.25">
      <c r="A119" s="5">
        <v>44474</v>
      </c>
      <c r="B119">
        <v>0.29609999999999997</v>
      </c>
      <c r="C119">
        <v>0.312</v>
      </c>
      <c r="D119">
        <v>0.28899999999999998</v>
      </c>
      <c r="E119">
        <v>0.309</v>
      </c>
      <c r="F119">
        <v>39919103</v>
      </c>
      <c r="G119">
        <v>0.309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0.73913043478260865</v>
      </c>
      <c r="Q119">
        <f t="shared" ref="Q119" si="571">F119*P119</f>
        <v>29505423.956521738</v>
      </c>
      <c r="R119">
        <f t="shared" ref="R119" si="572">R120+Q119</f>
        <v>-1040825451.1450608</v>
      </c>
      <c r="S119">
        <f t="shared" ref="S119" si="573">R119/100000</f>
        <v>-10408.254511450608</v>
      </c>
      <c r="T119">
        <f t="shared" ref="T119" si="574">S119/1000</f>
        <v>-10.408254511450608</v>
      </c>
    </row>
    <row r="120" spans="1:20" x14ac:dyDescent="0.25">
      <c r="A120" s="5">
        <v>44473</v>
      </c>
      <c r="B120">
        <v>0.29620000000000002</v>
      </c>
      <c r="C120">
        <v>0.3024</v>
      </c>
      <c r="D120">
        <v>0.27579999999999999</v>
      </c>
      <c r="E120">
        <v>0.29820000000000002</v>
      </c>
      <c r="F120">
        <v>43096511</v>
      </c>
      <c r="G120">
        <v>0.29820000000000002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0.68421052631579105</v>
      </c>
      <c r="Q120">
        <f t="shared" ref="Q120" si="576">F120*P120</f>
        <v>29487086.473684277</v>
      </c>
      <c r="R120">
        <f t="shared" ref="R120" si="577">R121+Q120</f>
        <v>-1070330875.1015825</v>
      </c>
      <c r="S120">
        <f t="shared" ref="S120" si="578">R120/100000</f>
        <v>-10703.308751015826</v>
      </c>
      <c r="T120">
        <f t="shared" ref="T120" si="579">S120/1000</f>
        <v>-10.703308751015825</v>
      </c>
    </row>
    <row r="121" spans="1:20" x14ac:dyDescent="0.25">
      <c r="A121" s="5">
        <v>44472</v>
      </c>
      <c r="B121">
        <v>0.30080000000000001</v>
      </c>
      <c r="C121">
        <v>0.3024</v>
      </c>
      <c r="D121">
        <v>0.28749999999999998</v>
      </c>
      <c r="E121">
        <v>0.29459999999999997</v>
      </c>
      <c r="F121">
        <v>25605594</v>
      </c>
      <c r="G121">
        <v>0.29459999999999997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-4.6979865771814282E-2</v>
      </c>
      <c r="Q121">
        <f t="shared" ref="Q121" si="581">F121*P121</f>
        <v>-1202947.3691275732</v>
      </c>
      <c r="R121">
        <f t="shared" ref="R121" si="582">R122+Q121</f>
        <v>-1099817961.5752668</v>
      </c>
      <c r="S121">
        <f t="shared" ref="S121" si="583">R121/100000</f>
        <v>-10998.179615752668</v>
      </c>
      <c r="T121">
        <f t="shared" ref="T121" si="584">S121/1000</f>
        <v>-10.998179615752667</v>
      </c>
    </row>
    <row r="122" spans="1:20" x14ac:dyDescent="0.25">
      <c r="A122" s="5">
        <v>44471</v>
      </c>
      <c r="B122">
        <v>0.29189999999999999</v>
      </c>
      <c r="C122">
        <v>0.307</v>
      </c>
      <c r="D122">
        <v>0.28170000000000001</v>
      </c>
      <c r="E122">
        <v>0.30130000000000001</v>
      </c>
      <c r="F122">
        <v>58108846</v>
      </c>
      <c r="G122">
        <v>0.30130000000000001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0.54940711462450709</v>
      </c>
      <c r="Q122">
        <f t="shared" ref="Q122" si="586">F122*P122</f>
        <v>31925413.415019829</v>
      </c>
      <c r="R122">
        <f t="shared" ref="R122" si="587">R123+Q122</f>
        <v>-1098615014.2061393</v>
      </c>
      <c r="S122">
        <f t="shared" ref="S122" si="588">R122/100000</f>
        <v>-10986.150142061393</v>
      </c>
      <c r="T122">
        <f t="shared" ref="T122" si="589">S122/1000</f>
        <v>-10.986150142061392</v>
      </c>
    </row>
    <row r="123" spans="1:20" x14ac:dyDescent="0.25">
      <c r="A123" s="5">
        <v>44470</v>
      </c>
      <c r="B123">
        <v>0.2621</v>
      </c>
      <c r="C123">
        <v>0.29670000000000002</v>
      </c>
      <c r="D123">
        <v>0.25819999999999999</v>
      </c>
      <c r="E123">
        <v>0.29189999999999999</v>
      </c>
      <c r="F123">
        <v>69538627</v>
      </c>
      <c r="G123">
        <v>0.29189999999999999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0.75064935064934946</v>
      </c>
      <c r="Q123">
        <f t="shared" ref="Q123" si="591">F123*P123</f>
        <v>52199125.20259732</v>
      </c>
      <c r="R123">
        <f t="shared" ref="R123" si="592">R124+Q123</f>
        <v>-1130540427.6211591</v>
      </c>
      <c r="S123">
        <f t="shared" ref="S123" si="593">R123/100000</f>
        <v>-11305.404276211591</v>
      </c>
      <c r="T123">
        <f t="shared" ref="T123" si="594">S123/1000</f>
        <v>-11.305404276211592</v>
      </c>
    </row>
    <row r="124" spans="1:20" x14ac:dyDescent="0.25">
      <c r="A124" s="5">
        <v>44469</v>
      </c>
      <c r="B124">
        <v>0.253</v>
      </c>
      <c r="C124">
        <v>0.2621</v>
      </c>
      <c r="D124">
        <v>0.24909999999999999</v>
      </c>
      <c r="E124">
        <v>0.2621</v>
      </c>
      <c r="F124">
        <v>70778294</v>
      </c>
      <c r="G124">
        <v>0.2621</v>
      </c>
      <c r="L124" t="s">
        <v>7</v>
      </c>
      <c r="M124" t="s">
        <v>7</v>
      </c>
      <c r="N124" t="s">
        <v>7</v>
      </c>
      <c r="P124">
        <f t="shared" ref="P124" si="595">IF(C124=D124,0,((E124-D124)-(C124-E124))/(C124-D124))</f>
        <v>1</v>
      </c>
      <c r="Q124">
        <f t="shared" ref="Q124" si="596">F124*P124</f>
        <v>70778294</v>
      </c>
      <c r="R124">
        <f t="shared" ref="R124" si="597">R125+Q124</f>
        <v>-1182739552.8237565</v>
      </c>
      <c r="S124">
        <f t="shared" ref="S124" si="598">R124/100000</f>
        <v>-11827.395528237565</v>
      </c>
      <c r="T124">
        <f t="shared" ref="T124" si="599">S124/1000</f>
        <v>-11.827395528237565</v>
      </c>
    </row>
    <row r="125" spans="1:20" x14ac:dyDescent="0.25">
      <c r="A125" s="5">
        <v>44468</v>
      </c>
      <c r="B125">
        <v>0.25230000000000002</v>
      </c>
      <c r="C125">
        <v>0.2626</v>
      </c>
      <c r="D125">
        <v>0.25</v>
      </c>
      <c r="E125">
        <v>0.253</v>
      </c>
      <c r="F125">
        <v>14403945</v>
      </c>
      <c r="G125">
        <v>0.253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-0.52380952380952339</v>
      </c>
      <c r="Q125">
        <f t="shared" ref="Q125" si="601">F125*P125</f>
        <v>-7544923.5714285653</v>
      </c>
      <c r="R125">
        <f t="shared" ref="R125" si="602">R126+Q125</f>
        <v>-1253517846.8237565</v>
      </c>
      <c r="S125">
        <f t="shared" ref="S125" si="603">R125/100000</f>
        <v>-12535.178468237564</v>
      </c>
      <c r="T125">
        <f t="shared" ref="T125" si="604">S125/1000</f>
        <v>-12.535178468237564</v>
      </c>
    </row>
    <row r="126" spans="1:20" x14ac:dyDescent="0.25">
      <c r="A126" s="5">
        <v>44467</v>
      </c>
      <c r="B126">
        <v>0.26419999999999999</v>
      </c>
      <c r="C126">
        <v>0.26700000000000002</v>
      </c>
      <c r="D126">
        <v>0.25059999999999999</v>
      </c>
      <c r="E126">
        <v>0.25230000000000002</v>
      </c>
      <c r="F126">
        <v>17176999</v>
      </c>
      <c r="G126">
        <v>0.25230000000000002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-0.79268292682926433</v>
      </c>
      <c r="Q126">
        <f t="shared" ref="Q126" si="606">F126*P126</f>
        <v>-13615913.841463346</v>
      </c>
      <c r="R126">
        <f t="shared" ref="R126" si="607">R127+Q126</f>
        <v>-1245972923.2523279</v>
      </c>
      <c r="S126">
        <f t="shared" ref="S126" si="608">R126/100000</f>
        <v>-12459.729232523279</v>
      </c>
      <c r="T126">
        <f t="shared" ref="T126" si="609">S126/1000</f>
        <v>-12.45972923252328</v>
      </c>
    </row>
    <row r="127" spans="1:20" x14ac:dyDescent="0.25">
      <c r="A127" s="5">
        <v>44466</v>
      </c>
      <c r="B127">
        <v>0.27279999999999999</v>
      </c>
      <c r="C127">
        <v>0.28199999999999997</v>
      </c>
      <c r="D127">
        <v>0.26140000000000002</v>
      </c>
      <c r="E127">
        <v>0.2646</v>
      </c>
      <c r="F127">
        <v>25418181</v>
      </c>
      <c r="G127">
        <v>0.2646</v>
      </c>
      <c r="L127" t="s">
        <v>7</v>
      </c>
      <c r="M127" t="s">
        <v>7</v>
      </c>
      <c r="N127" t="s">
        <v>7</v>
      </c>
      <c r="P127">
        <f t="shared" ref="P127" si="610">IF(C127=D127,0,((E127-D127)-(C127-E127))/(C127-D127))</f>
        <v>-0.6893203883495157</v>
      </c>
      <c r="Q127">
        <f t="shared" ref="Q127" si="611">F127*P127</f>
        <v>-17521270.39805828</v>
      </c>
      <c r="R127">
        <f t="shared" ref="R127" si="612">R128+Q127</f>
        <v>-1232357009.4108646</v>
      </c>
      <c r="S127">
        <f t="shared" ref="S127" si="613">R127/100000</f>
        <v>-12323.570094108645</v>
      </c>
      <c r="T127">
        <f t="shared" ref="T127" si="614">S127/1000</f>
        <v>-12.323570094108645</v>
      </c>
    </row>
    <row r="128" spans="1:20" x14ac:dyDescent="0.25">
      <c r="A128" s="5">
        <v>44465</v>
      </c>
      <c r="B128">
        <v>0.26419999999999999</v>
      </c>
      <c r="C128">
        <v>0.2949</v>
      </c>
      <c r="D128">
        <v>0.25740000000000002</v>
      </c>
      <c r="E128">
        <v>0.27289999999999998</v>
      </c>
      <c r="F128">
        <v>50423760</v>
      </c>
      <c r="G128">
        <v>0.27289999999999998</v>
      </c>
      <c r="L128" t="s">
        <v>8</v>
      </c>
      <c r="M128" t="s">
        <v>7</v>
      </c>
      <c r="N128" t="s">
        <v>7</v>
      </c>
      <c r="P128">
        <f t="shared" ref="P128" si="615">IF(C128=D128,0,((E128-D128)-(C128-E128))/(C128-D128))</f>
        <v>-0.17333333333333506</v>
      </c>
      <c r="Q128">
        <f t="shared" ref="Q128" si="616">F128*P128</f>
        <v>-8740118.4000000879</v>
      </c>
      <c r="R128">
        <f t="shared" ref="R128" si="617">R129+Q128</f>
        <v>-1214835739.0128064</v>
      </c>
      <c r="S128">
        <f t="shared" ref="S128" si="618">R128/100000</f>
        <v>-12148.357390128063</v>
      </c>
      <c r="T128">
        <f t="shared" ref="T128" si="619">S128/1000</f>
        <v>-12.148357390128064</v>
      </c>
    </row>
    <row r="129" spans="1:20" x14ac:dyDescent="0.25">
      <c r="A129" s="5">
        <v>44464</v>
      </c>
      <c r="B129">
        <v>0.2676</v>
      </c>
      <c r="C129">
        <v>0.27100000000000002</v>
      </c>
      <c r="D129">
        <v>0.2601</v>
      </c>
      <c r="E129">
        <v>0.26429999999999998</v>
      </c>
      <c r="F129">
        <v>13729807</v>
      </c>
      <c r="G129">
        <v>0.26429999999999998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-0.22935779816514248</v>
      </c>
      <c r="Q129">
        <f t="shared" ref="Q129" si="621">F129*P129</f>
        <v>-3149038.3027523602</v>
      </c>
      <c r="R129">
        <f t="shared" ref="R129" si="622">R130+Q129</f>
        <v>-1206095620.6128063</v>
      </c>
      <c r="S129">
        <f t="shared" ref="S129" si="623">R129/100000</f>
        <v>-12060.956206128063</v>
      </c>
      <c r="T129">
        <f t="shared" ref="T129" si="624">S129/1000</f>
        <v>-12.060956206128063</v>
      </c>
    </row>
    <row r="130" spans="1:20" x14ac:dyDescent="0.25">
      <c r="A130" s="5">
        <v>44463</v>
      </c>
      <c r="B130">
        <v>0.28789999999999999</v>
      </c>
      <c r="C130">
        <v>0.2893</v>
      </c>
      <c r="D130">
        <v>0.25309999999999999</v>
      </c>
      <c r="E130">
        <v>0.26750000000000002</v>
      </c>
      <c r="F130">
        <v>31181131</v>
      </c>
      <c r="G130">
        <v>0.26750000000000002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-0.20441988950276133</v>
      </c>
      <c r="Q130">
        <f t="shared" ref="Q130" si="626">F130*P130</f>
        <v>-6374043.3535911255</v>
      </c>
      <c r="R130">
        <f t="shared" ref="R130" si="627">R131+Q130</f>
        <v>-1202946582.3100541</v>
      </c>
      <c r="S130">
        <f t="shared" ref="S130" si="628">R130/100000</f>
        <v>-12029.465823100541</v>
      </c>
      <c r="T130">
        <f t="shared" ref="T130" si="629">S130/1000</f>
        <v>-12.029465823100541</v>
      </c>
    </row>
    <row r="131" spans="1:20" x14ac:dyDescent="0.25">
      <c r="A131" s="5">
        <v>44462</v>
      </c>
      <c r="B131">
        <v>0.28100000000000003</v>
      </c>
      <c r="C131">
        <v>0.28920000000000001</v>
      </c>
      <c r="D131">
        <v>0.26869999999999999</v>
      </c>
      <c r="E131">
        <v>0.28760000000000002</v>
      </c>
      <c r="F131">
        <v>27053446</v>
      </c>
      <c r="G131">
        <v>0.28760000000000002</v>
      </c>
      <c r="L131" t="s">
        <v>8</v>
      </c>
      <c r="M131" t="s">
        <v>7</v>
      </c>
      <c r="N131" t="s">
        <v>7</v>
      </c>
      <c r="P131">
        <f t="shared" ref="P131" si="630">IF(C131=D131,0,((E131-D131)-(C131-E131))/(C131-D131))</f>
        <v>0.84390243902439133</v>
      </c>
      <c r="Q131">
        <f t="shared" ref="Q131" si="631">F131*P131</f>
        <v>22830469.063414663</v>
      </c>
      <c r="R131">
        <f t="shared" ref="R131" si="632">R132+Q131</f>
        <v>-1196572538.9564629</v>
      </c>
      <c r="S131">
        <f t="shared" ref="S131" si="633">R131/100000</f>
        <v>-11965.725389564628</v>
      </c>
      <c r="T131">
        <f t="shared" ref="T131" si="634">S131/1000</f>
        <v>-11.965725389564629</v>
      </c>
    </row>
    <row r="132" spans="1:20" x14ac:dyDescent="0.25">
      <c r="A132" s="5">
        <v>44461</v>
      </c>
      <c r="B132">
        <v>0.25669999999999998</v>
      </c>
      <c r="C132">
        <v>0.28349999999999997</v>
      </c>
      <c r="D132">
        <v>0.25009999999999999</v>
      </c>
      <c r="E132">
        <v>0.28120000000000001</v>
      </c>
      <c r="F132">
        <v>31826397</v>
      </c>
      <c r="G132">
        <v>0.28120000000000001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0.86227544910179821</v>
      </c>
      <c r="Q132">
        <f t="shared" ref="Q132" si="636">F132*P132</f>
        <v>27443120.766467124</v>
      </c>
      <c r="R132">
        <f t="shared" ref="R132" si="637">R133+Q132</f>
        <v>-1219403008.0198774</v>
      </c>
      <c r="S132">
        <f t="shared" ref="S132" si="638">R132/100000</f>
        <v>-12194.030080198774</v>
      </c>
      <c r="T132">
        <f t="shared" ref="T132" si="639">S132/1000</f>
        <v>-12.194030080198774</v>
      </c>
    </row>
    <row r="133" spans="1:20" x14ac:dyDescent="0.25">
      <c r="A133" s="5">
        <v>44460</v>
      </c>
      <c r="B133">
        <v>0.26100000000000001</v>
      </c>
      <c r="C133">
        <v>0.28270000000000001</v>
      </c>
      <c r="D133">
        <v>0.2437</v>
      </c>
      <c r="E133">
        <v>0.25719999999999998</v>
      </c>
      <c r="F133">
        <v>57566725.600000001</v>
      </c>
      <c r="G133">
        <v>0.25719999999999998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-0.3076923076923086</v>
      </c>
      <c r="Q133">
        <f t="shared" ref="Q133" si="641">F133*P133</f>
        <v>-17712838.646153897</v>
      </c>
      <c r="R133">
        <f t="shared" ref="R133" si="642">R134+Q133</f>
        <v>-1246846128.7863445</v>
      </c>
      <c r="S133">
        <f t="shared" ref="S133" si="643">R133/100000</f>
        <v>-12468.461287863445</v>
      </c>
      <c r="T133">
        <f t="shared" ref="T133" si="644">S133/1000</f>
        <v>-12.468461287863445</v>
      </c>
    </row>
    <row r="134" spans="1:20" x14ac:dyDescent="0.25">
      <c r="A134" s="5">
        <v>44459</v>
      </c>
      <c r="B134">
        <v>0.29909999999999998</v>
      </c>
      <c r="C134">
        <v>0.29909999999999998</v>
      </c>
      <c r="D134">
        <v>0.2671</v>
      </c>
      <c r="E134">
        <v>0.26919999999999999</v>
      </c>
      <c r="F134">
        <v>24144522.600000001</v>
      </c>
      <c r="G134">
        <v>0.26919999999999999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-0.86875000000000047</v>
      </c>
      <c r="Q134">
        <f t="shared" ref="Q134" si="646">F134*P134</f>
        <v>-20975554.008750014</v>
      </c>
      <c r="R134">
        <f t="shared" ref="R134" si="647">R135+Q134</f>
        <v>-1229133290.1401906</v>
      </c>
      <c r="S134">
        <f t="shared" ref="S134" si="648">R134/100000</f>
        <v>-12291.332901401905</v>
      </c>
      <c r="T134">
        <f t="shared" ref="T134" si="649">S134/1000</f>
        <v>-12.291332901401905</v>
      </c>
    </row>
    <row r="135" spans="1:20" x14ac:dyDescent="0.25">
      <c r="A135" s="5">
        <v>44458</v>
      </c>
      <c r="B135">
        <v>0.30869999999999997</v>
      </c>
      <c r="C135">
        <v>0.30919999999999997</v>
      </c>
      <c r="D135">
        <v>0.29530000000000001</v>
      </c>
      <c r="E135">
        <v>0.29849999999999999</v>
      </c>
      <c r="F135">
        <v>15454617</v>
      </c>
      <c r="G135">
        <v>0.29849999999999999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-0.53956834532374276</v>
      </c>
      <c r="Q135">
        <f t="shared" ref="Q135" si="651">F135*P135</f>
        <v>-8338822.1223021857</v>
      </c>
      <c r="R135">
        <f t="shared" ref="R135" si="652">R136+Q135</f>
        <v>-1208157736.1314406</v>
      </c>
      <c r="S135">
        <f t="shared" ref="S135" si="653">R135/100000</f>
        <v>-12081.577361314407</v>
      </c>
      <c r="T135">
        <f t="shared" ref="T135" si="654">S135/1000</f>
        <v>-12.081577361314407</v>
      </c>
    </row>
    <row r="136" spans="1:20" x14ac:dyDescent="0.25">
      <c r="A136" s="5">
        <v>44457</v>
      </c>
      <c r="B136">
        <v>0.30630000000000002</v>
      </c>
      <c r="C136">
        <v>0.314</v>
      </c>
      <c r="D136">
        <v>0.30249999999999999</v>
      </c>
      <c r="E136">
        <v>0.30919999999999997</v>
      </c>
      <c r="F136">
        <v>14574023</v>
      </c>
      <c r="G136">
        <v>0.30919999999999997</v>
      </c>
      <c r="L136" t="s">
        <v>7</v>
      </c>
      <c r="M136" t="s">
        <v>7</v>
      </c>
      <c r="N136" t="s">
        <v>7</v>
      </c>
      <c r="P136">
        <f t="shared" ref="P136" si="655">IF(C136=D136,0,((E136-D136)-(C136-E136))/(C136-D136))</f>
        <v>0.16521739130434396</v>
      </c>
      <c r="Q136">
        <f t="shared" ref="Q136" si="656">F136*P136</f>
        <v>2407882.0608695089</v>
      </c>
      <c r="R136">
        <f t="shared" ref="R136" si="657">R137+Q136</f>
        <v>-1199818914.0091383</v>
      </c>
      <c r="S136">
        <f t="shared" ref="S136" si="658">R136/100000</f>
        <v>-11998.189140091383</v>
      </c>
      <c r="T136">
        <f t="shared" ref="T136" si="659">S136/1000</f>
        <v>-11.998189140091382</v>
      </c>
    </row>
    <row r="137" spans="1:20" x14ac:dyDescent="0.25">
      <c r="A137" s="5">
        <v>44456</v>
      </c>
      <c r="B137">
        <v>0.31619999999999998</v>
      </c>
      <c r="C137">
        <v>0.32240000000000002</v>
      </c>
      <c r="D137">
        <v>0.3019</v>
      </c>
      <c r="E137">
        <v>0.30630000000000002</v>
      </c>
      <c r="F137">
        <v>21998361</v>
      </c>
      <c r="G137">
        <v>0.30630000000000002</v>
      </c>
      <c r="L137" t="s">
        <v>7</v>
      </c>
      <c r="M137" t="s">
        <v>7</v>
      </c>
      <c r="N137" t="s">
        <v>7</v>
      </c>
      <c r="P137">
        <f t="shared" ref="P137" si="660">IF(C137=D137,0,((E137-D137)-(C137-E137))/(C137-D137))</f>
        <v>-0.57073170731707212</v>
      </c>
      <c r="Q137">
        <f t="shared" ref="Q137" si="661">F137*P137</f>
        <v>-12555162.131707294</v>
      </c>
      <c r="R137">
        <f t="shared" ref="R137" si="662">R138+Q137</f>
        <v>-1202226796.0700078</v>
      </c>
      <c r="S137">
        <f t="shared" ref="S137" si="663">R137/100000</f>
        <v>-12022.267960700077</v>
      </c>
      <c r="T137">
        <f t="shared" ref="T137" si="664">S137/1000</f>
        <v>-12.022267960700077</v>
      </c>
    </row>
    <row r="138" spans="1:20" x14ac:dyDescent="0.25">
      <c r="A138" s="5">
        <v>44455</v>
      </c>
      <c r="B138">
        <v>0.32679999999999998</v>
      </c>
      <c r="C138">
        <v>0.32729999999999998</v>
      </c>
      <c r="D138">
        <v>0.31040000000000001</v>
      </c>
      <c r="E138">
        <v>0.316</v>
      </c>
      <c r="F138">
        <v>23769384</v>
      </c>
      <c r="G138">
        <v>0.316</v>
      </c>
      <c r="L138" t="s">
        <v>7</v>
      </c>
      <c r="M138" t="s">
        <v>7</v>
      </c>
      <c r="N138" t="s">
        <v>7</v>
      </c>
      <c r="P138">
        <f t="shared" ref="P138" si="665">IF(C138=D138,0,((E138-D138)-(C138-E138))/(C138-D138))</f>
        <v>-0.3372781065088753</v>
      </c>
      <c r="Q138">
        <f t="shared" ref="Q138" si="666">F138*P138</f>
        <v>-8016892.8284023562</v>
      </c>
      <c r="R138">
        <f t="shared" ref="R138" si="667">R139+Q138</f>
        <v>-1189671633.9383006</v>
      </c>
      <c r="S138">
        <f t="shared" ref="S138" si="668">R138/100000</f>
        <v>-11896.716339383007</v>
      </c>
      <c r="T138">
        <f t="shared" ref="T138" si="669">S138/1000</f>
        <v>-11.896716339383007</v>
      </c>
    </row>
    <row r="139" spans="1:20" x14ac:dyDescent="0.25">
      <c r="A139" s="5">
        <v>44454</v>
      </c>
      <c r="B139">
        <v>0.31580000000000003</v>
      </c>
      <c r="C139">
        <v>0.33379999999999999</v>
      </c>
      <c r="D139">
        <v>0.31219999999999998</v>
      </c>
      <c r="E139">
        <v>0.3266</v>
      </c>
      <c r="F139">
        <v>36560207</v>
      </c>
      <c r="G139">
        <v>0.3266</v>
      </c>
      <c r="L139" t="s">
        <v>8</v>
      </c>
      <c r="M139" t="s">
        <v>7</v>
      </c>
      <c r="N139" t="s">
        <v>7</v>
      </c>
      <c r="P139">
        <f t="shared" ref="P139" si="670">IF(C139=D139,0,((E139-D139)-(C139-E139))/(C139-D139))</f>
        <v>0.33333333333333504</v>
      </c>
      <c r="Q139">
        <f t="shared" ref="Q139" si="671">F139*P139</f>
        <v>12186735.666666729</v>
      </c>
      <c r="R139">
        <f t="shared" ref="R139" si="672">R140+Q139</f>
        <v>-1181654741.1098983</v>
      </c>
      <c r="S139">
        <f t="shared" ref="S139" si="673">R139/100000</f>
        <v>-11816.547411098984</v>
      </c>
      <c r="T139">
        <f t="shared" ref="T139" si="674">S139/1000</f>
        <v>-11.816547411098984</v>
      </c>
    </row>
    <row r="140" spans="1:20" x14ac:dyDescent="0.25">
      <c r="A140" s="5">
        <v>44453</v>
      </c>
      <c r="B140">
        <v>0.29759999999999998</v>
      </c>
      <c r="C140">
        <v>0.32</v>
      </c>
      <c r="D140">
        <v>0.29549999999999998</v>
      </c>
      <c r="E140">
        <v>0.31580000000000003</v>
      </c>
      <c r="F140">
        <v>25298065</v>
      </c>
      <c r="G140">
        <v>0.31580000000000003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0.65714285714285892</v>
      </c>
      <c r="Q140">
        <f t="shared" ref="Q140" si="676">F140*P140</f>
        <v>16624442.714285759</v>
      </c>
      <c r="R140">
        <f t="shared" ref="R140" si="677">R141+Q140</f>
        <v>-1193841476.7765651</v>
      </c>
      <c r="S140">
        <f t="shared" ref="S140" si="678">R140/100000</f>
        <v>-11938.414767765651</v>
      </c>
      <c r="T140">
        <f t="shared" ref="T140" si="679">S140/1000</f>
        <v>-11.938414767765652</v>
      </c>
    </row>
    <row r="141" spans="1:20" x14ac:dyDescent="0.25">
      <c r="A141" s="5">
        <v>44452</v>
      </c>
      <c r="B141">
        <v>0.31940000000000002</v>
      </c>
      <c r="C141">
        <v>0.31990000000000002</v>
      </c>
      <c r="D141">
        <v>0.28504000000000002</v>
      </c>
      <c r="E141">
        <v>0.29749999999999999</v>
      </c>
      <c r="F141">
        <v>33532130.199999999</v>
      </c>
      <c r="G141">
        <v>0.29749999999999999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-0.2851405622489977</v>
      </c>
      <c r="Q141">
        <f t="shared" ref="Q141" si="681">F141*P141</f>
        <v>-9561370.4586345963</v>
      </c>
      <c r="R141">
        <f t="shared" ref="R141" si="682">R142+Q141</f>
        <v>-1210465919.4908509</v>
      </c>
      <c r="S141">
        <f t="shared" ref="S141" si="683">R141/100000</f>
        <v>-12104.659194908509</v>
      </c>
      <c r="T141">
        <f t="shared" ref="T141" si="684">S141/1000</f>
        <v>-12.104659194908509</v>
      </c>
    </row>
    <row r="142" spans="1:20" x14ac:dyDescent="0.25">
      <c r="A142" s="5">
        <v>44451</v>
      </c>
      <c r="B142">
        <v>0.3105</v>
      </c>
      <c r="C142">
        <v>0.32129999999999997</v>
      </c>
      <c r="D142">
        <v>0.30459999999999998</v>
      </c>
      <c r="E142">
        <v>0.31950000000000001</v>
      </c>
      <c r="F142">
        <v>23362960</v>
      </c>
      <c r="G142">
        <v>0.31950000000000001</v>
      </c>
      <c r="L142" t="s">
        <v>7</v>
      </c>
      <c r="M142" t="s">
        <v>7</v>
      </c>
      <c r="N142" t="s">
        <v>7</v>
      </c>
      <c r="P142">
        <f t="shared" ref="P142" si="685">IF(C142=D142,0,((E142-D142)-(C142-E142))/(C142-D142))</f>
        <v>0.78443113772455464</v>
      </c>
      <c r="Q142">
        <f t="shared" ref="Q142" si="686">F142*P142</f>
        <v>18326633.293413263</v>
      </c>
      <c r="R142">
        <f t="shared" ref="R142" si="687">R143+Q142</f>
        <v>-1200904549.0322163</v>
      </c>
      <c r="S142">
        <f t="shared" ref="S142" si="688">R142/100000</f>
        <v>-12009.045490322163</v>
      </c>
      <c r="T142">
        <f t="shared" ref="T142" si="689">S142/1000</f>
        <v>-12.009045490322164</v>
      </c>
    </row>
    <row r="143" spans="1:20" x14ac:dyDescent="0.25">
      <c r="A143" s="5">
        <v>44450</v>
      </c>
      <c r="B143">
        <v>0.30759999999999998</v>
      </c>
      <c r="C143">
        <v>0.31740000000000002</v>
      </c>
      <c r="D143">
        <v>0.30220000000000002</v>
      </c>
      <c r="E143">
        <v>0.31030000000000002</v>
      </c>
      <c r="F143">
        <v>36565838</v>
      </c>
      <c r="G143">
        <v>0.31030000000000002</v>
      </c>
      <c r="L143" t="s">
        <v>7</v>
      </c>
      <c r="M143" t="s">
        <v>7</v>
      </c>
      <c r="N143" t="s">
        <v>7</v>
      </c>
      <c r="P143">
        <f t="shared" ref="P143" si="690">IF(C143=D143,0,((E143-D143)-(C143-E143))/(C143-D143))</f>
        <v>6.578947368421062E-2</v>
      </c>
      <c r="Q143">
        <f t="shared" ref="Q143" si="691">F143*P143</f>
        <v>2405647.2368421089</v>
      </c>
      <c r="R143">
        <f t="shared" ref="R143" si="692">R144+Q143</f>
        <v>-1219231182.3256295</v>
      </c>
      <c r="S143">
        <f t="shared" ref="S143" si="693">R143/100000</f>
        <v>-12192.311823256296</v>
      </c>
      <c r="T143">
        <f t="shared" ref="T143" si="694">S143/1000</f>
        <v>-12.192311823256295</v>
      </c>
    </row>
    <row r="144" spans="1:20" x14ac:dyDescent="0.25">
      <c r="A144" s="5">
        <v>44449</v>
      </c>
      <c r="B144">
        <v>0.33110000000000001</v>
      </c>
      <c r="C144">
        <v>0.34300000000000003</v>
      </c>
      <c r="D144">
        <v>0.29930000000000001</v>
      </c>
      <c r="E144">
        <v>0.30769999999999997</v>
      </c>
      <c r="F144">
        <v>44622615</v>
      </c>
      <c r="G144">
        <v>0.30769999999999997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-0.61556064073226724</v>
      </c>
      <c r="Q144">
        <f t="shared" ref="Q144" si="696">F144*P144</f>
        <v>-27467925.48054928</v>
      </c>
      <c r="R144">
        <f t="shared" ref="R144" si="697">R145+Q144</f>
        <v>-1221636829.5624716</v>
      </c>
      <c r="S144">
        <f t="shared" ref="S144" si="698">R144/100000</f>
        <v>-12216.368295624716</v>
      </c>
      <c r="T144">
        <f t="shared" ref="T144" si="699">S144/1000</f>
        <v>-12.216368295624715</v>
      </c>
    </row>
    <row r="145" spans="1:20" x14ac:dyDescent="0.25">
      <c r="A145" s="5">
        <v>44448</v>
      </c>
      <c r="B145">
        <v>0.3261</v>
      </c>
      <c r="C145">
        <v>0.34200000000000003</v>
      </c>
      <c r="D145">
        <v>0.31590000000000001</v>
      </c>
      <c r="E145">
        <v>0.33110000000000001</v>
      </c>
      <c r="F145">
        <v>57245033</v>
      </c>
      <c r="G145">
        <v>0.33110000000000001</v>
      </c>
      <c r="L145" t="s">
        <v>8</v>
      </c>
      <c r="M145" t="s">
        <v>7</v>
      </c>
      <c r="N145" t="s">
        <v>7</v>
      </c>
      <c r="P145">
        <f t="shared" ref="P145" si="700">IF(C145=D145,0,((E145-D145)-(C145-E145))/(C145-D145))</f>
        <v>0.16475095785440491</v>
      </c>
      <c r="Q145">
        <f t="shared" ref="Q145" si="701">F145*P145</f>
        <v>9431174.0191570185</v>
      </c>
      <c r="R145">
        <f t="shared" ref="R145" si="702">R146+Q145</f>
        <v>-1194168904.0819223</v>
      </c>
      <c r="S145">
        <f t="shared" ref="S145" si="703">R145/100000</f>
        <v>-11941.689040819223</v>
      </c>
      <c r="T145">
        <f t="shared" ref="T145" si="704">S145/1000</f>
        <v>-11.941689040819224</v>
      </c>
    </row>
    <row r="146" spans="1:20" x14ac:dyDescent="0.25">
      <c r="A146" s="5">
        <v>44447</v>
      </c>
      <c r="B146">
        <v>0.33939999999999998</v>
      </c>
      <c r="C146">
        <v>0.34560000000000002</v>
      </c>
      <c r="D146">
        <v>0.29649999999999999</v>
      </c>
      <c r="E146">
        <v>0.32579999999999998</v>
      </c>
      <c r="F146">
        <v>97536266.599999994</v>
      </c>
      <c r="G146">
        <v>0.32579999999999998</v>
      </c>
      <c r="L146" t="s">
        <v>7</v>
      </c>
      <c r="M146" t="s">
        <v>7</v>
      </c>
      <c r="N146" t="s">
        <v>7</v>
      </c>
      <c r="P146">
        <f t="shared" ref="P146" si="705">IF(C146=D146,0,((E146-D146)-(C146-E146))/(C146-D146))</f>
        <v>0.1934826883910376</v>
      </c>
      <c r="Q146">
        <f t="shared" ref="Q146" si="706">F146*P146</f>
        <v>18871579.077392969</v>
      </c>
      <c r="R146">
        <f t="shared" ref="R146" si="707">R147+Q146</f>
        <v>-1203600078.1010792</v>
      </c>
      <c r="S146">
        <f t="shared" ref="S146" si="708">R146/100000</f>
        <v>-12036.000781010793</v>
      </c>
      <c r="T146">
        <f t="shared" ref="T146" si="709">S146/1000</f>
        <v>-12.036000781010793</v>
      </c>
    </row>
    <row r="147" spans="1:20" x14ac:dyDescent="0.25">
      <c r="A147" s="5">
        <v>44446</v>
      </c>
      <c r="B147">
        <v>0.44130000000000003</v>
      </c>
      <c r="C147">
        <v>0.46500000000000002</v>
      </c>
      <c r="D147">
        <v>0.29899999999999999</v>
      </c>
      <c r="E147">
        <v>0.33929999999999999</v>
      </c>
      <c r="F147">
        <v>178022755.19999999</v>
      </c>
      <c r="G147">
        <v>0.33929999999999999</v>
      </c>
      <c r="L147" t="s">
        <v>8</v>
      </c>
      <c r="M147" t="s">
        <v>8</v>
      </c>
      <c r="N147" t="s">
        <v>7</v>
      </c>
      <c r="P147">
        <f t="shared" ref="P147" si="710">IF(C147=D147,0,((E147-D147)-(C147-E147))/(C147-D147))</f>
        <v>-0.51445783132530132</v>
      </c>
      <c r="Q147">
        <f t="shared" ref="Q147" si="711">F147*P147</f>
        <v>-91585200.566746995</v>
      </c>
      <c r="R147">
        <f t="shared" ref="R147" si="712">R148+Q147</f>
        <v>-1222471657.1784723</v>
      </c>
      <c r="S147">
        <f t="shared" ref="S147" si="713">R147/100000</f>
        <v>-12224.716571784722</v>
      </c>
      <c r="T147">
        <f t="shared" ref="T147" si="714">S147/1000</f>
        <v>-12.224716571784722</v>
      </c>
    </row>
    <row r="148" spans="1:20" x14ac:dyDescent="0.25">
      <c r="A148" s="5">
        <v>44445</v>
      </c>
      <c r="B148">
        <v>0.39090000000000003</v>
      </c>
      <c r="C148">
        <v>0.44180000000000003</v>
      </c>
      <c r="D148">
        <v>0.37059999999999998</v>
      </c>
      <c r="E148">
        <v>0.44130000000000003</v>
      </c>
      <c r="F148">
        <v>155945001.5</v>
      </c>
      <c r="G148">
        <v>0.44130000000000003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0.9859550561797753</v>
      </c>
      <c r="Q148">
        <f t="shared" ref="Q148" si="716">F148*P148</f>
        <v>153754762.71488765</v>
      </c>
      <c r="R148">
        <f t="shared" ref="R148" si="717">R149+Q148</f>
        <v>-1130886456.6117253</v>
      </c>
      <c r="S148">
        <f t="shared" ref="S148" si="718">R148/100000</f>
        <v>-11308.864566117254</v>
      </c>
      <c r="T148">
        <f t="shared" ref="T148" si="719">S148/1000</f>
        <v>-11.308864566117254</v>
      </c>
    </row>
    <row r="149" spans="1:20" x14ac:dyDescent="0.25">
      <c r="A149" s="5">
        <v>44444</v>
      </c>
      <c r="B149">
        <v>0.37519999999999998</v>
      </c>
      <c r="C149">
        <v>0.39079999999999998</v>
      </c>
      <c r="D149">
        <v>0.36630000000000001</v>
      </c>
      <c r="E149">
        <v>0.39079999999999998</v>
      </c>
      <c r="F149">
        <v>64916143</v>
      </c>
      <c r="G149">
        <v>0.39079999999999998</v>
      </c>
      <c r="L149" t="s">
        <v>7</v>
      </c>
      <c r="M149" t="s">
        <v>8</v>
      </c>
      <c r="N149" t="s">
        <v>8</v>
      </c>
      <c r="P149">
        <f t="shared" ref="P149" si="720">IF(C149=D149,0,((E149-D149)-(C149-E149))/(C149-D149))</f>
        <v>1</v>
      </c>
      <c r="Q149">
        <f t="shared" ref="Q149" si="721">F149*P149</f>
        <v>64916143</v>
      </c>
      <c r="R149">
        <f t="shared" ref="R149" si="722">R150+Q149</f>
        <v>-1284641219.3266129</v>
      </c>
      <c r="S149">
        <f t="shared" ref="S149" si="723">R149/100000</f>
        <v>-12846.412193266129</v>
      </c>
      <c r="T149">
        <f t="shared" ref="T149" si="724">S149/1000</f>
        <v>-12.846412193266129</v>
      </c>
    </row>
    <row r="150" spans="1:20" x14ac:dyDescent="0.25">
      <c r="A150" s="5">
        <v>44443</v>
      </c>
      <c r="B150">
        <v>0.36870000000000003</v>
      </c>
      <c r="C150">
        <v>0.39800000000000002</v>
      </c>
      <c r="D150">
        <v>0.3619</v>
      </c>
      <c r="E150">
        <v>0.37519999999999998</v>
      </c>
      <c r="F150">
        <v>118498025.7</v>
      </c>
      <c r="G150">
        <v>0.37519999999999998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-0.2631578947368437</v>
      </c>
      <c r="Q150">
        <f t="shared" ref="Q150" si="726">F150*P150</f>
        <v>-31183690.9736844</v>
      </c>
      <c r="R150">
        <f t="shared" ref="R150" si="727">R151+Q150</f>
        <v>-1349557362.3266129</v>
      </c>
      <c r="S150">
        <f t="shared" ref="S150" si="728">R150/100000</f>
        <v>-13495.573623266129</v>
      </c>
      <c r="T150">
        <f t="shared" ref="T150" si="729">S150/1000</f>
        <v>-13.495573623266129</v>
      </c>
    </row>
    <row r="151" spans="1:20" x14ac:dyDescent="0.25">
      <c r="A151" s="5">
        <v>44442</v>
      </c>
      <c r="B151">
        <v>0.3448</v>
      </c>
      <c r="C151">
        <v>0.37563999999999997</v>
      </c>
      <c r="D151">
        <v>0.33560000000000001</v>
      </c>
      <c r="E151">
        <v>0.36880000000000002</v>
      </c>
      <c r="F151">
        <v>112282281.59999999</v>
      </c>
      <c r="G151">
        <v>0.36880000000000002</v>
      </c>
      <c r="L151" t="s">
        <v>8</v>
      </c>
      <c r="M151" t="s">
        <v>7</v>
      </c>
      <c r="N151" t="s">
        <v>7</v>
      </c>
      <c r="P151">
        <f t="shared" ref="P151" si="730">IF(C151=D151,0,((E151-D151)-(C151-E151))/(C151-D151))</f>
        <v>0.65834165834166014</v>
      </c>
      <c r="Q151">
        <f t="shared" ref="Q151" si="731">F151*P151</f>
        <v>73920103.470929265</v>
      </c>
      <c r="R151">
        <f t="shared" ref="R151" si="732">R152+Q151</f>
        <v>-1318373671.3529286</v>
      </c>
      <c r="S151">
        <f t="shared" ref="S151" si="733">R151/100000</f>
        <v>-13183.736713529286</v>
      </c>
      <c r="T151">
        <f t="shared" ref="T151" si="734">S151/1000</f>
        <v>-13.183736713529287</v>
      </c>
    </row>
    <row r="152" spans="1:20" x14ac:dyDescent="0.25">
      <c r="A152" s="5">
        <v>44441</v>
      </c>
      <c r="B152">
        <v>0.3417</v>
      </c>
      <c r="C152">
        <v>0.35427999999999998</v>
      </c>
      <c r="D152">
        <v>0.32950000000000002</v>
      </c>
      <c r="E152">
        <v>0.34449999999999997</v>
      </c>
      <c r="F152">
        <v>61568218.100000001</v>
      </c>
      <c r="G152">
        <v>0.34449999999999997</v>
      </c>
      <c r="L152" t="s">
        <v>8</v>
      </c>
      <c r="M152" t="s">
        <v>7</v>
      </c>
      <c r="N152" t="s">
        <v>7</v>
      </c>
      <c r="P152">
        <f t="shared" ref="P152" si="735">IF(C152=D152,0,((E152-D152)-(C152-E152))/(C152-D152))</f>
        <v>0.2106537530266325</v>
      </c>
      <c r="Q152">
        <f t="shared" ref="Q152" si="736">F152*P152</f>
        <v>12969576.209927246</v>
      </c>
      <c r="R152">
        <f t="shared" ref="R152" si="737">R153+Q152</f>
        <v>-1392293774.8238578</v>
      </c>
      <c r="S152">
        <f t="shared" ref="S152" si="738">R152/100000</f>
        <v>-13922.937748238577</v>
      </c>
      <c r="T152">
        <f t="shared" ref="T152" si="739">S152/1000</f>
        <v>-13.922937748238578</v>
      </c>
    </row>
    <row r="153" spans="1:20" x14ac:dyDescent="0.25">
      <c r="A153" s="5">
        <v>44440</v>
      </c>
      <c r="B153">
        <v>0.3306</v>
      </c>
      <c r="C153">
        <v>0.3448</v>
      </c>
      <c r="D153">
        <v>0.32519999999999999</v>
      </c>
      <c r="E153">
        <v>0.34179999999999999</v>
      </c>
      <c r="F153">
        <v>44742140.799999997</v>
      </c>
      <c r="G153">
        <v>0.34179999999999999</v>
      </c>
      <c r="L153" t="s">
        <v>8</v>
      </c>
      <c r="M153" t="s">
        <v>7</v>
      </c>
      <c r="N153" t="s">
        <v>7</v>
      </c>
      <c r="P153">
        <f t="shared" ref="P153" si="740">IF(C153=D153,0,((E153-D153)-(C153-E153))/(C153-D153))</f>
        <v>0.69387755102040793</v>
      </c>
      <c r="Q153">
        <f t="shared" ref="Q153" si="741">F153*P153</f>
        <v>31045567.085714273</v>
      </c>
      <c r="R153">
        <f t="shared" ref="R153" si="742">R154+Q153</f>
        <v>-1405263351.0337851</v>
      </c>
      <c r="S153">
        <f t="shared" ref="S153" si="743">R153/100000</f>
        <v>-14052.633510337851</v>
      </c>
      <c r="T153">
        <f t="shared" ref="T153" si="744">S153/1000</f>
        <v>-14.052633510337852</v>
      </c>
    </row>
    <row r="154" spans="1:20" x14ac:dyDescent="0.25">
      <c r="A154" s="5">
        <v>44439</v>
      </c>
      <c r="B154">
        <v>0.3246</v>
      </c>
      <c r="C154">
        <v>0.33589999999999998</v>
      </c>
      <c r="D154">
        <v>0.3201</v>
      </c>
      <c r="E154">
        <v>0.33050000000000002</v>
      </c>
      <c r="F154">
        <v>49949326</v>
      </c>
      <c r="G154">
        <v>0.33050000000000002</v>
      </c>
      <c r="L154" t="s">
        <v>8</v>
      </c>
      <c r="M154" t="s">
        <v>7</v>
      </c>
      <c r="N154" t="s">
        <v>7</v>
      </c>
      <c r="P154">
        <f t="shared" ref="P154" si="745">IF(C154=D154,0,((E154-D154)-(C154-E154))/(C154-D154))</f>
        <v>0.31645569620253583</v>
      </c>
      <c r="Q154">
        <f t="shared" ref="Q154" si="746">F154*P154</f>
        <v>15806748.734177424</v>
      </c>
      <c r="R154">
        <f t="shared" ref="R154" si="747">R155+Q154</f>
        <v>-1436308918.1194994</v>
      </c>
      <c r="S154">
        <f t="shared" ref="S154" si="748">R154/100000</f>
        <v>-14363.089181194995</v>
      </c>
      <c r="T154">
        <f t="shared" ref="T154" si="749">S154/1000</f>
        <v>-14.363089181194995</v>
      </c>
    </row>
    <row r="155" spans="1:20" x14ac:dyDescent="0.25">
      <c r="A155" s="5">
        <v>44438</v>
      </c>
      <c r="B155">
        <v>0.3291</v>
      </c>
      <c r="C155">
        <v>0.33529999999999999</v>
      </c>
      <c r="D155">
        <v>0.31900000000000001</v>
      </c>
      <c r="E155">
        <v>0.3246</v>
      </c>
      <c r="F155">
        <v>72957683</v>
      </c>
      <c r="G155">
        <v>0.3246</v>
      </c>
      <c r="L155" t="s">
        <v>8</v>
      </c>
      <c r="M155" t="s">
        <v>7</v>
      </c>
      <c r="N155" t="s">
        <v>7</v>
      </c>
      <c r="P155">
        <f t="shared" ref="P155" si="750">IF(C155=D155,0,((E155-D155)-(C155-E155))/(C155-D155))</f>
        <v>-0.31288343558282206</v>
      </c>
      <c r="Q155">
        <f t="shared" ref="Q155" si="751">F155*P155</f>
        <v>-22827250.509202451</v>
      </c>
      <c r="R155">
        <f t="shared" ref="R155" si="752">R156+Q155</f>
        <v>-1452115666.8536768</v>
      </c>
      <c r="S155">
        <f t="shared" ref="S155" si="753">R155/100000</f>
        <v>-14521.156668536769</v>
      </c>
      <c r="T155">
        <f t="shared" ref="T155" si="754">S155/1000</f>
        <v>-14.521156668536769</v>
      </c>
    </row>
    <row r="156" spans="1:20" x14ac:dyDescent="0.25">
      <c r="A156" s="5">
        <v>44437</v>
      </c>
      <c r="B156">
        <v>0.32890000000000003</v>
      </c>
      <c r="C156">
        <v>0.3352</v>
      </c>
      <c r="D156">
        <v>0.32169999999999999</v>
      </c>
      <c r="E156">
        <v>0.3291</v>
      </c>
      <c r="F156">
        <v>26602349</v>
      </c>
      <c r="G156">
        <v>0.3291</v>
      </c>
      <c r="L156" t="s">
        <v>8</v>
      </c>
      <c r="M156" t="s">
        <v>7</v>
      </c>
      <c r="N156" t="s">
        <v>7</v>
      </c>
      <c r="P156">
        <f t="shared" ref="P156" si="755">IF(C156=D156,0,((E156-D156)-(C156-E156))/(C156-D156))</f>
        <v>9.6296296296297948E-2</v>
      </c>
      <c r="Q156">
        <f t="shared" ref="Q156" si="756">F156*P156</f>
        <v>2561707.6814815253</v>
      </c>
      <c r="R156">
        <f t="shared" ref="R156" si="757">R157+Q156</f>
        <v>-1429288416.3444743</v>
      </c>
      <c r="S156">
        <f t="shared" ref="S156" si="758">R156/100000</f>
        <v>-14292.884163444744</v>
      </c>
      <c r="T156">
        <f t="shared" ref="T156" si="759">S156/1000</f>
        <v>-14.292884163444743</v>
      </c>
    </row>
    <row r="157" spans="1:20" x14ac:dyDescent="0.25">
      <c r="A157" s="5">
        <v>44436</v>
      </c>
      <c r="B157">
        <v>0.33710000000000001</v>
      </c>
      <c r="C157">
        <v>0.3377</v>
      </c>
      <c r="D157">
        <v>0.32390000000000002</v>
      </c>
      <c r="E157">
        <v>0.32890000000000003</v>
      </c>
      <c r="F157">
        <v>25869140</v>
      </c>
      <c r="G157">
        <v>0.32890000000000003</v>
      </c>
      <c r="L157" t="s">
        <v>8</v>
      </c>
      <c r="M157" t="s">
        <v>7</v>
      </c>
      <c r="N157" t="s">
        <v>7</v>
      </c>
      <c r="P157">
        <f t="shared" ref="P157" si="760">IF(C157=D157,0,((E157-D157)-(C157-E157))/(C157-D157))</f>
        <v>-0.27536231884057794</v>
      </c>
      <c r="Q157">
        <f t="shared" ref="Q157" si="761">F157*P157</f>
        <v>-7123386.3768115481</v>
      </c>
      <c r="R157">
        <f t="shared" ref="R157" si="762">R158+Q157</f>
        <v>-1431850124.0259559</v>
      </c>
      <c r="S157">
        <f t="shared" ref="S157" si="763">R157/100000</f>
        <v>-14318.501240259558</v>
      </c>
      <c r="T157">
        <f t="shared" ref="T157" si="764">S157/1000</f>
        <v>-14.318501240259559</v>
      </c>
    </row>
    <row r="158" spans="1:20" x14ac:dyDescent="0.25">
      <c r="A158" s="5">
        <v>44435</v>
      </c>
      <c r="B158">
        <v>0.31780000000000003</v>
      </c>
      <c r="C158">
        <v>0.33939999999999998</v>
      </c>
      <c r="D158">
        <v>0.315</v>
      </c>
      <c r="E158">
        <v>0.3372</v>
      </c>
      <c r="F158">
        <v>44395011.600000001</v>
      </c>
      <c r="G158">
        <v>0.3372</v>
      </c>
      <c r="L158" t="s">
        <v>8</v>
      </c>
      <c r="M158" t="s">
        <v>7</v>
      </c>
      <c r="N158" t="s">
        <v>7</v>
      </c>
      <c r="P158">
        <f t="shared" ref="P158" si="765">IF(C158=D158,0,((E158-D158)-(C158-E158))/(C158-D158))</f>
        <v>0.81967213114754245</v>
      </c>
      <c r="Q158">
        <f t="shared" ref="Q158" si="766">F158*P158</f>
        <v>36389353.770491868</v>
      </c>
      <c r="R158">
        <f t="shared" ref="R158" si="767">R159+Q158</f>
        <v>-1424726737.6491444</v>
      </c>
      <c r="S158">
        <f t="shared" ref="S158" si="768">R158/100000</f>
        <v>-14247.267376491443</v>
      </c>
      <c r="T158">
        <f t="shared" ref="T158" si="769">S158/1000</f>
        <v>-14.247267376491443</v>
      </c>
    </row>
    <row r="159" spans="1:20" x14ac:dyDescent="0.25">
      <c r="A159" s="5">
        <v>44434</v>
      </c>
      <c r="B159">
        <v>0.34281</v>
      </c>
      <c r="C159">
        <v>0.34300000000000003</v>
      </c>
      <c r="D159">
        <v>0.31111</v>
      </c>
      <c r="E159">
        <v>0.318</v>
      </c>
      <c r="F159">
        <v>38879061.799999997</v>
      </c>
      <c r="G159">
        <v>0.318</v>
      </c>
      <c r="L159" t="s">
        <v>7</v>
      </c>
      <c r="M159" t="s">
        <v>7</v>
      </c>
      <c r="N159" t="s">
        <v>7</v>
      </c>
      <c r="P159">
        <f t="shared" ref="P159" si="770">IF(C159=D159,0,((E159-D159)-(C159-E159))/(C159-D159))</f>
        <v>-0.5678896205707118</v>
      </c>
      <c r="Q159">
        <f t="shared" ref="Q159" si="771">F159*P159</f>
        <v>-22079015.653747253</v>
      </c>
      <c r="R159">
        <f t="shared" ref="R159" si="772">R160+Q159</f>
        <v>-1461116091.4196362</v>
      </c>
      <c r="S159">
        <f t="shared" ref="S159" si="773">R159/100000</f>
        <v>-14611.160914196362</v>
      </c>
      <c r="T159">
        <f t="shared" ref="T159" si="774">S159/1000</f>
        <v>-14.611160914196361</v>
      </c>
    </row>
    <row r="160" spans="1:20" x14ac:dyDescent="0.25">
      <c r="A160" s="5">
        <v>44433</v>
      </c>
      <c r="B160">
        <v>0.33040000000000003</v>
      </c>
      <c r="C160">
        <v>0.34283000000000002</v>
      </c>
      <c r="D160">
        <v>0.31907000000000002</v>
      </c>
      <c r="E160">
        <v>0.34281</v>
      </c>
      <c r="F160">
        <v>30708885.100000001</v>
      </c>
      <c r="G160">
        <v>0.34281</v>
      </c>
      <c r="L160" t="s">
        <v>7</v>
      </c>
      <c r="M160" t="s">
        <v>7</v>
      </c>
      <c r="N160" t="s">
        <v>7</v>
      </c>
      <c r="P160">
        <f t="shared" ref="P160" si="775">IF(C160=D160,0,((E160-D160)-(C160-E160))/(C160-D160))</f>
        <v>0.9983164983164966</v>
      </c>
      <c r="Q160">
        <f t="shared" ref="Q160" si="776">F160*P160</f>
        <v>30657186.64023564</v>
      </c>
      <c r="R160">
        <f t="shared" ref="R160" si="777">R161+Q160</f>
        <v>-1439037075.7658889</v>
      </c>
      <c r="S160">
        <f t="shared" ref="S160" si="778">R160/100000</f>
        <v>-14390.370757658889</v>
      </c>
      <c r="T160">
        <f t="shared" ref="T160" si="779">S160/1000</f>
        <v>-14.390370757658889</v>
      </c>
    </row>
    <row r="161" spans="1:20" x14ac:dyDescent="0.25">
      <c r="A161" s="5">
        <v>44432</v>
      </c>
      <c r="B161">
        <v>0.35049999999999998</v>
      </c>
      <c r="C161">
        <v>0.37010999999999999</v>
      </c>
      <c r="D161">
        <v>0.31900000000000001</v>
      </c>
      <c r="E161">
        <v>0.33145000000000002</v>
      </c>
      <c r="F161">
        <v>71935938.299999997</v>
      </c>
      <c r="G161">
        <v>0.33145000000000002</v>
      </c>
      <c r="L161" t="s">
        <v>8</v>
      </c>
      <c r="M161" t="s">
        <v>7</v>
      </c>
      <c r="N161" t="s">
        <v>7</v>
      </c>
      <c r="P161">
        <f t="shared" ref="P161" si="780">IF(C161=D161,0,((E161-D161)-(C161-E161))/(C161-D161))</f>
        <v>-0.51281549598904252</v>
      </c>
      <c r="Q161">
        <f t="shared" ref="Q161" si="781">F161*P161</f>
        <v>-36889863.878751658</v>
      </c>
      <c r="R161">
        <f t="shared" ref="R161" si="782">R162+Q161</f>
        <v>-1469694262.4061246</v>
      </c>
      <c r="S161">
        <f t="shared" ref="S161" si="783">R161/100000</f>
        <v>-14696.942624061247</v>
      </c>
      <c r="T161">
        <f t="shared" ref="T161" si="784">S161/1000</f>
        <v>-14.696942624061247</v>
      </c>
    </row>
    <row r="162" spans="1:20" x14ac:dyDescent="0.25">
      <c r="A162" s="5">
        <v>44431</v>
      </c>
      <c r="B162">
        <v>0.33751999999999999</v>
      </c>
      <c r="C162">
        <v>0.35536000000000001</v>
      </c>
      <c r="D162">
        <v>0.33459</v>
      </c>
      <c r="E162">
        <v>0.35075000000000001</v>
      </c>
      <c r="F162">
        <v>57264312.299999997</v>
      </c>
      <c r="G162">
        <v>0.35075000000000001</v>
      </c>
      <c r="L162" t="s">
        <v>8</v>
      </c>
      <c r="M162" t="s">
        <v>7</v>
      </c>
      <c r="N162" t="s">
        <v>7</v>
      </c>
      <c r="P162">
        <f t="shared" ref="P162" si="785">IF(C162=D162,0,((E162-D162)-(C162-E162))/(C162-D162))</f>
        <v>0.55609051516610486</v>
      </c>
      <c r="Q162">
        <f t="shared" ref="Q162" si="786">F162*P162</f>
        <v>31844140.927539714</v>
      </c>
      <c r="R162">
        <f t="shared" ref="R162" si="787">R163+Q162</f>
        <v>-1432804398.5273728</v>
      </c>
      <c r="S162">
        <f t="shared" ref="S162" si="788">R162/100000</f>
        <v>-14328.043985273729</v>
      </c>
      <c r="T162">
        <f t="shared" ref="T162" si="789">S162/1000</f>
        <v>-14.328043985273728</v>
      </c>
    </row>
    <row r="163" spans="1:20" x14ac:dyDescent="0.25">
      <c r="A163" s="5">
        <v>44430</v>
      </c>
      <c r="B163">
        <v>0.33738000000000001</v>
      </c>
      <c r="C163">
        <v>0.34228999999999998</v>
      </c>
      <c r="D163">
        <v>0.33432000000000001</v>
      </c>
      <c r="E163">
        <v>0.34089000000000003</v>
      </c>
      <c r="F163">
        <v>6831678.2000000002</v>
      </c>
      <c r="G163">
        <v>0.34089000000000003</v>
      </c>
      <c r="L163" t="s">
        <v>8</v>
      </c>
      <c r="M163" t="s">
        <v>7</v>
      </c>
      <c r="N163" t="s">
        <v>7</v>
      </c>
      <c r="P163">
        <f t="shared" ref="P163" si="790">IF(C163=D163,0,((E163-D163)-(C163-E163))/(C163-D163))</f>
        <v>0.64868255959850418</v>
      </c>
      <c r="Q163">
        <f t="shared" ref="Q163" si="791">F163*P163</f>
        <v>4431590.5011293022</v>
      </c>
      <c r="R163">
        <f t="shared" ref="R163" si="792">R164+Q163</f>
        <v>-1464648539.4549127</v>
      </c>
      <c r="S163">
        <f t="shared" ref="S163" si="793">R163/100000</f>
        <v>-14646.485394549127</v>
      </c>
      <c r="T163">
        <f t="shared" ref="T163" si="794">S163/1000</f>
        <v>-14.646485394549126</v>
      </c>
    </row>
    <row r="164" spans="1:20" x14ac:dyDescent="0.25">
      <c r="A164" s="5">
        <v>44429</v>
      </c>
      <c r="B164">
        <v>0.33817000000000003</v>
      </c>
      <c r="C164">
        <v>0.34766000000000002</v>
      </c>
      <c r="D164">
        <v>0.33189999999999997</v>
      </c>
      <c r="E164">
        <v>0.33738000000000001</v>
      </c>
      <c r="F164">
        <v>41392532</v>
      </c>
      <c r="G164">
        <v>0.33738000000000001</v>
      </c>
      <c r="L164" t="s">
        <v>8</v>
      </c>
      <c r="M164" t="s">
        <v>7</v>
      </c>
      <c r="N164" t="s">
        <v>7</v>
      </c>
      <c r="P164">
        <f t="shared" ref="P164" si="795">IF(C164=D164,0,((E164-D164)-(C164-E164))/(C164-D164))</f>
        <v>-0.30456852791877886</v>
      </c>
      <c r="Q164">
        <f t="shared" ref="Q164" si="796">F164*P164</f>
        <v>-12606862.538070947</v>
      </c>
      <c r="R164">
        <f t="shared" ref="R164" si="797">R165+Q164</f>
        <v>-1469080129.9560421</v>
      </c>
      <c r="S164">
        <f t="shared" ref="S164" si="798">R164/100000</f>
        <v>-14690.80129956042</v>
      </c>
      <c r="T164">
        <f t="shared" ref="T164" si="799">S164/1000</f>
        <v>-14.69080129956042</v>
      </c>
    </row>
    <row r="165" spans="1:20" x14ac:dyDescent="0.25">
      <c r="A165" s="5">
        <v>44428</v>
      </c>
      <c r="B165">
        <v>0.33168999999999998</v>
      </c>
      <c r="C165">
        <v>0.34094999999999998</v>
      </c>
      <c r="D165">
        <v>0.32701000000000002</v>
      </c>
      <c r="E165">
        <v>0.33806000000000003</v>
      </c>
      <c r="F165">
        <v>45171072.100000001</v>
      </c>
      <c r="G165">
        <v>0.33806000000000003</v>
      </c>
      <c r="L165" t="s">
        <v>8</v>
      </c>
      <c r="M165" t="s">
        <v>7</v>
      </c>
      <c r="N165" t="s">
        <v>7</v>
      </c>
      <c r="P165">
        <f t="shared" ref="P165" si="800">IF(C165=D165,0,((E165-D165)-(C165-E165))/(C165-D165))</f>
        <v>0.58536585365854266</v>
      </c>
      <c r="Q165">
        <f t="shared" ref="Q165" si="801">F165*P165</f>
        <v>26441603.18048808</v>
      </c>
      <c r="R165">
        <f t="shared" ref="R165" si="802">R166+Q165</f>
        <v>-1456473267.4179711</v>
      </c>
      <c r="S165">
        <f t="shared" ref="S165" si="803">R165/100000</f>
        <v>-14564.732674179711</v>
      </c>
      <c r="T165">
        <f t="shared" ref="T165" si="804">S165/1000</f>
        <v>-14.564732674179712</v>
      </c>
    </row>
    <row r="166" spans="1:20" x14ac:dyDescent="0.25">
      <c r="A166" s="5">
        <v>44427</v>
      </c>
      <c r="B166">
        <v>0.32390999999999998</v>
      </c>
      <c r="C166">
        <v>0.33233000000000001</v>
      </c>
      <c r="D166">
        <v>0.31007000000000001</v>
      </c>
      <c r="E166">
        <v>0.33139999999999997</v>
      </c>
      <c r="F166">
        <v>42641762.299999997</v>
      </c>
      <c r="G166">
        <v>0.33139999999999997</v>
      </c>
      <c r="L166" t="s">
        <v>7</v>
      </c>
      <c r="M166" t="s">
        <v>7</v>
      </c>
      <c r="N166" t="s">
        <v>7</v>
      </c>
      <c r="P166">
        <f t="shared" ref="P166" si="805">IF(C166=D166,0,((E166-D166)-(C166-E166))/(C166-D166))</f>
        <v>0.91644204851751643</v>
      </c>
      <c r="Q166">
        <f t="shared" ref="Q166" si="806">F166*P166</f>
        <v>39078703.994608998</v>
      </c>
      <c r="R166">
        <f t="shared" ref="R166" si="807">R167+Q166</f>
        <v>-1482914870.5984592</v>
      </c>
      <c r="S166">
        <f t="shared" ref="S166" si="808">R166/100000</f>
        <v>-14829.148705984593</v>
      </c>
      <c r="T166">
        <f t="shared" ref="T166" si="809">S166/1000</f>
        <v>-14.829148705984593</v>
      </c>
    </row>
    <row r="167" spans="1:20" x14ac:dyDescent="0.25">
      <c r="A167" s="5">
        <v>44426</v>
      </c>
      <c r="B167">
        <v>0.33235999999999999</v>
      </c>
      <c r="C167">
        <v>0.33600000000000002</v>
      </c>
      <c r="D167">
        <v>0.31298999999999999</v>
      </c>
      <c r="E167">
        <v>0.32373000000000002</v>
      </c>
      <c r="F167">
        <v>39916115.899999999</v>
      </c>
      <c r="G167">
        <v>0.32373000000000002</v>
      </c>
      <c r="L167" t="s">
        <v>7</v>
      </c>
      <c r="M167" t="s">
        <v>7</v>
      </c>
      <c r="N167" t="s">
        <v>7</v>
      </c>
      <c r="P167">
        <f t="shared" ref="P167" si="810">IF(C167=D167,0,((E167-D167)-(C167-E167))/(C167-D167))</f>
        <v>-6.6492829204692475E-2</v>
      </c>
      <c r="Q167">
        <f t="shared" ref="Q167" si="811">F167*P167</f>
        <v>-2654135.4770534094</v>
      </c>
      <c r="R167">
        <f t="shared" ref="R167" si="812">R168+Q167</f>
        <v>-1521993574.5930681</v>
      </c>
      <c r="S167">
        <f t="shared" ref="S167" si="813">R167/100000</f>
        <v>-15219.935745930681</v>
      </c>
      <c r="T167">
        <f t="shared" ref="T167" si="814">S167/1000</f>
        <v>-15.21993574593068</v>
      </c>
    </row>
    <row r="168" spans="1:20" x14ac:dyDescent="0.25">
      <c r="A168" s="5">
        <v>44425</v>
      </c>
      <c r="B168">
        <v>0.35796</v>
      </c>
      <c r="C168">
        <v>0.36437000000000003</v>
      </c>
      <c r="D168">
        <v>0.32900000000000001</v>
      </c>
      <c r="E168">
        <v>0.33200000000000002</v>
      </c>
      <c r="F168">
        <v>62424614.299999997</v>
      </c>
      <c r="G168">
        <v>0.33200000000000002</v>
      </c>
      <c r="L168" t="s">
        <v>7</v>
      </c>
      <c r="M168" t="s">
        <v>8</v>
      </c>
      <c r="N168" t="s">
        <v>7</v>
      </c>
      <c r="P168">
        <f t="shared" ref="P168" si="815">IF(C168=D168,0,((E168-D168)-(C168-E168))/(C168-D168))</f>
        <v>-0.83036471586089899</v>
      </c>
      <c r="Q168">
        <f t="shared" ref="Q168" si="816">F168*P168</f>
        <v>-51835197.115945712</v>
      </c>
      <c r="R168">
        <f t="shared" ref="R168" si="817">R169+Q168</f>
        <v>-1519339439.1160147</v>
      </c>
      <c r="S168">
        <f t="shared" ref="S168" si="818">R168/100000</f>
        <v>-15193.394391160147</v>
      </c>
      <c r="T168">
        <f t="shared" ref="T168" si="819">S168/1000</f>
        <v>-15.193394391160147</v>
      </c>
    </row>
    <row r="169" spans="1:20" x14ac:dyDescent="0.25">
      <c r="A169" s="5">
        <v>44424</v>
      </c>
      <c r="B169">
        <v>0.34483999999999998</v>
      </c>
      <c r="C169">
        <v>0.38100000000000001</v>
      </c>
      <c r="D169">
        <v>0.33923999999999999</v>
      </c>
      <c r="E169">
        <v>0.35737999999999998</v>
      </c>
      <c r="F169">
        <v>87245726.599999994</v>
      </c>
      <c r="G169">
        <v>0.35737999999999998</v>
      </c>
      <c r="L169" t="s">
        <v>8</v>
      </c>
      <c r="M169" t="s">
        <v>8</v>
      </c>
      <c r="N169" t="s">
        <v>7</v>
      </c>
      <c r="P169">
        <f t="shared" ref="P169" si="820">IF(C169=D169,0,((E169-D169)-(C169-E169))/(C169-D169))</f>
        <v>-0.13122605363984766</v>
      </c>
      <c r="Q169">
        <f t="shared" ref="Q169" si="821">F169*P169</f>
        <v>-11448912.398659082</v>
      </c>
      <c r="R169">
        <f t="shared" ref="R169" si="822">R170+Q169</f>
        <v>-1467504242.0000689</v>
      </c>
      <c r="S169">
        <f t="shared" ref="S169" si="823">R169/100000</f>
        <v>-14675.042420000689</v>
      </c>
      <c r="T169">
        <f t="shared" ref="T169" si="824">S169/1000</f>
        <v>-14.67504242000069</v>
      </c>
    </row>
    <row r="170" spans="1:20" x14ac:dyDescent="0.25">
      <c r="A170" s="5">
        <v>44423</v>
      </c>
      <c r="B170">
        <v>0.34831000000000001</v>
      </c>
      <c r="C170">
        <v>0.34903000000000001</v>
      </c>
      <c r="D170">
        <v>0.32700000000000001</v>
      </c>
      <c r="E170">
        <v>0.34505000000000002</v>
      </c>
      <c r="F170">
        <v>55155436.899999999</v>
      </c>
      <c r="G170">
        <v>0.34505000000000002</v>
      </c>
      <c r="L170" t="s">
        <v>7</v>
      </c>
      <c r="M170" t="s">
        <v>8</v>
      </c>
      <c r="N170" t="s">
        <v>7</v>
      </c>
      <c r="P170">
        <f t="shared" ref="P170" si="825">IF(C170=D170,0,((E170-D170)-(C170-E170))/(C170-D170))</f>
        <v>0.63867453472537583</v>
      </c>
      <c r="Q170">
        <f t="shared" ref="Q170" si="826">F170*P170</f>
        <v>35226372.999682322</v>
      </c>
      <c r="R170">
        <f t="shared" ref="R170" si="827">R171+Q170</f>
        <v>-1456055329.6014099</v>
      </c>
      <c r="S170">
        <f t="shared" ref="S170" si="828">R170/100000</f>
        <v>-14560.553296014099</v>
      </c>
      <c r="T170">
        <f t="shared" ref="T170" si="829">S170/1000</f>
        <v>-14.560553296014099</v>
      </c>
    </row>
    <row r="171" spans="1:20" x14ac:dyDescent="0.25">
      <c r="A171" s="5">
        <v>44422</v>
      </c>
      <c r="B171">
        <v>0.35199999999999998</v>
      </c>
      <c r="C171">
        <v>0.35339999999999999</v>
      </c>
      <c r="D171">
        <v>0.33433000000000002</v>
      </c>
      <c r="E171">
        <v>0.34815000000000002</v>
      </c>
      <c r="F171">
        <v>44768572.799999997</v>
      </c>
      <c r="G171">
        <v>0.34815000000000002</v>
      </c>
      <c r="L171" t="s">
        <v>8</v>
      </c>
      <c r="M171" t="s">
        <v>8</v>
      </c>
      <c r="N171" t="s">
        <v>7</v>
      </c>
      <c r="P171">
        <f t="shared" ref="P171" si="830">IF(C171=D171,0,((E171-D171)-(C171-E171))/(C171-D171))</f>
        <v>0.44939695857367767</v>
      </c>
      <c r="Q171">
        <f t="shared" ref="Q171" si="831">F171*P171</f>
        <v>20118860.456004273</v>
      </c>
      <c r="R171">
        <f t="shared" ref="R171" si="832">R172+Q171</f>
        <v>-1491281702.6010923</v>
      </c>
      <c r="S171">
        <f t="shared" ref="S171" si="833">R171/100000</f>
        <v>-14912.817026010924</v>
      </c>
      <c r="T171">
        <f t="shared" ref="T171" si="834">S171/1000</f>
        <v>-14.912817026010924</v>
      </c>
    </row>
    <row r="172" spans="1:20" x14ac:dyDescent="0.25">
      <c r="A172" s="5">
        <v>44421</v>
      </c>
      <c r="B172">
        <v>0.33390999999999998</v>
      </c>
      <c r="C172">
        <v>0.35499999999999998</v>
      </c>
      <c r="D172">
        <v>0.32463999999999998</v>
      </c>
      <c r="E172">
        <v>0.35199999999999998</v>
      </c>
      <c r="F172">
        <v>47764134.399999999</v>
      </c>
      <c r="G172">
        <v>0.35199999999999998</v>
      </c>
      <c r="L172" t="s">
        <v>8</v>
      </c>
      <c r="M172" t="s">
        <v>8</v>
      </c>
      <c r="N172" t="s">
        <v>7</v>
      </c>
      <c r="P172">
        <f t="shared" ref="P172" si="835">IF(C172=D172,0,((E172-D172)-(C172-E172))/(C172-D172))</f>
        <v>0.80237154150197609</v>
      </c>
      <c r="Q172">
        <f t="shared" ref="Q172" si="836">F172*P172</f>
        <v>38324582.147035562</v>
      </c>
      <c r="R172">
        <f t="shared" ref="R172" si="837">R173+Q172</f>
        <v>-1511400563.0570967</v>
      </c>
      <c r="S172">
        <f t="shared" ref="S172" si="838">R172/100000</f>
        <v>-15114.005630570968</v>
      </c>
      <c r="T172">
        <f t="shared" ref="T172" si="839">S172/1000</f>
        <v>-15.114005630570968</v>
      </c>
    </row>
    <row r="173" spans="1:20" x14ac:dyDescent="0.25">
      <c r="A173" s="5">
        <v>44420</v>
      </c>
      <c r="B173">
        <v>0.34104000000000001</v>
      </c>
      <c r="C173">
        <v>0.35433999999999999</v>
      </c>
      <c r="D173">
        <v>0.31900000000000001</v>
      </c>
      <c r="E173">
        <v>0.33389999999999997</v>
      </c>
      <c r="F173">
        <v>82833212.5</v>
      </c>
      <c r="G173">
        <v>0.33389999999999997</v>
      </c>
      <c r="L173" t="s">
        <v>7</v>
      </c>
      <c r="M173" t="s">
        <v>8</v>
      </c>
      <c r="N173" t="s">
        <v>7</v>
      </c>
      <c r="P173">
        <f t="shared" ref="P173" si="840">IF(C173=D173,0,((E173-D173)-(C173-E173))/(C173-D173))</f>
        <v>-0.15676287492925997</v>
      </c>
      <c r="Q173">
        <f t="shared" ref="Q173" si="841">F173*P173</f>
        <v>-12985172.531126313</v>
      </c>
      <c r="R173">
        <f t="shared" ref="R173" si="842">R174+Q173</f>
        <v>-1549725145.2041323</v>
      </c>
      <c r="S173">
        <f t="shared" ref="S173" si="843">R173/100000</f>
        <v>-15497.251452041322</v>
      </c>
      <c r="T173">
        <f t="shared" ref="T173" si="844">S173/1000</f>
        <v>-15.497251452041322</v>
      </c>
    </row>
    <row r="174" spans="1:20" x14ac:dyDescent="0.25">
      <c r="A174" s="5">
        <v>44419</v>
      </c>
      <c r="B174">
        <v>0.30825000000000002</v>
      </c>
      <c r="C174">
        <v>0.35564000000000001</v>
      </c>
      <c r="D174">
        <v>0.30537999999999998</v>
      </c>
      <c r="E174">
        <v>0.34112999999999999</v>
      </c>
      <c r="F174">
        <v>132770028.7</v>
      </c>
      <c r="G174">
        <v>0.34112999999999999</v>
      </c>
      <c r="L174" t="s">
        <v>8</v>
      </c>
      <c r="M174" t="s">
        <v>8</v>
      </c>
      <c r="N174" t="s">
        <v>7</v>
      </c>
      <c r="P174">
        <f t="shared" ref="P174" si="845">IF(C174=D174,0,((E174-D174)-(C174-E174))/(C174-D174))</f>
        <v>0.4226024671707117</v>
      </c>
      <c r="Q174">
        <f t="shared" ref="Q174" si="846">F174*P174</f>
        <v>56108941.6949462</v>
      </c>
      <c r="R174">
        <f t="shared" ref="R174" si="847">R175+Q174</f>
        <v>-1536739972.6730061</v>
      </c>
      <c r="S174">
        <f t="shared" ref="S174" si="848">R174/100000</f>
        <v>-15367.39972673006</v>
      </c>
      <c r="T174">
        <f t="shared" ref="T174" si="849">S174/1000</f>
        <v>-15.36739972673006</v>
      </c>
    </row>
    <row r="175" spans="1:20" x14ac:dyDescent="0.25">
      <c r="A175" s="5">
        <v>44418</v>
      </c>
      <c r="B175">
        <v>0.30525999999999998</v>
      </c>
      <c r="C175">
        <v>0.31</v>
      </c>
      <c r="D175">
        <v>0.29515000000000002</v>
      </c>
      <c r="E175">
        <v>0.30809999999999998</v>
      </c>
      <c r="F175">
        <v>54691165</v>
      </c>
      <c r="G175">
        <v>0.30809999999999998</v>
      </c>
      <c r="L175" t="s">
        <v>8</v>
      </c>
      <c r="M175" t="s">
        <v>7</v>
      </c>
      <c r="N175" t="s">
        <v>7</v>
      </c>
      <c r="P175">
        <f t="shared" ref="P175" si="850">IF(C175=D175,0,((E175-D175)-(C175-E175))/(C175-D175))</f>
        <v>0.74410774410774194</v>
      </c>
      <c r="Q175">
        <f t="shared" ref="Q175" si="851">F175*P175</f>
        <v>40696119.410774291</v>
      </c>
      <c r="R175">
        <f t="shared" ref="R175" si="852">R176+Q175</f>
        <v>-1592848914.3679523</v>
      </c>
      <c r="S175">
        <f t="shared" ref="S175" si="853">R175/100000</f>
        <v>-15928.489143679524</v>
      </c>
      <c r="T175">
        <f t="shared" ref="T175" si="854">S175/1000</f>
        <v>-15.928489143679524</v>
      </c>
    </row>
    <row r="176" spans="1:20" x14ac:dyDescent="0.25">
      <c r="A176" s="5">
        <v>44417</v>
      </c>
      <c r="B176">
        <v>0.28594000000000003</v>
      </c>
      <c r="C176">
        <v>0.30947999999999998</v>
      </c>
      <c r="D176">
        <v>0.28000999999999998</v>
      </c>
      <c r="E176">
        <v>0.30497999999999997</v>
      </c>
      <c r="F176">
        <v>56939467.200000003</v>
      </c>
      <c r="G176">
        <v>0.30497999999999997</v>
      </c>
      <c r="L176" t="s">
        <v>8</v>
      </c>
      <c r="M176" t="s">
        <v>7</v>
      </c>
      <c r="N176" t="s">
        <v>7</v>
      </c>
      <c r="P176">
        <f t="shared" ref="P176" si="855">IF(C176=D176,0,((E176-D176)-(C176-E176))/(C176-D176))</f>
        <v>0.69460468272819786</v>
      </c>
      <c r="Q176">
        <f t="shared" ref="Q176" si="856">F176*P176</f>
        <v>39550420.549168631</v>
      </c>
      <c r="R176">
        <f t="shared" ref="R176" si="857">R177+Q176</f>
        <v>-1633545033.7787266</v>
      </c>
      <c r="S176">
        <f t="shared" ref="S176" si="858">R176/100000</f>
        <v>-16335.450337787266</v>
      </c>
      <c r="T176">
        <f t="shared" ref="T176" si="859">S176/1000</f>
        <v>-16.335450337787265</v>
      </c>
    </row>
    <row r="177" spans="1:20" x14ac:dyDescent="0.25">
      <c r="A177" s="5">
        <v>44416</v>
      </c>
      <c r="B177">
        <v>0.31067</v>
      </c>
      <c r="C177">
        <v>0.31268000000000001</v>
      </c>
      <c r="D177">
        <v>0.28000999999999998</v>
      </c>
      <c r="E177">
        <v>0.28577999999999998</v>
      </c>
      <c r="F177">
        <v>67356210.599999994</v>
      </c>
      <c r="G177">
        <v>0.28577999999999998</v>
      </c>
      <c r="L177" t="s">
        <v>7</v>
      </c>
      <c r="M177" t="s">
        <v>7</v>
      </c>
      <c r="N177" t="s">
        <v>7</v>
      </c>
      <c r="P177">
        <f t="shared" ref="P177" si="860">IF(C177=D177,0,((E177-D177)-(C177-E177))/(C177-D177))</f>
        <v>-0.64677073767982907</v>
      </c>
      <c r="Q177">
        <f t="shared" ref="Q177" si="861">F177*P177</f>
        <v>-43564026.01707992</v>
      </c>
      <c r="R177">
        <f t="shared" ref="R177" si="862">R178+Q177</f>
        <v>-1673095454.3278952</v>
      </c>
      <c r="S177">
        <f t="shared" ref="S177" si="863">R177/100000</f>
        <v>-16730.954543278953</v>
      </c>
      <c r="T177">
        <f t="shared" ref="T177" si="864">S177/1000</f>
        <v>-16.730954543278951</v>
      </c>
    </row>
    <row r="178" spans="1:20" x14ac:dyDescent="0.25">
      <c r="A178" s="5">
        <v>44415</v>
      </c>
      <c r="B178">
        <v>0.31531999999999999</v>
      </c>
      <c r="C178">
        <v>0.33190999999999998</v>
      </c>
      <c r="D178">
        <v>0.29733999999999999</v>
      </c>
      <c r="E178">
        <v>0.31047000000000002</v>
      </c>
      <c r="F178">
        <v>87667819.799999997</v>
      </c>
      <c r="G178">
        <v>0.31047000000000002</v>
      </c>
      <c r="L178" t="s">
        <v>8</v>
      </c>
      <c r="M178" t="s">
        <v>8</v>
      </c>
      <c r="N178" t="s">
        <v>7</v>
      </c>
      <c r="P178">
        <f t="shared" ref="P178" si="865">IF(C178=D178,0,((E178-D178)-(C178-E178))/(C178-D178))</f>
        <v>-0.24038183396007901</v>
      </c>
      <c r="Q178">
        <f t="shared" ref="Q178" si="866">F178*P178</f>
        <v>-21073751.302805725</v>
      </c>
      <c r="R178">
        <f t="shared" ref="R178" si="867">R179+Q178</f>
        <v>-1629531428.3108153</v>
      </c>
      <c r="S178">
        <f t="shared" ref="S178" si="868">R178/100000</f>
        <v>-16295.314283108153</v>
      </c>
      <c r="T178">
        <f t="shared" ref="T178" si="869">S178/1000</f>
        <v>-16.295314283108151</v>
      </c>
    </row>
    <row r="179" spans="1:20" x14ac:dyDescent="0.25">
      <c r="A179" s="5">
        <v>44414</v>
      </c>
      <c r="B179">
        <v>0.32596999999999998</v>
      </c>
      <c r="C179">
        <v>0.32705000000000001</v>
      </c>
      <c r="D179">
        <v>0.30628</v>
      </c>
      <c r="E179">
        <v>0.31490000000000001</v>
      </c>
      <c r="F179">
        <v>68976448.700000003</v>
      </c>
      <c r="G179">
        <v>0.31490000000000001</v>
      </c>
      <c r="L179" t="s">
        <v>8</v>
      </c>
      <c r="M179" t="s">
        <v>8</v>
      </c>
      <c r="N179" t="s">
        <v>7</v>
      </c>
      <c r="P179">
        <f t="shared" ref="P179" si="870">IF(C179=D179,0,((E179-D179)-(C179-E179))/(C179-D179))</f>
        <v>-0.16995666827154432</v>
      </c>
      <c r="Q179">
        <f t="shared" ref="Q179" si="871">F179*P179</f>
        <v>-11723007.410255095</v>
      </c>
      <c r="R179">
        <f t="shared" ref="R179" si="872">R180+Q179</f>
        <v>-1608457677.0080097</v>
      </c>
      <c r="S179">
        <f t="shared" ref="S179" si="873">R179/100000</f>
        <v>-16084.576770080097</v>
      </c>
      <c r="T179">
        <f t="shared" ref="T179" si="874">S179/1000</f>
        <v>-16.084576770080098</v>
      </c>
    </row>
    <row r="180" spans="1:20" x14ac:dyDescent="0.25">
      <c r="A180" s="5">
        <v>44413</v>
      </c>
      <c r="B180">
        <v>0.30481000000000003</v>
      </c>
      <c r="C180">
        <v>0.32678000000000001</v>
      </c>
      <c r="D180">
        <v>0.29293000000000002</v>
      </c>
      <c r="E180">
        <v>0.32596999999999998</v>
      </c>
      <c r="F180">
        <v>69268707.799999997</v>
      </c>
      <c r="G180">
        <v>0.32596999999999998</v>
      </c>
      <c r="L180" t="s">
        <v>8</v>
      </c>
      <c r="M180" t="s">
        <v>8</v>
      </c>
      <c r="N180" t="s">
        <v>7</v>
      </c>
      <c r="P180">
        <f t="shared" ref="P180" si="875">IF(C180=D180,0,((E180-D180)-(C180-E180))/(C180-D180))</f>
        <v>0.95214180206794485</v>
      </c>
      <c r="Q180">
        <f t="shared" ref="Q180" si="876">F180*P180</f>
        <v>65953632.271609902</v>
      </c>
      <c r="R180">
        <f t="shared" ref="R180" si="877">R181+Q180</f>
        <v>-1596734669.5977545</v>
      </c>
      <c r="S180">
        <f t="shared" ref="S180" si="878">R180/100000</f>
        <v>-15967.346695977545</v>
      </c>
      <c r="T180">
        <f t="shared" ref="T180" si="879">S180/1000</f>
        <v>-15.967346695977545</v>
      </c>
    </row>
    <row r="181" spans="1:20" x14ac:dyDescent="0.25">
      <c r="A181" s="5">
        <v>44412</v>
      </c>
      <c r="B181">
        <v>0.29420000000000002</v>
      </c>
      <c r="C181">
        <v>0.30665999999999999</v>
      </c>
      <c r="D181">
        <v>0.28308</v>
      </c>
      <c r="E181">
        <v>0.30479000000000001</v>
      </c>
      <c r="F181">
        <v>37637542.100000001</v>
      </c>
      <c r="G181">
        <v>0.30479000000000001</v>
      </c>
      <c r="L181" t="s">
        <v>8</v>
      </c>
      <c r="M181" t="s">
        <v>7</v>
      </c>
      <c r="N181" t="s">
        <v>7</v>
      </c>
      <c r="P181">
        <f t="shared" ref="P181" si="880">IF(C181=D181,0,((E181-D181)-(C181-E181))/(C181-D181))</f>
        <v>0.84139100932994204</v>
      </c>
      <c r="Q181">
        <f t="shared" ref="Q181" si="881">F181*P181</f>
        <v>31667889.536217187</v>
      </c>
      <c r="R181">
        <f t="shared" ref="R181" si="882">R182+Q181</f>
        <v>-1662688301.8693643</v>
      </c>
      <c r="S181">
        <f t="shared" ref="S181" si="883">R181/100000</f>
        <v>-16626.883018693643</v>
      </c>
      <c r="T181">
        <f t="shared" ref="T181" si="884">S181/1000</f>
        <v>-16.626883018693643</v>
      </c>
    </row>
    <row r="182" spans="1:20" x14ac:dyDescent="0.25">
      <c r="A182" s="5">
        <v>44411</v>
      </c>
      <c r="B182">
        <v>0.30338999999999999</v>
      </c>
      <c r="C182">
        <v>0.30785000000000001</v>
      </c>
      <c r="D182">
        <v>0.2777</v>
      </c>
      <c r="E182">
        <v>0.29418</v>
      </c>
      <c r="F182">
        <v>69898975</v>
      </c>
      <c r="G182">
        <v>0.29418</v>
      </c>
      <c r="L182" t="s">
        <v>7</v>
      </c>
      <c r="M182" t="s">
        <v>7</v>
      </c>
      <c r="N182" t="s">
        <v>7</v>
      </c>
      <c r="P182">
        <f t="shared" ref="P182" si="885">IF(C182=D182,0,((E182-D182)-(C182-E182))/(C182-D182))</f>
        <v>9.3200663349916363E-2</v>
      </c>
      <c r="Q182">
        <f t="shared" ref="Q182" si="886">F182*P182</f>
        <v>6514630.8374792198</v>
      </c>
      <c r="R182">
        <f t="shared" ref="R182" si="887">R183+Q182</f>
        <v>-1694356191.4055815</v>
      </c>
      <c r="S182">
        <f t="shared" ref="S182" si="888">R182/100000</f>
        <v>-16943.561914055816</v>
      </c>
      <c r="T182">
        <f t="shared" ref="T182" si="889">S182/1000</f>
        <v>-16.943561914055817</v>
      </c>
    </row>
    <row r="183" spans="1:20" x14ac:dyDescent="0.25">
      <c r="A183" s="5">
        <v>44410</v>
      </c>
      <c r="B183">
        <v>0.31029000000000001</v>
      </c>
      <c r="C183">
        <v>0.32272000000000001</v>
      </c>
      <c r="D183">
        <v>0.3</v>
      </c>
      <c r="E183">
        <v>0.30342000000000002</v>
      </c>
      <c r="F183">
        <v>46910606.5</v>
      </c>
      <c r="G183">
        <v>0.30342000000000002</v>
      </c>
      <c r="L183" t="s">
        <v>7</v>
      </c>
      <c r="M183" t="s">
        <v>7</v>
      </c>
      <c r="N183" t="s">
        <v>8</v>
      </c>
      <c r="P183">
        <f t="shared" ref="P183" si="890">IF(C183=D183,0,((E183-D183)-(C183-E183))/(C183-D183))</f>
        <v>-0.69894366197182822</v>
      </c>
      <c r="Q183">
        <f t="shared" ref="Q183" si="891">F183*P183</f>
        <v>-32787871.092429448</v>
      </c>
      <c r="R183">
        <f t="shared" ref="R183" si="892">R184+Q183</f>
        <v>-1700870822.2430606</v>
      </c>
      <c r="S183">
        <f t="shared" ref="S183" si="893">R183/100000</f>
        <v>-17008.708222430607</v>
      </c>
      <c r="T183">
        <f t="shared" ref="T183" si="894">S183/1000</f>
        <v>-17.008708222430606</v>
      </c>
    </row>
    <row r="184" spans="1:20" x14ac:dyDescent="0.25">
      <c r="A184" s="5">
        <v>44409</v>
      </c>
      <c r="B184">
        <v>0.32901000000000002</v>
      </c>
      <c r="C184">
        <v>0.33531</v>
      </c>
      <c r="D184">
        <v>0.309</v>
      </c>
      <c r="E184">
        <v>0.31031999999999998</v>
      </c>
      <c r="F184">
        <v>81313798.5</v>
      </c>
      <c r="G184">
        <v>0.31031999999999998</v>
      </c>
      <c r="L184" t="s">
        <v>7</v>
      </c>
      <c r="M184" t="s">
        <v>7</v>
      </c>
      <c r="N184" t="s">
        <v>8</v>
      </c>
      <c r="P184">
        <f t="shared" ref="P184" si="895">IF(C184=D184,0,((E184-D184)-(C184-E184))/(C184-D184))</f>
        <v>-0.89965792474344453</v>
      </c>
      <c r="Q184">
        <f t="shared" ref="Q184" si="896">F184*P184</f>
        <v>-73154603.211516619</v>
      </c>
      <c r="R184">
        <f t="shared" ref="R184" si="897">R185+Q184</f>
        <v>-1668082951.1506312</v>
      </c>
      <c r="S184">
        <f t="shared" ref="S184" si="898">R184/100000</f>
        <v>-16680.829511506312</v>
      </c>
      <c r="T184">
        <f t="shared" ref="T184" si="899">S184/1000</f>
        <v>-16.68082951150631</v>
      </c>
    </row>
    <row r="185" spans="1:20" x14ac:dyDescent="0.25">
      <c r="A185" s="5">
        <v>44408</v>
      </c>
      <c r="B185">
        <v>0.33316000000000001</v>
      </c>
      <c r="C185">
        <v>0.33366000000000001</v>
      </c>
      <c r="D185">
        <v>0.32219999999999999</v>
      </c>
      <c r="E185">
        <v>0.32919999999999999</v>
      </c>
      <c r="F185">
        <v>35904516.200000003</v>
      </c>
      <c r="G185">
        <v>0.32919999999999999</v>
      </c>
      <c r="L185" t="s">
        <v>7</v>
      </c>
      <c r="M185" t="s">
        <v>7</v>
      </c>
      <c r="N185" t="s">
        <v>8</v>
      </c>
      <c r="P185">
        <f t="shared" ref="P185" si="900">IF(C185=D185,0,((E185-D185)-(C185-E185))/(C185-D185))</f>
        <v>0.22164048865619382</v>
      </c>
      <c r="Q185">
        <f t="shared" ref="Q185" si="901">F185*P185</f>
        <v>7957894.5155322282</v>
      </c>
      <c r="R185">
        <f t="shared" ref="R185" si="902">R186+Q185</f>
        <v>-1594928347.9391146</v>
      </c>
      <c r="S185">
        <f t="shared" ref="S185" si="903">R185/100000</f>
        <v>-15949.283479391146</v>
      </c>
      <c r="T185">
        <f t="shared" ref="T185" si="904">S185/1000</f>
        <v>-15.949283479391147</v>
      </c>
    </row>
    <row r="186" spans="1:20" x14ac:dyDescent="0.25">
      <c r="A186" s="5">
        <v>44407</v>
      </c>
      <c r="B186">
        <v>0.33290999999999998</v>
      </c>
      <c r="C186">
        <v>0.33582000000000001</v>
      </c>
      <c r="D186">
        <v>0.31763999999999998</v>
      </c>
      <c r="E186">
        <v>0.33288000000000001</v>
      </c>
      <c r="F186">
        <v>49817897.100000001</v>
      </c>
      <c r="G186">
        <v>0.33288000000000001</v>
      </c>
      <c r="L186" t="s">
        <v>7</v>
      </c>
      <c r="M186" t="s">
        <v>7</v>
      </c>
      <c r="N186" t="s">
        <v>8</v>
      </c>
      <c r="P186">
        <f t="shared" ref="P186" si="905">IF(C186=D186,0,((E186-D186)-(C186-E186))/(C186-D186))</f>
        <v>0.67656765676567732</v>
      </c>
      <c r="Q186">
        <f t="shared" ref="Q186" si="906">F186*P186</f>
        <v>33705177.90594063</v>
      </c>
      <c r="R186">
        <f t="shared" ref="R186" si="907">R187+Q186</f>
        <v>-1602886242.4546468</v>
      </c>
      <c r="S186">
        <f t="shared" ref="S186" si="908">R186/100000</f>
        <v>-16028.862424546469</v>
      </c>
      <c r="T186">
        <f t="shared" ref="T186" si="909">S186/1000</f>
        <v>-16.028862424546467</v>
      </c>
    </row>
    <row r="187" spans="1:20" x14ac:dyDescent="0.25">
      <c r="A187" s="5">
        <v>44406</v>
      </c>
      <c r="B187">
        <v>0.32908999999999999</v>
      </c>
      <c r="C187">
        <v>0.34503</v>
      </c>
      <c r="D187">
        <v>0.31777</v>
      </c>
      <c r="E187">
        <v>0.33316000000000001</v>
      </c>
      <c r="F187">
        <v>105143155.40000001</v>
      </c>
      <c r="G187">
        <v>0.33316000000000001</v>
      </c>
      <c r="L187" t="s">
        <v>8</v>
      </c>
      <c r="M187" t="s">
        <v>7</v>
      </c>
      <c r="N187" t="s">
        <v>8</v>
      </c>
      <c r="P187">
        <f t="shared" ref="P187" si="910">IF(C187=D187,0,((E187-D187)-(C187-E187))/(C187-D187))</f>
        <v>0.12912692589875358</v>
      </c>
      <c r="Q187">
        <f t="shared" ref="Q187" si="911">F187*P187</f>
        <v>13576812.436096933</v>
      </c>
      <c r="R187">
        <f t="shared" ref="R187" si="912">R188+Q187</f>
        <v>-1636591420.3605874</v>
      </c>
      <c r="S187">
        <f t="shared" ref="S187" si="913">R187/100000</f>
        <v>-16365.914203605873</v>
      </c>
      <c r="T187">
        <f t="shared" ref="T187" si="914">S187/1000</f>
        <v>-16.365914203605872</v>
      </c>
    </row>
    <row r="188" spans="1:20" x14ac:dyDescent="0.25">
      <c r="A188" s="5">
        <v>44405</v>
      </c>
      <c r="B188">
        <v>0.34159</v>
      </c>
      <c r="C188">
        <v>0.34183999999999998</v>
      </c>
      <c r="D188">
        <v>0.31781999999999999</v>
      </c>
      <c r="E188">
        <v>0.32908999999999999</v>
      </c>
      <c r="F188">
        <v>72729351.299999997</v>
      </c>
      <c r="G188">
        <v>0.32908999999999999</v>
      </c>
      <c r="L188" t="s">
        <v>8</v>
      </c>
      <c r="M188" t="s">
        <v>7</v>
      </c>
      <c r="N188" t="s">
        <v>8</v>
      </c>
      <c r="P188">
        <f t="shared" ref="P188" si="915">IF(C188=D188,0,((E188-D188)-(C188-E188))/(C188-D188))</f>
        <v>-6.16153205661941E-2</v>
      </c>
      <c r="Q188">
        <f t="shared" ref="Q188" si="916">F188*P188</f>
        <v>-4481242.294920845</v>
      </c>
      <c r="R188">
        <f t="shared" ref="R188" si="917">R189+Q188</f>
        <v>-1650168232.7966843</v>
      </c>
      <c r="S188">
        <f t="shared" ref="S188" si="918">R188/100000</f>
        <v>-16501.682327966842</v>
      </c>
      <c r="T188">
        <f t="shared" ref="T188" si="919">S188/1000</f>
        <v>-16.501682327966844</v>
      </c>
    </row>
    <row r="189" spans="1:20" x14ac:dyDescent="0.25">
      <c r="A189" s="5">
        <v>44404</v>
      </c>
      <c r="B189">
        <v>0.33260000000000001</v>
      </c>
      <c r="C189">
        <v>0.34248000000000001</v>
      </c>
      <c r="D189">
        <v>0.30914000000000003</v>
      </c>
      <c r="E189">
        <v>0.34149000000000002</v>
      </c>
      <c r="F189">
        <v>84923131.599999994</v>
      </c>
      <c r="G189">
        <v>0.34149000000000002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0.94061187762447562</v>
      </c>
      <c r="Q189">
        <f t="shared" ref="Q189" si="921">F189*P189</f>
        <v>79879706.268026426</v>
      </c>
      <c r="R189">
        <f t="shared" ref="R189" si="922">R190+Q189</f>
        <v>-1645686990.5017633</v>
      </c>
      <c r="S189">
        <f t="shared" ref="S189" si="923">R189/100000</f>
        <v>-16456.869905017633</v>
      </c>
      <c r="T189">
        <f t="shared" ref="T189" si="924">S189/1000</f>
        <v>-16.456869905017633</v>
      </c>
    </row>
    <row r="190" spans="1:20" x14ac:dyDescent="0.25">
      <c r="A190" s="5">
        <v>44403</v>
      </c>
      <c r="B190">
        <v>0.35549999999999998</v>
      </c>
      <c r="C190">
        <v>0.39399000000000001</v>
      </c>
      <c r="D190">
        <v>0.33206000000000002</v>
      </c>
      <c r="E190">
        <v>0.33305000000000001</v>
      </c>
      <c r="F190">
        <v>120970373.2</v>
      </c>
      <c r="G190">
        <v>0.33305000000000001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-0.9680284191829488</v>
      </c>
      <c r="Q190">
        <f t="shared" ref="Q190" si="926">F190*P190</f>
        <v>-117102759.13676736</v>
      </c>
      <c r="R190">
        <f t="shared" ref="R190" si="927">R191+Q190</f>
        <v>-1725566696.7697897</v>
      </c>
      <c r="S190">
        <f t="shared" ref="S190" si="928">R190/100000</f>
        <v>-17255.666967697896</v>
      </c>
      <c r="T190">
        <f t="shared" ref="T190" si="929">S190/1000</f>
        <v>-17.255666967697895</v>
      </c>
    </row>
    <row r="191" spans="1:20" x14ac:dyDescent="0.25">
      <c r="A191" s="5">
        <v>44402</v>
      </c>
      <c r="B191">
        <v>0.32074999999999998</v>
      </c>
      <c r="C191">
        <v>0.38324999999999998</v>
      </c>
      <c r="D191">
        <v>0.31705</v>
      </c>
      <c r="E191">
        <v>0.35554999999999998</v>
      </c>
      <c r="F191">
        <v>162785433.30000001</v>
      </c>
      <c r="G191">
        <v>0.35554999999999998</v>
      </c>
      <c r="L191" t="s">
        <v>8</v>
      </c>
      <c r="M191" t="s">
        <v>8</v>
      </c>
      <c r="N191" t="s">
        <v>8</v>
      </c>
      <c r="P191">
        <f t="shared" ref="P191" si="930">IF(C191=D191,0,((E191-D191)-(C191-E191))/(C191-D191))</f>
        <v>0.16314199395770362</v>
      </c>
      <c r="Q191">
        <f t="shared" ref="Q191" si="931">F191*P191</f>
        <v>26557140.175830767</v>
      </c>
      <c r="R191">
        <f t="shared" ref="R191" si="932">R192+Q191</f>
        <v>-1608463937.6330223</v>
      </c>
      <c r="S191">
        <f t="shared" ref="S191" si="933">R191/100000</f>
        <v>-16084.639376330224</v>
      </c>
      <c r="T191">
        <f t="shared" ref="T191:T197" si="934">S191/1000</f>
        <v>-16.084639376330223</v>
      </c>
    </row>
    <row r="192" spans="1:20" x14ac:dyDescent="0.25">
      <c r="A192" s="5">
        <v>44401</v>
      </c>
      <c r="B192">
        <v>0.28560000000000002</v>
      </c>
      <c r="C192">
        <v>0.34299000000000002</v>
      </c>
      <c r="D192">
        <v>0.27842</v>
      </c>
      <c r="E192">
        <v>0.32064999999999999</v>
      </c>
      <c r="F192">
        <v>124854382.7</v>
      </c>
      <c r="G192">
        <v>0.32064999999999999</v>
      </c>
      <c r="L192" t="s">
        <v>8</v>
      </c>
      <c r="M192" t="s">
        <v>8</v>
      </c>
      <c r="N192" t="s">
        <v>8</v>
      </c>
      <c r="P192">
        <f t="shared" ref="P192" si="935">IF(C192=D192,0,((E192-D192)-(C192-E192))/(C192-D192))</f>
        <v>0.30803778844664642</v>
      </c>
      <c r="Q192">
        <f t="shared" ref="Q192" si="936">F192*P192</f>
        <v>38459867.924779229</v>
      </c>
      <c r="R192">
        <f t="shared" ref="R192" si="937">R193+Q192</f>
        <v>-1635021077.8088531</v>
      </c>
      <c r="S192">
        <f t="shared" ref="S192" si="938">R192/100000</f>
        <v>-16350.210778088531</v>
      </c>
      <c r="T192">
        <f t="shared" si="934"/>
        <v>-16.350210778088531</v>
      </c>
    </row>
    <row r="193" spans="1:20" x14ac:dyDescent="0.25">
      <c r="A193" s="5">
        <v>44400</v>
      </c>
      <c r="B193">
        <v>0.28127999999999997</v>
      </c>
      <c r="C193">
        <v>0.29025000000000001</v>
      </c>
      <c r="D193">
        <v>0.26761000000000001</v>
      </c>
      <c r="E193">
        <v>0.28544000000000003</v>
      </c>
      <c r="F193">
        <v>64449934</v>
      </c>
      <c r="G193">
        <v>0.28544000000000003</v>
      </c>
      <c r="L193" t="s">
        <v>8</v>
      </c>
      <c r="M193" t="s">
        <v>8</v>
      </c>
      <c r="N193" t="s">
        <v>8</v>
      </c>
      <c r="P193">
        <f t="shared" ref="P193" si="939">IF(C193=D193,0,((E193-D193)-(C193-E193))/(C193-D193))</f>
        <v>0.57508833922261637</v>
      </c>
      <c r="Q193">
        <f t="shared" ref="Q193" si="940">F193*P193</f>
        <v>37064405.507067233</v>
      </c>
      <c r="R193">
        <f t="shared" ref="R193" si="941">R194+Q193</f>
        <v>-1673480945.7336323</v>
      </c>
      <c r="S193">
        <f t="shared" ref="S193" si="942">R193/100000</f>
        <v>-16734.809457336323</v>
      </c>
      <c r="T193">
        <f t="shared" si="934"/>
        <v>-16.734809457336322</v>
      </c>
    </row>
    <row r="194" spans="1:20" x14ac:dyDescent="0.25">
      <c r="A194" s="5">
        <v>44399</v>
      </c>
      <c r="B194">
        <v>0.27141999999999999</v>
      </c>
      <c r="C194">
        <v>0.28602</v>
      </c>
      <c r="D194">
        <v>0.26345000000000002</v>
      </c>
      <c r="E194">
        <v>0.28129999999999999</v>
      </c>
      <c r="F194">
        <v>54238889.100000001</v>
      </c>
      <c r="G194">
        <v>0.28129999999999999</v>
      </c>
      <c r="L194" t="s">
        <v>7</v>
      </c>
      <c r="M194" t="s">
        <v>8</v>
      </c>
      <c r="N194" t="s">
        <v>8</v>
      </c>
      <c r="P194">
        <f t="shared" ref="P194" si="943">IF(C194=D194,0,((E194-D194)-(C194-E194))/(C194-D194))</f>
        <v>0.58174568010633532</v>
      </c>
      <c r="Q194">
        <f t="shared" ref="Q194" si="944">F194*P194</f>
        <v>31553239.427691597</v>
      </c>
      <c r="R194">
        <f t="shared" ref="R194" si="945">R195+Q194</f>
        <v>-1710545351.2406995</v>
      </c>
      <c r="S194">
        <f t="shared" ref="S194" si="946">R194/100000</f>
        <v>-17105.453512406995</v>
      </c>
      <c r="T194">
        <f t="shared" si="934"/>
        <v>-17.105453512406996</v>
      </c>
    </row>
    <row r="195" spans="1:20" x14ac:dyDescent="0.25">
      <c r="A195" s="5">
        <v>44398</v>
      </c>
      <c r="B195">
        <v>0.23025000000000001</v>
      </c>
      <c r="C195">
        <v>0.29135</v>
      </c>
      <c r="D195">
        <v>0.22608</v>
      </c>
      <c r="E195">
        <v>0.27141999999999999</v>
      </c>
      <c r="F195">
        <v>88677838.599999994</v>
      </c>
      <c r="G195">
        <v>0.27141999999999999</v>
      </c>
      <c r="L195" t="s">
        <v>8</v>
      </c>
      <c r="M195" t="s">
        <v>8</v>
      </c>
      <c r="N195" t="s">
        <v>8</v>
      </c>
      <c r="P195">
        <f t="shared" ref="P195" si="947">IF(C195=D195,0,((E195-D195)-(C195-E195))/(C195-D195))</f>
        <v>0.38930595985904687</v>
      </c>
      <c r="Q195">
        <f t="shared" ref="Q195" si="948">F195*P195</f>
        <v>34522811.074398637</v>
      </c>
      <c r="R195">
        <f t="shared" ref="R195" si="949">R196+Q195</f>
        <v>-1742098590.6683912</v>
      </c>
      <c r="S195">
        <f t="shared" ref="S195" si="950">R195/100000</f>
        <v>-17420.985906683913</v>
      </c>
      <c r="T195">
        <f t="shared" si="934"/>
        <v>-17.420985906683914</v>
      </c>
    </row>
    <row r="196" spans="1:20" x14ac:dyDescent="0.25">
      <c r="A196" s="5">
        <v>44397</v>
      </c>
      <c r="B196">
        <v>0.26101000000000002</v>
      </c>
      <c r="C196">
        <v>0.26408999999999999</v>
      </c>
      <c r="D196">
        <v>0.2172</v>
      </c>
      <c r="E196">
        <v>0.23041</v>
      </c>
      <c r="F196">
        <v>225676285.40000001</v>
      </c>
      <c r="G196">
        <v>0.23041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-0.4365536361697589</v>
      </c>
      <c r="Q196">
        <f t="shared" ref="Q196" si="952">F196*P196</f>
        <v>-98519802.988654271</v>
      </c>
      <c r="R196">
        <f t="shared" ref="R196" si="953">R197+Q196</f>
        <v>-1776621401.7427897</v>
      </c>
      <c r="S196">
        <f t="shared" ref="S196" si="954">R196/100000</f>
        <v>-17766.214017427897</v>
      </c>
      <c r="T196">
        <f t="shared" si="934"/>
        <v>-17.766214017427899</v>
      </c>
    </row>
    <row r="197" spans="1:20" x14ac:dyDescent="0.25">
      <c r="A197" s="5">
        <v>44396</v>
      </c>
      <c r="B197">
        <v>0.29541000000000001</v>
      </c>
      <c r="C197">
        <v>0.29541000000000001</v>
      </c>
      <c r="D197">
        <v>0.25566</v>
      </c>
      <c r="E197">
        <v>0.26095000000000002</v>
      </c>
      <c r="F197">
        <v>58350414.299999997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-0.73383647798742058</v>
      </c>
      <c r="Q197">
        <f t="shared" ref="Q197" si="956">F197*P197</f>
        <v>-42819662.519018821</v>
      </c>
      <c r="R197">
        <f t="shared" ref="R197" si="957">R198+Q197</f>
        <v>-1678101598.7541354</v>
      </c>
      <c r="S197">
        <f t="shared" ref="S197" si="958">R197/100000</f>
        <v>-16781.015987541352</v>
      </c>
      <c r="T197">
        <f t="shared" si="934"/>
        <v>-16.781015987541352</v>
      </c>
    </row>
    <row r="198" spans="1:20" x14ac:dyDescent="0.25">
      <c r="A198" s="5">
        <v>44395</v>
      </c>
      <c r="B198">
        <v>0.27528000000000002</v>
      </c>
      <c r="C198">
        <v>0.30542999999999998</v>
      </c>
      <c r="D198">
        <v>0.27060000000000001</v>
      </c>
      <c r="E198">
        <v>0.29583999999999999</v>
      </c>
      <c r="F198">
        <v>75426040</v>
      </c>
      <c r="G198">
        <v>0</v>
      </c>
      <c r="L198" t="s">
        <v>8</v>
      </c>
      <c r="M198" t="s">
        <v>7</v>
      </c>
      <c r="N198" t="s">
        <v>7</v>
      </c>
      <c r="P198">
        <f t="shared" ref="P198:P261" si="959">IF(C198=D198,0,((E198-D198)-(C198-E198))/(C198-D198))</f>
        <v>0.44932529428653489</v>
      </c>
      <c r="Q198">
        <f t="shared" ref="Q198:Q261" si="960">F198*P198</f>
        <v>33890827.619867951</v>
      </c>
      <c r="R198">
        <f t="shared" ref="R198:R261" si="961">R199+Q198</f>
        <v>-1635281936.2351165</v>
      </c>
      <c r="S198">
        <f t="shared" ref="S198:S261" si="962">R198/100000</f>
        <v>-16352.819362351165</v>
      </c>
      <c r="T198">
        <f t="shared" ref="T198:T261" si="963">S198/1000</f>
        <v>-16.352819362351166</v>
      </c>
    </row>
    <row r="199" spans="1:20" x14ac:dyDescent="0.25">
      <c r="A199" s="5">
        <v>44394</v>
      </c>
      <c r="B199">
        <v>0.26300000000000001</v>
      </c>
      <c r="C199">
        <v>0.28799999999999998</v>
      </c>
      <c r="D199">
        <v>0.25862000000000002</v>
      </c>
      <c r="E199">
        <v>0.27528000000000002</v>
      </c>
      <c r="F199">
        <v>55373523.299999997</v>
      </c>
      <c r="G199">
        <v>0</v>
      </c>
      <c r="L199" t="s">
        <v>8</v>
      </c>
      <c r="M199" t="s">
        <v>7</v>
      </c>
      <c r="N199" t="s">
        <v>7</v>
      </c>
      <c r="P199">
        <f t="shared" si="959"/>
        <v>0.13410483321987951</v>
      </c>
      <c r="Q199">
        <f t="shared" si="960"/>
        <v>7425857.106943612</v>
      </c>
      <c r="R199">
        <f t="shared" si="961"/>
        <v>-1669172763.8549845</v>
      </c>
      <c r="S199">
        <f t="shared" si="962"/>
        <v>-16691.727638549844</v>
      </c>
      <c r="T199">
        <f t="shared" si="963"/>
        <v>-16.691727638549846</v>
      </c>
    </row>
    <row r="200" spans="1:20" x14ac:dyDescent="0.25">
      <c r="A200" s="5">
        <v>44393</v>
      </c>
      <c r="B200">
        <v>0.28956999999999999</v>
      </c>
      <c r="C200">
        <v>0.29242000000000001</v>
      </c>
      <c r="D200">
        <v>0.25917000000000001</v>
      </c>
      <c r="E200">
        <v>0.26293</v>
      </c>
      <c r="F200">
        <v>88179715.599999994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-0.77383458646616632</v>
      </c>
      <c r="Q200">
        <f t="shared" si="960"/>
        <v>-68236513.756030157</v>
      </c>
      <c r="R200">
        <f t="shared" si="961"/>
        <v>-1676598620.9619281</v>
      </c>
      <c r="S200">
        <f t="shared" si="962"/>
        <v>-16765.986209619281</v>
      </c>
      <c r="T200">
        <f t="shared" si="963"/>
        <v>-16.765986209619282</v>
      </c>
    </row>
    <row r="201" spans="1:20" x14ac:dyDescent="0.25">
      <c r="A201" s="5">
        <v>44392</v>
      </c>
      <c r="B201">
        <v>0.30013000000000001</v>
      </c>
      <c r="C201">
        <v>0.30042999999999997</v>
      </c>
      <c r="D201">
        <v>0.27210000000000001</v>
      </c>
      <c r="E201">
        <v>0.28950999999999999</v>
      </c>
      <c r="F201">
        <v>95643739.099999994</v>
      </c>
      <c r="G201">
        <v>0</v>
      </c>
      <c r="L201" t="s">
        <v>7</v>
      </c>
      <c r="M201" t="s">
        <v>7</v>
      </c>
      <c r="N201" t="s">
        <v>7</v>
      </c>
      <c r="P201">
        <f t="shared" si="959"/>
        <v>0.22908577479703507</v>
      </c>
      <c r="Q201">
        <f t="shared" si="960"/>
        <v>21910620.076208975</v>
      </c>
      <c r="R201">
        <f t="shared" si="961"/>
        <v>-1608362107.205898</v>
      </c>
      <c r="S201">
        <f t="shared" si="962"/>
        <v>-16083.621072058981</v>
      </c>
      <c r="T201">
        <f t="shared" si="963"/>
        <v>-16.083621072058982</v>
      </c>
    </row>
    <row r="202" spans="1:20" x14ac:dyDescent="0.25">
      <c r="A202" s="5">
        <v>44391</v>
      </c>
      <c r="B202">
        <v>0.31130999999999998</v>
      </c>
      <c r="C202">
        <v>0.31179000000000001</v>
      </c>
      <c r="D202">
        <v>0.27655999999999997</v>
      </c>
      <c r="E202">
        <v>0.30023</v>
      </c>
      <c r="F202">
        <v>78353276.5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0.3437411297189894</v>
      </c>
      <c r="Q202">
        <f t="shared" si="960"/>
        <v>26933243.781294342</v>
      </c>
      <c r="R202">
        <f t="shared" si="961"/>
        <v>-1630272727.2821071</v>
      </c>
      <c r="S202">
        <f t="shared" si="962"/>
        <v>-16302.727272821072</v>
      </c>
      <c r="T202">
        <f t="shared" si="963"/>
        <v>-16.302727272821073</v>
      </c>
    </row>
    <row r="203" spans="1:20" x14ac:dyDescent="0.25">
      <c r="A203" s="5">
        <v>44390</v>
      </c>
      <c r="B203">
        <v>0.33152999999999999</v>
      </c>
      <c r="C203">
        <v>0.33210000000000001</v>
      </c>
      <c r="D203">
        <v>0.30143999999999999</v>
      </c>
      <c r="E203">
        <v>0.31135000000000002</v>
      </c>
      <c r="F203">
        <v>80679556.099999994</v>
      </c>
      <c r="G203">
        <v>0</v>
      </c>
      <c r="L203" t="s">
        <v>7</v>
      </c>
      <c r="M203" t="s">
        <v>7</v>
      </c>
      <c r="N203" t="s">
        <v>7</v>
      </c>
      <c r="P203">
        <f t="shared" si="959"/>
        <v>-0.35355512067840683</v>
      </c>
      <c r="Q203">
        <f t="shared" si="960"/>
        <v>-28524670.193215791</v>
      </c>
      <c r="R203">
        <f t="shared" si="961"/>
        <v>-1657205971.0634015</v>
      </c>
      <c r="S203">
        <f t="shared" si="962"/>
        <v>-16572.059710634014</v>
      </c>
      <c r="T203">
        <f t="shared" si="963"/>
        <v>-16.572059710634015</v>
      </c>
    </row>
    <row r="204" spans="1:20" x14ac:dyDescent="0.25">
      <c r="A204" s="5">
        <v>44389</v>
      </c>
      <c r="B204">
        <v>0.34686</v>
      </c>
      <c r="C204">
        <v>0.34709000000000001</v>
      </c>
      <c r="D204">
        <v>0.31973000000000001</v>
      </c>
      <c r="E204">
        <v>0.33194000000000001</v>
      </c>
      <c r="F204">
        <v>38662675.899999999</v>
      </c>
      <c r="G204">
        <v>0</v>
      </c>
      <c r="L204" t="s">
        <v>7</v>
      </c>
      <c r="M204" t="s">
        <v>7</v>
      </c>
      <c r="N204" t="s">
        <v>7</v>
      </c>
      <c r="P204">
        <f t="shared" si="959"/>
        <v>-0.10745614035087714</v>
      </c>
      <c r="Q204">
        <f t="shared" si="960"/>
        <v>-4154541.9278508751</v>
      </c>
      <c r="R204">
        <f t="shared" si="961"/>
        <v>-1628681300.8701856</v>
      </c>
      <c r="S204">
        <f t="shared" si="962"/>
        <v>-16286.813008701856</v>
      </c>
      <c r="T204">
        <f t="shared" si="963"/>
        <v>-16.286813008701856</v>
      </c>
    </row>
    <row r="205" spans="1:20" x14ac:dyDescent="0.25">
      <c r="A205" s="5">
        <v>44388</v>
      </c>
      <c r="B205">
        <v>0.34227000000000002</v>
      </c>
      <c r="C205">
        <v>0.35160000000000002</v>
      </c>
      <c r="D205">
        <v>0.32832</v>
      </c>
      <c r="E205">
        <v>0.34683000000000003</v>
      </c>
      <c r="F205">
        <v>75586841.400000006</v>
      </c>
      <c r="G205">
        <v>0</v>
      </c>
      <c r="L205" t="s">
        <v>8</v>
      </c>
      <c r="M205" t="s">
        <v>7</v>
      </c>
      <c r="N205" t="s">
        <v>7</v>
      </c>
      <c r="P205">
        <f t="shared" si="959"/>
        <v>0.59020618556701099</v>
      </c>
      <c r="Q205">
        <f t="shared" si="960"/>
        <v>44611821.341752633</v>
      </c>
      <c r="R205">
        <f t="shared" si="961"/>
        <v>-1624526758.9423347</v>
      </c>
      <c r="S205">
        <f t="shared" si="962"/>
        <v>-16245.267589423347</v>
      </c>
      <c r="T205">
        <f t="shared" si="963"/>
        <v>-16.245267589423346</v>
      </c>
    </row>
    <row r="206" spans="1:20" x14ac:dyDescent="0.25">
      <c r="A206" s="5">
        <v>44387</v>
      </c>
      <c r="B206">
        <v>0.35843999999999998</v>
      </c>
      <c r="C206">
        <v>0.35919000000000001</v>
      </c>
      <c r="D206">
        <v>0.32790000000000002</v>
      </c>
      <c r="E206">
        <v>0.34214</v>
      </c>
      <c r="F206">
        <v>54306682.100000001</v>
      </c>
      <c r="G206">
        <v>0</v>
      </c>
      <c r="L206" t="s">
        <v>7</v>
      </c>
      <c r="M206" t="s">
        <v>7</v>
      </c>
      <c r="N206" t="s">
        <v>7</v>
      </c>
      <c r="P206">
        <f t="shared" si="959"/>
        <v>-8.9805049536594309E-2</v>
      </c>
      <c r="Q206">
        <f t="shared" si="960"/>
        <v>-4877014.2761585796</v>
      </c>
      <c r="R206">
        <f t="shared" si="961"/>
        <v>-1669138580.2840872</v>
      </c>
      <c r="S206">
        <f t="shared" si="962"/>
        <v>-16691.385802840872</v>
      </c>
      <c r="T206">
        <f t="shared" si="963"/>
        <v>-16.691385802840873</v>
      </c>
    </row>
    <row r="207" spans="1:20" x14ac:dyDescent="0.25">
      <c r="A207" s="5">
        <v>44386</v>
      </c>
      <c r="B207">
        <v>0.38186999999999999</v>
      </c>
      <c r="C207">
        <v>0.3831</v>
      </c>
      <c r="D207">
        <v>0.33940999999999999</v>
      </c>
      <c r="E207">
        <v>0.35843999999999998</v>
      </c>
      <c r="F207">
        <v>88925874.200000003</v>
      </c>
      <c r="G207">
        <v>0</v>
      </c>
      <c r="L207" t="s">
        <v>7</v>
      </c>
      <c r="M207" t="s">
        <v>7</v>
      </c>
      <c r="N207" t="s">
        <v>7</v>
      </c>
      <c r="P207">
        <f t="shared" si="959"/>
        <v>-0.1288624399176018</v>
      </c>
      <c r="Q207">
        <f t="shared" si="960"/>
        <v>-11459205.121217716</v>
      </c>
      <c r="R207">
        <f t="shared" si="961"/>
        <v>-1664261566.0079286</v>
      </c>
      <c r="S207">
        <f t="shared" si="962"/>
        <v>-16642.615660079286</v>
      </c>
      <c r="T207">
        <f t="shared" si="963"/>
        <v>-16.642615660079286</v>
      </c>
    </row>
    <row r="208" spans="1:20" x14ac:dyDescent="0.25">
      <c r="A208" s="5">
        <v>44385</v>
      </c>
      <c r="B208">
        <v>0.35331000000000001</v>
      </c>
      <c r="C208">
        <v>0.40494000000000002</v>
      </c>
      <c r="D208">
        <v>0.33622000000000002</v>
      </c>
      <c r="E208">
        <v>0.38178000000000001</v>
      </c>
      <c r="F208">
        <v>197909997</v>
      </c>
      <c r="G208">
        <v>0</v>
      </c>
      <c r="L208" t="s">
        <v>8</v>
      </c>
      <c r="M208" t="s">
        <v>8</v>
      </c>
      <c r="N208" t="s">
        <v>7</v>
      </c>
      <c r="P208">
        <f t="shared" si="959"/>
        <v>0.32596041909196705</v>
      </c>
      <c r="Q208">
        <f t="shared" si="960"/>
        <v>64510825.564609937</v>
      </c>
      <c r="R208">
        <f t="shared" si="961"/>
        <v>-1652802360.8867109</v>
      </c>
      <c r="S208">
        <f t="shared" si="962"/>
        <v>-16528.023608867108</v>
      </c>
      <c r="T208">
        <f t="shared" si="963"/>
        <v>-16.528023608867109</v>
      </c>
    </row>
    <row r="209" spans="1:20" x14ac:dyDescent="0.25">
      <c r="A209" s="5">
        <v>44384</v>
      </c>
      <c r="B209">
        <v>0.35389999999999999</v>
      </c>
      <c r="C209">
        <v>0.36840000000000001</v>
      </c>
      <c r="D209">
        <v>0.34438000000000002</v>
      </c>
      <c r="E209">
        <v>0.35300999999999999</v>
      </c>
      <c r="F209">
        <v>65775399.399999999</v>
      </c>
      <c r="G209">
        <v>0</v>
      </c>
      <c r="L209" t="s">
        <v>8</v>
      </c>
      <c r="M209" t="s">
        <v>7</v>
      </c>
      <c r="N209" t="s">
        <v>7</v>
      </c>
      <c r="P209">
        <f t="shared" si="959"/>
        <v>-0.28143213988343246</v>
      </c>
      <c r="Q209">
        <f t="shared" si="960"/>
        <v>-18511311.404829439</v>
      </c>
      <c r="R209">
        <f t="shared" si="961"/>
        <v>-1717313186.4513209</v>
      </c>
      <c r="S209">
        <f t="shared" si="962"/>
        <v>-17173.131864513209</v>
      </c>
      <c r="T209">
        <f t="shared" si="963"/>
        <v>-17.173131864513209</v>
      </c>
    </row>
    <row r="210" spans="1:20" x14ac:dyDescent="0.25">
      <c r="A210" s="5">
        <v>44383</v>
      </c>
      <c r="B210">
        <v>0.35310000000000002</v>
      </c>
      <c r="C210">
        <v>0.36249999999999999</v>
      </c>
      <c r="D210">
        <v>0.33854000000000001</v>
      </c>
      <c r="E210">
        <v>0.35359000000000002</v>
      </c>
      <c r="F210">
        <v>144580001.5</v>
      </c>
      <c r="G210">
        <v>0</v>
      </c>
      <c r="L210" t="s">
        <v>7</v>
      </c>
      <c r="M210" t="s">
        <v>7</v>
      </c>
      <c r="N210" t="s">
        <v>7</v>
      </c>
      <c r="P210">
        <f t="shared" si="959"/>
        <v>0.25626043405676291</v>
      </c>
      <c r="Q210">
        <f t="shared" si="960"/>
        <v>37050133.94031743</v>
      </c>
      <c r="R210">
        <f t="shared" si="961"/>
        <v>-1698801875.0464914</v>
      </c>
      <c r="S210">
        <f t="shared" si="962"/>
        <v>-16988.018750464915</v>
      </c>
      <c r="T210">
        <f t="shared" si="963"/>
        <v>-16.988018750464914</v>
      </c>
    </row>
    <row r="211" spans="1:20" x14ac:dyDescent="0.25">
      <c r="A211" s="5">
        <v>44382</v>
      </c>
      <c r="B211">
        <v>0.37536000000000003</v>
      </c>
      <c r="C211">
        <v>0.37536000000000003</v>
      </c>
      <c r="D211">
        <v>0.34628999999999999</v>
      </c>
      <c r="E211">
        <v>0.35303000000000001</v>
      </c>
      <c r="F211">
        <v>90469520.599999994</v>
      </c>
      <c r="G211">
        <v>0</v>
      </c>
      <c r="L211" t="s">
        <v>7</v>
      </c>
      <c r="M211" t="s">
        <v>7</v>
      </c>
      <c r="N211" t="s">
        <v>7</v>
      </c>
      <c r="P211">
        <f t="shared" si="959"/>
        <v>-0.53629170966632167</v>
      </c>
      <c r="Q211">
        <f t="shared" si="960"/>
        <v>-48518053.875266507</v>
      </c>
      <c r="R211">
        <f t="shared" si="961"/>
        <v>-1735852008.9868088</v>
      </c>
      <c r="S211">
        <f t="shared" si="962"/>
        <v>-17358.520089868089</v>
      </c>
      <c r="T211">
        <f t="shared" si="963"/>
        <v>-17.35852008986809</v>
      </c>
    </row>
    <row r="212" spans="1:20" x14ac:dyDescent="0.25">
      <c r="A212" s="5">
        <v>44381</v>
      </c>
      <c r="B212">
        <v>0.37720999999999999</v>
      </c>
      <c r="C212">
        <v>0.39</v>
      </c>
      <c r="D212">
        <v>0.36199999999999999</v>
      </c>
      <c r="E212">
        <v>0.37537999999999999</v>
      </c>
      <c r="F212">
        <v>74225184.599999994</v>
      </c>
      <c r="G212">
        <v>0</v>
      </c>
      <c r="L212" t="s">
        <v>8</v>
      </c>
      <c r="M212" t="s">
        <v>7</v>
      </c>
      <c r="N212" t="s">
        <v>7</v>
      </c>
      <c r="P212">
        <f t="shared" si="959"/>
        <v>-4.4285714285714921E-2</v>
      </c>
      <c r="Q212">
        <f t="shared" si="960"/>
        <v>-3287115.318000047</v>
      </c>
      <c r="R212">
        <f t="shared" si="961"/>
        <v>-1687333955.1115422</v>
      </c>
      <c r="S212">
        <f t="shared" si="962"/>
        <v>-16873.339551115423</v>
      </c>
      <c r="T212">
        <f t="shared" si="963"/>
        <v>-16.873339551115421</v>
      </c>
    </row>
    <row r="213" spans="1:20" x14ac:dyDescent="0.25">
      <c r="A213" s="5">
        <v>44380</v>
      </c>
      <c r="B213">
        <v>0.36884</v>
      </c>
      <c r="C213">
        <v>0.38427</v>
      </c>
      <c r="D213">
        <v>0.35476000000000002</v>
      </c>
      <c r="E213">
        <v>0.37719999999999998</v>
      </c>
      <c r="F213">
        <v>76997456.5</v>
      </c>
      <c r="G213">
        <v>0</v>
      </c>
      <c r="L213" t="s">
        <v>8</v>
      </c>
      <c r="M213" t="s">
        <v>7</v>
      </c>
      <c r="N213" t="s">
        <v>7</v>
      </c>
      <c r="P213">
        <f t="shared" si="959"/>
        <v>0.52084039308708741</v>
      </c>
      <c r="Q213">
        <f t="shared" si="960"/>
        <v>40103385.510165915</v>
      </c>
      <c r="R213">
        <f t="shared" si="961"/>
        <v>-1684046839.7935421</v>
      </c>
      <c r="S213">
        <f t="shared" si="962"/>
        <v>-16840.468397935423</v>
      </c>
      <c r="T213">
        <f t="shared" si="963"/>
        <v>-16.840468397935425</v>
      </c>
    </row>
    <row r="214" spans="1:20" x14ac:dyDescent="0.25">
      <c r="A214" s="5">
        <v>44379</v>
      </c>
      <c r="B214">
        <v>0.37775999999999998</v>
      </c>
      <c r="C214">
        <v>0.38372000000000001</v>
      </c>
      <c r="D214">
        <v>0.34547</v>
      </c>
      <c r="E214">
        <v>0.36884</v>
      </c>
      <c r="F214">
        <v>103917462.8</v>
      </c>
      <c r="G214">
        <v>0</v>
      </c>
      <c r="L214" t="s">
        <v>7</v>
      </c>
      <c r="M214" t="s">
        <v>7</v>
      </c>
      <c r="N214" t="s">
        <v>7</v>
      </c>
      <c r="P214">
        <f t="shared" si="959"/>
        <v>0.2219607843137254</v>
      </c>
      <c r="Q214">
        <f t="shared" si="960"/>
        <v>23065601.546980381</v>
      </c>
      <c r="R214">
        <f t="shared" si="961"/>
        <v>-1724150225.3037081</v>
      </c>
      <c r="S214">
        <f t="shared" si="962"/>
        <v>-17241.502253037081</v>
      </c>
      <c r="T214">
        <f t="shared" si="963"/>
        <v>-17.24150225303708</v>
      </c>
    </row>
    <row r="215" spans="1:20" x14ac:dyDescent="0.25">
      <c r="A215" s="5">
        <v>44378</v>
      </c>
      <c r="B215">
        <v>0.41199000000000002</v>
      </c>
      <c r="C215">
        <v>0.41256999999999999</v>
      </c>
      <c r="D215">
        <v>0.36937999999999999</v>
      </c>
      <c r="E215">
        <v>0.37767000000000001</v>
      </c>
      <c r="F215">
        <v>122643587.40000001</v>
      </c>
      <c r="G215">
        <v>0</v>
      </c>
      <c r="L215" t="s">
        <v>7</v>
      </c>
      <c r="M215" t="s">
        <v>7</v>
      </c>
      <c r="N215" t="s">
        <v>8</v>
      </c>
      <c r="P215">
        <f t="shared" si="959"/>
        <v>-0.61611484139847106</v>
      </c>
      <c r="Q215">
        <f t="shared" si="960"/>
        <v>-75562534.39949052</v>
      </c>
      <c r="R215">
        <f t="shared" si="961"/>
        <v>-1747215826.8506885</v>
      </c>
      <c r="S215">
        <f t="shared" si="962"/>
        <v>-17472.158268506886</v>
      </c>
      <c r="T215">
        <f t="shared" si="963"/>
        <v>-17.472158268506885</v>
      </c>
    </row>
    <row r="216" spans="1:20" x14ac:dyDescent="0.25">
      <c r="A216" s="5">
        <v>44377</v>
      </c>
      <c r="B216">
        <v>0.42807000000000001</v>
      </c>
      <c r="C216">
        <v>0.42959999999999998</v>
      </c>
      <c r="D216">
        <v>0.38463000000000003</v>
      </c>
      <c r="E216">
        <v>0.41198000000000001</v>
      </c>
      <c r="F216">
        <v>160052534.69999999</v>
      </c>
      <c r="G216">
        <v>0</v>
      </c>
      <c r="L216" t="s">
        <v>7</v>
      </c>
      <c r="M216" t="s">
        <v>7</v>
      </c>
      <c r="N216" t="s">
        <v>8</v>
      </c>
      <c r="P216">
        <f t="shared" si="959"/>
        <v>0.21636646653324496</v>
      </c>
      <c r="Q216">
        <f t="shared" si="960"/>
        <v>34630001.392728575</v>
      </c>
      <c r="R216">
        <f t="shared" si="961"/>
        <v>-1671653292.4511979</v>
      </c>
      <c r="S216">
        <f t="shared" si="962"/>
        <v>-16716.532924511979</v>
      </c>
      <c r="T216">
        <f t="shared" si="963"/>
        <v>-16.716532924511981</v>
      </c>
    </row>
    <row r="217" spans="1:20" x14ac:dyDescent="0.25">
      <c r="A217" s="5">
        <v>44376</v>
      </c>
      <c r="B217">
        <v>0.42899999999999999</v>
      </c>
      <c r="C217">
        <v>0.44990999999999998</v>
      </c>
      <c r="D217">
        <v>0.41744999999999999</v>
      </c>
      <c r="E217">
        <v>0.42802000000000001</v>
      </c>
      <c r="F217">
        <v>148351105.09999999</v>
      </c>
      <c r="G217">
        <v>0</v>
      </c>
      <c r="L217" t="s">
        <v>8</v>
      </c>
      <c r="M217" t="s">
        <v>7</v>
      </c>
      <c r="N217" t="s">
        <v>8</v>
      </c>
      <c r="P217">
        <f t="shared" si="959"/>
        <v>-0.34873690696241361</v>
      </c>
      <c r="Q217">
        <f t="shared" si="960"/>
        <v>-51735505.537029937</v>
      </c>
      <c r="R217">
        <f t="shared" si="961"/>
        <v>-1706283293.8439264</v>
      </c>
      <c r="S217">
        <f t="shared" si="962"/>
        <v>-17062.832938439264</v>
      </c>
      <c r="T217">
        <f t="shared" si="963"/>
        <v>-17.062832938439264</v>
      </c>
    </row>
    <row r="218" spans="1:20" x14ac:dyDescent="0.25">
      <c r="A218" s="5">
        <v>44375</v>
      </c>
      <c r="B218">
        <v>0.43169999999999997</v>
      </c>
      <c r="C218">
        <v>0.43997999999999998</v>
      </c>
      <c r="D218">
        <v>0.40786</v>
      </c>
      <c r="E218">
        <v>0.42899999999999999</v>
      </c>
      <c r="F218">
        <v>140479058.59999999</v>
      </c>
      <c r="G218">
        <v>0</v>
      </c>
      <c r="L218" t="s">
        <v>8</v>
      </c>
      <c r="M218" t="s">
        <v>7</v>
      </c>
      <c r="N218" t="s">
        <v>8</v>
      </c>
      <c r="P218">
        <f t="shared" si="959"/>
        <v>0.3163138231631385</v>
      </c>
      <c r="Q218">
        <f t="shared" si="960"/>
        <v>44435468.100124568</v>
      </c>
      <c r="R218">
        <f t="shared" si="961"/>
        <v>-1654547788.3068964</v>
      </c>
      <c r="S218">
        <f t="shared" si="962"/>
        <v>-16545.477883068965</v>
      </c>
      <c r="T218">
        <f t="shared" si="963"/>
        <v>-16.545477883068965</v>
      </c>
    </row>
    <row r="219" spans="1:20" x14ac:dyDescent="0.25">
      <c r="A219" s="5">
        <v>44374</v>
      </c>
      <c r="B219">
        <v>0.42416999999999999</v>
      </c>
      <c r="C219">
        <v>0.43192000000000003</v>
      </c>
      <c r="D219">
        <v>0.39843000000000001</v>
      </c>
      <c r="E219">
        <v>0.43151</v>
      </c>
      <c r="F219">
        <v>125989080.40000001</v>
      </c>
      <c r="G219">
        <v>0</v>
      </c>
      <c r="L219" t="s">
        <v>8</v>
      </c>
      <c r="M219" t="s">
        <v>7</v>
      </c>
      <c r="N219" t="s">
        <v>8</v>
      </c>
      <c r="P219">
        <f t="shared" si="959"/>
        <v>0.97551507912809665</v>
      </c>
      <c r="Q219">
        <f t="shared" si="960"/>
        <v>122904247.73568213</v>
      </c>
      <c r="R219">
        <f t="shared" si="961"/>
        <v>-1698983256.407021</v>
      </c>
      <c r="S219">
        <f t="shared" si="962"/>
        <v>-16989.83256407021</v>
      </c>
      <c r="T219">
        <f t="shared" si="963"/>
        <v>-16.989832564070209</v>
      </c>
    </row>
    <row r="220" spans="1:20" x14ac:dyDescent="0.25">
      <c r="A220" s="5">
        <v>44373</v>
      </c>
      <c r="B220">
        <v>0.42518</v>
      </c>
      <c r="C220">
        <v>0.43</v>
      </c>
      <c r="D220">
        <v>0.38553999999999999</v>
      </c>
      <c r="E220">
        <v>0.42354000000000003</v>
      </c>
      <c r="F220">
        <v>139411779.69999999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0.70940170940171099</v>
      </c>
      <c r="Q220">
        <f t="shared" si="960"/>
        <v>98898954.829914749</v>
      </c>
      <c r="R220">
        <f t="shared" si="961"/>
        <v>-1821887504.1427033</v>
      </c>
      <c r="S220">
        <f t="shared" si="962"/>
        <v>-18218.875041427033</v>
      </c>
      <c r="T220">
        <f t="shared" si="963"/>
        <v>-18.218875041427033</v>
      </c>
    </row>
    <row r="221" spans="1:20" x14ac:dyDescent="0.25">
      <c r="A221" s="5">
        <v>44372</v>
      </c>
      <c r="B221">
        <v>0.48657</v>
      </c>
      <c r="C221">
        <v>0.48851</v>
      </c>
      <c r="D221">
        <v>0.41386000000000001</v>
      </c>
      <c r="E221">
        <v>0.42552000000000001</v>
      </c>
      <c r="F221">
        <v>169478228.30000001</v>
      </c>
      <c r="G221">
        <v>0</v>
      </c>
      <c r="L221" t="s">
        <v>7</v>
      </c>
      <c r="M221" t="s">
        <v>7</v>
      </c>
      <c r="N221" t="s">
        <v>8</v>
      </c>
      <c r="P221">
        <f t="shared" si="959"/>
        <v>-0.68760884125920951</v>
      </c>
      <c r="Q221">
        <f t="shared" si="960"/>
        <v>-116534728.18002678</v>
      </c>
      <c r="R221">
        <f t="shared" si="961"/>
        <v>-1920786458.9726181</v>
      </c>
      <c r="S221">
        <f t="shared" si="962"/>
        <v>-19207.864589726181</v>
      </c>
      <c r="T221">
        <f t="shared" si="963"/>
        <v>-19.207864589726181</v>
      </c>
    </row>
    <row r="222" spans="1:20" x14ac:dyDescent="0.25">
      <c r="A222" s="5">
        <v>44371</v>
      </c>
      <c r="B222">
        <v>0.47852</v>
      </c>
      <c r="C222">
        <v>0.49917</v>
      </c>
      <c r="D222">
        <v>0.44307999999999997</v>
      </c>
      <c r="E222">
        <v>0.48658000000000001</v>
      </c>
      <c r="F222">
        <v>144130842.80000001</v>
      </c>
      <c r="G222">
        <v>0</v>
      </c>
      <c r="L222" t="s">
        <v>8</v>
      </c>
      <c r="M222" t="s">
        <v>8</v>
      </c>
      <c r="N222" t="s">
        <v>8</v>
      </c>
      <c r="P222">
        <f t="shared" si="959"/>
        <v>0.55107862364057825</v>
      </c>
      <c r="Q222">
        <f t="shared" si="960"/>
        <v>79427426.474380553</v>
      </c>
      <c r="R222">
        <f t="shared" si="961"/>
        <v>-1804251730.7925913</v>
      </c>
      <c r="S222">
        <f t="shared" si="962"/>
        <v>-18042.517307925915</v>
      </c>
      <c r="T222">
        <f t="shared" si="963"/>
        <v>-18.042517307925916</v>
      </c>
    </row>
    <row r="223" spans="1:20" x14ac:dyDescent="0.25">
      <c r="A223" s="5">
        <v>44370</v>
      </c>
      <c r="B223">
        <v>0.45368999999999998</v>
      </c>
      <c r="C223">
        <v>0.48879</v>
      </c>
      <c r="D223">
        <v>0.42109999999999997</v>
      </c>
      <c r="E223">
        <v>0.47999000000000003</v>
      </c>
      <c r="F223">
        <v>250939604.80000001</v>
      </c>
      <c r="G223">
        <v>0</v>
      </c>
      <c r="L223" t="s">
        <v>8</v>
      </c>
      <c r="M223" t="s">
        <v>8</v>
      </c>
      <c r="N223" t="s">
        <v>8</v>
      </c>
      <c r="P223">
        <f t="shared" si="959"/>
        <v>0.7399911360614575</v>
      </c>
      <c r="Q223">
        <f t="shared" si="960"/>
        <v>185693083.23876518</v>
      </c>
      <c r="R223">
        <f t="shared" si="961"/>
        <v>-1883679157.2669718</v>
      </c>
      <c r="S223">
        <f t="shared" si="962"/>
        <v>-18836.791572669717</v>
      </c>
      <c r="T223">
        <f t="shared" si="963"/>
        <v>-18.836791572669718</v>
      </c>
    </row>
    <row r="224" spans="1:20" x14ac:dyDescent="0.25">
      <c r="A224" s="5">
        <v>44369</v>
      </c>
      <c r="B224">
        <v>0.45900000000000002</v>
      </c>
      <c r="C224">
        <v>0.50531999999999999</v>
      </c>
      <c r="D224">
        <v>0.35</v>
      </c>
      <c r="E224">
        <v>0.45323999999999998</v>
      </c>
      <c r="F224">
        <v>483490764.60000002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0.32938449652330659</v>
      </c>
      <c r="Q224">
        <f t="shared" si="960"/>
        <v>159254362.07143956</v>
      </c>
      <c r="R224">
        <f t="shared" si="961"/>
        <v>-2069372240.5057371</v>
      </c>
      <c r="S224">
        <f t="shared" si="962"/>
        <v>-20693.722405057371</v>
      </c>
      <c r="T224">
        <f t="shared" si="963"/>
        <v>-20.693722405057372</v>
      </c>
    </row>
    <row r="225" spans="1:20" x14ac:dyDescent="0.25">
      <c r="A225" s="5">
        <v>44368</v>
      </c>
      <c r="B225">
        <v>0.58865999999999996</v>
      </c>
      <c r="C225">
        <v>0.61</v>
      </c>
      <c r="D225">
        <v>0.44112000000000001</v>
      </c>
      <c r="E225">
        <v>0.45867999999999998</v>
      </c>
      <c r="F225">
        <v>350148546.80000001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-0.79204168640454797</v>
      </c>
      <c r="Q225">
        <f t="shared" si="960"/>
        <v>-277332245.49957383</v>
      </c>
      <c r="R225">
        <f t="shared" si="961"/>
        <v>-2228626602.5771766</v>
      </c>
      <c r="S225">
        <f t="shared" si="962"/>
        <v>-22286.266025771765</v>
      </c>
      <c r="T225">
        <f t="shared" si="963"/>
        <v>-22.286266025771766</v>
      </c>
    </row>
    <row r="226" spans="1:20" x14ac:dyDescent="0.25">
      <c r="A226" s="5">
        <v>44367</v>
      </c>
      <c r="B226">
        <v>0.58730000000000004</v>
      </c>
      <c r="C226">
        <v>0.60306999999999999</v>
      </c>
      <c r="D226">
        <v>0.52895999999999999</v>
      </c>
      <c r="E226">
        <v>0.58880999999999994</v>
      </c>
      <c r="F226">
        <v>247428816.5</v>
      </c>
      <c r="G226">
        <v>0</v>
      </c>
      <c r="L226" t="s">
        <v>7</v>
      </c>
      <c r="M226" t="s">
        <v>7</v>
      </c>
      <c r="N226" t="s">
        <v>8</v>
      </c>
      <c r="P226">
        <f t="shared" si="959"/>
        <v>0.61516664417757261</v>
      </c>
      <c r="Q226">
        <f t="shared" si="960"/>
        <v>152209954.71913341</v>
      </c>
      <c r="R226">
        <f t="shared" si="961"/>
        <v>-1951294357.0776026</v>
      </c>
      <c r="S226">
        <f t="shared" si="962"/>
        <v>-19512.943570776028</v>
      </c>
      <c r="T226">
        <f t="shared" si="963"/>
        <v>-19.512943570776027</v>
      </c>
    </row>
    <row r="227" spans="1:20" x14ac:dyDescent="0.25">
      <c r="A227" s="5">
        <v>44366</v>
      </c>
      <c r="B227">
        <v>0.57979999999999998</v>
      </c>
      <c r="C227">
        <v>0.62319999999999998</v>
      </c>
      <c r="D227">
        <v>0.57399999999999995</v>
      </c>
      <c r="E227">
        <v>0.58730000000000004</v>
      </c>
      <c r="F227">
        <v>232714075.30000001</v>
      </c>
      <c r="G227">
        <v>0</v>
      </c>
      <c r="L227" t="s">
        <v>7</v>
      </c>
      <c r="M227" t="s">
        <v>8</v>
      </c>
      <c r="N227" t="s">
        <v>8</v>
      </c>
      <c r="P227">
        <f t="shared" si="959"/>
        <v>-0.45934959349593157</v>
      </c>
      <c r="Q227">
        <f t="shared" si="960"/>
        <v>-106897115.88983661</v>
      </c>
      <c r="R227">
        <f t="shared" si="961"/>
        <v>-2103504311.796736</v>
      </c>
      <c r="S227">
        <f t="shared" si="962"/>
        <v>-21035.043117967361</v>
      </c>
      <c r="T227">
        <f t="shared" si="963"/>
        <v>-21.035043117967362</v>
      </c>
    </row>
    <row r="228" spans="1:20" x14ac:dyDescent="0.25">
      <c r="A228" s="5">
        <v>44365</v>
      </c>
      <c r="B228">
        <v>0.56211</v>
      </c>
      <c r="C228">
        <v>0.63800000000000001</v>
      </c>
      <c r="D228">
        <v>0.55479999999999996</v>
      </c>
      <c r="E228">
        <v>0.57920000000000005</v>
      </c>
      <c r="F228">
        <v>364892548.39999998</v>
      </c>
      <c r="G228">
        <v>0</v>
      </c>
      <c r="L228" t="s">
        <v>8</v>
      </c>
      <c r="M228" t="s">
        <v>8</v>
      </c>
      <c r="N228" t="s">
        <v>8</v>
      </c>
      <c r="P228">
        <f t="shared" si="959"/>
        <v>-0.41346153846153672</v>
      </c>
      <c r="Q228">
        <f t="shared" si="960"/>
        <v>-150869034.43461475</v>
      </c>
      <c r="R228">
        <f t="shared" si="961"/>
        <v>-1996607195.9068995</v>
      </c>
      <c r="S228">
        <f t="shared" si="962"/>
        <v>-19966.071959068995</v>
      </c>
      <c r="T228">
        <f t="shared" si="963"/>
        <v>-19.966071959068994</v>
      </c>
    </row>
    <row r="229" spans="1:20" x14ac:dyDescent="0.25">
      <c r="A229" s="5">
        <v>44364</v>
      </c>
      <c r="B229">
        <v>0.504</v>
      </c>
      <c r="C229">
        <v>0.57799999999999996</v>
      </c>
      <c r="D229">
        <v>0.48864000000000002</v>
      </c>
      <c r="E229">
        <v>0.56206999999999996</v>
      </c>
      <c r="F229">
        <v>290692511.10000002</v>
      </c>
      <c r="G229">
        <v>0</v>
      </c>
      <c r="L229" t="s">
        <v>8</v>
      </c>
      <c r="M229" t="s">
        <v>8</v>
      </c>
      <c r="N229" t="s">
        <v>8</v>
      </c>
      <c r="P229">
        <f t="shared" si="959"/>
        <v>0.64346463742166493</v>
      </c>
      <c r="Q229">
        <f t="shared" si="960"/>
        <v>187050351.25615484</v>
      </c>
      <c r="R229">
        <f t="shared" si="961"/>
        <v>-1845738161.4722848</v>
      </c>
      <c r="S229">
        <f t="shared" si="962"/>
        <v>-18457.381614722846</v>
      </c>
      <c r="T229">
        <f t="shared" si="963"/>
        <v>-18.457381614722845</v>
      </c>
    </row>
    <row r="230" spans="1:20" x14ac:dyDescent="0.25">
      <c r="A230" s="5">
        <v>44363</v>
      </c>
      <c r="B230">
        <v>0.49843999999999999</v>
      </c>
      <c r="C230">
        <v>0.52</v>
      </c>
      <c r="D230">
        <v>0.47119</v>
      </c>
      <c r="E230">
        <v>0.504</v>
      </c>
      <c r="F230">
        <v>147939704.40000001</v>
      </c>
      <c r="G230">
        <v>0</v>
      </c>
      <c r="L230" t="s">
        <v>8</v>
      </c>
      <c r="M230" t="s">
        <v>7</v>
      </c>
      <c r="N230" t="s">
        <v>8</v>
      </c>
      <c r="P230">
        <f t="shared" si="959"/>
        <v>0.34439664003277987</v>
      </c>
      <c r="Q230">
        <f t="shared" si="960"/>
        <v>50949937.12280266</v>
      </c>
      <c r="R230">
        <f t="shared" si="961"/>
        <v>-2032788512.7284396</v>
      </c>
      <c r="S230">
        <f t="shared" si="962"/>
        <v>-20327.885127284397</v>
      </c>
      <c r="T230">
        <f t="shared" si="963"/>
        <v>-20.327885127284397</v>
      </c>
    </row>
    <row r="231" spans="1:20" x14ac:dyDescent="0.25">
      <c r="A231" s="5">
        <v>44362</v>
      </c>
      <c r="B231">
        <v>0.55025999999999997</v>
      </c>
      <c r="C231">
        <v>0.55567999999999995</v>
      </c>
      <c r="D231">
        <v>0.47439999999999999</v>
      </c>
      <c r="E231">
        <v>0.49848999999999999</v>
      </c>
      <c r="F231">
        <v>202557061</v>
      </c>
      <c r="G231">
        <v>0</v>
      </c>
      <c r="L231" t="s">
        <v>7</v>
      </c>
      <c r="M231" t="s">
        <v>7</v>
      </c>
      <c r="N231" t="s">
        <v>8</v>
      </c>
      <c r="P231">
        <f t="shared" si="959"/>
        <v>-0.40723425196850366</v>
      </c>
      <c r="Q231">
        <f t="shared" si="960"/>
        <v>-82488173.217273563</v>
      </c>
      <c r="R231">
        <f t="shared" si="961"/>
        <v>-2083738449.8512423</v>
      </c>
      <c r="S231">
        <f t="shared" si="962"/>
        <v>-20837.384498512423</v>
      </c>
      <c r="T231">
        <f t="shared" si="963"/>
        <v>-20.837384498512424</v>
      </c>
    </row>
    <row r="232" spans="1:20" x14ac:dyDescent="0.25">
      <c r="A232" s="5">
        <v>44361</v>
      </c>
      <c r="B232">
        <v>0.57416</v>
      </c>
      <c r="C232">
        <v>0.59999000000000002</v>
      </c>
      <c r="D232">
        <v>0.51461999999999997</v>
      </c>
      <c r="E232">
        <v>0.55018999999999996</v>
      </c>
      <c r="F232">
        <v>276281309.39999998</v>
      </c>
      <c r="G232">
        <v>0</v>
      </c>
      <c r="L232" t="s">
        <v>8</v>
      </c>
      <c r="M232" t="s">
        <v>8</v>
      </c>
      <c r="N232" t="s">
        <v>8</v>
      </c>
      <c r="P232">
        <f t="shared" si="959"/>
        <v>-0.16668618952793798</v>
      </c>
      <c r="Q232">
        <f t="shared" si="960"/>
        <v>-46052278.701675273</v>
      </c>
      <c r="R232">
        <f t="shared" si="961"/>
        <v>-2001250276.6339688</v>
      </c>
      <c r="S232">
        <f t="shared" si="962"/>
        <v>-20012.502766339687</v>
      </c>
      <c r="T232">
        <f t="shared" si="963"/>
        <v>-20.012502766339686</v>
      </c>
    </row>
    <row r="233" spans="1:20" x14ac:dyDescent="0.25">
      <c r="A233" s="5">
        <v>44360</v>
      </c>
      <c r="B233">
        <v>0.42370999999999998</v>
      </c>
      <c r="C233">
        <v>0.57950000000000002</v>
      </c>
      <c r="D233">
        <v>0.41737999999999997</v>
      </c>
      <c r="E233">
        <v>0.57384999999999997</v>
      </c>
      <c r="F233">
        <v>484746528.30000001</v>
      </c>
      <c r="G233">
        <v>0</v>
      </c>
      <c r="L233" t="s">
        <v>8</v>
      </c>
      <c r="M233" t="s">
        <v>8</v>
      </c>
      <c r="N233" t="s">
        <v>8</v>
      </c>
      <c r="P233">
        <f t="shared" si="959"/>
        <v>0.93029854428818104</v>
      </c>
      <c r="Q233">
        <f t="shared" si="960"/>
        <v>450958989.62623954</v>
      </c>
      <c r="R233">
        <f t="shared" si="961"/>
        <v>-1955197997.9322937</v>
      </c>
      <c r="S233">
        <f t="shared" si="962"/>
        <v>-19551.979979322936</v>
      </c>
      <c r="T233">
        <f t="shared" si="963"/>
        <v>-19.551979979322937</v>
      </c>
    </row>
    <row r="234" spans="1:20" x14ac:dyDescent="0.25">
      <c r="A234" s="5">
        <v>44359</v>
      </c>
      <c r="B234">
        <v>0.48255999999999999</v>
      </c>
      <c r="C234">
        <v>0.51517000000000002</v>
      </c>
      <c r="D234">
        <v>0.40605999999999998</v>
      </c>
      <c r="E234">
        <v>0.42363000000000001</v>
      </c>
      <c r="F234">
        <v>304161299.80000001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-0.67793969388690267</v>
      </c>
      <c r="Q234">
        <f t="shared" si="960"/>
        <v>-206203018.47865444</v>
      </c>
      <c r="R234">
        <f t="shared" si="961"/>
        <v>-2406156987.5585332</v>
      </c>
      <c r="S234">
        <f t="shared" si="962"/>
        <v>-24061.569875585334</v>
      </c>
      <c r="T234">
        <f t="shared" si="963"/>
        <v>-24.061569875585334</v>
      </c>
    </row>
    <row r="235" spans="1:20" x14ac:dyDescent="0.25">
      <c r="A235" s="5">
        <v>44358</v>
      </c>
      <c r="B235">
        <v>0.53127000000000002</v>
      </c>
      <c r="C235">
        <v>0.53888000000000003</v>
      </c>
      <c r="D235">
        <v>0.46198</v>
      </c>
      <c r="E235">
        <v>0.48342000000000002</v>
      </c>
      <c r="F235">
        <v>314823701.10000002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-0.44239271781534439</v>
      </c>
      <c r="Q235">
        <f t="shared" si="960"/>
        <v>-139275712.76231465</v>
      </c>
      <c r="R235">
        <f t="shared" si="961"/>
        <v>-2199953969.0798788</v>
      </c>
      <c r="S235">
        <f t="shared" si="962"/>
        <v>-21999.539690798789</v>
      </c>
      <c r="T235">
        <f t="shared" si="963"/>
        <v>-21.999539690798787</v>
      </c>
    </row>
    <row r="236" spans="1:20" x14ac:dyDescent="0.25">
      <c r="A236" s="5">
        <v>44357</v>
      </c>
      <c r="B236">
        <v>0.57540999999999998</v>
      </c>
      <c r="C236">
        <v>0.63400000000000001</v>
      </c>
      <c r="D236">
        <v>0.51876</v>
      </c>
      <c r="E236">
        <v>0.53090999999999999</v>
      </c>
      <c r="F236">
        <v>324621831.69999999</v>
      </c>
      <c r="G236">
        <v>0</v>
      </c>
      <c r="L236" t="s">
        <v>7</v>
      </c>
      <c r="M236" t="s">
        <v>7</v>
      </c>
      <c r="N236" t="s">
        <v>8</v>
      </c>
      <c r="P236">
        <f t="shared" si="959"/>
        <v>-0.78913571676501226</v>
      </c>
      <c r="Q236">
        <f t="shared" si="960"/>
        <v>-256170681.83615068</v>
      </c>
      <c r="R236">
        <f t="shared" si="961"/>
        <v>-2060678256.317564</v>
      </c>
      <c r="S236">
        <f t="shared" si="962"/>
        <v>-20606.782563175639</v>
      </c>
      <c r="T236">
        <f t="shared" si="963"/>
        <v>-20.606782563175639</v>
      </c>
    </row>
    <row r="237" spans="1:20" x14ac:dyDescent="0.25">
      <c r="A237" s="5">
        <v>44356</v>
      </c>
      <c r="B237">
        <v>0.57787999999999995</v>
      </c>
      <c r="C237">
        <v>0.67998999999999998</v>
      </c>
      <c r="D237">
        <v>0.55718000000000001</v>
      </c>
      <c r="E237">
        <v>0.57565</v>
      </c>
      <c r="F237">
        <v>552368489.5</v>
      </c>
      <c r="G237">
        <v>0</v>
      </c>
      <c r="L237" t="s">
        <v>8</v>
      </c>
      <c r="M237" t="s">
        <v>8</v>
      </c>
      <c r="N237" t="s">
        <v>8</v>
      </c>
      <c r="P237">
        <f t="shared" si="959"/>
        <v>-0.69921016203892206</v>
      </c>
      <c r="Q237">
        <f t="shared" si="960"/>
        <v>-386221661.04848963</v>
      </c>
      <c r="R237">
        <f t="shared" si="961"/>
        <v>-1804507574.4814134</v>
      </c>
      <c r="S237">
        <f t="shared" si="962"/>
        <v>-18045.075744814134</v>
      </c>
      <c r="T237">
        <f t="shared" si="963"/>
        <v>-18.045075744814135</v>
      </c>
    </row>
    <row r="238" spans="1:20" x14ac:dyDescent="0.25">
      <c r="A238" s="5">
        <v>44355</v>
      </c>
      <c r="B238">
        <v>0.47777999999999998</v>
      </c>
      <c r="C238">
        <v>0.60811000000000004</v>
      </c>
      <c r="D238">
        <v>0.47183000000000003</v>
      </c>
      <c r="E238">
        <v>0.57750000000000001</v>
      </c>
      <c r="F238">
        <v>733623224.89999998</v>
      </c>
      <c r="G238">
        <v>0</v>
      </c>
      <c r="L238" t="s">
        <v>8</v>
      </c>
      <c r="M238" t="s">
        <v>8</v>
      </c>
      <c r="N238" t="s">
        <v>8</v>
      </c>
      <c r="P238">
        <f t="shared" si="959"/>
        <v>0.55077781039037244</v>
      </c>
      <c r="Q238">
        <f t="shared" si="960"/>
        <v>404063393.46194571</v>
      </c>
      <c r="R238">
        <f t="shared" si="961"/>
        <v>-1418285913.4329238</v>
      </c>
      <c r="S238">
        <f t="shared" si="962"/>
        <v>-14182.859134329237</v>
      </c>
      <c r="T238">
        <f t="shared" si="963"/>
        <v>-14.182859134329238</v>
      </c>
    </row>
    <row r="239" spans="1:20" x14ac:dyDescent="0.25">
      <c r="A239" s="5">
        <v>44354</v>
      </c>
      <c r="B239">
        <v>0.45909</v>
      </c>
      <c r="C239">
        <v>0.56496999999999997</v>
      </c>
      <c r="D239">
        <v>0.44790000000000002</v>
      </c>
      <c r="E239">
        <v>0.47839999999999999</v>
      </c>
      <c r="F239">
        <v>335396803.60000002</v>
      </c>
      <c r="G239">
        <v>0</v>
      </c>
      <c r="L239" t="s">
        <v>8</v>
      </c>
      <c r="M239" t="s">
        <v>8</v>
      </c>
      <c r="N239" t="s">
        <v>8</v>
      </c>
      <c r="P239">
        <f t="shared" si="959"/>
        <v>-0.47894422140599668</v>
      </c>
      <c r="Q239">
        <f t="shared" si="960"/>
        <v>-160636360.962262</v>
      </c>
      <c r="R239">
        <f t="shared" si="961"/>
        <v>-1822349306.8948696</v>
      </c>
      <c r="S239">
        <f t="shared" si="962"/>
        <v>-18223.493068948697</v>
      </c>
      <c r="T239">
        <f t="shared" si="963"/>
        <v>-18.223493068948699</v>
      </c>
    </row>
    <row r="240" spans="1:20" x14ac:dyDescent="0.25">
      <c r="A240" s="5">
        <v>44353</v>
      </c>
      <c r="B240">
        <v>0.44424000000000002</v>
      </c>
      <c r="C240">
        <v>0.47167999999999999</v>
      </c>
      <c r="D240">
        <v>0.41771999999999998</v>
      </c>
      <c r="E240">
        <v>0.4597</v>
      </c>
      <c r="F240">
        <v>178253176.19999999</v>
      </c>
      <c r="G240">
        <v>0</v>
      </c>
      <c r="L240" t="s">
        <v>7</v>
      </c>
      <c r="M240" t="s">
        <v>8</v>
      </c>
      <c r="N240" t="s">
        <v>8</v>
      </c>
      <c r="P240">
        <f t="shared" si="959"/>
        <v>0.55596738324684991</v>
      </c>
      <c r="Q240">
        <f t="shared" si="960"/>
        <v>99102951.927353665</v>
      </c>
      <c r="R240">
        <f t="shared" si="961"/>
        <v>-1661712945.9326077</v>
      </c>
      <c r="S240">
        <f t="shared" si="962"/>
        <v>-16617.129459326075</v>
      </c>
      <c r="T240">
        <f t="shared" si="963"/>
        <v>-16.617129459326076</v>
      </c>
    </row>
    <row r="241" spans="1:20" x14ac:dyDescent="0.25">
      <c r="A241" s="5">
        <v>44352</v>
      </c>
      <c r="B241">
        <v>0.43129000000000001</v>
      </c>
      <c r="C241">
        <v>0.497</v>
      </c>
      <c r="D241">
        <v>0.42610999999999999</v>
      </c>
      <c r="E241">
        <v>0.44424000000000002</v>
      </c>
      <c r="F241">
        <v>361563112.5</v>
      </c>
      <c r="G241">
        <v>0</v>
      </c>
      <c r="L241" t="s">
        <v>8</v>
      </c>
      <c r="M241" t="s">
        <v>8</v>
      </c>
      <c r="N241" t="s">
        <v>8</v>
      </c>
      <c r="P241">
        <f t="shared" si="959"/>
        <v>-0.48850331499506183</v>
      </c>
      <c r="Q241">
        <f t="shared" si="960"/>
        <v>-176624779.03618249</v>
      </c>
      <c r="R241">
        <f t="shared" si="961"/>
        <v>-1760815897.8599613</v>
      </c>
      <c r="S241">
        <f t="shared" si="962"/>
        <v>-17608.158978599611</v>
      </c>
      <c r="T241">
        <f t="shared" si="963"/>
        <v>-17.608158978599612</v>
      </c>
    </row>
    <row r="242" spans="1:20" x14ac:dyDescent="0.25">
      <c r="A242" s="5">
        <v>44351</v>
      </c>
      <c r="B242">
        <v>0.43269999999999997</v>
      </c>
      <c r="C242">
        <v>0.45898</v>
      </c>
      <c r="D242">
        <v>0.35049999999999998</v>
      </c>
      <c r="E242">
        <v>0.43142999999999998</v>
      </c>
      <c r="F242">
        <v>304698519</v>
      </c>
      <c r="G242">
        <v>0</v>
      </c>
      <c r="L242" t="s">
        <v>8</v>
      </c>
      <c r="M242" t="s">
        <v>8</v>
      </c>
      <c r="N242" t="s">
        <v>8</v>
      </c>
      <c r="P242">
        <f t="shared" si="959"/>
        <v>0.49207227138643045</v>
      </c>
      <c r="Q242">
        <f t="shared" si="960"/>
        <v>149933692.33241144</v>
      </c>
      <c r="R242">
        <f t="shared" si="961"/>
        <v>-1584191118.8237789</v>
      </c>
      <c r="S242">
        <f t="shared" si="962"/>
        <v>-15841.911188237789</v>
      </c>
      <c r="T242">
        <f t="shared" si="963"/>
        <v>-15.841911188237789</v>
      </c>
    </row>
    <row r="243" spans="1:20" x14ac:dyDescent="0.25">
      <c r="A243" s="5">
        <v>44350</v>
      </c>
      <c r="B243">
        <v>0.36753000000000002</v>
      </c>
      <c r="C243">
        <v>0.438</v>
      </c>
      <c r="D243">
        <v>0.35641</v>
      </c>
      <c r="E243">
        <v>0.43258000000000002</v>
      </c>
      <c r="F243">
        <v>147821123.69999999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0.86714058095354873</v>
      </c>
      <c r="Q243">
        <f t="shared" si="960"/>
        <v>128181695.08242439</v>
      </c>
      <c r="R243">
        <f t="shared" si="961"/>
        <v>-1734124811.1561904</v>
      </c>
      <c r="S243">
        <f t="shared" si="962"/>
        <v>-17341.248111561905</v>
      </c>
      <c r="T243">
        <f t="shared" si="963"/>
        <v>-17.341248111561903</v>
      </c>
    </row>
    <row r="244" spans="1:20" x14ac:dyDescent="0.25">
      <c r="A244" s="5">
        <v>44349</v>
      </c>
      <c r="B244">
        <v>0.36369000000000001</v>
      </c>
      <c r="C244">
        <v>0.36796000000000001</v>
      </c>
      <c r="D244">
        <v>0.34476000000000001</v>
      </c>
      <c r="E244">
        <v>0.36737999999999998</v>
      </c>
      <c r="F244">
        <v>66608720.200000003</v>
      </c>
      <c r="G244">
        <v>0</v>
      </c>
      <c r="L244" t="s">
        <v>8</v>
      </c>
      <c r="M244" t="s">
        <v>8</v>
      </c>
      <c r="N244" t="s">
        <v>8</v>
      </c>
      <c r="P244">
        <f t="shared" si="959"/>
        <v>0.94999999999999785</v>
      </c>
      <c r="Q244">
        <f t="shared" si="960"/>
        <v>63278284.189999856</v>
      </c>
      <c r="R244">
        <f t="shared" si="961"/>
        <v>-1862306506.2386148</v>
      </c>
      <c r="S244">
        <f t="shared" si="962"/>
        <v>-18623.065062386147</v>
      </c>
      <c r="T244">
        <f t="shared" si="963"/>
        <v>-18.623065062386146</v>
      </c>
    </row>
    <row r="245" spans="1:20" x14ac:dyDescent="0.25">
      <c r="A245" s="5">
        <v>44348</v>
      </c>
      <c r="B245">
        <v>0.34007999999999999</v>
      </c>
      <c r="C245">
        <v>0.36825999999999998</v>
      </c>
      <c r="D245">
        <v>0.33100000000000002</v>
      </c>
      <c r="E245">
        <v>0.36487000000000003</v>
      </c>
      <c r="F245">
        <v>99405610.299999997</v>
      </c>
      <c r="G245">
        <v>0</v>
      </c>
      <c r="L245" t="s">
        <v>8</v>
      </c>
      <c r="M245" t="s">
        <v>8</v>
      </c>
      <c r="N245" t="s">
        <v>8</v>
      </c>
      <c r="P245">
        <f t="shared" si="959"/>
        <v>0.81803542673108143</v>
      </c>
      <c r="Q245">
        <f t="shared" si="960"/>
        <v>81317310.841224074</v>
      </c>
      <c r="R245">
        <f t="shared" si="961"/>
        <v>-1925584790.4286146</v>
      </c>
      <c r="S245">
        <f t="shared" si="962"/>
        <v>-19255.847904286147</v>
      </c>
      <c r="T245">
        <f t="shared" si="963"/>
        <v>-19.255847904286146</v>
      </c>
    </row>
    <row r="246" spans="1:20" x14ac:dyDescent="0.25">
      <c r="A246" s="5">
        <v>44347</v>
      </c>
      <c r="B246">
        <v>0.30460999999999999</v>
      </c>
      <c r="C246">
        <v>0.34100000000000003</v>
      </c>
      <c r="D246">
        <v>0.28755999999999998</v>
      </c>
      <c r="E246">
        <v>0.34007999999999999</v>
      </c>
      <c r="F246">
        <v>64925262.100000001</v>
      </c>
      <c r="G246">
        <v>0</v>
      </c>
      <c r="L246" t="s">
        <v>8</v>
      </c>
      <c r="M246" t="s">
        <v>8</v>
      </c>
      <c r="N246" t="s">
        <v>8</v>
      </c>
      <c r="P246">
        <f t="shared" si="959"/>
        <v>0.96556886227544791</v>
      </c>
      <c r="Q246">
        <f t="shared" si="960"/>
        <v>62689811.458832256</v>
      </c>
      <c r="R246">
        <f t="shared" si="961"/>
        <v>-2006902101.2698388</v>
      </c>
      <c r="S246">
        <f t="shared" si="962"/>
        <v>-20069.021012698387</v>
      </c>
      <c r="T246">
        <f t="shared" si="963"/>
        <v>-20.069021012698389</v>
      </c>
    </row>
    <row r="247" spans="1:20" x14ac:dyDescent="0.25">
      <c r="A247" s="5">
        <v>44346</v>
      </c>
      <c r="B247">
        <v>0.28687000000000001</v>
      </c>
      <c r="C247">
        <v>0.32300000000000001</v>
      </c>
      <c r="D247">
        <v>0.26347999999999999</v>
      </c>
      <c r="E247">
        <v>0.30460999999999999</v>
      </c>
      <c r="F247">
        <v>66984412.700000003</v>
      </c>
      <c r="G247">
        <v>0</v>
      </c>
      <c r="L247" t="s">
        <v>7</v>
      </c>
      <c r="M247" t="s">
        <v>7</v>
      </c>
      <c r="N247" t="s">
        <v>8</v>
      </c>
      <c r="P247">
        <f t="shared" si="959"/>
        <v>0.3820564516129028</v>
      </c>
      <c r="Q247">
        <f t="shared" si="960"/>
        <v>25591827.029536262</v>
      </c>
      <c r="R247">
        <f t="shared" si="961"/>
        <v>-2069591912.7286711</v>
      </c>
      <c r="S247">
        <f t="shared" si="962"/>
        <v>-20695.91912728671</v>
      </c>
      <c r="T247">
        <f t="shared" si="963"/>
        <v>-20.695919127286711</v>
      </c>
    </row>
    <row r="248" spans="1:20" x14ac:dyDescent="0.25">
      <c r="A248" s="5">
        <v>44345</v>
      </c>
      <c r="B248">
        <v>0.29365999999999998</v>
      </c>
      <c r="C248">
        <v>0.33839999999999998</v>
      </c>
      <c r="D248">
        <v>0.27185999999999999</v>
      </c>
      <c r="E248">
        <v>0.28627000000000002</v>
      </c>
      <c r="F248">
        <v>96463043</v>
      </c>
      <c r="G248">
        <v>0</v>
      </c>
      <c r="L248" t="s">
        <v>7</v>
      </c>
      <c r="M248" t="s">
        <v>7</v>
      </c>
      <c r="N248" t="s">
        <v>8</v>
      </c>
      <c r="P248">
        <f t="shared" si="959"/>
        <v>-0.56687706642620872</v>
      </c>
      <c r="Q248">
        <f t="shared" si="960"/>
        <v>-54682686.834385231</v>
      </c>
      <c r="R248">
        <f t="shared" si="961"/>
        <v>-2095183739.7582073</v>
      </c>
      <c r="S248">
        <f t="shared" si="962"/>
        <v>-20951.837397582072</v>
      </c>
      <c r="T248">
        <f t="shared" si="963"/>
        <v>-20.951837397582072</v>
      </c>
    </row>
    <row r="249" spans="1:20" x14ac:dyDescent="0.25">
      <c r="A249" s="5">
        <v>44344</v>
      </c>
      <c r="B249">
        <v>0.31276999999999999</v>
      </c>
      <c r="C249">
        <v>0.36799999999999999</v>
      </c>
      <c r="D249">
        <v>0.29010999999999998</v>
      </c>
      <c r="E249">
        <v>0.29326999999999998</v>
      </c>
      <c r="F249">
        <v>234481447.90000001</v>
      </c>
      <c r="G249">
        <v>0</v>
      </c>
      <c r="L249" t="s">
        <v>8</v>
      </c>
      <c r="M249" t="s">
        <v>8</v>
      </c>
      <c r="N249" t="s">
        <v>8</v>
      </c>
      <c r="P249">
        <f t="shared" si="959"/>
        <v>-0.91885993067145988</v>
      </c>
      <c r="Q249">
        <f t="shared" si="960"/>
        <v>-215455606.96113753</v>
      </c>
      <c r="R249">
        <f t="shared" si="961"/>
        <v>-2040501052.9238222</v>
      </c>
      <c r="S249">
        <f t="shared" si="962"/>
        <v>-20405.010529238221</v>
      </c>
      <c r="T249">
        <f t="shared" si="963"/>
        <v>-20.405010529238222</v>
      </c>
    </row>
    <row r="250" spans="1:20" x14ac:dyDescent="0.25">
      <c r="A250" s="5">
        <v>44343</v>
      </c>
      <c r="B250">
        <v>0.30747999999999998</v>
      </c>
      <c r="C250">
        <v>0.32100000000000001</v>
      </c>
      <c r="D250">
        <v>0.28220000000000001</v>
      </c>
      <c r="E250">
        <v>0.31268000000000001</v>
      </c>
      <c r="F250">
        <v>69956681.099999994</v>
      </c>
      <c r="G250">
        <v>0</v>
      </c>
      <c r="L250" t="s">
        <v>8</v>
      </c>
      <c r="M250" t="s">
        <v>8</v>
      </c>
      <c r="N250" t="s">
        <v>8</v>
      </c>
      <c r="P250">
        <f t="shared" si="959"/>
        <v>0.571134020618557</v>
      </c>
      <c r="Q250">
        <f t="shared" si="960"/>
        <v>39954640.545773216</v>
      </c>
      <c r="R250">
        <f t="shared" si="961"/>
        <v>-1825045445.9626846</v>
      </c>
      <c r="S250">
        <f t="shared" si="962"/>
        <v>-18250.454459626846</v>
      </c>
      <c r="T250">
        <f t="shared" si="963"/>
        <v>-18.250454459626845</v>
      </c>
    </row>
    <row r="251" spans="1:20" x14ac:dyDescent="0.25">
      <c r="A251" s="5">
        <v>44342</v>
      </c>
      <c r="B251">
        <v>0.27922999999999998</v>
      </c>
      <c r="C251">
        <v>0.30798999999999999</v>
      </c>
      <c r="D251">
        <v>0.27356999999999998</v>
      </c>
      <c r="E251">
        <v>0.30653999999999998</v>
      </c>
      <c r="F251">
        <v>77796644.799999997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0.91574665891923257</v>
      </c>
      <c r="Q251">
        <f t="shared" si="960"/>
        <v>71242017.55072628</v>
      </c>
      <c r="R251">
        <f t="shared" si="961"/>
        <v>-1865000086.5084579</v>
      </c>
      <c r="S251">
        <f t="shared" si="962"/>
        <v>-18650.000865084578</v>
      </c>
      <c r="T251">
        <f t="shared" si="963"/>
        <v>-18.650000865084579</v>
      </c>
    </row>
    <row r="252" spans="1:20" x14ac:dyDescent="0.25">
      <c r="A252" s="5">
        <v>44341</v>
      </c>
      <c r="B252">
        <v>0.27817999999999998</v>
      </c>
      <c r="C252">
        <v>0.28999999999999998</v>
      </c>
      <c r="D252">
        <v>0.25</v>
      </c>
      <c r="E252">
        <v>0.27915000000000001</v>
      </c>
      <c r="F252">
        <v>69292824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0.45750000000000118</v>
      </c>
      <c r="Q252">
        <f t="shared" si="960"/>
        <v>31701466.980000082</v>
      </c>
      <c r="R252">
        <f t="shared" si="961"/>
        <v>-1936242104.0591841</v>
      </c>
      <c r="S252">
        <f t="shared" si="962"/>
        <v>-19362.421040591842</v>
      </c>
      <c r="T252">
        <f t="shared" si="963"/>
        <v>-19.36242104059184</v>
      </c>
    </row>
    <row r="253" spans="1:20" x14ac:dyDescent="0.25">
      <c r="A253" s="5">
        <v>44340</v>
      </c>
      <c r="B253">
        <v>0.25152999999999998</v>
      </c>
      <c r="C253">
        <v>0.27944000000000002</v>
      </c>
      <c r="D253">
        <v>0.23449</v>
      </c>
      <c r="E253">
        <v>0.27944000000000002</v>
      </c>
      <c r="F253">
        <v>102540085</v>
      </c>
      <c r="G253">
        <v>0</v>
      </c>
      <c r="L253" t="s">
        <v>8</v>
      </c>
      <c r="M253" t="s">
        <v>8</v>
      </c>
      <c r="N253" t="s">
        <v>7</v>
      </c>
      <c r="P253">
        <f t="shared" si="959"/>
        <v>1</v>
      </c>
      <c r="Q253">
        <f t="shared" si="960"/>
        <v>102540085</v>
      </c>
      <c r="R253">
        <f t="shared" si="961"/>
        <v>-1967943571.0391841</v>
      </c>
      <c r="S253">
        <f t="shared" si="962"/>
        <v>-19679.435710391841</v>
      </c>
      <c r="T253">
        <f t="shared" si="963"/>
        <v>-19.679435710391839</v>
      </c>
    </row>
    <row r="254" spans="1:20" x14ac:dyDescent="0.25">
      <c r="A254" s="5">
        <v>44339</v>
      </c>
      <c r="B254">
        <v>0.27383000000000002</v>
      </c>
      <c r="C254">
        <v>0.29898000000000002</v>
      </c>
      <c r="D254">
        <v>0.20877000000000001</v>
      </c>
      <c r="E254">
        <v>0.25157000000000002</v>
      </c>
      <c r="F254">
        <v>122755018.90000001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-5.1102981931049798E-2</v>
      </c>
      <c r="Q254">
        <f t="shared" si="960"/>
        <v>-6273147.5127923768</v>
      </c>
      <c r="R254">
        <f t="shared" si="961"/>
        <v>-2070483656.0391841</v>
      </c>
      <c r="S254">
        <f t="shared" si="962"/>
        <v>-20704.836560391839</v>
      </c>
      <c r="T254">
        <f t="shared" si="963"/>
        <v>-20.70483656039184</v>
      </c>
    </row>
    <row r="255" spans="1:20" x14ac:dyDescent="0.25">
      <c r="A255" s="5">
        <v>44338</v>
      </c>
      <c r="B255">
        <v>0.25498999999999999</v>
      </c>
      <c r="C255">
        <v>0.30875000000000002</v>
      </c>
      <c r="D255">
        <v>0.23083999999999999</v>
      </c>
      <c r="E255">
        <v>0.27368999999999999</v>
      </c>
      <c r="F255">
        <v>138705532.5</v>
      </c>
      <c r="G255">
        <v>0</v>
      </c>
      <c r="L255" t="s">
        <v>8</v>
      </c>
      <c r="M255" t="s">
        <v>8</v>
      </c>
      <c r="N255" t="s">
        <v>8</v>
      </c>
      <c r="P255">
        <f t="shared" si="959"/>
        <v>9.9987164677191126E-2</v>
      </c>
      <c r="Q255">
        <f t="shared" si="960"/>
        <v>13868772.919714985</v>
      </c>
      <c r="R255">
        <f t="shared" si="961"/>
        <v>-2064210508.5263917</v>
      </c>
      <c r="S255">
        <f t="shared" si="962"/>
        <v>-20642.105085263916</v>
      </c>
      <c r="T255">
        <f t="shared" si="963"/>
        <v>-20.642105085263918</v>
      </c>
    </row>
    <row r="256" spans="1:20" x14ac:dyDescent="0.25">
      <c r="A256" s="5">
        <v>44337</v>
      </c>
      <c r="B256">
        <v>0.28756999999999999</v>
      </c>
      <c r="C256">
        <v>0.30297000000000002</v>
      </c>
      <c r="D256">
        <v>0.20921999999999999</v>
      </c>
      <c r="E256">
        <v>0.25489000000000001</v>
      </c>
      <c r="F256">
        <v>92370256.700000003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-2.570666666666661E-2</v>
      </c>
      <c r="Q256">
        <f t="shared" si="960"/>
        <v>-2374531.398901328</v>
      </c>
      <c r="R256">
        <f t="shared" si="961"/>
        <v>-2078079281.4461067</v>
      </c>
      <c r="S256">
        <f t="shared" si="962"/>
        <v>-20780.792814461067</v>
      </c>
      <c r="T256">
        <f t="shared" si="963"/>
        <v>-20.780792814461066</v>
      </c>
    </row>
    <row r="257" spans="1:20" x14ac:dyDescent="0.25">
      <c r="A257" s="5">
        <v>44336</v>
      </c>
      <c r="B257">
        <v>0.23272999999999999</v>
      </c>
      <c r="C257">
        <v>0.32125999999999999</v>
      </c>
      <c r="D257">
        <v>0.20316999999999999</v>
      </c>
      <c r="E257">
        <v>0.28623999999999999</v>
      </c>
      <c r="F257">
        <v>123579281.3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0.40689304767550183</v>
      </c>
      <c r="Q257">
        <f t="shared" si="960"/>
        <v>50283550.397705153</v>
      </c>
      <c r="R257">
        <f t="shared" si="961"/>
        <v>-2075704750.0472054</v>
      </c>
      <c r="S257">
        <f t="shared" si="962"/>
        <v>-20757.047500472054</v>
      </c>
      <c r="T257">
        <f t="shared" si="963"/>
        <v>-20.757047500472055</v>
      </c>
    </row>
    <row r="258" spans="1:20" x14ac:dyDescent="0.25">
      <c r="A258" s="5">
        <v>44335</v>
      </c>
      <c r="B258">
        <v>0.33023999999999998</v>
      </c>
      <c r="C258">
        <v>0.33706999999999998</v>
      </c>
      <c r="D258">
        <v>0.14499999999999999</v>
      </c>
      <c r="E258">
        <v>0.23274</v>
      </c>
      <c r="F258">
        <v>181507166.5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-8.637475920237396E-2</v>
      </c>
      <c r="Q258">
        <f t="shared" si="960"/>
        <v>-15677637.799942698</v>
      </c>
      <c r="R258">
        <f t="shared" si="961"/>
        <v>-2125988300.4449105</v>
      </c>
      <c r="S258">
        <f t="shared" si="962"/>
        <v>-21259.883004449104</v>
      </c>
      <c r="T258">
        <f t="shared" si="963"/>
        <v>-21.259883004449105</v>
      </c>
    </row>
    <row r="259" spans="1:20" x14ac:dyDescent="0.25">
      <c r="A259" s="5">
        <v>44334</v>
      </c>
      <c r="B259">
        <v>0.33172000000000001</v>
      </c>
      <c r="C259">
        <v>0.34499999999999997</v>
      </c>
      <c r="D259">
        <v>0.31</v>
      </c>
      <c r="E259">
        <v>0.33023999999999998</v>
      </c>
      <c r="F259">
        <v>50979975.700000003</v>
      </c>
      <c r="G259">
        <v>0</v>
      </c>
      <c r="L259" t="s">
        <v>8</v>
      </c>
      <c r="M259" t="s">
        <v>7</v>
      </c>
      <c r="N259" t="s">
        <v>8</v>
      </c>
      <c r="P259">
        <f t="shared" si="959"/>
        <v>0.15657142857142825</v>
      </c>
      <c r="Q259">
        <f t="shared" si="960"/>
        <v>7982007.6238856986</v>
      </c>
      <c r="R259">
        <f t="shared" si="961"/>
        <v>-2110310662.6449678</v>
      </c>
      <c r="S259">
        <f t="shared" si="962"/>
        <v>-21103.106626449677</v>
      </c>
      <c r="T259">
        <f t="shared" si="963"/>
        <v>-21.103106626449676</v>
      </c>
    </row>
    <row r="260" spans="1:20" x14ac:dyDescent="0.25">
      <c r="A260" s="5">
        <v>44333</v>
      </c>
      <c r="B260">
        <v>0.34405000000000002</v>
      </c>
      <c r="C260">
        <v>0.35508000000000001</v>
      </c>
      <c r="D260">
        <v>0.29837999999999998</v>
      </c>
      <c r="E260">
        <v>0.33172000000000001</v>
      </c>
      <c r="F260">
        <v>101931132</v>
      </c>
      <c r="G260">
        <v>0</v>
      </c>
      <c r="L260" t="s">
        <v>7</v>
      </c>
      <c r="M260" t="s">
        <v>7</v>
      </c>
      <c r="N260" t="s">
        <v>8</v>
      </c>
      <c r="P260">
        <f t="shared" si="959"/>
        <v>0.17601410934744338</v>
      </c>
      <c r="Q260">
        <f t="shared" si="960"/>
        <v>17941317.413756683</v>
      </c>
      <c r="R260">
        <f t="shared" si="961"/>
        <v>-2118292670.2688534</v>
      </c>
      <c r="S260">
        <f t="shared" si="962"/>
        <v>-21182.926702688535</v>
      </c>
      <c r="T260">
        <f t="shared" si="963"/>
        <v>-21.182926702688537</v>
      </c>
    </row>
    <row r="261" spans="1:20" x14ac:dyDescent="0.25">
      <c r="A261" s="5">
        <v>44332</v>
      </c>
      <c r="B261">
        <v>0.31555</v>
      </c>
      <c r="C261">
        <v>0.37709999999999999</v>
      </c>
      <c r="D261">
        <v>0.3</v>
      </c>
      <c r="E261">
        <v>0.34399999999999997</v>
      </c>
      <c r="F261">
        <v>79733533.5</v>
      </c>
      <c r="G261">
        <v>0</v>
      </c>
      <c r="L261" t="s">
        <v>7</v>
      </c>
      <c r="M261" t="s">
        <v>8</v>
      </c>
      <c r="N261" t="s">
        <v>8</v>
      </c>
      <c r="P261">
        <f t="shared" si="959"/>
        <v>0.1413748378728919</v>
      </c>
      <c r="Q261">
        <f t="shared" si="960"/>
        <v>11272315.371595295</v>
      </c>
      <c r="R261">
        <f t="shared" si="961"/>
        <v>-2136233987.68261</v>
      </c>
      <c r="S261">
        <f t="shared" si="962"/>
        <v>-21362.339876826099</v>
      </c>
      <c r="T261">
        <f t="shared" si="963"/>
        <v>-21.362339876826098</v>
      </c>
    </row>
    <row r="262" spans="1:20" x14ac:dyDescent="0.25">
      <c r="A262" s="5">
        <v>44331</v>
      </c>
      <c r="B262">
        <v>0.34018999999999999</v>
      </c>
      <c r="C262">
        <v>0.34154000000000001</v>
      </c>
      <c r="D262">
        <v>0.31052999999999997</v>
      </c>
      <c r="E262">
        <v>0.31496000000000002</v>
      </c>
      <c r="F262">
        <v>39149641.399999999</v>
      </c>
      <c r="G262">
        <v>0</v>
      </c>
      <c r="L262" t="s">
        <v>7</v>
      </c>
      <c r="M262" t="s">
        <v>8</v>
      </c>
      <c r="N262" t="s">
        <v>8</v>
      </c>
      <c r="P262">
        <f t="shared" ref="P262:P325" si="964">IF(C262=D262,0,((E262-D262)-(C262-E262))/(C262-D262))</f>
        <v>-0.71428571428571175</v>
      </c>
      <c r="Q262">
        <f t="shared" ref="Q262:Q325" si="965">F262*P262</f>
        <v>-27964029.57142847</v>
      </c>
      <c r="R262">
        <f t="shared" ref="R262:R325" si="966">R263+Q262</f>
        <v>-2147506303.0542054</v>
      </c>
      <c r="S262">
        <f t="shared" ref="S262:S325" si="967">R262/100000</f>
        <v>-21475.063030542053</v>
      </c>
      <c r="T262">
        <f t="shared" ref="T262:T325" si="968">S262/1000</f>
        <v>-21.475063030542053</v>
      </c>
    </row>
    <row r="263" spans="1:20" x14ac:dyDescent="0.25">
      <c r="A263" s="5">
        <v>44330</v>
      </c>
      <c r="B263">
        <v>0.33417999999999998</v>
      </c>
      <c r="C263">
        <v>0.34939999999999999</v>
      </c>
      <c r="D263">
        <v>0.32277</v>
      </c>
      <c r="E263">
        <v>0.34021000000000001</v>
      </c>
      <c r="F263">
        <v>47961478.100000001</v>
      </c>
      <c r="G263">
        <v>0</v>
      </c>
      <c r="L263" t="s">
        <v>8</v>
      </c>
      <c r="M263" t="s">
        <v>8</v>
      </c>
      <c r="N263" t="s">
        <v>8</v>
      </c>
      <c r="P263">
        <f t="shared" si="964"/>
        <v>0.30980097634247239</v>
      </c>
      <c r="Q263">
        <f t="shared" si="965"/>
        <v>14858512.742208108</v>
      </c>
      <c r="R263">
        <f t="shared" si="966"/>
        <v>-2119542273.4827769</v>
      </c>
      <c r="S263">
        <f t="shared" si="967"/>
        <v>-21195.422734827767</v>
      </c>
      <c r="T263">
        <f t="shared" si="968"/>
        <v>-21.195422734827766</v>
      </c>
    </row>
    <row r="264" spans="1:20" x14ac:dyDescent="0.25">
      <c r="A264" s="5">
        <v>44329</v>
      </c>
      <c r="B264">
        <v>0.28699999999999998</v>
      </c>
      <c r="C264">
        <v>0.35992000000000002</v>
      </c>
      <c r="D264">
        <v>0.27500000000000002</v>
      </c>
      <c r="E264">
        <v>0.33435999999999999</v>
      </c>
      <c r="F264">
        <v>96710728.700000003</v>
      </c>
      <c r="G264">
        <v>0</v>
      </c>
      <c r="L264" t="s">
        <v>7</v>
      </c>
      <c r="M264" t="s">
        <v>8</v>
      </c>
      <c r="N264" t="s">
        <v>8</v>
      </c>
      <c r="P264">
        <f t="shared" si="964"/>
        <v>0.39802166745171857</v>
      </c>
      <c r="Q264">
        <f t="shared" si="965"/>
        <v>38492965.497644775</v>
      </c>
      <c r="R264">
        <f t="shared" si="966"/>
        <v>-2134400786.2249849</v>
      </c>
      <c r="S264">
        <f t="shared" si="967"/>
        <v>-21344.007862249848</v>
      </c>
      <c r="T264">
        <f t="shared" si="968"/>
        <v>-21.344007862249846</v>
      </c>
    </row>
    <row r="265" spans="1:20" x14ac:dyDescent="0.25">
      <c r="A265" s="5">
        <v>44328</v>
      </c>
      <c r="B265">
        <v>0.36457000000000001</v>
      </c>
      <c r="C265">
        <v>0.37646000000000002</v>
      </c>
      <c r="D265">
        <v>0.25185999999999997</v>
      </c>
      <c r="E265">
        <v>0.28697</v>
      </c>
      <c r="F265">
        <v>74330205.900000006</v>
      </c>
      <c r="G265">
        <v>0</v>
      </c>
      <c r="L265" t="s">
        <v>8</v>
      </c>
      <c r="M265" t="s">
        <v>7</v>
      </c>
      <c r="N265" t="s">
        <v>7</v>
      </c>
      <c r="P265">
        <f t="shared" si="964"/>
        <v>-0.43643659711075411</v>
      </c>
      <c r="Q265">
        <f t="shared" si="965"/>
        <v>-32440422.125537701</v>
      </c>
      <c r="R265">
        <f t="shared" si="966"/>
        <v>-2172893751.7226295</v>
      </c>
      <c r="S265">
        <f t="shared" si="967"/>
        <v>-21728.937517226295</v>
      </c>
      <c r="T265">
        <f t="shared" si="968"/>
        <v>-21.728937517226296</v>
      </c>
    </row>
    <row r="266" spans="1:20" x14ac:dyDescent="0.25">
      <c r="A266" s="5">
        <v>44327</v>
      </c>
      <c r="B266">
        <v>0.34683999999999998</v>
      </c>
      <c r="C266">
        <v>0.37108000000000002</v>
      </c>
      <c r="D266">
        <v>0.32416</v>
      </c>
      <c r="E266">
        <v>0.36498999999999998</v>
      </c>
      <c r="F266">
        <v>55248511.399999999</v>
      </c>
      <c r="G266">
        <v>0</v>
      </c>
      <c r="L266" t="s">
        <v>8</v>
      </c>
      <c r="M266" t="s">
        <v>7</v>
      </c>
      <c r="N266" t="s">
        <v>8</v>
      </c>
      <c r="P266">
        <f t="shared" si="964"/>
        <v>0.74040920716112368</v>
      </c>
      <c r="Q266">
        <f t="shared" si="965"/>
        <v>40906506.522506304</v>
      </c>
      <c r="R266">
        <f t="shared" si="966"/>
        <v>-2140453329.5970917</v>
      </c>
      <c r="S266">
        <f t="shared" si="967"/>
        <v>-21404.533295970916</v>
      </c>
      <c r="T266">
        <f t="shared" si="968"/>
        <v>-21.404533295970914</v>
      </c>
    </row>
    <row r="267" spans="1:20" x14ac:dyDescent="0.25">
      <c r="A267" s="5">
        <v>44326</v>
      </c>
      <c r="B267">
        <v>0.38741999999999999</v>
      </c>
      <c r="C267">
        <v>0.39300000000000002</v>
      </c>
      <c r="D267">
        <v>0.32007000000000002</v>
      </c>
      <c r="E267">
        <v>0.34681000000000001</v>
      </c>
      <c r="F267">
        <v>101470963.09999999</v>
      </c>
      <c r="G267">
        <v>0</v>
      </c>
      <c r="L267" t="s">
        <v>7</v>
      </c>
      <c r="M267" t="s">
        <v>7</v>
      </c>
      <c r="N267" t="s">
        <v>8</v>
      </c>
      <c r="P267">
        <f t="shared" si="964"/>
        <v>-0.26669409022350232</v>
      </c>
      <c r="Q267">
        <f t="shared" si="965"/>
        <v>-27061706.188057072</v>
      </c>
      <c r="R267">
        <f t="shared" si="966"/>
        <v>-2181359836.1195979</v>
      </c>
      <c r="S267">
        <f t="shared" si="967"/>
        <v>-21813.598361195978</v>
      </c>
      <c r="T267">
        <f t="shared" si="968"/>
        <v>-21.813598361195979</v>
      </c>
    </row>
    <row r="268" spans="1:20" x14ac:dyDescent="0.25">
      <c r="A268" s="5">
        <v>44325</v>
      </c>
      <c r="B268">
        <v>0.40215000000000001</v>
      </c>
      <c r="C268">
        <v>0.41432000000000002</v>
      </c>
      <c r="D268">
        <v>0.37034</v>
      </c>
      <c r="E268">
        <v>0.38740000000000002</v>
      </c>
      <c r="F268">
        <v>57577609.899999999</v>
      </c>
      <c r="G268">
        <v>0</v>
      </c>
      <c r="L268" t="s">
        <v>7</v>
      </c>
      <c r="M268" t="s">
        <v>8</v>
      </c>
      <c r="N268" t="s">
        <v>8</v>
      </c>
      <c r="P268">
        <f t="shared" si="964"/>
        <v>-0.22419281491587029</v>
      </c>
      <c r="Q268">
        <f t="shared" si="965"/>
        <v>-12908486.439608881</v>
      </c>
      <c r="R268">
        <f t="shared" si="966"/>
        <v>-2154298129.931541</v>
      </c>
      <c r="S268">
        <f t="shared" si="967"/>
        <v>-21542.981299315408</v>
      </c>
      <c r="T268">
        <f t="shared" si="968"/>
        <v>-21.542981299315407</v>
      </c>
    </row>
    <row r="269" spans="1:20" x14ac:dyDescent="0.25">
      <c r="A269" s="5">
        <v>44324</v>
      </c>
      <c r="B269">
        <v>0.40608</v>
      </c>
      <c r="C269">
        <v>0.41899999999999998</v>
      </c>
      <c r="D269">
        <v>0.38800000000000001</v>
      </c>
      <c r="E269">
        <v>0.40215000000000001</v>
      </c>
      <c r="F269">
        <v>76717333.299999997</v>
      </c>
      <c r="G269">
        <v>0</v>
      </c>
      <c r="L269" t="s">
        <v>7</v>
      </c>
      <c r="M269" t="s">
        <v>8</v>
      </c>
      <c r="N269" t="s">
        <v>8</v>
      </c>
      <c r="P269">
        <f t="shared" si="964"/>
        <v>-8.7096774193547832E-2</v>
      </c>
      <c r="Q269">
        <f t="shared" si="965"/>
        <v>-6681832.2551612472</v>
      </c>
      <c r="R269">
        <f t="shared" si="966"/>
        <v>-2141389643.4919322</v>
      </c>
      <c r="S269">
        <f t="shared" si="967"/>
        <v>-21413.896434919323</v>
      </c>
      <c r="T269">
        <f t="shared" si="968"/>
        <v>-21.413896434919323</v>
      </c>
    </row>
    <row r="270" spans="1:20" x14ac:dyDescent="0.25">
      <c r="A270" s="5">
        <v>44323</v>
      </c>
      <c r="B270">
        <v>0.38257999999999998</v>
      </c>
      <c r="C270">
        <v>0.42000999999999999</v>
      </c>
      <c r="D270">
        <v>0.37808000000000003</v>
      </c>
      <c r="E270">
        <v>0.40605000000000002</v>
      </c>
      <c r="F270">
        <v>131701497.2</v>
      </c>
      <c r="G270">
        <v>0</v>
      </c>
      <c r="L270" t="s">
        <v>8</v>
      </c>
      <c r="M270" t="s">
        <v>8</v>
      </c>
      <c r="N270" t="s">
        <v>8</v>
      </c>
      <c r="P270">
        <f t="shared" si="964"/>
        <v>0.33412830908657365</v>
      </c>
      <c r="Q270">
        <f t="shared" si="965"/>
        <v>44005198.563606113</v>
      </c>
      <c r="R270">
        <f t="shared" si="966"/>
        <v>-2134707811.2367709</v>
      </c>
      <c r="S270">
        <f t="shared" si="967"/>
        <v>-21347.078112367708</v>
      </c>
      <c r="T270">
        <f t="shared" si="968"/>
        <v>-21.347078112367708</v>
      </c>
    </row>
    <row r="271" spans="1:20" x14ac:dyDescent="0.25">
      <c r="A271" s="5">
        <v>44322</v>
      </c>
      <c r="B271">
        <v>0.38406000000000001</v>
      </c>
      <c r="C271">
        <v>0.40379999999999999</v>
      </c>
      <c r="D271">
        <v>0.36903999999999998</v>
      </c>
      <c r="E271">
        <v>0.38257000000000002</v>
      </c>
      <c r="F271">
        <v>125037307</v>
      </c>
      <c r="G271">
        <v>0</v>
      </c>
      <c r="L271" t="s">
        <v>7</v>
      </c>
      <c r="M271" t="s">
        <v>8</v>
      </c>
      <c r="N271" t="s">
        <v>8</v>
      </c>
      <c r="P271">
        <f t="shared" si="964"/>
        <v>-0.22151898734177003</v>
      </c>
      <c r="Q271">
        <f t="shared" si="965"/>
        <v>-27698137.626582012</v>
      </c>
      <c r="R271">
        <f t="shared" si="966"/>
        <v>-2178713009.8003769</v>
      </c>
      <c r="S271">
        <f t="shared" si="967"/>
        <v>-21787.13009800377</v>
      </c>
      <c r="T271">
        <f t="shared" si="968"/>
        <v>-21.787130098003772</v>
      </c>
    </row>
    <row r="272" spans="1:20" x14ac:dyDescent="0.25">
      <c r="A272" s="5">
        <v>44321</v>
      </c>
      <c r="B272">
        <v>0.32823999999999998</v>
      </c>
      <c r="C272">
        <v>0.42399999999999999</v>
      </c>
      <c r="D272">
        <v>0.32349</v>
      </c>
      <c r="E272">
        <v>0.38418999999999998</v>
      </c>
      <c r="F272">
        <v>184220008.5</v>
      </c>
      <c r="G272">
        <v>0</v>
      </c>
      <c r="L272" t="s">
        <v>8</v>
      </c>
      <c r="M272" t="s">
        <v>8</v>
      </c>
      <c r="N272" t="s">
        <v>8</v>
      </c>
      <c r="P272">
        <f t="shared" si="964"/>
        <v>0.20784001591881371</v>
      </c>
      <c r="Q272">
        <f t="shared" si="965"/>
        <v>38288289.499203995</v>
      </c>
      <c r="R272">
        <f t="shared" si="966"/>
        <v>-2151014872.1737947</v>
      </c>
      <c r="S272">
        <f t="shared" si="967"/>
        <v>-21510.148721737947</v>
      </c>
      <c r="T272">
        <f t="shared" si="968"/>
        <v>-21.510148721737949</v>
      </c>
    </row>
    <row r="273" spans="1:20" x14ac:dyDescent="0.25">
      <c r="A273" s="5">
        <v>44320</v>
      </c>
      <c r="B273">
        <v>0.37218000000000001</v>
      </c>
      <c r="C273">
        <v>0.37398999999999999</v>
      </c>
      <c r="D273">
        <v>0.31902999999999998</v>
      </c>
      <c r="E273">
        <v>0.32882</v>
      </c>
      <c r="F273">
        <v>111545954.3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-0.6437409024745262</v>
      </c>
      <c r="Q273">
        <f t="shared" si="965"/>
        <v>-71806693.288464248</v>
      </c>
      <c r="R273">
        <f t="shared" si="966"/>
        <v>-2189303161.6729989</v>
      </c>
      <c r="S273">
        <f t="shared" si="967"/>
        <v>-21893.03161672999</v>
      </c>
      <c r="T273">
        <f t="shared" si="968"/>
        <v>-21.893031616729989</v>
      </c>
    </row>
    <row r="274" spans="1:20" x14ac:dyDescent="0.25">
      <c r="A274" s="5">
        <v>44319</v>
      </c>
      <c r="B274">
        <v>0.35737000000000002</v>
      </c>
      <c r="C274">
        <v>0.39368999999999998</v>
      </c>
      <c r="D274">
        <v>0.35681000000000002</v>
      </c>
      <c r="E274">
        <v>0.37214000000000003</v>
      </c>
      <c r="F274">
        <v>157742034.09999999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-0.16865509761388159</v>
      </c>
      <c r="Q274">
        <f t="shared" si="965"/>
        <v>-26603998.158947736</v>
      </c>
      <c r="R274">
        <f t="shared" si="966"/>
        <v>-2117496468.3845348</v>
      </c>
      <c r="S274">
        <f t="shared" si="967"/>
        <v>-21174.964683845348</v>
      </c>
      <c r="T274">
        <f t="shared" si="968"/>
        <v>-21.174964683845349</v>
      </c>
    </row>
    <row r="275" spans="1:20" x14ac:dyDescent="0.25">
      <c r="A275" s="5">
        <v>44318</v>
      </c>
      <c r="B275">
        <v>0.35908000000000001</v>
      </c>
      <c r="C275">
        <v>0.37293999999999999</v>
      </c>
      <c r="D275">
        <v>0.34100000000000003</v>
      </c>
      <c r="E275">
        <v>0.35685</v>
      </c>
      <c r="F275">
        <v>60303234.700000003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-7.5140889167194178E-3</v>
      </c>
      <c r="Q275">
        <f t="shared" si="965"/>
        <v>-453123.86750159983</v>
      </c>
      <c r="R275">
        <f t="shared" si="966"/>
        <v>-2090892470.2255871</v>
      </c>
      <c r="S275">
        <f t="shared" si="967"/>
        <v>-20908.92470225587</v>
      </c>
      <c r="T275">
        <f t="shared" si="968"/>
        <v>-20.90892470225587</v>
      </c>
    </row>
    <row r="276" spans="1:20" x14ac:dyDescent="0.25">
      <c r="A276" s="5">
        <v>44317</v>
      </c>
      <c r="B276">
        <v>0.35787999999999998</v>
      </c>
      <c r="C276">
        <v>0.37619999999999998</v>
      </c>
      <c r="D276">
        <v>0.35</v>
      </c>
      <c r="E276">
        <v>0.35871999999999998</v>
      </c>
      <c r="F276">
        <v>81949084.799999997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-0.33435114503816754</v>
      </c>
      <c r="Q276">
        <f t="shared" si="965"/>
        <v>-27399770.337709889</v>
      </c>
      <c r="R276">
        <f t="shared" si="966"/>
        <v>-2090439346.3580856</v>
      </c>
      <c r="S276">
        <f t="shared" si="967"/>
        <v>-20904.393463580855</v>
      </c>
      <c r="T276">
        <f t="shared" si="968"/>
        <v>-20.904393463580856</v>
      </c>
    </row>
    <row r="277" spans="1:20" x14ac:dyDescent="0.25">
      <c r="A277" s="5">
        <v>44316</v>
      </c>
      <c r="B277">
        <v>0.33611000000000002</v>
      </c>
      <c r="C277">
        <v>0.36027999999999999</v>
      </c>
      <c r="D277">
        <v>0.32499</v>
      </c>
      <c r="E277">
        <v>0.35815000000000002</v>
      </c>
      <c r="F277">
        <v>94396051.200000003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0.87928591669028244</v>
      </c>
      <c r="Q277">
        <f t="shared" si="965"/>
        <v>83001118.411334842</v>
      </c>
      <c r="R277">
        <f t="shared" si="966"/>
        <v>-2063039576.0203757</v>
      </c>
      <c r="S277">
        <f t="shared" si="967"/>
        <v>-20630.395760203759</v>
      </c>
      <c r="T277">
        <f t="shared" si="968"/>
        <v>-20.630395760203758</v>
      </c>
    </row>
    <row r="278" spans="1:20" x14ac:dyDescent="0.25">
      <c r="A278" s="5">
        <v>44315</v>
      </c>
      <c r="B278">
        <v>0.31402000000000002</v>
      </c>
      <c r="C278">
        <v>0.34499999999999997</v>
      </c>
      <c r="D278">
        <v>0.31402000000000002</v>
      </c>
      <c r="E278">
        <v>0.33615</v>
      </c>
      <c r="F278">
        <v>165832681.09999999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0.42866365397030454</v>
      </c>
      <c r="Q278">
        <f t="shared" si="965"/>
        <v>71086443.028018266</v>
      </c>
      <c r="R278">
        <f t="shared" si="966"/>
        <v>-2146040694.4317105</v>
      </c>
      <c r="S278">
        <f t="shared" si="967"/>
        <v>-21460.406944317107</v>
      </c>
      <c r="T278">
        <f t="shared" si="968"/>
        <v>-21.460406944317107</v>
      </c>
    </row>
    <row r="279" spans="1:20" x14ac:dyDescent="0.25">
      <c r="A279" s="5">
        <v>44314</v>
      </c>
      <c r="B279">
        <v>0.32124999999999998</v>
      </c>
      <c r="C279">
        <v>0.32950000000000002</v>
      </c>
      <c r="D279">
        <v>0.28247</v>
      </c>
      <c r="E279">
        <v>0.31403999999999999</v>
      </c>
      <c r="F279">
        <v>110770336</v>
      </c>
      <c r="G279">
        <v>0</v>
      </c>
      <c r="L279" t="s">
        <v>7</v>
      </c>
      <c r="M279" t="s">
        <v>8</v>
      </c>
      <c r="N279" t="s">
        <v>8</v>
      </c>
      <c r="P279">
        <f t="shared" si="964"/>
        <v>0.34254731022751334</v>
      </c>
      <c r="Q279">
        <f t="shared" si="965"/>
        <v>37944080.649797887</v>
      </c>
      <c r="R279">
        <f t="shared" si="966"/>
        <v>-2217127137.4597287</v>
      </c>
      <c r="S279">
        <f t="shared" si="967"/>
        <v>-22171.271374597287</v>
      </c>
      <c r="T279">
        <f t="shared" si="968"/>
        <v>-22.171271374597286</v>
      </c>
    </row>
    <row r="280" spans="1:20" x14ac:dyDescent="0.25">
      <c r="A280" s="5">
        <v>44313</v>
      </c>
      <c r="B280">
        <v>0.30234</v>
      </c>
      <c r="C280">
        <v>0.33804000000000001</v>
      </c>
      <c r="D280">
        <v>0.29649999999999999</v>
      </c>
      <c r="E280">
        <v>0.32129000000000002</v>
      </c>
      <c r="F280">
        <v>122055776.3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0.19354838709677522</v>
      </c>
      <c r="Q280">
        <f t="shared" si="965"/>
        <v>23623698.638709802</v>
      </c>
      <c r="R280">
        <f t="shared" si="966"/>
        <v>-2255071218.1095266</v>
      </c>
      <c r="S280">
        <f t="shared" si="967"/>
        <v>-22550.712181095267</v>
      </c>
      <c r="T280">
        <f t="shared" si="968"/>
        <v>-22.550712181095268</v>
      </c>
    </row>
    <row r="281" spans="1:20" x14ac:dyDescent="0.25">
      <c r="A281" s="5">
        <v>44312</v>
      </c>
      <c r="B281">
        <v>0.26679999999999998</v>
      </c>
      <c r="C281">
        <v>0.32649</v>
      </c>
      <c r="D281">
        <v>0.26100000000000001</v>
      </c>
      <c r="E281">
        <v>0.30230000000000001</v>
      </c>
      <c r="F281">
        <v>159237932.30000001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0.26126126126126148</v>
      </c>
      <c r="Q281">
        <f t="shared" si="965"/>
        <v>41602703.033333369</v>
      </c>
      <c r="R281">
        <f t="shared" si="966"/>
        <v>-2278694916.7482367</v>
      </c>
      <c r="S281">
        <f t="shared" si="967"/>
        <v>-22786.949167482366</v>
      </c>
      <c r="T281">
        <f t="shared" si="968"/>
        <v>-22.786949167482366</v>
      </c>
    </row>
    <row r="282" spans="1:20" x14ac:dyDescent="0.25">
      <c r="A282" s="5">
        <v>44311</v>
      </c>
      <c r="B282">
        <v>0.23918800000000001</v>
      </c>
      <c r="C282">
        <v>0.29899999999999999</v>
      </c>
      <c r="D282">
        <v>0.236344</v>
      </c>
      <c r="E282">
        <v>0.26626</v>
      </c>
      <c r="F282">
        <v>116691268.3</v>
      </c>
      <c r="G282">
        <v>0</v>
      </c>
      <c r="L282" t="s">
        <v>8</v>
      </c>
      <c r="M282" t="s">
        <v>8</v>
      </c>
      <c r="N282" t="s">
        <v>8</v>
      </c>
      <c r="P282">
        <f t="shared" si="964"/>
        <v>-4.5071501532175588E-2</v>
      </c>
      <c r="Q282">
        <f t="shared" si="965"/>
        <v>-5259450.6779749626</v>
      </c>
      <c r="R282">
        <f t="shared" si="966"/>
        <v>-2320297619.78157</v>
      </c>
      <c r="S282">
        <f t="shared" si="967"/>
        <v>-23202.9761978157</v>
      </c>
      <c r="T282">
        <f t="shared" si="968"/>
        <v>-23.202976197815701</v>
      </c>
    </row>
    <row r="283" spans="1:20" x14ac:dyDescent="0.25">
      <c r="A283" s="5">
        <v>44310</v>
      </c>
      <c r="B283">
        <v>0.26500000000000001</v>
      </c>
      <c r="C283">
        <v>0.27400000000000002</v>
      </c>
      <c r="D283">
        <v>0.23442399999999999</v>
      </c>
      <c r="E283">
        <v>0.23853099999999999</v>
      </c>
      <c r="F283">
        <v>109708892</v>
      </c>
      <c r="G283">
        <v>0</v>
      </c>
      <c r="L283" t="s">
        <v>8</v>
      </c>
      <c r="M283" t="s">
        <v>8</v>
      </c>
      <c r="N283" t="s">
        <v>8</v>
      </c>
      <c r="P283">
        <f t="shared" si="964"/>
        <v>-0.79244996967859327</v>
      </c>
      <c r="Q283">
        <f t="shared" si="965"/>
        <v>-86938808.138872057</v>
      </c>
      <c r="R283">
        <f t="shared" si="966"/>
        <v>-2315038169.1035948</v>
      </c>
      <c r="S283">
        <f t="shared" si="967"/>
        <v>-23150.381691035949</v>
      </c>
      <c r="T283">
        <f t="shared" si="968"/>
        <v>-23.15038169103595</v>
      </c>
    </row>
    <row r="284" spans="1:20" x14ac:dyDescent="0.25">
      <c r="A284" s="5">
        <v>44309</v>
      </c>
      <c r="B284">
        <v>0.25002200000000002</v>
      </c>
      <c r="C284">
        <v>0.30607200000000001</v>
      </c>
      <c r="D284">
        <v>0.16853499999999999</v>
      </c>
      <c r="E284">
        <v>0.26500000000000001</v>
      </c>
      <c r="F284">
        <v>318761326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0.40274980550688189</v>
      </c>
      <c r="Q284">
        <f t="shared" si="965"/>
        <v>128381062.04961577</v>
      </c>
      <c r="R284">
        <f t="shared" si="966"/>
        <v>-2228099360.9647226</v>
      </c>
      <c r="S284">
        <f t="shared" si="967"/>
        <v>-22280.993609647227</v>
      </c>
      <c r="T284">
        <f t="shared" si="968"/>
        <v>-22.280993609647226</v>
      </c>
    </row>
    <row r="285" spans="1:20" x14ac:dyDescent="0.25">
      <c r="A285" s="5">
        <v>44308</v>
      </c>
      <c r="B285">
        <v>0.29058299999999998</v>
      </c>
      <c r="C285">
        <v>0.296491</v>
      </c>
      <c r="D285">
        <v>0.23846000000000001</v>
      </c>
      <c r="E285">
        <v>0.25097599999999998</v>
      </c>
      <c r="F285">
        <v>116350765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-0.5686443452637393</v>
      </c>
      <c r="Q285">
        <f t="shared" si="965"/>
        <v>-66162204.584360197</v>
      </c>
      <c r="R285">
        <f t="shared" si="966"/>
        <v>-2356480423.0143385</v>
      </c>
      <c r="S285">
        <f t="shared" si="967"/>
        <v>-23564.804230143385</v>
      </c>
      <c r="T285">
        <f t="shared" si="968"/>
        <v>-23.564804230143384</v>
      </c>
    </row>
    <row r="286" spans="1:20" x14ac:dyDescent="0.25">
      <c r="A286" s="5">
        <v>44307</v>
      </c>
      <c r="B286">
        <v>0.31085000000000002</v>
      </c>
      <c r="C286">
        <v>0.31999899999999998</v>
      </c>
      <c r="D286">
        <v>0.28774</v>
      </c>
      <c r="E286">
        <v>0.29003899999999999</v>
      </c>
      <c r="F286">
        <v>99188058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-0.85746613348212919</v>
      </c>
      <c r="Q286">
        <f t="shared" si="965"/>
        <v>-85050400.580861166</v>
      </c>
      <c r="R286">
        <f t="shared" si="966"/>
        <v>-2290318218.4299784</v>
      </c>
      <c r="S286">
        <f t="shared" si="967"/>
        <v>-22903.182184299785</v>
      </c>
      <c r="T286">
        <f t="shared" si="968"/>
        <v>-22.903182184299784</v>
      </c>
    </row>
    <row r="287" spans="1:20" x14ac:dyDescent="0.25">
      <c r="A287" s="5">
        <v>44306</v>
      </c>
      <c r="B287">
        <v>0.30003000000000002</v>
      </c>
      <c r="C287">
        <v>0.31670799999999999</v>
      </c>
      <c r="D287">
        <v>0.26168599999999997</v>
      </c>
      <c r="E287">
        <v>0.31081999999999999</v>
      </c>
      <c r="F287">
        <v>113783411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0.78597651848351557</v>
      </c>
      <c r="Q287">
        <f t="shared" si="965"/>
        <v>89431089.238958955</v>
      </c>
      <c r="R287">
        <f t="shared" si="966"/>
        <v>-2205267817.8491173</v>
      </c>
      <c r="S287">
        <f t="shared" si="967"/>
        <v>-22052.678178491173</v>
      </c>
      <c r="T287">
        <f t="shared" si="968"/>
        <v>-22.052678178491174</v>
      </c>
    </row>
    <row r="288" spans="1:20" x14ac:dyDescent="0.25">
      <c r="A288" s="5">
        <v>44305</v>
      </c>
      <c r="B288">
        <v>0.31809399999999999</v>
      </c>
      <c r="C288">
        <v>0.34575099999999998</v>
      </c>
      <c r="D288">
        <v>0.286829</v>
      </c>
      <c r="E288">
        <v>0.30004399999999998</v>
      </c>
      <c r="F288">
        <v>99915956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-0.55144088795356627</v>
      </c>
      <c r="Q288">
        <f t="shared" si="965"/>
        <v>-55097743.497369461</v>
      </c>
      <c r="R288">
        <f t="shared" si="966"/>
        <v>-2294698907.0880761</v>
      </c>
      <c r="S288">
        <f t="shared" si="967"/>
        <v>-22946.989070880762</v>
      </c>
      <c r="T288">
        <f t="shared" si="968"/>
        <v>-22.946989070880761</v>
      </c>
    </row>
    <row r="289" spans="1:20" x14ac:dyDescent="0.25">
      <c r="A289" s="5">
        <v>44304</v>
      </c>
      <c r="B289">
        <v>0.355991</v>
      </c>
      <c r="C289">
        <v>0.36359999999999998</v>
      </c>
      <c r="D289">
        <v>0.28000000000000003</v>
      </c>
      <c r="E289">
        <v>0.318046</v>
      </c>
      <c r="F289">
        <v>123198396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-8.9808612440191615E-2</v>
      </c>
      <c r="Q289">
        <f t="shared" si="965"/>
        <v>-11064276.999617252</v>
      </c>
      <c r="R289">
        <f t="shared" si="966"/>
        <v>-2239601163.5907068</v>
      </c>
      <c r="S289">
        <f t="shared" si="967"/>
        <v>-22396.011635907067</v>
      </c>
      <c r="T289">
        <f t="shared" si="968"/>
        <v>-22.396011635907065</v>
      </c>
    </row>
    <row r="290" spans="1:20" x14ac:dyDescent="0.25">
      <c r="A290" s="5">
        <v>44303</v>
      </c>
      <c r="B290">
        <v>0.38741399999999998</v>
      </c>
      <c r="C290">
        <v>0.39999000000000001</v>
      </c>
      <c r="D290">
        <v>0.35090500000000002</v>
      </c>
      <c r="E290">
        <v>0.35557100000000003</v>
      </c>
      <c r="F290">
        <v>145998808</v>
      </c>
      <c r="G290">
        <v>0</v>
      </c>
      <c r="L290" t="s">
        <v>7</v>
      </c>
      <c r="M290" t="s">
        <v>7</v>
      </c>
      <c r="N290" t="s">
        <v>7</v>
      </c>
      <c r="P290">
        <f t="shared" si="964"/>
        <v>-0.80988081898747055</v>
      </c>
      <c r="Q290">
        <f t="shared" si="965"/>
        <v>-118241634.19423446</v>
      </c>
      <c r="R290">
        <f t="shared" si="966"/>
        <v>-2228536886.5910897</v>
      </c>
      <c r="S290">
        <f t="shared" si="967"/>
        <v>-22285.368865910896</v>
      </c>
      <c r="T290">
        <f t="shared" si="968"/>
        <v>-22.285368865910897</v>
      </c>
    </row>
    <row r="291" spans="1:20" x14ac:dyDescent="0.25">
      <c r="A291" s="5">
        <v>44302</v>
      </c>
      <c r="B291">
        <v>0.36335200000000001</v>
      </c>
      <c r="C291">
        <v>0.41899999999999998</v>
      </c>
      <c r="D291">
        <v>0.34</v>
      </c>
      <c r="E291">
        <v>0.38741399999999998</v>
      </c>
      <c r="F291">
        <v>319385011</v>
      </c>
      <c r="G291">
        <v>0</v>
      </c>
      <c r="L291" t="s">
        <v>8</v>
      </c>
      <c r="M291" t="s">
        <v>8</v>
      </c>
      <c r="N291" t="s">
        <v>7</v>
      </c>
      <c r="P291">
        <f t="shared" si="964"/>
        <v>0.20035443037974635</v>
      </c>
      <c r="Q291">
        <f t="shared" si="965"/>
        <v>63990201.950734019</v>
      </c>
      <c r="R291">
        <f t="shared" si="966"/>
        <v>-2110295252.3968554</v>
      </c>
      <c r="S291">
        <f t="shared" si="967"/>
        <v>-21102.952523968554</v>
      </c>
      <c r="T291">
        <f t="shared" si="968"/>
        <v>-21.102952523968554</v>
      </c>
    </row>
    <row r="292" spans="1:20" x14ac:dyDescent="0.25">
      <c r="A292" s="5">
        <v>44301</v>
      </c>
      <c r="B292">
        <v>0.33431300000000003</v>
      </c>
      <c r="C292">
        <v>0.37595899999999999</v>
      </c>
      <c r="D292">
        <v>0.33305400000000002</v>
      </c>
      <c r="E292">
        <v>0.36333799999999999</v>
      </c>
      <c r="F292">
        <v>151094756</v>
      </c>
      <c r="G292">
        <v>0</v>
      </c>
      <c r="L292" t="s">
        <v>8</v>
      </c>
      <c r="M292" t="s">
        <v>7</v>
      </c>
      <c r="N292" t="s">
        <v>7</v>
      </c>
      <c r="P292">
        <f t="shared" si="964"/>
        <v>0.4116769607271879</v>
      </c>
      <c r="Q292">
        <f t="shared" si="965"/>
        <v>62202229.931896038</v>
      </c>
      <c r="R292">
        <f t="shared" si="966"/>
        <v>-2174285454.3475895</v>
      </c>
      <c r="S292">
        <f t="shared" si="967"/>
        <v>-21742.854543475896</v>
      </c>
      <c r="T292">
        <f t="shared" si="968"/>
        <v>-21.742854543475897</v>
      </c>
    </row>
    <row r="293" spans="1:20" x14ac:dyDescent="0.25">
      <c r="A293" s="5">
        <v>44300</v>
      </c>
      <c r="B293">
        <v>0.35267300000000001</v>
      </c>
      <c r="C293">
        <v>0.35399999999999998</v>
      </c>
      <c r="D293">
        <v>0.31500099999999998</v>
      </c>
      <c r="E293">
        <v>0.33435799999999999</v>
      </c>
      <c r="F293">
        <v>110552224</v>
      </c>
      <c r="G293">
        <v>0</v>
      </c>
      <c r="L293" t="s">
        <v>7</v>
      </c>
      <c r="M293" t="s">
        <v>7</v>
      </c>
      <c r="N293" t="s">
        <v>7</v>
      </c>
      <c r="P293">
        <f t="shared" si="964"/>
        <v>-7.3078796892222797E-3</v>
      </c>
      <c r="Q293">
        <f t="shared" si="965"/>
        <v>-807902.35236795188</v>
      </c>
      <c r="R293">
        <f t="shared" si="966"/>
        <v>-2236487684.2794857</v>
      </c>
      <c r="S293">
        <f t="shared" si="967"/>
        <v>-22364.876842794856</v>
      </c>
      <c r="T293">
        <f t="shared" si="968"/>
        <v>-22.364876842794857</v>
      </c>
    </row>
    <row r="294" spans="1:20" x14ac:dyDescent="0.25">
      <c r="A294" s="5">
        <v>44299</v>
      </c>
      <c r="B294">
        <v>0.357707</v>
      </c>
      <c r="C294">
        <v>0.35998999999999998</v>
      </c>
      <c r="D294">
        <v>0.33801999999999999</v>
      </c>
      <c r="E294">
        <v>0.352329</v>
      </c>
      <c r="F294">
        <v>93940522</v>
      </c>
      <c r="G294">
        <v>0</v>
      </c>
      <c r="L294" t="s">
        <v>8</v>
      </c>
      <c r="M294" t="s">
        <v>7</v>
      </c>
      <c r="N294" t="s">
        <v>7</v>
      </c>
      <c r="P294">
        <f t="shared" si="964"/>
        <v>0.3025944469731473</v>
      </c>
      <c r="Q294">
        <f t="shared" si="965"/>
        <v>28425880.302958779</v>
      </c>
      <c r="R294">
        <f t="shared" si="966"/>
        <v>-2235679781.9271178</v>
      </c>
      <c r="S294">
        <f t="shared" si="967"/>
        <v>-22356.797819271178</v>
      </c>
      <c r="T294">
        <f t="shared" si="968"/>
        <v>-22.356797819271179</v>
      </c>
    </row>
    <row r="295" spans="1:20" x14ac:dyDescent="0.25">
      <c r="A295" s="5">
        <v>44298</v>
      </c>
      <c r="B295">
        <v>0.35422500000000001</v>
      </c>
      <c r="C295">
        <v>0.359763</v>
      </c>
      <c r="D295">
        <v>0.33574900000000002</v>
      </c>
      <c r="E295">
        <v>0.35791200000000001</v>
      </c>
      <c r="F295">
        <v>92025831</v>
      </c>
      <c r="G295">
        <v>0</v>
      </c>
      <c r="L295" t="s">
        <v>7</v>
      </c>
      <c r="M295" t="s">
        <v>7</v>
      </c>
      <c r="N295" t="s">
        <v>7</v>
      </c>
      <c r="P295">
        <f t="shared" si="964"/>
        <v>0.8458399267094201</v>
      </c>
      <c r="Q295">
        <f t="shared" si="965"/>
        <v>77839122.148413479</v>
      </c>
      <c r="R295">
        <f t="shared" si="966"/>
        <v>-2264105662.2300768</v>
      </c>
      <c r="S295">
        <f t="shared" si="967"/>
        <v>-22641.056622300766</v>
      </c>
      <c r="T295">
        <f t="shared" si="968"/>
        <v>-22.641056622300766</v>
      </c>
    </row>
    <row r="296" spans="1:20" x14ac:dyDescent="0.25">
      <c r="A296" s="5">
        <v>44297</v>
      </c>
      <c r="B296">
        <v>0.361676</v>
      </c>
      <c r="C296">
        <v>0.36799999999999999</v>
      </c>
      <c r="D296">
        <v>0.34236299999999997</v>
      </c>
      <c r="E296">
        <v>0.35421799999999998</v>
      </c>
      <c r="F296">
        <v>78756719</v>
      </c>
      <c r="G296">
        <v>0</v>
      </c>
      <c r="L296" t="s">
        <v>7</v>
      </c>
      <c r="M296" t="s">
        <v>7</v>
      </c>
      <c r="N296" t="s">
        <v>7</v>
      </c>
      <c r="P296">
        <f t="shared" si="964"/>
        <v>-7.5164800873737586E-2</v>
      </c>
      <c r="Q296">
        <f t="shared" si="965"/>
        <v>-5919733.1011039056</v>
      </c>
      <c r="R296">
        <f t="shared" si="966"/>
        <v>-2341944784.3784904</v>
      </c>
      <c r="S296">
        <f t="shared" si="967"/>
        <v>-23419.447843784903</v>
      </c>
      <c r="T296">
        <f t="shared" si="968"/>
        <v>-23.419447843784901</v>
      </c>
    </row>
    <row r="297" spans="1:20" x14ac:dyDescent="0.25">
      <c r="A297" s="5">
        <v>44296</v>
      </c>
      <c r="B297">
        <v>0.37519599999999997</v>
      </c>
      <c r="C297">
        <v>0.37663099999999999</v>
      </c>
      <c r="D297">
        <v>0.35375899999999999</v>
      </c>
      <c r="E297">
        <v>0.36171599999999998</v>
      </c>
      <c r="F297">
        <v>85453159</v>
      </c>
      <c r="G297">
        <v>0</v>
      </c>
      <c r="L297" t="s">
        <v>7</v>
      </c>
      <c r="M297" t="s">
        <v>7</v>
      </c>
      <c r="N297" t="s">
        <v>7</v>
      </c>
      <c r="P297">
        <f t="shared" si="964"/>
        <v>-0.30421476040573708</v>
      </c>
      <c r="Q297">
        <f t="shared" si="965"/>
        <v>-25996112.291098356</v>
      </c>
      <c r="R297">
        <f t="shared" si="966"/>
        <v>-2336025051.2773867</v>
      </c>
      <c r="S297">
        <f t="shared" si="967"/>
        <v>-23360.250512773866</v>
      </c>
      <c r="T297">
        <f t="shared" si="968"/>
        <v>-23.360250512773867</v>
      </c>
    </row>
    <row r="298" spans="1:20" x14ac:dyDescent="0.25">
      <c r="A298" s="5">
        <v>44295</v>
      </c>
      <c r="B298">
        <v>0.382851</v>
      </c>
      <c r="C298">
        <v>0.38492300000000002</v>
      </c>
      <c r="D298">
        <v>0.36516399999999999</v>
      </c>
      <c r="E298">
        <v>0.37516699999999997</v>
      </c>
      <c r="F298">
        <v>76664947</v>
      </c>
      <c r="G298">
        <v>0</v>
      </c>
      <c r="L298" t="s">
        <v>8</v>
      </c>
      <c r="M298" t="s">
        <v>7</v>
      </c>
      <c r="N298" t="s">
        <v>7</v>
      </c>
      <c r="P298">
        <f t="shared" si="964"/>
        <v>1.250063262310549E-2</v>
      </c>
      <c r="Q298">
        <f t="shared" si="965"/>
        <v>958360.33751685335</v>
      </c>
      <c r="R298">
        <f t="shared" si="966"/>
        <v>-2310028938.9862885</v>
      </c>
      <c r="S298">
        <f t="shared" si="967"/>
        <v>-23100.289389862886</v>
      </c>
      <c r="T298">
        <f t="shared" si="968"/>
        <v>-23.100289389862887</v>
      </c>
    </row>
    <row r="299" spans="1:20" x14ac:dyDescent="0.25">
      <c r="A299" s="5">
        <v>44294</v>
      </c>
      <c r="B299">
        <v>0.35992800000000003</v>
      </c>
      <c r="C299">
        <v>0.39137100000000002</v>
      </c>
      <c r="D299">
        <v>0.34900100000000001</v>
      </c>
      <c r="E299">
        <v>0.38222699999999998</v>
      </c>
      <c r="F299">
        <v>140175274</v>
      </c>
      <c r="G299">
        <v>0</v>
      </c>
      <c r="L299" t="s">
        <v>7</v>
      </c>
      <c r="M299" t="s">
        <v>7</v>
      </c>
      <c r="N299" t="s">
        <v>7</v>
      </c>
      <c r="P299">
        <f t="shared" si="964"/>
        <v>0.56837384942175895</v>
      </c>
      <c r="Q299">
        <f t="shared" si="965"/>
        <v>79671960.077129796</v>
      </c>
      <c r="R299">
        <f t="shared" si="966"/>
        <v>-2310987299.3238053</v>
      </c>
      <c r="S299">
        <f t="shared" si="967"/>
        <v>-23109.872993238052</v>
      </c>
      <c r="T299">
        <f t="shared" si="968"/>
        <v>-23.109872993238053</v>
      </c>
    </row>
    <row r="300" spans="1:20" x14ac:dyDescent="0.25">
      <c r="A300" s="5">
        <v>44293</v>
      </c>
      <c r="B300">
        <v>0.34784599999999999</v>
      </c>
      <c r="C300">
        <v>0.39565699999999998</v>
      </c>
      <c r="D300">
        <v>0.33734399999999998</v>
      </c>
      <c r="E300">
        <v>0.35998799999999997</v>
      </c>
      <c r="F300">
        <v>242633606</v>
      </c>
      <c r="G300">
        <v>0</v>
      </c>
      <c r="L300" t="s">
        <v>8</v>
      </c>
      <c r="M300" t="s">
        <v>7</v>
      </c>
      <c r="N300" t="s">
        <v>7</v>
      </c>
      <c r="P300">
        <f t="shared" si="964"/>
        <v>-0.22336357244525248</v>
      </c>
      <c r="Q300">
        <f t="shared" si="965"/>
        <v>-54195509.031433851</v>
      </c>
      <c r="R300">
        <f t="shared" si="966"/>
        <v>-2390659259.4009352</v>
      </c>
      <c r="S300">
        <f t="shared" si="967"/>
        <v>-23906.592594009351</v>
      </c>
      <c r="T300">
        <f t="shared" si="968"/>
        <v>-23.90659259400935</v>
      </c>
    </row>
    <row r="301" spans="1:20" x14ac:dyDescent="0.25">
      <c r="A301" s="5">
        <v>44292</v>
      </c>
      <c r="B301">
        <v>0.37676900000000002</v>
      </c>
      <c r="C301">
        <v>0.37926300000000002</v>
      </c>
      <c r="D301">
        <v>0.33627099999999999</v>
      </c>
      <c r="E301">
        <v>0.34791899999999998</v>
      </c>
      <c r="F301">
        <v>169747150</v>
      </c>
      <c r="G301">
        <v>0</v>
      </c>
      <c r="L301" t="s">
        <v>7</v>
      </c>
      <c r="M301" t="s">
        <v>7</v>
      </c>
      <c r="N301" t="s">
        <v>7</v>
      </c>
      <c r="P301">
        <f t="shared" si="964"/>
        <v>-0.45813174544101304</v>
      </c>
      <c r="Q301">
        <f t="shared" si="965"/>
        <v>-77766558.113137454</v>
      </c>
      <c r="R301">
        <f t="shared" si="966"/>
        <v>-2336463750.3695011</v>
      </c>
      <c r="S301">
        <f t="shared" si="967"/>
        <v>-23364.637503695012</v>
      </c>
      <c r="T301">
        <f t="shared" si="968"/>
        <v>-23.364637503695011</v>
      </c>
    </row>
    <row r="302" spans="1:20" x14ac:dyDescent="0.25">
      <c r="A302" s="5">
        <v>44291</v>
      </c>
      <c r="B302">
        <v>0.41041100000000003</v>
      </c>
      <c r="C302">
        <v>0.41151700000000002</v>
      </c>
      <c r="D302">
        <v>0.37601000000000001</v>
      </c>
      <c r="E302">
        <v>0.37692100000000001</v>
      </c>
      <c r="F302">
        <v>132412539</v>
      </c>
      <c r="G302">
        <v>0</v>
      </c>
      <c r="L302" t="s">
        <v>7</v>
      </c>
      <c r="M302" t="s">
        <v>7</v>
      </c>
      <c r="N302" t="s">
        <v>7</v>
      </c>
      <c r="P302">
        <f t="shared" si="964"/>
        <v>-0.94868617455712989</v>
      </c>
      <c r="Q302">
        <f t="shared" si="965"/>
        <v>-125617945.08730677</v>
      </c>
      <c r="R302">
        <f t="shared" si="966"/>
        <v>-2258697192.2563639</v>
      </c>
      <c r="S302">
        <f t="shared" si="967"/>
        <v>-22586.97192256364</v>
      </c>
      <c r="T302">
        <f t="shared" si="968"/>
        <v>-22.586971922563642</v>
      </c>
    </row>
    <row r="303" spans="1:20" x14ac:dyDescent="0.25">
      <c r="A303" s="5">
        <v>44290</v>
      </c>
      <c r="B303">
        <v>0.39341700000000002</v>
      </c>
      <c r="C303">
        <v>0.42</v>
      </c>
      <c r="D303">
        <v>0.38752999999999999</v>
      </c>
      <c r="E303">
        <v>0.41023100000000001</v>
      </c>
      <c r="F303">
        <v>88456318</v>
      </c>
      <c r="G303">
        <v>0</v>
      </c>
      <c r="L303" t="s">
        <v>7</v>
      </c>
      <c r="M303" t="s">
        <v>7</v>
      </c>
      <c r="N303" t="s">
        <v>7</v>
      </c>
      <c r="P303">
        <f t="shared" si="964"/>
        <v>0.39827533107484003</v>
      </c>
      <c r="Q303">
        <f t="shared" si="965"/>
        <v>35229969.337111332</v>
      </c>
      <c r="R303">
        <f t="shared" si="966"/>
        <v>-2133079247.1690571</v>
      </c>
      <c r="S303">
        <f t="shared" si="967"/>
        <v>-21330.792471690573</v>
      </c>
      <c r="T303">
        <f t="shared" si="968"/>
        <v>-21.330792471690572</v>
      </c>
    </row>
    <row r="304" spans="1:20" x14ac:dyDescent="0.25">
      <c r="A304" s="5">
        <v>44289</v>
      </c>
      <c r="B304">
        <v>0.43900600000000001</v>
      </c>
      <c r="C304">
        <v>0.47282800000000003</v>
      </c>
      <c r="D304">
        <v>0.39047199999999999</v>
      </c>
      <c r="E304">
        <v>0.39385500000000001</v>
      </c>
      <c r="F304">
        <v>162537049</v>
      </c>
      <c r="G304">
        <v>0</v>
      </c>
      <c r="L304" t="s">
        <v>8</v>
      </c>
      <c r="M304" t="s">
        <v>7</v>
      </c>
      <c r="N304" t="s">
        <v>7</v>
      </c>
      <c r="P304">
        <f t="shared" si="964"/>
        <v>-0.91784448006216857</v>
      </c>
      <c r="Q304">
        <f t="shared" si="965"/>
        <v>-149183733.23024422</v>
      </c>
      <c r="R304">
        <f t="shared" si="966"/>
        <v>-2168309216.5061684</v>
      </c>
      <c r="S304">
        <f t="shared" si="967"/>
        <v>-21683.092165061684</v>
      </c>
      <c r="T304">
        <f t="shared" si="968"/>
        <v>-21.683092165061684</v>
      </c>
    </row>
    <row r="305" spans="1:20" x14ac:dyDescent="0.25">
      <c r="A305" s="5">
        <v>44288</v>
      </c>
      <c r="B305">
        <v>0.415404</v>
      </c>
      <c r="C305">
        <v>0.46200000000000002</v>
      </c>
      <c r="D305">
        <v>0.40711799999999998</v>
      </c>
      <c r="E305">
        <v>0.43945299999999998</v>
      </c>
      <c r="F305">
        <v>228193612</v>
      </c>
      <c r="G305">
        <v>0</v>
      </c>
      <c r="L305" t="s">
        <v>8</v>
      </c>
      <c r="M305" t="s">
        <v>8</v>
      </c>
      <c r="N305" t="s">
        <v>7</v>
      </c>
      <c r="P305">
        <f t="shared" si="964"/>
        <v>0.17834627017965737</v>
      </c>
      <c r="Q305">
        <f t="shared" si="965"/>
        <v>40697479.579023905</v>
      </c>
      <c r="R305">
        <f t="shared" si="966"/>
        <v>-2019125483.275924</v>
      </c>
      <c r="S305">
        <f t="shared" si="967"/>
        <v>-20191.254832759241</v>
      </c>
      <c r="T305">
        <f t="shared" si="968"/>
        <v>-20.191254832759242</v>
      </c>
    </row>
    <row r="306" spans="1:20" x14ac:dyDescent="0.25">
      <c r="A306" s="5">
        <v>44287</v>
      </c>
      <c r="B306">
        <v>0.41604799999999997</v>
      </c>
      <c r="C306">
        <v>0.42874800000000002</v>
      </c>
      <c r="D306">
        <v>0.402416</v>
      </c>
      <c r="E306">
        <v>0.415404</v>
      </c>
      <c r="F306">
        <v>229921739</v>
      </c>
      <c r="G306">
        <v>0</v>
      </c>
      <c r="L306" t="s">
        <v>7</v>
      </c>
      <c r="M306" t="s">
        <v>8</v>
      </c>
      <c r="N306" t="s">
        <v>7</v>
      </c>
      <c r="P306">
        <f t="shared" si="964"/>
        <v>-1.3519671882121475E-2</v>
      </c>
      <c r="Q306">
        <f t="shared" si="965"/>
        <v>-3108466.4698467725</v>
      </c>
      <c r="R306">
        <f t="shared" si="966"/>
        <v>-2059822962.8549478</v>
      </c>
      <c r="S306">
        <f t="shared" si="967"/>
        <v>-20598.229628549478</v>
      </c>
      <c r="T306">
        <f t="shared" si="968"/>
        <v>-20.598229628549479</v>
      </c>
    </row>
    <row r="307" spans="1:20" x14ac:dyDescent="0.25">
      <c r="A307" s="5">
        <v>44286</v>
      </c>
      <c r="B307">
        <v>0.41143299999999999</v>
      </c>
      <c r="C307">
        <v>0.45</v>
      </c>
      <c r="D307">
        <v>0.39500000000000002</v>
      </c>
      <c r="E307">
        <v>0.41625200000000001</v>
      </c>
      <c r="F307">
        <v>249664047</v>
      </c>
      <c r="G307">
        <v>0</v>
      </c>
      <c r="L307" t="s">
        <v>8</v>
      </c>
      <c r="M307" t="s">
        <v>8</v>
      </c>
      <c r="N307" t="s">
        <v>7</v>
      </c>
      <c r="P307">
        <f t="shared" si="964"/>
        <v>-0.22720000000000015</v>
      </c>
      <c r="Q307">
        <f t="shared" si="965"/>
        <v>-56723671.478400037</v>
      </c>
      <c r="R307">
        <f t="shared" si="966"/>
        <v>-2056714496.3851011</v>
      </c>
      <c r="S307">
        <f t="shared" si="967"/>
        <v>-20567.144963851009</v>
      </c>
      <c r="T307">
        <f t="shared" si="968"/>
        <v>-20.56714496385101</v>
      </c>
    </row>
    <row r="308" spans="1:20" x14ac:dyDescent="0.25">
      <c r="A308" s="5">
        <v>44285</v>
      </c>
      <c r="B308">
        <v>0.41158099999999997</v>
      </c>
      <c r="C308">
        <v>0.41913600000000001</v>
      </c>
      <c r="D308">
        <v>0.39837600000000001</v>
      </c>
      <c r="E308">
        <v>0.41109899999999999</v>
      </c>
      <c r="F308">
        <v>128673143</v>
      </c>
      <c r="G308">
        <v>0</v>
      </c>
      <c r="L308" t="s">
        <v>7</v>
      </c>
      <c r="M308" t="s">
        <v>8</v>
      </c>
      <c r="N308" t="s">
        <v>7</v>
      </c>
      <c r="P308">
        <f t="shared" si="964"/>
        <v>0.22572254335259961</v>
      </c>
      <c r="Q308">
        <f t="shared" si="965"/>
        <v>29044429.09913275</v>
      </c>
      <c r="R308">
        <f t="shared" si="966"/>
        <v>-1999990824.9067011</v>
      </c>
      <c r="S308">
        <f t="shared" si="967"/>
        <v>-19999.908249067012</v>
      </c>
      <c r="T308">
        <f t="shared" si="968"/>
        <v>-19.999908249067012</v>
      </c>
    </row>
    <row r="309" spans="1:20" x14ac:dyDescent="0.25">
      <c r="A309" s="5">
        <v>44284</v>
      </c>
      <c r="B309">
        <v>0.39938400000000002</v>
      </c>
      <c r="C309">
        <v>0.44999899999999998</v>
      </c>
      <c r="D309">
        <v>0.39560800000000002</v>
      </c>
      <c r="E309">
        <v>0.41121000000000002</v>
      </c>
      <c r="F309">
        <v>190304142</v>
      </c>
      <c r="G309">
        <v>0</v>
      </c>
      <c r="L309" t="s">
        <v>8</v>
      </c>
      <c r="M309" t="s">
        <v>8</v>
      </c>
      <c r="N309" t="s">
        <v>7</v>
      </c>
      <c r="P309">
        <f t="shared" si="964"/>
        <v>-0.42630214557555424</v>
      </c>
      <c r="Q309">
        <f t="shared" si="965"/>
        <v>-81127064.046514943</v>
      </c>
      <c r="R309">
        <f t="shared" si="966"/>
        <v>-2029035254.0058339</v>
      </c>
      <c r="S309">
        <f t="shared" si="967"/>
        <v>-20290.352540058338</v>
      </c>
      <c r="T309">
        <f t="shared" si="968"/>
        <v>-20.29035254005834</v>
      </c>
    </row>
    <row r="310" spans="1:20" x14ac:dyDescent="0.25">
      <c r="A310" s="5">
        <v>44283</v>
      </c>
      <c r="B310">
        <v>0.396735</v>
      </c>
      <c r="C310">
        <v>0.4148</v>
      </c>
      <c r="D310">
        <v>0.38500099999999998</v>
      </c>
      <c r="E310">
        <v>0.39938400000000002</v>
      </c>
      <c r="F310">
        <v>131216638</v>
      </c>
      <c r="G310">
        <v>0</v>
      </c>
      <c r="L310" t="s">
        <v>8</v>
      </c>
      <c r="M310" t="s">
        <v>7</v>
      </c>
      <c r="N310" t="s">
        <v>7</v>
      </c>
      <c r="P310">
        <f t="shared" si="964"/>
        <v>-3.466559280512601E-2</v>
      </c>
      <c r="Q310">
        <f t="shared" si="965"/>
        <v>-4548702.542165624</v>
      </c>
      <c r="R310">
        <f t="shared" si="966"/>
        <v>-1947908189.9593189</v>
      </c>
      <c r="S310">
        <f t="shared" si="967"/>
        <v>-19479.081899593188</v>
      </c>
      <c r="T310">
        <f t="shared" si="968"/>
        <v>-19.479081899593186</v>
      </c>
    </row>
    <row r="311" spans="1:20" x14ac:dyDescent="0.25">
      <c r="A311" s="5">
        <v>44282</v>
      </c>
      <c r="B311">
        <v>0.41643799999999997</v>
      </c>
      <c r="C311">
        <v>0.41864800000000002</v>
      </c>
      <c r="D311">
        <v>0.38549099999999997</v>
      </c>
      <c r="E311">
        <v>0.396588</v>
      </c>
      <c r="F311">
        <v>149631369</v>
      </c>
      <c r="G311">
        <v>0</v>
      </c>
      <c r="L311" t="s">
        <v>7</v>
      </c>
      <c r="M311" t="s">
        <v>7</v>
      </c>
      <c r="N311" t="s">
        <v>7</v>
      </c>
      <c r="P311">
        <f t="shared" si="964"/>
        <v>-0.3306390807370988</v>
      </c>
      <c r="Q311">
        <f t="shared" si="965"/>
        <v>-49473978.295593619</v>
      </c>
      <c r="R311">
        <f t="shared" si="966"/>
        <v>-1943359487.4171534</v>
      </c>
      <c r="S311">
        <f t="shared" si="967"/>
        <v>-19433.594874171533</v>
      </c>
      <c r="T311">
        <f t="shared" si="968"/>
        <v>-19.433594874171533</v>
      </c>
    </row>
    <row r="312" spans="1:20" x14ac:dyDescent="0.25">
      <c r="A312" s="5">
        <v>44281</v>
      </c>
      <c r="B312">
        <v>0.41747299999999998</v>
      </c>
      <c r="C312">
        <v>0.42461199999999999</v>
      </c>
      <c r="D312">
        <v>0.39075100000000001</v>
      </c>
      <c r="E312">
        <v>0.41653400000000002</v>
      </c>
      <c r="F312">
        <v>192491886</v>
      </c>
      <c r="G312">
        <v>0</v>
      </c>
      <c r="L312" t="s">
        <v>8</v>
      </c>
      <c r="M312" t="s">
        <v>7</v>
      </c>
      <c r="N312" t="s">
        <v>7</v>
      </c>
      <c r="P312">
        <f t="shared" si="964"/>
        <v>0.52287292165027732</v>
      </c>
      <c r="Q312">
        <f t="shared" si="965"/>
        <v>100648794.82679212</v>
      </c>
      <c r="R312">
        <f t="shared" si="966"/>
        <v>-1893885509.1215596</v>
      </c>
      <c r="S312">
        <f t="shared" si="967"/>
        <v>-18938.855091215595</v>
      </c>
      <c r="T312">
        <f t="shared" si="968"/>
        <v>-18.938855091215594</v>
      </c>
    </row>
    <row r="313" spans="1:20" x14ac:dyDescent="0.25">
      <c r="A313" s="5">
        <v>44280</v>
      </c>
      <c r="B313">
        <v>0.393007</v>
      </c>
      <c r="C313">
        <v>0.43899100000000002</v>
      </c>
      <c r="D313">
        <v>0.36706499999999997</v>
      </c>
      <c r="E313">
        <v>0.41747299999999998</v>
      </c>
      <c r="F313">
        <v>308192043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0.40166282012067894</v>
      </c>
      <c r="Q313">
        <f t="shared" si="965"/>
        <v>123789285.13013355</v>
      </c>
      <c r="R313">
        <f t="shared" si="966"/>
        <v>-1994534303.9483519</v>
      </c>
      <c r="S313">
        <f t="shared" si="967"/>
        <v>-19945.34303948352</v>
      </c>
      <c r="T313">
        <f t="shared" si="968"/>
        <v>-19.945343039483518</v>
      </c>
    </row>
    <row r="314" spans="1:20" x14ac:dyDescent="0.25">
      <c r="A314" s="5">
        <v>44279</v>
      </c>
      <c r="B314">
        <v>0.47703800000000002</v>
      </c>
      <c r="C314">
        <v>0.56859999999999999</v>
      </c>
      <c r="D314">
        <v>0.37021599999999999</v>
      </c>
      <c r="E314">
        <v>0.39288899999999999</v>
      </c>
      <c r="F314">
        <v>509835173</v>
      </c>
      <c r="G314">
        <v>0</v>
      </c>
      <c r="L314" t="s">
        <v>8</v>
      </c>
      <c r="M314" t="s">
        <v>8</v>
      </c>
      <c r="N314" t="s">
        <v>8</v>
      </c>
      <c r="P314">
        <f t="shared" si="964"/>
        <v>-0.77142309863698688</v>
      </c>
      <c r="Q314">
        <f t="shared" si="965"/>
        <v>-393298628.94978428</v>
      </c>
      <c r="R314">
        <f t="shared" si="966"/>
        <v>-2118323589.0784855</v>
      </c>
      <c r="S314">
        <f t="shared" si="967"/>
        <v>-21183.235890784854</v>
      </c>
      <c r="T314">
        <f t="shared" si="968"/>
        <v>-21.183235890784854</v>
      </c>
    </row>
    <row r="315" spans="1:20" x14ac:dyDescent="0.25">
      <c r="A315" s="5">
        <v>44278</v>
      </c>
      <c r="B315">
        <v>0.37167499999999998</v>
      </c>
      <c r="C315">
        <v>0.53200000000000003</v>
      </c>
      <c r="D315">
        <v>0.370838</v>
      </c>
      <c r="E315">
        <v>0.47693799999999997</v>
      </c>
      <c r="F315">
        <v>874697047</v>
      </c>
      <c r="G315">
        <v>0</v>
      </c>
      <c r="L315" t="s">
        <v>8</v>
      </c>
      <c r="M315" t="s">
        <v>8</v>
      </c>
      <c r="N315" t="s">
        <v>8</v>
      </c>
      <c r="P315">
        <f t="shared" si="964"/>
        <v>0.31668755662004633</v>
      </c>
      <c r="Q315">
        <f t="shared" si="965"/>
        <v>277005670.5971998</v>
      </c>
      <c r="R315">
        <f t="shared" si="966"/>
        <v>-1725024960.1287012</v>
      </c>
      <c r="S315">
        <f t="shared" si="967"/>
        <v>-17250.249601287011</v>
      </c>
      <c r="T315">
        <f t="shared" si="968"/>
        <v>-17.25024960128701</v>
      </c>
    </row>
    <row r="316" spans="1:20" x14ac:dyDescent="0.25">
      <c r="A316" s="5">
        <v>44277</v>
      </c>
      <c r="B316">
        <v>0.33298299999999997</v>
      </c>
      <c r="C316">
        <v>0.46</v>
      </c>
      <c r="D316">
        <v>0.329314</v>
      </c>
      <c r="E316">
        <v>0.37167499999999998</v>
      </c>
      <c r="F316">
        <v>388858913</v>
      </c>
      <c r="G316">
        <v>0</v>
      </c>
      <c r="L316" t="s">
        <v>8</v>
      </c>
      <c r="M316" t="s">
        <v>8</v>
      </c>
      <c r="N316" t="s">
        <v>8</v>
      </c>
      <c r="P316">
        <f t="shared" si="964"/>
        <v>-0.35171326691458954</v>
      </c>
      <c r="Q316">
        <f t="shared" si="965"/>
        <v>-136766838.66008615</v>
      </c>
      <c r="R316">
        <f t="shared" si="966"/>
        <v>-2002030630.7259011</v>
      </c>
      <c r="S316">
        <f t="shared" si="967"/>
        <v>-20020.306307259012</v>
      </c>
      <c r="T316">
        <f t="shared" si="968"/>
        <v>-20.020306307259013</v>
      </c>
    </row>
    <row r="317" spans="1:20" x14ac:dyDescent="0.25">
      <c r="A317" s="5">
        <v>44276</v>
      </c>
      <c r="B317">
        <v>0.31790499999999999</v>
      </c>
      <c r="C317">
        <v>0.34799999999999998</v>
      </c>
      <c r="D317">
        <v>0.29975000000000002</v>
      </c>
      <c r="E317">
        <v>0.33298299999999997</v>
      </c>
      <c r="F317">
        <v>137307048</v>
      </c>
      <c r="G317">
        <v>0</v>
      </c>
      <c r="L317" t="s">
        <v>7</v>
      </c>
      <c r="M317" t="s">
        <v>7</v>
      </c>
      <c r="N317" t="s">
        <v>7</v>
      </c>
      <c r="P317">
        <f t="shared" si="964"/>
        <v>0.37753367875647603</v>
      </c>
      <c r="Q317">
        <f t="shared" si="965"/>
        <v>51838034.950632036</v>
      </c>
      <c r="R317">
        <f t="shared" si="966"/>
        <v>-1865263792.065815</v>
      </c>
      <c r="S317">
        <f t="shared" si="967"/>
        <v>-18652.637920658151</v>
      </c>
      <c r="T317">
        <f t="shared" si="968"/>
        <v>-18.652637920658151</v>
      </c>
    </row>
    <row r="318" spans="1:20" x14ac:dyDescent="0.25">
      <c r="A318" s="5">
        <v>44275</v>
      </c>
      <c r="B318">
        <v>0.34185500000000002</v>
      </c>
      <c r="C318">
        <v>0.36380000000000001</v>
      </c>
      <c r="D318">
        <v>0.31</v>
      </c>
      <c r="E318">
        <v>0.31790499999999999</v>
      </c>
      <c r="F318">
        <v>121293257</v>
      </c>
      <c r="G318">
        <v>0</v>
      </c>
      <c r="L318" t="s">
        <v>7</v>
      </c>
      <c r="M318" t="s">
        <v>7</v>
      </c>
      <c r="N318" t="s">
        <v>7</v>
      </c>
      <c r="P318">
        <f t="shared" si="964"/>
        <v>-0.70613382899628274</v>
      </c>
      <c r="Q318">
        <f t="shared" si="965"/>
        <v>-85649271.996840179</v>
      </c>
      <c r="R318">
        <f t="shared" si="966"/>
        <v>-1917101827.0164471</v>
      </c>
      <c r="S318">
        <f t="shared" si="967"/>
        <v>-19171.01827016447</v>
      </c>
      <c r="T318">
        <f t="shared" si="968"/>
        <v>-19.17101827016447</v>
      </c>
    </row>
    <row r="319" spans="1:20" x14ac:dyDescent="0.25">
      <c r="A319" s="5">
        <v>44274</v>
      </c>
      <c r="B319">
        <v>0.35274299999999997</v>
      </c>
      <c r="C319">
        <v>0.368973</v>
      </c>
      <c r="D319">
        <v>0.33777699999999999</v>
      </c>
      <c r="E319">
        <v>0.34176699999999999</v>
      </c>
      <c r="F319">
        <v>234459136</v>
      </c>
      <c r="G319">
        <v>0</v>
      </c>
      <c r="L319" t="s">
        <v>7</v>
      </c>
      <c r="M319" t="s">
        <v>8</v>
      </c>
      <c r="N319" t="s">
        <v>7</v>
      </c>
      <c r="P319">
        <f t="shared" si="964"/>
        <v>-0.74419797409924393</v>
      </c>
      <c r="Q319">
        <f t="shared" si="965"/>
        <v>-174484014.02025911</v>
      </c>
      <c r="R319">
        <f t="shared" si="966"/>
        <v>-1831452555.0196068</v>
      </c>
      <c r="S319">
        <f t="shared" si="967"/>
        <v>-18314.525550196067</v>
      </c>
      <c r="T319">
        <f t="shared" si="968"/>
        <v>-18.314525550196066</v>
      </c>
    </row>
    <row r="320" spans="1:20" x14ac:dyDescent="0.25">
      <c r="A320" s="5">
        <v>44273</v>
      </c>
      <c r="B320">
        <v>0.34683799999999998</v>
      </c>
      <c r="C320">
        <v>0.37</v>
      </c>
      <c r="D320">
        <v>0.31670999999999999</v>
      </c>
      <c r="E320">
        <v>0.35247200000000001</v>
      </c>
      <c r="F320">
        <v>236352537</v>
      </c>
      <c r="G320">
        <v>0</v>
      </c>
      <c r="L320" t="s">
        <v>8</v>
      </c>
      <c r="M320" t="s">
        <v>8</v>
      </c>
      <c r="N320" t="s">
        <v>7</v>
      </c>
      <c r="P320">
        <f t="shared" si="964"/>
        <v>0.34216550947645014</v>
      </c>
      <c r="Q320">
        <f t="shared" si="965"/>
        <v>80871686.238656536</v>
      </c>
      <c r="R320">
        <f t="shared" si="966"/>
        <v>-1656968540.9993477</v>
      </c>
      <c r="S320">
        <f t="shared" si="967"/>
        <v>-16569.685409993475</v>
      </c>
      <c r="T320">
        <f t="shared" si="968"/>
        <v>-16.569685409993475</v>
      </c>
    </row>
    <row r="321" spans="1:20" x14ac:dyDescent="0.25">
      <c r="A321" s="5">
        <v>44272</v>
      </c>
      <c r="B321">
        <v>0.353489</v>
      </c>
      <c r="C321">
        <v>0.35417399999999999</v>
      </c>
      <c r="D321">
        <v>0.29855900000000002</v>
      </c>
      <c r="E321">
        <v>0.34680299999999997</v>
      </c>
      <c r="F321">
        <v>206679700</v>
      </c>
      <c r="G321">
        <v>0</v>
      </c>
      <c r="L321" t="s">
        <v>7</v>
      </c>
      <c r="M321" t="s">
        <v>7</v>
      </c>
      <c r="N321" t="s">
        <v>7</v>
      </c>
      <c r="P321">
        <f t="shared" si="964"/>
        <v>0.73492762743863993</v>
      </c>
      <c r="Q321">
        <f t="shared" si="965"/>
        <v>151894621.56072986</v>
      </c>
      <c r="R321">
        <f t="shared" si="966"/>
        <v>-1737840227.2380042</v>
      </c>
      <c r="S321">
        <f t="shared" si="967"/>
        <v>-17378.402272380041</v>
      </c>
      <c r="T321">
        <f t="shared" si="968"/>
        <v>-17.37840227238004</v>
      </c>
    </row>
    <row r="322" spans="1:20" x14ac:dyDescent="0.25">
      <c r="A322" s="5">
        <v>44271</v>
      </c>
      <c r="B322">
        <v>0.34471200000000002</v>
      </c>
      <c r="C322">
        <v>0.38700000000000001</v>
      </c>
      <c r="D322">
        <v>0.308</v>
      </c>
      <c r="E322">
        <v>0.35306999999999999</v>
      </c>
      <c r="F322">
        <v>257689708</v>
      </c>
      <c r="G322">
        <v>0</v>
      </c>
      <c r="L322" t="s">
        <v>7</v>
      </c>
      <c r="M322" t="s">
        <v>7</v>
      </c>
      <c r="N322" t="s">
        <v>7</v>
      </c>
      <c r="P322">
        <f t="shared" si="964"/>
        <v>0.14101265822784786</v>
      </c>
      <c r="Q322">
        <f t="shared" si="965"/>
        <v>36337510.723037913</v>
      </c>
      <c r="R322">
        <f t="shared" si="966"/>
        <v>-1889734848.7987339</v>
      </c>
      <c r="S322">
        <f t="shared" si="967"/>
        <v>-18897.348487987339</v>
      </c>
      <c r="T322">
        <f t="shared" si="968"/>
        <v>-18.89734848798734</v>
      </c>
    </row>
    <row r="323" spans="1:20" x14ac:dyDescent="0.25">
      <c r="A323" s="5">
        <v>44270</v>
      </c>
      <c r="B323">
        <v>0.37470199999999998</v>
      </c>
      <c r="C323">
        <v>0.39211400000000002</v>
      </c>
      <c r="D323">
        <v>0.32600000000000001</v>
      </c>
      <c r="E323">
        <v>0.34479500000000002</v>
      </c>
      <c r="F323">
        <v>372544148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-0.4314366094926943</v>
      </c>
      <c r="Q323">
        <f t="shared" si="965"/>
        <v>-160729184.09946451</v>
      </c>
      <c r="R323">
        <f t="shared" si="966"/>
        <v>-1926072359.5217719</v>
      </c>
      <c r="S323">
        <f t="shared" si="967"/>
        <v>-19260.723595217718</v>
      </c>
      <c r="T323">
        <f t="shared" si="968"/>
        <v>-19.260723595217719</v>
      </c>
    </row>
    <row r="324" spans="1:20" x14ac:dyDescent="0.25">
      <c r="A324" s="5">
        <v>44269</v>
      </c>
      <c r="B324">
        <v>0.369668</v>
      </c>
      <c r="C324">
        <v>0.40799999999999997</v>
      </c>
      <c r="D324">
        <v>0.34572599999999998</v>
      </c>
      <c r="E324">
        <v>0.37420199999999998</v>
      </c>
      <c r="F324">
        <v>346515736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-8.5461027073899118E-2</v>
      </c>
      <c r="Q324">
        <f t="shared" si="965"/>
        <v>-29613590.69582808</v>
      </c>
      <c r="R324">
        <f t="shared" si="966"/>
        <v>-1765343175.4223075</v>
      </c>
      <c r="S324">
        <f t="shared" si="967"/>
        <v>-17653.431754223075</v>
      </c>
      <c r="T324">
        <f t="shared" si="968"/>
        <v>-17.653431754223075</v>
      </c>
    </row>
    <row r="325" spans="1:20" x14ac:dyDescent="0.25">
      <c r="A325" s="5">
        <v>44268</v>
      </c>
      <c r="B325">
        <v>0.39366099999999998</v>
      </c>
      <c r="C325">
        <v>0.41999900000000001</v>
      </c>
      <c r="D325">
        <v>0.33939999999999998</v>
      </c>
      <c r="E325">
        <v>0.36968299999999998</v>
      </c>
      <c r="F325">
        <v>279540676</v>
      </c>
      <c r="G325">
        <v>0</v>
      </c>
      <c r="L325" t="s">
        <v>7</v>
      </c>
      <c r="M325" t="s">
        <v>7</v>
      </c>
      <c r="N325" t="s">
        <v>8</v>
      </c>
      <c r="P325">
        <f t="shared" si="964"/>
        <v>-0.24855147086192156</v>
      </c>
      <c r="Q325">
        <f t="shared" si="965"/>
        <v>-69480246.185535848</v>
      </c>
      <c r="R325">
        <f t="shared" si="966"/>
        <v>-1735729584.7264795</v>
      </c>
      <c r="S325">
        <f t="shared" si="967"/>
        <v>-17357.295847264795</v>
      </c>
      <c r="T325">
        <f t="shared" si="968"/>
        <v>-17.357295847264794</v>
      </c>
    </row>
    <row r="326" spans="1:20" x14ac:dyDescent="0.25">
      <c r="A326" s="5">
        <v>44267</v>
      </c>
      <c r="B326">
        <v>0.361873</v>
      </c>
      <c r="C326">
        <v>0.4592</v>
      </c>
      <c r="D326">
        <v>0.35300100000000001</v>
      </c>
      <c r="E326">
        <v>0.39442899999999997</v>
      </c>
      <c r="F326">
        <v>599915895</v>
      </c>
      <c r="G326">
        <v>0</v>
      </c>
      <c r="L326" t="s">
        <v>8</v>
      </c>
      <c r="M326" t="s">
        <v>8</v>
      </c>
      <c r="N326" t="s">
        <v>8</v>
      </c>
      <c r="P326">
        <f t="shared" ref="P326:P389" si="969">IF(C326=D326,0,((E326-D326)-(C326-E326))/(C326-D326))</f>
        <v>-0.219804329607624</v>
      </c>
      <c r="Q326">
        <f t="shared" ref="Q326:Q389" si="970">F326*P326</f>
        <v>-131864111.12143275</v>
      </c>
      <c r="R326">
        <f t="shared" ref="R326:R389" si="971">R327+Q326</f>
        <v>-1666249338.5409436</v>
      </c>
      <c r="S326">
        <f t="shared" ref="S326:S389" si="972">R326/100000</f>
        <v>-16662.493385409438</v>
      </c>
      <c r="T326">
        <f t="shared" ref="T326:T389" si="973">S326/1000</f>
        <v>-16.662493385409437</v>
      </c>
    </row>
    <row r="327" spans="1:20" x14ac:dyDescent="0.25">
      <c r="A327" s="5">
        <v>44266</v>
      </c>
      <c r="B327">
        <v>0.25299199999999999</v>
      </c>
      <c r="C327">
        <v>0.437224</v>
      </c>
      <c r="D327">
        <v>0.25232900000000003</v>
      </c>
      <c r="E327">
        <v>0.36187599999999998</v>
      </c>
      <c r="F327">
        <v>1528060612</v>
      </c>
      <c r="G327">
        <v>0</v>
      </c>
      <c r="L327" t="s">
        <v>8</v>
      </c>
      <c r="M327" t="s">
        <v>8</v>
      </c>
      <c r="N327" t="s">
        <v>8</v>
      </c>
      <c r="P327">
        <f t="shared" si="969"/>
        <v>0.18496443927634565</v>
      </c>
      <c r="Q327">
        <f t="shared" si="970"/>
        <v>282636874.27884954</v>
      </c>
      <c r="R327">
        <f t="shared" si="971"/>
        <v>-1534385227.4195108</v>
      </c>
      <c r="S327">
        <f t="shared" si="972"/>
        <v>-15343.852274195109</v>
      </c>
      <c r="T327">
        <f t="shared" si="973"/>
        <v>-15.343852274195109</v>
      </c>
    </row>
    <row r="328" spans="1:20" x14ac:dyDescent="0.25">
      <c r="A328" s="5">
        <v>44265</v>
      </c>
      <c r="B328">
        <v>0.18474499999999999</v>
      </c>
      <c r="C328">
        <v>0.27490599999999998</v>
      </c>
      <c r="D328">
        <v>0.17399999999999999</v>
      </c>
      <c r="E328">
        <v>0.253021</v>
      </c>
      <c r="F328">
        <v>535605911</v>
      </c>
      <c r="G328">
        <v>0</v>
      </c>
      <c r="L328" t="s">
        <v>8</v>
      </c>
      <c r="M328" t="s">
        <v>8</v>
      </c>
      <c r="N328" t="s">
        <v>8</v>
      </c>
      <c r="P328">
        <f t="shared" si="969"/>
        <v>0.56622995659326525</v>
      </c>
      <c r="Q328">
        <f t="shared" si="970"/>
        <v>303276111.73662627</v>
      </c>
      <c r="R328">
        <f t="shared" si="971"/>
        <v>-1817022101.6983604</v>
      </c>
      <c r="S328">
        <f t="shared" si="972"/>
        <v>-18170.221016983603</v>
      </c>
      <c r="T328">
        <f t="shared" si="973"/>
        <v>-18.170221016983604</v>
      </c>
    </row>
    <row r="329" spans="1:20" x14ac:dyDescent="0.25">
      <c r="A329" s="5">
        <v>44264</v>
      </c>
      <c r="B329">
        <v>0.17161100000000001</v>
      </c>
      <c r="C329">
        <v>0.191388</v>
      </c>
      <c r="D329">
        <v>0.16690099999999999</v>
      </c>
      <c r="E329">
        <v>0.184748</v>
      </c>
      <c r="F329">
        <v>203114013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0.45767141748682938</v>
      </c>
      <c r="Q329">
        <f t="shared" si="970"/>
        <v>92959478.241148293</v>
      </c>
      <c r="R329">
        <f t="shared" si="971"/>
        <v>-2120298213.4349868</v>
      </c>
      <c r="S329">
        <f t="shared" si="972"/>
        <v>-21202.98213434987</v>
      </c>
      <c r="T329">
        <f t="shared" si="973"/>
        <v>-21.20298213434987</v>
      </c>
    </row>
    <row r="330" spans="1:20" x14ac:dyDescent="0.25">
      <c r="A330" s="5">
        <v>44263</v>
      </c>
      <c r="B330">
        <v>0.146899</v>
      </c>
      <c r="C330">
        <v>0.17799999999999999</v>
      </c>
      <c r="D330">
        <v>0.14136499999999999</v>
      </c>
      <c r="E330">
        <v>0.17161100000000001</v>
      </c>
      <c r="F330">
        <v>309359915</v>
      </c>
      <c r="G330">
        <v>0</v>
      </c>
      <c r="L330" t="s">
        <v>8</v>
      </c>
      <c r="M330" t="s">
        <v>8</v>
      </c>
      <c r="N330" t="s">
        <v>8</v>
      </c>
      <c r="P330">
        <f t="shared" si="969"/>
        <v>0.65120786133479036</v>
      </c>
      <c r="Q330">
        <f t="shared" si="970"/>
        <v>201457608.62986255</v>
      </c>
      <c r="R330">
        <f t="shared" si="971"/>
        <v>-2213257691.6761351</v>
      </c>
      <c r="S330">
        <f t="shared" si="972"/>
        <v>-22132.576916761351</v>
      </c>
      <c r="T330">
        <f t="shared" si="973"/>
        <v>-22.132576916761352</v>
      </c>
    </row>
    <row r="331" spans="1:20" x14ac:dyDescent="0.25">
      <c r="A331" s="5">
        <v>44262</v>
      </c>
      <c r="B331">
        <v>0.140794</v>
      </c>
      <c r="C331">
        <v>0.14999100000000001</v>
      </c>
      <c r="D331">
        <v>0.1376</v>
      </c>
      <c r="E331">
        <v>0.14699400000000001</v>
      </c>
      <c r="F331">
        <v>122599701</v>
      </c>
      <c r="G331">
        <v>0</v>
      </c>
      <c r="L331" t="s">
        <v>8</v>
      </c>
      <c r="M331" t="s">
        <v>7</v>
      </c>
      <c r="N331" t="s">
        <v>8</v>
      </c>
      <c r="P331">
        <f t="shared" si="969"/>
        <v>0.51626180292147583</v>
      </c>
      <c r="Q331">
        <f t="shared" si="970"/>
        <v>63293542.675893866</v>
      </c>
      <c r="R331">
        <f t="shared" si="971"/>
        <v>-2414715300.3059974</v>
      </c>
      <c r="S331">
        <f t="shared" si="972"/>
        <v>-24147.153003059975</v>
      </c>
      <c r="T331">
        <f t="shared" si="973"/>
        <v>-24.147153003059977</v>
      </c>
    </row>
    <row r="332" spans="1:20" x14ac:dyDescent="0.25">
      <c r="A332" s="5">
        <v>44261</v>
      </c>
      <c r="B332">
        <v>0.139873</v>
      </c>
      <c r="C332">
        <v>0.15060100000000001</v>
      </c>
      <c r="D332">
        <v>0.13231000000000001</v>
      </c>
      <c r="E332">
        <v>0.14047399999999999</v>
      </c>
      <c r="F332">
        <v>153150798</v>
      </c>
      <c r="G332">
        <v>0</v>
      </c>
      <c r="L332" t="s">
        <v>7</v>
      </c>
      <c r="M332" t="s">
        <v>7</v>
      </c>
      <c r="N332" t="s">
        <v>8</v>
      </c>
      <c r="P332">
        <f t="shared" si="969"/>
        <v>-0.10732054015636366</v>
      </c>
      <c r="Q332">
        <f t="shared" si="970"/>
        <v>-16436226.366738141</v>
      </c>
      <c r="R332">
        <f t="shared" si="971"/>
        <v>-2478008842.9818912</v>
      </c>
      <c r="S332">
        <f t="shared" si="972"/>
        <v>-24780.088429818912</v>
      </c>
      <c r="T332">
        <f t="shared" si="973"/>
        <v>-24.78008842981891</v>
      </c>
    </row>
    <row r="333" spans="1:20" x14ac:dyDescent="0.25">
      <c r="A333" s="5">
        <v>44260</v>
      </c>
      <c r="B333">
        <v>0.14332500000000001</v>
      </c>
      <c r="C333">
        <v>0.17159199999999999</v>
      </c>
      <c r="D333">
        <v>0.132637</v>
      </c>
      <c r="E333">
        <v>0.13997100000000001</v>
      </c>
      <c r="F333">
        <v>472424152</v>
      </c>
      <c r="G333">
        <v>0</v>
      </c>
      <c r="L333" t="s">
        <v>8</v>
      </c>
      <c r="M333" t="s">
        <v>8</v>
      </c>
      <c r="N333" t="s">
        <v>8</v>
      </c>
      <c r="P333">
        <f t="shared" si="969"/>
        <v>-0.62346297009369733</v>
      </c>
      <c r="Q333">
        <f t="shared" si="970"/>
        <v>-294538964.9499163</v>
      </c>
      <c r="R333">
        <f t="shared" si="971"/>
        <v>-2461572616.6151528</v>
      </c>
      <c r="S333">
        <f t="shared" si="972"/>
        <v>-24615.726166151529</v>
      </c>
      <c r="T333">
        <f t="shared" si="973"/>
        <v>-24.615726166151529</v>
      </c>
    </row>
    <row r="334" spans="1:20" x14ac:dyDescent="0.25">
      <c r="A334" s="5">
        <v>44259</v>
      </c>
      <c r="B334">
        <v>0.12868199999999999</v>
      </c>
      <c r="C334">
        <v>0.15</v>
      </c>
      <c r="D334">
        <v>0.123034</v>
      </c>
      <c r="E334">
        <v>0.14332400000000001</v>
      </c>
      <c r="F334">
        <v>259739556</v>
      </c>
      <c r="G334">
        <v>0</v>
      </c>
      <c r="L334" t="s">
        <v>8</v>
      </c>
      <c r="M334" t="s">
        <v>8</v>
      </c>
      <c r="N334" t="s">
        <v>8</v>
      </c>
      <c r="P334">
        <f t="shared" si="969"/>
        <v>0.50485796929466809</v>
      </c>
      <c r="Q334">
        <f t="shared" si="970"/>
        <v>131131584.78765872</v>
      </c>
      <c r="R334">
        <f t="shared" si="971"/>
        <v>-2167033651.6652365</v>
      </c>
      <c r="S334">
        <f t="shared" si="972"/>
        <v>-21670.336516652365</v>
      </c>
      <c r="T334">
        <f t="shared" si="973"/>
        <v>-21.670336516652366</v>
      </c>
    </row>
    <row r="335" spans="1:20" x14ac:dyDescent="0.25">
      <c r="A335" s="5">
        <v>44258</v>
      </c>
      <c r="B335">
        <v>0.12265</v>
      </c>
      <c r="C335">
        <v>0.133967</v>
      </c>
      <c r="D335">
        <v>0.12038699999999999</v>
      </c>
      <c r="E335">
        <v>0.12867799999999999</v>
      </c>
      <c r="F335">
        <v>234368736</v>
      </c>
      <c r="G335">
        <v>0</v>
      </c>
      <c r="L335" t="s">
        <v>7</v>
      </c>
      <c r="M335" t="s">
        <v>7</v>
      </c>
      <c r="N335" t="s">
        <v>8</v>
      </c>
      <c r="P335">
        <f t="shared" si="969"/>
        <v>0.22106038291605118</v>
      </c>
      <c r="Q335">
        <f t="shared" si="970"/>
        <v>51809642.523710907</v>
      </c>
      <c r="R335">
        <f t="shared" si="971"/>
        <v>-2298165236.4528952</v>
      </c>
      <c r="S335">
        <f t="shared" si="972"/>
        <v>-22981.652364528953</v>
      </c>
      <c r="T335">
        <f t="shared" si="973"/>
        <v>-22.981652364528951</v>
      </c>
    </row>
    <row r="336" spans="1:20" x14ac:dyDescent="0.25">
      <c r="A336" s="5">
        <v>44257</v>
      </c>
      <c r="B336">
        <v>0.112899</v>
      </c>
      <c r="C336">
        <v>0.14463100000000001</v>
      </c>
      <c r="D336">
        <v>0.107945</v>
      </c>
      <c r="E336">
        <v>0.12248100000000001</v>
      </c>
      <c r="F336">
        <v>593820480</v>
      </c>
      <c r="G336">
        <v>0</v>
      </c>
      <c r="L336" t="s">
        <v>8</v>
      </c>
      <c r="M336" t="s">
        <v>8</v>
      </c>
      <c r="N336" t="s">
        <v>8</v>
      </c>
      <c r="P336">
        <f t="shared" si="969"/>
        <v>-0.20754511257700467</v>
      </c>
      <c r="Q336">
        <f t="shared" si="970"/>
        <v>-123244538.37213095</v>
      </c>
      <c r="R336">
        <f t="shared" si="971"/>
        <v>-2349974878.9766059</v>
      </c>
      <c r="S336">
        <f t="shared" si="972"/>
        <v>-23499.748789766058</v>
      </c>
      <c r="T336">
        <f t="shared" si="973"/>
        <v>-23.499748789766059</v>
      </c>
    </row>
    <row r="337" spans="1:20" x14ac:dyDescent="0.25">
      <c r="A337" s="5">
        <v>44256</v>
      </c>
      <c r="B337">
        <v>9.2091999999999993E-2</v>
      </c>
      <c r="C337">
        <v>0.116648</v>
      </c>
      <c r="D337">
        <v>9.0452000000000005E-2</v>
      </c>
      <c r="E337">
        <v>0.112899</v>
      </c>
      <c r="F337">
        <v>152440354</v>
      </c>
      <c r="G337">
        <v>0</v>
      </c>
      <c r="L337" t="s">
        <v>8</v>
      </c>
      <c r="M337" t="s">
        <v>8</v>
      </c>
      <c r="N337" t="s">
        <v>8</v>
      </c>
      <c r="P337">
        <f t="shared" si="969"/>
        <v>0.71377309512902709</v>
      </c>
      <c r="Q337">
        <f t="shared" si="970"/>
        <v>108807823.29714456</v>
      </c>
      <c r="R337">
        <f t="shared" si="971"/>
        <v>-2226730340.604475</v>
      </c>
      <c r="S337">
        <f t="shared" si="972"/>
        <v>-22267.30340604475</v>
      </c>
      <c r="T337">
        <f t="shared" si="973"/>
        <v>-22.26730340604475</v>
      </c>
    </row>
    <row r="338" spans="1:20" x14ac:dyDescent="0.25">
      <c r="A338" s="5">
        <v>44255</v>
      </c>
      <c r="B338">
        <v>9.4422000000000006E-2</v>
      </c>
      <c r="C338">
        <v>0.104423</v>
      </c>
      <c r="D338">
        <v>8.6030999999999996E-2</v>
      </c>
      <c r="E338">
        <v>9.2105999999999993E-2</v>
      </c>
      <c r="F338">
        <v>237231762</v>
      </c>
      <c r="G338">
        <v>0</v>
      </c>
      <c r="L338" t="s">
        <v>7</v>
      </c>
      <c r="M338" t="s">
        <v>7</v>
      </c>
      <c r="N338" t="s">
        <v>8</v>
      </c>
      <c r="P338">
        <f t="shared" si="969"/>
        <v>-0.3393866898651593</v>
      </c>
      <c r="Q338">
        <f t="shared" si="970"/>
        <v>-80513302.436059281</v>
      </c>
      <c r="R338">
        <f t="shared" si="971"/>
        <v>-2335538163.9016194</v>
      </c>
      <c r="S338">
        <f t="shared" si="972"/>
        <v>-23355.381639016196</v>
      </c>
      <c r="T338">
        <f t="shared" si="973"/>
        <v>-23.355381639016194</v>
      </c>
    </row>
    <row r="339" spans="1:20" x14ac:dyDescent="0.25">
      <c r="A339" s="5">
        <v>44254</v>
      </c>
      <c r="B339">
        <v>8.2947000000000007E-2</v>
      </c>
      <c r="C339">
        <v>0.112814</v>
      </c>
      <c r="D339">
        <v>8.2508999999999999E-2</v>
      </c>
      <c r="E339">
        <v>9.4728000000000007E-2</v>
      </c>
      <c r="F339">
        <v>374120291</v>
      </c>
      <c r="G339">
        <v>0</v>
      </c>
      <c r="L339" t="s">
        <v>8</v>
      </c>
      <c r="M339" t="s">
        <v>8</v>
      </c>
      <c r="N339" t="s">
        <v>8</v>
      </c>
      <c r="P339">
        <f t="shared" si="969"/>
        <v>-0.19359841610295278</v>
      </c>
      <c r="Q339">
        <f t="shared" si="970"/>
        <v>-72429095.769575775</v>
      </c>
      <c r="R339">
        <f t="shared" si="971"/>
        <v>-2255024861.46556</v>
      </c>
      <c r="S339">
        <f t="shared" si="972"/>
        <v>-22550.2486146556</v>
      </c>
      <c r="T339">
        <f t="shared" si="973"/>
        <v>-22.550248614655601</v>
      </c>
    </row>
    <row r="340" spans="1:20" x14ac:dyDescent="0.25">
      <c r="A340" s="5">
        <v>44253</v>
      </c>
      <c r="B340">
        <v>7.8601000000000004E-2</v>
      </c>
      <c r="C340">
        <v>8.8961999999999999E-2</v>
      </c>
      <c r="D340">
        <v>7.4028999999999998E-2</v>
      </c>
      <c r="E340">
        <v>8.2858000000000001E-2</v>
      </c>
      <c r="F340">
        <v>100420570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0.18248175182481785</v>
      </c>
      <c r="Q340">
        <f t="shared" si="970"/>
        <v>18324921.532846749</v>
      </c>
      <c r="R340">
        <f t="shared" si="971"/>
        <v>-2182595765.6959844</v>
      </c>
      <c r="S340">
        <f t="shared" si="972"/>
        <v>-21825.957656959843</v>
      </c>
      <c r="T340">
        <f t="shared" si="973"/>
        <v>-21.825957656959844</v>
      </c>
    </row>
    <row r="341" spans="1:20" x14ac:dyDescent="0.25">
      <c r="A341" s="5">
        <v>44252</v>
      </c>
      <c r="B341">
        <v>8.7156999999999998E-2</v>
      </c>
      <c r="C341">
        <v>8.9233999999999994E-2</v>
      </c>
      <c r="D341">
        <v>7.7951999999999994E-2</v>
      </c>
      <c r="E341">
        <v>7.8599000000000002E-2</v>
      </c>
      <c r="F341">
        <v>102646468</v>
      </c>
      <c r="G341">
        <v>0</v>
      </c>
      <c r="L341" t="s">
        <v>7</v>
      </c>
      <c r="M341" t="s">
        <v>7</v>
      </c>
      <c r="N341" t="s">
        <v>8</v>
      </c>
      <c r="P341">
        <f t="shared" si="969"/>
        <v>-0.88530402410919895</v>
      </c>
      <c r="Q341">
        <f t="shared" si="970"/>
        <v>-90873331.18099612</v>
      </c>
      <c r="R341">
        <f t="shared" si="971"/>
        <v>-2200920687.2288313</v>
      </c>
      <c r="S341">
        <f t="shared" si="972"/>
        <v>-22009.206872288312</v>
      </c>
      <c r="T341">
        <f t="shared" si="973"/>
        <v>-22.009206872288313</v>
      </c>
    </row>
    <row r="342" spans="1:20" x14ac:dyDescent="0.25">
      <c r="A342" s="5">
        <v>44251</v>
      </c>
      <c r="B342">
        <v>8.4499000000000005E-2</v>
      </c>
      <c r="C342">
        <v>9.2785000000000006E-2</v>
      </c>
      <c r="D342">
        <v>7.6657000000000003E-2</v>
      </c>
      <c r="E342">
        <v>8.7108000000000005E-2</v>
      </c>
      <c r="F342">
        <v>149135751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0.29600694444444442</v>
      </c>
      <c r="Q342">
        <f t="shared" si="970"/>
        <v>44145217.9609375</v>
      </c>
      <c r="R342">
        <f t="shared" si="971"/>
        <v>-2110047356.0478354</v>
      </c>
      <c r="S342">
        <f t="shared" si="972"/>
        <v>-21100.473560478353</v>
      </c>
      <c r="T342">
        <f t="shared" si="973"/>
        <v>-21.100473560478353</v>
      </c>
    </row>
    <row r="343" spans="1:20" x14ac:dyDescent="0.25">
      <c r="A343" s="5">
        <v>44250</v>
      </c>
      <c r="B343">
        <v>9.2598E-2</v>
      </c>
      <c r="C343">
        <v>9.3405000000000002E-2</v>
      </c>
      <c r="D343">
        <v>5.9299999999999999E-2</v>
      </c>
      <c r="E343">
        <v>8.4445000000000006E-2</v>
      </c>
      <c r="F343">
        <v>253839191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0.47456384694326376</v>
      </c>
      <c r="Q343">
        <f t="shared" si="970"/>
        <v>120462902.9859259</v>
      </c>
      <c r="R343">
        <f t="shared" si="971"/>
        <v>-2154192574.0087729</v>
      </c>
      <c r="S343">
        <f t="shared" si="972"/>
        <v>-21541.925740087729</v>
      </c>
      <c r="T343">
        <f t="shared" si="973"/>
        <v>-21.541925740087727</v>
      </c>
    </row>
    <row r="344" spans="1:20" x14ac:dyDescent="0.25">
      <c r="A344" s="5">
        <v>44249</v>
      </c>
      <c r="B344">
        <v>9.0368000000000004E-2</v>
      </c>
      <c r="C344">
        <v>0.110888</v>
      </c>
      <c r="D344">
        <v>6.8724999999999994E-2</v>
      </c>
      <c r="E344">
        <v>9.2491000000000004E-2</v>
      </c>
      <c r="F344">
        <v>308605348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0.12733913620947304</v>
      </c>
      <c r="Q344">
        <f t="shared" si="970"/>
        <v>39297538.443943828</v>
      </c>
      <c r="R344">
        <f t="shared" si="971"/>
        <v>-2274655476.9946985</v>
      </c>
      <c r="S344">
        <f t="shared" si="972"/>
        <v>-22746.554769946986</v>
      </c>
      <c r="T344">
        <f t="shared" si="973"/>
        <v>-22.746554769946986</v>
      </c>
    </row>
    <row r="345" spans="1:20" x14ac:dyDescent="0.25">
      <c r="A345" s="5">
        <v>44248</v>
      </c>
      <c r="B345">
        <v>8.9135000000000006E-2</v>
      </c>
      <c r="C345">
        <v>9.8000000000000004E-2</v>
      </c>
      <c r="D345">
        <v>8.7281999999999998E-2</v>
      </c>
      <c r="E345">
        <v>9.0146000000000004E-2</v>
      </c>
      <c r="F345">
        <v>162156666</v>
      </c>
      <c r="G345">
        <v>0</v>
      </c>
      <c r="L345" t="s">
        <v>7</v>
      </c>
      <c r="M345" t="s">
        <v>7</v>
      </c>
      <c r="N345" t="s">
        <v>8</v>
      </c>
      <c r="P345">
        <f t="shared" si="969"/>
        <v>-0.46557193506251093</v>
      </c>
      <c r="Q345">
        <f t="shared" si="970"/>
        <v>-75495592.772905275</v>
      </c>
      <c r="R345">
        <f t="shared" si="971"/>
        <v>-2313953015.4386425</v>
      </c>
      <c r="S345">
        <f t="shared" si="972"/>
        <v>-23139.530154386426</v>
      </c>
      <c r="T345">
        <f t="shared" si="973"/>
        <v>-23.139530154386428</v>
      </c>
    </row>
    <row r="346" spans="1:20" x14ac:dyDescent="0.25">
      <c r="A346" s="5">
        <v>44247</v>
      </c>
      <c r="B346">
        <v>8.6839E-2</v>
      </c>
      <c r="C346">
        <v>0.117218</v>
      </c>
      <c r="D346">
        <v>7.9338000000000006E-2</v>
      </c>
      <c r="E346">
        <v>8.9167999999999997E-2</v>
      </c>
      <c r="F346">
        <v>537590063</v>
      </c>
      <c r="G346">
        <v>0</v>
      </c>
      <c r="L346" t="s">
        <v>8</v>
      </c>
      <c r="M346" t="s">
        <v>8</v>
      </c>
      <c r="N346" t="s">
        <v>8</v>
      </c>
      <c r="P346">
        <f t="shared" si="969"/>
        <v>-0.48099260823653683</v>
      </c>
      <c r="Q346">
        <f t="shared" si="970"/>
        <v>-258576846.56441414</v>
      </c>
      <c r="R346">
        <f t="shared" si="971"/>
        <v>-2238457422.6657372</v>
      </c>
      <c r="S346">
        <f t="shared" si="972"/>
        <v>-22384.574226657372</v>
      </c>
      <c r="T346">
        <f t="shared" si="973"/>
        <v>-22.384574226657371</v>
      </c>
    </row>
    <row r="347" spans="1:20" x14ac:dyDescent="0.25">
      <c r="A347" s="5">
        <v>44246</v>
      </c>
      <c r="B347">
        <v>6.0901999999999998E-2</v>
      </c>
      <c r="C347">
        <v>0.106499</v>
      </c>
      <c r="D347">
        <v>6.0901999999999998E-2</v>
      </c>
      <c r="E347">
        <v>8.6817000000000005E-2</v>
      </c>
      <c r="F347">
        <v>852396959.5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0.13669758975371224</v>
      </c>
      <c r="Q347">
        <f t="shared" si="970"/>
        <v>116520609.87704267</v>
      </c>
      <c r="R347">
        <f t="shared" si="971"/>
        <v>-1979880576.1013231</v>
      </c>
      <c r="S347">
        <f t="shared" si="972"/>
        <v>-19798.805761013231</v>
      </c>
      <c r="T347">
        <f t="shared" si="973"/>
        <v>-19.798805761013231</v>
      </c>
    </row>
    <row r="348" spans="1:20" x14ac:dyDescent="0.25">
      <c r="A348" s="5">
        <v>44245</v>
      </c>
      <c r="B348">
        <v>5.8588000000000001E-2</v>
      </c>
      <c r="C348">
        <v>6.2852000000000005E-2</v>
      </c>
      <c r="D348">
        <v>5.8415000000000002E-2</v>
      </c>
      <c r="E348">
        <v>6.0868999999999999E-2</v>
      </c>
      <c r="F348">
        <v>104505092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0.10615280594996436</v>
      </c>
      <c r="Q348">
        <f t="shared" si="970"/>
        <v>11093508.751859173</v>
      </c>
      <c r="R348">
        <f t="shared" si="971"/>
        <v>-2096401185.9783659</v>
      </c>
      <c r="S348">
        <f t="shared" si="972"/>
        <v>-20964.011859783659</v>
      </c>
      <c r="T348">
        <f t="shared" si="973"/>
        <v>-20.96401185978366</v>
      </c>
    </row>
    <row r="349" spans="1:20" x14ac:dyDescent="0.25">
      <c r="A349" s="5">
        <v>44244</v>
      </c>
      <c r="B349">
        <v>5.8091999999999998E-2</v>
      </c>
      <c r="C349">
        <v>6.0728999999999998E-2</v>
      </c>
      <c r="D349">
        <v>5.4611E-2</v>
      </c>
      <c r="E349">
        <v>5.8393E-2</v>
      </c>
      <c r="F349">
        <v>147008265</v>
      </c>
      <c r="G349">
        <v>0</v>
      </c>
      <c r="L349" t="s">
        <v>7</v>
      </c>
      <c r="M349" t="s">
        <v>8</v>
      </c>
      <c r="N349" t="s">
        <v>8</v>
      </c>
      <c r="P349">
        <f t="shared" si="969"/>
        <v>0.23635174893756181</v>
      </c>
      <c r="Q349">
        <f t="shared" si="970"/>
        <v>34745660.541026555</v>
      </c>
      <c r="R349">
        <f t="shared" si="971"/>
        <v>-2107494694.7302251</v>
      </c>
      <c r="S349">
        <f t="shared" si="972"/>
        <v>-21074.946947302251</v>
      </c>
      <c r="T349">
        <f t="shared" si="973"/>
        <v>-21.074946947302251</v>
      </c>
    </row>
    <row r="350" spans="1:20" x14ac:dyDescent="0.25">
      <c r="A350" s="5">
        <v>44243</v>
      </c>
      <c r="B350">
        <v>6.0803000000000003E-2</v>
      </c>
      <c r="C350">
        <v>6.4325999999999994E-2</v>
      </c>
      <c r="D350">
        <v>5.4065000000000002E-2</v>
      </c>
      <c r="E350">
        <v>5.7983E-2</v>
      </c>
      <c r="F350">
        <v>161419459</v>
      </c>
      <c r="G350">
        <v>0</v>
      </c>
      <c r="L350" t="s">
        <v>8</v>
      </c>
      <c r="M350" t="s">
        <v>8</v>
      </c>
      <c r="N350" t="s">
        <v>8</v>
      </c>
      <c r="P350">
        <f t="shared" si="969"/>
        <v>-0.23633174154565817</v>
      </c>
      <c r="Q350">
        <f t="shared" si="970"/>
        <v>-38148541.864827968</v>
      </c>
      <c r="R350">
        <f t="shared" si="971"/>
        <v>-2142240355.2712517</v>
      </c>
      <c r="S350">
        <f t="shared" si="972"/>
        <v>-21422.403552712516</v>
      </c>
      <c r="T350">
        <f t="shared" si="973"/>
        <v>-21.422403552712517</v>
      </c>
    </row>
    <row r="351" spans="1:20" x14ac:dyDescent="0.25">
      <c r="A351" s="5">
        <v>44242</v>
      </c>
      <c r="B351">
        <v>5.7468999999999999E-2</v>
      </c>
      <c r="C351">
        <v>6.4500000000000002E-2</v>
      </c>
      <c r="D351">
        <v>4.8661999999999997E-2</v>
      </c>
      <c r="E351">
        <v>6.0898000000000001E-2</v>
      </c>
      <c r="F351">
        <v>313410207.30000001</v>
      </c>
      <c r="G351">
        <v>0</v>
      </c>
      <c r="L351" t="s">
        <v>7</v>
      </c>
      <c r="M351" t="s">
        <v>8</v>
      </c>
      <c r="N351" t="s">
        <v>8</v>
      </c>
      <c r="P351">
        <f t="shared" si="969"/>
        <v>0.54514458896325291</v>
      </c>
      <c r="Q351">
        <f t="shared" si="970"/>
        <v>170853878.6354464</v>
      </c>
      <c r="R351">
        <f t="shared" si="971"/>
        <v>-2104091813.4064238</v>
      </c>
      <c r="S351">
        <f t="shared" si="972"/>
        <v>-21040.918134064239</v>
      </c>
      <c r="T351">
        <f t="shared" si="973"/>
        <v>-21.040918134064238</v>
      </c>
    </row>
    <row r="352" spans="1:20" x14ac:dyDescent="0.25">
      <c r="A352" s="5">
        <v>44241</v>
      </c>
      <c r="B352">
        <v>5.3758E-2</v>
      </c>
      <c r="C352">
        <v>5.8000000000000003E-2</v>
      </c>
      <c r="D352">
        <v>5.1243999999999998E-2</v>
      </c>
      <c r="E352">
        <v>5.7473999999999997E-2</v>
      </c>
      <c r="F352">
        <v>130036138</v>
      </c>
      <c r="G352">
        <v>0</v>
      </c>
      <c r="L352" t="s">
        <v>7</v>
      </c>
      <c r="M352" t="s">
        <v>8</v>
      </c>
      <c r="N352" t="s">
        <v>8</v>
      </c>
      <c r="P352">
        <f t="shared" si="969"/>
        <v>0.84428656009472902</v>
      </c>
      <c r="Q352">
        <f t="shared" si="970"/>
        <v>109787763.64002347</v>
      </c>
      <c r="R352">
        <f t="shared" si="971"/>
        <v>-2274945692.0418701</v>
      </c>
      <c r="S352">
        <f t="shared" si="972"/>
        <v>-22749.456920418703</v>
      </c>
      <c r="T352">
        <f t="shared" si="973"/>
        <v>-22.749456920418702</v>
      </c>
    </row>
    <row r="353" spans="1:20" x14ac:dyDescent="0.25">
      <c r="A353" s="5">
        <v>44240</v>
      </c>
      <c r="B353">
        <v>4.8084000000000002E-2</v>
      </c>
      <c r="C353">
        <v>5.8970000000000002E-2</v>
      </c>
      <c r="D353">
        <v>4.8083000000000001E-2</v>
      </c>
      <c r="E353">
        <v>5.3836000000000002E-2</v>
      </c>
      <c r="F353">
        <v>428160171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5.6856801690089227E-2</v>
      </c>
      <c r="Q353">
        <f t="shared" si="970"/>
        <v>24343817.934141692</v>
      </c>
      <c r="R353">
        <f t="shared" si="971"/>
        <v>-2384733455.6818933</v>
      </c>
      <c r="S353">
        <f t="shared" si="972"/>
        <v>-23847.334556818932</v>
      </c>
      <c r="T353">
        <f t="shared" si="973"/>
        <v>-23.847334556818932</v>
      </c>
    </row>
    <row r="354" spans="1:20" x14ac:dyDescent="0.25">
      <c r="A354" s="5">
        <v>44239</v>
      </c>
      <c r="B354">
        <v>4.5109000000000003E-2</v>
      </c>
      <c r="C354">
        <v>5.0310000000000001E-2</v>
      </c>
      <c r="D354">
        <v>4.5109000000000003E-2</v>
      </c>
      <c r="E354">
        <v>4.7867E-2</v>
      </c>
      <c r="F354">
        <v>174881148.5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6.0565275908478371E-2</v>
      </c>
      <c r="Q354">
        <f t="shared" si="970"/>
        <v>10591725.010094078</v>
      </c>
      <c r="R354">
        <f t="shared" si="971"/>
        <v>-2409077273.616035</v>
      </c>
      <c r="S354">
        <f t="shared" si="972"/>
        <v>-24090.77273616035</v>
      </c>
      <c r="T354">
        <f t="shared" si="973"/>
        <v>-24.09077273616035</v>
      </c>
    </row>
    <row r="355" spans="1:20" x14ac:dyDescent="0.25">
      <c r="A355" s="5">
        <v>44238</v>
      </c>
      <c r="B355">
        <v>4.2078999999999998E-2</v>
      </c>
      <c r="C355">
        <v>4.7E-2</v>
      </c>
      <c r="D355">
        <v>4.0897999999999997E-2</v>
      </c>
      <c r="E355">
        <v>4.4899000000000001E-2</v>
      </c>
      <c r="F355">
        <v>430943636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0.31137332022287856</v>
      </c>
      <c r="Q355">
        <f t="shared" si="970"/>
        <v>134184350.77023962</v>
      </c>
      <c r="R355">
        <f t="shared" si="971"/>
        <v>-2419668998.6261292</v>
      </c>
      <c r="S355">
        <f t="shared" si="972"/>
        <v>-24196.689986261292</v>
      </c>
      <c r="T355">
        <f t="shared" si="973"/>
        <v>-24.196689986261291</v>
      </c>
    </row>
    <row r="356" spans="1:20" x14ac:dyDescent="0.25">
      <c r="A356" s="5">
        <v>44237</v>
      </c>
      <c r="B356">
        <v>4.2007000000000003E-2</v>
      </c>
      <c r="C356">
        <v>4.5499999999999999E-2</v>
      </c>
      <c r="D356">
        <v>3.8108999999999997E-2</v>
      </c>
      <c r="E356">
        <v>4.2008999999999998E-2</v>
      </c>
      <c r="F356">
        <v>299772869</v>
      </c>
      <c r="G356">
        <v>0</v>
      </c>
      <c r="L356" t="s">
        <v>7</v>
      </c>
      <c r="M356" t="s">
        <v>7</v>
      </c>
      <c r="N356" t="s">
        <v>8</v>
      </c>
      <c r="P356">
        <f t="shared" si="969"/>
        <v>5.5337572723582674E-2</v>
      </c>
      <c r="Q356">
        <f t="shared" si="970"/>
        <v>16588702.938844522</v>
      </c>
      <c r="R356">
        <f t="shared" si="971"/>
        <v>-2553853349.396369</v>
      </c>
      <c r="S356">
        <f t="shared" si="972"/>
        <v>-25538.533493963689</v>
      </c>
      <c r="T356">
        <f t="shared" si="973"/>
        <v>-25.538533493963687</v>
      </c>
    </row>
    <row r="357" spans="1:20" x14ac:dyDescent="0.25">
      <c r="A357" s="5">
        <v>44236</v>
      </c>
      <c r="B357">
        <v>3.9189000000000002E-2</v>
      </c>
      <c r="C357">
        <v>4.8000000000000001E-2</v>
      </c>
      <c r="D357">
        <v>3.7601000000000002E-2</v>
      </c>
      <c r="E357">
        <v>4.1883999999999998E-2</v>
      </c>
      <c r="F357">
        <v>452005278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-0.17626694874507245</v>
      </c>
      <c r="Q357">
        <f t="shared" si="970"/>
        <v>-79673591.16972822</v>
      </c>
      <c r="R357">
        <f t="shared" si="971"/>
        <v>-2570442052.3352137</v>
      </c>
      <c r="S357">
        <f t="shared" si="972"/>
        <v>-25704.420523352135</v>
      </c>
      <c r="T357">
        <f t="shared" si="973"/>
        <v>-25.704420523352134</v>
      </c>
    </row>
    <row r="358" spans="1:20" x14ac:dyDescent="0.25">
      <c r="A358" s="5">
        <v>44235</v>
      </c>
      <c r="B358">
        <v>3.5576000000000003E-2</v>
      </c>
      <c r="C358">
        <v>3.9888E-2</v>
      </c>
      <c r="D358">
        <v>3.5000999999999997E-2</v>
      </c>
      <c r="E358">
        <v>3.9172999999999999E-2</v>
      </c>
      <c r="F358">
        <v>224612743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0.70738694495600574</v>
      </c>
      <c r="Q358">
        <f t="shared" si="970"/>
        <v>158888122.06895846</v>
      </c>
      <c r="R358">
        <f t="shared" si="971"/>
        <v>-2490768461.1654854</v>
      </c>
      <c r="S358">
        <f t="shared" si="972"/>
        <v>-24907.684611654855</v>
      </c>
      <c r="T358">
        <f t="shared" si="973"/>
        <v>-24.907684611654854</v>
      </c>
    </row>
    <row r="359" spans="1:20" x14ac:dyDescent="0.25">
      <c r="A359" s="5">
        <v>44234</v>
      </c>
      <c r="B359">
        <v>3.4098999999999997E-2</v>
      </c>
      <c r="C359">
        <v>3.61E-2</v>
      </c>
      <c r="D359">
        <v>3.3000000000000002E-2</v>
      </c>
      <c r="E359">
        <v>3.5589999999999997E-2</v>
      </c>
      <c r="F359">
        <v>63368500</v>
      </c>
      <c r="G359">
        <v>0</v>
      </c>
      <c r="L359" t="s">
        <v>8</v>
      </c>
      <c r="M359" t="s">
        <v>8</v>
      </c>
      <c r="N359" t="s">
        <v>8</v>
      </c>
      <c r="P359">
        <f t="shared" si="969"/>
        <v>0.67096774193548148</v>
      </c>
      <c r="Q359">
        <f t="shared" si="970"/>
        <v>42518219.354838558</v>
      </c>
      <c r="R359">
        <f t="shared" si="971"/>
        <v>-2649656583.2344437</v>
      </c>
      <c r="S359">
        <f t="shared" si="972"/>
        <v>-26496.565832344437</v>
      </c>
      <c r="T359">
        <f t="shared" si="973"/>
        <v>-26.496565832344437</v>
      </c>
    </row>
    <row r="360" spans="1:20" x14ac:dyDescent="0.25">
      <c r="A360" s="5">
        <v>44233</v>
      </c>
      <c r="B360">
        <v>3.5416999999999997E-2</v>
      </c>
      <c r="C360">
        <v>3.5762000000000002E-2</v>
      </c>
      <c r="D360">
        <v>3.2899999999999999E-2</v>
      </c>
      <c r="E360">
        <v>3.4169999999999999E-2</v>
      </c>
      <c r="F360">
        <v>97576250</v>
      </c>
      <c r="G360">
        <v>0</v>
      </c>
      <c r="L360" t="s">
        <v>7</v>
      </c>
      <c r="M360" t="s">
        <v>8</v>
      </c>
      <c r="N360" t="s">
        <v>8</v>
      </c>
      <c r="P360">
        <f t="shared" si="969"/>
        <v>-0.11250873515024544</v>
      </c>
      <c r="Q360">
        <f t="shared" si="970"/>
        <v>-10978180.468204137</v>
      </c>
      <c r="R360">
        <f t="shared" si="971"/>
        <v>-2692174802.589282</v>
      </c>
      <c r="S360">
        <f t="shared" si="972"/>
        <v>-26921.748025892819</v>
      </c>
      <c r="T360">
        <f t="shared" si="973"/>
        <v>-26.921748025892818</v>
      </c>
    </row>
    <row r="361" spans="1:20" x14ac:dyDescent="0.25">
      <c r="A361" s="5">
        <v>44232</v>
      </c>
      <c r="B361">
        <v>3.2627000000000003E-2</v>
      </c>
      <c r="C361">
        <v>3.8834E-2</v>
      </c>
      <c r="D361">
        <v>3.2300000000000002E-2</v>
      </c>
      <c r="E361">
        <v>3.5359000000000002E-2</v>
      </c>
      <c r="F361">
        <v>230123953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-6.3666972757881815E-2</v>
      </c>
      <c r="Q361">
        <f t="shared" si="970"/>
        <v>-14651295.446587075</v>
      </c>
      <c r="R361">
        <f t="shared" si="971"/>
        <v>-2681196622.121078</v>
      </c>
      <c r="S361">
        <f t="shared" si="972"/>
        <v>-26811.96622121078</v>
      </c>
      <c r="T361">
        <f t="shared" si="973"/>
        <v>-26.811966221210781</v>
      </c>
    </row>
    <row r="362" spans="1:20" x14ac:dyDescent="0.25">
      <c r="A362" s="5">
        <v>44231</v>
      </c>
      <c r="B362">
        <v>3.2877999999999998E-2</v>
      </c>
      <c r="C362">
        <v>3.3099999999999997E-2</v>
      </c>
      <c r="D362">
        <v>3.0601E-2</v>
      </c>
      <c r="E362">
        <v>3.2624E-2</v>
      </c>
      <c r="F362">
        <v>75101875</v>
      </c>
      <c r="G362">
        <v>0</v>
      </c>
      <c r="L362" t="s">
        <v>7</v>
      </c>
      <c r="M362" t="s">
        <v>8</v>
      </c>
      <c r="N362" t="s">
        <v>8</v>
      </c>
      <c r="P362">
        <f t="shared" si="969"/>
        <v>0.61904761904762085</v>
      </c>
      <c r="Q362">
        <f t="shared" si="970"/>
        <v>46491636.904762037</v>
      </c>
      <c r="R362">
        <f t="shared" si="971"/>
        <v>-2666545326.6744909</v>
      </c>
      <c r="S362">
        <f t="shared" si="972"/>
        <v>-26665.453266744909</v>
      </c>
      <c r="T362">
        <f t="shared" si="973"/>
        <v>-26.665453266744908</v>
      </c>
    </row>
    <row r="363" spans="1:20" x14ac:dyDescent="0.25">
      <c r="A363" s="5">
        <v>44230</v>
      </c>
      <c r="B363">
        <v>3.0511E-2</v>
      </c>
      <c r="C363">
        <v>3.3006000000000001E-2</v>
      </c>
      <c r="D363">
        <v>3.0109E-2</v>
      </c>
      <c r="E363">
        <v>3.2849000000000003E-2</v>
      </c>
      <c r="F363">
        <v>66585827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0.89161201242665</v>
      </c>
      <c r="Q363">
        <f t="shared" si="970"/>
        <v>59368723.210562766</v>
      </c>
      <c r="R363">
        <f t="shared" si="971"/>
        <v>-2713036963.5792532</v>
      </c>
      <c r="S363">
        <f t="shared" si="972"/>
        <v>-27130.369635792533</v>
      </c>
      <c r="T363">
        <f t="shared" si="973"/>
        <v>-27.130369635792533</v>
      </c>
    </row>
    <row r="364" spans="1:20" x14ac:dyDescent="0.25">
      <c r="A364" s="5">
        <v>44229</v>
      </c>
      <c r="B364">
        <v>2.9253000000000001E-2</v>
      </c>
      <c r="C364">
        <v>3.2009999999999997E-2</v>
      </c>
      <c r="D364">
        <v>2.8250999999999998E-2</v>
      </c>
      <c r="E364">
        <v>3.0505000000000001E-2</v>
      </c>
      <c r="F364">
        <v>128322873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0.19925512104283238</v>
      </c>
      <c r="Q364">
        <f t="shared" si="970"/>
        <v>25568989.592179008</v>
      </c>
      <c r="R364">
        <f t="shared" si="971"/>
        <v>-2772405686.7898159</v>
      </c>
      <c r="S364">
        <f t="shared" si="972"/>
        <v>-27724.056867898158</v>
      </c>
      <c r="T364">
        <f t="shared" si="973"/>
        <v>-27.72405686789816</v>
      </c>
    </row>
    <row r="365" spans="1:20" x14ac:dyDescent="0.25">
      <c r="A365" s="5">
        <v>44228</v>
      </c>
      <c r="B365">
        <v>2.7866999999999999E-2</v>
      </c>
      <c r="C365">
        <v>3.4081E-2</v>
      </c>
      <c r="D365">
        <v>2.6752000000000001E-2</v>
      </c>
      <c r="E365">
        <v>2.9253000000000001E-2</v>
      </c>
      <c r="F365">
        <v>88609908</v>
      </c>
      <c r="G365">
        <v>0</v>
      </c>
      <c r="L365" t="s">
        <v>7</v>
      </c>
      <c r="M365" t="s">
        <v>7</v>
      </c>
      <c r="N365" t="s">
        <v>8</v>
      </c>
      <c r="P365">
        <f t="shared" si="969"/>
        <v>-0.31750579888115699</v>
      </c>
      <c r="Q365">
        <f t="shared" si="970"/>
        <v>-28134159.628325824</v>
      </c>
      <c r="R365">
        <f t="shared" si="971"/>
        <v>-2797974676.3819947</v>
      </c>
      <c r="S365">
        <f t="shared" si="972"/>
        <v>-27979.746763819949</v>
      </c>
      <c r="T365">
        <f t="shared" si="973"/>
        <v>-27.97974676381995</v>
      </c>
    </row>
    <row r="366" spans="1:20" x14ac:dyDescent="0.25">
      <c r="A366" s="5">
        <v>44227</v>
      </c>
      <c r="B366">
        <v>2.8771000000000001E-2</v>
      </c>
      <c r="C366">
        <v>2.8997999999999999E-2</v>
      </c>
      <c r="D366">
        <v>2.7333E-2</v>
      </c>
      <c r="E366">
        <v>2.7866999999999999E-2</v>
      </c>
      <c r="F366">
        <v>48291053</v>
      </c>
      <c r="G366">
        <v>0</v>
      </c>
      <c r="L366" t="s">
        <v>7</v>
      </c>
      <c r="M366" t="s">
        <v>7</v>
      </c>
      <c r="N366" t="s">
        <v>8</v>
      </c>
      <c r="P366">
        <f t="shared" si="969"/>
        <v>-0.35855855855855878</v>
      </c>
      <c r="Q366">
        <f t="shared" si="970"/>
        <v>-17315170.354954965</v>
      </c>
      <c r="R366">
        <f t="shared" si="971"/>
        <v>-2769840516.7536688</v>
      </c>
      <c r="S366">
        <f t="shared" si="972"/>
        <v>-27698.405167536686</v>
      </c>
      <c r="T366">
        <f t="shared" si="973"/>
        <v>-27.698405167536688</v>
      </c>
    </row>
    <row r="367" spans="1:20" x14ac:dyDescent="0.25">
      <c r="A367" s="5">
        <v>44226</v>
      </c>
      <c r="B367">
        <v>2.9534999999999999E-2</v>
      </c>
      <c r="C367">
        <v>2.9755E-2</v>
      </c>
      <c r="D367">
        <v>2.8205000000000001E-2</v>
      </c>
      <c r="E367">
        <v>2.8771000000000001E-2</v>
      </c>
      <c r="F367">
        <v>59890057</v>
      </c>
      <c r="G367">
        <v>0</v>
      </c>
      <c r="L367" t="s">
        <v>7</v>
      </c>
      <c r="M367" t="s">
        <v>7</v>
      </c>
      <c r="N367" t="s">
        <v>8</v>
      </c>
      <c r="P367">
        <f t="shared" si="969"/>
        <v>-0.26967741935483769</v>
      </c>
      <c r="Q367">
        <f t="shared" si="970"/>
        <v>-16150996.016774133</v>
      </c>
      <c r="R367">
        <f t="shared" si="971"/>
        <v>-2752525346.3987136</v>
      </c>
      <c r="S367">
        <f t="shared" si="972"/>
        <v>-27525.253463987137</v>
      </c>
      <c r="T367">
        <f t="shared" si="973"/>
        <v>-27.525253463987138</v>
      </c>
    </row>
    <row r="368" spans="1:20" x14ac:dyDescent="0.25">
      <c r="A368" s="5">
        <v>44225</v>
      </c>
      <c r="B368">
        <v>2.9323999999999999E-2</v>
      </c>
      <c r="C368">
        <v>3.0858E-2</v>
      </c>
      <c r="D368">
        <v>2.8500999999999999E-2</v>
      </c>
      <c r="E368">
        <v>2.9444999999999999E-2</v>
      </c>
      <c r="F368">
        <v>131537449</v>
      </c>
      <c r="G368">
        <v>0</v>
      </c>
      <c r="L368" t="s">
        <v>7</v>
      </c>
      <c r="M368" t="s">
        <v>7</v>
      </c>
      <c r="N368" t="s">
        <v>8</v>
      </c>
      <c r="P368">
        <f t="shared" si="969"/>
        <v>-0.19898175647008925</v>
      </c>
      <c r="Q368">
        <f t="shared" si="970"/>
        <v>-26173552.643614784</v>
      </c>
      <c r="R368">
        <f t="shared" si="971"/>
        <v>-2736374350.3819394</v>
      </c>
      <c r="S368">
        <f t="shared" si="972"/>
        <v>-27363.743503819394</v>
      </c>
      <c r="T368">
        <f t="shared" si="973"/>
        <v>-27.363743503819393</v>
      </c>
    </row>
    <row r="369" spans="1:20" x14ac:dyDescent="0.25">
      <c r="A369" s="5">
        <v>44224</v>
      </c>
      <c r="B369">
        <v>2.9183000000000001E-2</v>
      </c>
      <c r="C369">
        <v>3.1095000000000001E-2</v>
      </c>
      <c r="D369">
        <v>2.8680000000000001E-2</v>
      </c>
      <c r="E369">
        <v>2.9323999999999999E-2</v>
      </c>
      <c r="F369">
        <v>113993347</v>
      </c>
      <c r="G369">
        <v>0</v>
      </c>
      <c r="L369" t="s">
        <v>8</v>
      </c>
      <c r="M369" t="s">
        <v>7</v>
      </c>
      <c r="N369" t="s">
        <v>8</v>
      </c>
      <c r="P369">
        <f t="shared" si="969"/>
        <v>-0.46666666666666784</v>
      </c>
      <c r="Q369">
        <f t="shared" si="970"/>
        <v>-53196895.2666668</v>
      </c>
      <c r="R369">
        <f t="shared" si="971"/>
        <v>-2710200797.7383246</v>
      </c>
      <c r="S369">
        <f t="shared" si="972"/>
        <v>-27102.007977383248</v>
      </c>
      <c r="T369">
        <f t="shared" si="973"/>
        <v>-27.102007977383249</v>
      </c>
    </row>
    <row r="370" spans="1:20" x14ac:dyDescent="0.25">
      <c r="A370" s="5">
        <v>44223</v>
      </c>
      <c r="B370">
        <v>3.3152000000000001E-2</v>
      </c>
      <c r="C370">
        <v>3.3180000000000001E-2</v>
      </c>
      <c r="D370">
        <v>2.7848999999999999E-2</v>
      </c>
      <c r="E370">
        <v>2.9239000000000001E-2</v>
      </c>
      <c r="F370">
        <v>114828780</v>
      </c>
      <c r="G370">
        <v>0</v>
      </c>
      <c r="L370" t="s">
        <v>7</v>
      </c>
      <c r="M370" t="s">
        <v>7</v>
      </c>
      <c r="N370" t="s">
        <v>8</v>
      </c>
      <c r="P370">
        <f t="shared" si="969"/>
        <v>-0.47852185331082286</v>
      </c>
      <c r="Q370">
        <f t="shared" si="970"/>
        <v>-54948080.619020753</v>
      </c>
      <c r="R370">
        <f t="shared" si="971"/>
        <v>-2657003902.4716578</v>
      </c>
      <c r="S370">
        <f t="shared" si="972"/>
        <v>-26570.039024716578</v>
      </c>
      <c r="T370">
        <f t="shared" si="973"/>
        <v>-26.570039024716579</v>
      </c>
    </row>
    <row r="371" spans="1:20" x14ac:dyDescent="0.25">
      <c r="A371" s="5">
        <v>44222</v>
      </c>
      <c r="B371">
        <v>2.9090000000000001E-2</v>
      </c>
      <c r="C371">
        <v>3.474E-2</v>
      </c>
      <c r="D371">
        <v>2.8901E-2</v>
      </c>
      <c r="E371">
        <v>3.3123E-2</v>
      </c>
      <c r="F371">
        <v>271936007</v>
      </c>
      <c r="G371">
        <v>0</v>
      </c>
      <c r="L371" t="s">
        <v>8</v>
      </c>
      <c r="M371" t="s">
        <v>8</v>
      </c>
      <c r="N371" t="s">
        <v>8</v>
      </c>
      <c r="P371">
        <f t="shared" si="969"/>
        <v>0.44613803733516005</v>
      </c>
      <c r="Q371">
        <f t="shared" si="970"/>
        <v>121320996.44374035</v>
      </c>
      <c r="R371">
        <f t="shared" si="971"/>
        <v>-2602055821.8526368</v>
      </c>
      <c r="S371">
        <f t="shared" si="972"/>
        <v>-26020.558218526367</v>
      </c>
      <c r="T371">
        <f t="shared" si="973"/>
        <v>-26.020558218526368</v>
      </c>
    </row>
    <row r="372" spans="1:20" x14ac:dyDescent="0.25">
      <c r="A372" s="5">
        <v>44221</v>
      </c>
      <c r="B372">
        <v>2.86E-2</v>
      </c>
      <c r="C372">
        <v>3.2000000000000001E-2</v>
      </c>
      <c r="D372">
        <v>2.7902E-2</v>
      </c>
      <c r="E372">
        <v>2.9090000000000001E-2</v>
      </c>
      <c r="F372">
        <v>140824476</v>
      </c>
      <c r="G372">
        <v>0</v>
      </c>
      <c r="L372" t="s">
        <v>8</v>
      </c>
      <c r="M372" t="s">
        <v>8</v>
      </c>
      <c r="N372" t="s">
        <v>8</v>
      </c>
      <c r="P372">
        <f t="shared" si="969"/>
        <v>-0.42020497803806672</v>
      </c>
      <c r="Q372">
        <f t="shared" si="970"/>
        <v>-59175145.844802253</v>
      </c>
      <c r="R372">
        <f t="shared" si="971"/>
        <v>-2723376818.2963772</v>
      </c>
      <c r="S372">
        <f t="shared" si="972"/>
        <v>-27233.768182963773</v>
      </c>
      <c r="T372">
        <f t="shared" si="973"/>
        <v>-27.233768182963772</v>
      </c>
    </row>
    <row r="373" spans="1:20" x14ac:dyDescent="0.25">
      <c r="A373" s="5">
        <v>44220</v>
      </c>
      <c r="B373">
        <v>2.9315999999999998E-2</v>
      </c>
      <c r="C373">
        <v>0.03</v>
      </c>
      <c r="D373">
        <v>2.7205E-2</v>
      </c>
      <c r="E373">
        <v>2.8500999999999999E-2</v>
      </c>
      <c r="F373">
        <v>102316430</v>
      </c>
      <c r="G373">
        <v>0</v>
      </c>
      <c r="L373" t="s">
        <v>7</v>
      </c>
      <c r="M373" t="s">
        <v>8</v>
      </c>
      <c r="N373" t="s">
        <v>8</v>
      </c>
      <c r="P373">
        <f t="shared" si="969"/>
        <v>-7.2629695885510506E-2</v>
      </c>
      <c r="Q373">
        <f t="shared" si="970"/>
        <v>-7431211.1949911239</v>
      </c>
      <c r="R373">
        <f t="shared" si="971"/>
        <v>-2664201672.4515748</v>
      </c>
      <c r="S373">
        <f t="shared" si="972"/>
        <v>-26642.016724515746</v>
      </c>
      <c r="T373">
        <f t="shared" si="973"/>
        <v>-26.642016724515745</v>
      </c>
    </row>
    <row r="374" spans="1:20" x14ac:dyDescent="0.25">
      <c r="A374" s="5">
        <v>44219</v>
      </c>
      <c r="B374">
        <v>2.7269999999999999E-2</v>
      </c>
      <c r="C374">
        <v>2.9618999999999999E-2</v>
      </c>
      <c r="D374">
        <v>2.7039000000000001E-2</v>
      </c>
      <c r="E374">
        <v>2.9377E-2</v>
      </c>
      <c r="F374">
        <v>78470239</v>
      </c>
      <c r="G374">
        <v>0</v>
      </c>
      <c r="L374" t="s">
        <v>8</v>
      </c>
      <c r="M374" t="s">
        <v>8</v>
      </c>
      <c r="N374" t="s">
        <v>8</v>
      </c>
      <c r="P374">
        <f t="shared" si="969"/>
        <v>0.8124031007751944</v>
      </c>
      <c r="Q374">
        <f t="shared" si="970"/>
        <v>63749465.482170589</v>
      </c>
      <c r="R374">
        <f t="shared" si="971"/>
        <v>-2656770461.2565837</v>
      </c>
      <c r="S374">
        <f t="shared" si="972"/>
        <v>-26567.704612565838</v>
      </c>
      <c r="T374">
        <f t="shared" si="973"/>
        <v>-26.567704612565837</v>
      </c>
    </row>
    <row r="375" spans="1:20" x14ac:dyDescent="0.25">
      <c r="A375" s="5">
        <v>44218</v>
      </c>
      <c r="B375">
        <v>2.478E-2</v>
      </c>
      <c r="C375">
        <v>2.8899999999999999E-2</v>
      </c>
      <c r="D375">
        <v>2.3009999999999999E-2</v>
      </c>
      <c r="E375">
        <v>2.7276000000000002E-2</v>
      </c>
      <c r="F375">
        <v>94852439</v>
      </c>
      <c r="G375">
        <v>0</v>
      </c>
      <c r="L375" t="s">
        <v>7</v>
      </c>
      <c r="M375" t="s">
        <v>7</v>
      </c>
      <c r="N375" t="s">
        <v>8</v>
      </c>
      <c r="P375">
        <f t="shared" si="969"/>
        <v>0.44855687606112149</v>
      </c>
      <c r="Q375">
        <f t="shared" si="970"/>
        <v>42546713.724618085</v>
      </c>
      <c r="R375">
        <f t="shared" si="971"/>
        <v>-2720519926.7387543</v>
      </c>
      <c r="S375">
        <f t="shared" si="972"/>
        <v>-27205.199267387543</v>
      </c>
      <c r="T375">
        <f t="shared" si="973"/>
        <v>-27.205199267387542</v>
      </c>
    </row>
    <row r="376" spans="1:20" x14ac:dyDescent="0.25">
      <c r="A376" s="5">
        <v>44217</v>
      </c>
      <c r="B376">
        <v>2.9621999999999999E-2</v>
      </c>
      <c r="C376">
        <v>2.9737E-2</v>
      </c>
      <c r="D376">
        <v>2.4355000000000002E-2</v>
      </c>
      <c r="E376">
        <v>2.4844999999999999E-2</v>
      </c>
      <c r="F376">
        <v>118242078</v>
      </c>
      <c r="G376">
        <v>0</v>
      </c>
      <c r="L376" t="s">
        <v>7</v>
      </c>
      <c r="M376" t="s">
        <v>7</v>
      </c>
      <c r="N376" t="s">
        <v>8</v>
      </c>
      <c r="P376">
        <f t="shared" si="969"/>
        <v>-0.8179115570419927</v>
      </c>
      <c r="Q376">
        <f t="shared" si="970"/>
        <v>-96711562.124860749</v>
      </c>
      <c r="R376">
        <f t="shared" si="971"/>
        <v>-2763066640.4633722</v>
      </c>
      <c r="S376">
        <f t="shared" si="972"/>
        <v>-27630.666404633721</v>
      </c>
      <c r="T376">
        <f t="shared" si="973"/>
        <v>-27.630666404633722</v>
      </c>
    </row>
    <row r="377" spans="1:20" x14ac:dyDescent="0.25">
      <c r="A377" s="5">
        <v>44216</v>
      </c>
      <c r="B377">
        <v>2.9219999999999999E-2</v>
      </c>
      <c r="C377">
        <v>3.1739000000000003E-2</v>
      </c>
      <c r="D377">
        <v>2.6601E-2</v>
      </c>
      <c r="E377">
        <v>2.9638000000000001E-2</v>
      </c>
      <c r="F377">
        <v>187769514</v>
      </c>
      <c r="G377">
        <v>0</v>
      </c>
      <c r="L377" t="s">
        <v>8</v>
      </c>
      <c r="M377" t="s">
        <v>8</v>
      </c>
      <c r="N377" t="s">
        <v>8</v>
      </c>
      <c r="P377">
        <f t="shared" si="969"/>
        <v>0.18217205138186038</v>
      </c>
      <c r="Q377">
        <f t="shared" si="970"/>
        <v>34206357.552354954</v>
      </c>
      <c r="R377">
        <f t="shared" si="971"/>
        <v>-2666355078.3385115</v>
      </c>
      <c r="S377">
        <f t="shared" si="972"/>
        <v>-26663.550783385115</v>
      </c>
      <c r="T377">
        <f t="shared" si="973"/>
        <v>-26.663550783385116</v>
      </c>
    </row>
    <row r="378" spans="1:20" x14ac:dyDescent="0.25">
      <c r="A378" s="5">
        <v>44215</v>
      </c>
      <c r="B378">
        <v>2.7484000000000001E-2</v>
      </c>
      <c r="C378">
        <v>3.0359000000000001E-2</v>
      </c>
      <c r="D378">
        <v>2.7E-2</v>
      </c>
      <c r="E378">
        <v>2.9264999999999999E-2</v>
      </c>
      <c r="F378">
        <v>154771108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0.3486156594224466</v>
      </c>
      <c r="Q378">
        <f t="shared" si="970"/>
        <v>53955631.874962702</v>
      </c>
      <c r="R378">
        <f t="shared" si="971"/>
        <v>-2700561435.8908663</v>
      </c>
      <c r="S378">
        <f t="shared" si="972"/>
        <v>-27005.614358908664</v>
      </c>
      <c r="T378">
        <f t="shared" si="973"/>
        <v>-27.005614358908666</v>
      </c>
    </row>
    <row r="379" spans="1:20" x14ac:dyDescent="0.25">
      <c r="A379" s="5">
        <v>44214</v>
      </c>
      <c r="B379">
        <v>2.6419000000000002E-2</v>
      </c>
      <c r="C379">
        <v>2.7650000000000001E-2</v>
      </c>
      <c r="D379">
        <v>2.5954999999999999E-2</v>
      </c>
      <c r="E379">
        <v>2.7466000000000001E-2</v>
      </c>
      <c r="F379">
        <v>81743357</v>
      </c>
      <c r="G379">
        <v>0</v>
      </c>
      <c r="L379" t="s">
        <v>7</v>
      </c>
      <c r="M379" t="s">
        <v>7</v>
      </c>
      <c r="N379" t="s">
        <v>8</v>
      </c>
      <c r="P379">
        <f t="shared" si="969"/>
        <v>0.78289085545722725</v>
      </c>
      <c r="Q379">
        <f t="shared" si="970"/>
        <v>63996126.689675525</v>
      </c>
      <c r="R379">
        <f t="shared" si="971"/>
        <v>-2754517067.7658291</v>
      </c>
      <c r="S379">
        <f t="shared" si="972"/>
        <v>-27545.170677658291</v>
      </c>
      <c r="T379">
        <f t="shared" si="973"/>
        <v>-27.545170677658291</v>
      </c>
    </row>
    <row r="380" spans="1:20" x14ac:dyDescent="0.25">
      <c r="A380" s="5">
        <v>44213</v>
      </c>
      <c r="B380">
        <v>2.7541E-2</v>
      </c>
      <c r="C380">
        <v>2.7737000000000001E-2</v>
      </c>
      <c r="D380">
        <v>2.5899999999999999E-2</v>
      </c>
      <c r="E380">
        <v>2.6523000000000001E-2</v>
      </c>
      <c r="F380">
        <v>72411374</v>
      </c>
      <c r="G380">
        <v>0</v>
      </c>
      <c r="L380" t="s">
        <v>7</v>
      </c>
      <c r="M380" t="s">
        <v>7</v>
      </c>
      <c r="N380" t="s">
        <v>8</v>
      </c>
      <c r="P380">
        <f t="shared" si="969"/>
        <v>-0.32172019597169144</v>
      </c>
      <c r="Q380">
        <f t="shared" si="970"/>
        <v>-23296201.433859441</v>
      </c>
      <c r="R380">
        <f t="shared" si="971"/>
        <v>-2818513194.4555044</v>
      </c>
      <c r="S380">
        <f t="shared" si="972"/>
        <v>-28185.131944555043</v>
      </c>
      <c r="T380">
        <f t="shared" si="973"/>
        <v>-28.185131944555042</v>
      </c>
    </row>
    <row r="381" spans="1:20" x14ac:dyDescent="0.25">
      <c r="A381" s="5">
        <v>44212</v>
      </c>
      <c r="B381">
        <v>2.7709999999999999E-2</v>
      </c>
      <c r="C381">
        <v>2.9394E-2</v>
      </c>
      <c r="D381">
        <v>2.6499999999999999E-2</v>
      </c>
      <c r="E381">
        <v>2.7542000000000001E-2</v>
      </c>
      <c r="F381">
        <v>153118303</v>
      </c>
      <c r="G381">
        <v>0</v>
      </c>
      <c r="L381" t="s">
        <v>8</v>
      </c>
      <c r="M381" t="s">
        <v>7</v>
      </c>
      <c r="N381" t="s">
        <v>8</v>
      </c>
      <c r="P381">
        <f t="shared" si="969"/>
        <v>-0.27988942639944647</v>
      </c>
      <c r="Q381">
        <f t="shared" si="970"/>
        <v>-42856193.997926645</v>
      </c>
      <c r="R381">
        <f t="shared" si="971"/>
        <v>-2795216993.0216451</v>
      </c>
      <c r="S381">
        <f t="shared" si="972"/>
        <v>-27952.169930216452</v>
      </c>
      <c r="T381">
        <f t="shared" si="973"/>
        <v>-27.952169930216453</v>
      </c>
    </row>
    <row r="382" spans="1:20" x14ac:dyDescent="0.25">
      <c r="A382" s="5">
        <v>44211</v>
      </c>
      <c r="B382">
        <v>2.9305000000000001E-2</v>
      </c>
      <c r="C382">
        <v>2.9825000000000001E-2</v>
      </c>
      <c r="D382">
        <v>2.5326000000000001E-2</v>
      </c>
      <c r="E382">
        <v>2.767E-2</v>
      </c>
      <c r="F382">
        <v>136164455</v>
      </c>
      <c r="G382">
        <v>0</v>
      </c>
      <c r="L382" t="s">
        <v>7</v>
      </c>
      <c r="M382" t="s">
        <v>7</v>
      </c>
      <c r="N382" t="s">
        <v>8</v>
      </c>
      <c r="P382">
        <f t="shared" si="969"/>
        <v>4.2009335407868019E-2</v>
      </c>
      <c r="Q382">
        <f t="shared" si="970"/>
        <v>5720178.260724552</v>
      </c>
      <c r="R382">
        <f t="shared" si="971"/>
        <v>-2752360799.0237184</v>
      </c>
      <c r="S382">
        <f t="shared" si="972"/>
        <v>-27523.607990237182</v>
      </c>
      <c r="T382">
        <f t="shared" si="973"/>
        <v>-27.523607990237181</v>
      </c>
    </row>
    <row r="383" spans="1:20" x14ac:dyDescent="0.25">
      <c r="A383" s="5">
        <v>44210</v>
      </c>
      <c r="B383">
        <v>2.8648E-2</v>
      </c>
      <c r="C383">
        <v>3.0077E-2</v>
      </c>
      <c r="D383">
        <v>2.7595000000000001E-2</v>
      </c>
      <c r="E383">
        <v>2.9342E-2</v>
      </c>
      <c r="F383">
        <v>190501184</v>
      </c>
      <c r="G383">
        <v>0</v>
      </c>
      <c r="L383" t="s">
        <v>8</v>
      </c>
      <c r="M383" t="s">
        <v>8</v>
      </c>
      <c r="N383" t="s">
        <v>8</v>
      </c>
      <c r="P383">
        <f t="shared" si="969"/>
        <v>0.40773569701853335</v>
      </c>
      <c r="Q383">
        <f t="shared" si="970"/>
        <v>77674133.041095868</v>
      </c>
      <c r="R383">
        <f t="shared" si="971"/>
        <v>-2758080977.2844429</v>
      </c>
      <c r="S383">
        <f t="shared" si="972"/>
        <v>-27580.80977284443</v>
      </c>
      <c r="T383">
        <f t="shared" si="973"/>
        <v>-27.580809772844429</v>
      </c>
    </row>
    <row r="384" spans="1:20" x14ac:dyDescent="0.25">
      <c r="A384" s="5">
        <v>44209</v>
      </c>
      <c r="B384">
        <v>2.5336000000000001E-2</v>
      </c>
      <c r="C384">
        <v>2.8721E-2</v>
      </c>
      <c r="D384">
        <v>2.4139000000000001E-2</v>
      </c>
      <c r="E384">
        <v>2.8642999999999998E-2</v>
      </c>
      <c r="F384">
        <v>197475778</v>
      </c>
      <c r="G384">
        <v>0</v>
      </c>
      <c r="L384" t="s">
        <v>8</v>
      </c>
      <c r="M384" t="s">
        <v>8</v>
      </c>
      <c r="N384" t="s">
        <v>8</v>
      </c>
      <c r="P384">
        <f t="shared" si="969"/>
        <v>0.96595373199476142</v>
      </c>
      <c r="Q384">
        <f t="shared" si="970"/>
        <v>190752464.73766899</v>
      </c>
      <c r="R384">
        <f t="shared" si="971"/>
        <v>-2835755110.3255386</v>
      </c>
      <c r="S384">
        <f t="shared" si="972"/>
        <v>-28357.551103255388</v>
      </c>
      <c r="T384">
        <f t="shared" si="973"/>
        <v>-28.357551103255389</v>
      </c>
    </row>
    <row r="385" spans="1:20" x14ac:dyDescent="0.25">
      <c r="A385" s="5">
        <v>44208</v>
      </c>
      <c r="B385">
        <v>2.4771000000000001E-2</v>
      </c>
      <c r="C385">
        <v>2.8167999999999999E-2</v>
      </c>
      <c r="D385">
        <v>2.3734000000000002E-2</v>
      </c>
      <c r="E385">
        <v>2.5336999999999998E-2</v>
      </c>
      <c r="F385">
        <v>389241398</v>
      </c>
      <c r="G385">
        <v>0</v>
      </c>
      <c r="L385" t="s">
        <v>8</v>
      </c>
      <c r="M385" t="s">
        <v>8</v>
      </c>
      <c r="N385" t="s">
        <v>8</v>
      </c>
      <c r="P385">
        <f t="shared" si="969"/>
        <v>-0.27695083446098429</v>
      </c>
      <c r="Q385">
        <f t="shared" si="970"/>
        <v>-107800729.9828601</v>
      </c>
      <c r="R385">
        <f t="shared" si="971"/>
        <v>-3026507575.0632076</v>
      </c>
      <c r="S385">
        <f t="shared" si="972"/>
        <v>-30265.075750632077</v>
      </c>
      <c r="T385">
        <f t="shared" si="973"/>
        <v>-30.265075750632079</v>
      </c>
    </row>
    <row r="386" spans="1:20" x14ac:dyDescent="0.25">
      <c r="A386" s="5">
        <v>44207</v>
      </c>
      <c r="B386">
        <v>2.6265E-2</v>
      </c>
      <c r="C386">
        <v>2.6766000000000002E-2</v>
      </c>
      <c r="D386">
        <v>1.9701E-2</v>
      </c>
      <c r="E386">
        <v>2.4763E-2</v>
      </c>
      <c r="F386">
        <v>317063871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0.43297947629157796</v>
      </c>
      <c r="Q386">
        <f t="shared" si="970"/>
        <v>137282148.81656042</v>
      </c>
      <c r="R386">
        <f t="shared" si="971"/>
        <v>-2918706845.0803475</v>
      </c>
      <c r="S386">
        <f t="shared" si="972"/>
        <v>-29187.068450803476</v>
      </c>
      <c r="T386">
        <f t="shared" si="973"/>
        <v>-29.187068450803476</v>
      </c>
    </row>
    <row r="387" spans="1:20" x14ac:dyDescent="0.25">
      <c r="A387" s="5">
        <v>44206</v>
      </c>
      <c r="B387">
        <v>2.7792000000000001E-2</v>
      </c>
      <c r="C387">
        <v>2.8492E-2</v>
      </c>
      <c r="D387">
        <v>2.4538999999999998E-2</v>
      </c>
      <c r="E387">
        <v>2.6263000000000002E-2</v>
      </c>
      <c r="F387">
        <v>116545531</v>
      </c>
      <c r="G387">
        <v>0</v>
      </c>
      <c r="L387" t="s">
        <v>7</v>
      </c>
      <c r="M387" t="s">
        <v>8</v>
      </c>
      <c r="N387" t="s">
        <v>7</v>
      </c>
      <c r="P387">
        <f t="shared" si="969"/>
        <v>-0.12775107513280923</v>
      </c>
      <c r="Q387">
        <f t="shared" si="970"/>
        <v>-14888816.887174146</v>
      </c>
      <c r="R387">
        <f t="shared" si="971"/>
        <v>-3055988993.8969078</v>
      </c>
      <c r="S387">
        <f t="shared" si="972"/>
        <v>-30559.889938969078</v>
      </c>
      <c r="T387">
        <f t="shared" si="973"/>
        <v>-30.559889938969079</v>
      </c>
    </row>
    <row r="388" spans="1:20" x14ac:dyDescent="0.25">
      <c r="A388" s="5">
        <v>44205</v>
      </c>
      <c r="B388">
        <v>2.6672000000000001E-2</v>
      </c>
      <c r="C388">
        <v>2.8400000000000002E-2</v>
      </c>
      <c r="D388">
        <v>2.5821E-2</v>
      </c>
      <c r="E388">
        <v>2.7671000000000001E-2</v>
      </c>
      <c r="F388">
        <v>142635044</v>
      </c>
      <c r="G388">
        <v>0</v>
      </c>
      <c r="L388" t="s">
        <v>8</v>
      </c>
      <c r="M388" t="s">
        <v>8</v>
      </c>
      <c r="N388" t="s">
        <v>7</v>
      </c>
      <c r="P388">
        <f t="shared" si="969"/>
        <v>0.43466459868165952</v>
      </c>
      <c r="Q388">
        <f t="shared" si="970"/>
        <v>61998404.158200845</v>
      </c>
      <c r="R388">
        <f t="shared" si="971"/>
        <v>-3041100177.0097337</v>
      </c>
      <c r="S388">
        <f t="shared" si="972"/>
        <v>-30411.001770097337</v>
      </c>
      <c r="T388">
        <f t="shared" si="973"/>
        <v>-30.411001770097336</v>
      </c>
    </row>
    <row r="389" spans="1:20" x14ac:dyDescent="0.25">
      <c r="A389" s="5">
        <v>44204</v>
      </c>
      <c r="B389">
        <v>2.8455000000000001E-2</v>
      </c>
      <c r="C389">
        <v>2.87E-2</v>
      </c>
      <c r="D389">
        <v>2.4355999999999999E-2</v>
      </c>
      <c r="E389">
        <v>2.6741999999999998E-2</v>
      </c>
      <c r="F389">
        <v>176700788</v>
      </c>
      <c r="G389">
        <v>0</v>
      </c>
      <c r="L389" t="s">
        <v>7</v>
      </c>
      <c r="M389" t="s">
        <v>7</v>
      </c>
      <c r="N389" t="s">
        <v>7</v>
      </c>
      <c r="P389">
        <f t="shared" si="969"/>
        <v>9.8526703499078674E-2</v>
      </c>
      <c r="Q389">
        <f t="shared" si="970"/>
        <v>17409746.147329558</v>
      </c>
      <c r="R389">
        <f t="shared" si="971"/>
        <v>-3103098581.1679344</v>
      </c>
      <c r="S389">
        <f t="shared" si="972"/>
        <v>-31030.985811679344</v>
      </c>
      <c r="T389">
        <f t="shared" si="973"/>
        <v>-31.030985811679344</v>
      </c>
    </row>
    <row r="390" spans="1:20" x14ac:dyDescent="0.25">
      <c r="A390" s="5">
        <v>44203</v>
      </c>
      <c r="B390">
        <v>3.0547000000000001E-2</v>
      </c>
      <c r="C390">
        <v>3.0842999999999999E-2</v>
      </c>
      <c r="D390">
        <v>2.5850000000000001E-2</v>
      </c>
      <c r="E390">
        <v>2.8364E-2</v>
      </c>
      <c r="F390">
        <v>180664771</v>
      </c>
      <c r="G390">
        <v>0</v>
      </c>
      <c r="L390" t="s">
        <v>7</v>
      </c>
      <c r="M390" t="s">
        <v>7</v>
      </c>
      <c r="N390" t="s">
        <v>7</v>
      </c>
      <c r="P390">
        <f t="shared" ref="P390:P453" si="974">IF(C390=D390,0,((E390-D390)-(C390-E390))/(C390-D390))</f>
        <v>7.0098137392349946E-3</v>
      </c>
      <c r="Q390">
        <f t="shared" ref="Q390:Q453" si="975">F390*P390</f>
        <v>1266426.3939515441</v>
      </c>
      <c r="R390">
        <f t="shared" ref="R390:R453" si="976">R391+Q390</f>
        <v>-3120508327.3152637</v>
      </c>
      <c r="S390">
        <f t="shared" ref="S390:S453" si="977">R390/100000</f>
        <v>-31205.083273152639</v>
      </c>
      <c r="T390">
        <f t="shared" ref="T390:T453" si="978">S390/1000</f>
        <v>-31.205083273152638</v>
      </c>
    </row>
    <row r="391" spans="1:20" x14ac:dyDescent="0.25">
      <c r="A391" s="5">
        <v>44202</v>
      </c>
      <c r="B391">
        <v>3.0089999999999999E-2</v>
      </c>
      <c r="C391">
        <v>3.2170999999999998E-2</v>
      </c>
      <c r="D391">
        <v>2.9426999999999998E-2</v>
      </c>
      <c r="E391">
        <v>3.0533000000000001E-2</v>
      </c>
      <c r="F391">
        <v>297841526</v>
      </c>
      <c r="G391">
        <v>0</v>
      </c>
      <c r="L391" t="s">
        <v>7</v>
      </c>
      <c r="M391" t="s">
        <v>8</v>
      </c>
      <c r="N391" t="s">
        <v>7</v>
      </c>
      <c r="P391">
        <f t="shared" si="974"/>
        <v>-0.19387755102040607</v>
      </c>
      <c r="Q391">
        <f t="shared" si="975"/>
        <v>-57744785.6530606</v>
      </c>
      <c r="R391">
        <f t="shared" si="976"/>
        <v>-3121774753.7092152</v>
      </c>
      <c r="S391">
        <f t="shared" si="977"/>
        <v>-31217.747537092153</v>
      </c>
      <c r="T391">
        <f t="shared" si="978"/>
        <v>-31.217747537092151</v>
      </c>
    </row>
    <row r="392" spans="1:20" x14ac:dyDescent="0.25">
      <c r="A392" s="5">
        <v>44201</v>
      </c>
      <c r="B392">
        <v>2.9352E-2</v>
      </c>
      <c r="C392">
        <v>3.3907E-2</v>
      </c>
      <c r="D392">
        <v>2.8258999999999999E-2</v>
      </c>
      <c r="E392">
        <v>3.0089999999999999E-2</v>
      </c>
      <c r="F392">
        <v>231197441</v>
      </c>
      <c r="G392">
        <v>0</v>
      </c>
      <c r="L392" t="s">
        <v>8</v>
      </c>
      <c r="M392" t="s">
        <v>8</v>
      </c>
      <c r="N392" t="s">
        <v>7</v>
      </c>
      <c r="P392">
        <f t="shared" si="974"/>
        <v>-0.35162889518413626</v>
      </c>
      <c r="Q392">
        <f t="shared" si="975"/>
        <v>-81295700.748229533</v>
      </c>
      <c r="R392">
        <f t="shared" si="976"/>
        <v>-3064029968.0561547</v>
      </c>
      <c r="S392">
        <f t="shared" si="977"/>
        <v>-30640.299680561548</v>
      </c>
      <c r="T392">
        <f t="shared" si="978"/>
        <v>-30.640299680561547</v>
      </c>
    </row>
    <row r="393" spans="1:20" x14ac:dyDescent="0.25">
      <c r="A393" s="5">
        <v>44200</v>
      </c>
      <c r="B393">
        <v>3.2128999999999998E-2</v>
      </c>
      <c r="C393">
        <v>3.3145000000000001E-2</v>
      </c>
      <c r="D393">
        <v>2.6100000000000002E-2</v>
      </c>
      <c r="E393">
        <v>2.9352E-2</v>
      </c>
      <c r="F393">
        <v>231392405</v>
      </c>
      <c r="G393">
        <v>0</v>
      </c>
      <c r="L393" t="s">
        <v>7</v>
      </c>
      <c r="M393" t="s">
        <v>7</v>
      </c>
      <c r="N393" t="s">
        <v>7</v>
      </c>
      <c r="P393">
        <f t="shared" si="974"/>
        <v>-7.6792051100071451E-2</v>
      </c>
      <c r="Q393">
        <f t="shared" si="975"/>
        <v>-17769097.388928428</v>
      </c>
      <c r="R393">
        <f t="shared" si="976"/>
        <v>-2982734267.3079252</v>
      </c>
      <c r="S393">
        <f t="shared" si="977"/>
        <v>-29827.342673079253</v>
      </c>
      <c r="T393">
        <f t="shared" si="978"/>
        <v>-29.827342673079251</v>
      </c>
    </row>
    <row r="394" spans="1:20" x14ac:dyDescent="0.25">
      <c r="A394" s="5">
        <v>44199</v>
      </c>
      <c r="B394">
        <v>3.8018999999999997E-2</v>
      </c>
      <c r="C394">
        <v>3.8283999999999999E-2</v>
      </c>
      <c r="D394">
        <v>3.0384000000000001E-2</v>
      </c>
      <c r="E394">
        <v>3.2106999999999997E-2</v>
      </c>
      <c r="F394">
        <v>304824515</v>
      </c>
      <c r="G394">
        <v>0</v>
      </c>
      <c r="L394" t="s">
        <v>7</v>
      </c>
      <c r="M394" t="s">
        <v>7</v>
      </c>
      <c r="N394" t="s">
        <v>8</v>
      </c>
      <c r="P394">
        <f t="shared" si="974"/>
        <v>-0.56379746835443145</v>
      </c>
      <c r="Q394">
        <f t="shared" si="975"/>
        <v>-171859289.84936741</v>
      </c>
      <c r="R394">
        <f t="shared" si="976"/>
        <v>-2964965169.9189968</v>
      </c>
      <c r="S394">
        <f t="shared" si="977"/>
        <v>-29649.65169918997</v>
      </c>
      <c r="T394">
        <f t="shared" si="978"/>
        <v>-29.64965169918997</v>
      </c>
    </row>
    <row r="395" spans="1:20" x14ac:dyDescent="0.25">
      <c r="A395" s="5">
        <v>44198</v>
      </c>
      <c r="B395">
        <v>3.3450000000000001E-2</v>
      </c>
      <c r="C395">
        <v>3.9E-2</v>
      </c>
      <c r="D395">
        <v>3.1362000000000001E-2</v>
      </c>
      <c r="E395">
        <v>3.7912000000000001E-2</v>
      </c>
      <c r="F395">
        <v>387624975</v>
      </c>
      <c r="G395">
        <v>0</v>
      </c>
      <c r="L395" t="s">
        <v>7</v>
      </c>
      <c r="M395" t="s">
        <v>7</v>
      </c>
      <c r="N395" t="s">
        <v>8</v>
      </c>
      <c r="P395">
        <f t="shared" si="974"/>
        <v>0.71510866719036426</v>
      </c>
      <c r="Q395">
        <f t="shared" si="975"/>
        <v>277193979.24194825</v>
      </c>
      <c r="R395">
        <f t="shared" si="976"/>
        <v>-2793105880.0696292</v>
      </c>
      <c r="S395">
        <f t="shared" si="977"/>
        <v>-27931.058800696293</v>
      </c>
      <c r="T395">
        <f t="shared" si="978"/>
        <v>-27.931058800696295</v>
      </c>
    </row>
    <row r="396" spans="1:20" x14ac:dyDescent="0.25">
      <c r="A396" s="5">
        <v>44197</v>
      </c>
      <c r="B396">
        <v>3.3329999999999999E-2</v>
      </c>
      <c r="C396">
        <v>3.9669999999999997E-2</v>
      </c>
      <c r="D396">
        <v>3.1955999999999998E-2</v>
      </c>
      <c r="E396">
        <v>3.3450000000000001E-2</v>
      </c>
      <c r="F396">
        <v>492779000</v>
      </c>
      <c r="G396">
        <v>0</v>
      </c>
      <c r="L396" t="s">
        <v>8</v>
      </c>
      <c r="M396" t="s">
        <v>8</v>
      </c>
      <c r="N396" t="s">
        <v>8</v>
      </c>
      <c r="P396">
        <f t="shared" si="974"/>
        <v>-0.61265232045631257</v>
      </c>
      <c r="Q396">
        <f t="shared" si="975"/>
        <v>-301902197.82214123</v>
      </c>
      <c r="R396">
        <f t="shared" si="976"/>
        <v>-3070299859.3115773</v>
      </c>
      <c r="S396">
        <f t="shared" si="977"/>
        <v>-30702.998593115772</v>
      </c>
      <c r="T396">
        <f t="shared" si="978"/>
        <v>-30.702998593115773</v>
      </c>
    </row>
    <row r="397" spans="1:20" x14ac:dyDescent="0.25">
      <c r="A397" s="5">
        <v>44196</v>
      </c>
      <c r="B397">
        <v>2.8150000000000001E-2</v>
      </c>
      <c r="C397">
        <v>3.4952999999999998E-2</v>
      </c>
      <c r="D397">
        <v>2.7009999999999999E-2</v>
      </c>
      <c r="E397">
        <v>3.3329999999999999E-2</v>
      </c>
      <c r="F397">
        <v>483899972</v>
      </c>
      <c r="G397">
        <v>0</v>
      </c>
      <c r="L397" t="s">
        <v>8</v>
      </c>
      <c r="M397" t="s">
        <v>8</v>
      </c>
      <c r="N397" t="s">
        <v>7</v>
      </c>
      <c r="P397">
        <f t="shared" si="974"/>
        <v>0.59133828528263888</v>
      </c>
      <c r="Q397">
        <f t="shared" si="975"/>
        <v>286148579.69079697</v>
      </c>
      <c r="R397">
        <f t="shared" si="976"/>
        <v>-2768397661.4894361</v>
      </c>
      <c r="S397">
        <f t="shared" si="977"/>
        <v>-27683.97661489436</v>
      </c>
      <c r="T397">
        <f t="shared" si="978"/>
        <v>-27.683976614894359</v>
      </c>
    </row>
    <row r="398" spans="1:20" x14ac:dyDescent="0.25">
      <c r="A398" s="5">
        <v>44195</v>
      </c>
      <c r="B398">
        <v>2.7942000000000002E-2</v>
      </c>
      <c r="C398">
        <v>2.9583999999999999E-2</v>
      </c>
      <c r="D398">
        <v>2.656E-2</v>
      </c>
      <c r="E398">
        <v>2.8098000000000001E-2</v>
      </c>
      <c r="F398">
        <v>254708391</v>
      </c>
      <c r="G398">
        <v>0</v>
      </c>
      <c r="L398" t="s">
        <v>7</v>
      </c>
      <c r="M398" t="s">
        <v>8</v>
      </c>
      <c r="N398" t="s">
        <v>7</v>
      </c>
      <c r="P398">
        <f t="shared" si="974"/>
        <v>1.7195767195768336E-2</v>
      </c>
      <c r="Q398">
        <f t="shared" si="975"/>
        <v>4379906.1944447346</v>
      </c>
      <c r="R398">
        <f t="shared" si="976"/>
        <v>-3054546241.180233</v>
      </c>
      <c r="S398">
        <f t="shared" si="977"/>
        <v>-30545.462411802331</v>
      </c>
      <c r="T398">
        <f t="shared" si="978"/>
        <v>-30.54546241180233</v>
      </c>
    </row>
    <row r="399" spans="1:20" x14ac:dyDescent="0.25">
      <c r="A399" s="5">
        <v>44194</v>
      </c>
      <c r="B399">
        <v>2.9779E-2</v>
      </c>
      <c r="C399">
        <v>3.0853999999999999E-2</v>
      </c>
      <c r="D399">
        <v>2.5454999999999998E-2</v>
      </c>
      <c r="E399">
        <v>2.7969999999999998E-2</v>
      </c>
      <c r="F399">
        <v>393261561</v>
      </c>
      <c r="G399">
        <v>0</v>
      </c>
      <c r="L399" t="s">
        <v>8</v>
      </c>
      <c r="M399" t="s">
        <v>8</v>
      </c>
      <c r="N399" t="s">
        <v>7</v>
      </c>
      <c r="P399">
        <f t="shared" si="974"/>
        <v>-6.8345989998148032E-2</v>
      </c>
      <c r="Q399">
        <f t="shared" si="975"/>
        <v>-26877850.71476208</v>
      </c>
      <c r="R399">
        <f t="shared" si="976"/>
        <v>-3058926147.3746777</v>
      </c>
      <c r="S399">
        <f t="shared" si="977"/>
        <v>-30589.261473746777</v>
      </c>
      <c r="T399">
        <f t="shared" si="978"/>
        <v>-30.589261473746777</v>
      </c>
    </row>
    <row r="400" spans="1:20" x14ac:dyDescent="0.25">
      <c r="A400" s="5">
        <v>44193</v>
      </c>
      <c r="B400">
        <v>2.7040999999999999E-2</v>
      </c>
      <c r="C400">
        <v>3.1866999999999999E-2</v>
      </c>
      <c r="D400">
        <v>2.5068E-2</v>
      </c>
      <c r="E400">
        <v>2.9779E-2</v>
      </c>
      <c r="F400">
        <v>672404993</v>
      </c>
      <c r="G400">
        <v>0</v>
      </c>
      <c r="L400" t="s">
        <v>7</v>
      </c>
      <c r="M400" t="s">
        <v>7</v>
      </c>
      <c r="N400" t="s">
        <v>7</v>
      </c>
      <c r="P400">
        <f t="shared" si="974"/>
        <v>0.38579202823944708</v>
      </c>
      <c r="Q400">
        <f t="shared" si="975"/>
        <v>259408486.04780123</v>
      </c>
      <c r="R400">
        <f t="shared" si="976"/>
        <v>-3032048296.6599154</v>
      </c>
      <c r="S400">
        <f t="shared" si="977"/>
        <v>-30320.482966599153</v>
      </c>
      <c r="T400">
        <f t="shared" si="978"/>
        <v>-30.320482966599151</v>
      </c>
    </row>
    <row r="401" spans="1:20" x14ac:dyDescent="0.25">
      <c r="A401" s="5">
        <v>44192</v>
      </c>
      <c r="B401">
        <v>3.5036999999999999E-2</v>
      </c>
      <c r="C401">
        <v>4.07E-2</v>
      </c>
      <c r="D401">
        <v>2.5899999999999999E-2</v>
      </c>
      <c r="E401">
        <v>2.7019999999999999E-2</v>
      </c>
      <c r="F401">
        <v>999196800.29999995</v>
      </c>
      <c r="G401">
        <v>0</v>
      </c>
      <c r="L401" t="s">
        <v>8</v>
      </c>
      <c r="M401" t="s">
        <v>8</v>
      </c>
      <c r="N401" t="s">
        <v>8</v>
      </c>
      <c r="P401">
        <f t="shared" si="974"/>
        <v>-0.84864864864864875</v>
      </c>
      <c r="Q401">
        <f t="shared" si="975"/>
        <v>-847967014.30864871</v>
      </c>
      <c r="R401">
        <f t="shared" si="976"/>
        <v>-3291456782.7077165</v>
      </c>
      <c r="S401">
        <f t="shared" si="977"/>
        <v>-32914.567827077168</v>
      </c>
      <c r="T401">
        <f t="shared" si="978"/>
        <v>-32.914567827077171</v>
      </c>
    </row>
    <row r="402" spans="1:20" x14ac:dyDescent="0.25">
      <c r="A402" s="5">
        <v>44191</v>
      </c>
      <c r="B402">
        <v>2.3709999999999998E-2</v>
      </c>
      <c r="C402">
        <v>3.7100000000000001E-2</v>
      </c>
      <c r="D402">
        <v>2.3143E-2</v>
      </c>
      <c r="E402">
        <v>3.5034000000000003E-2</v>
      </c>
      <c r="F402">
        <v>1917968459.4000001</v>
      </c>
      <c r="G402">
        <v>0</v>
      </c>
      <c r="L402" t="s">
        <v>8</v>
      </c>
      <c r="M402" t="s">
        <v>8</v>
      </c>
      <c r="N402" t="s">
        <v>8</v>
      </c>
      <c r="P402">
        <f t="shared" si="974"/>
        <v>0.70394783979365216</v>
      </c>
      <c r="Q402">
        <f t="shared" si="975"/>
        <v>1350149753.7869892</v>
      </c>
      <c r="R402">
        <f t="shared" si="976"/>
        <v>-2443489768.3990679</v>
      </c>
      <c r="S402">
        <f t="shared" si="977"/>
        <v>-24434.897683990679</v>
      </c>
      <c r="T402">
        <f t="shared" si="978"/>
        <v>-24.43489768399068</v>
      </c>
    </row>
    <row r="403" spans="1:20" x14ac:dyDescent="0.25">
      <c r="A403" s="5">
        <v>44190</v>
      </c>
      <c r="B403">
        <v>1.9349999999999999E-2</v>
      </c>
      <c r="C403">
        <v>2.4289999999999999E-2</v>
      </c>
      <c r="D403">
        <v>1.9257E-2</v>
      </c>
      <c r="E403">
        <v>2.3837000000000001E-2</v>
      </c>
      <c r="F403">
        <v>412637826</v>
      </c>
      <c r="G403">
        <v>0</v>
      </c>
      <c r="L403" t="s">
        <v>8</v>
      </c>
      <c r="M403" t="s">
        <v>8</v>
      </c>
      <c r="N403" t="s">
        <v>8</v>
      </c>
      <c r="P403">
        <f t="shared" si="974"/>
        <v>0.81998807868070789</v>
      </c>
      <c r="Q403">
        <f t="shared" si="975"/>
        <v>338358098.13272423</v>
      </c>
      <c r="R403">
        <f t="shared" si="976"/>
        <v>-3793639522.1860571</v>
      </c>
      <c r="S403">
        <f t="shared" si="977"/>
        <v>-37936.39522186057</v>
      </c>
      <c r="T403">
        <f t="shared" si="978"/>
        <v>-37.936395221860572</v>
      </c>
    </row>
    <row r="404" spans="1:20" x14ac:dyDescent="0.25">
      <c r="A404" s="5">
        <v>44189</v>
      </c>
      <c r="B404">
        <v>1.8197000000000001E-2</v>
      </c>
      <c r="C404">
        <v>2.07E-2</v>
      </c>
      <c r="D404">
        <v>1.7101000000000002E-2</v>
      </c>
      <c r="E404">
        <v>1.9370999999999999E-2</v>
      </c>
      <c r="F404">
        <v>260491497</v>
      </c>
      <c r="G404">
        <v>0</v>
      </c>
      <c r="L404" t="s">
        <v>7</v>
      </c>
      <c r="M404" t="s">
        <v>7</v>
      </c>
      <c r="N404" t="s">
        <v>8</v>
      </c>
      <c r="P404">
        <f t="shared" si="974"/>
        <v>0.26146151708807946</v>
      </c>
      <c r="Q404">
        <f t="shared" si="975"/>
        <v>68108501.994164899</v>
      </c>
      <c r="R404">
        <f t="shared" si="976"/>
        <v>-4131997620.3187814</v>
      </c>
      <c r="S404">
        <f t="shared" si="977"/>
        <v>-41319.976203187813</v>
      </c>
      <c r="T404">
        <f t="shared" si="978"/>
        <v>-41.319976203187814</v>
      </c>
    </row>
    <row r="405" spans="1:20" x14ac:dyDescent="0.25">
      <c r="A405" s="5">
        <v>44188</v>
      </c>
      <c r="B405">
        <v>1.7180000000000001E-2</v>
      </c>
      <c r="C405">
        <v>2.1999999999999999E-2</v>
      </c>
      <c r="D405">
        <v>1.6874E-2</v>
      </c>
      <c r="E405">
        <v>1.8201999999999999E-2</v>
      </c>
      <c r="F405">
        <v>770745381</v>
      </c>
      <c r="G405">
        <v>0</v>
      </c>
      <c r="L405" t="s">
        <v>8</v>
      </c>
      <c r="M405" t="s">
        <v>8</v>
      </c>
      <c r="N405" t="s">
        <v>8</v>
      </c>
      <c r="P405">
        <f t="shared" si="974"/>
        <v>-0.48185719859539616</v>
      </c>
      <c r="Q405">
        <f t="shared" si="975"/>
        <v>-371389210.11900127</v>
      </c>
      <c r="R405">
        <f t="shared" si="976"/>
        <v>-4200106122.3129463</v>
      </c>
      <c r="S405">
        <f t="shared" si="977"/>
        <v>-42001.061223129465</v>
      </c>
      <c r="T405">
        <f t="shared" si="978"/>
        <v>-42.001061223129469</v>
      </c>
    </row>
    <row r="406" spans="1:20" x14ac:dyDescent="0.25">
      <c r="A406" s="5">
        <v>44187</v>
      </c>
      <c r="B406">
        <v>1.5800000000000002E-2</v>
      </c>
      <c r="C406">
        <v>1.8298999999999999E-2</v>
      </c>
      <c r="D406">
        <v>1.519E-2</v>
      </c>
      <c r="E406">
        <v>1.7180000000000001E-2</v>
      </c>
      <c r="F406">
        <v>361365836</v>
      </c>
      <c r="G406">
        <v>0</v>
      </c>
      <c r="L406" t="s">
        <v>8</v>
      </c>
      <c r="M406" t="s">
        <v>8</v>
      </c>
      <c r="N406" t="s">
        <v>8</v>
      </c>
      <c r="P406">
        <f t="shared" si="974"/>
        <v>0.2801543904792545</v>
      </c>
      <c r="Q406">
        <f t="shared" si="975"/>
        <v>101238225.52460624</v>
      </c>
      <c r="R406">
        <f t="shared" si="976"/>
        <v>-3828716912.1939449</v>
      </c>
      <c r="S406">
        <f t="shared" si="977"/>
        <v>-38287.169121939449</v>
      </c>
      <c r="T406">
        <f t="shared" si="978"/>
        <v>-38.287169121939449</v>
      </c>
    </row>
    <row r="407" spans="1:20" x14ac:dyDescent="0.25">
      <c r="A407" s="5">
        <v>44186</v>
      </c>
      <c r="B407">
        <v>1.6392E-2</v>
      </c>
      <c r="C407">
        <v>1.6656000000000001E-2</v>
      </c>
      <c r="D407">
        <v>1.4559000000000001E-2</v>
      </c>
      <c r="E407">
        <v>1.5772000000000001E-2</v>
      </c>
      <c r="F407">
        <v>150526053</v>
      </c>
      <c r="G407">
        <v>0</v>
      </c>
      <c r="L407" t="s">
        <v>7</v>
      </c>
      <c r="M407" t="s">
        <v>7</v>
      </c>
      <c r="N407" t="s">
        <v>8</v>
      </c>
      <c r="P407">
        <f t="shared" si="974"/>
        <v>0.15689079637577549</v>
      </c>
      <c r="Q407">
        <f t="shared" si="975"/>
        <v>23616152.33047219</v>
      </c>
      <c r="R407">
        <f t="shared" si="976"/>
        <v>-3929955137.7185512</v>
      </c>
      <c r="S407">
        <f t="shared" si="977"/>
        <v>-39299.551377185511</v>
      </c>
      <c r="T407">
        <f t="shared" si="978"/>
        <v>-39.299551377185509</v>
      </c>
    </row>
    <row r="408" spans="1:20" x14ac:dyDescent="0.25">
      <c r="A408" s="5">
        <v>44185</v>
      </c>
      <c r="B408">
        <v>1.702E-2</v>
      </c>
      <c r="C408">
        <v>1.7180999999999998E-2</v>
      </c>
      <c r="D408">
        <v>1.6143000000000001E-2</v>
      </c>
      <c r="E408">
        <v>1.6389999999999998E-2</v>
      </c>
      <c r="F408">
        <v>94574948</v>
      </c>
      <c r="G408">
        <v>0</v>
      </c>
      <c r="L408" t="s">
        <v>7</v>
      </c>
      <c r="M408" t="s">
        <v>7</v>
      </c>
      <c r="N408" t="s">
        <v>8</v>
      </c>
      <c r="P408">
        <f t="shared" si="974"/>
        <v>-0.52408477842004264</v>
      </c>
      <c r="Q408">
        <f t="shared" si="975"/>
        <v>-49565290.666667052</v>
      </c>
      <c r="R408">
        <f t="shared" si="976"/>
        <v>-3953571290.0490232</v>
      </c>
      <c r="S408">
        <f t="shared" si="977"/>
        <v>-39535.712900490231</v>
      </c>
      <c r="T408">
        <f t="shared" si="978"/>
        <v>-39.535712900490232</v>
      </c>
    </row>
    <row r="409" spans="1:20" x14ac:dyDescent="0.25">
      <c r="A409" s="5">
        <v>44184</v>
      </c>
      <c r="B409">
        <v>1.7547E-2</v>
      </c>
      <c r="C409">
        <v>1.8255E-2</v>
      </c>
      <c r="D409">
        <v>1.6757999999999999E-2</v>
      </c>
      <c r="E409">
        <v>1.7049000000000002E-2</v>
      </c>
      <c r="F409">
        <v>119086929</v>
      </c>
      <c r="G409">
        <v>0</v>
      </c>
      <c r="L409" t="s">
        <v>8</v>
      </c>
      <c r="M409" t="s">
        <v>7</v>
      </c>
      <c r="N409" t="s">
        <v>8</v>
      </c>
      <c r="P409">
        <f t="shared" si="974"/>
        <v>-0.61122244488977595</v>
      </c>
      <c r="Q409">
        <f t="shared" si="975"/>
        <v>-72788603.897795156</v>
      </c>
      <c r="R409">
        <f t="shared" si="976"/>
        <v>-3904005999.3823562</v>
      </c>
      <c r="S409">
        <f t="shared" si="977"/>
        <v>-39040.059993823561</v>
      </c>
      <c r="T409">
        <f t="shared" si="978"/>
        <v>-39.040059993823562</v>
      </c>
    </row>
    <row r="410" spans="1:20" x14ac:dyDescent="0.25">
      <c r="A410" s="5">
        <v>44183</v>
      </c>
      <c r="B410">
        <v>1.6782999999999999E-2</v>
      </c>
      <c r="C410">
        <v>1.7926000000000001E-2</v>
      </c>
      <c r="D410">
        <v>1.5800000000000002E-2</v>
      </c>
      <c r="E410">
        <v>1.7513000000000001E-2</v>
      </c>
      <c r="F410">
        <v>168909069</v>
      </c>
      <c r="G410">
        <v>0</v>
      </c>
      <c r="L410" t="s">
        <v>7</v>
      </c>
      <c r="M410" t="s">
        <v>7</v>
      </c>
      <c r="N410" t="s">
        <v>8</v>
      </c>
      <c r="P410">
        <f t="shared" si="974"/>
        <v>0.61147695202257735</v>
      </c>
      <c r="Q410">
        <f t="shared" si="975"/>
        <v>103284002.6810912</v>
      </c>
      <c r="R410">
        <f t="shared" si="976"/>
        <v>-3831217395.484561</v>
      </c>
      <c r="S410">
        <f t="shared" si="977"/>
        <v>-38312.17395484561</v>
      </c>
      <c r="T410">
        <f t="shared" si="978"/>
        <v>-38.312173954845612</v>
      </c>
    </row>
    <row r="411" spans="1:20" x14ac:dyDescent="0.25">
      <c r="A411" s="5">
        <v>44182</v>
      </c>
      <c r="B411">
        <v>1.7718999999999999E-2</v>
      </c>
      <c r="C411">
        <v>1.8473E-2</v>
      </c>
      <c r="D411">
        <v>1.6376000000000002E-2</v>
      </c>
      <c r="E411">
        <v>1.6781000000000001E-2</v>
      </c>
      <c r="F411">
        <v>241167027</v>
      </c>
      <c r="G411">
        <v>0</v>
      </c>
      <c r="L411" t="s">
        <v>8</v>
      </c>
      <c r="M411" t="s">
        <v>8</v>
      </c>
      <c r="N411" t="s">
        <v>8</v>
      </c>
      <c r="P411">
        <f t="shared" si="974"/>
        <v>-0.61373390557939966</v>
      </c>
      <c r="Q411">
        <f t="shared" si="975"/>
        <v>-148012381.37768254</v>
      </c>
      <c r="R411">
        <f t="shared" si="976"/>
        <v>-3934501398.1656523</v>
      </c>
      <c r="S411">
        <f t="shared" si="977"/>
        <v>-39345.013981656521</v>
      </c>
      <c r="T411">
        <f t="shared" si="978"/>
        <v>-39.345013981656521</v>
      </c>
    </row>
    <row r="412" spans="1:20" x14ac:dyDescent="0.25">
      <c r="A412" s="5">
        <v>44181</v>
      </c>
      <c r="B412">
        <v>1.6514000000000001E-2</v>
      </c>
      <c r="C412">
        <v>1.8720000000000001E-2</v>
      </c>
      <c r="D412">
        <v>1.5709999999999998E-2</v>
      </c>
      <c r="E412">
        <v>1.7725000000000001E-2</v>
      </c>
      <c r="F412">
        <v>521751444</v>
      </c>
      <c r="G412">
        <v>0</v>
      </c>
      <c r="L412" t="s">
        <v>7</v>
      </c>
      <c r="M412" t="s">
        <v>7</v>
      </c>
      <c r="N412" t="s">
        <v>8</v>
      </c>
      <c r="P412">
        <f t="shared" si="974"/>
        <v>0.33887043189368865</v>
      </c>
      <c r="Q412">
        <f t="shared" si="975"/>
        <v>176806137.16943571</v>
      </c>
      <c r="R412">
        <f t="shared" si="976"/>
        <v>-3786489016.7879696</v>
      </c>
      <c r="S412">
        <f t="shared" si="977"/>
        <v>-37864.890167879697</v>
      </c>
      <c r="T412">
        <f t="shared" si="978"/>
        <v>-37.8648901678797</v>
      </c>
    </row>
    <row r="413" spans="1:20" x14ac:dyDescent="0.25">
      <c r="A413" s="5">
        <v>44180</v>
      </c>
      <c r="B413">
        <v>1.7330000000000002E-2</v>
      </c>
      <c r="C413">
        <v>1.9465E-2</v>
      </c>
      <c r="D413">
        <v>1.6230999999999999E-2</v>
      </c>
      <c r="E413">
        <v>1.6539999999999999E-2</v>
      </c>
      <c r="F413">
        <v>408393654</v>
      </c>
      <c r="G413">
        <v>0</v>
      </c>
      <c r="L413" t="s">
        <v>8</v>
      </c>
      <c r="M413" t="s">
        <v>8</v>
      </c>
      <c r="N413" t="s">
        <v>8</v>
      </c>
      <c r="P413">
        <f t="shared" si="974"/>
        <v>-0.80890538033395165</v>
      </c>
      <c r="Q413">
        <f t="shared" si="975"/>
        <v>-330351824.01484227</v>
      </c>
      <c r="R413">
        <f t="shared" si="976"/>
        <v>-3963295153.9574051</v>
      </c>
      <c r="S413">
        <f t="shared" si="977"/>
        <v>-39632.951539574053</v>
      </c>
      <c r="T413">
        <f t="shared" si="978"/>
        <v>-39.632951539574051</v>
      </c>
    </row>
    <row r="414" spans="1:20" x14ac:dyDescent="0.25">
      <c r="A414" s="5">
        <v>44179</v>
      </c>
      <c r="B414">
        <v>1.3925E-2</v>
      </c>
      <c r="C414">
        <v>1.9102000000000001E-2</v>
      </c>
      <c r="D414">
        <v>1.3761000000000001E-2</v>
      </c>
      <c r="E414">
        <v>1.7339E-2</v>
      </c>
      <c r="F414">
        <v>892847182</v>
      </c>
      <c r="G414">
        <v>0</v>
      </c>
      <c r="L414" t="s">
        <v>8</v>
      </c>
      <c r="M414" t="s">
        <v>8</v>
      </c>
      <c r="N414" t="s">
        <v>8</v>
      </c>
      <c r="P414">
        <f t="shared" si="974"/>
        <v>0.33982400299569349</v>
      </c>
      <c r="Q414">
        <f t="shared" si="975"/>
        <v>303410903.45066446</v>
      </c>
      <c r="R414">
        <f t="shared" si="976"/>
        <v>-3632943329.9425626</v>
      </c>
      <c r="S414">
        <f t="shared" si="977"/>
        <v>-36329.433299425626</v>
      </c>
      <c r="T414">
        <f t="shared" si="978"/>
        <v>-36.329433299425624</v>
      </c>
    </row>
    <row r="415" spans="1:20" x14ac:dyDescent="0.25">
      <c r="A415" s="5">
        <v>44178</v>
      </c>
      <c r="B415">
        <v>1.371E-2</v>
      </c>
      <c r="C415">
        <v>1.4397999999999999E-2</v>
      </c>
      <c r="D415">
        <v>1.2966999999999999E-2</v>
      </c>
      <c r="E415">
        <v>1.3927999999999999E-2</v>
      </c>
      <c r="F415">
        <v>144921522</v>
      </c>
      <c r="G415">
        <v>0</v>
      </c>
      <c r="L415" t="s">
        <v>7</v>
      </c>
      <c r="M415" t="s">
        <v>7</v>
      </c>
      <c r="N415" t="s">
        <v>7</v>
      </c>
      <c r="P415">
        <f t="shared" si="974"/>
        <v>0.3431167016072677</v>
      </c>
      <c r="Q415">
        <f t="shared" si="975"/>
        <v>49724994.620545082</v>
      </c>
      <c r="R415">
        <f t="shared" si="976"/>
        <v>-3936354233.3932271</v>
      </c>
      <c r="S415">
        <f t="shared" si="977"/>
        <v>-39363.542333932273</v>
      </c>
      <c r="T415">
        <f t="shared" si="978"/>
        <v>-39.363542333932273</v>
      </c>
    </row>
    <row r="416" spans="1:20" x14ac:dyDescent="0.25">
      <c r="A416" s="5">
        <v>44177</v>
      </c>
      <c r="B416">
        <v>1.3764E-2</v>
      </c>
      <c r="C416">
        <v>1.44E-2</v>
      </c>
      <c r="D416">
        <v>1.3313E-2</v>
      </c>
      <c r="E416">
        <v>1.3731999999999999E-2</v>
      </c>
      <c r="F416">
        <v>119935800</v>
      </c>
      <c r="G416">
        <v>0</v>
      </c>
      <c r="L416" t="s">
        <v>8</v>
      </c>
      <c r="M416" t="s">
        <v>7</v>
      </c>
      <c r="N416" t="s">
        <v>7</v>
      </c>
      <c r="P416">
        <f t="shared" si="974"/>
        <v>-0.22907083716651433</v>
      </c>
      <c r="Q416">
        <f t="shared" si="975"/>
        <v>-27473794.112235628</v>
      </c>
      <c r="R416">
        <f t="shared" si="976"/>
        <v>-3986079228.013772</v>
      </c>
      <c r="S416">
        <f t="shared" si="977"/>
        <v>-39860.792280137721</v>
      </c>
      <c r="T416">
        <f t="shared" si="978"/>
        <v>-39.860792280137723</v>
      </c>
    </row>
    <row r="417" spans="1:20" x14ac:dyDescent="0.25">
      <c r="A417" s="5">
        <v>44176</v>
      </c>
      <c r="B417">
        <v>1.5171E-2</v>
      </c>
      <c r="C417">
        <v>1.529E-2</v>
      </c>
      <c r="D417">
        <v>1.3058999999999999E-2</v>
      </c>
      <c r="E417">
        <v>1.376E-2</v>
      </c>
      <c r="F417">
        <v>230871810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-0.37158225011205726</v>
      </c>
      <c r="Q417">
        <f t="shared" si="975"/>
        <v>-85787866.647243366</v>
      </c>
      <c r="R417">
        <f t="shared" si="976"/>
        <v>-3958605433.9015365</v>
      </c>
      <c r="S417">
        <f t="shared" si="977"/>
        <v>-39586.054339015362</v>
      </c>
      <c r="T417">
        <f t="shared" si="978"/>
        <v>-39.586054339015362</v>
      </c>
    </row>
    <row r="418" spans="1:20" x14ac:dyDescent="0.25">
      <c r="A418" s="5">
        <v>44175</v>
      </c>
      <c r="B418">
        <v>1.6923000000000001E-2</v>
      </c>
      <c r="C418">
        <v>1.6927000000000001E-2</v>
      </c>
      <c r="D418">
        <v>1.4919999999999999E-2</v>
      </c>
      <c r="E418">
        <v>1.5172E-2</v>
      </c>
      <c r="F418">
        <v>309629498</v>
      </c>
      <c r="G418">
        <v>0</v>
      </c>
      <c r="L418" t="s">
        <v>7</v>
      </c>
      <c r="M418" t="s">
        <v>7</v>
      </c>
      <c r="N418" t="s">
        <v>7</v>
      </c>
      <c r="P418">
        <f t="shared" si="974"/>
        <v>-0.74887892376681586</v>
      </c>
      <c r="Q418">
        <f t="shared" si="975"/>
        <v>-231875005.22869948</v>
      </c>
      <c r="R418">
        <f t="shared" si="976"/>
        <v>-3872817567.254293</v>
      </c>
      <c r="S418">
        <f t="shared" si="977"/>
        <v>-38728.17567254293</v>
      </c>
      <c r="T418">
        <f t="shared" si="978"/>
        <v>-38.728175672542932</v>
      </c>
    </row>
    <row r="419" spans="1:20" x14ac:dyDescent="0.25">
      <c r="A419" s="5">
        <v>44174</v>
      </c>
      <c r="B419">
        <v>1.4009000000000001E-2</v>
      </c>
      <c r="C419">
        <v>2.06E-2</v>
      </c>
      <c r="D419">
        <v>1.35E-2</v>
      </c>
      <c r="E419">
        <v>1.6865000000000002E-2</v>
      </c>
      <c r="F419">
        <v>1239404484</v>
      </c>
      <c r="G419">
        <v>0</v>
      </c>
      <c r="L419" t="s">
        <v>8</v>
      </c>
      <c r="M419" t="s">
        <v>8</v>
      </c>
      <c r="N419" t="s">
        <v>8</v>
      </c>
      <c r="P419">
        <f t="shared" si="974"/>
        <v>-5.2112676056337612E-2</v>
      </c>
      <c r="Q419">
        <f t="shared" si="975"/>
        <v>-64588684.377464272</v>
      </c>
      <c r="R419">
        <f t="shared" si="976"/>
        <v>-3640942562.0255933</v>
      </c>
      <c r="S419">
        <f t="shared" si="977"/>
        <v>-36409.425620255934</v>
      </c>
      <c r="T419">
        <f t="shared" si="978"/>
        <v>-36.409425620255931</v>
      </c>
    </row>
    <row r="420" spans="1:20" x14ac:dyDescent="0.25">
      <c r="A420" s="5">
        <v>44173</v>
      </c>
      <c r="B420">
        <v>1.2985999999999999E-2</v>
      </c>
      <c r="C420">
        <v>1.5703999999999999E-2</v>
      </c>
      <c r="D420">
        <v>1.2753E-2</v>
      </c>
      <c r="E420">
        <v>1.4005E-2</v>
      </c>
      <c r="F420">
        <v>583737401</v>
      </c>
      <c r="G420">
        <v>0</v>
      </c>
      <c r="L420" t="s">
        <v>8</v>
      </c>
      <c r="M420" t="s">
        <v>8</v>
      </c>
      <c r="N420" t="s">
        <v>8</v>
      </c>
      <c r="P420">
        <f t="shared" si="974"/>
        <v>-0.15147407658420864</v>
      </c>
      <c r="Q420">
        <f t="shared" si="975"/>
        <v>-88421083.784140915</v>
      </c>
      <c r="R420">
        <f t="shared" si="976"/>
        <v>-3576353877.648129</v>
      </c>
      <c r="S420">
        <f t="shared" si="977"/>
        <v>-35763.538776481291</v>
      </c>
      <c r="T420">
        <f t="shared" si="978"/>
        <v>-35.76353877648129</v>
      </c>
    </row>
    <row r="421" spans="1:20" x14ac:dyDescent="0.25">
      <c r="A421" s="5">
        <v>44172</v>
      </c>
      <c r="B421">
        <v>1.1925E-2</v>
      </c>
      <c r="C421">
        <v>1.3481999999999999E-2</v>
      </c>
      <c r="D421">
        <v>1.17E-2</v>
      </c>
      <c r="E421">
        <v>1.2970000000000001E-2</v>
      </c>
      <c r="F421">
        <v>227752462</v>
      </c>
      <c r="G421">
        <v>0</v>
      </c>
      <c r="L421" t="s">
        <v>8</v>
      </c>
      <c r="M421" t="s">
        <v>8</v>
      </c>
      <c r="N421" t="s">
        <v>8</v>
      </c>
      <c r="P421">
        <f t="shared" si="974"/>
        <v>0.42536475869809326</v>
      </c>
      <c r="Q421">
        <f t="shared" si="975"/>
        <v>96877871.04152666</v>
      </c>
      <c r="R421">
        <f t="shared" si="976"/>
        <v>-3487932793.8639879</v>
      </c>
      <c r="S421">
        <f t="shared" si="977"/>
        <v>-34879.327938639879</v>
      </c>
      <c r="T421">
        <f t="shared" si="978"/>
        <v>-34.879327938639882</v>
      </c>
    </row>
    <row r="422" spans="1:20" x14ac:dyDescent="0.25">
      <c r="A422" s="5">
        <v>44171</v>
      </c>
      <c r="B422">
        <v>1.2447E-2</v>
      </c>
      <c r="C422">
        <v>1.2517E-2</v>
      </c>
      <c r="D422">
        <v>1.1417999999999999E-2</v>
      </c>
      <c r="E422">
        <v>1.1956E-2</v>
      </c>
      <c r="F422">
        <v>145751279</v>
      </c>
      <c r="G422">
        <v>0</v>
      </c>
      <c r="L422" t="s">
        <v>8</v>
      </c>
      <c r="M422" t="s">
        <v>8</v>
      </c>
      <c r="N422" t="s">
        <v>8</v>
      </c>
      <c r="P422">
        <f t="shared" si="974"/>
        <v>-2.0928116469518133E-2</v>
      </c>
      <c r="Q422">
        <f t="shared" si="975"/>
        <v>-3050299.7424932322</v>
      </c>
      <c r="R422">
        <f t="shared" si="976"/>
        <v>-3584810664.9055147</v>
      </c>
      <c r="S422">
        <f t="shared" si="977"/>
        <v>-35848.106649055146</v>
      </c>
      <c r="T422">
        <f t="shared" si="978"/>
        <v>-35.848106649055147</v>
      </c>
    </row>
    <row r="423" spans="1:20" x14ac:dyDescent="0.25">
      <c r="A423" s="5">
        <v>44170</v>
      </c>
      <c r="B423">
        <v>1.1875E-2</v>
      </c>
      <c r="C423">
        <v>1.255E-2</v>
      </c>
      <c r="D423">
        <v>1.1336000000000001E-2</v>
      </c>
      <c r="E423">
        <v>1.2430999999999999E-2</v>
      </c>
      <c r="F423">
        <v>195147800</v>
      </c>
      <c r="G423">
        <v>0</v>
      </c>
      <c r="L423" t="s">
        <v>7</v>
      </c>
      <c r="M423" t="s">
        <v>8</v>
      </c>
      <c r="N423" t="s">
        <v>8</v>
      </c>
      <c r="P423">
        <f t="shared" si="974"/>
        <v>0.80395387149917452</v>
      </c>
      <c r="Q423">
        <f t="shared" si="975"/>
        <v>156889829.32454661</v>
      </c>
      <c r="R423">
        <f t="shared" si="976"/>
        <v>-3581760365.1630216</v>
      </c>
      <c r="S423">
        <f t="shared" si="977"/>
        <v>-35817.603651630219</v>
      </c>
      <c r="T423">
        <f t="shared" si="978"/>
        <v>-35.817603651630222</v>
      </c>
    </row>
    <row r="424" spans="1:20" x14ac:dyDescent="0.25">
      <c r="A424" s="5">
        <v>44169</v>
      </c>
      <c r="B424">
        <v>1.1108E-2</v>
      </c>
      <c r="C424">
        <v>1.345E-2</v>
      </c>
      <c r="D424">
        <v>1.0873000000000001E-2</v>
      </c>
      <c r="E424">
        <v>1.1875E-2</v>
      </c>
      <c r="F424">
        <v>587531972</v>
      </c>
      <c r="G424">
        <v>0</v>
      </c>
      <c r="L424" t="s">
        <v>8</v>
      </c>
      <c r="M424" t="s">
        <v>8</v>
      </c>
      <c r="N424" t="s">
        <v>8</v>
      </c>
      <c r="P424">
        <f t="shared" si="974"/>
        <v>-0.22235157159487803</v>
      </c>
      <c r="Q424">
        <f t="shared" si="975"/>
        <v>-130638657.33643788</v>
      </c>
      <c r="R424">
        <f t="shared" si="976"/>
        <v>-3738650194.4875684</v>
      </c>
      <c r="S424">
        <f t="shared" si="977"/>
        <v>-37386.501944875687</v>
      </c>
      <c r="T424">
        <f t="shared" si="978"/>
        <v>-37.38650194487569</v>
      </c>
    </row>
    <row r="425" spans="1:20" x14ac:dyDescent="0.25">
      <c r="A425" s="5">
        <v>44168</v>
      </c>
      <c r="B425">
        <v>1.0836999999999999E-2</v>
      </c>
      <c r="C425">
        <v>1.1402000000000001E-2</v>
      </c>
      <c r="D425">
        <v>1.01E-2</v>
      </c>
      <c r="E425">
        <v>1.1109000000000001E-2</v>
      </c>
      <c r="F425">
        <v>194342414</v>
      </c>
      <c r="G425">
        <v>0</v>
      </c>
      <c r="L425" t="s">
        <v>8</v>
      </c>
      <c r="M425" t="s">
        <v>8</v>
      </c>
      <c r="N425" t="s">
        <v>7</v>
      </c>
      <c r="P425">
        <f t="shared" si="974"/>
        <v>0.54992319508448595</v>
      </c>
      <c r="Q425">
        <f t="shared" si="975"/>
        <v>106873401.24731193</v>
      </c>
      <c r="R425">
        <f t="shared" si="976"/>
        <v>-3608011537.1511307</v>
      </c>
      <c r="S425">
        <f t="shared" si="977"/>
        <v>-36080.115371511303</v>
      </c>
      <c r="T425">
        <f t="shared" si="978"/>
        <v>-36.080115371511305</v>
      </c>
    </row>
    <row r="426" spans="1:20" x14ac:dyDescent="0.25">
      <c r="A426" s="5">
        <v>44167</v>
      </c>
      <c r="B426">
        <v>9.9399999999999992E-3</v>
      </c>
      <c r="C426">
        <v>1.0822999999999999E-2</v>
      </c>
      <c r="D426">
        <v>9.7949999999999999E-3</v>
      </c>
      <c r="E426">
        <v>1.0822999999999999E-2</v>
      </c>
      <c r="F426">
        <v>133533197</v>
      </c>
      <c r="G426">
        <v>0</v>
      </c>
      <c r="L426" t="s">
        <v>8</v>
      </c>
      <c r="M426" t="s">
        <v>8</v>
      </c>
      <c r="N426" t="s">
        <v>7</v>
      </c>
      <c r="P426">
        <f t="shared" si="974"/>
        <v>1</v>
      </c>
      <c r="Q426">
        <f t="shared" si="975"/>
        <v>133533197</v>
      </c>
      <c r="R426">
        <f t="shared" si="976"/>
        <v>-3714884938.3984427</v>
      </c>
      <c r="S426">
        <f t="shared" si="977"/>
        <v>-37148.84938398443</v>
      </c>
      <c r="T426">
        <f t="shared" si="978"/>
        <v>-37.148849383984434</v>
      </c>
    </row>
    <row r="427" spans="1:20" x14ac:dyDescent="0.25">
      <c r="A427" s="5">
        <v>44166</v>
      </c>
      <c r="B427">
        <v>9.7669999999999996E-3</v>
      </c>
      <c r="C427">
        <v>1.0463E-2</v>
      </c>
      <c r="D427">
        <v>8.9870000000000002E-3</v>
      </c>
      <c r="E427">
        <v>9.9410000000000002E-3</v>
      </c>
      <c r="F427">
        <v>137285836</v>
      </c>
      <c r="G427">
        <v>0</v>
      </c>
      <c r="L427" t="s">
        <v>8</v>
      </c>
      <c r="M427" t="s">
        <v>7</v>
      </c>
      <c r="N427" t="s">
        <v>7</v>
      </c>
      <c r="P427">
        <f t="shared" si="974"/>
        <v>0.29268292682926839</v>
      </c>
      <c r="Q427">
        <f t="shared" si="975"/>
        <v>40181220.292682938</v>
      </c>
      <c r="R427">
        <f t="shared" si="976"/>
        <v>-3848418135.3984427</v>
      </c>
      <c r="S427">
        <f t="shared" si="977"/>
        <v>-38484.18135398443</v>
      </c>
      <c r="T427">
        <f t="shared" si="978"/>
        <v>-38.484181353984432</v>
      </c>
    </row>
    <row r="428" spans="1:20" x14ac:dyDescent="0.25">
      <c r="A428" s="5">
        <v>44165</v>
      </c>
      <c r="B428">
        <v>9.4590000000000004E-3</v>
      </c>
      <c r="C428">
        <v>9.9559999999999996E-3</v>
      </c>
      <c r="D428">
        <v>9.3109999999999998E-3</v>
      </c>
      <c r="E428">
        <v>9.7649999999999994E-3</v>
      </c>
      <c r="F428">
        <v>96724993</v>
      </c>
      <c r="G428">
        <v>0</v>
      </c>
      <c r="L428" t="s">
        <v>8</v>
      </c>
      <c r="M428" t="s">
        <v>7</v>
      </c>
      <c r="N428" t="s">
        <v>7</v>
      </c>
      <c r="P428">
        <f t="shared" si="974"/>
        <v>0.40775193798449527</v>
      </c>
      <c r="Q428">
        <f t="shared" si="975"/>
        <v>39439803.347286738</v>
      </c>
      <c r="R428">
        <f t="shared" si="976"/>
        <v>-3888599355.6911259</v>
      </c>
      <c r="S428">
        <f t="shared" si="977"/>
        <v>-38885.993556911257</v>
      </c>
      <c r="T428">
        <f t="shared" si="978"/>
        <v>-38.885993556911259</v>
      </c>
    </row>
    <row r="429" spans="1:20" x14ac:dyDescent="0.25">
      <c r="A429" s="5">
        <v>44164</v>
      </c>
      <c r="B429">
        <v>9.5580000000000005E-3</v>
      </c>
      <c r="C429">
        <v>9.6799999999999994E-3</v>
      </c>
      <c r="D429">
        <v>9.2320000000000006E-3</v>
      </c>
      <c r="E429">
        <v>9.4570000000000001E-3</v>
      </c>
      <c r="F429">
        <v>55957575</v>
      </c>
      <c r="G429">
        <v>0</v>
      </c>
      <c r="L429" t="s">
        <v>7</v>
      </c>
      <c r="M429" t="s">
        <v>7</v>
      </c>
      <c r="N429" t="s">
        <v>7</v>
      </c>
      <c r="P429">
        <f t="shared" si="974"/>
        <v>4.4642857142863195E-3</v>
      </c>
      <c r="Q429">
        <f t="shared" si="975"/>
        <v>249810.6026786053</v>
      </c>
      <c r="R429">
        <f t="shared" si="976"/>
        <v>-3928039159.0384126</v>
      </c>
      <c r="S429">
        <f t="shared" si="977"/>
        <v>-39280.391590384126</v>
      </c>
      <c r="T429">
        <f t="shared" si="978"/>
        <v>-39.280391590384127</v>
      </c>
    </row>
    <row r="430" spans="1:20" x14ac:dyDescent="0.25">
      <c r="A430" s="5">
        <v>44163</v>
      </c>
      <c r="B430">
        <v>9.3120000000000008E-3</v>
      </c>
      <c r="C430">
        <v>1.0137999999999999E-2</v>
      </c>
      <c r="D430">
        <v>8.8500000000000002E-3</v>
      </c>
      <c r="E430">
        <v>9.5090000000000001E-3</v>
      </c>
      <c r="F430">
        <v>106888855</v>
      </c>
      <c r="G430">
        <v>0</v>
      </c>
      <c r="L430" t="s">
        <v>8</v>
      </c>
      <c r="M430" t="s">
        <v>7</v>
      </c>
      <c r="N430" t="s">
        <v>7</v>
      </c>
      <c r="P430">
        <f t="shared" si="974"/>
        <v>2.3291925465838921E-2</v>
      </c>
      <c r="Q430">
        <f t="shared" si="975"/>
        <v>2489647.243788864</v>
      </c>
      <c r="R430">
        <f t="shared" si="976"/>
        <v>-3928288969.6410913</v>
      </c>
      <c r="S430">
        <f t="shared" si="977"/>
        <v>-39282.889696410915</v>
      </c>
      <c r="T430">
        <f t="shared" si="978"/>
        <v>-39.282889696410912</v>
      </c>
    </row>
    <row r="431" spans="1:20" x14ac:dyDescent="0.25">
      <c r="A431" s="5">
        <v>44162</v>
      </c>
      <c r="B431">
        <v>9.6190000000000008E-3</v>
      </c>
      <c r="C431">
        <v>9.8659999999999998E-3</v>
      </c>
      <c r="D431">
        <v>8.9470000000000001E-3</v>
      </c>
      <c r="E431">
        <v>9.3120000000000008E-3</v>
      </c>
      <c r="F431">
        <v>97571486</v>
      </c>
      <c r="G431">
        <v>0</v>
      </c>
      <c r="L431" t="s">
        <v>7</v>
      </c>
      <c r="M431" t="s">
        <v>7</v>
      </c>
      <c r="N431" t="s">
        <v>7</v>
      </c>
      <c r="P431">
        <f t="shared" si="974"/>
        <v>-0.20565832426550409</v>
      </c>
      <c r="Q431">
        <f t="shared" si="975"/>
        <v>-20066388.306855094</v>
      </c>
      <c r="R431">
        <f t="shared" si="976"/>
        <v>-3930778616.8848801</v>
      </c>
      <c r="S431">
        <f t="shared" si="977"/>
        <v>-39307.786168848797</v>
      </c>
      <c r="T431">
        <f t="shared" si="978"/>
        <v>-39.3077861688488</v>
      </c>
    </row>
    <row r="432" spans="1:20" x14ac:dyDescent="0.25">
      <c r="A432" s="5">
        <v>44161</v>
      </c>
      <c r="B432">
        <v>1.1813000000000001E-2</v>
      </c>
      <c r="C432">
        <v>1.2884E-2</v>
      </c>
      <c r="D432">
        <v>8.8559999999999993E-3</v>
      </c>
      <c r="E432">
        <v>9.6279999999999994E-3</v>
      </c>
      <c r="F432">
        <v>357554606</v>
      </c>
      <c r="G432">
        <v>0</v>
      </c>
      <c r="L432" t="s">
        <v>8</v>
      </c>
      <c r="M432" t="s">
        <v>8</v>
      </c>
      <c r="N432" t="s">
        <v>8</v>
      </c>
      <c r="P432">
        <f t="shared" si="974"/>
        <v>-0.61668321747765642</v>
      </c>
      <c r="Q432">
        <f t="shared" si="975"/>
        <v>-220497924.85203576</v>
      </c>
      <c r="R432">
        <f t="shared" si="976"/>
        <v>-3910712228.5780249</v>
      </c>
      <c r="S432">
        <f t="shared" si="977"/>
        <v>-39107.12228578025</v>
      </c>
      <c r="T432">
        <f t="shared" si="978"/>
        <v>-39.10712228578025</v>
      </c>
    </row>
    <row r="433" spans="1:20" x14ac:dyDescent="0.25">
      <c r="A433" s="5">
        <v>44160</v>
      </c>
      <c r="B433">
        <v>1.0534999999999999E-2</v>
      </c>
      <c r="C433">
        <v>1.209E-2</v>
      </c>
      <c r="D433">
        <v>9.8499999999999994E-3</v>
      </c>
      <c r="E433">
        <v>1.1755E-2</v>
      </c>
      <c r="F433">
        <v>368480954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0.70089285714285698</v>
      </c>
      <c r="Q433">
        <f t="shared" si="975"/>
        <v>258265668.65178564</v>
      </c>
      <c r="R433">
        <f t="shared" si="976"/>
        <v>-3690214303.7259893</v>
      </c>
      <c r="S433">
        <f t="shared" si="977"/>
        <v>-36902.143037259892</v>
      </c>
      <c r="T433">
        <f t="shared" si="978"/>
        <v>-36.90214303725989</v>
      </c>
    </row>
    <row r="434" spans="1:20" x14ac:dyDescent="0.25">
      <c r="A434" s="5">
        <v>44159</v>
      </c>
      <c r="B434">
        <v>9.2409999999999992E-3</v>
      </c>
      <c r="C434">
        <v>1.0999999999999999E-2</v>
      </c>
      <c r="D434">
        <v>9.0930000000000004E-3</v>
      </c>
      <c r="E434">
        <v>1.0515E-2</v>
      </c>
      <c r="F434">
        <v>367467642</v>
      </c>
      <c r="G434">
        <v>0</v>
      </c>
      <c r="L434" t="s">
        <v>8</v>
      </c>
      <c r="M434" t="s">
        <v>8</v>
      </c>
      <c r="N434" t="s">
        <v>7</v>
      </c>
      <c r="P434">
        <f t="shared" si="974"/>
        <v>0.4913476664918725</v>
      </c>
      <c r="Q434">
        <f t="shared" si="975"/>
        <v>180554368.40797079</v>
      </c>
      <c r="R434">
        <f t="shared" si="976"/>
        <v>-3948479972.3777752</v>
      </c>
      <c r="S434">
        <f t="shared" si="977"/>
        <v>-39484.799723777753</v>
      </c>
      <c r="T434">
        <f t="shared" si="978"/>
        <v>-39.484799723777755</v>
      </c>
    </row>
    <row r="435" spans="1:20" x14ac:dyDescent="0.25">
      <c r="A435" s="5">
        <v>44158</v>
      </c>
      <c r="B435">
        <v>8.9730000000000001E-3</v>
      </c>
      <c r="C435">
        <v>9.5840000000000005E-3</v>
      </c>
      <c r="D435">
        <v>8.8710000000000004E-3</v>
      </c>
      <c r="E435">
        <v>9.2359999999999994E-3</v>
      </c>
      <c r="F435">
        <v>112009668</v>
      </c>
      <c r="G435">
        <v>0</v>
      </c>
      <c r="L435" t="s">
        <v>8</v>
      </c>
      <c r="M435" t="s">
        <v>7</v>
      </c>
      <c r="N435" t="s">
        <v>7</v>
      </c>
      <c r="P435">
        <f t="shared" si="974"/>
        <v>2.3842917251048971E-2</v>
      </c>
      <c r="Q435">
        <f t="shared" si="975"/>
        <v>2670637.245441468</v>
      </c>
      <c r="R435">
        <f t="shared" si="976"/>
        <v>-4129034340.7857461</v>
      </c>
      <c r="S435">
        <f t="shared" si="977"/>
        <v>-41290.343407857457</v>
      </c>
      <c r="T435">
        <f t="shared" si="978"/>
        <v>-41.290343407857456</v>
      </c>
    </row>
    <row r="436" spans="1:20" x14ac:dyDescent="0.25">
      <c r="A436" s="5">
        <v>44157</v>
      </c>
      <c r="B436">
        <v>9.2829999999999996E-3</v>
      </c>
      <c r="C436">
        <v>9.3489999999999997E-3</v>
      </c>
      <c r="D436">
        <v>8.6160000000000004E-3</v>
      </c>
      <c r="E436">
        <v>8.9730000000000001E-3</v>
      </c>
      <c r="F436">
        <v>79370293</v>
      </c>
      <c r="G436">
        <v>0</v>
      </c>
      <c r="L436" t="s">
        <v>7</v>
      </c>
      <c r="M436" t="s">
        <v>7</v>
      </c>
      <c r="N436" t="s">
        <v>7</v>
      </c>
      <c r="P436">
        <f t="shared" si="974"/>
        <v>-2.5920873124147256E-2</v>
      </c>
      <c r="Q436">
        <f t="shared" si="975"/>
        <v>-2057347.2946793931</v>
      </c>
      <c r="R436">
        <f t="shared" si="976"/>
        <v>-4131704978.0311875</v>
      </c>
      <c r="S436">
        <f t="shared" si="977"/>
        <v>-41317.049780311878</v>
      </c>
      <c r="T436">
        <f t="shared" si="978"/>
        <v>-41.317049780311876</v>
      </c>
    </row>
    <row r="437" spans="1:20" x14ac:dyDescent="0.25">
      <c r="A437" s="5">
        <v>44156</v>
      </c>
      <c r="B437">
        <v>8.9269999999999992E-3</v>
      </c>
      <c r="C437">
        <v>9.4999999999999998E-3</v>
      </c>
      <c r="D437">
        <v>8.8769999999999995E-3</v>
      </c>
      <c r="E437">
        <v>9.2709999999999997E-3</v>
      </c>
      <c r="F437">
        <v>104864122</v>
      </c>
      <c r="G437">
        <v>0</v>
      </c>
      <c r="L437" t="s">
        <v>8</v>
      </c>
      <c r="M437" t="s">
        <v>7</v>
      </c>
      <c r="N437" t="s">
        <v>7</v>
      </c>
      <c r="P437">
        <f t="shared" si="974"/>
        <v>0.26484751203852352</v>
      </c>
      <c r="Q437">
        <f t="shared" si="975"/>
        <v>27773001.813804198</v>
      </c>
      <c r="R437">
        <f t="shared" si="976"/>
        <v>-4129647630.7365084</v>
      </c>
      <c r="S437">
        <f t="shared" si="977"/>
        <v>-41296.476307365083</v>
      </c>
      <c r="T437">
        <f t="shared" si="978"/>
        <v>-41.296476307365083</v>
      </c>
    </row>
    <row r="438" spans="1:20" x14ac:dyDescent="0.25">
      <c r="A438" s="5">
        <v>44155</v>
      </c>
      <c r="B438">
        <v>8.6499999999999997E-3</v>
      </c>
      <c r="C438">
        <v>9.1000000000000004E-3</v>
      </c>
      <c r="D438">
        <v>8.6E-3</v>
      </c>
      <c r="E438">
        <v>8.8909999999999996E-3</v>
      </c>
      <c r="F438">
        <v>58560230</v>
      </c>
      <c r="G438">
        <v>0</v>
      </c>
      <c r="L438" t="s">
        <v>8</v>
      </c>
      <c r="M438" t="s">
        <v>7</v>
      </c>
      <c r="N438" t="s">
        <v>7</v>
      </c>
      <c r="P438">
        <f t="shared" si="974"/>
        <v>0.16399999999999734</v>
      </c>
      <c r="Q438">
        <f t="shared" si="975"/>
        <v>9603877.7199998442</v>
      </c>
      <c r="R438">
        <f t="shared" si="976"/>
        <v>-4157420632.5503125</v>
      </c>
      <c r="S438">
        <f t="shared" si="977"/>
        <v>-41574.206325503124</v>
      </c>
      <c r="T438">
        <f t="shared" si="978"/>
        <v>-41.574206325503127</v>
      </c>
    </row>
    <row r="439" spans="1:20" x14ac:dyDescent="0.25">
      <c r="A439" s="5">
        <v>44154</v>
      </c>
      <c r="B439">
        <v>8.6929999999999993E-3</v>
      </c>
      <c r="C439">
        <v>8.8249999999999995E-3</v>
      </c>
      <c r="D439">
        <v>8.3119999999999999E-3</v>
      </c>
      <c r="E439">
        <v>8.6459999999999992E-3</v>
      </c>
      <c r="F439">
        <v>69359481</v>
      </c>
      <c r="G439">
        <v>0</v>
      </c>
      <c r="L439" t="s">
        <v>7</v>
      </c>
      <c r="M439" t="s">
        <v>7</v>
      </c>
      <c r="N439" t="s">
        <v>7</v>
      </c>
      <c r="P439">
        <f t="shared" si="974"/>
        <v>0.30214424951266866</v>
      </c>
      <c r="Q439">
        <f t="shared" si="975"/>
        <v>20956568.333333202</v>
      </c>
      <c r="R439">
        <f t="shared" si="976"/>
        <v>-4167024510.2703123</v>
      </c>
      <c r="S439">
        <f t="shared" si="977"/>
        <v>-41670.24510270312</v>
      </c>
      <c r="T439">
        <f t="shared" si="978"/>
        <v>-41.67024510270312</v>
      </c>
    </row>
    <row r="440" spans="1:20" x14ac:dyDescent="0.25">
      <c r="A440" s="5">
        <v>44153</v>
      </c>
      <c r="B440">
        <v>8.7279999999999996E-3</v>
      </c>
      <c r="C440">
        <v>8.8439999999999994E-3</v>
      </c>
      <c r="D440">
        <v>8.3090000000000004E-3</v>
      </c>
      <c r="E440">
        <v>8.6979999999999991E-3</v>
      </c>
      <c r="F440">
        <v>80542164</v>
      </c>
      <c r="G440">
        <v>0</v>
      </c>
      <c r="L440" t="s">
        <v>7</v>
      </c>
      <c r="M440" t="s">
        <v>7</v>
      </c>
      <c r="N440" t="s">
        <v>7</v>
      </c>
      <c r="P440">
        <f t="shared" si="974"/>
        <v>0.45420560747663341</v>
      </c>
      <c r="Q440">
        <f t="shared" si="975"/>
        <v>36582702.527102634</v>
      </c>
      <c r="R440">
        <f t="shared" si="976"/>
        <v>-4187981078.6036453</v>
      </c>
      <c r="S440">
        <f t="shared" si="977"/>
        <v>-41879.810786036454</v>
      </c>
      <c r="T440">
        <f t="shared" si="978"/>
        <v>-41.879810786036451</v>
      </c>
    </row>
    <row r="441" spans="1:20" x14ac:dyDescent="0.25">
      <c r="A441" s="5">
        <v>44152</v>
      </c>
      <c r="B441">
        <v>8.6569999999999998E-3</v>
      </c>
      <c r="C441">
        <v>8.8199999999999997E-3</v>
      </c>
      <c r="D441">
        <v>8.5500000000000003E-3</v>
      </c>
      <c r="E441">
        <v>8.7270000000000004E-3</v>
      </c>
      <c r="F441">
        <v>82317679</v>
      </c>
      <c r="G441">
        <v>0</v>
      </c>
      <c r="L441" t="s">
        <v>7</v>
      </c>
      <c r="M441" t="s">
        <v>7</v>
      </c>
      <c r="N441" t="s">
        <v>7</v>
      </c>
      <c r="P441">
        <f t="shared" si="974"/>
        <v>0.31111111111111456</v>
      </c>
      <c r="Q441">
        <f t="shared" si="975"/>
        <v>25609944.57777806</v>
      </c>
      <c r="R441">
        <f t="shared" si="976"/>
        <v>-4224563781.1307478</v>
      </c>
      <c r="S441">
        <f t="shared" si="977"/>
        <v>-42245.637811307475</v>
      </c>
      <c r="T441">
        <f t="shared" si="978"/>
        <v>-42.245637811307475</v>
      </c>
    </row>
    <row r="442" spans="1:20" x14ac:dyDescent="0.25">
      <c r="A442" s="5">
        <v>44151</v>
      </c>
      <c r="B442">
        <v>8.5220000000000001E-3</v>
      </c>
      <c r="C442">
        <v>8.7139999999999995E-3</v>
      </c>
      <c r="D442">
        <v>8.489E-3</v>
      </c>
      <c r="E442">
        <v>8.6599999999999993E-3</v>
      </c>
      <c r="F442">
        <v>46074695</v>
      </c>
      <c r="G442">
        <v>0</v>
      </c>
      <c r="L442" t="s">
        <v>7</v>
      </c>
      <c r="M442" t="s">
        <v>7</v>
      </c>
      <c r="N442" t="s">
        <v>7</v>
      </c>
      <c r="P442">
        <f t="shared" si="974"/>
        <v>0.51999999999999691</v>
      </c>
      <c r="Q442">
        <f t="shared" si="975"/>
        <v>23958841.399999857</v>
      </c>
      <c r="R442">
        <f t="shared" si="976"/>
        <v>-4250173725.7085257</v>
      </c>
      <c r="S442">
        <f t="shared" si="977"/>
        <v>-42501.737257085253</v>
      </c>
      <c r="T442">
        <f t="shared" si="978"/>
        <v>-42.501737257085253</v>
      </c>
    </row>
    <row r="443" spans="1:20" x14ac:dyDescent="0.25">
      <c r="A443" s="5">
        <v>44150</v>
      </c>
      <c r="B443">
        <v>8.6300000000000005E-3</v>
      </c>
      <c r="C443">
        <v>8.7150000000000005E-3</v>
      </c>
      <c r="D443">
        <v>8.4510000000000002E-3</v>
      </c>
      <c r="E443">
        <v>8.5330000000000007E-3</v>
      </c>
      <c r="F443">
        <v>26616045</v>
      </c>
      <c r="G443">
        <v>0</v>
      </c>
      <c r="L443" t="s">
        <v>7</v>
      </c>
      <c r="M443" t="s">
        <v>7</v>
      </c>
      <c r="N443" t="s">
        <v>7</v>
      </c>
      <c r="P443">
        <f t="shared" si="974"/>
        <v>-0.37878787878787601</v>
      </c>
      <c r="Q443">
        <f t="shared" si="975"/>
        <v>-10081835.227272654</v>
      </c>
      <c r="R443">
        <f t="shared" si="976"/>
        <v>-4274132567.1085258</v>
      </c>
      <c r="S443">
        <f t="shared" si="977"/>
        <v>-42741.325671085258</v>
      </c>
      <c r="T443">
        <f t="shared" si="978"/>
        <v>-42.741325671085256</v>
      </c>
    </row>
    <row r="444" spans="1:20" x14ac:dyDescent="0.25">
      <c r="A444" s="5">
        <v>44149</v>
      </c>
      <c r="B444">
        <v>8.9269999999999992E-3</v>
      </c>
      <c r="C444">
        <v>8.9390000000000008E-3</v>
      </c>
      <c r="D444">
        <v>8.5229999999999993E-3</v>
      </c>
      <c r="E444">
        <v>8.6339999999999993E-3</v>
      </c>
      <c r="F444">
        <v>25052212</v>
      </c>
      <c r="G444">
        <v>0</v>
      </c>
      <c r="L444" t="s">
        <v>7</v>
      </c>
      <c r="M444" t="s">
        <v>7</v>
      </c>
      <c r="N444" t="s">
        <v>7</v>
      </c>
      <c r="P444">
        <f t="shared" si="974"/>
        <v>-0.46634615384615574</v>
      </c>
      <c r="Q444">
        <f t="shared" si="975"/>
        <v>-11683002.711538509</v>
      </c>
      <c r="R444">
        <f t="shared" si="976"/>
        <v>-4264050731.8812532</v>
      </c>
      <c r="S444">
        <f t="shared" si="977"/>
        <v>-42640.507318812532</v>
      </c>
      <c r="T444">
        <f t="shared" si="978"/>
        <v>-42.640507318812531</v>
      </c>
    </row>
    <row r="445" spans="1:20" x14ac:dyDescent="0.25">
      <c r="A445" s="5">
        <v>44148</v>
      </c>
      <c r="B445">
        <v>8.6599999999999993E-3</v>
      </c>
      <c r="C445">
        <v>9.1999999999999998E-3</v>
      </c>
      <c r="D445">
        <v>8.5100000000000002E-3</v>
      </c>
      <c r="E445">
        <v>8.9359999999999995E-3</v>
      </c>
      <c r="F445">
        <v>152072582</v>
      </c>
      <c r="G445">
        <v>0</v>
      </c>
      <c r="L445" t="s">
        <v>8</v>
      </c>
      <c r="M445" t="s">
        <v>7</v>
      </c>
      <c r="N445" t="s">
        <v>7</v>
      </c>
      <c r="P445">
        <f t="shared" si="974"/>
        <v>0.23478260869565076</v>
      </c>
      <c r="Q445">
        <f t="shared" si="975"/>
        <v>35703997.513043262</v>
      </c>
      <c r="R445">
        <f t="shared" si="976"/>
        <v>-4252367729.1697149</v>
      </c>
      <c r="S445">
        <f t="shared" si="977"/>
        <v>-42523.677291697146</v>
      </c>
      <c r="T445">
        <f t="shared" si="978"/>
        <v>-42.523677291697147</v>
      </c>
    </row>
    <row r="446" spans="1:20" x14ac:dyDescent="0.25">
      <c r="A446" s="5">
        <v>44147</v>
      </c>
      <c r="B446">
        <v>8.8599999999999998E-3</v>
      </c>
      <c r="C446">
        <v>9.0699999999999999E-3</v>
      </c>
      <c r="D446">
        <v>8.4460000000000004E-3</v>
      </c>
      <c r="E446">
        <v>8.6680000000000004E-3</v>
      </c>
      <c r="F446">
        <v>52215886</v>
      </c>
      <c r="G446">
        <v>0</v>
      </c>
      <c r="L446" t="s">
        <v>7</v>
      </c>
      <c r="M446" t="s">
        <v>7</v>
      </c>
      <c r="N446" t="s">
        <v>7</v>
      </c>
      <c r="P446">
        <f t="shared" si="974"/>
        <v>-0.28846153846153805</v>
      </c>
      <c r="Q446">
        <f t="shared" si="975"/>
        <v>-15062274.807692286</v>
      </c>
      <c r="R446">
        <f t="shared" si="976"/>
        <v>-4288071726.6827583</v>
      </c>
      <c r="S446">
        <f t="shared" si="977"/>
        <v>-42880.717266827582</v>
      </c>
      <c r="T446">
        <f t="shared" si="978"/>
        <v>-42.880717266827581</v>
      </c>
    </row>
    <row r="447" spans="1:20" x14ac:dyDescent="0.25">
      <c r="A447" s="5">
        <v>44146</v>
      </c>
      <c r="B447">
        <v>8.9759999999999996E-3</v>
      </c>
      <c r="C447">
        <v>9.1109999999999993E-3</v>
      </c>
      <c r="D447">
        <v>8.8020000000000008E-3</v>
      </c>
      <c r="E447">
        <v>8.8629999999999994E-3</v>
      </c>
      <c r="F447">
        <v>28026447</v>
      </c>
      <c r="G447">
        <v>0</v>
      </c>
      <c r="L447" t="s">
        <v>7</v>
      </c>
      <c r="M447" t="s">
        <v>7</v>
      </c>
      <c r="N447" t="s">
        <v>7</v>
      </c>
      <c r="P447">
        <f t="shared" si="974"/>
        <v>-0.60517799352751556</v>
      </c>
      <c r="Q447">
        <f t="shared" si="975"/>
        <v>-16960988.961165257</v>
      </c>
      <c r="R447">
        <f t="shared" si="976"/>
        <v>-4273009451.8750663</v>
      </c>
      <c r="S447">
        <f t="shared" si="977"/>
        <v>-42730.094518750666</v>
      </c>
      <c r="T447">
        <f t="shared" si="978"/>
        <v>-42.730094518750668</v>
      </c>
    </row>
    <row r="448" spans="1:20" x14ac:dyDescent="0.25">
      <c r="A448" s="5">
        <v>44145</v>
      </c>
      <c r="B448">
        <v>8.8400000000000006E-3</v>
      </c>
      <c r="C448">
        <v>8.9899999999999997E-3</v>
      </c>
      <c r="D448">
        <v>8.7290000000000006E-3</v>
      </c>
      <c r="E448">
        <v>8.9619999999999995E-3</v>
      </c>
      <c r="F448">
        <v>28660119</v>
      </c>
      <c r="G448">
        <v>0</v>
      </c>
      <c r="L448" t="s">
        <v>7</v>
      </c>
      <c r="M448" t="s">
        <v>7</v>
      </c>
      <c r="N448" t="s">
        <v>7</v>
      </c>
      <c r="P448">
        <f t="shared" si="974"/>
        <v>0.78544061302681722</v>
      </c>
      <c r="Q448">
        <f t="shared" si="975"/>
        <v>22510821.436781533</v>
      </c>
      <c r="R448">
        <f t="shared" si="976"/>
        <v>-4256048462.9139009</v>
      </c>
      <c r="S448">
        <f t="shared" si="977"/>
        <v>-42560.484629139006</v>
      </c>
      <c r="T448">
        <f t="shared" si="978"/>
        <v>-42.560484629139005</v>
      </c>
    </row>
    <row r="449" spans="1:20" x14ac:dyDescent="0.25">
      <c r="A449" s="5">
        <v>44144</v>
      </c>
      <c r="B449">
        <v>9.2020000000000001E-3</v>
      </c>
      <c r="C449">
        <v>9.2239999999999996E-3</v>
      </c>
      <c r="D449">
        <v>8.5009999999999999E-3</v>
      </c>
      <c r="E449">
        <v>8.8439999999999994E-3</v>
      </c>
      <c r="F449">
        <v>123493979</v>
      </c>
      <c r="G449">
        <v>0</v>
      </c>
      <c r="L449" t="s">
        <v>7</v>
      </c>
      <c r="M449" t="s">
        <v>7</v>
      </c>
      <c r="N449" t="s">
        <v>7</v>
      </c>
      <c r="P449">
        <f t="shared" si="974"/>
        <v>-5.1175656984786433E-2</v>
      </c>
      <c r="Q449">
        <f t="shared" si="975"/>
        <v>-6319885.5089904191</v>
      </c>
      <c r="R449">
        <f t="shared" si="976"/>
        <v>-4278559284.3506823</v>
      </c>
      <c r="S449">
        <f t="shared" si="977"/>
        <v>-42785.59284350682</v>
      </c>
      <c r="T449">
        <f t="shared" si="978"/>
        <v>-42.785592843506819</v>
      </c>
    </row>
    <row r="450" spans="1:20" x14ac:dyDescent="0.25">
      <c r="A450" s="5">
        <v>44143</v>
      </c>
      <c r="B450">
        <v>8.7950000000000007E-3</v>
      </c>
      <c r="C450">
        <v>9.4000000000000004E-3</v>
      </c>
      <c r="D450">
        <v>8.7799999999999996E-3</v>
      </c>
      <c r="E450">
        <v>9.1680000000000008E-3</v>
      </c>
      <c r="F450">
        <v>37579328</v>
      </c>
      <c r="G450">
        <v>0</v>
      </c>
      <c r="L450" t="s">
        <v>7</v>
      </c>
      <c r="M450" t="s">
        <v>7</v>
      </c>
      <c r="N450" t="s">
        <v>7</v>
      </c>
      <c r="P450">
        <f t="shared" si="974"/>
        <v>0.25161290322580876</v>
      </c>
      <c r="Q450">
        <f t="shared" si="975"/>
        <v>9455443.8193549253</v>
      </c>
      <c r="R450">
        <f t="shared" si="976"/>
        <v>-4272239398.841692</v>
      </c>
      <c r="S450">
        <f t="shared" si="977"/>
        <v>-42722.393988416923</v>
      </c>
      <c r="T450">
        <f t="shared" si="978"/>
        <v>-42.722393988416925</v>
      </c>
    </row>
    <row r="451" spans="1:20" x14ac:dyDescent="0.25">
      <c r="A451" s="5">
        <v>44142</v>
      </c>
      <c r="B451">
        <v>9.1610000000000007E-3</v>
      </c>
      <c r="C451">
        <v>9.6200000000000001E-3</v>
      </c>
      <c r="D451">
        <v>8.4220000000000007E-3</v>
      </c>
      <c r="E451">
        <v>8.796E-3</v>
      </c>
      <c r="F451">
        <v>91346327</v>
      </c>
      <c r="G451">
        <v>0</v>
      </c>
      <c r="L451" t="s">
        <v>8</v>
      </c>
      <c r="M451" t="s">
        <v>7</v>
      </c>
      <c r="N451" t="s">
        <v>7</v>
      </c>
      <c r="P451">
        <f t="shared" si="974"/>
        <v>-0.37562604340567696</v>
      </c>
      <c r="Q451">
        <f t="shared" si="975"/>
        <v>-34312059.390651159</v>
      </c>
      <c r="R451">
        <f t="shared" si="976"/>
        <v>-4281694842.661047</v>
      </c>
      <c r="S451">
        <f t="shared" si="977"/>
        <v>-42816.94842661047</v>
      </c>
      <c r="T451">
        <f t="shared" si="978"/>
        <v>-42.816948426610473</v>
      </c>
    </row>
    <row r="452" spans="1:20" x14ac:dyDescent="0.25">
      <c r="A452" s="5">
        <v>44141</v>
      </c>
      <c r="B452">
        <v>8.6940000000000003E-3</v>
      </c>
      <c r="C452">
        <v>9.2739999999999993E-3</v>
      </c>
      <c r="D452">
        <v>8.6079999999999993E-3</v>
      </c>
      <c r="E452">
        <v>9.1599999999999997E-3</v>
      </c>
      <c r="F452">
        <v>56103711</v>
      </c>
      <c r="G452">
        <v>0</v>
      </c>
      <c r="L452" t="s">
        <v>8</v>
      </c>
      <c r="M452" t="s">
        <v>7</v>
      </c>
      <c r="N452" t="s">
        <v>7</v>
      </c>
      <c r="P452">
        <f t="shared" si="974"/>
        <v>0.65765765765765904</v>
      </c>
      <c r="Q452">
        <f t="shared" si="975"/>
        <v>36897035.162162237</v>
      </c>
      <c r="R452">
        <f t="shared" si="976"/>
        <v>-4247382783.2703958</v>
      </c>
      <c r="S452">
        <f t="shared" si="977"/>
        <v>-42473.827832703959</v>
      </c>
      <c r="T452">
        <f t="shared" si="978"/>
        <v>-42.473827832703961</v>
      </c>
    </row>
    <row r="453" spans="1:20" x14ac:dyDescent="0.25">
      <c r="A453" s="5">
        <v>44140</v>
      </c>
      <c r="B453">
        <v>8.4749999999999999E-3</v>
      </c>
      <c r="C453">
        <v>8.8190000000000004E-3</v>
      </c>
      <c r="D453">
        <v>8.201E-3</v>
      </c>
      <c r="E453">
        <v>8.6929999999999993E-3</v>
      </c>
      <c r="F453">
        <v>82683244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0.5922330097087346</v>
      </c>
      <c r="Q453">
        <f t="shared" si="975"/>
        <v>48967746.446601674</v>
      </c>
      <c r="R453">
        <f t="shared" si="976"/>
        <v>-4284279818.4325581</v>
      </c>
      <c r="S453">
        <f t="shared" si="977"/>
        <v>-42842.798184325584</v>
      </c>
      <c r="T453">
        <f t="shared" si="978"/>
        <v>-42.842798184325581</v>
      </c>
    </row>
    <row r="454" spans="1:20" x14ac:dyDescent="0.25">
      <c r="A454" s="5">
        <v>44139</v>
      </c>
      <c r="B454">
        <v>8.77E-3</v>
      </c>
      <c r="C454">
        <v>8.7910000000000002E-3</v>
      </c>
      <c r="D454">
        <v>8.3350000000000004E-3</v>
      </c>
      <c r="E454">
        <v>8.4749999999999999E-3</v>
      </c>
      <c r="F454">
        <v>38359073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-0.38596491228070368</v>
      </c>
      <c r="Q454">
        <f t="shared" ref="Q454:Q517" si="980">F454*P454</f>
        <v>-14805256.24561411</v>
      </c>
      <c r="R454">
        <f t="shared" ref="R454:R517" si="981">R455+Q454</f>
        <v>-4333247564.8791599</v>
      </c>
      <c r="S454">
        <f t="shared" ref="S454:S517" si="982">R454/100000</f>
        <v>-43332.475648791602</v>
      </c>
      <c r="T454">
        <f t="shared" ref="T454:T517" si="983">S454/1000</f>
        <v>-43.332475648791601</v>
      </c>
    </row>
    <row r="455" spans="1:20" x14ac:dyDescent="0.25">
      <c r="A455" s="5">
        <v>44138</v>
      </c>
      <c r="B455">
        <v>8.9619999999999995E-3</v>
      </c>
      <c r="C455">
        <v>9.0170000000000007E-3</v>
      </c>
      <c r="D455">
        <v>8.2000000000000007E-3</v>
      </c>
      <c r="E455">
        <v>8.7550000000000006E-3</v>
      </c>
      <c r="F455">
        <v>41953886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0.35862913096695209</v>
      </c>
      <c r="Q455">
        <f t="shared" si="980"/>
        <v>15045885.676866578</v>
      </c>
      <c r="R455">
        <f t="shared" si="981"/>
        <v>-4318442308.6335459</v>
      </c>
      <c r="S455">
        <f t="shared" si="982"/>
        <v>-43184.423086335461</v>
      </c>
      <c r="T455">
        <f t="shared" si="983"/>
        <v>-43.184423086335464</v>
      </c>
    </row>
    <row r="456" spans="1:20" x14ac:dyDescent="0.25">
      <c r="A456" s="5">
        <v>44137</v>
      </c>
      <c r="B456">
        <v>9.136E-3</v>
      </c>
      <c r="C456">
        <v>9.3500000000000007E-3</v>
      </c>
      <c r="D456">
        <v>8.8470000000000007E-3</v>
      </c>
      <c r="E456">
        <v>8.9630000000000005E-3</v>
      </c>
      <c r="F456">
        <v>24165011</v>
      </c>
      <c r="G456">
        <v>0</v>
      </c>
      <c r="L456" t="s">
        <v>8</v>
      </c>
      <c r="M456" t="s">
        <v>7</v>
      </c>
      <c r="N456" t="s">
        <v>8</v>
      </c>
      <c r="P456">
        <f t="shared" si="979"/>
        <v>-0.53876739562624343</v>
      </c>
      <c r="Q456">
        <f t="shared" si="980"/>
        <v>-13019320.041749524</v>
      </c>
      <c r="R456">
        <f t="shared" si="981"/>
        <v>-4333488194.3104124</v>
      </c>
      <c r="S456">
        <f t="shared" si="982"/>
        <v>-43334.881943104127</v>
      </c>
      <c r="T456">
        <f t="shared" si="983"/>
        <v>-43.334881943104129</v>
      </c>
    </row>
    <row r="457" spans="1:20" x14ac:dyDescent="0.25">
      <c r="A457" s="5">
        <v>44136</v>
      </c>
      <c r="B457">
        <v>9.2999999999999992E-3</v>
      </c>
      <c r="C457">
        <v>9.3819999999999997E-3</v>
      </c>
      <c r="D457">
        <v>9.0320000000000001E-3</v>
      </c>
      <c r="E457">
        <v>9.1610000000000007E-3</v>
      </c>
      <c r="F457">
        <v>22805287</v>
      </c>
      <c r="G457">
        <v>0</v>
      </c>
      <c r="L457" t="s">
        <v>8</v>
      </c>
      <c r="M457" t="s">
        <v>7</v>
      </c>
      <c r="N457" t="s">
        <v>8</v>
      </c>
      <c r="P457">
        <f t="shared" si="979"/>
        <v>-0.2628571428571384</v>
      </c>
      <c r="Q457">
        <f t="shared" si="980"/>
        <v>-5994532.5828570416</v>
      </c>
      <c r="R457">
        <f t="shared" si="981"/>
        <v>-4320468874.2686625</v>
      </c>
      <c r="S457">
        <f t="shared" si="982"/>
        <v>-43204.688742686623</v>
      </c>
      <c r="T457">
        <f t="shared" si="983"/>
        <v>-43.204688742686621</v>
      </c>
    </row>
    <row r="458" spans="1:20" x14ac:dyDescent="0.25">
      <c r="A458" s="5">
        <v>44135</v>
      </c>
      <c r="B458">
        <v>9.2700000000000005E-3</v>
      </c>
      <c r="C458">
        <v>9.4780000000000003E-3</v>
      </c>
      <c r="D458">
        <v>9.2079999999999992E-3</v>
      </c>
      <c r="E458">
        <v>9.3010000000000002E-3</v>
      </c>
      <c r="F458">
        <v>21820004</v>
      </c>
      <c r="G458">
        <v>0</v>
      </c>
      <c r="L458" t="s">
        <v>8</v>
      </c>
      <c r="M458" t="s">
        <v>7</v>
      </c>
      <c r="N458" t="s">
        <v>8</v>
      </c>
      <c r="P458">
        <f t="shared" si="979"/>
        <v>-0.31111111111110612</v>
      </c>
      <c r="Q458">
        <f t="shared" si="980"/>
        <v>-6788445.6888887798</v>
      </c>
      <c r="R458">
        <f t="shared" si="981"/>
        <v>-4314474341.6858053</v>
      </c>
      <c r="S458">
        <f t="shared" si="982"/>
        <v>-43144.743416858051</v>
      </c>
      <c r="T458">
        <f t="shared" si="983"/>
        <v>-43.144743416858049</v>
      </c>
    </row>
    <row r="459" spans="1:20" x14ac:dyDescent="0.25">
      <c r="A459" s="5">
        <v>44134</v>
      </c>
      <c r="B459">
        <v>9.3609999999999995E-3</v>
      </c>
      <c r="C459">
        <v>9.5139999999999999E-3</v>
      </c>
      <c r="D459">
        <v>8.8000000000000005E-3</v>
      </c>
      <c r="E459">
        <v>9.2700000000000005E-3</v>
      </c>
      <c r="F459">
        <v>45514281</v>
      </c>
      <c r="G459">
        <v>0</v>
      </c>
      <c r="L459" t="s">
        <v>7</v>
      </c>
      <c r="M459" t="s">
        <v>7</v>
      </c>
      <c r="N459" t="s">
        <v>8</v>
      </c>
      <c r="P459">
        <f t="shared" si="979"/>
        <v>0.31652661064425869</v>
      </c>
      <c r="Q459">
        <f t="shared" si="980"/>
        <v>14406481.10084038</v>
      </c>
      <c r="R459">
        <f t="shared" si="981"/>
        <v>-4307685895.9969168</v>
      </c>
      <c r="S459">
        <f t="shared" si="982"/>
        <v>-43076.85895996917</v>
      </c>
      <c r="T459">
        <f t="shared" si="983"/>
        <v>-43.076858959969172</v>
      </c>
    </row>
    <row r="460" spans="1:20" x14ac:dyDescent="0.25">
      <c r="A460" s="5">
        <v>44133</v>
      </c>
      <c r="B460">
        <v>9.5829999999999995E-3</v>
      </c>
      <c r="C460">
        <v>9.6439999999999998E-3</v>
      </c>
      <c r="D460">
        <v>9.2999999999999992E-3</v>
      </c>
      <c r="E460">
        <v>9.3620000000000005E-3</v>
      </c>
      <c r="F460">
        <v>28708655</v>
      </c>
      <c r="G460">
        <v>0</v>
      </c>
      <c r="L460" t="s">
        <v>7</v>
      </c>
      <c r="M460" t="s">
        <v>7</v>
      </c>
      <c r="N460" t="s">
        <v>8</v>
      </c>
      <c r="P460">
        <f t="shared" si="979"/>
        <v>-0.63953488372092326</v>
      </c>
      <c r="Q460">
        <f t="shared" si="980"/>
        <v>-18360186.337209102</v>
      </c>
      <c r="R460">
        <f t="shared" si="981"/>
        <v>-4322092377.0977573</v>
      </c>
      <c r="S460">
        <f t="shared" si="982"/>
        <v>-43220.92377097757</v>
      </c>
      <c r="T460">
        <f t="shared" si="983"/>
        <v>-43.220923770977571</v>
      </c>
    </row>
    <row r="461" spans="1:20" x14ac:dyDescent="0.25">
      <c r="A461" s="5">
        <v>44132</v>
      </c>
      <c r="B461">
        <v>9.9019999999999993E-3</v>
      </c>
      <c r="C461">
        <v>1.0175999999999999E-2</v>
      </c>
      <c r="D461">
        <v>9.4809999999999998E-3</v>
      </c>
      <c r="E461">
        <v>9.5709999999999996E-3</v>
      </c>
      <c r="F461">
        <v>52512762</v>
      </c>
      <c r="G461">
        <v>0</v>
      </c>
      <c r="L461" t="s">
        <v>8</v>
      </c>
      <c r="M461" t="s">
        <v>7</v>
      </c>
      <c r="N461" t="s">
        <v>8</v>
      </c>
      <c r="P461">
        <f t="shared" si="979"/>
        <v>-0.74100719424460471</v>
      </c>
      <c r="Q461">
        <f t="shared" si="980"/>
        <v>-38912334.431654699</v>
      </c>
      <c r="R461">
        <f t="shared" si="981"/>
        <v>-4303732190.7605486</v>
      </c>
      <c r="S461">
        <f t="shared" si="982"/>
        <v>-43037.321907605488</v>
      </c>
      <c r="T461">
        <f t="shared" si="983"/>
        <v>-43.037321907605488</v>
      </c>
    </row>
    <row r="462" spans="1:20" x14ac:dyDescent="0.25">
      <c r="A462" s="5">
        <v>44131</v>
      </c>
      <c r="B462">
        <v>9.7000000000000003E-3</v>
      </c>
      <c r="C462">
        <v>9.9279999999999993E-3</v>
      </c>
      <c r="D462">
        <v>9.6439999999999998E-3</v>
      </c>
      <c r="E462">
        <v>9.9010000000000001E-3</v>
      </c>
      <c r="F462">
        <v>34276718</v>
      </c>
      <c r="G462">
        <v>0</v>
      </c>
      <c r="L462" t="s">
        <v>7</v>
      </c>
      <c r="M462" t="s">
        <v>7</v>
      </c>
      <c r="N462" t="s">
        <v>8</v>
      </c>
      <c r="P462">
        <f t="shared" si="979"/>
        <v>0.80985915492958249</v>
      </c>
      <c r="Q462">
        <f t="shared" si="980"/>
        <v>27759313.87323961</v>
      </c>
      <c r="R462">
        <f t="shared" si="981"/>
        <v>-4264819856.3288941</v>
      </c>
      <c r="S462">
        <f t="shared" si="982"/>
        <v>-42648.198563288941</v>
      </c>
      <c r="T462">
        <f t="shared" si="983"/>
        <v>-42.648198563288943</v>
      </c>
    </row>
    <row r="463" spans="1:20" x14ac:dyDescent="0.25">
      <c r="A463" s="5">
        <v>44130</v>
      </c>
      <c r="B463">
        <v>1.0004000000000001E-2</v>
      </c>
      <c r="C463">
        <v>1.0076E-2</v>
      </c>
      <c r="D463">
        <v>9.4999999999999998E-3</v>
      </c>
      <c r="E463">
        <v>9.7370000000000009E-3</v>
      </c>
      <c r="F463">
        <v>53230410</v>
      </c>
      <c r="G463">
        <v>0</v>
      </c>
      <c r="L463" t="s">
        <v>7</v>
      </c>
      <c r="M463" t="s">
        <v>7</v>
      </c>
      <c r="N463" t="s">
        <v>8</v>
      </c>
      <c r="P463">
        <f t="shared" si="979"/>
        <v>-0.17708333333332971</v>
      </c>
      <c r="Q463">
        <f t="shared" si="980"/>
        <v>-9426218.4374998063</v>
      </c>
      <c r="R463">
        <f t="shared" si="981"/>
        <v>-4292579170.2021337</v>
      </c>
      <c r="S463">
        <f t="shared" si="982"/>
        <v>-42925.791702021335</v>
      </c>
      <c r="T463">
        <f t="shared" si="983"/>
        <v>-42.925791702021336</v>
      </c>
    </row>
    <row r="464" spans="1:20" x14ac:dyDescent="0.25">
      <c r="A464" s="5">
        <v>44129</v>
      </c>
      <c r="B464">
        <v>1.0286999999999999E-2</v>
      </c>
      <c r="C464">
        <v>1.0501999999999999E-2</v>
      </c>
      <c r="D464">
        <v>9.9089999999999994E-3</v>
      </c>
      <c r="E464">
        <v>1.0000999999999999E-2</v>
      </c>
      <c r="F464">
        <v>41657999</v>
      </c>
      <c r="G464">
        <v>0</v>
      </c>
      <c r="L464" t="s">
        <v>8</v>
      </c>
      <c r="M464" t="s">
        <v>7</v>
      </c>
      <c r="N464" t="s">
        <v>8</v>
      </c>
      <c r="P464">
        <f t="shared" si="979"/>
        <v>-0.68971332209106206</v>
      </c>
      <c r="Q464">
        <f t="shared" si="980"/>
        <v>-28732076.881956141</v>
      </c>
      <c r="R464">
        <f t="shared" si="981"/>
        <v>-4283152951.7646337</v>
      </c>
      <c r="S464">
        <f t="shared" si="982"/>
        <v>-42831.529517646333</v>
      </c>
      <c r="T464">
        <f t="shared" si="983"/>
        <v>-42.831529517646331</v>
      </c>
    </row>
    <row r="465" spans="1:20" x14ac:dyDescent="0.25">
      <c r="A465" s="5">
        <v>44128</v>
      </c>
      <c r="B465">
        <v>1.0078999999999999E-2</v>
      </c>
      <c r="C465">
        <v>1.0399E-2</v>
      </c>
      <c r="D465">
        <v>9.9590000000000008E-3</v>
      </c>
      <c r="E465">
        <v>1.0286999999999999E-2</v>
      </c>
      <c r="F465">
        <v>54481329</v>
      </c>
      <c r="G465">
        <v>0</v>
      </c>
      <c r="L465" t="s">
        <v>8</v>
      </c>
      <c r="M465" t="s">
        <v>7</v>
      </c>
      <c r="N465" t="s">
        <v>8</v>
      </c>
      <c r="P465">
        <f t="shared" si="979"/>
        <v>0.49090909090908574</v>
      </c>
      <c r="Q465">
        <f t="shared" si="980"/>
        <v>26745379.690908808</v>
      </c>
      <c r="R465">
        <f t="shared" si="981"/>
        <v>-4254420874.8826776</v>
      </c>
      <c r="S465">
        <f t="shared" si="982"/>
        <v>-42544.208748826779</v>
      </c>
      <c r="T465">
        <f t="shared" si="983"/>
        <v>-42.544208748826776</v>
      </c>
    </row>
    <row r="466" spans="1:20" x14ac:dyDescent="0.25">
      <c r="A466" s="5">
        <v>44127</v>
      </c>
      <c r="B466">
        <v>1.013E-2</v>
      </c>
      <c r="C466">
        <v>1.0500000000000001E-2</v>
      </c>
      <c r="D466">
        <v>9.6799999999999994E-3</v>
      </c>
      <c r="E466">
        <v>1.0094000000000001E-2</v>
      </c>
      <c r="F466">
        <v>53473231</v>
      </c>
      <c r="G466">
        <v>0</v>
      </c>
      <c r="L466" t="s">
        <v>7</v>
      </c>
      <c r="M466" t="s">
        <v>7</v>
      </c>
      <c r="N466" t="s">
        <v>8</v>
      </c>
      <c r="P466">
        <f t="shared" si="979"/>
        <v>9.75609756097689E-3</v>
      </c>
      <c r="Q466">
        <f t="shared" si="980"/>
        <v>521690.05853665381</v>
      </c>
      <c r="R466">
        <f t="shared" si="981"/>
        <v>-4281166254.5735865</v>
      </c>
      <c r="S466">
        <f t="shared" si="982"/>
        <v>-42811.662545735868</v>
      </c>
      <c r="T466">
        <f t="shared" si="983"/>
        <v>-42.811662545735871</v>
      </c>
    </row>
    <row r="467" spans="1:20" x14ac:dyDescent="0.25">
      <c r="A467" s="5">
        <v>44126</v>
      </c>
      <c r="B467">
        <v>1.0021E-2</v>
      </c>
      <c r="C467">
        <v>1.034E-2</v>
      </c>
      <c r="D467">
        <v>9.8600000000000007E-3</v>
      </c>
      <c r="E467">
        <v>1.0142999999999999E-2</v>
      </c>
      <c r="F467">
        <v>148668236</v>
      </c>
      <c r="G467">
        <v>0</v>
      </c>
      <c r="L467" t="s">
        <v>7</v>
      </c>
      <c r="M467" t="s">
        <v>7</v>
      </c>
      <c r="N467" t="s">
        <v>8</v>
      </c>
      <c r="P467">
        <f t="shared" si="979"/>
        <v>0.1791666666666617</v>
      </c>
      <c r="Q467">
        <f t="shared" si="980"/>
        <v>26636392.283332594</v>
      </c>
      <c r="R467">
        <f t="shared" si="981"/>
        <v>-4281687944.632123</v>
      </c>
      <c r="S467">
        <f t="shared" si="982"/>
        <v>-42816.879446321233</v>
      </c>
      <c r="T467">
        <f t="shared" si="983"/>
        <v>-42.816879446321231</v>
      </c>
    </row>
    <row r="468" spans="1:20" x14ac:dyDescent="0.25">
      <c r="A468" s="5">
        <v>44125</v>
      </c>
      <c r="B468">
        <v>9.5029999999999993E-3</v>
      </c>
      <c r="C468">
        <v>1.065E-2</v>
      </c>
      <c r="D468">
        <v>9.4649999999999995E-3</v>
      </c>
      <c r="E468">
        <v>1.0005999999999999E-2</v>
      </c>
      <c r="F468">
        <v>229391747</v>
      </c>
      <c r="G468">
        <v>0</v>
      </c>
      <c r="L468" t="s">
        <v>8</v>
      </c>
      <c r="M468" t="s">
        <v>7</v>
      </c>
      <c r="N468" t="s">
        <v>8</v>
      </c>
      <c r="P468">
        <f t="shared" si="979"/>
        <v>-8.6919831223629229E-2</v>
      </c>
      <c r="Q468">
        <f t="shared" si="980"/>
        <v>-19938691.933333457</v>
      </c>
      <c r="R468">
        <f t="shared" si="981"/>
        <v>-4308324336.9154558</v>
      </c>
      <c r="S468">
        <f t="shared" si="982"/>
        <v>-43083.243369154559</v>
      </c>
      <c r="T468">
        <f t="shared" si="983"/>
        <v>-43.083243369154559</v>
      </c>
    </row>
    <row r="469" spans="1:20" x14ac:dyDescent="0.25">
      <c r="A469" s="5">
        <v>44124</v>
      </c>
      <c r="B469">
        <v>9.7719999999999994E-3</v>
      </c>
      <c r="C469">
        <v>1.0031999999999999E-2</v>
      </c>
      <c r="D469">
        <v>9.2099999999999994E-3</v>
      </c>
      <c r="E469">
        <v>9.4979999999999995E-3</v>
      </c>
      <c r="F469">
        <v>99326165</v>
      </c>
      <c r="G469">
        <v>0</v>
      </c>
      <c r="L469" t="s">
        <v>7</v>
      </c>
      <c r="M469" t="s">
        <v>7</v>
      </c>
      <c r="N469" t="s">
        <v>8</v>
      </c>
      <c r="P469">
        <f t="shared" si="979"/>
        <v>-0.29927007299270042</v>
      </c>
      <c r="Q469">
        <f t="shared" si="980"/>
        <v>-29725348.649635006</v>
      </c>
      <c r="R469">
        <f t="shared" si="981"/>
        <v>-4288385644.9821224</v>
      </c>
      <c r="S469">
        <f t="shared" si="982"/>
        <v>-42883.856449821222</v>
      </c>
      <c r="T469">
        <f t="shared" si="983"/>
        <v>-42.883856449821224</v>
      </c>
    </row>
    <row r="470" spans="1:20" x14ac:dyDescent="0.25">
      <c r="A470" s="5">
        <v>44123</v>
      </c>
      <c r="B470">
        <v>9.8460000000000006E-3</v>
      </c>
      <c r="C470">
        <v>9.9679999999999994E-3</v>
      </c>
      <c r="D470">
        <v>9.7000000000000003E-3</v>
      </c>
      <c r="E470">
        <v>9.7649999999999994E-3</v>
      </c>
      <c r="F470">
        <v>48004691</v>
      </c>
      <c r="G470">
        <v>0</v>
      </c>
      <c r="L470" t="s">
        <v>8</v>
      </c>
      <c r="M470" t="s">
        <v>7</v>
      </c>
      <c r="N470" t="s">
        <v>8</v>
      </c>
      <c r="P470">
        <f t="shared" si="979"/>
        <v>-0.51492537313433362</v>
      </c>
      <c r="Q470">
        <f t="shared" si="980"/>
        <v>-24718833.425373387</v>
      </c>
      <c r="R470">
        <f t="shared" si="981"/>
        <v>-4258660296.3324876</v>
      </c>
      <c r="S470">
        <f t="shared" si="982"/>
        <v>-42586.602963324876</v>
      </c>
      <c r="T470">
        <f t="shared" si="983"/>
        <v>-42.586602963324879</v>
      </c>
    </row>
    <row r="471" spans="1:20" x14ac:dyDescent="0.25">
      <c r="A471" s="5">
        <v>44122</v>
      </c>
      <c r="B471">
        <v>9.5589999999999998E-3</v>
      </c>
      <c r="C471">
        <v>9.8770000000000004E-3</v>
      </c>
      <c r="D471">
        <v>9.5289999999999993E-3</v>
      </c>
      <c r="E471">
        <v>9.8580000000000004E-3</v>
      </c>
      <c r="F471">
        <v>23590540</v>
      </c>
      <c r="G471">
        <v>0</v>
      </c>
      <c r="L471" t="s">
        <v>7</v>
      </c>
      <c r="M471" t="s">
        <v>7</v>
      </c>
      <c r="N471" t="s">
        <v>8</v>
      </c>
      <c r="P471">
        <f t="shared" si="979"/>
        <v>0.89080459770115028</v>
      </c>
      <c r="Q471">
        <f t="shared" si="980"/>
        <v>21014561.494252894</v>
      </c>
      <c r="R471">
        <f t="shared" si="981"/>
        <v>-4233941462.907114</v>
      </c>
      <c r="S471">
        <f t="shared" si="982"/>
        <v>-42339.414629071143</v>
      </c>
      <c r="T471">
        <f t="shared" si="983"/>
        <v>-42.339414629071143</v>
      </c>
    </row>
    <row r="472" spans="1:20" x14ac:dyDescent="0.25">
      <c r="A472" s="5">
        <v>44121</v>
      </c>
      <c r="B472">
        <v>9.7070000000000004E-3</v>
      </c>
      <c r="C472">
        <v>9.9000000000000008E-3</v>
      </c>
      <c r="D472">
        <v>9.4570000000000001E-3</v>
      </c>
      <c r="E472">
        <v>9.5729999999999999E-3</v>
      </c>
      <c r="F472">
        <v>35971395</v>
      </c>
      <c r="G472">
        <v>0</v>
      </c>
      <c r="L472" t="s">
        <v>7</v>
      </c>
      <c r="M472" t="s">
        <v>7</v>
      </c>
      <c r="N472" t="s">
        <v>8</v>
      </c>
      <c r="P472">
        <f t="shared" si="979"/>
        <v>-0.47629796839729299</v>
      </c>
      <c r="Q472">
        <f t="shared" si="980"/>
        <v>-17133102.358916543</v>
      </c>
      <c r="R472">
        <f t="shared" si="981"/>
        <v>-4254956024.4013667</v>
      </c>
      <c r="S472">
        <f t="shared" si="982"/>
        <v>-42549.560244013664</v>
      </c>
      <c r="T472">
        <f t="shared" si="983"/>
        <v>-42.549560244013662</v>
      </c>
    </row>
    <row r="473" spans="1:20" x14ac:dyDescent="0.25">
      <c r="A473" s="5">
        <v>44120</v>
      </c>
      <c r="B473">
        <v>9.8359999999999993E-3</v>
      </c>
      <c r="C473">
        <v>1.0161999999999999E-2</v>
      </c>
      <c r="D473">
        <v>9.3200000000000002E-3</v>
      </c>
      <c r="E473">
        <v>9.7040000000000008E-3</v>
      </c>
      <c r="F473">
        <v>103343525</v>
      </c>
      <c r="G473">
        <v>0</v>
      </c>
      <c r="L473" t="s">
        <v>7</v>
      </c>
      <c r="M473" t="s">
        <v>7</v>
      </c>
      <c r="N473" t="s">
        <v>8</v>
      </c>
      <c r="P473">
        <f t="shared" si="979"/>
        <v>-8.7885985748215878E-2</v>
      </c>
      <c r="Q473">
        <f t="shared" si="980"/>
        <v>-9082447.5653203912</v>
      </c>
      <c r="R473">
        <f t="shared" si="981"/>
        <v>-4237822922.04245</v>
      </c>
      <c r="S473">
        <f t="shared" si="982"/>
        <v>-42378.229220424502</v>
      </c>
      <c r="T473">
        <f t="shared" si="983"/>
        <v>-42.378229220424501</v>
      </c>
    </row>
    <row r="474" spans="1:20" x14ac:dyDescent="0.25">
      <c r="A474" s="5">
        <v>44119</v>
      </c>
      <c r="B474">
        <v>9.9000000000000008E-3</v>
      </c>
      <c r="C474">
        <v>9.9399999999999992E-3</v>
      </c>
      <c r="D474">
        <v>9.4500000000000001E-3</v>
      </c>
      <c r="E474">
        <v>9.8379999999999995E-3</v>
      </c>
      <c r="F474">
        <v>56546324</v>
      </c>
      <c r="G474">
        <v>0</v>
      </c>
      <c r="L474" t="s">
        <v>7</v>
      </c>
      <c r="M474" t="s">
        <v>7</v>
      </c>
      <c r="N474" t="s">
        <v>8</v>
      </c>
      <c r="P474">
        <f t="shared" si="979"/>
        <v>0.58367346938775577</v>
      </c>
      <c r="Q474">
        <f t="shared" si="980"/>
        <v>33004589.110204119</v>
      </c>
      <c r="R474">
        <f t="shared" si="981"/>
        <v>-4228740474.4771295</v>
      </c>
      <c r="S474">
        <f t="shared" si="982"/>
        <v>-42287.404744771295</v>
      </c>
      <c r="T474">
        <f t="shared" si="983"/>
        <v>-42.287404744771294</v>
      </c>
    </row>
    <row r="475" spans="1:20" x14ac:dyDescent="0.25">
      <c r="A475" s="5">
        <v>44118</v>
      </c>
      <c r="B475">
        <v>9.8930000000000008E-3</v>
      </c>
      <c r="C475">
        <v>9.9340000000000001E-3</v>
      </c>
      <c r="D475">
        <v>9.6399999999999993E-3</v>
      </c>
      <c r="E475">
        <v>9.9000000000000008E-3</v>
      </c>
      <c r="F475">
        <v>39153051</v>
      </c>
      <c r="G475">
        <v>0</v>
      </c>
      <c r="L475" t="s">
        <v>8</v>
      </c>
      <c r="M475" t="s">
        <v>7</v>
      </c>
      <c r="N475" t="s">
        <v>8</v>
      </c>
      <c r="P475">
        <f t="shared" si="979"/>
        <v>0.76870748299320268</v>
      </c>
      <c r="Q475">
        <f t="shared" si="980"/>
        <v>30097243.285714496</v>
      </c>
      <c r="R475">
        <f t="shared" si="981"/>
        <v>-4261745063.5873337</v>
      </c>
      <c r="S475">
        <f t="shared" si="982"/>
        <v>-42617.450635873334</v>
      </c>
      <c r="T475">
        <f t="shared" si="983"/>
        <v>-42.617450635873332</v>
      </c>
    </row>
    <row r="476" spans="1:20" x14ac:dyDescent="0.25">
      <c r="A476" s="5">
        <v>44117</v>
      </c>
      <c r="B476">
        <v>9.8420000000000001E-3</v>
      </c>
      <c r="C476">
        <v>1.0045E-2</v>
      </c>
      <c r="D476">
        <v>9.639E-3</v>
      </c>
      <c r="E476">
        <v>9.9069999999999991E-3</v>
      </c>
      <c r="F476">
        <v>46814645</v>
      </c>
      <c r="G476">
        <v>0</v>
      </c>
      <c r="L476" t="s">
        <v>8</v>
      </c>
      <c r="M476" t="s">
        <v>7</v>
      </c>
      <c r="N476" t="s">
        <v>8</v>
      </c>
      <c r="P476">
        <f t="shared" si="979"/>
        <v>0.32019704433497076</v>
      </c>
      <c r="Q476">
        <f t="shared" si="980"/>
        <v>14989910.960590918</v>
      </c>
      <c r="R476">
        <f t="shared" si="981"/>
        <v>-4291842306.8730483</v>
      </c>
      <c r="S476">
        <f t="shared" si="982"/>
        <v>-42918.423068730481</v>
      </c>
      <c r="T476">
        <f t="shared" si="983"/>
        <v>-42.918423068730483</v>
      </c>
    </row>
    <row r="477" spans="1:20" x14ac:dyDescent="0.25">
      <c r="A477" s="5">
        <v>44116</v>
      </c>
      <c r="B477">
        <v>9.9050000000000006E-3</v>
      </c>
      <c r="C477">
        <v>9.9480000000000002E-3</v>
      </c>
      <c r="D477">
        <v>9.5499999999999995E-3</v>
      </c>
      <c r="E477">
        <v>9.8779999999999996E-3</v>
      </c>
      <c r="F477">
        <v>54991855</v>
      </c>
      <c r="G477">
        <v>0</v>
      </c>
      <c r="L477" t="s">
        <v>8</v>
      </c>
      <c r="M477" t="s">
        <v>7</v>
      </c>
      <c r="N477" t="s">
        <v>8</v>
      </c>
      <c r="P477">
        <f t="shared" si="979"/>
        <v>0.64824120603014834</v>
      </c>
      <c r="Q477">
        <f t="shared" si="980"/>
        <v>35647986.407035045</v>
      </c>
      <c r="R477">
        <f t="shared" si="981"/>
        <v>-4306832217.8336391</v>
      </c>
      <c r="S477">
        <f t="shared" si="982"/>
        <v>-43068.322178336392</v>
      </c>
      <c r="T477">
        <f t="shared" si="983"/>
        <v>-43.068322178336395</v>
      </c>
    </row>
    <row r="478" spans="1:20" x14ac:dyDescent="0.25">
      <c r="A478" s="5">
        <v>44115</v>
      </c>
      <c r="B478">
        <v>1.0101000000000001E-2</v>
      </c>
      <c r="C478">
        <v>1.0142999999999999E-2</v>
      </c>
      <c r="D478">
        <v>9.7450000000000002E-3</v>
      </c>
      <c r="E478">
        <v>9.9050000000000006E-3</v>
      </c>
      <c r="F478">
        <v>46202909</v>
      </c>
      <c r="G478">
        <v>0</v>
      </c>
      <c r="L478" t="s">
        <v>8</v>
      </c>
      <c r="M478" t="s">
        <v>7</v>
      </c>
      <c r="N478" t="s">
        <v>8</v>
      </c>
      <c r="P478">
        <f t="shared" si="979"/>
        <v>-0.1959798994974834</v>
      </c>
      <c r="Q478">
        <f t="shared" si="980"/>
        <v>-9054841.4623113722</v>
      </c>
      <c r="R478">
        <f t="shared" si="981"/>
        <v>-4342480204.240674</v>
      </c>
      <c r="S478">
        <f t="shared" si="982"/>
        <v>-43424.802042406744</v>
      </c>
      <c r="T478">
        <f t="shared" si="983"/>
        <v>-43.424802042406746</v>
      </c>
    </row>
    <row r="479" spans="1:20" x14ac:dyDescent="0.25">
      <c r="A479" s="5">
        <v>44114</v>
      </c>
      <c r="B479">
        <v>9.9089999999999994E-3</v>
      </c>
      <c r="C479">
        <v>1.0259000000000001E-2</v>
      </c>
      <c r="D479">
        <v>9.639E-3</v>
      </c>
      <c r="E479">
        <v>1.0102E-2</v>
      </c>
      <c r="F479">
        <v>82046265</v>
      </c>
      <c r="G479">
        <v>0</v>
      </c>
      <c r="L479" t="s">
        <v>8</v>
      </c>
      <c r="M479" t="s">
        <v>7</v>
      </c>
      <c r="N479" t="s">
        <v>8</v>
      </c>
      <c r="P479">
        <f t="shared" si="979"/>
        <v>0.49354838709677196</v>
      </c>
      <c r="Q479">
        <f t="shared" si="980"/>
        <v>40493801.75806433</v>
      </c>
      <c r="R479">
        <f t="shared" si="981"/>
        <v>-4333425362.7783623</v>
      </c>
      <c r="S479">
        <f t="shared" si="982"/>
        <v>-43334.253627783626</v>
      </c>
      <c r="T479">
        <f t="shared" si="983"/>
        <v>-43.334253627783625</v>
      </c>
    </row>
    <row r="480" spans="1:20" x14ac:dyDescent="0.25">
      <c r="A480" s="5">
        <v>44113</v>
      </c>
      <c r="B480">
        <v>9.6360000000000005E-3</v>
      </c>
      <c r="C480">
        <v>1.0099E-2</v>
      </c>
      <c r="D480">
        <v>9.4240000000000001E-3</v>
      </c>
      <c r="E480">
        <v>9.9010000000000001E-3</v>
      </c>
      <c r="F480">
        <v>83688604</v>
      </c>
      <c r="G480">
        <v>0</v>
      </c>
      <c r="L480" t="s">
        <v>8</v>
      </c>
      <c r="M480" t="s">
        <v>7</v>
      </c>
      <c r="N480" t="s">
        <v>8</v>
      </c>
      <c r="P480">
        <f t="shared" si="979"/>
        <v>0.41333333333333278</v>
      </c>
      <c r="Q480">
        <f t="shared" si="980"/>
        <v>34591289.653333284</v>
      </c>
      <c r="R480">
        <f t="shared" si="981"/>
        <v>-4373919164.5364265</v>
      </c>
      <c r="S480">
        <f t="shared" si="982"/>
        <v>-43739.191645364263</v>
      </c>
      <c r="T480">
        <f t="shared" si="983"/>
        <v>-43.739191645364265</v>
      </c>
    </row>
    <row r="481" spans="1:20" x14ac:dyDescent="0.25">
      <c r="A481" s="5">
        <v>44112</v>
      </c>
      <c r="B481">
        <v>9.5549999999999993E-3</v>
      </c>
      <c r="C481">
        <v>9.7319999999999993E-3</v>
      </c>
      <c r="D481">
        <v>9.1430000000000001E-3</v>
      </c>
      <c r="E481">
        <v>9.6430000000000005E-3</v>
      </c>
      <c r="F481">
        <v>49481616</v>
      </c>
      <c r="G481">
        <v>0</v>
      </c>
      <c r="L481" t="s">
        <v>7</v>
      </c>
      <c r="M481" t="s">
        <v>7</v>
      </c>
      <c r="N481" t="s">
        <v>8</v>
      </c>
      <c r="P481">
        <f t="shared" si="979"/>
        <v>0.69779286926995276</v>
      </c>
      <c r="Q481">
        <f t="shared" si="980"/>
        <v>34527918.804754004</v>
      </c>
      <c r="R481">
        <f t="shared" si="981"/>
        <v>-4408510454.1897602</v>
      </c>
      <c r="S481">
        <f t="shared" si="982"/>
        <v>-44085.104541897599</v>
      </c>
      <c r="T481">
        <f t="shared" si="983"/>
        <v>-44.0851045418976</v>
      </c>
    </row>
    <row r="482" spans="1:20" x14ac:dyDescent="0.25">
      <c r="A482" s="5">
        <v>44111</v>
      </c>
      <c r="B482">
        <v>9.2650000000000007E-3</v>
      </c>
      <c r="C482">
        <v>9.8460000000000006E-3</v>
      </c>
      <c r="D482">
        <v>9.0209999999999995E-3</v>
      </c>
      <c r="E482">
        <v>9.5560000000000003E-3</v>
      </c>
      <c r="F482">
        <v>51017422</v>
      </c>
      <c r="G482">
        <v>0</v>
      </c>
      <c r="L482" t="s">
        <v>8</v>
      </c>
      <c r="M482" t="s">
        <v>7</v>
      </c>
      <c r="N482" t="s">
        <v>8</v>
      </c>
      <c r="P482">
        <f t="shared" si="979"/>
        <v>0.29696969696969711</v>
      </c>
      <c r="Q482">
        <f t="shared" si="980"/>
        <v>15150628.351515159</v>
      </c>
      <c r="R482">
        <f t="shared" si="981"/>
        <v>-4443038372.9945145</v>
      </c>
      <c r="S482">
        <f t="shared" si="982"/>
        <v>-44430.383729945148</v>
      </c>
      <c r="T482">
        <f t="shared" si="983"/>
        <v>-44.430383729945149</v>
      </c>
    </row>
    <row r="483" spans="1:20" x14ac:dyDescent="0.25">
      <c r="A483" s="5">
        <v>44110</v>
      </c>
      <c r="B483">
        <v>9.8580000000000004E-3</v>
      </c>
      <c r="C483">
        <v>9.8770000000000004E-3</v>
      </c>
      <c r="D483">
        <v>9.0969999999999992E-3</v>
      </c>
      <c r="E483">
        <v>9.2999999999999992E-3</v>
      </c>
      <c r="F483">
        <v>90433205</v>
      </c>
      <c r="G483">
        <v>0</v>
      </c>
      <c r="L483" t="s">
        <v>7</v>
      </c>
      <c r="M483" t="s">
        <v>7</v>
      </c>
      <c r="N483" t="s">
        <v>8</v>
      </c>
      <c r="P483">
        <f t="shared" si="979"/>
        <v>-0.47948717948718012</v>
      </c>
      <c r="Q483">
        <f t="shared" si="980"/>
        <v>-43361562.397435956</v>
      </c>
      <c r="R483">
        <f t="shared" si="981"/>
        <v>-4458189001.3460293</v>
      </c>
      <c r="S483">
        <f t="shared" si="982"/>
        <v>-44581.890013460295</v>
      </c>
      <c r="T483">
        <f t="shared" si="983"/>
        <v>-44.581890013460296</v>
      </c>
    </row>
    <row r="484" spans="1:20" x14ac:dyDescent="0.25">
      <c r="A484" s="5">
        <v>44109</v>
      </c>
      <c r="B484">
        <v>9.9520000000000008E-3</v>
      </c>
      <c r="C484">
        <v>1.0088E-2</v>
      </c>
      <c r="D484">
        <v>9.5390000000000006E-3</v>
      </c>
      <c r="E484">
        <v>9.8650000000000005E-3</v>
      </c>
      <c r="F484">
        <v>62657401</v>
      </c>
      <c r="G484">
        <v>0</v>
      </c>
      <c r="L484" t="s">
        <v>7</v>
      </c>
      <c r="M484" t="s">
        <v>7</v>
      </c>
      <c r="N484" t="s">
        <v>8</v>
      </c>
      <c r="P484">
        <f t="shared" si="979"/>
        <v>0.18761384335154976</v>
      </c>
      <c r="Q484">
        <f t="shared" si="980"/>
        <v>11755395.816029238</v>
      </c>
      <c r="R484">
        <f t="shared" si="981"/>
        <v>-4414827438.9485931</v>
      </c>
      <c r="S484">
        <f t="shared" si="982"/>
        <v>-44148.27438948593</v>
      </c>
      <c r="T484">
        <f t="shared" si="983"/>
        <v>-44.148274389485934</v>
      </c>
    </row>
    <row r="485" spans="1:20" x14ac:dyDescent="0.25">
      <c r="A485" s="5">
        <v>44108</v>
      </c>
      <c r="B485">
        <v>1.004E-2</v>
      </c>
      <c r="C485">
        <v>1.0495000000000001E-2</v>
      </c>
      <c r="D485">
        <v>9.6399999999999993E-3</v>
      </c>
      <c r="E485">
        <v>9.9520000000000008E-3</v>
      </c>
      <c r="F485">
        <v>96632079</v>
      </c>
      <c r="G485">
        <v>0</v>
      </c>
      <c r="L485" t="s">
        <v>7</v>
      </c>
      <c r="M485" t="s">
        <v>7</v>
      </c>
      <c r="N485" t="s">
        <v>8</v>
      </c>
      <c r="P485">
        <f t="shared" si="979"/>
        <v>-0.27017543859648907</v>
      </c>
      <c r="Q485">
        <f t="shared" si="980"/>
        <v>-26107614.326315582</v>
      </c>
      <c r="R485">
        <f t="shared" si="981"/>
        <v>-4426582834.7646227</v>
      </c>
      <c r="S485">
        <f t="shared" si="982"/>
        <v>-44265.828347646224</v>
      </c>
      <c r="T485">
        <f t="shared" si="983"/>
        <v>-44.265828347646227</v>
      </c>
    </row>
    <row r="486" spans="1:20" x14ac:dyDescent="0.25">
      <c r="A486" s="5">
        <v>44107</v>
      </c>
      <c r="B486">
        <v>9.3509999999999999E-3</v>
      </c>
      <c r="C486">
        <v>1.039E-2</v>
      </c>
      <c r="D486">
        <v>9.2680000000000002E-3</v>
      </c>
      <c r="E486">
        <v>1.004E-2</v>
      </c>
      <c r="F486">
        <v>105016248</v>
      </c>
      <c r="G486">
        <v>0</v>
      </c>
      <c r="L486" t="s">
        <v>8</v>
      </c>
      <c r="M486" t="s">
        <v>7</v>
      </c>
      <c r="N486" t="s">
        <v>8</v>
      </c>
      <c r="P486">
        <f t="shared" si="979"/>
        <v>0.37611408199643548</v>
      </c>
      <c r="Q486">
        <f t="shared" si="980"/>
        <v>39498089.711230002</v>
      </c>
      <c r="R486">
        <f t="shared" si="981"/>
        <v>-4400475220.4383068</v>
      </c>
      <c r="S486">
        <f t="shared" si="982"/>
        <v>-44004.752204383069</v>
      </c>
      <c r="T486">
        <f t="shared" si="983"/>
        <v>-44.004752204383067</v>
      </c>
    </row>
    <row r="487" spans="1:20" x14ac:dyDescent="0.25">
      <c r="A487" s="5">
        <v>44106</v>
      </c>
      <c r="B487">
        <v>9.8879999999999992E-3</v>
      </c>
      <c r="C487">
        <v>1.0204E-2</v>
      </c>
      <c r="D487">
        <v>8.8400000000000006E-3</v>
      </c>
      <c r="E487">
        <v>9.3290000000000005E-3</v>
      </c>
      <c r="F487">
        <v>153547422</v>
      </c>
      <c r="G487">
        <v>0</v>
      </c>
      <c r="L487" t="s">
        <v>7</v>
      </c>
      <c r="M487" t="s">
        <v>7</v>
      </c>
      <c r="N487" t="s">
        <v>8</v>
      </c>
      <c r="P487">
        <f t="shared" si="979"/>
        <v>-0.28299120234604069</v>
      </c>
      <c r="Q487">
        <f t="shared" si="980"/>
        <v>-43452569.568914898</v>
      </c>
      <c r="R487">
        <f t="shared" si="981"/>
        <v>-4439973310.1495371</v>
      </c>
      <c r="S487">
        <f t="shared" si="982"/>
        <v>-44399.733101495374</v>
      </c>
      <c r="T487">
        <f t="shared" si="983"/>
        <v>-44.399733101495372</v>
      </c>
    </row>
    <row r="488" spans="1:20" x14ac:dyDescent="0.25">
      <c r="A488" s="5">
        <v>44105</v>
      </c>
      <c r="B488">
        <v>1.0681E-2</v>
      </c>
      <c r="C488">
        <v>1.0805E-2</v>
      </c>
      <c r="D488">
        <v>9.502E-3</v>
      </c>
      <c r="E488">
        <v>9.9059999999999999E-3</v>
      </c>
      <c r="F488">
        <v>218533620</v>
      </c>
      <c r="G488">
        <v>0</v>
      </c>
      <c r="L488" t="s">
        <v>7</v>
      </c>
      <c r="M488" t="s">
        <v>7</v>
      </c>
      <c r="N488" t="s">
        <v>8</v>
      </c>
      <c r="P488">
        <f t="shared" si="979"/>
        <v>-0.37989255564082924</v>
      </c>
      <c r="Q488">
        <f t="shared" si="980"/>
        <v>-83019295.395241842</v>
      </c>
      <c r="R488">
        <f t="shared" si="981"/>
        <v>-4396520740.5806217</v>
      </c>
      <c r="S488">
        <f t="shared" si="982"/>
        <v>-43965.207405806221</v>
      </c>
      <c r="T488">
        <f t="shared" si="983"/>
        <v>-43.965207405806218</v>
      </c>
    </row>
    <row r="489" spans="1:20" x14ac:dyDescent="0.25">
      <c r="A489" s="5">
        <v>44104</v>
      </c>
      <c r="B489">
        <v>1.1405999999999999E-2</v>
      </c>
      <c r="C489">
        <v>1.1900000000000001E-2</v>
      </c>
      <c r="D489">
        <v>1.0375000000000001E-2</v>
      </c>
      <c r="E489">
        <v>1.0661E-2</v>
      </c>
      <c r="F489">
        <v>261264319</v>
      </c>
      <c r="G489">
        <v>0</v>
      </c>
      <c r="L489" t="s">
        <v>8</v>
      </c>
      <c r="M489" t="s">
        <v>8</v>
      </c>
      <c r="N489" t="s">
        <v>8</v>
      </c>
      <c r="P489">
        <f t="shared" si="979"/>
        <v>-0.62491803278688562</v>
      </c>
      <c r="Q489">
        <f t="shared" si="980"/>
        <v>-163268784.26688534</v>
      </c>
      <c r="R489">
        <f t="shared" si="981"/>
        <v>-4313501445.18538</v>
      </c>
      <c r="S489">
        <f t="shared" si="982"/>
        <v>-43135.0144518538</v>
      </c>
      <c r="T489">
        <f t="shared" si="983"/>
        <v>-43.135014451853799</v>
      </c>
    </row>
    <row r="490" spans="1:20" x14ac:dyDescent="0.25">
      <c r="A490" s="5">
        <v>44103</v>
      </c>
      <c r="B490">
        <v>1.0207000000000001E-2</v>
      </c>
      <c r="C490">
        <v>1.1442000000000001E-2</v>
      </c>
      <c r="D490">
        <v>1.0207000000000001E-2</v>
      </c>
      <c r="E490">
        <v>1.1389E-2</v>
      </c>
      <c r="F490">
        <v>196238662</v>
      </c>
      <c r="G490">
        <v>0</v>
      </c>
      <c r="L490" t="s">
        <v>8</v>
      </c>
      <c r="M490" t="s">
        <v>8</v>
      </c>
      <c r="N490" t="s">
        <v>8</v>
      </c>
      <c r="P490">
        <f t="shared" si="979"/>
        <v>0.91417004048582839</v>
      </c>
      <c r="Q490">
        <f t="shared" si="980"/>
        <v>179395505.58542478</v>
      </c>
      <c r="R490">
        <f t="shared" si="981"/>
        <v>-4150232660.9184947</v>
      </c>
      <c r="S490">
        <f t="shared" si="982"/>
        <v>-41502.326609184944</v>
      </c>
      <c r="T490">
        <f t="shared" si="983"/>
        <v>-41.502326609184941</v>
      </c>
    </row>
    <row r="491" spans="1:20" x14ac:dyDescent="0.25">
      <c r="A491" s="5">
        <v>44102</v>
      </c>
      <c r="B491">
        <v>1.0586E-2</v>
      </c>
      <c r="C491">
        <v>1.098E-2</v>
      </c>
      <c r="D491">
        <v>1.0200000000000001E-2</v>
      </c>
      <c r="E491">
        <v>1.0232E-2</v>
      </c>
      <c r="F491">
        <v>111961385</v>
      </c>
      <c r="G491">
        <v>0</v>
      </c>
      <c r="L491" t="s">
        <v>8</v>
      </c>
      <c r="M491" t="s">
        <v>8</v>
      </c>
      <c r="N491" t="s">
        <v>7</v>
      </c>
      <c r="P491">
        <f t="shared" si="979"/>
        <v>-0.91794871794872035</v>
      </c>
      <c r="Q491">
        <f t="shared" si="980"/>
        <v>-102774809.82051308</v>
      </c>
      <c r="R491">
        <f t="shared" si="981"/>
        <v>-4329628166.5039196</v>
      </c>
      <c r="S491">
        <f t="shared" si="982"/>
        <v>-43296.281665039198</v>
      </c>
      <c r="T491">
        <f t="shared" si="983"/>
        <v>-43.296281665039196</v>
      </c>
    </row>
    <row r="492" spans="1:20" x14ac:dyDescent="0.25">
      <c r="A492" s="5">
        <v>44101</v>
      </c>
      <c r="B492">
        <v>1.0938E-2</v>
      </c>
      <c r="C492">
        <v>1.1063E-2</v>
      </c>
      <c r="D492">
        <v>9.9030000000000003E-3</v>
      </c>
      <c r="E492">
        <v>1.0552000000000001E-2</v>
      </c>
      <c r="F492">
        <v>481309772</v>
      </c>
      <c r="G492">
        <v>0</v>
      </c>
      <c r="L492" t="s">
        <v>7</v>
      </c>
      <c r="M492" t="s">
        <v>8</v>
      </c>
      <c r="N492" t="s">
        <v>7</v>
      </c>
      <c r="P492">
        <f t="shared" si="979"/>
        <v>0.11896551724138019</v>
      </c>
      <c r="Q492">
        <f t="shared" si="980"/>
        <v>57259265.979310766</v>
      </c>
      <c r="R492">
        <f t="shared" si="981"/>
        <v>-4226853356.6834068</v>
      </c>
      <c r="S492">
        <f t="shared" si="982"/>
        <v>-42268.53356683407</v>
      </c>
      <c r="T492">
        <f t="shared" si="983"/>
        <v>-42.268533566834073</v>
      </c>
    </row>
    <row r="493" spans="1:20" x14ac:dyDescent="0.25">
      <c r="A493" s="5">
        <v>44100</v>
      </c>
      <c r="B493">
        <v>1.0022E-2</v>
      </c>
      <c r="C493">
        <v>1.125E-2</v>
      </c>
      <c r="D493">
        <v>9.861E-3</v>
      </c>
      <c r="E493">
        <v>1.0968E-2</v>
      </c>
      <c r="F493">
        <v>334767319</v>
      </c>
      <c r="G493">
        <v>0</v>
      </c>
      <c r="L493" t="s">
        <v>8</v>
      </c>
      <c r="M493" t="s">
        <v>8</v>
      </c>
      <c r="N493" t="s">
        <v>7</v>
      </c>
      <c r="P493">
        <f t="shared" si="979"/>
        <v>0.59395248380129684</v>
      </c>
      <c r="Q493">
        <f t="shared" si="980"/>
        <v>198835880.61555108</v>
      </c>
      <c r="R493">
        <f t="shared" si="981"/>
        <v>-4284112622.6627178</v>
      </c>
      <c r="S493">
        <f t="shared" si="982"/>
        <v>-42841.126226627181</v>
      </c>
      <c r="T493">
        <f t="shared" si="983"/>
        <v>-42.841126226627182</v>
      </c>
    </row>
    <row r="494" spans="1:20" x14ac:dyDescent="0.25">
      <c r="A494" s="5">
        <v>44099</v>
      </c>
      <c r="B494">
        <v>9.6460000000000001E-3</v>
      </c>
      <c r="C494">
        <v>1.0489999999999999E-2</v>
      </c>
      <c r="D494">
        <v>9.4140000000000005E-3</v>
      </c>
      <c r="E494">
        <v>9.9919999999999991E-3</v>
      </c>
      <c r="F494">
        <v>350526933</v>
      </c>
      <c r="G494">
        <v>0</v>
      </c>
      <c r="L494" t="s">
        <v>8</v>
      </c>
      <c r="M494" t="s">
        <v>8</v>
      </c>
      <c r="N494" t="s">
        <v>7</v>
      </c>
      <c r="P494">
        <f t="shared" si="979"/>
        <v>7.4349442379180813E-2</v>
      </c>
      <c r="Q494">
        <f t="shared" si="980"/>
        <v>26061482.007434472</v>
      </c>
      <c r="R494">
        <f t="shared" si="981"/>
        <v>-4482948503.2782688</v>
      </c>
      <c r="S494">
        <f t="shared" si="982"/>
        <v>-44829.485032782686</v>
      </c>
      <c r="T494">
        <f t="shared" si="983"/>
        <v>-44.829485032782685</v>
      </c>
    </row>
    <row r="495" spans="1:20" x14ac:dyDescent="0.25">
      <c r="A495" s="5">
        <v>44098</v>
      </c>
      <c r="B495">
        <v>8.567E-3</v>
      </c>
      <c r="C495">
        <v>9.7000000000000003E-3</v>
      </c>
      <c r="D495">
        <v>8.5210000000000008E-3</v>
      </c>
      <c r="E495">
        <v>9.6170000000000005E-3</v>
      </c>
      <c r="F495">
        <v>308051112</v>
      </c>
      <c r="G495">
        <v>0</v>
      </c>
      <c r="L495" t="s">
        <v>8</v>
      </c>
      <c r="M495" t="s">
        <v>8</v>
      </c>
      <c r="N495" t="s">
        <v>7</v>
      </c>
      <c r="P495">
        <f t="shared" si="979"/>
        <v>0.85920271416454663</v>
      </c>
      <c r="Q495">
        <f t="shared" si="980"/>
        <v>264678351.53180674</v>
      </c>
      <c r="R495">
        <f t="shared" si="981"/>
        <v>-4509009985.2857037</v>
      </c>
      <c r="S495">
        <f t="shared" si="982"/>
        <v>-45090.099852857034</v>
      </c>
      <c r="T495">
        <f t="shared" si="983"/>
        <v>-45.090099852857037</v>
      </c>
    </row>
    <row r="496" spans="1:20" x14ac:dyDescent="0.25">
      <c r="A496" s="5">
        <v>44097</v>
      </c>
      <c r="B496">
        <v>9.0799999999999995E-3</v>
      </c>
      <c r="C496">
        <v>9.1439999999999994E-3</v>
      </c>
      <c r="D496">
        <v>8.5019999999999991E-3</v>
      </c>
      <c r="E496">
        <v>8.5290000000000001E-3</v>
      </c>
      <c r="F496">
        <v>113241727</v>
      </c>
      <c r="G496">
        <v>0</v>
      </c>
      <c r="L496" t="s">
        <v>7</v>
      </c>
      <c r="M496" t="s">
        <v>8</v>
      </c>
      <c r="N496" t="s">
        <v>7</v>
      </c>
      <c r="P496">
        <f t="shared" si="979"/>
        <v>-0.91588785046728671</v>
      </c>
      <c r="Q496">
        <f t="shared" si="980"/>
        <v>-103716721.9252333</v>
      </c>
      <c r="R496">
        <f t="shared" si="981"/>
        <v>-4773688336.8175106</v>
      </c>
      <c r="S496">
        <f t="shared" si="982"/>
        <v>-47736.883368175106</v>
      </c>
      <c r="T496">
        <f t="shared" si="983"/>
        <v>-47.736883368175107</v>
      </c>
    </row>
    <row r="497" spans="1:20" x14ac:dyDescent="0.25">
      <c r="A497" s="5">
        <v>44096</v>
      </c>
      <c r="B497">
        <v>9.1319999999999995E-3</v>
      </c>
      <c r="C497">
        <v>9.2329999999999999E-3</v>
      </c>
      <c r="D497">
        <v>8.5500000000000003E-3</v>
      </c>
      <c r="E497">
        <v>9.0860000000000003E-3</v>
      </c>
      <c r="F497">
        <v>168696505</v>
      </c>
      <c r="G497">
        <v>0</v>
      </c>
      <c r="L497" t="s">
        <v>8</v>
      </c>
      <c r="M497" t="s">
        <v>8</v>
      </c>
      <c r="N497" t="s">
        <v>7</v>
      </c>
      <c r="P497">
        <f t="shared" si="979"/>
        <v>0.5695461200585662</v>
      </c>
      <c r="Q497">
        <f t="shared" si="980"/>
        <v>96080439.890190512</v>
      </c>
      <c r="R497">
        <f t="shared" si="981"/>
        <v>-4669971614.8922777</v>
      </c>
      <c r="S497">
        <f t="shared" si="982"/>
        <v>-46699.71614892278</v>
      </c>
      <c r="T497">
        <f t="shared" si="983"/>
        <v>-46.699716148922782</v>
      </c>
    </row>
    <row r="498" spans="1:20" x14ac:dyDescent="0.25">
      <c r="A498" s="5">
        <v>44095</v>
      </c>
      <c r="B498">
        <v>9.1310000000000002E-3</v>
      </c>
      <c r="C498">
        <v>9.6950000000000005E-3</v>
      </c>
      <c r="D498">
        <v>8.4279999999999997E-3</v>
      </c>
      <c r="E498">
        <v>9.1330000000000005E-3</v>
      </c>
      <c r="F498">
        <v>425056858</v>
      </c>
      <c r="G498">
        <v>0</v>
      </c>
      <c r="L498" t="s">
        <v>7</v>
      </c>
      <c r="M498" t="s">
        <v>8</v>
      </c>
      <c r="N498" t="s">
        <v>7</v>
      </c>
      <c r="P498">
        <f t="shared" si="979"/>
        <v>0.11286503551696976</v>
      </c>
      <c r="Q498">
        <f t="shared" si="980"/>
        <v>47974057.37490157</v>
      </c>
      <c r="R498">
        <f t="shared" si="981"/>
        <v>-4766052054.7824678</v>
      </c>
      <c r="S498">
        <f t="shared" si="982"/>
        <v>-47660.520547824679</v>
      </c>
      <c r="T498">
        <f t="shared" si="983"/>
        <v>-47.660520547824682</v>
      </c>
    </row>
    <row r="499" spans="1:20" x14ac:dyDescent="0.25">
      <c r="A499" s="5">
        <v>44094</v>
      </c>
      <c r="B499">
        <v>9.6729999999999993E-3</v>
      </c>
      <c r="C499">
        <v>9.691E-3</v>
      </c>
      <c r="D499">
        <v>8.9840000000000007E-3</v>
      </c>
      <c r="E499">
        <v>9.1269999999999997E-3</v>
      </c>
      <c r="F499">
        <v>139059986</v>
      </c>
      <c r="G499">
        <v>0</v>
      </c>
      <c r="L499" t="s">
        <v>7</v>
      </c>
      <c r="M499" t="s">
        <v>8</v>
      </c>
      <c r="N499" t="s">
        <v>7</v>
      </c>
      <c r="P499">
        <f t="shared" si="979"/>
        <v>-0.59547383309759783</v>
      </c>
      <c r="Q499">
        <f t="shared" si="980"/>
        <v>-82806582.893918291</v>
      </c>
      <c r="R499">
        <f t="shared" si="981"/>
        <v>-4814026112.1573696</v>
      </c>
      <c r="S499">
        <f t="shared" si="982"/>
        <v>-48140.261121573698</v>
      </c>
      <c r="T499">
        <f t="shared" si="983"/>
        <v>-48.140261121573701</v>
      </c>
    </row>
    <row r="500" spans="1:20" x14ac:dyDescent="0.25">
      <c r="A500" s="5">
        <v>44093</v>
      </c>
      <c r="B500">
        <v>9.9100000000000004E-3</v>
      </c>
      <c r="C500">
        <v>1.0156E-2</v>
      </c>
      <c r="D500">
        <v>9.4999999999999998E-3</v>
      </c>
      <c r="E500">
        <v>9.6740000000000003E-3</v>
      </c>
      <c r="F500">
        <v>121049052</v>
      </c>
      <c r="G500">
        <v>0</v>
      </c>
      <c r="L500" t="s">
        <v>8</v>
      </c>
      <c r="M500" t="s">
        <v>8</v>
      </c>
      <c r="N500" t="s">
        <v>7</v>
      </c>
      <c r="P500">
        <f t="shared" si="979"/>
        <v>-0.46951219512194986</v>
      </c>
      <c r="Q500">
        <f t="shared" si="980"/>
        <v>-56834006.121951059</v>
      </c>
      <c r="R500">
        <f t="shared" si="981"/>
        <v>-4731219529.2634516</v>
      </c>
      <c r="S500">
        <f t="shared" si="982"/>
        <v>-47312.195292634518</v>
      </c>
      <c r="T500">
        <f t="shared" si="983"/>
        <v>-47.31219529263452</v>
      </c>
    </row>
    <row r="501" spans="1:20" x14ac:dyDescent="0.25">
      <c r="A501" s="5">
        <v>44092</v>
      </c>
      <c r="B501">
        <v>9.2700000000000005E-3</v>
      </c>
      <c r="C501">
        <v>1.004E-2</v>
      </c>
      <c r="D501">
        <v>9.2560000000000003E-3</v>
      </c>
      <c r="E501">
        <v>9.9190000000000007E-3</v>
      </c>
      <c r="F501">
        <v>240035410</v>
      </c>
      <c r="G501">
        <v>0</v>
      </c>
      <c r="L501" t="s">
        <v>8</v>
      </c>
      <c r="M501" t="s">
        <v>8</v>
      </c>
      <c r="N501" t="s">
        <v>7</v>
      </c>
      <c r="P501">
        <f t="shared" si="979"/>
        <v>0.69132653061224592</v>
      </c>
      <c r="Q501">
        <f t="shared" si="980"/>
        <v>165942847.21938801</v>
      </c>
      <c r="R501">
        <f t="shared" si="981"/>
        <v>-4674385523.1415005</v>
      </c>
      <c r="S501">
        <f t="shared" si="982"/>
        <v>-46743.855231415007</v>
      </c>
      <c r="T501">
        <f t="shared" si="983"/>
        <v>-46.743855231415004</v>
      </c>
    </row>
    <row r="502" spans="1:20" x14ac:dyDescent="0.25">
      <c r="A502" s="5">
        <v>44091</v>
      </c>
      <c r="B502">
        <v>9.1769999999999994E-3</v>
      </c>
      <c r="C502">
        <v>9.4509999999999993E-3</v>
      </c>
      <c r="D502">
        <v>8.8850000000000005E-3</v>
      </c>
      <c r="E502">
        <v>9.2779999999999998E-3</v>
      </c>
      <c r="F502">
        <v>95238329</v>
      </c>
      <c r="G502">
        <v>0</v>
      </c>
      <c r="L502" t="s">
        <v>8</v>
      </c>
      <c r="M502" t="s">
        <v>8</v>
      </c>
      <c r="N502" t="s">
        <v>7</v>
      </c>
      <c r="P502">
        <f t="shared" si="979"/>
        <v>0.38869257950530067</v>
      </c>
      <c r="Q502">
        <f t="shared" si="980"/>
        <v>37018431.766784482</v>
      </c>
      <c r="R502">
        <f t="shared" si="981"/>
        <v>-4840328370.3608885</v>
      </c>
      <c r="S502">
        <f t="shared" si="982"/>
        <v>-48403.283703608882</v>
      </c>
      <c r="T502">
        <f t="shared" si="983"/>
        <v>-48.403283703608885</v>
      </c>
    </row>
    <row r="503" spans="1:20" x14ac:dyDescent="0.25">
      <c r="A503" s="5">
        <v>44090</v>
      </c>
      <c r="B503">
        <v>9.1819999999999992E-3</v>
      </c>
      <c r="C503">
        <v>9.4999999999999998E-3</v>
      </c>
      <c r="D503">
        <v>8.6650000000000008E-3</v>
      </c>
      <c r="E503">
        <v>9.1739999999999999E-3</v>
      </c>
      <c r="F503">
        <v>103042800</v>
      </c>
      <c r="G503">
        <v>0</v>
      </c>
      <c r="L503" t="s">
        <v>7</v>
      </c>
      <c r="M503" t="s">
        <v>8</v>
      </c>
      <c r="N503" t="s">
        <v>7</v>
      </c>
      <c r="P503">
        <f t="shared" si="979"/>
        <v>0.21916167664670583</v>
      </c>
      <c r="Q503">
        <f t="shared" si="980"/>
        <v>22583032.81437118</v>
      </c>
      <c r="R503">
        <f t="shared" si="981"/>
        <v>-4877346802.1276731</v>
      </c>
      <c r="S503">
        <f t="shared" si="982"/>
        <v>-48773.468021276734</v>
      </c>
      <c r="T503">
        <f t="shared" si="983"/>
        <v>-48.773468021276734</v>
      </c>
    </row>
    <row r="504" spans="1:20" x14ac:dyDescent="0.25">
      <c r="A504" s="5">
        <v>44089</v>
      </c>
      <c r="B504">
        <v>9.4820000000000008E-3</v>
      </c>
      <c r="C504">
        <v>9.9749999999999995E-3</v>
      </c>
      <c r="D504">
        <v>8.9160000000000003E-3</v>
      </c>
      <c r="E504">
        <v>9.1929999999999998E-3</v>
      </c>
      <c r="F504">
        <v>110306585</v>
      </c>
      <c r="G504">
        <v>0</v>
      </c>
      <c r="L504" t="s">
        <v>8</v>
      </c>
      <c r="M504" t="s">
        <v>8</v>
      </c>
      <c r="N504" t="s">
        <v>7</v>
      </c>
      <c r="P504">
        <f t="shared" si="979"/>
        <v>-0.47686496694995339</v>
      </c>
      <c r="Q504">
        <f t="shared" si="980"/>
        <v>-52601346.010387227</v>
      </c>
      <c r="R504">
        <f t="shared" si="981"/>
        <v>-4899929834.9420443</v>
      </c>
      <c r="S504">
        <f t="shared" si="982"/>
        <v>-48999.298349420445</v>
      </c>
      <c r="T504">
        <f t="shared" si="983"/>
        <v>-48.999298349420442</v>
      </c>
    </row>
    <row r="505" spans="1:20" x14ac:dyDescent="0.25">
      <c r="A505" s="5">
        <v>44088</v>
      </c>
      <c r="B505">
        <v>9.1690000000000001E-3</v>
      </c>
      <c r="C505">
        <v>9.9109999999999997E-3</v>
      </c>
      <c r="D505">
        <v>8.9309999999999997E-3</v>
      </c>
      <c r="E505">
        <v>9.4830000000000001E-3</v>
      </c>
      <c r="F505">
        <v>174206226</v>
      </c>
      <c r="G505">
        <v>0</v>
      </c>
      <c r="L505" t="s">
        <v>8</v>
      </c>
      <c r="M505" t="s">
        <v>8</v>
      </c>
      <c r="N505" t="s">
        <v>7</v>
      </c>
      <c r="P505">
        <f t="shared" si="979"/>
        <v>0.12653061224489884</v>
      </c>
      <c r="Q505">
        <f t="shared" si="980"/>
        <v>22042420.432653215</v>
      </c>
      <c r="R505">
        <f t="shared" si="981"/>
        <v>-4847328488.9316568</v>
      </c>
      <c r="S505">
        <f t="shared" si="982"/>
        <v>-48473.284889316572</v>
      </c>
      <c r="T505">
        <f t="shared" si="983"/>
        <v>-48.473284889316574</v>
      </c>
    </row>
    <row r="506" spans="1:20" x14ac:dyDescent="0.25">
      <c r="A506" s="5">
        <v>44087</v>
      </c>
      <c r="B506">
        <v>9.6419999999999995E-3</v>
      </c>
      <c r="C506">
        <v>9.6670000000000002E-3</v>
      </c>
      <c r="D506">
        <v>8.7039999999999999E-3</v>
      </c>
      <c r="E506">
        <v>9.1660000000000005E-3</v>
      </c>
      <c r="F506">
        <v>191403053</v>
      </c>
      <c r="G506">
        <v>0</v>
      </c>
      <c r="L506" t="s">
        <v>7</v>
      </c>
      <c r="M506" t="s">
        <v>8</v>
      </c>
      <c r="N506" t="s">
        <v>7</v>
      </c>
      <c r="P506">
        <f t="shared" si="979"/>
        <v>-4.04984423676003E-2</v>
      </c>
      <c r="Q506">
        <f t="shared" si="980"/>
        <v>-7751525.5109032458</v>
      </c>
      <c r="R506">
        <f t="shared" si="981"/>
        <v>-4869370909.3643103</v>
      </c>
      <c r="S506">
        <f t="shared" si="982"/>
        <v>-48693.709093643105</v>
      </c>
      <c r="T506">
        <f t="shared" si="983"/>
        <v>-48.693709093643108</v>
      </c>
    </row>
    <row r="507" spans="1:20" x14ac:dyDescent="0.25">
      <c r="A507" s="5">
        <v>44086</v>
      </c>
      <c r="B507">
        <v>9.3530000000000002E-3</v>
      </c>
      <c r="C507">
        <v>9.9989999999999992E-3</v>
      </c>
      <c r="D507">
        <v>9.0959999999999999E-3</v>
      </c>
      <c r="E507">
        <v>9.6469999999999993E-3</v>
      </c>
      <c r="F507">
        <v>111917091</v>
      </c>
      <c r="G507">
        <v>0</v>
      </c>
      <c r="L507" t="s">
        <v>8</v>
      </c>
      <c r="M507" t="s">
        <v>8</v>
      </c>
      <c r="N507" t="s">
        <v>7</v>
      </c>
      <c r="P507">
        <f t="shared" si="979"/>
        <v>0.22037652270210376</v>
      </c>
      <c r="Q507">
        <f t="shared" si="980"/>
        <v>24663899.345514912</v>
      </c>
      <c r="R507">
        <f t="shared" si="981"/>
        <v>-4861619383.8534069</v>
      </c>
      <c r="S507">
        <f t="shared" si="982"/>
        <v>-48616.193838534069</v>
      </c>
      <c r="T507">
        <f t="shared" si="983"/>
        <v>-48.616193838534066</v>
      </c>
    </row>
    <row r="508" spans="1:20" x14ac:dyDescent="0.25">
      <c r="A508" s="5">
        <v>44085</v>
      </c>
      <c r="B508">
        <v>9.2180000000000005E-3</v>
      </c>
      <c r="C508">
        <v>9.6200000000000001E-3</v>
      </c>
      <c r="D508">
        <v>8.7709999999999993E-3</v>
      </c>
      <c r="E508">
        <v>9.3509999999999999E-3</v>
      </c>
      <c r="F508">
        <v>109051855</v>
      </c>
      <c r="G508">
        <v>0</v>
      </c>
      <c r="L508" t="s">
        <v>7</v>
      </c>
      <c r="M508" t="s">
        <v>8</v>
      </c>
      <c r="N508" t="s">
        <v>7</v>
      </c>
      <c r="P508">
        <f t="shared" si="979"/>
        <v>0.36631330977620757</v>
      </c>
      <c r="Q508">
        <f t="shared" si="980"/>
        <v>39947145.942285068</v>
      </c>
      <c r="R508">
        <f t="shared" si="981"/>
        <v>-4886283283.1989222</v>
      </c>
      <c r="S508">
        <f t="shared" si="982"/>
        <v>-48862.832831989224</v>
      </c>
      <c r="T508">
        <f t="shared" si="983"/>
        <v>-48.862832831989223</v>
      </c>
    </row>
    <row r="509" spans="1:20" x14ac:dyDescent="0.25">
      <c r="A509" s="5">
        <v>44084</v>
      </c>
      <c r="B509">
        <v>8.8489999999999992E-3</v>
      </c>
      <c r="C509">
        <v>9.6159999999999995E-3</v>
      </c>
      <c r="D509">
        <v>8.8489999999999992E-3</v>
      </c>
      <c r="E509">
        <v>9.2189999999999998E-3</v>
      </c>
      <c r="F509">
        <v>151484604</v>
      </c>
      <c r="G509">
        <v>0</v>
      </c>
      <c r="L509" t="s">
        <v>8</v>
      </c>
      <c r="M509" t="s">
        <v>8</v>
      </c>
      <c r="N509" t="s">
        <v>7</v>
      </c>
      <c r="P509">
        <f t="shared" si="979"/>
        <v>-3.5202086049542683E-2</v>
      </c>
      <c r="Q509">
        <f t="shared" si="980"/>
        <v>-5332574.0651888978</v>
      </c>
      <c r="R509">
        <f t="shared" si="981"/>
        <v>-4926230429.1412077</v>
      </c>
      <c r="S509">
        <f t="shared" si="982"/>
        <v>-49262.304291412074</v>
      </c>
      <c r="T509">
        <f t="shared" si="983"/>
        <v>-49.262304291412072</v>
      </c>
    </row>
    <row r="510" spans="1:20" x14ac:dyDescent="0.25">
      <c r="A510" s="5">
        <v>44083</v>
      </c>
      <c r="B510">
        <v>8.2430000000000003E-3</v>
      </c>
      <c r="C510">
        <v>9.4999999999999998E-3</v>
      </c>
      <c r="D510">
        <v>8.1209999999999997E-3</v>
      </c>
      <c r="E510">
        <v>8.8489999999999992E-3</v>
      </c>
      <c r="F510">
        <v>321201945</v>
      </c>
      <c r="G510">
        <v>0</v>
      </c>
      <c r="L510" t="s">
        <v>8</v>
      </c>
      <c r="M510" t="s">
        <v>8</v>
      </c>
      <c r="N510" t="s">
        <v>7</v>
      </c>
      <c r="P510">
        <f t="shared" si="979"/>
        <v>5.583756345177588E-2</v>
      </c>
      <c r="Q510">
        <f t="shared" si="980"/>
        <v>17935133.984771326</v>
      </c>
      <c r="R510">
        <f t="shared" si="981"/>
        <v>-4920897855.0760183</v>
      </c>
      <c r="S510">
        <f t="shared" si="982"/>
        <v>-49208.978550760185</v>
      </c>
      <c r="T510">
        <f t="shared" si="983"/>
        <v>-49.208978550760186</v>
      </c>
    </row>
    <row r="511" spans="1:20" x14ac:dyDescent="0.25">
      <c r="A511" s="5">
        <v>44082</v>
      </c>
      <c r="B511">
        <v>8.5129999999999997E-3</v>
      </c>
      <c r="C511">
        <v>8.5789999999999998E-3</v>
      </c>
      <c r="D511">
        <v>8.0870000000000004E-3</v>
      </c>
      <c r="E511">
        <v>8.2419999999999993E-3</v>
      </c>
      <c r="F511">
        <v>70236498</v>
      </c>
      <c r="G511">
        <v>0</v>
      </c>
      <c r="L511" t="s">
        <v>7</v>
      </c>
      <c r="M511" t="s">
        <v>7</v>
      </c>
      <c r="N511" t="s">
        <v>7</v>
      </c>
      <c r="P511">
        <f t="shared" si="979"/>
        <v>-0.3699186991869956</v>
      </c>
      <c r="Q511">
        <f t="shared" si="980"/>
        <v>-25981793.975610018</v>
      </c>
      <c r="R511">
        <f t="shared" si="981"/>
        <v>-4938832989.0607901</v>
      </c>
      <c r="S511">
        <f t="shared" si="982"/>
        <v>-49388.3298906079</v>
      </c>
      <c r="T511">
        <f t="shared" si="983"/>
        <v>-49.388329890607899</v>
      </c>
    </row>
    <row r="512" spans="1:20" x14ac:dyDescent="0.25">
      <c r="A512" s="5">
        <v>44081</v>
      </c>
      <c r="B512">
        <v>8.5500000000000003E-3</v>
      </c>
      <c r="C512">
        <v>8.7840000000000001E-3</v>
      </c>
      <c r="D512">
        <v>7.9500000000000005E-3</v>
      </c>
      <c r="E512">
        <v>8.5059999999999997E-3</v>
      </c>
      <c r="F512">
        <v>145586318</v>
      </c>
      <c r="G512">
        <v>0</v>
      </c>
      <c r="L512" t="s">
        <v>8</v>
      </c>
      <c r="M512" t="s">
        <v>7</v>
      </c>
      <c r="N512" t="s">
        <v>7</v>
      </c>
      <c r="P512">
        <f t="shared" si="979"/>
        <v>0.33333333333333193</v>
      </c>
      <c r="Q512">
        <f t="shared" si="980"/>
        <v>48528772.666666463</v>
      </c>
      <c r="R512">
        <f t="shared" si="981"/>
        <v>-4912851195.0851803</v>
      </c>
      <c r="S512">
        <f t="shared" si="982"/>
        <v>-49128.511950851804</v>
      </c>
      <c r="T512">
        <f t="shared" si="983"/>
        <v>-49.128511950851802</v>
      </c>
    </row>
    <row r="513" spans="1:20" x14ac:dyDescent="0.25">
      <c r="A513" s="5">
        <v>44080</v>
      </c>
      <c r="B513">
        <v>8.2170000000000003E-3</v>
      </c>
      <c r="C513">
        <v>8.7060000000000002E-3</v>
      </c>
      <c r="D513">
        <v>7.9500000000000005E-3</v>
      </c>
      <c r="E513">
        <v>8.5500000000000003E-3</v>
      </c>
      <c r="F513">
        <v>138371784</v>
      </c>
      <c r="G513">
        <v>0</v>
      </c>
      <c r="L513" t="s">
        <v>7</v>
      </c>
      <c r="M513" t="s">
        <v>7</v>
      </c>
      <c r="N513" t="s">
        <v>7</v>
      </c>
      <c r="P513">
        <f t="shared" si="979"/>
        <v>0.58730158730158744</v>
      </c>
      <c r="Q513">
        <f t="shared" si="980"/>
        <v>81265968.380952403</v>
      </c>
      <c r="R513">
        <f t="shared" si="981"/>
        <v>-4961379967.7518463</v>
      </c>
      <c r="S513">
        <f t="shared" si="982"/>
        <v>-49613.799677518466</v>
      </c>
      <c r="T513">
        <f t="shared" si="983"/>
        <v>-49.613799677518465</v>
      </c>
    </row>
    <row r="514" spans="1:20" x14ac:dyDescent="0.25">
      <c r="A514" s="5">
        <v>44079</v>
      </c>
      <c r="B514">
        <v>8.9210000000000001E-3</v>
      </c>
      <c r="C514">
        <v>9.5309999999999995E-3</v>
      </c>
      <c r="D514">
        <v>8.0000000000000002E-3</v>
      </c>
      <c r="E514">
        <v>8.2660000000000008E-3</v>
      </c>
      <c r="F514">
        <v>197325237</v>
      </c>
      <c r="G514">
        <v>0</v>
      </c>
      <c r="L514" t="s">
        <v>8</v>
      </c>
      <c r="M514" t="s">
        <v>8</v>
      </c>
      <c r="N514" t="s">
        <v>7</v>
      </c>
      <c r="P514">
        <f t="shared" si="979"/>
        <v>-0.65251469627694225</v>
      </c>
      <c r="Q514">
        <f t="shared" si="980"/>
        <v>-128757617.08883065</v>
      </c>
      <c r="R514">
        <f t="shared" si="981"/>
        <v>-5042645936.1327991</v>
      </c>
      <c r="S514">
        <f t="shared" si="982"/>
        <v>-50426.459361327994</v>
      </c>
      <c r="T514">
        <f t="shared" si="983"/>
        <v>-50.426459361327993</v>
      </c>
    </row>
    <row r="515" spans="1:20" x14ac:dyDescent="0.25">
      <c r="A515" s="5">
        <v>44078</v>
      </c>
      <c r="B515">
        <v>8.3700000000000007E-3</v>
      </c>
      <c r="C515">
        <v>9.3100000000000006E-3</v>
      </c>
      <c r="D515">
        <v>7.9500000000000005E-3</v>
      </c>
      <c r="E515">
        <v>8.9470000000000001E-3</v>
      </c>
      <c r="F515">
        <v>226633941</v>
      </c>
      <c r="G515">
        <v>0</v>
      </c>
      <c r="L515" t="s">
        <v>7</v>
      </c>
      <c r="M515" t="s">
        <v>7</v>
      </c>
      <c r="N515" t="s">
        <v>7</v>
      </c>
      <c r="P515">
        <f t="shared" si="979"/>
        <v>0.46617647058823464</v>
      </c>
      <c r="Q515">
        <f t="shared" si="980"/>
        <v>105651410.7308822</v>
      </c>
      <c r="R515">
        <f t="shared" si="981"/>
        <v>-4913888319.0439682</v>
      </c>
      <c r="S515">
        <f t="shared" si="982"/>
        <v>-49138.883190439679</v>
      </c>
      <c r="T515">
        <f t="shared" si="983"/>
        <v>-49.138883190439678</v>
      </c>
    </row>
    <row r="516" spans="1:20" x14ac:dyDescent="0.25">
      <c r="A516" s="5">
        <v>44077</v>
      </c>
      <c r="B516">
        <v>9.9290000000000003E-3</v>
      </c>
      <c r="C516">
        <v>9.9620000000000004E-3</v>
      </c>
      <c r="D516">
        <v>8.3000000000000001E-3</v>
      </c>
      <c r="E516">
        <v>8.4379999999999993E-3</v>
      </c>
      <c r="F516">
        <v>220066986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-0.83393501805054249</v>
      </c>
      <c r="Q516">
        <f t="shared" si="980"/>
        <v>-183521565.94223848</v>
      </c>
      <c r="R516">
        <f t="shared" si="981"/>
        <v>-5019539729.7748508</v>
      </c>
      <c r="S516">
        <f t="shared" si="982"/>
        <v>-50195.39729774851</v>
      </c>
      <c r="T516">
        <f t="shared" si="983"/>
        <v>-50.195397297748507</v>
      </c>
    </row>
    <row r="517" spans="1:20" x14ac:dyDescent="0.25">
      <c r="A517" s="5">
        <v>44076</v>
      </c>
      <c r="B517">
        <v>1.0484E-2</v>
      </c>
      <c r="C517">
        <v>1.0708000000000001E-2</v>
      </c>
      <c r="D517">
        <v>9.1000000000000004E-3</v>
      </c>
      <c r="E517">
        <v>9.9430000000000004E-3</v>
      </c>
      <c r="F517">
        <v>254148461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4.8507462686567131E-2</v>
      </c>
      <c r="Q517">
        <f t="shared" si="980"/>
        <v>12328096.988805961</v>
      </c>
      <c r="R517">
        <f t="shared" si="981"/>
        <v>-4836018163.832612</v>
      </c>
      <c r="S517">
        <f t="shared" si="982"/>
        <v>-48360.181638326118</v>
      </c>
      <c r="T517">
        <f t="shared" si="983"/>
        <v>-48.360181638326118</v>
      </c>
    </row>
    <row r="518" spans="1:20" x14ac:dyDescent="0.25">
      <c r="A518" s="5">
        <v>44075</v>
      </c>
      <c r="B518">
        <v>1.0749E-2</v>
      </c>
      <c r="C518">
        <v>1.0931E-2</v>
      </c>
      <c r="D518">
        <v>1.0331999999999999E-2</v>
      </c>
      <c r="E518">
        <v>1.048E-2</v>
      </c>
      <c r="F518">
        <v>153353710</v>
      </c>
      <c r="G518">
        <v>0</v>
      </c>
      <c r="L518" t="s">
        <v>7</v>
      </c>
      <c r="M518" t="s">
        <v>7</v>
      </c>
      <c r="N518" t="s">
        <v>7</v>
      </c>
      <c r="P518">
        <f t="shared" ref="P518:P581" si="984">IF(C518=D518,0,((E518-D518)-(C518-E518))/(C518-D518))</f>
        <v>-0.50584307178630916</v>
      </c>
      <c r="Q518">
        <f t="shared" ref="Q518:Q581" si="985">F518*P518</f>
        <v>-77572911.736226842</v>
      </c>
      <c r="R518">
        <f t="shared" ref="R518:R581" si="986">R519+Q518</f>
        <v>-4848346260.8214178</v>
      </c>
      <c r="S518">
        <f t="shared" ref="S518:S581" si="987">R518/100000</f>
        <v>-48483.462608214177</v>
      </c>
      <c r="T518">
        <f t="shared" ref="T518:T581" si="988">S518/1000</f>
        <v>-48.483462608214175</v>
      </c>
    </row>
    <row r="519" spans="1:20" x14ac:dyDescent="0.25">
      <c r="A519" s="5">
        <v>44074</v>
      </c>
      <c r="B519">
        <v>1.1119E-2</v>
      </c>
      <c r="C519">
        <v>1.1292999999999999E-2</v>
      </c>
      <c r="D519">
        <v>1.065E-2</v>
      </c>
      <c r="E519">
        <v>1.0737E-2</v>
      </c>
      <c r="F519">
        <v>112961495</v>
      </c>
      <c r="G519">
        <v>0</v>
      </c>
      <c r="L519" t="s">
        <v>7</v>
      </c>
      <c r="M519" t="s">
        <v>7</v>
      </c>
      <c r="N519" t="s">
        <v>7</v>
      </c>
      <c r="P519">
        <f t="shared" si="984"/>
        <v>-0.72939346811819494</v>
      </c>
      <c r="Q519">
        <f t="shared" si="985"/>
        <v>-82393376.601866141</v>
      </c>
      <c r="R519">
        <f t="shared" si="986"/>
        <v>-4770773349.0851908</v>
      </c>
      <c r="S519">
        <f t="shared" si="987"/>
        <v>-47707.733490851904</v>
      </c>
      <c r="T519">
        <f t="shared" si="988"/>
        <v>-47.707733490851908</v>
      </c>
    </row>
    <row r="520" spans="1:20" x14ac:dyDescent="0.25">
      <c r="A520" s="5">
        <v>44073</v>
      </c>
      <c r="B520">
        <v>1.1268E-2</v>
      </c>
      <c r="C520">
        <v>1.1764999999999999E-2</v>
      </c>
      <c r="D520">
        <v>1.0924E-2</v>
      </c>
      <c r="E520">
        <v>1.1098999999999999E-2</v>
      </c>
      <c r="F520">
        <v>212923569</v>
      </c>
      <c r="G520">
        <v>0</v>
      </c>
      <c r="L520" t="s">
        <v>7</v>
      </c>
      <c r="M520" t="s">
        <v>7</v>
      </c>
      <c r="N520" t="s">
        <v>7</v>
      </c>
      <c r="P520">
        <f t="shared" si="984"/>
        <v>-0.58382877526753896</v>
      </c>
      <c r="Q520">
        <f t="shared" si="985"/>
        <v>-124310906.51486333</v>
      </c>
      <c r="R520">
        <f t="shared" si="986"/>
        <v>-4688379972.483325</v>
      </c>
      <c r="S520">
        <f t="shared" si="987"/>
        <v>-46883.799724833247</v>
      </c>
      <c r="T520">
        <f t="shared" si="988"/>
        <v>-46.883799724833246</v>
      </c>
    </row>
    <row r="521" spans="1:20" x14ac:dyDescent="0.25">
      <c r="A521" s="5">
        <v>44072</v>
      </c>
      <c r="B521">
        <v>1.112E-2</v>
      </c>
      <c r="C521">
        <v>1.1783999999999999E-2</v>
      </c>
      <c r="D521">
        <v>1.0643E-2</v>
      </c>
      <c r="E521">
        <v>1.1252E-2</v>
      </c>
      <c r="F521">
        <v>239890524</v>
      </c>
      <c r="G521">
        <v>0</v>
      </c>
      <c r="L521" t="s">
        <v>8</v>
      </c>
      <c r="M521" t="s">
        <v>7</v>
      </c>
      <c r="N521" t="s">
        <v>7</v>
      </c>
      <c r="P521">
        <f t="shared" si="984"/>
        <v>6.7484662576687726E-2</v>
      </c>
      <c r="Q521">
        <f t="shared" si="985"/>
        <v>16188931.067484809</v>
      </c>
      <c r="R521">
        <f t="shared" si="986"/>
        <v>-4564069065.968462</v>
      </c>
      <c r="S521">
        <f t="shared" si="987"/>
        <v>-45640.690659684617</v>
      </c>
      <c r="T521">
        <f t="shared" si="988"/>
        <v>-45.640690659684616</v>
      </c>
    </row>
    <row r="522" spans="1:20" x14ac:dyDescent="0.25">
      <c r="A522" s="5">
        <v>44071</v>
      </c>
      <c r="B522">
        <v>1.0522999999999999E-2</v>
      </c>
      <c r="C522">
        <v>1.1549E-2</v>
      </c>
      <c r="D522">
        <v>1.0111E-2</v>
      </c>
      <c r="E522">
        <v>1.1119E-2</v>
      </c>
      <c r="F522">
        <v>231709230</v>
      </c>
      <c r="G522">
        <v>0</v>
      </c>
      <c r="L522" t="s">
        <v>8</v>
      </c>
      <c r="M522" t="s">
        <v>7</v>
      </c>
      <c r="N522" t="s">
        <v>7</v>
      </c>
      <c r="P522">
        <f t="shared" si="984"/>
        <v>0.40194714881780275</v>
      </c>
      <c r="Q522">
        <f t="shared" si="985"/>
        <v>93134864.353268489</v>
      </c>
      <c r="R522">
        <f t="shared" si="986"/>
        <v>-4580257997.0359468</v>
      </c>
      <c r="S522">
        <f t="shared" si="987"/>
        <v>-45802.579970359468</v>
      </c>
      <c r="T522">
        <f t="shared" si="988"/>
        <v>-45.802579970359467</v>
      </c>
    </row>
    <row r="523" spans="1:20" x14ac:dyDescent="0.25">
      <c r="A523" s="5">
        <v>44070</v>
      </c>
      <c r="B523">
        <v>1.1738E-2</v>
      </c>
      <c r="C523">
        <v>1.187E-2</v>
      </c>
      <c r="D523">
        <v>1.0170999999999999E-2</v>
      </c>
      <c r="E523">
        <v>1.0562999999999999E-2</v>
      </c>
      <c r="F523">
        <v>277505614</v>
      </c>
      <c r="G523">
        <v>0</v>
      </c>
      <c r="L523" t="s">
        <v>7</v>
      </c>
      <c r="M523" t="s">
        <v>7</v>
      </c>
      <c r="N523" t="s">
        <v>7</v>
      </c>
      <c r="P523">
        <f t="shared" si="984"/>
        <v>-0.53855208946439104</v>
      </c>
      <c r="Q523">
        <f t="shared" si="985"/>
        <v>-149451228.25779876</v>
      </c>
      <c r="R523">
        <f t="shared" si="986"/>
        <v>-4673392861.3892155</v>
      </c>
      <c r="S523">
        <f t="shared" si="987"/>
        <v>-46733.928613892152</v>
      </c>
      <c r="T523">
        <f t="shared" si="988"/>
        <v>-46.733928613892154</v>
      </c>
    </row>
    <row r="524" spans="1:20" x14ac:dyDescent="0.25">
      <c r="A524" s="5">
        <v>44069</v>
      </c>
      <c r="B524">
        <v>1.2225E-2</v>
      </c>
      <c r="C524">
        <v>1.2991000000000001E-2</v>
      </c>
      <c r="D524">
        <v>1.1191E-2</v>
      </c>
      <c r="E524">
        <v>1.1769E-2</v>
      </c>
      <c r="F524">
        <v>285408167</v>
      </c>
      <c r="G524">
        <v>0</v>
      </c>
      <c r="L524" t="s">
        <v>7</v>
      </c>
      <c r="M524" t="s">
        <v>7</v>
      </c>
      <c r="N524" t="s">
        <v>7</v>
      </c>
      <c r="P524">
        <f t="shared" si="984"/>
        <v>-0.35777777777777781</v>
      </c>
      <c r="Q524">
        <f t="shared" si="985"/>
        <v>-102112699.74888889</v>
      </c>
      <c r="R524">
        <f t="shared" si="986"/>
        <v>-4523941633.1314163</v>
      </c>
      <c r="S524">
        <f t="shared" si="987"/>
        <v>-45239.416331314162</v>
      </c>
      <c r="T524">
        <f t="shared" si="988"/>
        <v>-45.23941633131416</v>
      </c>
    </row>
    <row r="525" spans="1:20" x14ac:dyDescent="0.25">
      <c r="A525" s="5">
        <v>44068</v>
      </c>
      <c r="B525">
        <v>1.3801000000000001E-2</v>
      </c>
      <c r="C525">
        <v>1.4085E-2</v>
      </c>
      <c r="D525">
        <v>1.1624000000000001E-2</v>
      </c>
      <c r="E525">
        <v>1.2263E-2</v>
      </c>
      <c r="F525">
        <v>549080259</v>
      </c>
      <c r="G525">
        <v>0</v>
      </c>
      <c r="L525" t="s">
        <v>7</v>
      </c>
      <c r="M525" t="s">
        <v>7</v>
      </c>
      <c r="N525" t="s">
        <v>8</v>
      </c>
      <c r="P525">
        <f t="shared" si="984"/>
        <v>-0.48069890288500688</v>
      </c>
      <c r="Q525">
        <f t="shared" si="985"/>
        <v>-263942278.09711543</v>
      </c>
      <c r="R525">
        <f t="shared" si="986"/>
        <v>-4421828933.3825274</v>
      </c>
      <c r="S525">
        <f t="shared" si="987"/>
        <v>-44218.289333825276</v>
      </c>
      <c r="T525">
        <f t="shared" si="988"/>
        <v>-44.218289333825275</v>
      </c>
    </row>
    <row r="526" spans="1:20" x14ac:dyDescent="0.25">
      <c r="A526" s="5">
        <v>44067</v>
      </c>
      <c r="B526">
        <v>1.1831E-2</v>
      </c>
      <c r="C526">
        <v>1.541E-2</v>
      </c>
      <c r="D526">
        <v>1.159E-2</v>
      </c>
      <c r="E526">
        <v>1.38E-2</v>
      </c>
      <c r="F526">
        <v>1029252672</v>
      </c>
      <c r="G526">
        <v>0</v>
      </c>
      <c r="L526" t="s">
        <v>8</v>
      </c>
      <c r="M526" t="s">
        <v>8</v>
      </c>
      <c r="N526" t="s">
        <v>8</v>
      </c>
      <c r="P526">
        <f t="shared" si="984"/>
        <v>0.15706806282722507</v>
      </c>
      <c r="Q526">
        <f t="shared" si="985"/>
        <v>161662723.35078529</v>
      </c>
      <c r="R526">
        <f t="shared" si="986"/>
        <v>-4157886655.2854118</v>
      </c>
      <c r="S526">
        <f t="shared" si="987"/>
        <v>-41578.866552854117</v>
      </c>
      <c r="T526">
        <f t="shared" si="988"/>
        <v>-41.578866552854116</v>
      </c>
    </row>
    <row r="527" spans="1:20" x14ac:dyDescent="0.25">
      <c r="A527" s="5">
        <v>44066</v>
      </c>
      <c r="B527">
        <v>1.111E-2</v>
      </c>
      <c r="C527">
        <v>1.2067E-2</v>
      </c>
      <c r="D527">
        <v>1.0892000000000001E-2</v>
      </c>
      <c r="E527">
        <v>1.1831E-2</v>
      </c>
      <c r="F527">
        <v>340131279</v>
      </c>
      <c r="G527">
        <v>0</v>
      </c>
      <c r="L527" t="s">
        <v>8</v>
      </c>
      <c r="M527" t="s">
        <v>8</v>
      </c>
      <c r="N527" t="s">
        <v>8</v>
      </c>
      <c r="P527">
        <f t="shared" si="984"/>
        <v>0.59829787234042497</v>
      </c>
      <c r="Q527">
        <f t="shared" si="985"/>
        <v>203499820.54212746</v>
      </c>
      <c r="R527">
        <f t="shared" si="986"/>
        <v>-4319549378.6361971</v>
      </c>
      <c r="S527">
        <f t="shared" si="987"/>
        <v>-43195.493786361971</v>
      </c>
      <c r="T527">
        <f t="shared" si="988"/>
        <v>-43.195493786361972</v>
      </c>
    </row>
    <row r="528" spans="1:20" x14ac:dyDescent="0.25">
      <c r="A528" s="5">
        <v>44065</v>
      </c>
      <c r="B528">
        <v>1.0737E-2</v>
      </c>
      <c r="C528">
        <v>1.1762999999999999E-2</v>
      </c>
      <c r="D528">
        <v>9.9869999999999994E-3</v>
      </c>
      <c r="E528">
        <v>1.1107000000000001E-2</v>
      </c>
      <c r="F528">
        <v>426129205</v>
      </c>
      <c r="G528">
        <v>0</v>
      </c>
      <c r="L528" t="s">
        <v>7</v>
      </c>
      <c r="M528" t="s">
        <v>7</v>
      </c>
      <c r="N528" t="s">
        <v>8</v>
      </c>
      <c r="P528">
        <f t="shared" si="984"/>
        <v>0.26126126126126276</v>
      </c>
      <c r="Q528">
        <f t="shared" si="985"/>
        <v>111331053.55855919</v>
      </c>
      <c r="R528">
        <f t="shared" si="986"/>
        <v>-4523049199.1783247</v>
      </c>
      <c r="S528">
        <f t="shared" si="987"/>
        <v>-45230.491991783245</v>
      </c>
      <c r="T528">
        <f t="shared" si="988"/>
        <v>-45.230491991783246</v>
      </c>
    </row>
    <row r="529" spans="1:20" x14ac:dyDescent="0.25">
      <c r="A529" s="5">
        <v>44064</v>
      </c>
      <c r="B529">
        <v>1.0307E-2</v>
      </c>
      <c r="C529">
        <v>1.286E-2</v>
      </c>
      <c r="D529">
        <v>1.0078999999999999E-2</v>
      </c>
      <c r="E529">
        <v>1.0777999999999999E-2</v>
      </c>
      <c r="F529">
        <v>1132139859</v>
      </c>
      <c r="G529">
        <v>0</v>
      </c>
      <c r="L529" t="s">
        <v>8</v>
      </c>
      <c r="M529" t="s">
        <v>8</v>
      </c>
      <c r="N529" t="s">
        <v>8</v>
      </c>
      <c r="P529">
        <f t="shared" si="984"/>
        <v>-0.49730312837108964</v>
      </c>
      <c r="Q529">
        <f t="shared" si="985"/>
        <v>-563016693.63430429</v>
      </c>
      <c r="R529">
        <f t="shared" si="986"/>
        <v>-4634380252.7368841</v>
      </c>
      <c r="S529">
        <f t="shared" si="987"/>
        <v>-46343.80252736884</v>
      </c>
      <c r="T529">
        <f t="shared" si="988"/>
        <v>-46.343802527368837</v>
      </c>
    </row>
    <row r="530" spans="1:20" x14ac:dyDescent="0.25">
      <c r="A530" s="5">
        <v>44063</v>
      </c>
      <c r="B530">
        <v>9.6500000000000006E-3</v>
      </c>
      <c r="C530">
        <v>1.0349000000000001E-2</v>
      </c>
      <c r="D530">
        <v>9.3460000000000001E-3</v>
      </c>
      <c r="E530">
        <v>1.0312E-2</v>
      </c>
      <c r="F530">
        <v>304980359</v>
      </c>
      <c r="G530">
        <v>0</v>
      </c>
      <c r="L530" t="s">
        <v>8</v>
      </c>
      <c r="M530" t="s">
        <v>7</v>
      </c>
      <c r="N530" t="s">
        <v>8</v>
      </c>
      <c r="P530">
        <f t="shared" si="984"/>
        <v>0.92622133599202283</v>
      </c>
      <c r="Q530">
        <f t="shared" si="985"/>
        <v>282479315.56430674</v>
      </c>
      <c r="R530">
        <f t="shared" si="986"/>
        <v>-4071363559.1025796</v>
      </c>
      <c r="S530">
        <f t="shared" si="987"/>
        <v>-40713.635591025799</v>
      </c>
      <c r="T530">
        <f t="shared" si="988"/>
        <v>-40.713635591025799</v>
      </c>
    </row>
    <row r="531" spans="1:20" x14ac:dyDescent="0.25">
      <c r="A531" s="5">
        <v>44062</v>
      </c>
      <c r="B531">
        <v>1.0064999999999999E-2</v>
      </c>
      <c r="C531">
        <v>1.0538E-2</v>
      </c>
      <c r="D531">
        <v>9.1999999999999998E-3</v>
      </c>
      <c r="E531">
        <v>9.6480000000000003E-3</v>
      </c>
      <c r="F531">
        <v>299975474</v>
      </c>
      <c r="G531">
        <v>0</v>
      </c>
      <c r="L531" t="s">
        <v>7</v>
      </c>
      <c r="M531" t="s">
        <v>7</v>
      </c>
      <c r="N531" t="s">
        <v>8</v>
      </c>
      <c r="P531">
        <f t="shared" si="984"/>
        <v>-0.33034379671150932</v>
      </c>
      <c r="Q531">
        <f t="shared" si="985"/>
        <v>-99095037.001494646</v>
      </c>
      <c r="R531">
        <f t="shared" si="986"/>
        <v>-4353842874.6668863</v>
      </c>
      <c r="S531">
        <f t="shared" si="987"/>
        <v>-43538.428746668862</v>
      </c>
      <c r="T531">
        <f t="shared" si="988"/>
        <v>-43.538428746668863</v>
      </c>
    </row>
    <row r="532" spans="1:20" x14ac:dyDescent="0.25">
      <c r="A532" s="5">
        <v>44061</v>
      </c>
      <c r="B532">
        <v>9.5879999999999993E-3</v>
      </c>
      <c r="C532">
        <v>1.094E-2</v>
      </c>
      <c r="D532">
        <v>9.1999999999999998E-3</v>
      </c>
      <c r="E532">
        <v>1.0090999999999999E-2</v>
      </c>
      <c r="F532">
        <v>549864109</v>
      </c>
      <c r="G532">
        <v>0</v>
      </c>
      <c r="L532" t="s">
        <v>8</v>
      </c>
      <c r="M532" t="s">
        <v>8</v>
      </c>
      <c r="N532" t="s">
        <v>8</v>
      </c>
      <c r="P532">
        <f t="shared" si="984"/>
        <v>2.4137931034481971E-2</v>
      </c>
      <c r="Q532">
        <f t="shared" si="985"/>
        <v>13272581.941378877</v>
      </c>
      <c r="R532">
        <f t="shared" si="986"/>
        <v>-4254747837.6653914</v>
      </c>
      <c r="S532">
        <f t="shared" si="987"/>
        <v>-42547.478376653911</v>
      </c>
      <c r="T532">
        <f t="shared" si="988"/>
        <v>-42.547478376653913</v>
      </c>
    </row>
    <row r="533" spans="1:20" x14ac:dyDescent="0.25">
      <c r="A533" s="5">
        <v>44060</v>
      </c>
      <c r="B533">
        <v>9.5149999999999992E-3</v>
      </c>
      <c r="C533">
        <v>9.7789999999999995E-3</v>
      </c>
      <c r="D533">
        <v>9.1640000000000003E-3</v>
      </c>
      <c r="E533">
        <v>9.5879999999999993E-3</v>
      </c>
      <c r="F533">
        <v>208550478</v>
      </c>
      <c r="G533">
        <v>0</v>
      </c>
      <c r="L533" t="s">
        <v>8</v>
      </c>
      <c r="M533" t="s">
        <v>8</v>
      </c>
      <c r="N533" t="s">
        <v>7</v>
      </c>
      <c r="P533">
        <f t="shared" si="984"/>
        <v>0.37886178861788478</v>
      </c>
      <c r="Q533">
        <f t="shared" si="985"/>
        <v>79011807.112194836</v>
      </c>
      <c r="R533">
        <f t="shared" si="986"/>
        <v>-4268020419.6067705</v>
      </c>
      <c r="S533">
        <f t="shared" si="987"/>
        <v>-42680.204196067702</v>
      </c>
      <c r="T533">
        <f t="shared" si="988"/>
        <v>-42.680204196067699</v>
      </c>
    </row>
    <row r="534" spans="1:20" x14ac:dyDescent="0.25">
      <c r="A534" s="5">
        <v>44059</v>
      </c>
      <c r="B534">
        <v>9.3390000000000001E-3</v>
      </c>
      <c r="C534">
        <v>9.6460000000000001E-3</v>
      </c>
      <c r="D534">
        <v>9.1780000000000004E-3</v>
      </c>
      <c r="E534">
        <v>9.5149999999999992E-3</v>
      </c>
      <c r="F534">
        <v>130602883</v>
      </c>
      <c r="G534">
        <v>0</v>
      </c>
      <c r="L534" t="s">
        <v>7</v>
      </c>
      <c r="M534" t="s">
        <v>8</v>
      </c>
      <c r="N534" t="s">
        <v>7</v>
      </c>
      <c r="P534">
        <f t="shared" si="984"/>
        <v>0.44017094017093589</v>
      </c>
      <c r="Q534">
        <f t="shared" si="985"/>
        <v>57487593.799144737</v>
      </c>
      <c r="R534">
        <f t="shared" si="986"/>
        <v>-4347032226.7189655</v>
      </c>
      <c r="S534">
        <f t="shared" si="987"/>
        <v>-43470.322267189658</v>
      </c>
      <c r="T534">
        <f t="shared" si="988"/>
        <v>-43.470322267189658</v>
      </c>
    </row>
    <row r="535" spans="1:20" x14ac:dyDescent="0.25">
      <c r="A535" s="5">
        <v>44058</v>
      </c>
      <c r="B535">
        <v>9.5149999999999992E-3</v>
      </c>
      <c r="C535">
        <v>9.5829999999999995E-3</v>
      </c>
      <c r="D535">
        <v>9.0650000000000001E-3</v>
      </c>
      <c r="E535">
        <v>9.3120000000000008E-3</v>
      </c>
      <c r="F535">
        <v>164674793</v>
      </c>
      <c r="G535">
        <v>0</v>
      </c>
      <c r="L535" t="s">
        <v>7</v>
      </c>
      <c r="M535" t="s">
        <v>8</v>
      </c>
      <c r="N535" t="s">
        <v>7</v>
      </c>
      <c r="P535">
        <f t="shared" si="984"/>
        <v>-4.6332046332042492E-2</v>
      </c>
      <c r="Q535">
        <f t="shared" si="985"/>
        <v>-7629720.1389955068</v>
      </c>
      <c r="R535">
        <f t="shared" si="986"/>
        <v>-4404519820.5181103</v>
      </c>
      <c r="S535">
        <f t="shared" si="987"/>
        <v>-44045.198205181099</v>
      </c>
      <c r="T535">
        <f t="shared" si="988"/>
        <v>-44.045198205181102</v>
      </c>
    </row>
    <row r="536" spans="1:20" x14ac:dyDescent="0.25">
      <c r="A536" s="5">
        <v>44057</v>
      </c>
      <c r="B536">
        <v>9.4490000000000008E-3</v>
      </c>
      <c r="C536">
        <v>9.9819999999999996E-3</v>
      </c>
      <c r="D536">
        <v>9.3100000000000006E-3</v>
      </c>
      <c r="E536">
        <v>9.5119999999999996E-3</v>
      </c>
      <c r="F536">
        <v>199758591</v>
      </c>
      <c r="G536">
        <v>0</v>
      </c>
      <c r="L536" t="s">
        <v>8</v>
      </c>
      <c r="M536" t="s">
        <v>8</v>
      </c>
      <c r="N536" t="s">
        <v>7</v>
      </c>
      <c r="P536">
        <f t="shared" si="984"/>
        <v>-0.39880952380952572</v>
      </c>
      <c r="Q536">
        <f t="shared" si="985"/>
        <v>-79665628.553571805</v>
      </c>
      <c r="R536">
        <f t="shared" si="986"/>
        <v>-4396890100.3791151</v>
      </c>
      <c r="S536">
        <f t="shared" si="987"/>
        <v>-43968.90100379115</v>
      </c>
      <c r="T536">
        <f t="shared" si="988"/>
        <v>-43.968901003791153</v>
      </c>
    </row>
    <row r="537" spans="1:20" x14ac:dyDescent="0.25">
      <c r="A537" s="5">
        <v>44056</v>
      </c>
      <c r="B537">
        <v>9.5200000000000007E-3</v>
      </c>
      <c r="C537">
        <v>9.6970000000000008E-3</v>
      </c>
      <c r="D537">
        <v>8.9759999999999996E-3</v>
      </c>
      <c r="E537">
        <v>9.4490000000000008E-3</v>
      </c>
      <c r="F537">
        <v>314413368</v>
      </c>
      <c r="G537">
        <v>0</v>
      </c>
      <c r="L537" t="s">
        <v>8</v>
      </c>
      <c r="M537" t="s">
        <v>8</v>
      </c>
      <c r="N537" t="s">
        <v>7</v>
      </c>
      <c r="P537">
        <f t="shared" si="984"/>
        <v>0.31206657420249773</v>
      </c>
      <c r="Q537">
        <f t="shared" si="985"/>
        <v>98117902.63522923</v>
      </c>
      <c r="R537">
        <f t="shared" si="986"/>
        <v>-4317224471.8255434</v>
      </c>
      <c r="S537">
        <f t="shared" si="987"/>
        <v>-43172.244718255432</v>
      </c>
      <c r="T537">
        <f t="shared" si="988"/>
        <v>-43.172244718255435</v>
      </c>
    </row>
    <row r="538" spans="1:20" x14ac:dyDescent="0.25">
      <c r="A538" s="5">
        <v>44055</v>
      </c>
      <c r="B538">
        <v>8.9700000000000005E-3</v>
      </c>
      <c r="C538">
        <v>9.5370000000000003E-3</v>
      </c>
      <c r="D538">
        <v>8.6199999999999992E-3</v>
      </c>
      <c r="E538">
        <v>9.5200000000000007E-3</v>
      </c>
      <c r="F538">
        <v>183339834</v>
      </c>
      <c r="G538">
        <v>0</v>
      </c>
      <c r="L538" t="s">
        <v>7</v>
      </c>
      <c r="M538" t="s">
        <v>8</v>
      </c>
      <c r="N538" t="s">
        <v>7</v>
      </c>
      <c r="P538">
        <f t="shared" si="984"/>
        <v>0.96292257360959732</v>
      </c>
      <c r="Q538">
        <f t="shared" si="985"/>
        <v>176542064.80043635</v>
      </c>
      <c r="R538">
        <f t="shared" si="986"/>
        <v>-4415342374.4607725</v>
      </c>
      <c r="S538">
        <f t="shared" si="987"/>
        <v>-44153.423744607724</v>
      </c>
      <c r="T538">
        <f t="shared" si="988"/>
        <v>-44.153423744607721</v>
      </c>
    </row>
    <row r="539" spans="1:20" x14ac:dyDescent="0.25">
      <c r="A539" s="5">
        <v>44054</v>
      </c>
      <c r="B539">
        <v>9.2829999999999996E-3</v>
      </c>
      <c r="C539">
        <v>9.7000000000000003E-3</v>
      </c>
      <c r="D539">
        <v>8.6789999999999992E-3</v>
      </c>
      <c r="E539">
        <v>8.9949999999999995E-3</v>
      </c>
      <c r="F539">
        <v>297100552</v>
      </c>
      <c r="G539">
        <v>0</v>
      </c>
      <c r="L539" t="s">
        <v>8</v>
      </c>
      <c r="M539" t="s">
        <v>8</v>
      </c>
      <c r="N539" t="s">
        <v>7</v>
      </c>
      <c r="P539">
        <f t="shared" si="984"/>
        <v>-0.38099902056807056</v>
      </c>
      <c r="Q539">
        <f t="shared" si="985"/>
        <v>-113195019.32223311</v>
      </c>
      <c r="R539">
        <f t="shared" si="986"/>
        <v>-4591884439.2612085</v>
      </c>
      <c r="S539">
        <f t="shared" si="987"/>
        <v>-45918.844392612082</v>
      </c>
      <c r="T539">
        <f t="shared" si="988"/>
        <v>-45.91884439261208</v>
      </c>
    </row>
    <row r="540" spans="1:20" x14ac:dyDescent="0.25">
      <c r="A540" s="5">
        <v>44053</v>
      </c>
      <c r="B540">
        <v>8.7919999999999995E-3</v>
      </c>
      <c r="C540">
        <v>9.4959999999999992E-3</v>
      </c>
      <c r="D540">
        <v>8.5760000000000003E-3</v>
      </c>
      <c r="E540">
        <v>9.3030000000000005E-3</v>
      </c>
      <c r="F540">
        <v>441254337</v>
      </c>
      <c r="G540">
        <v>0</v>
      </c>
      <c r="L540" t="s">
        <v>8</v>
      </c>
      <c r="M540" t="s">
        <v>8</v>
      </c>
      <c r="N540" t="s">
        <v>7</v>
      </c>
      <c r="P540">
        <f t="shared" si="984"/>
        <v>0.58043478260869796</v>
      </c>
      <c r="Q540">
        <f t="shared" si="985"/>
        <v>256119365.17174014</v>
      </c>
      <c r="R540">
        <f t="shared" si="986"/>
        <v>-4478689419.9389753</v>
      </c>
      <c r="S540">
        <f t="shared" si="987"/>
        <v>-44786.894199389753</v>
      </c>
      <c r="T540">
        <f t="shared" si="988"/>
        <v>-44.786894199389756</v>
      </c>
    </row>
    <row r="541" spans="1:20" x14ac:dyDescent="0.25">
      <c r="A541" s="5">
        <v>44052</v>
      </c>
      <c r="B541">
        <v>9.0489999999999998E-3</v>
      </c>
      <c r="C541">
        <v>9.1219999999999999E-3</v>
      </c>
      <c r="D541">
        <v>8.6049999999999998E-3</v>
      </c>
      <c r="E541">
        <v>8.7919999999999995E-3</v>
      </c>
      <c r="F541">
        <v>377893870</v>
      </c>
      <c r="G541">
        <v>0</v>
      </c>
      <c r="L541" t="s">
        <v>8</v>
      </c>
      <c r="M541" t="s">
        <v>8</v>
      </c>
      <c r="N541" t="s">
        <v>7</v>
      </c>
      <c r="P541">
        <f t="shared" si="984"/>
        <v>-0.27659574468085252</v>
      </c>
      <c r="Q541">
        <f t="shared" si="985"/>
        <v>-104523836.38297927</v>
      </c>
      <c r="R541">
        <f t="shared" si="986"/>
        <v>-4734808785.1107159</v>
      </c>
      <c r="S541">
        <f t="shared" si="987"/>
        <v>-47348.087851107157</v>
      </c>
      <c r="T541">
        <f t="shared" si="988"/>
        <v>-47.348087851107159</v>
      </c>
    </row>
    <row r="542" spans="1:20" x14ac:dyDescent="0.25">
      <c r="A542" s="5">
        <v>44051</v>
      </c>
      <c r="B542">
        <v>8.7299999999999999E-3</v>
      </c>
      <c r="C542">
        <v>9.0889999999999999E-3</v>
      </c>
      <c r="D542">
        <v>8.5749999999999993E-3</v>
      </c>
      <c r="E542">
        <v>9.0570000000000008E-3</v>
      </c>
      <c r="F542">
        <v>177795819</v>
      </c>
      <c r="G542">
        <v>0</v>
      </c>
      <c r="L542" t="s">
        <v>8</v>
      </c>
      <c r="M542" t="s">
        <v>8</v>
      </c>
      <c r="N542" t="s">
        <v>7</v>
      </c>
      <c r="P542">
        <f t="shared" si="984"/>
        <v>0.87548638132296108</v>
      </c>
      <c r="Q542">
        <f t="shared" si="985"/>
        <v>155657818.19066218</v>
      </c>
      <c r="R542">
        <f t="shared" si="986"/>
        <v>-4630284948.7277365</v>
      </c>
      <c r="S542">
        <f t="shared" si="987"/>
        <v>-46302.849487277366</v>
      </c>
      <c r="T542">
        <f t="shared" si="988"/>
        <v>-46.302849487277363</v>
      </c>
    </row>
    <row r="543" spans="1:20" x14ac:dyDescent="0.25">
      <c r="A543" s="5">
        <v>44050</v>
      </c>
      <c r="B543">
        <v>8.9510000000000006E-3</v>
      </c>
      <c r="C543">
        <v>9.0880000000000006E-3</v>
      </c>
      <c r="D543">
        <v>8.4530000000000004E-3</v>
      </c>
      <c r="E543">
        <v>8.7390000000000002E-3</v>
      </c>
      <c r="F543">
        <v>315594184</v>
      </c>
      <c r="G543">
        <v>0</v>
      </c>
      <c r="L543" t="s">
        <v>7</v>
      </c>
      <c r="M543" t="s">
        <v>8</v>
      </c>
      <c r="N543" t="s">
        <v>7</v>
      </c>
      <c r="P543">
        <f t="shared" si="984"/>
        <v>-9.9212598425197696E-2</v>
      </c>
      <c r="Q543">
        <f t="shared" si="985"/>
        <v>-31310919.042519953</v>
      </c>
      <c r="R543">
        <f t="shared" si="986"/>
        <v>-4785942766.9183989</v>
      </c>
      <c r="S543">
        <f t="shared" si="987"/>
        <v>-47859.427669183991</v>
      </c>
      <c r="T543">
        <f t="shared" si="988"/>
        <v>-47.859427669183994</v>
      </c>
    </row>
    <row r="544" spans="1:20" x14ac:dyDescent="0.25">
      <c r="A544" s="5">
        <v>44049</v>
      </c>
      <c r="B544">
        <v>8.8979999999999997E-3</v>
      </c>
      <c r="C544">
        <v>9.0500000000000008E-3</v>
      </c>
      <c r="D544">
        <v>8.7060000000000002E-3</v>
      </c>
      <c r="E544">
        <v>8.9499999999999996E-3</v>
      </c>
      <c r="F544">
        <v>194164118</v>
      </c>
      <c r="G544">
        <v>0</v>
      </c>
      <c r="L544" t="s">
        <v>7</v>
      </c>
      <c r="M544" t="s">
        <v>8</v>
      </c>
      <c r="N544" t="s">
        <v>7</v>
      </c>
      <c r="P544">
        <f t="shared" si="984"/>
        <v>0.41860465116278506</v>
      </c>
      <c r="Q544">
        <f t="shared" si="985"/>
        <v>81278002.883719832</v>
      </c>
      <c r="R544">
        <f t="shared" si="986"/>
        <v>-4754631847.8758793</v>
      </c>
      <c r="S544">
        <f t="shared" si="987"/>
        <v>-47546.318478758796</v>
      </c>
      <c r="T544">
        <f t="shared" si="988"/>
        <v>-47.546318478758799</v>
      </c>
    </row>
    <row r="545" spans="1:20" x14ac:dyDescent="0.25">
      <c r="A545" s="5">
        <v>44048</v>
      </c>
      <c r="B545">
        <v>9.1710000000000003E-3</v>
      </c>
      <c r="C545">
        <v>9.7630000000000008E-3</v>
      </c>
      <c r="D545">
        <v>8.7379999999999992E-3</v>
      </c>
      <c r="E545">
        <v>8.8940000000000009E-3</v>
      </c>
      <c r="F545">
        <v>397660875</v>
      </c>
      <c r="G545">
        <v>0</v>
      </c>
      <c r="L545" t="s">
        <v>8</v>
      </c>
      <c r="M545" t="s">
        <v>8</v>
      </c>
      <c r="N545" t="s">
        <v>7</v>
      </c>
      <c r="P545">
        <f t="shared" si="984"/>
        <v>-0.69560975609755826</v>
      </c>
      <c r="Q545">
        <f t="shared" si="985"/>
        <v>-276616784.26829159</v>
      </c>
      <c r="R545">
        <f t="shared" si="986"/>
        <v>-4835909850.7595987</v>
      </c>
      <c r="S545">
        <f t="shared" si="987"/>
        <v>-48359.098507595991</v>
      </c>
      <c r="T545">
        <f t="shared" si="988"/>
        <v>-48.359098507595988</v>
      </c>
    </row>
    <row r="546" spans="1:20" x14ac:dyDescent="0.25">
      <c r="A546" s="5">
        <v>44047</v>
      </c>
      <c r="B546">
        <v>8.5850000000000006E-3</v>
      </c>
      <c r="C546">
        <v>9.4009999999999996E-3</v>
      </c>
      <c r="D546">
        <v>8.5520000000000006E-3</v>
      </c>
      <c r="E546">
        <v>9.1529999999999997E-3</v>
      </c>
      <c r="F546">
        <v>451273849</v>
      </c>
      <c r="G546">
        <v>0</v>
      </c>
      <c r="L546" t="s">
        <v>8</v>
      </c>
      <c r="M546" t="s">
        <v>8</v>
      </c>
      <c r="N546" t="s">
        <v>7</v>
      </c>
      <c r="P546">
        <f t="shared" si="984"/>
        <v>0.41578327444051771</v>
      </c>
      <c r="Q546">
        <f t="shared" si="985"/>
        <v>187632118.60659575</v>
      </c>
      <c r="R546">
        <f t="shared" si="986"/>
        <v>-4559293066.4913073</v>
      </c>
      <c r="S546">
        <f t="shared" si="987"/>
        <v>-45592.930664913074</v>
      </c>
      <c r="T546">
        <f t="shared" si="988"/>
        <v>-45.592930664913077</v>
      </c>
    </row>
    <row r="547" spans="1:20" x14ac:dyDescent="0.25">
      <c r="A547" s="5">
        <v>44046</v>
      </c>
      <c r="B547">
        <v>8.3759999999999998E-3</v>
      </c>
      <c r="C547">
        <v>8.7670000000000005E-3</v>
      </c>
      <c r="D547">
        <v>8.2760000000000004E-3</v>
      </c>
      <c r="E547">
        <v>8.5959999999999995E-3</v>
      </c>
      <c r="F547">
        <v>143037412</v>
      </c>
      <c r="G547">
        <v>0</v>
      </c>
      <c r="L547" t="s">
        <v>7</v>
      </c>
      <c r="M547" t="s">
        <v>8</v>
      </c>
      <c r="N547" t="s">
        <v>7</v>
      </c>
      <c r="P547">
        <f t="shared" si="984"/>
        <v>0.30346232179225674</v>
      </c>
      <c r="Q547">
        <f t="shared" si="985"/>
        <v>43406465.148675606</v>
      </c>
      <c r="R547">
        <f t="shared" si="986"/>
        <v>-4746925185.0979033</v>
      </c>
      <c r="S547">
        <f t="shared" si="987"/>
        <v>-47469.251850979032</v>
      </c>
      <c r="T547">
        <f t="shared" si="988"/>
        <v>-47.469251850979035</v>
      </c>
    </row>
    <row r="548" spans="1:20" x14ac:dyDescent="0.25">
      <c r="A548" s="5">
        <v>44045</v>
      </c>
      <c r="B548">
        <v>8.9029999999999995E-3</v>
      </c>
      <c r="C548">
        <v>9.5680000000000001E-3</v>
      </c>
      <c r="D548">
        <v>8.1099999999999992E-3</v>
      </c>
      <c r="E548">
        <v>8.4069999999999995E-3</v>
      </c>
      <c r="F548">
        <v>335267777</v>
      </c>
      <c r="G548">
        <v>0</v>
      </c>
      <c r="L548" t="s">
        <v>8</v>
      </c>
      <c r="M548" t="s">
        <v>8</v>
      </c>
      <c r="N548" t="s">
        <v>7</v>
      </c>
      <c r="P548">
        <f t="shared" si="984"/>
        <v>-0.59259259259259234</v>
      </c>
      <c r="Q548">
        <f t="shared" si="985"/>
        <v>-198677201.1851851</v>
      </c>
      <c r="R548">
        <f t="shared" si="986"/>
        <v>-4790331650.2465792</v>
      </c>
      <c r="S548">
        <f t="shared" si="987"/>
        <v>-47903.316502465794</v>
      </c>
      <c r="T548">
        <f t="shared" si="988"/>
        <v>-47.903316502465792</v>
      </c>
    </row>
    <row r="549" spans="1:20" x14ac:dyDescent="0.25">
      <c r="A549" s="5">
        <v>44044</v>
      </c>
      <c r="B549">
        <v>8.3119999999999999E-3</v>
      </c>
      <c r="C549">
        <v>9.2750000000000003E-3</v>
      </c>
      <c r="D549">
        <v>8.2030000000000002E-3</v>
      </c>
      <c r="E549">
        <v>8.9289999999999994E-3</v>
      </c>
      <c r="F549">
        <v>472023359</v>
      </c>
      <c r="G549">
        <v>0</v>
      </c>
      <c r="L549" t="s">
        <v>8</v>
      </c>
      <c r="M549" t="s">
        <v>8</v>
      </c>
      <c r="N549" t="s">
        <v>7</v>
      </c>
      <c r="P549">
        <f t="shared" si="984"/>
        <v>0.35447761194029698</v>
      </c>
      <c r="Q549">
        <f t="shared" si="985"/>
        <v>167321713.07835749</v>
      </c>
      <c r="R549">
        <f t="shared" si="986"/>
        <v>-4591654449.0613937</v>
      </c>
      <c r="S549">
        <f t="shared" si="987"/>
        <v>-45916.544490613938</v>
      </c>
      <c r="T549">
        <f t="shared" si="988"/>
        <v>-45.916544490613937</v>
      </c>
    </row>
    <row r="550" spans="1:20" x14ac:dyDescent="0.25">
      <c r="A550" s="5">
        <v>44043</v>
      </c>
      <c r="B550">
        <v>8.1869999999999998E-3</v>
      </c>
      <c r="C550">
        <v>8.6650000000000008E-3</v>
      </c>
      <c r="D550">
        <v>8.1480000000000007E-3</v>
      </c>
      <c r="E550">
        <v>8.3119999999999999E-3</v>
      </c>
      <c r="F550">
        <v>142745790</v>
      </c>
      <c r="G550">
        <v>0</v>
      </c>
      <c r="L550" t="s">
        <v>8</v>
      </c>
      <c r="M550" t="s">
        <v>7</v>
      </c>
      <c r="N550" t="s">
        <v>7</v>
      </c>
      <c r="P550">
        <f t="shared" si="984"/>
        <v>-0.36557059961315597</v>
      </c>
      <c r="Q550">
        <f t="shared" si="985"/>
        <v>-52183664.042553641</v>
      </c>
      <c r="R550">
        <f t="shared" si="986"/>
        <v>-4758976162.1397514</v>
      </c>
      <c r="S550">
        <f t="shared" si="987"/>
        <v>-47589.761621397512</v>
      </c>
      <c r="T550">
        <f t="shared" si="988"/>
        <v>-47.589761621397514</v>
      </c>
    </row>
    <row r="551" spans="1:20" x14ac:dyDescent="0.25">
      <c r="A551" s="5">
        <v>44042</v>
      </c>
      <c r="B551">
        <v>8.2920000000000008E-3</v>
      </c>
      <c r="C551">
        <v>8.3499999999999998E-3</v>
      </c>
      <c r="D551">
        <v>8.0590000000000002E-3</v>
      </c>
      <c r="E551">
        <v>8.1829999999999993E-3</v>
      </c>
      <c r="F551">
        <v>97464075</v>
      </c>
      <c r="G551">
        <v>0</v>
      </c>
      <c r="L551" t="s">
        <v>7</v>
      </c>
      <c r="M551" t="s">
        <v>7</v>
      </c>
      <c r="N551" t="s">
        <v>7</v>
      </c>
      <c r="P551">
        <f t="shared" si="984"/>
        <v>-0.1477663230240599</v>
      </c>
      <c r="Q551">
        <f t="shared" si="985"/>
        <v>-14401907.989691202</v>
      </c>
      <c r="R551">
        <f t="shared" si="986"/>
        <v>-4706792498.0971975</v>
      </c>
      <c r="S551">
        <f t="shared" si="987"/>
        <v>-47067.924980971977</v>
      </c>
      <c r="T551">
        <f t="shared" si="988"/>
        <v>-47.067924980971974</v>
      </c>
    </row>
    <row r="552" spans="1:20" x14ac:dyDescent="0.25">
      <c r="A552" s="5">
        <v>44041</v>
      </c>
      <c r="B552">
        <v>8.3630000000000006E-3</v>
      </c>
      <c r="C552">
        <v>8.763E-3</v>
      </c>
      <c r="D552">
        <v>8.0269999999999994E-3</v>
      </c>
      <c r="E552">
        <v>8.2909999999999998E-3</v>
      </c>
      <c r="F552">
        <v>232323575</v>
      </c>
      <c r="G552">
        <v>0</v>
      </c>
      <c r="L552" t="s">
        <v>8</v>
      </c>
      <c r="M552" t="s">
        <v>7</v>
      </c>
      <c r="N552" t="s">
        <v>7</v>
      </c>
      <c r="P552">
        <f t="shared" si="984"/>
        <v>-0.2826086956521735</v>
      </c>
      <c r="Q552">
        <f t="shared" si="985"/>
        <v>-65656662.499999903</v>
      </c>
      <c r="R552">
        <f t="shared" si="986"/>
        <v>-4692390590.1075068</v>
      </c>
      <c r="S552">
        <f t="shared" si="987"/>
        <v>-46923.905901075064</v>
      </c>
      <c r="T552">
        <f t="shared" si="988"/>
        <v>-46.923905901075067</v>
      </c>
    </row>
    <row r="553" spans="1:20" x14ac:dyDescent="0.25">
      <c r="A553" s="5">
        <v>44040</v>
      </c>
      <c r="B553">
        <v>7.8200000000000006E-3</v>
      </c>
      <c r="C553">
        <v>8.4550000000000007E-3</v>
      </c>
      <c r="D553">
        <v>7.7000000000000002E-3</v>
      </c>
      <c r="E553">
        <v>8.3499999999999998E-3</v>
      </c>
      <c r="F553">
        <v>172872855</v>
      </c>
      <c r="G553">
        <v>0</v>
      </c>
      <c r="L553" t="s">
        <v>8</v>
      </c>
      <c r="M553" t="s">
        <v>7</v>
      </c>
      <c r="N553" t="s">
        <v>7</v>
      </c>
      <c r="P553">
        <f t="shared" si="984"/>
        <v>0.72185430463575928</v>
      </c>
      <c r="Q553">
        <f t="shared" si="985"/>
        <v>124789014.53642344</v>
      </c>
      <c r="R553">
        <f t="shared" si="986"/>
        <v>-4626733927.6075068</v>
      </c>
      <c r="S553">
        <f t="shared" si="987"/>
        <v>-46267.339276075065</v>
      </c>
      <c r="T553">
        <f t="shared" si="988"/>
        <v>-46.267339276075063</v>
      </c>
    </row>
    <row r="554" spans="1:20" x14ac:dyDescent="0.25">
      <c r="A554" s="5">
        <v>44039</v>
      </c>
      <c r="B554">
        <v>8.1799999999999998E-3</v>
      </c>
      <c r="C554">
        <v>8.3330000000000001E-3</v>
      </c>
      <c r="D554">
        <v>7.3670000000000003E-3</v>
      </c>
      <c r="E554">
        <v>7.8209999999999998E-3</v>
      </c>
      <c r="F554">
        <v>227519555</v>
      </c>
      <c r="G554">
        <v>0</v>
      </c>
      <c r="L554" t="s">
        <v>7</v>
      </c>
      <c r="M554" t="s">
        <v>7</v>
      </c>
      <c r="N554" t="s">
        <v>7</v>
      </c>
      <c r="P554">
        <f t="shared" si="984"/>
        <v>-6.0041407867495622E-2</v>
      </c>
      <c r="Q554">
        <f t="shared" si="985"/>
        <v>-13660594.399586102</v>
      </c>
      <c r="R554">
        <f t="shared" si="986"/>
        <v>-4751522942.1439304</v>
      </c>
      <c r="S554">
        <f t="shared" si="987"/>
        <v>-47515.229421439304</v>
      </c>
      <c r="T554">
        <f t="shared" si="988"/>
        <v>-47.515229421439301</v>
      </c>
    </row>
    <row r="555" spans="1:20" x14ac:dyDescent="0.25">
      <c r="A555" s="5">
        <v>44038</v>
      </c>
      <c r="B555">
        <v>8.3300000000000006E-3</v>
      </c>
      <c r="C555">
        <v>8.3339999999999994E-3</v>
      </c>
      <c r="D555">
        <v>8.0110000000000008E-3</v>
      </c>
      <c r="E555">
        <v>8.1880000000000008E-3</v>
      </c>
      <c r="F555">
        <v>105792981</v>
      </c>
      <c r="G555">
        <v>0</v>
      </c>
      <c r="L555" t="s">
        <v>7</v>
      </c>
      <c r="M555" t="s">
        <v>7</v>
      </c>
      <c r="N555" t="s">
        <v>7</v>
      </c>
      <c r="P555">
        <f t="shared" si="984"/>
        <v>9.5975232198147506E-2</v>
      </c>
      <c r="Q555">
        <f t="shared" si="985"/>
        <v>10153505.916409208</v>
      </c>
      <c r="R555">
        <f t="shared" si="986"/>
        <v>-4737862347.7443447</v>
      </c>
      <c r="S555">
        <f t="shared" si="987"/>
        <v>-47378.623477443449</v>
      </c>
      <c r="T555">
        <f t="shared" si="988"/>
        <v>-47.378623477443448</v>
      </c>
    </row>
    <row r="556" spans="1:20" x14ac:dyDescent="0.25">
      <c r="A556" s="5">
        <v>44037</v>
      </c>
      <c r="B556">
        <v>8.1989999999999997E-3</v>
      </c>
      <c r="C556">
        <v>8.4550000000000007E-3</v>
      </c>
      <c r="D556">
        <v>8.1300000000000001E-3</v>
      </c>
      <c r="E556">
        <v>8.3309999999999999E-3</v>
      </c>
      <c r="F556">
        <v>131375495</v>
      </c>
      <c r="G556">
        <v>0</v>
      </c>
      <c r="L556" t="s">
        <v>7</v>
      </c>
      <c r="M556" t="s">
        <v>7</v>
      </c>
      <c r="N556" t="s">
        <v>7</v>
      </c>
      <c r="P556">
        <f t="shared" si="984"/>
        <v>0.23692307692307321</v>
      </c>
      <c r="Q556">
        <f t="shared" si="985"/>
        <v>31125886.507691819</v>
      </c>
      <c r="R556">
        <f t="shared" si="986"/>
        <v>-4748015853.6607542</v>
      </c>
      <c r="S556">
        <f t="shared" si="987"/>
        <v>-47480.158536607545</v>
      </c>
      <c r="T556">
        <f t="shared" si="988"/>
        <v>-47.480158536607547</v>
      </c>
    </row>
    <row r="557" spans="1:20" x14ac:dyDescent="0.25">
      <c r="A557" s="5">
        <v>44036</v>
      </c>
      <c r="B557">
        <v>8.4539999999999997E-3</v>
      </c>
      <c r="C557">
        <v>8.5520000000000006E-3</v>
      </c>
      <c r="D557">
        <v>8.1010000000000006E-3</v>
      </c>
      <c r="E557">
        <v>8.1770000000000002E-3</v>
      </c>
      <c r="F557">
        <v>102398805</v>
      </c>
      <c r="G557">
        <v>0</v>
      </c>
      <c r="L557" t="s">
        <v>7</v>
      </c>
      <c r="M557" t="s">
        <v>7</v>
      </c>
      <c r="N557" t="s">
        <v>7</v>
      </c>
      <c r="P557">
        <f t="shared" si="984"/>
        <v>-0.66297117516629855</v>
      </c>
      <c r="Q557">
        <f t="shared" si="985"/>
        <v>-67887456.086474642</v>
      </c>
      <c r="R557">
        <f t="shared" si="986"/>
        <v>-4779141740.1684456</v>
      </c>
      <c r="S557">
        <f t="shared" si="987"/>
        <v>-47791.417401684455</v>
      </c>
      <c r="T557">
        <f t="shared" si="988"/>
        <v>-47.791417401684456</v>
      </c>
    </row>
    <row r="558" spans="1:20" x14ac:dyDescent="0.25">
      <c r="A558" s="5">
        <v>44035</v>
      </c>
      <c r="B558">
        <v>8.6999999999999994E-3</v>
      </c>
      <c r="C558">
        <v>8.8000000000000005E-3</v>
      </c>
      <c r="D558">
        <v>8.2000000000000007E-3</v>
      </c>
      <c r="E558">
        <v>8.4709999999999994E-3</v>
      </c>
      <c r="F558">
        <v>130358327</v>
      </c>
      <c r="G558">
        <v>0</v>
      </c>
      <c r="L558" t="s">
        <v>7</v>
      </c>
      <c r="M558" t="s">
        <v>7</v>
      </c>
      <c r="N558" t="s">
        <v>7</v>
      </c>
      <c r="P558">
        <f t="shared" si="984"/>
        <v>-9.6666666666670856E-2</v>
      </c>
      <c r="Q558">
        <f t="shared" si="985"/>
        <v>-12601304.943333879</v>
      </c>
      <c r="R558">
        <f t="shared" si="986"/>
        <v>-4711254284.0819712</v>
      </c>
      <c r="S558">
        <f t="shared" si="987"/>
        <v>-47112.542840819711</v>
      </c>
      <c r="T558">
        <f t="shared" si="988"/>
        <v>-47.112542840819714</v>
      </c>
    </row>
    <row r="559" spans="1:20" x14ac:dyDescent="0.25">
      <c r="A559" s="5">
        <v>44034</v>
      </c>
      <c r="B559">
        <v>8.3759999999999998E-3</v>
      </c>
      <c r="C559">
        <v>8.9599999999999992E-3</v>
      </c>
      <c r="D559">
        <v>8.3149999999999995E-3</v>
      </c>
      <c r="E559">
        <v>8.6999999999999994E-3</v>
      </c>
      <c r="F559">
        <v>202120924</v>
      </c>
      <c r="G559">
        <v>0</v>
      </c>
      <c r="L559" t="s">
        <v>8</v>
      </c>
      <c r="M559" t="s">
        <v>7</v>
      </c>
      <c r="N559" t="s">
        <v>7</v>
      </c>
      <c r="P559">
        <f t="shared" si="984"/>
        <v>0.19379844961240336</v>
      </c>
      <c r="Q559">
        <f t="shared" si="985"/>
        <v>39170721.70542641</v>
      </c>
      <c r="R559">
        <f t="shared" si="986"/>
        <v>-4698652979.1386375</v>
      </c>
      <c r="S559">
        <f t="shared" si="987"/>
        <v>-46986.529791386376</v>
      </c>
      <c r="T559">
        <f t="shared" si="988"/>
        <v>-46.986529791386374</v>
      </c>
    </row>
    <row r="560" spans="1:20" x14ac:dyDescent="0.25">
      <c r="A560" s="5">
        <v>44033</v>
      </c>
      <c r="B560">
        <v>8.3210000000000003E-3</v>
      </c>
      <c r="C560">
        <v>8.4650000000000003E-3</v>
      </c>
      <c r="D560">
        <v>8.267E-3</v>
      </c>
      <c r="E560">
        <v>8.3719999999999992E-3</v>
      </c>
      <c r="F560">
        <v>82963294</v>
      </c>
      <c r="G560">
        <v>0</v>
      </c>
      <c r="L560" t="s">
        <v>7</v>
      </c>
      <c r="M560" t="s">
        <v>7</v>
      </c>
      <c r="N560" t="s">
        <v>7</v>
      </c>
      <c r="P560">
        <f t="shared" si="984"/>
        <v>6.0606060606051046E-2</v>
      </c>
      <c r="Q560">
        <f t="shared" si="985"/>
        <v>5028078.4242416313</v>
      </c>
      <c r="R560">
        <f t="shared" si="986"/>
        <v>-4737823700.8440638</v>
      </c>
      <c r="S560">
        <f t="shared" si="987"/>
        <v>-47378.237008440636</v>
      </c>
      <c r="T560">
        <f t="shared" si="988"/>
        <v>-47.378237008440635</v>
      </c>
    </row>
    <row r="561" spans="1:104" x14ac:dyDescent="0.25">
      <c r="A561" s="5">
        <v>44032</v>
      </c>
      <c r="B561">
        <v>8.3929999999999994E-3</v>
      </c>
      <c r="C561">
        <v>8.4119999999999993E-3</v>
      </c>
      <c r="D561">
        <v>8.2500000000000004E-3</v>
      </c>
      <c r="E561">
        <v>8.3219999999999995E-3</v>
      </c>
      <c r="F561">
        <v>80369944</v>
      </c>
      <c r="G561">
        <v>0</v>
      </c>
      <c r="L561" t="s">
        <v>7</v>
      </c>
      <c r="M561" t="s">
        <v>7</v>
      </c>
      <c r="N561" t="s">
        <v>7</v>
      </c>
      <c r="P561">
        <f t="shared" si="984"/>
        <v>-0.11111111111111587</v>
      </c>
      <c r="Q561">
        <f t="shared" si="985"/>
        <v>-8929993.7777781598</v>
      </c>
      <c r="R561">
        <f t="shared" si="986"/>
        <v>-4742851779.2683058</v>
      </c>
      <c r="S561">
        <f t="shared" si="987"/>
        <v>-47428.517792683058</v>
      </c>
      <c r="T561">
        <f t="shared" si="988"/>
        <v>-47.42851779268306</v>
      </c>
      <c r="CZ561" t="s">
        <v>7</v>
      </c>
    </row>
    <row r="562" spans="1:104" x14ac:dyDescent="0.25">
      <c r="A562" s="5">
        <v>44031</v>
      </c>
      <c r="B562">
        <v>8.4150000000000006E-3</v>
      </c>
      <c r="C562">
        <v>8.4779999999999994E-3</v>
      </c>
      <c r="D562">
        <v>8.2920000000000008E-3</v>
      </c>
      <c r="E562">
        <v>8.3890000000000006E-3</v>
      </c>
      <c r="F562">
        <v>41498693</v>
      </c>
      <c r="G562">
        <v>0</v>
      </c>
      <c r="L562" t="s">
        <v>7</v>
      </c>
      <c r="M562" t="s">
        <v>7</v>
      </c>
      <c r="N562" t="s">
        <v>7</v>
      </c>
      <c r="P562">
        <f t="shared" si="984"/>
        <v>4.3010752688178062E-2</v>
      </c>
      <c r="Q562">
        <f t="shared" si="985"/>
        <v>1784890.0215056262</v>
      </c>
      <c r="R562">
        <f t="shared" si="986"/>
        <v>-4733921785.4905272</v>
      </c>
      <c r="S562">
        <f t="shared" si="987"/>
        <v>-47339.21785490527</v>
      </c>
      <c r="T562">
        <f t="shared" si="988"/>
        <v>-47.339217854905272</v>
      </c>
      <c r="CZ562" t="s">
        <v>7</v>
      </c>
    </row>
    <row r="563" spans="1:104" x14ac:dyDescent="0.25">
      <c r="A563" s="5">
        <v>44030</v>
      </c>
      <c r="B563">
        <v>8.4600000000000005E-3</v>
      </c>
      <c r="C563">
        <v>8.5599999999999999E-3</v>
      </c>
      <c r="D563">
        <v>8.3300000000000006E-3</v>
      </c>
      <c r="E563">
        <v>8.4320000000000003E-3</v>
      </c>
      <c r="F563">
        <v>60544865</v>
      </c>
      <c r="G563">
        <v>0</v>
      </c>
      <c r="L563" t="s">
        <v>7</v>
      </c>
      <c r="M563" t="s">
        <v>7</v>
      </c>
      <c r="N563" t="s">
        <v>7</v>
      </c>
      <c r="P563">
        <f t="shared" si="984"/>
        <v>-0.11304347826086983</v>
      </c>
      <c r="Q563">
        <f t="shared" si="985"/>
        <v>-6844202.130434799</v>
      </c>
      <c r="R563">
        <f t="shared" si="986"/>
        <v>-4735706675.5120325</v>
      </c>
      <c r="S563">
        <f t="shared" si="987"/>
        <v>-47357.066755120322</v>
      </c>
      <c r="T563">
        <f t="shared" si="988"/>
        <v>-47.357066755120321</v>
      </c>
      <c r="CZ563" t="s">
        <v>7</v>
      </c>
    </row>
    <row r="564" spans="1:104" x14ac:dyDescent="0.25">
      <c r="A564" s="5">
        <v>44029</v>
      </c>
      <c r="B564">
        <v>8.3420000000000005E-3</v>
      </c>
      <c r="C564">
        <v>8.5780000000000006E-3</v>
      </c>
      <c r="D564">
        <v>8.2900000000000005E-3</v>
      </c>
      <c r="E564">
        <v>8.4499999999999992E-3</v>
      </c>
      <c r="F564">
        <v>76624207</v>
      </c>
      <c r="G564">
        <v>0</v>
      </c>
      <c r="L564" t="s">
        <v>7</v>
      </c>
      <c r="M564" t="s">
        <v>7</v>
      </c>
      <c r="N564" t="s">
        <v>7</v>
      </c>
      <c r="P564">
        <f t="shared" si="984"/>
        <v>0.11111111111110174</v>
      </c>
      <c r="Q564">
        <f t="shared" si="985"/>
        <v>8513800.777777059</v>
      </c>
      <c r="R564">
        <f t="shared" si="986"/>
        <v>-4728862473.3815975</v>
      </c>
      <c r="S564">
        <f t="shared" si="987"/>
        <v>-47288.624733815974</v>
      </c>
      <c r="T564">
        <f t="shared" si="988"/>
        <v>-47.288624733815972</v>
      </c>
    </row>
    <row r="565" spans="1:104" x14ac:dyDescent="0.25">
      <c r="A565" s="5">
        <v>44028</v>
      </c>
      <c r="B565">
        <v>8.5979999999999997E-3</v>
      </c>
      <c r="C565">
        <v>8.829E-3</v>
      </c>
      <c r="D565">
        <v>8.0510000000000009E-3</v>
      </c>
      <c r="E565">
        <v>8.3630000000000006E-3</v>
      </c>
      <c r="F565">
        <v>126963818</v>
      </c>
      <c r="G565">
        <v>0</v>
      </c>
      <c r="L565" t="s">
        <v>7</v>
      </c>
      <c r="M565" t="s">
        <v>7</v>
      </c>
      <c r="N565" t="s">
        <v>7</v>
      </c>
      <c r="P565">
        <f t="shared" si="984"/>
        <v>-0.19794344473007686</v>
      </c>
      <c r="Q565">
        <f t="shared" si="985"/>
        <v>-25131655.491002537</v>
      </c>
      <c r="R565">
        <f t="shared" si="986"/>
        <v>-4737376274.1593742</v>
      </c>
      <c r="S565">
        <f t="shared" si="987"/>
        <v>-47373.762741593746</v>
      </c>
      <c r="T565">
        <f t="shared" si="988"/>
        <v>-47.373762741593744</v>
      </c>
    </row>
    <row r="566" spans="1:104" x14ac:dyDescent="0.25">
      <c r="A566" s="5">
        <v>44027</v>
      </c>
      <c r="B566">
        <v>8.685E-3</v>
      </c>
      <c r="C566">
        <v>8.7790000000000003E-3</v>
      </c>
      <c r="D566">
        <v>8.4499999999999992E-3</v>
      </c>
      <c r="E566">
        <v>8.6099999999999996E-3</v>
      </c>
      <c r="F566">
        <v>99208003</v>
      </c>
      <c r="G566">
        <v>0</v>
      </c>
      <c r="L566" t="s">
        <v>7</v>
      </c>
      <c r="M566" t="s">
        <v>8</v>
      </c>
      <c r="N566" t="s">
        <v>7</v>
      </c>
      <c r="P566">
        <f t="shared" si="984"/>
        <v>-2.735562310030485E-2</v>
      </c>
      <c r="Q566">
        <f t="shared" si="985"/>
        <v>-2713896.7386019127</v>
      </c>
      <c r="R566">
        <f t="shared" si="986"/>
        <v>-4712244618.6683722</v>
      </c>
      <c r="S566">
        <f t="shared" si="987"/>
        <v>-47122.446186683723</v>
      </c>
      <c r="T566">
        <f t="shared" si="988"/>
        <v>-47.122446186683725</v>
      </c>
    </row>
    <row r="567" spans="1:104" x14ac:dyDescent="0.25">
      <c r="A567" s="5">
        <v>44026</v>
      </c>
      <c r="B567">
        <v>8.6709999999999999E-3</v>
      </c>
      <c r="C567">
        <v>8.8299999999999993E-3</v>
      </c>
      <c r="D567">
        <v>8.4239999999999992E-3</v>
      </c>
      <c r="E567">
        <v>8.6549999999999995E-3</v>
      </c>
      <c r="F567">
        <v>139412484</v>
      </c>
      <c r="G567">
        <v>0</v>
      </c>
      <c r="L567" t="s">
        <v>7</v>
      </c>
      <c r="M567" t="s">
        <v>8</v>
      </c>
      <c r="N567" t="s">
        <v>7</v>
      </c>
      <c r="P567">
        <f t="shared" si="984"/>
        <v>0.13793103448275981</v>
      </c>
      <c r="Q567">
        <f t="shared" si="985"/>
        <v>19229308.137931202</v>
      </c>
      <c r="R567">
        <f t="shared" si="986"/>
        <v>-4709530721.9297705</v>
      </c>
      <c r="S567">
        <f t="shared" si="987"/>
        <v>-47095.307219297705</v>
      </c>
      <c r="T567">
        <f t="shared" si="988"/>
        <v>-47.095307219297702</v>
      </c>
    </row>
    <row r="568" spans="1:104" x14ac:dyDescent="0.25">
      <c r="A568" s="5">
        <v>44025</v>
      </c>
      <c r="B568">
        <v>9.6220000000000003E-3</v>
      </c>
      <c r="C568">
        <v>9.6799999999999994E-3</v>
      </c>
      <c r="D568">
        <v>8.5369999999999994E-3</v>
      </c>
      <c r="E568">
        <v>8.6960000000000006E-3</v>
      </c>
      <c r="F568">
        <v>311530328</v>
      </c>
      <c r="G568">
        <v>0</v>
      </c>
      <c r="L568" t="s">
        <v>7</v>
      </c>
      <c r="M568" t="s">
        <v>8</v>
      </c>
      <c r="N568" t="s">
        <v>7</v>
      </c>
      <c r="P568">
        <f t="shared" si="984"/>
        <v>-0.72178477690288512</v>
      </c>
      <c r="Q568">
        <f t="shared" si="985"/>
        <v>-224857848.29396263</v>
      </c>
      <c r="R568">
        <f t="shared" si="986"/>
        <v>-4728760030.0677013</v>
      </c>
      <c r="S568">
        <f t="shared" si="987"/>
        <v>-47287.600300677012</v>
      </c>
      <c r="T568">
        <f t="shared" si="988"/>
        <v>-47.287600300677013</v>
      </c>
    </row>
    <row r="569" spans="1:104" x14ac:dyDescent="0.25">
      <c r="A569" s="5">
        <v>44024</v>
      </c>
      <c r="B569">
        <v>8.5079999999999999E-3</v>
      </c>
      <c r="C569">
        <v>1.0075000000000001E-2</v>
      </c>
      <c r="D569">
        <v>8.4960000000000001E-3</v>
      </c>
      <c r="E569">
        <v>9.6279999999999994E-3</v>
      </c>
      <c r="F569">
        <v>865920410</v>
      </c>
      <c r="G569">
        <v>0</v>
      </c>
      <c r="L569" t="s">
        <v>8</v>
      </c>
      <c r="M569" t="s">
        <v>8</v>
      </c>
      <c r="N569" t="s">
        <v>7</v>
      </c>
      <c r="P569">
        <f t="shared" si="984"/>
        <v>0.43381887270424185</v>
      </c>
      <c r="Q569">
        <f t="shared" si="985"/>
        <v>375652616.11779493</v>
      </c>
      <c r="R569">
        <f t="shared" si="986"/>
        <v>-4503902181.7737389</v>
      </c>
      <c r="S569">
        <f t="shared" si="987"/>
        <v>-45039.02181773739</v>
      </c>
      <c r="T569">
        <f t="shared" si="988"/>
        <v>-45.039021817737392</v>
      </c>
    </row>
    <row r="570" spans="1:104" x14ac:dyDescent="0.25">
      <c r="A570" s="5">
        <v>44023</v>
      </c>
      <c r="B570">
        <v>8.4150000000000006E-3</v>
      </c>
      <c r="C570">
        <v>8.685E-3</v>
      </c>
      <c r="D570">
        <v>8.3890000000000006E-3</v>
      </c>
      <c r="E570">
        <v>8.5079999999999999E-3</v>
      </c>
      <c r="F570">
        <v>93530907</v>
      </c>
      <c r="G570">
        <v>0</v>
      </c>
      <c r="L570" t="s">
        <v>7</v>
      </c>
      <c r="M570" t="s">
        <v>7</v>
      </c>
      <c r="N570" t="s">
        <v>7</v>
      </c>
      <c r="P570">
        <f t="shared" si="984"/>
        <v>-0.19594594594594891</v>
      </c>
      <c r="Q570">
        <f t="shared" si="985"/>
        <v>-18327002.047297575</v>
      </c>
      <c r="R570">
        <f t="shared" si="986"/>
        <v>-4879554797.8915339</v>
      </c>
      <c r="S570">
        <f t="shared" si="987"/>
        <v>-48795.54797891534</v>
      </c>
      <c r="T570">
        <f t="shared" si="988"/>
        <v>-48.795547978915337</v>
      </c>
    </row>
    <row r="571" spans="1:104" x14ac:dyDescent="0.25">
      <c r="A571" s="5">
        <v>44022</v>
      </c>
      <c r="B571">
        <v>8.5059999999999997E-3</v>
      </c>
      <c r="C571">
        <v>8.5349999999999992E-3</v>
      </c>
      <c r="D571">
        <v>8.2749999999999994E-3</v>
      </c>
      <c r="E571">
        <v>8.3890000000000006E-3</v>
      </c>
      <c r="F571">
        <v>90084973</v>
      </c>
      <c r="G571">
        <v>0</v>
      </c>
      <c r="L571" t="s">
        <v>7</v>
      </c>
      <c r="M571" t="s">
        <v>7</v>
      </c>
      <c r="N571" t="s">
        <v>7</v>
      </c>
      <c r="P571">
        <f t="shared" si="984"/>
        <v>-0.12307692307691281</v>
      </c>
      <c r="Q571">
        <f t="shared" si="985"/>
        <v>-11087381.292306768</v>
      </c>
      <c r="R571">
        <f t="shared" si="986"/>
        <v>-4861227795.8442364</v>
      </c>
      <c r="S571">
        <f t="shared" si="987"/>
        <v>-48612.277958442362</v>
      </c>
      <c r="T571">
        <f t="shared" si="988"/>
        <v>-48.612277958442363</v>
      </c>
    </row>
    <row r="572" spans="1:104" x14ac:dyDescent="0.25">
      <c r="A572" s="5">
        <v>44021</v>
      </c>
      <c r="B572">
        <v>8.8859999999999998E-3</v>
      </c>
      <c r="C572">
        <v>8.9009999999999992E-3</v>
      </c>
      <c r="D572">
        <v>8.2439999999999996E-3</v>
      </c>
      <c r="E572">
        <v>8.5450000000000005E-3</v>
      </c>
      <c r="F572">
        <v>170464868</v>
      </c>
      <c r="G572">
        <v>0</v>
      </c>
      <c r="L572" t="s">
        <v>7</v>
      </c>
      <c r="M572" t="s">
        <v>7</v>
      </c>
      <c r="N572" t="s">
        <v>7</v>
      </c>
      <c r="P572">
        <f t="shared" si="984"/>
        <v>-8.3713850837135145E-2</v>
      </c>
      <c r="Q572">
        <f t="shared" si="985"/>
        <v>-14270270.532723932</v>
      </c>
      <c r="R572">
        <f t="shared" si="986"/>
        <v>-4850140414.5519295</v>
      </c>
      <c r="S572">
        <f t="shared" si="987"/>
        <v>-48501.404145519293</v>
      </c>
      <c r="T572">
        <f t="shared" si="988"/>
        <v>-48.501404145519295</v>
      </c>
    </row>
    <row r="573" spans="1:104" x14ac:dyDescent="0.25">
      <c r="A573" s="5">
        <v>44020</v>
      </c>
      <c r="B573">
        <v>8.8229999999999992E-3</v>
      </c>
      <c r="C573">
        <v>9.1999999999999998E-3</v>
      </c>
      <c r="D573">
        <v>8.6499999999999997E-3</v>
      </c>
      <c r="E573">
        <v>8.8859999999999998E-3</v>
      </c>
      <c r="F573">
        <v>287027788</v>
      </c>
      <c r="G573">
        <v>0</v>
      </c>
      <c r="L573" t="s">
        <v>8</v>
      </c>
      <c r="M573" t="s">
        <v>7</v>
      </c>
      <c r="N573" t="s">
        <v>7</v>
      </c>
      <c r="P573">
        <f t="shared" si="984"/>
        <v>-0.14181818181818168</v>
      </c>
      <c r="Q573">
        <f t="shared" si="985"/>
        <v>-40705759.025454506</v>
      </c>
      <c r="R573">
        <f t="shared" si="986"/>
        <v>-4835870144.0192051</v>
      </c>
      <c r="S573">
        <f t="shared" si="987"/>
        <v>-48358.701440192053</v>
      </c>
      <c r="T573">
        <f t="shared" si="988"/>
        <v>-48.35870144019205</v>
      </c>
    </row>
    <row r="574" spans="1:104" x14ac:dyDescent="0.25">
      <c r="A574" s="5">
        <v>44019</v>
      </c>
      <c r="B574">
        <v>8.6400000000000001E-3</v>
      </c>
      <c r="C574">
        <v>8.9200000000000008E-3</v>
      </c>
      <c r="D574">
        <v>8.4550000000000007E-3</v>
      </c>
      <c r="E574">
        <v>8.8350000000000008E-3</v>
      </c>
      <c r="F574">
        <v>291815522</v>
      </c>
      <c r="G574">
        <v>0</v>
      </c>
      <c r="L574" t="s">
        <v>8</v>
      </c>
      <c r="M574" t="s">
        <v>7</v>
      </c>
      <c r="N574" t="s">
        <v>7</v>
      </c>
      <c r="P574">
        <f t="shared" si="984"/>
        <v>0.63440860215053774</v>
      </c>
      <c r="Q574">
        <f t="shared" si="985"/>
        <v>185130277.3978495</v>
      </c>
      <c r="R574">
        <f t="shared" si="986"/>
        <v>-4795164384.9937506</v>
      </c>
      <c r="S574">
        <f t="shared" si="987"/>
        <v>-47951.643849937507</v>
      </c>
      <c r="T574">
        <f t="shared" si="988"/>
        <v>-47.951643849937504</v>
      </c>
    </row>
    <row r="575" spans="1:104" x14ac:dyDescent="0.25">
      <c r="A575" s="5">
        <v>44018</v>
      </c>
      <c r="B575">
        <v>8.0569999999999999E-3</v>
      </c>
      <c r="C575">
        <v>8.907E-3</v>
      </c>
      <c r="D575">
        <v>8.012E-3</v>
      </c>
      <c r="E575">
        <v>8.6420000000000004E-3</v>
      </c>
      <c r="F575">
        <v>268255263</v>
      </c>
      <c r="G575">
        <v>0</v>
      </c>
      <c r="L575" t="s">
        <v>8</v>
      </c>
      <c r="M575" t="s">
        <v>7</v>
      </c>
      <c r="N575" t="s">
        <v>7</v>
      </c>
      <c r="P575">
        <f t="shared" si="984"/>
        <v>0.40782122905028018</v>
      </c>
      <c r="Q575">
        <f t="shared" si="985"/>
        <v>109400191.05586615</v>
      </c>
      <c r="R575">
        <f t="shared" si="986"/>
        <v>-4980294662.3915997</v>
      </c>
      <c r="S575">
        <f t="shared" si="987"/>
        <v>-49802.946623915996</v>
      </c>
      <c r="T575">
        <f t="shared" si="988"/>
        <v>-49.802946623915993</v>
      </c>
    </row>
    <row r="576" spans="1:104" x14ac:dyDescent="0.25">
      <c r="A576" s="5">
        <v>44017</v>
      </c>
      <c r="B576">
        <v>8.2509999999999997E-3</v>
      </c>
      <c r="C576">
        <v>8.2839999999999997E-3</v>
      </c>
      <c r="D576">
        <v>7.9600000000000001E-3</v>
      </c>
      <c r="E576">
        <v>8.0569999999999999E-3</v>
      </c>
      <c r="F576">
        <v>96677789</v>
      </c>
      <c r="G576">
        <v>0</v>
      </c>
      <c r="L576" t="s">
        <v>7</v>
      </c>
      <c r="M576" t="s">
        <v>7</v>
      </c>
      <c r="N576" t="s">
        <v>7</v>
      </c>
      <c r="P576">
        <f t="shared" si="984"/>
        <v>-0.40123456790123474</v>
      </c>
      <c r="Q576">
        <f t="shared" si="985"/>
        <v>-38790470.895061746</v>
      </c>
      <c r="R576">
        <f t="shared" si="986"/>
        <v>-5089694853.4474659</v>
      </c>
      <c r="S576">
        <f t="shared" si="987"/>
        <v>-50896.948534474657</v>
      </c>
      <c r="T576">
        <f t="shared" si="988"/>
        <v>-50.89694853447466</v>
      </c>
    </row>
    <row r="577" spans="1:20" x14ac:dyDescent="0.25">
      <c r="A577" s="5">
        <v>44016</v>
      </c>
      <c r="B577">
        <v>8.1969999999999994E-3</v>
      </c>
      <c r="C577">
        <v>8.3009999999999994E-3</v>
      </c>
      <c r="D577">
        <v>8.1279999999999998E-3</v>
      </c>
      <c r="E577">
        <v>8.2279999999999992E-3</v>
      </c>
      <c r="F577">
        <v>89821143</v>
      </c>
      <c r="G577">
        <v>0</v>
      </c>
      <c r="L577" t="s">
        <v>7</v>
      </c>
      <c r="M577" t="s">
        <v>7</v>
      </c>
      <c r="N577" t="s">
        <v>7</v>
      </c>
      <c r="P577">
        <f t="shared" si="984"/>
        <v>0.15606936416184577</v>
      </c>
      <c r="Q577">
        <f t="shared" si="985"/>
        <v>14018328.676300224</v>
      </c>
      <c r="R577">
        <f t="shared" si="986"/>
        <v>-5050904382.5524044</v>
      </c>
      <c r="S577">
        <f t="shared" si="987"/>
        <v>-50509.043825524044</v>
      </c>
      <c r="T577">
        <f t="shared" si="988"/>
        <v>-50.509043825524046</v>
      </c>
    </row>
    <row r="578" spans="1:20" x14ac:dyDescent="0.25">
      <c r="A578" s="5">
        <v>44015</v>
      </c>
      <c r="B578">
        <v>8.5599999999999999E-3</v>
      </c>
      <c r="C578">
        <v>8.5889999999999994E-3</v>
      </c>
      <c r="D578">
        <v>8.1499999999999993E-3</v>
      </c>
      <c r="E578">
        <v>8.1919999999999996E-3</v>
      </c>
      <c r="F578">
        <v>114462061</v>
      </c>
      <c r="G578">
        <v>0</v>
      </c>
      <c r="L578" t="s">
        <v>7</v>
      </c>
      <c r="M578" t="s">
        <v>7</v>
      </c>
      <c r="N578" t="s">
        <v>7</v>
      </c>
      <c r="P578">
        <f t="shared" si="984"/>
        <v>-0.80865603644646766</v>
      </c>
      <c r="Q578">
        <f t="shared" si="985"/>
        <v>-92560436.5717538</v>
      </c>
      <c r="R578">
        <f t="shared" si="986"/>
        <v>-5064922711.2287045</v>
      </c>
      <c r="S578">
        <f t="shared" si="987"/>
        <v>-50649.227112287044</v>
      </c>
      <c r="T578">
        <f t="shared" si="988"/>
        <v>-50.649227112287043</v>
      </c>
    </row>
    <row r="579" spans="1:20" x14ac:dyDescent="0.25">
      <c r="A579" s="5">
        <v>44014</v>
      </c>
      <c r="B579">
        <v>8.2249999999999997E-3</v>
      </c>
      <c r="C579">
        <v>8.9490000000000004E-3</v>
      </c>
      <c r="D579">
        <v>8.0839999999999992E-3</v>
      </c>
      <c r="E579">
        <v>8.5520000000000006E-3</v>
      </c>
      <c r="F579">
        <v>366765596</v>
      </c>
      <c r="G579">
        <v>0</v>
      </c>
      <c r="L579" t="s">
        <v>8</v>
      </c>
      <c r="M579" t="s">
        <v>7</v>
      </c>
      <c r="N579" t="s">
        <v>7</v>
      </c>
      <c r="P579">
        <f t="shared" si="984"/>
        <v>8.2080924855493093E-2</v>
      </c>
      <c r="Q579">
        <f t="shared" si="985"/>
        <v>30104459.32485614</v>
      </c>
      <c r="R579">
        <f t="shared" si="986"/>
        <v>-4972362274.656951</v>
      </c>
      <c r="S579">
        <f t="shared" si="987"/>
        <v>-49723.622746569512</v>
      </c>
      <c r="T579">
        <f t="shared" si="988"/>
        <v>-49.723622746569511</v>
      </c>
    </row>
    <row r="580" spans="1:20" x14ac:dyDescent="0.25">
      <c r="A580" s="5">
        <v>44013</v>
      </c>
      <c r="B580">
        <v>8.1630000000000001E-3</v>
      </c>
      <c r="C580">
        <v>8.3370000000000007E-3</v>
      </c>
      <c r="D580">
        <v>8.0040000000000007E-3</v>
      </c>
      <c r="E580">
        <v>8.2229999999999994E-3</v>
      </c>
      <c r="F580">
        <v>101188718</v>
      </c>
      <c r="G580">
        <v>0</v>
      </c>
      <c r="L580" t="s">
        <v>8</v>
      </c>
      <c r="M580" t="s">
        <v>7</v>
      </c>
      <c r="N580" t="s">
        <v>7</v>
      </c>
      <c r="P580">
        <f t="shared" si="984"/>
        <v>0.31531531531530771</v>
      </c>
      <c r="Q580">
        <f t="shared" si="985"/>
        <v>31906352.522521753</v>
      </c>
      <c r="R580">
        <f t="shared" si="986"/>
        <v>-5002466733.9818068</v>
      </c>
      <c r="S580">
        <f t="shared" si="987"/>
        <v>-50024.667339818065</v>
      </c>
      <c r="T580">
        <f t="shared" si="988"/>
        <v>-50.024667339818066</v>
      </c>
    </row>
    <row r="581" spans="1:20" x14ac:dyDescent="0.25">
      <c r="A581" s="5">
        <v>44012</v>
      </c>
      <c r="B581">
        <v>8.3649999999999992E-3</v>
      </c>
      <c r="C581">
        <v>8.3789999999999993E-3</v>
      </c>
      <c r="D581">
        <v>8.1600000000000006E-3</v>
      </c>
      <c r="E581">
        <v>8.1600000000000006E-3</v>
      </c>
      <c r="F581">
        <v>94972070</v>
      </c>
      <c r="G581">
        <v>0</v>
      </c>
      <c r="L581" t="s">
        <v>8</v>
      </c>
      <c r="M581" t="s">
        <v>7</v>
      </c>
      <c r="N581" t="s">
        <v>7</v>
      </c>
      <c r="P581">
        <f t="shared" si="984"/>
        <v>-1</v>
      </c>
      <c r="Q581">
        <f t="shared" si="985"/>
        <v>-94972070</v>
      </c>
      <c r="R581">
        <f t="shared" si="986"/>
        <v>-5034373086.5043287</v>
      </c>
      <c r="S581">
        <f t="shared" si="987"/>
        <v>-50343.73086504329</v>
      </c>
      <c r="T581">
        <f t="shared" si="988"/>
        <v>-50.343730865043291</v>
      </c>
    </row>
    <row r="582" spans="1:20" x14ac:dyDescent="0.25">
      <c r="A582" s="5">
        <v>44011</v>
      </c>
      <c r="B582">
        <v>8.4480000000000006E-3</v>
      </c>
      <c r="C582">
        <v>8.5179999999999995E-3</v>
      </c>
      <c r="D582">
        <v>8.0660000000000003E-3</v>
      </c>
      <c r="E582">
        <v>8.3540000000000003E-3</v>
      </c>
      <c r="F582">
        <v>119736480</v>
      </c>
      <c r="G582">
        <v>0</v>
      </c>
      <c r="L582" t="s">
        <v>8</v>
      </c>
      <c r="M582" t="s">
        <v>7</v>
      </c>
      <c r="N582" t="s">
        <v>7</v>
      </c>
      <c r="P582">
        <f t="shared" ref="P582:P645" si="989">IF(C582=D582,0,((E582-D582)-(C582-E582))/(C582-D582))</f>
        <v>0.27433628318584302</v>
      </c>
      <c r="Q582">
        <f t="shared" ref="Q582:Q645" si="990">F582*P582</f>
        <v>32848060.884956028</v>
      </c>
      <c r="R582">
        <f t="shared" ref="R582:R645" si="991">R583+Q582</f>
        <v>-4939401016.5043287</v>
      </c>
      <c r="S582">
        <f t="shared" ref="S582:S645" si="992">R582/100000</f>
        <v>-49394.010165043284</v>
      </c>
      <c r="T582">
        <f t="shared" ref="T582:T645" si="993">S582/1000</f>
        <v>-49.394010165043284</v>
      </c>
    </row>
    <row r="583" spans="1:20" x14ac:dyDescent="0.25">
      <c r="A583" s="5">
        <v>44010</v>
      </c>
      <c r="B583">
        <v>8.182E-3</v>
      </c>
      <c r="C583">
        <v>8.5959999999999995E-3</v>
      </c>
      <c r="D583">
        <v>8.0829999999999999E-3</v>
      </c>
      <c r="E583">
        <v>8.4340000000000005E-3</v>
      </c>
      <c r="F583">
        <v>102010576</v>
      </c>
      <c r="G583">
        <v>0</v>
      </c>
      <c r="L583" t="s">
        <v>8</v>
      </c>
      <c r="M583" t="s">
        <v>7</v>
      </c>
      <c r="N583" t="s">
        <v>7</v>
      </c>
      <c r="P583">
        <f t="shared" si="989"/>
        <v>0.36842105263158248</v>
      </c>
      <c r="Q583">
        <f t="shared" si="990"/>
        <v>37582843.789474048</v>
      </c>
      <c r="R583">
        <f t="shared" si="991"/>
        <v>-4972249077.3892851</v>
      </c>
      <c r="S583">
        <f t="shared" si="992"/>
        <v>-49722.490773892852</v>
      </c>
      <c r="T583">
        <f t="shared" si="993"/>
        <v>-49.722490773892851</v>
      </c>
    </row>
    <row r="584" spans="1:20" x14ac:dyDescent="0.25">
      <c r="A584" s="5">
        <v>44009</v>
      </c>
      <c r="B584">
        <v>8.7919999999999995E-3</v>
      </c>
      <c r="C584">
        <v>8.9999999999999993E-3</v>
      </c>
      <c r="D584">
        <v>7.8810000000000009E-3</v>
      </c>
      <c r="E584">
        <v>8.182E-3</v>
      </c>
      <c r="F584">
        <v>208969628</v>
      </c>
      <c r="G584">
        <v>0</v>
      </c>
      <c r="L584" t="s">
        <v>7</v>
      </c>
      <c r="M584" t="s">
        <v>7</v>
      </c>
      <c r="N584" t="s">
        <v>7</v>
      </c>
      <c r="P584">
        <f t="shared" si="989"/>
        <v>-0.46201966041108206</v>
      </c>
      <c r="Q584">
        <f t="shared" si="990"/>
        <v>-96548076.564790145</v>
      </c>
      <c r="R584">
        <f t="shared" si="991"/>
        <v>-5009831921.1787596</v>
      </c>
      <c r="S584">
        <f t="shared" si="992"/>
        <v>-50098.319211787595</v>
      </c>
      <c r="T584">
        <f t="shared" si="993"/>
        <v>-50.098319211787597</v>
      </c>
    </row>
    <row r="585" spans="1:20" x14ac:dyDescent="0.25">
      <c r="A585" s="5">
        <v>44008</v>
      </c>
      <c r="B585">
        <v>8.9849999999999999E-3</v>
      </c>
      <c r="C585">
        <v>9.0699999999999999E-3</v>
      </c>
      <c r="D585">
        <v>8.5330000000000007E-3</v>
      </c>
      <c r="E585">
        <v>8.7849999999999994E-3</v>
      </c>
      <c r="F585">
        <v>181985390</v>
      </c>
      <c r="G585">
        <v>0</v>
      </c>
      <c r="L585" t="s">
        <v>7</v>
      </c>
      <c r="M585" t="s">
        <v>7</v>
      </c>
      <c r="N585" t="s">
        <v>7</v>
      </c>
      <c r="P585">
        <f t="shared" si="989"/>
        <v>-6.1452513966483838E-2</v>
      </c>
      <c r="Q585">
        <f t="shared" si="990"/>
        <v>-11183459.720671007</v>
      </c>
      <c r="R585">
        <f t="shared" si="991"/>
        <v>-4913283844.6139698</v>
      </c>
      <c r="S585">
        <f t="shared" si="992"/>
        <v>-49132.8384461397</v>
      </c>
      <c r="T585">
        <f t="shared" si="993"/>
        <v>-49.132838446139701</v>
      </c>
    </row>
    <row r="586" spans="1:20" x14ac:dyDescent="0.25">
      <c r="A586" s="5">
        <v>44007</v>
      </c>
      <c r="B586">
        <v>9.2090000000000002E-3</v>
      </c>
      <c r="C586">
        <v>9.2779999999999998E-3</v>
      </c>
      <c r="D586">
        <v>8.7010000000000004E-3</v>
      </c>
      <c r="E586">
        <v>8.9829999999999997E-3</v>
      </c>
      <c r="F586">
        <v>206985716</v>
      </c>
      <c r="G586">
        <v>0</v>
      </c>
      <c r="L586" t="s">
        <v>7</v>
      </c>
      <c r="M586" t="s">
        <v>7</v>
      </c>
      <c r="N586" t="s">
        <v>7</v>
      </c>
      <c r="P586">
        <f t="shared" si="989"/>
        <v>-2.2530329289429586E-2</v>
      </c>
      <c r="Q586">
        <f t="shared" si="990"/>
        <v>-4663456.3396883542</v>
      </c>
      <c r="R586">
        <f t="shared" si="991"/>
        <v>-4902100384.8932991</v>
      </c>
      <c r="S586">
        <f t="shared" si="992"/>
        <v>-49021.003848932989</v>
      </c>
      <c r="T586">
        <f t="shared" si="993"/>
        <v>-49.021003848932992</v>
      </c>
    </row>
    <row r="587" spans="1:20" x14ac:dyDescent="0.25">
      <c r="A587" s="5">
        <v>44006</v>
      </c>
      <c r="B587">
        <v>9.8569999999999994E-3</v>
      </c>
      <c r="C587">
        <v>1.04E-2</v>
      </c>
      <c r="D587">
        <v>9.0310000000000008E-3</v>
      </c>
      <c r="E587">
        <v>9.2090000000000002E-3</v>
      </c>
      <c r="F587">
        <v>454608425</v>
      </c>
      <c r="G587">
        <v>0</v>
      </c>
      <c r="L587" t="s">
        <v>8</v>
      </c>
      <c r="M587" t="s">
        <v>8</v>
      </c>
      <c r="N587" t="s">
        <v>7</v>
      </c>
      <c r="P587">
        <f t="shared" si="989"/>
        <v>-0.73995617238860556</v>
      </c>
      <c r="Q587">
        <f t="shared" si="990"/>
        <v>-336390310.09861249</v>
      </c>
      <c r="R587">
        <f t="shared" si="991"/>
        <v>-4897436928.5536108</v>
      </c>
      <c r="S587">
        <f t="shared" si="992"/>
        <v>-48974.369285536108</v>
      </c>
      <c r="T587">
        <f t="shared" si="993"/>
        <v>-48.974369285536106</v>
      </c>
    </row>
    <row r="588" spans="1:20" x14ac:dyDescent="0.25">
      <c r="A588" s="5">
        <v>44005</v>
      </c>
      <c r="B588">
        <v>9.4160000000000008E-3</v>
      </c>
      <c r="C588">
        <v>9.9000000000000008E-3</v>
      </c>
      <c r="D588">
        <v>9.3550000000000005E-3</v>
      </c>
      <c r="E588">
        <v>9.8440000000000003E-3</v>
      </c>
      <c r="F588">
        <v>373621128</v>
      </c>
      <c r="G588">
        <v>0</v>
      </c>
      <c r="L588" t="s">
        <v>8</v>
      </c>
      <c r="M588" t="s">
        <v>8</v>
      </c>
      <c r="N588" t="s">
        <v>7</v>
      </c>
      <c r="P588">
        <f t="shared" si="989"/>
        <v>0.79449541284403502</v>
      </c>
      <c r="Q588">
        <f t="shared" si="990"/>
        <v>296840272.33761406</v>
      </c>
      <c r="R588">
        <f t="shared" si="991"/>
        <v>-4561046618.454998</v>
      </c>
      <c r="S588">
        <f t="shared" si="992"/>
        <v>-45610.46618454998</v>
      </c>
      <c r="T588">
        <f t="shared" si="993"/>
        <v>-45.610466184549978</v>
      </c>
    </row>
    <row r="589" spans="1:20" x14ac:dyDescent="0.25">
      <c r="A589" s="5">
        <v>44004</v>
      </c>
      <c r="B589">
        <v>9.2589999999999999E-3</v>
      </c>
      <c r="C589">
        <v>9.5449999999999997E-3</v>
      </c>
      <c r="D589">
        <v>9.2149999999999992E-3</v>
      </c>
      <c r="E589">
        <v>9.4190000000000003E-3</v>
      </c>
      <c r="F589">
        <v>386849017</v>
      </c>
      <c r="G589">
        <v>0</v>
      </c>
      <c r="L589" t="s">
        <v>7</v>
      </c>
      <c r="M589" t="s">
        <v>8</v>
      </c>
      <c r="N589" t="s">
        <v>7</v>
      </c>
      <c r="P589">
        <f t="shared" si="989"/>
        <v>0.23636363636364113</v>
      </c>
      <c r="Q589">
        <f t="shared" si="990"/>
        <v>91437040.381820023</v>
      </c>
      <c r="R589">
        <f t="shared" si="991"/>
        <v>-4857886890.7926121</v>
      </c>
      <c r="S589">
        <f t="shared" si="992"/>
        <v>-48578.868907926124</v>
      </c>
      <c r="T589">
        <f t="shared" si="993"/>
        <v>-48.578868907926122</v>
      </c>
    </row>
    <row r="590" spans="1:20" x14ac:dyDescent="0.25">
      <c r="A590" s="5">
        <v>44003</v>
      </c>
      <c r="B590">
        <v>9.3650000000000001E-3</v>
      </c>
      <c r="C590">
        <v>9.5999999999999992E-3</v>
      </c>
      <c r="D590">
        <v>9.2499999999999995E-3</v>
      </c>
      <c r="E590">
        <v>9.2589999999999999E-3</v>
      </c>
      <c r="F590">
        <v>384833316</v>
      </c>
      <c r="G590">
        <v>0</v>
      </c>
      <c r="L590" t="s">
        <v>7</v>
      </c>
      <c r="M590" t="s">
        <v>8</v>
      </c>
      <c r="N590" t="s">
        <v>7</v>
      </c>
      <c r="P590">
        <f t="shared" si="989"/>
        <v>-0.94857142857142662</v>
      </c>
      <c r="Q590">
        <f t="shared" si="990"/>
        <v>-365041888.31999928</v>
      </c>
      <c r="R590">
        <f t="shared" si="991"/>
        <v>-4949323931.1744318</v>
      </c>
      <c r="S590">
        <f t="shared" si="992"/>
        <v>-49493.239311744321</v>
      </c>
      <c r="T590">
        <f t="shared" si="993"/>
        <v>-49.493239311744318</v>
      </c>
    </row>
    <row r="591" spans="1:20" x14ac:dyDescent="0.25">
      <c r="A591" s="5">
        <v>44002</v>
      </c>
      <c r="B591">
        <v>9.7210000000000005E-3</v>
      </c>
      <c r="C591">
        <v>1.01E-2</v>
      </c>
      <c r="D591">
        <v>9.0849999999999993E-3</v>
      </c>
      <c r="E591">
        <v>9.3690000000000006E-3</v>
      </c>
      <c r="F591">
        <v>497571974</v>
      </c>
      <c r="G591">
        <v>0</v>
      </c>
      <c r="L591" t="s">
        <v>7</v>
      </c>
      <c r="M591" t="s">
        <v>8</v>
      </c>
      <c r="N591" t="s">
        <v>7</v>
      </c>
      <c r="P591">
        <f t="shared" si="989"/>
        <v>-0.44039408866994839</v>
      </c>
      <c r="Q591">
        <f t="shared" si="990"/>
        <v>-219127756.03743726</v>
      </c>
      <c r="R591">
        <f t="shared" si="991"/>
        <v>-4584282042.8544321</v>
      </c>
      <c r="S591">
        <f t="shared" si="992"/>
        <v>-45842.820428544321</v>
      </c>
      <c r="T591">
        <f t="shared" si="993"/>
        <v>-45.842820428544321</v>
      </c>
    </row>
    <row r="592" spans="1:20" x14ac:dyDescent="0.25">
      <c r="A592" s="5">
        <v>44001</v>
      </c>
      <c r="B592">
        <v>8.8979999999999997E-3</v>
      </c>
      <c r="C592">
        <v>1.061E-2</v>
      </c>
      <c r="D592">
        <v>8.8970000000000004E-3</v>
      </c>
      <c r="E592">
        <v>9.7190000000000002E-3</v>
      </c>
      <c r="F592">
        <v>1484571108</v>
      </c>
      <c r="G592">
        <v>0</v>
      </c>
      <c r="L592" t="s">
        <v>8</v>
      </c>
      <c r="M592" t="s">
        <v>8</v>
      </c>
      <c r="N592" t="s">
        <v>7</v>
      </c>
      <c r="P592">
        <f t="shared" si="989"/>
        <v>-4.0280210157618006E-2</v>
      </c>
      <c r="Q592">
        <f t="shared" si="990"/>
        <v>-59798836.224167816</v>
      </c>
      <c r="R592">
        <f t="shared" si="991"/>
        <v>-4365154286.8169947</v>
      </c>
      <c r="S592">
        <f t="shared" si="992"/>
        <v>-43651.542868169949</v>
      </c>
      <c r="T592">
        <f t="shared" si="993"/>
        <v>-43.651542868169948</v>
      </c>
    </row>
    <row r="593" spans="1:20" x14ac:dyDescent="0.25">
      <c r="A593" s="5">
        <v>44000</v>
      </c>
      <c r="B593">
        <v>9.3399999999999993E-3</v>
      </c>
      <c r="C593">
        <v>9.4420000000000007E-3</v>
      </c>
      <c r="D593">
        <v>8.6E-3</v>
      </c>
      <c r="E593">
        <v>8.8620000000000001E-3</v>
      </c>
      <c r="F593">
        <v>453538394</v>
      </c>
      <c r="G593">
        <v>0</v>
      </c>
      <c r="L593" t="s">
        <v>7</v>
      </c>
      <c r="M593" t="s">
        <v>7</v>
      </c>
      <c r="N593" t="s">
        <v>7</v>
      </c>
      <c r="P593">
        <f t="shared" si="989"/>
        <v>-0.37767220902612864</v>
      </c>
      <c r="Q593">
        <f t="shared" si="990"/>
        <v>-171288847.14014268</v>
      </c>
      <c r="R593">
        <f t="shared" si="991"/>
        <v>-4305355450.5928268</v>
      </c>
      <c r="S593">
        <f t="shared" si="992"/>
        <v>-43053.554505928267</v>
      </c>
      <c r="T593">
        <f t="shared" si="993"/>
        <v>-43.053554505928268</v>
      </c>
    </row>
    <row r="594" spans="1:20" x14ac:dyDescent="0.25">
      <c r="A594" s="5">
        <v>43999</v>
      </c>
      <c r="B594">
        <v>9.868E-3</v>
      </c>
      <c r="C594">
        <v>9.8910000000000005E-3</v>
      </c>
      <c r="D594">
        <v>9.1500000000000001E-3</v>
      </c>
      <c r="E594">
        <v>9.332E-3</v>
      </c>
      <c r="F594">
        <v>422510869</v>
      </c>
      <c r="G594">
        <v>0</v>
      </c>
      <c r="L594" t="s">
        <v>7</v>
      </c>
      <c r="M594" t="s">
        <v>8</v>
      </c>
      <c r="N594" t="s">
        <v>7</v>
      </c>
      <c r="P594">
        <f t="shared" si="989"/>
        <v>-0.50877192982456199</v>
      </c>
      <c r="Q594">
        <f t="shared" si="990"/>
        <v>-214961670.1929827</v>
      </c>
      <c r="R594">
        <f t="shared" si="991"/>
        <v>-4134066603.4526839</v>
      </c>
      <c r="S594">
        <f t="shared" si="992"/>
        <v>-41340.666034526839</v>
      </c>
      <c r="T594">
        <f t="shared" si="993"/>
        <v>-41.340666034526841</v>
      </c>
    </row>
    <row r="595" spans="1:20" x14ac:dyDescent="0.25">
      <c r="A595" s="5">
        <v>43998</v>
      </c>
      <c r="B595">
        <v>1.0224E-2</v>
      </c>
      <c r="C595">
        <v>1.0599000000000001E-2</v>
      </c>
      <c r="D595">
        <v>9.4179999999999993E-3</v>
      </c>
      <c r="E595">
        <v>9.8919999999999998E-3</v>
      </c>
      <c r="F595">
        <v>574032615</v>
      </c>
      <c r="G595">
        <v>0</v>
      </c>
      <c r="L595" t="s">
        <v>8</v>
      </c>
      <c r="M595" t="s">
        <v>8</v>
      </c>
      <c r="N595" t="s">
        <v>7</v>
      </c>
      <c r="P595">
        <f t="shared" si="989"/>
        <v>-0.19729043183742614</v>
      </c>
      <c r="Q595">
        <f t="shared" si="990"/>
        <v>-113251142.50211698</v>
      </c>
      <c r="R595">
        <f t="shared" si="991"/>
        <v>-3919104933.2597013</v>
      </c>
      <c r="S595">
        <f t="shared" si="992"/>
        <v>-39191.049332597009</v>
      </c>
      <c r="T595">
        <f t="shared" si="993"/>
        <v>-39.191049332597011</v>
      </c>
    </row>
    <row r="596" spans="1:20" x14ac:dyDescent="0.25">
      <c r="A596" s="5">
        <v>43997</v>
      </c>
      <c r="B596">
        <v>1.0085999999999999E-2</v>
      </c>
      <c r="C596">
        <v>1.0699999999999999E-2</v>
      </c>
      <c r="D596">
        <v>8.5220000000000001E-3</v>
      </c>
      <c r="E596">
        <v>1.0208E-2</v>
      </c>
      <c r="F596">
        <v>1131449459</v>
      </c>
      <c r="G596">
        <v>0</v>
      </c>
      <c r="L596" t="s">
        <v>7</v>
      </c>
      <c r="M596" t="s">
        <v>7</v>
      </c>
      <c r="N596" t="s">
        <v>7</v>
      </c>
      <c r="P596">
        <f t="shared" si="989"/>
        <v>0.548209366391185</v>
      </c>
      <c r="Q596">
        <f t="shared" si="990"/>
        <v>620271191.02203906</v>
      </c>
      <c r="R596">
        <f t="shared" si="991"/>
        <v>-3805853790.7575841</v>
      </c>
      <c r="S596">
        <f t="shared" si="992"/>
        <v>-38058.537907575839</v>
      </c>
      <c r="T596">
        <f t="shared" si="993"/>
        <v>-38.05853790757584</v>
      </c>
    </row>
    <row r="597" spans="1:20" x14ac:dyDescent="0.25">
      <c r="A597" s="5">
        <v>43996</v>
      </c>
      <c r="B597">
        <v>1.1513000000000001E-2</v>
      </c>
      <c r="C597">
        <v>1.1625E-2</v>
      </c>
      <c r="D597">
        <v>9.6539999999999994E-3</v>
      </c>
      <c r="E597">
        <v>1.0087E-2</v>
      </c>
      <c r="F597">
        <v>1171239980</v>
      </c>
      <c r="G597">
        <v>0</v>
      </c>
      <c r="L597" t="s">
        <v>7</v>
      </c>
      <c r="M597" t="s">
        <v>7</v>
      </c>
      <c r="N597" t="s">
        <v>8</v>
      </c>
      <c r="P597">
        <f t="shared" si="989"/>
        <v>-0.56062912227295691</v>
      </c>
      <c r="Q597">
        <f t="shared" si="990"/>
        <v>-656631241.9583956</v>
      </c>
      <c r="R597">
        <f t="shared" si="991"/>
        <v>-4426124981.779623</v>
      </c>
      <c r="S597">
        <f t="shared" si="992"/>
        <v>-44261.249817796233</v>
      </c>
      <c r="T597">
        <f t="shared" si="993"/>
        <v>-44.261249817796234</v>
      </c>
    </row>
    <row r="598" spans="1:20" x14ac:dyDescent="0.25">
      <c r="A598" s="5">
        <v>43995</v>
      </c>
      <c r="B598">
        <v>1.0355E-2</v>
      </c>
      <c r="C598">
        <v>1.299E-2</v>
      </c>
      <c r="D598">
        <v>1.0303E-2</v>
      </c>
      <c r="E598">
        <v>1.1540999999999999E-2</v>
      </c>
      <c r="F598">
        <v>3000012209</v>
      </c>
      <c r="G598">
        <v>0</v>
      </c>
      <c r="L598" t="s">
        <v>8</v>
      </c>
      <c r="M598" t="s">
        <v>8</v>
      </c>
      <c r="N598" t="s">
        <v>8</v>
      </c>
      <c r="P598">
        <f t="shared" si="989"/>
        <v>-7.8526237439524041E-2</v>
      </c>
      <c r="Q598">
        <f t="shared" si="990"/>
        <v>-235579671.04540503</v>
      </c>
      <c r="R598">
        <f t="shared" si="991"/>
        <v>-3769493739.8212271</v>
      </c>
      <c r="S598">
        <f t="shared" si="992"/>
        <v>-37694.937398212271</v>
      </c>
      <c r="T598">
        <f t="shared" si="993"/>
        <v>-37.694937398212268</v>
      </c>
    </row>
    <row r="599" spans="1:20" x14ac:dyDescent="0.25">
      <c r="A599" s="5">
        <v>43994</v>
      </c>
      <c r="B599">
        <v>6.2599999999999999E-3</v>
      </c>
      <c r="C599">
        <v>1.0657E-2</v>
      </c>
      <c r="D599">
        <v>6.2290000000000002E-3</v>
      </c>
      <c r="E599">
        <v>1.0355E-2</v>
      </c>
      <c r="F599">
        <v>3094028443</v>
      </c>
      <c r="G599">
        <v>0</v>
      </c>
      <c r="L599" t="s">
        <v>8</v>
      </c>
      <c r="M599" t="s">
        <v>8</v>
      </c>
      <c r="N599" t="s">
        <v>8</v>
      </c>
      <c r="P599">
        <f t="shared" si="989"/>
        <v>0.86359530261969275</v>
      </c>
      <c r="Q599">
        <f t="shared" si="990"/>
        <v>2671988429.5465217</v>
      </c>
      <c r="R599">
        <f t="shared" si="991"/>
        <v>-3533914068.7758222</v>
      </c>
      <c r="S599">
        <f t="shared" si="992"/>
        <v>-35339.140687758219</v>
      </c>
      <c r="T599">
        <f t="shared" si="993"/>
        <v>-35.339140687758217</v>
      </c>
    </row>
    <row r="600" spans="1:20" x14ac:dyDescent="0.25">
      <c r="A600" s="5">
        <v>43993</v>
      </c>
      <c r="B600">
        <v>7.0010000000000003E-3</v>
      </c>
      <c r="C600">
        <v>7.1780000000000004E-3</v>
      </c>
      <c r="D600">
        <v>6.2290000000000002E-3</v>
      </c>
      <c r="E600">
        <v>6.2599999999999999E-3</v>
      </c>
      <c r="F600">
        <v>431064412</v>
      </c>
      <c r="G600">
        <v>0</v>
      </c>
      <c r="L600" t="s">
        <v>7</v>
      </c>
      <c r="M600" t="s">
        <v>7</v>
      </c>
      <c r="N600" t="s">
        <v>7</v>
      </c>
      <c r="P600">
        <f t="shared" si="989"/>
        <v>-0.93466807165437349</v>
      </c>
      <c r="Q600">
        <f t="shared" si="990"/>
        <v>-402902142.72286636</v>
      </c>
      <c r="R600">
        <f t="shared" si="991"/>
        <v>-6205902498.3223438</v>
      </c>
      <c r="S600">
        <f t="shared" si="992"/>
        <v>-62059.02498322344</v>
      </c>
      <c r="T600">
        <f t="shared" si="993"/>
        <v>-62.059024983223438</v>
      </c>
    </row>
    <row r="601" spans="1:20" x14ac:dyDescent="0.25">
      <c r="A601" s="5">
        <v>43992</v>
      </c>
      <c r="B601">
        <v>7.3619999999999996E-3</v>
      </c>
      <c r="C601">
        <v>7.3730000000000002E-3</v>
      </c>
      <c r="D601">
        <v>6.7669999999999996E-3</v>
      </c>
      <c r="E601">
        <v>7.0260000000000001E-3</v>
      </c>
      <c r="F601">
        <v>367209550</v>
      </c>
      <c r="G601">
        <v>0</v>
      </c>
      <c r="L601" t="s">
        <v>7</v>
      </c>
      <c r="M601" t="s">
        <v>7</v>
      </c>
      <c r="N601" t="s">
        <v>7</v>
      </c>
      <c r="P601">
        <f t="shared" si="989"/>
        <v>-0.14521452145214431</v>
      </c>
      <c r="Q601">
        <f t="shared" si="990"/>
        <v>-53324159.07590726</v>
      </c>
      <c r="R601">
        <f t="shared" si="991"/>
        <v>-5803000355.5994778</v>
      </c>
      <c r="S601">
        <f t="shared" si="992"/>
        <v>-58030.003555994779</v>
      </c>
      <c r="T601">
        <f t="shared" si="993"/>
        <v>-58.030003555994782</v>
      </c>
    </row>
    <row r="602" spans="1:20" x14ac:dyDescent="0.25">
      <c r="A602" s="5">
        <v>43991</v>
      </c>
      <c r="B602">
        <v>7.737E-3</v>
      </c>
      <c r="C602">
        <v>7.7390000000000002E-3</v>
      </c>
      <c r="D602">
        <v>7.1500000000000001E-3</v>
      </c>
      <c r="E602">
        <v>7.345E-3</v>
      </c>
      <c r="F602">
        <v>352238594</v>
      </c>
      <c r="G602">
        <v>0</v>
      </c>
      <c r="L602" t="s">
        <v>7</v>
      </c>
      <c r="M602" t="s">
        <v>7</v>
      </c>
      <c r="N602" t="s">
        <v>7</v>
      </c>
      <c r="P602">
        <f t="shared" si="989"/>
        <v>-0.33786078098472044</v>
      </c>
      <c r="Q602">
        <f t="shared" si="990"/>
        <v>-119007606.46179986</v>
      </c>
      <c r="R602">
        <f t="shared" si="991"/>
        <v>-5749676196.5235701</v>
      </c>
      <c r="S602">
        <f t="shared" si="992"/>
        <v>-57496.761965235703</v>
      </c>
      <c r="T602">
        <f t="shared" si="993"/>
        <v>-57.496761965235706</v>
      </c>
    </row>
    <row r="603" spans="1:20" x14ac:dyDescent="0.25">
      <c r="A603" s="5">
        <v>43990</v>
      </c>
      <c r="B603">
        <v>8.0140000000000003E-3</v>
      </c>
      <c r="C603">
        <v>8.1630000000000001E-3</v>
      </c>
      <c r="D603">
        <v>7.7000000000000002E-3</v>
      </c>
      <c r="E603">
        <v>7.737E-3</v>
      </c>
      <c r="F603">
        <v>140083894</v>
      </c>
      <c r="G603">
        <v>0</v>
      </c>
      <c r="L603" t="s">
        <v>8</v>
      </c>
      <c r="M603" t="s">
        <v>7</v>
      </c>
      <c r="N603" t="s">
        <v>7</v>
      </c>
      <c r="P603">
        <f t="shared" si="989"/>
        <v>-0.840172786177107</v>
      </c>
      <c r="Q603">
        <f t="shared" si="990"/>
        <v>-117694675.52051853</v>
      </c>
      <c r="R603">
        <f t="shared" si="991"/>
        <v>-5630668590.0617704</v>
      </c>
      <c r="S603">
        <f t="shared" si="992"/>
        <v>-56306.685900617704</v>
      </c>
      <c r="T603">
        <f t="shared" si="993"/>
        <v>-56.306685900617701</v>
      </c>
    </row>
    <row r="604" spans="1:20" x14ac:dyDescent="0.25">
      <c r="A604" s="5">
        <v>43989</v>
      </c>
      <c r="B604">
        <v>8.2789999999999999E-3</v>
      </c>
      <c r="C604">
        <v>8.5400000000000007E-3</v>
      </c>
      <c r="D604">
        <v>7.6509999999999998E-3</v>
      </c>
      <c r="E604">
        <v>8.0190000000000001E-3</v>
      </c>
      <c r="F604">
        <v>385008564</v>
      </c>
      <c r="G604">
        <v>0</v>
      </c>
      <c r="L604" t="s">
        <v>7</v>
      </c>
      <c r="M604" t="s">
        <v>7</v>
      </c>
      <c r="N604" t="s">
        <v>7</v>
      </c>
      <c r="P604">
        <f t="shared" si="989"/>
        <v>-0.17210348706411721</v>
      </c>
      <c r="Q604">
        <f t="shared" si="990"/>
        <v>-66261316.413948342</v>
      </c>
      <c r="R604">
        <f t="shared" si="991"/>
        <v>-5512973914.5412521</v>
      </c>
      <c r="S604">
        <f t="shared" si="992"/>
        <v>-55129.739145412525</v>
      </c>
      <c r="T604">
        <f t="shared" si="993"/>
        <v>-55.129739145412522</v>
      </c>
    </row>
    <row r="605" spans="1:20" x14ac:dyDescent="0.25">
      <c r="A605" s="5">
        <v>43988</v>
      </c>
      <c r="B605">
        <v>8.3280000000000003E-3</v>
      </c>
      <c r="C605">
        <v>8.5000000000000006E-3</v>
      </c>
      <c r="D605">
        <v>8.1890000000000001E-3</v>
      </c>
      <c r="E605">
        <v>8.2789999999999999E-3</v>
      </c>
      <c r="F605">
        <v>156021874</v>
      </c>
      <c r="G605">
        <v>0</v>
      </c>
      <c r="L605" t="s">
        <v>7</v>
      </c>
      <c r="M605" t="s">
        <v>7</v>
      </c>
      <c r="N605" t="s">
        <v>7</v>
      </c>
      <c r="P605">
        <f t="shared" si="989"/>
        <v>-0.42122186495177072</v>
      </c>
      <c r="Q605">
        <f t="shared" si="990"/>
        <v>-65719824.739550188</v>
      </c>
      <c r="R605">
        <f t="shared" si="991"/>
        <v>-5446712598.1273041</v>
      </c>
      <c r="S605">
        <f t="shared" si="992"/>
        <v>-54467.125981273042</v>
      </c>
      <c r="T605">
        <f t="shared" si="993"/>
        <v>-54.467125981273043</v>
      </c>
    </row>
    <row r="606" spans="1:20" x14ac:dyDescent="0.25">
      <c r="A606" s="5">
        <v>43987</v>
      </c>
      <c r="B606">
        <v>8.6219999999999995E-3</v>
      </c>
      <c r="C606">
        <v>8.9580000000000007E-3</v>
      </c>
      <c r="D606">
        <v>8.2789999999999999E-3</v>
      </c>
      <c r="E606">
        <v>8.3239999999999998E-3</v>
      </c>
      <c r="F606">
        <v>268199921</v>
      </c>
      <c r="G606">
        <v>0</v>
      </c>
      <c r="L606" t="s">
        <v>7</v>
      </c>
      <c r="M606" t="s">
        <v>7</v>
      </c>
      <c r="N606" t="s">
        <v>7</v>
      </c>
      <c r="P606">
        <f t="shared" si="989"/>
        <v>-0.86745213549337308</v>
      </c>
      <c r="Q606">
        <f t="shared" si="990"/>
        <v>-232650594.21060395</v>
      </c>
      <c r="R606">
        <f t="shared" si="991"/>
        <v>-5380992773.3877535</v>
      </c>
      <c r="S606">
        <f t="shared" si="992"/>
        <v>-53809.927733877536</v>
      </c>
      <c r="T606">
        <f t="shared" si="993"/>
        <v>-53.809927733877537</v>
      </c>
    </row>
    <row r="607" spans="1:20" x14ac:dyDescent="0.25">
      <c r="A607" s="5">
        <v>43986</v>
      </c>
      <c r="B607">
        <v>8.6770000000000007E-3</v>
      </c>
      <c r="C607">
        <v>9.0580000000000001E-3</v>
      </c>
      <c r="D607">
        <v>8.3999999999999995E-3</v>
      </c>
      <c r="E607">
        <v>8.6219999999999995E-3</v>
      </c>
      <c r="F607">
        <v>419043634</v>
      </c>
      <c r="G607">
        <v>0</v>
      </c>
      <c r="L607" t="s">
        <v>8</v>
      </c>
      <c r="M607" t="s">
        <v>7</v>
      </c>
      <c r="N607" t="s">
        <v>7</v>
      </c>
      <c r="P607">
        <f t="shared" si="989"/>
        <v>-0.32522796352583655</v>
      </c>
      <c r="Q607">
        <f t="shared" si="990"/>
        <v>-136284707.714286</v>
      </c>
      <c r="R607">
        <f t="shared" si="991"/>
        <v>-5148342179.1771498</v>
      </c>
      <c r="S607">
        <f t="shared" si="992"/>
        <v>-51483.4217917715</v>
      </c>
      <c r="T607">
        <f t="shared" si="993"/>
        <v>-51.483421791771498</v>
      </c>
    </row>
    <row r="608" spans="1:20" x14ac:dyDescent="0.25">
      <c r="A608" s="5">
        <v>43985</v>
      </c>
      <c r="B608">
        <v>8.4729999999999996E-3</v>
      </c>
      <c r="C608">
        <v>8.9700000000000005E-3</v>
      </c>
      <c r="D608">
        <v>8.0999999999999996E-3</v>
      </c>
      <c r="E608">
        <v>8.6800000000000002E-3</v>
      </c>
      <c r="F608">
        <v>510466195</v>
      </c>
      <c r="G608">
        <v>0</v>
      </c>
      <c r="L608" t="s">
        <v>8</v>
      </c>
      <c r="M608" t="s">
        <v>7</v>
      </c>
      <c r="N608" t="s">
        <v>7</v>
      </c>
      <c r="P608">
        <f t="shared" si="989"/>
        <v>0.33333333333333331</v>
      </c>
      <c r="Q608">
        <f t="shared" si="990"/>
        <v>170155398.33333331</v>
      </c>
      <c r="R608">
        <f t="shared" si="991"/>
        <v>-5012057471.4628639</v>
      </c>
      <c r="S608">
        <f t="shared" si="992"/>
        <v>-50120.574714628638</v>
      </c>
      <c r="T608">
        <f t="shared" si="993"/>
        <v>-50.120574714628638</v>
      </c>
    </row>
    <row r="609" spans="1:20" x14ac:dyDescent="0.25">
      <c r="A609" s="5">
        <v>43984</v>
      </c>
      <c r="B609">
        <v>8.9599999999999992E-3</v>
      </c>
      <c r="C609">
        <v>9.2370000000000004E-3</v>
      </c>
      <c r="D609">
        <v>8.064E-3</v>
      </c>
      <c r="E609">
        <v>8.5000000000000006E-3</v>
      </c>
      <c r="F609">
        <v>538852779</v>
      </c>
      <c r="G609">
        <v>0</v>
      </c>
      <c r="L609" t="s">
        <v>7</v>
      </c>
      <c r="M609" t="s">
        <v>7</v>
      </c>
      <c r="N609" t="s">
        <v>7</v>
      </c>
      <c r="P609">
        <f t="shared" si="989"/>
        <v>-0.25660699062233511</v>
      </c>
      <c r="Q609">
        <f t="shared" si="990"/>
        <v>-138273390.00767222</v>
      </c>
      <c r="R609">
        <f t="shared" si="991"/>
        <v>-5182212869.7961969</v>
      </c>
      <c r="S609">
        <f t="shared" si="992"/>
        <v>-51822.128697961969</v>
      </c>
      <c r="T609">
        <f t="shared" si="993"/>
        <v>-51.822128697961972</v>
      </c>
    </row>
    <row r="610" spans="1:20" x14ac:dyDescent="0.25">
      <c r="A610" s="5">
        <v>43983</v>
      </c>
      <c r="B610">
        <v>8.4539999999999997E-3</v>
      </c>
      <c r="C610">
        <v>9.9509999999999998E-3</v>
      </c>
      <c r="D610">
        <v>8.4329999999999995E-3</v>
      </c>
      <c r="E610">
        <v>8.9599999999999992E-3</v>
      </c>
      <c r="F610">
        <v>742395006</v>
      </c>
      <c r="G610">
        <v>0</v>
      </c>
      <c r="L610" t="s">
        <v>8</v>
      </c>
      <c r="M610" t="s">
        <v>8</v>
      </c>
      <c r="N610" t="s">
        <v>7</v>
      </c>
      <c r="P610">
        <f t="shared" si="989"/>
        <v>-0.30566534914361054</v>
      </c>
      <c r="Q610">
        <f t="shared" si="990"/>
        <v>-226924428.71146286</v>
      </c>
      <c r="R610">
        <f t="shared" si="991"/>
        <v>-5043939479.7885246</v>
      </c>
      <c r="S610">
        <f t="shared" si="992"/>
        <v>-50439.394797885245</v>
      </c>
      <c r="T610">
        <f t="shared" si="993"/>
        <v>-50.439394797885242</v>
      </c>
    </row>
    <row r="611" spans="1:20" x14ac:dyDescent="0.25">
      <c r="A611" s="5">
        <v>43982</v>
      </c>
      <c r="B611">
        <v>9.9559999999999996E-3</v>
      </c>
      <c r="C611">
        <v>9.9740000000000002E-3</v>
      </c>
      <c r="D611">
        <v>8.2229999999999994E-3</v>
      </c>
      <c r="E611">
        <v>8.5089999999999992E-3</v>
      </c>
      <c r="F611">
        <v>709323114</v>
      </c>
      <c r="G611">
        <v>0</v>
      </c>
      <c r="L611" t="s">
        <v>7</v>
      </c>
      <c r="M611" t="s">
        <v>7</v>
      </c>
      <c r="N611" t="s">
        <v>7</v>
      </c>
      <c r="P611">
        <f t="shared" si="989"/>
        <v>-0.67332952598515172</v>
      </c>
      <c r="Q611">
        <f t="shared" si="990"/>
        <v>-477608196.11993176</v>
      </c>
      <c r="R611">
        <f t="shared" si="991"/>
        <v>-4817015051.0770617</v>
      </c>
      <c r="S611">
        <f t="shared" si="992"/>
        <v>-48170.150510770618</v>
      </c>
      <c r="T611">
        <f t="shared" si="993"/>
        <v>-48.170150510770618</v>
      </c>
    </row>
    <row r="612" spans="1:20" x14ac:dyDescent="0.25">
      <c r="A612" s="5">
        <v>43981</v>
      </c>
      <c r="B612">
        <v>1.0281999999999999E-2</v>
      </c>
      <c r="C612">
        <v>1.0999999999999999E-2</v>
      </c>
      <c r="D612">
        <v>9.6100000000000005E-3</v>
      </c>
      <c r="E612">
        <v>9.9450000000000007E-3</v>
      </c>
      <c r="F612">
        <v>1209714095</v>
      </c>
      <c r="G612">
        <v>0</v>
      </c>
      <c r="L612" t="s">
        <v>8</v>
      </c>
      <c r="M612" t="s">
        <v>8</v>
      </c>
      <c r="N612" t="s">
        <v>8</v>
      </c>
      <c r="P612">
        <f t="shared" si="989"/>
        <v>-0.5179856115107907</v>
      </c>
      <c r="Q612">
        <f t="shared" si="990"/>
        <v>-626614495.2517978</v>
      </c>
      <c r="R612">
        <f t="shared" si="991"/>
        <v>-4339406854.9571295</v>
      </c>
      <c r="S612">
        <f t="shared" si="992"/>
        <v>-43394.068549571297</v>
      </c>
      <c r="T612">
        <f t="shared" si="993"/>
        <v>-43.394068549571294</v>
      </c>
    </row>
    <row r="613" spans="1:20" x14ac:dyDescent="0.25">
      <c r="A613" s="5">
        <v>43980</v>
      </c>
      <c r="B613">
        <v>8.6400000000000001E-3</v>
      </c>
      <c r="C613">
        <v>1.1950000000000001E-2</v>
      </c>
      <c r="D613">
        <v>8.2120000000000005E-3</v>
      </c>
      <c r="E613">
        <v>1.0281999999999999E-2</v>
      </c>
      <c r="F613">
        <v>2797335301</v>
      </c>
      <c r="G613">
        <v>0</v>
      </c>
      <c r="L613" t="s">
        <v>7</v>
      </c>
      <c r="M613" t="s">
        <v>7</v>
      </c>
      <c r="N613" t="s">
        <v>8</v>
      </c>
      <c r="P613">
        <f t="shared" si="989"/>
        <v>0.10754414125200584</v>
      </c>
      <c r="Q613">
        <f t="shared" si="990"/>
        <v>300837022.73996627</v>
      </c>
      <c r="R613">
        <f t="shared" si="991"/>
        <v>-3712792359.7053318</v>
      </c>
      <c r="S613">
        <f t="shared" si="992"/>
        <v>-37127.923597053319</v>
      </c>
      <c r="T613">
        <f t="shared" si="993"/>
        <v>-37.127923597053318</v>
      </c>
    </row>
    <row r="614" spans="1:20" x14ac:dyDescent="0.25">
      <c r="A614" s="5">
        <v>43979</v>
      </c>
      <c r="B614">
        <v>1.061E-2</v>
      </c>
      <c r="C614">
        <v>1.1749000000000001E-2</v>
      </c>
      <c r="D614">
        <v>8.4510000000000002E-3</v>
      </c>
      <c r="E614">
        <v>8.6599999999999993E-3</v>
      </c>
      <c r="F614">
        <v>1350392627</v>
      </c>
      <c r="G614">
        <v>0</v>
      </c>
      <c r="L614" t="s">
        <v>7</v>
      </c>
      <c r="M614" t="s">
        <v>7</v>
      </c>
      <c r="N614" t="s">
        <v>7</v>
      </c>
      <c r="P614">
        <f t="shared" si="989"/>
        <v>-0.87325651910248692</v>
      </c>
      <c r="Q614">
        <f t="shared" si="990"/>
        <v>-1179239164.8756831</v>
      </c>
      <c r="R614">
        <f t="shared" si="991"/>
        <v>-4013629382.4452982</v>
      </c>
      <c r="S614">
        <f t="shared" si="992"/>
        <v>-40136.29382445298</v>
      </c>
      <c r="T614">
        <f t="shared" si="993"/>
        <v>-40.136293824452977</v>
      </c>
    </row>
    <row r="615" spans="1:20" x14ac:dyDescent="0.25">
      <c r="A615" s="5">
        <v>43978</v>
      </c>
      <c r="B615">
        <v>1.383E-2</v>
      </c>
      <c r="C615">
        <v>1.6494999999999999E-2</v>
      </c>
      <c r="D615">
        <v>1.0044000000000001E-2</v>
      </c>
      <c r="E615">
        <v>1.0593999999999999E-2</v>
      </c>
      <c r="F615">
        <v>1990892438</v>
      </c>
      <c r="G615">
        <v>0</v>
      </c>
      <c r="L615" t="s">
        <v>7</v>
      </c>
      <c r="M615" t="s">
        <v>7</v>
      </c>
      <c r="N615" t="s">
        <v>7</v>
      </c>
      <c r="P615">
        <f t="shared" si="989"/>
        <v>-0.82948380096109176</v>
      </c>
      <c r="Q615">
        <f t="shared" si="990"/>
        <v>-1651413026.7769346</v>
      </c>
      <c r="R615">
        <f t="shared" si="991"/>
        <v>-2834390217.5696149</v>
      </c>
      <c r="S615">
        <f t="shared" si="992"/>
        <v>-28343.902175696148</v>
      </c>
      <c r="T615">
        <f t="shared" si="993"/>
        <v>-28.343902175696147</v>
      </c>
    </row>
    <row r="616" spans="1:20" x14ac:dyDescent="0.25">
      <c r="A616" s="5">
        <v>43977</v>
      </c>
      <c r="B616">
        <v>1.6156E-2</v>
      </c>
      <c r="C616">
        <v>1.8699E-2</v>
      </c>
      <c r="D616">
        <v>1.355E-2</v>
      </c>
      <c r="E616">
        <v>1.3827000000000001E-2</v>
      </c>
      <c r="F616">
        <v>1582839129</v>
      </c>
      <c r="G616">
        <v>0</v>
      </c>
      <c r="L616" t="s">
        <v>7</v>
      </c>
      <c r="M616" t="s">
        <v>7</v>
      </c>
      <c r="N616" t="s">
        <v>7</v>
      </c>
      <c r="P616">
        <f t="shared" si="989"/>
        <v>-0.89240629248397707</v>
      </c>
      <c r="Q616">
        <f t="shared" si="990"/>
        <v>-1412535598.7094574</v>
      </c>
      <c r="R616">
        <f t="shared" si="991"/>
        <v>-1182977190.7926803</v>
      </c>
      <c r="S616">
        <f t="shared" si="992"/>
        <v>-11829.771907926803</v>
      </c>
      <c r="T616">
        <f t="shared" si="993"/>
        <v>-11.829771907926803</v>
      </c>
    </row>
    <row r="617" spans="1:20" x14ac:dyDescent="0.25">
      <c r="A617" s="5">
        <v>43976</v>
      </c>
      <c r="B617">
        <v>1.7977E-2</v>
      </c>
      <c r="C617">
        <v>2.2100000000000002E-2</v>
      </c>
      <c r="D617">
        <v>1.4525E-2</v>
      </c>
      <c r="E617">
        <v>1.6088000000000002E-2</v>
      </c>
      <c r="F617">
        <v>3459161724</v>
      </c>
      <c r="G617">
        <v>0</v>
      </c>
      <c r="L617" t="s">
        <v>7</v>
      </c>
      <c r="M617" t="s">
        <v>7</v>
      </c>
      <c r="N617" t="s">
        <v>7</v>
      </c>
      <c r="P617">
        <f t="shared" si="989"/>
        <v>-0.58732673267326696</v>
      </c>
      <c r="Q617">
        <f t="shared" si="990"/>
        <v>-2031658153.1453452</v>
      </c>
      <c r="R617">
        <f t="shared" si="991"/>
        <v>229558407.91677713</v>
      </c>
      <c r="S617">
        <f t="shared" si="992"/>
        <v>2295.5840791677715</v>
      </c>
      <c r="T617">
        <f t="shared" si="993"/>
        <v>2.2955840791677713</v>
      </c>
    </row>
    <row r="618" spans="1:20" x14ac:dyDescent="0.25">
      <c r="A618" s="5">
        <v>43975</v>
      </c>
      <c r="B618">
        <v>9.0430000000000007E-3</v>
      </c>
      <c r="C618">
        <v>2.4348999999999999E-2</v>
      </c>
      <c r="D618">
        <v>8.9149999999999993E-3</v>
      </c>
      <c r="E618">
        <v>1.7881999999999999E-2</v>
      </c>
      <c r="F618">
        <v>6091081940.5</v>
      </c>
      <c r="G618">
        <v>0</v>
      </c>
      <c r="L618" t="s">
        <v>8</v>
      </c>
      <c r="M618" t="s">
        <v>8</v>
      </c>
      <c r="N618" t="s">
        <v>8</v>
      </c>
      <c r="P618">
        <f t="shared" si="989"/>
        <v>0.16198004405857191</v>
      </c>
      <c r="Q618">
        <f t="shared" si="990"/>
        <v>986633721.08656168</v>
      </c>
      <c r="R618">
        <f t="shared" si="991"/>
        <v>2261216561.0621223</v>
      </c>
      <c r="S618">
        <f t="shared" si="992"/>
        <v>22612.165610621225</v>
      </c>
      <c r="T618">
        <f t="shared" si="993"/>
        <v>22.612165610621226</v>
      </c>
    </row>
    <row r="619" spans="1:20" x14ac:dyDescent="0.25">
      <c r="A619" s="5">
        <v>43974</v>
      </c>
      <c r="B619">
        <v>6.6189999999999999E-3</v>
      </c>
      <c r="C619">
        <v>9.1999999999999998E-3</v>
      </c>
      <c r="D619">
        <v>6.1749999999999999E-3</v>
      </c>
      <c r="E619">
        <v>9.0159999999999997E-3</v>
      </c>
      <c r="F619">
        <v>1245043824</v>
      </c>
      <c r="G619">
        <v>0</v>
      </c>
      <c r="L619" t="s">
        <v>8</v>
      </c>
      <c r="M619" t="s">
        <v>8</v>
      </c>
      <c r="N619" t="s">
        <v>8</v>
      </c>
      <c r="P619">
        <f t="shared" si="989"/>
        <v>0.87834710743801647</v>
      </c>
      <c r="Q619">
        <f t="shared" si="990"/>
        <v>1093580641.4439669</v>
      </c>
      <c r="R619">
        <f t="shared" si="991"/>
        <v>1274582839.9755607</v>
      </c>
      <c r="S619">
        <f t="shared" si="992"/>
        <v>12745.828399755606</v>
      </c>
      <c r="T619">
        <f t="shared" si="993"/>
        <v>12.745828399755606</v>
      </c>
    </row>
    <row r="620" spans="1:20" x14ac:dyDescent="0.25">
      <c r="A620" s="5">
        <v>43973</v>
      </c>
      <c r="B620">
        <v>7.6179999999999998E-3</v>
      </c>
      <c r="C620">
        <v>7.6559999999999996E-3</v>
      </c>
      <c r="D620">
        <v>5.973E-3</v>
      </c>
      <c r="E620">
        <v>6.6189999999999999E-3</v>
      </c>
      <c r="F620">
        <v>1087595884</v>
      </c>
      <c r="G620">
        <v>0</v>
      </c>
      <c r="L620" t="s">
        <v>7</v>
      </c>
      <c r="M620" t="s">
        <v>7</v>
      </c>
      <c r="N620" t="s">
        <v>7</v>
      </c>
      <c r="P620">
        <f t="shared" si="989"/>
        <v>-0.23232323232323229</v>
      </c>
      <c r="Q620">
        <f t="shared" si="990"/>
        <v>-252673791.2323232</v>
      </c>
      <c r="R620">
        <f t="shared" si="991"/>
        <v>181002198.53159377</v>
      </c>
      <c r="S620">
        <f t="shared" si="992"/>
        <v>1810.0219853159376</v>
      </c>
      <c r="T620">
        <f t="shared" si="993"/>
        <v>1.8100219853159376</v>
      </c>
    </row>
    <row r="621" spans="1:20" x14ac:dyDescent="0.25">
      <c r="A621" s="5">
        <v>43972</v>
      </c>
      <c r="B621">
        <v>3.8990000000000001E-3</v>
      </c>
      <c r="C621">
        <v>9.4999999999999998E-3</v>
      </c>
      <c r="D621">
        <v>3.8869999999999998E-3</v>
      </c>
      <c r="E621">
        <v>7.6179999999999998E-3</v>
      </c>
      <c r="F621">
        <v>5247918151.3999996</v>
      </c>
      <c r="G621">
        <v>0</v>
      </c>
      <c r="L621" t="s">
        <v>8</v>
      </c>
      <c r="M621" t="s">
        <v>8</v>
      </c>
      <c r="N621" t="s">
        <v>8</v>
      </c>
      <c r="P621">
        <f t="shared" si="989"/>
        <v>0.329413860680563</v>
      </c>
      <c r="Q621">
        <f t="shared" si="990"/>
        <v>1728736978.7882771</v>
      </c>
      <c r="R621">
        <f t="shared" si="991"/>
        <v>433675989.76391697</v>
      </c>
      <c r="S621">
        <f t="shared" si="992"/>
        <v>4336.75989763917</v>
      </c>
      <c r="T621">
        <f t="shared" si="993"/>
        <v>4.3367598976391699</v>
      </c>
    </row>
    <row r="622" spans="1:20" x14ac:dyDescent="0.25">
      <c r="A622" s="5">
        <v>43971</v>
      </c>
      <c r="B622">
        <v>2.9290000000000002E-3</v>
      </c>
      <c r="C622">
        <v>4.1640000000000002E-3</v>
      </c>
      <c r="D622">
        <v>2.774E-3</v>
      </c>
      <c r="E622">
        <v>3.8930000000000002E-3</v>
      </c>
      <c r="F622">
        <v>366520726</v>
      </c>
      <c r="G622">
        <v>0</v>
      </c>
      <c r="L622" t="s">
        <v>8</v>
      </c>
      <c r="M622" t="s">
        <v>8</v>
      </c>
      <c r="N622" t="s">
        <v>8</v>
      </c>
      <c r="P622">
        <f t="shared" si="989"/>
        <v>0.61007194244604324</v>
      </c>
      <c r="Q622">
        <f t="shared" si="990"/>
        <v>223604011.25755399</v>
      </c>
      <c r="R622">
        <f t="shared" si="991"/>
        <v>-1295060989.0243602</v>
      </c>
      <c r="S622">
        <f t="shared" si="992"/>
        <v>-12950.609890243602</v>
      </c>
      <c r="T622">
        <f t="shared" si="993"/>
        <v>-12.950609890243602</v>
      </c>
    </row>
    <row r="623" spans="1:20" x14ac:dyDescent="0.25">
      <c r="A623" s="5">
        <v>43970</v>
      </c>
      <c r="B623">
        <v>2.5569999999999998E-3</v>
      </c>
      <c r="C623">
        <v>2.9610000000000001E-3</v>
      </c>
      <c r="D623">
        <v>2.4350000000000001E-3</v>
      </c>
      <c r="E623">
        <v>2.9510000000000001E-3</v>
      </c>
      <c r="F623">
        <v>154349954</v>
      </c>
      <c r="G623">
        <v>0</v>
      </c>
      <c r="L623" t="s">
        <v>7</v>
      </c>
      <c r="M623" t="s">
        <v>7</v>
      </c>
      <c r="N623" t="s">
        <v>8</v>
      </c>
      <c r="P623">
        <f t="shared" si="989"/>
        <v>0.96197718631178697</v>
      </c>
      <c r="Q623">
        <f t="shared" si="990"/>
        <v>148481134.45627373</v>
      </c>
      <c r="R623">
        <f t="shared" si="991"/>
        <v>-1518665000.2819142</v>
      </c>
      <c r="S623">
        <f t="shared" si="992"/>
        <v>-15186.650002819142</v>
      </c>
      <c r="T623">
        <f t="shared" si="993"/>
        <v>-15.186650002819142</v>
      </c>
    </row>
    <row r="624" spans="1:20" x14ac:dyDescent="0.25">
      <c r="A624" s="5">
        <v>43969</v>
      </c>
      <c r="B624">
        <v>2.555E-3</v>
      </c>
      <c r="C624">
        <v>2.611E-3</v>
      </c>
      <c r="D624">
        <v>2.493E-3</v>
      </c>
      <c r="E624">
        <v>2.5560000000000001E-3</v>
      </c>
      <c r="F624">
        <v>64826419</v>
      </c>
      <c r="G624">
        <v>0</v>
      </c>
      <c r="L624" t="s">
        <v>7</v>
      </c>
      <c r="M624" t="s">
        <v>8</v>
      </c>
      <c r="N624" t="s">
        <v>8</v>
      </c>
      <c r="P624">
        <f t="shared" si="989"/>
        <v>6.7796610169493149E-2</v>
      </c>
      <c r="Q624">
        <f t="shared" si="990"/>
        <v>4395011.4576272238</v>
      </c>
      <c r="R624">
        <f t="shared" si="991"/>
        <v>-1667146134.738188</v>
      </c>
      <c r="S624">
        <f t="shared" si="992"/>
        <v>-16671.461347381879</v>
      </c>
      <c r="T624">
        <f t="shared" si="993"/>
        <v>-16.671461347381879</v>
      </c>
    </row>
    <row r="625" spans="1:20" x14ac:dyDescent="0.25">
      <c r="A625" s="5">
        <v>43968</v>
      </c>
      <c r="B625">
        <v>2.7490000000000001E-3</v>
      </c>
      <c r="C625">
        <v>3.0000000000000001E-3</v>
      </c>
      <c r="D625">
        <v>2.5330000000000001E-3</v>
      </c>
      <c r="E625">
        <v>2.5339999999999998E-3</v>
      </c>
      <c r="F625">
        <v>84641604</v>
      </c>
      <c r="G625">
        <v>0</v>
      </c>
      <c r="L625" t="s">
        <v>8</v>
      </c>
      <c r="M625" t="s">
        <v>8</v>
      </c>
      <c r="N625" t="s">
        <v>8</v>
      </c>
      <c r="P625">
        <f t="shared" si="989"/>
        <v>-0.99571734475374862</v>
      </c>
      <c r="Q625">
        <f t="shared" si="990"/>
        <v>-84279113.190578267</v>
      </c>
      <c r="R625">
        <f t="shared" si="991"/>
        <v>-1671541146.1958153</v>
      </c>
      <c r="S625">
        <f t="shared" si="992"/>
        <v>-16715.411461958152</v>
      </c>
      <c r="T625">
        <f t="shared" si="993"/>
        <v>-16.715411461958151</v>
      </c>
    </row>
    <row r="626" spans="1:20" x14ac:dyDescent="0.25">
      <c r="A626" s="5">
        <v>43967</v>
      </c>
      <c r="B626">
        <v>2.385E-3</v>
      </c>
      <c r="C626">
        <v>2.7680000000000001E-3</v>
      </c>
      <c r="D626">
        <v>2.3440000000000002E-3</v>
      </c>
      <c r="E626">
        <v>2.7490000000000001E-3</v>
      </c>
      <c r="F626">
        <v>128340896</v>
      </c>
      <c r="G626">
        <v>0</v>
      </c>
      <c r="L626" t="s">
        <v>7</v>
      </c>
      <c r="M626" t="s">
        <v>7</v>
      </c>
      <c r="N626" t="s">
        <v>8</v>
      </c>
      <c r="P626">
        <f t="shared" si="989"/>
        <v>0.91037735849056645</v>
      </c>
      <c r="Q626">
        <f t="shared" si="990"/>
        <v>116838645.88679251</v>
      </c>
      <c r="R626">
        <f t="shared" si="991"/>
        <v>-1587262033.0052371</v>
      </c>
      <c r="S626">
        <f t="shared" si="992"/>
        <v>-15872.62033005237</v>
      </c>
      <c r="T626">
        <f t="shared" si="993"/>
        <v>-15.872620330052371</v>
      </c>
    </row>
    <row r="627" spans="1:20" x14ac:dyDescent="0.25">
      <c r="A627" s="5">
        <v>43966</v>
      </c>
      <c r="B627">
        <v>2.1559999999999999E-3</v>
      </c>
      <c r="C627">
        <v>3.0000000000000001E-3</v>
      </c>
      <c r="D627">
        <v>2.1029999999999998E-3</v>
      </c>
      <c r="E627">
        <v>2.3760000000000001E-3</v>
      </c>
      <c r="F627">
        <v>223776584</v>
      </c>
      <c r="G627">
        <v>0</v>
      </c>
      <c r="L627" t="s">
        <v>8</v>
      </c>
      <c r="M627" t="s">
        <v>8</v>
      </c>
      <c r="N627" t="s">
        <v>8</v>
      </c>
      <c r="P627">
        <f t="shared" si="989"/>
        <v>-0.39130434782608658</v>
      </c>
      <c r="Q627">
        <f t="shared" si="990"/>
        <v>-87564750.260869488</v>
      </c>
      <c r="R627">
        <f t="shared" si="991"/>
        <v>-1704100678.8920295</v>
      </c>
      <c r="S627">
        <f t="shared" si="992"/>
        <v>-17041.006788920295</v>
      </c>
      <c r="T627">
        <f t="shared" si="993"/>
        <v>-17.041006788920296</v>
      </c>
    </row>
    <row r="628" spans="1:20" x14ac:dyDescent="0.25">
      <c r="A628" s="5">
        <v>43965</v>
      </c>
      <c r="B628">
        <v>2.065E-3</v>
      </c>
      <c r="C628">
        <v>2.1700000000000001E-3</v>
      </c>
      <c r="D628">
        <v>2.0409999999999998E-3</v>
      </c>
      <c r="E628">
        <v>2.1549999999999998E-3</v>
      </c>
      <c r="F628">
        <v>69761717</v>
      </c>
      <c r="G628">
        <v>0</v>
      </c>
      <c r="L628" t="s">
        <v>7</v>
      </c>
      <c r="M628" t="s">
        <v>8</v>
      </c>
      <c r="N628" t="s">
        <v>8</v>
      </c>
      <c r="P628">
        <f t="shared" si="989"/>
        <v>0.76744186046511265</v>
      </c>
      <c r="Q628">
        <f t="shared" si="990"/>
        <v>53538061.883720674</v>
      </c>
      <c r="R628">
        <f t="shared" si="991"/>
        <v>-1616535928.63116</v>
      </c>
      <c r="S628">
        <f t="shared" si="992"/>
        <v>-16165.359286311601</v>
      </c>
      <c r="T628">
        <f t="shared" si="993"/>
        <v>-16.165359286311602</v>
      </c>
    </row>
    <row r="629" spans="1:20" x14ac:dyDescent="0.25">
      <c r="A629" s="5">
        <v>43964</v>
      </c>
      <c r="B629">
        <v>2.1159999999999998E-3</v>
      </c>
      <c r="C629">
        <v>2.2390000000000001E-3</v>
      </c>
      <c r="D629">
        <v>2.0470000000000002E-3</v>
      </c>
      <c r="E629">
        <v>2.0820000000000001E-3</v>
      </c>
      <c r="F629">
        <v>73266994</v>
      </c>
      <c r="G629">
        <v>0</v>
      </c>
      <c r="L629" t="s">
        <v>7</v>
      </c>
      <c r="M629" t="s">
        <v>8</v>
      </c>
      <c r="N629" t="s">
        <v>8</v>
      </c>
      <c r="P629">
        <f t="shared" si="989"/>
        <v>-0.63541666666666774</v>
      </c>
      <c r="Q629">
        <f t="shared" si="990"/>
        <v>-46555069.104166746</v>
      </c>
      <c r="R629">
        <f t="shared" si="991"/>
        <v>-1670073990.5148807</v>
      </c>
      <c r="S629">
        <f t="shared" si="992"/>
        <v>-16700.739905148806</v>
      </c>
      <c r="T629">
        <f t="shared" si="993"/>
        <v>-16.700739905148808</v>
      </c>
    </row>
    <row r="630" spans="1:20" x14ac:dyDescent="0.25">
      <c r="A630" s="5">
        <v>43963</v>
      </c>
      <c r="B630">
        <v>1.8619999999999999E-3</v>
      </c>
      <c r="C630">
        <v>2.2369999999999998E-3</v>
      </c>
      <c r="D630">
        <v>1.836E-3</v>
      </c>
      <c r="E630">
        <v>2.1150000000000001E-3</v>
      </c>
      <c r="F630">
        <v>133130893</v>
      </c>
      <c r="G630">
        <v>0</v>
      </c>
      <c r="L630" t="s">
        <v>8</v>
      </c>
      <c r="M630" t="s">
        <v>8</v>
      </c>
      <c r="N630" t="s">
        <v>8</v>
      </c>
      <c r="P630">
        <f t="shared" si="989"/>
        <v>0.39152119700748256</v>
      </c>
      <c r="Q630">
        <f t="shared" si="990"/>
        <v>52123566.58603508</v>
      </c>
      <c r="R630">
        <f t="shared" si="991"/>
        <v>-1623518921.4107139</v>
      </c>
      <c r="S630">
        <f t="shared" si="992"/>
        <v>-16235.189214107138</v>
      </c>
      <c r="T630">
        <f t="shared" si="993"/>
        <v>-16.235189214107137</v>
      </c>
    </row>
    <row r="631" spans="1:20" x14ac:dyDescent="0.25">
      <c r="A631" s="5">
        <v>43962</v>
      </c>
      <c r="B631">
        <v>1.8619999999999999E-3</v>
      </c>
      <c r="C631">
        <v>1.8890000000000001E-3</v>
      </c>
      <c r="D631">
        <v>1.7750000000000001E-3</v>
      </c>
      <c r="E631">
        <v>1.8600000000000001E-3</v>
      </c>
      <c r="F631">
        <v>52359295</v>
      </c>
      <c r="G631">
        <v>0</v>
      </c>
      <c r="L631" t="s">
        <v>7</v>
      </c>
      <c r="M631" t="s">
        <v>7</v>
      </c>
      <c r="N631" t="s">
        <v>8</v>
      </c>
      <c r="P631">
        <f t="shared" si="989"/>
        <v>0.49122807017543935</v>
      </c>
      <c r="Q631">
        <f t="shared" si="990"/>
        <v>25720355.438596532</v>
      </c>
      <c r="R631">
        <f t="shared" si="991"/>
        <v>-1675642487.9967489</v>
      </c>
      <c r="S631">
        <f t="shared" si="992"/>
        <v>-16756.42487996749</v>
      </c>
      <c r="T631">
        <f t="shared" si="993"/>
        <v>-16.75642487996749</v>
      </c>
    </row>
    <row r="632" spans="1:20" x14ac:dyDescent="0.25">
      <c r="A632" s="5">
        <v>43961</v>
      </c>
      <c r="B632">
        <v>2.1020000000000001E-3</v>
      </c>
      <c r="C632">
        <v>2.1020000000000001E-3</v>
      </c>
      <c r="D632">
        <v>1.8129999999999999E-3</v>
      </c>
      <c r="E632">
        <v>1.8619999999999999E-3</v>
      </c>
      <c r="F632">
        <v>65514947</v>
      </c>
      <c r="G632">
        <v>0</v>
      </c>
      <c r="L632" t="s">
        <v>7</v>
      </c>
      <c r="M632" t="s">
        <v>7</v>
      </c>
      <c r="N632" t="s">
        <v>8</v>
      </c>
      <c r="P632">
        <f t="shared" si="989"/>
        <v>-0.660899653979239</v>
      </c>
      <c r="Q632">
        <f t="shared" si="990"/>
        <v>-43298805.802768186</v>
      </c>
      <c r="R632">
        <f t="shared" si="991"/>
        <v>-1701362843.4353454</v>
      </c>
      <c r="S632">
        <f t="shared" si="992"/>
        <v>-17013.628434353453</v>
      </c>
      <c r="T632">
        <f t="shared" si="993"/>
        <v>-17.013628434353453</v>
      </c>
    </row>
    <row r="633" spans="1:20" x14ac:dyDescent="0.25">
      <c r="A633" s="5">
        <v>43960</v>
      </c>
      <c r="B633">
        <v>2.2690000000000002E-3</v>
      </c>
      <c r="C633">
        <v>2.3530000000000001E-3</v>
      </c>
      <c r="D633">
        <v>2.013E-3</v>
      </c>
      <c r="E633">
        <v>2.1120000000000002E-3</v>
      </c>
      <c r="F633">
        <v>151864008</v>
      </c>
      <c r="G633">
        <v>0</v>
      </c>
      <c r="L633" t="s">
        <v>8</v>
      </c>
      <c r="M633" t="s">
        <v>8</v>
      </c>
      <c r="N633" t="s">
        <v>8</v>
      </c>
      <c r="P633">
        <f t="shared" si="989"/>
        <v>-0.41764705882352871</v>
      </c>
      <c r="Q633">
        <f t="shared" si="990"/>
        <v>-63425556.282352835</v>
      </c>
      <c r="R633">
        <f t="shared" si="991"/>
        <v>-1658064037.6325772</v>
      </c>
      <c r="S633">
        <f t="shared" si="992"/>
        <v>-16580.640376325773</v>
      </c>
      <c r="T633">
        <f t="shared" si="993"/>
        <v>-16.580640376325775</v>
      </c>
    </row>
    <row r="634" spans="1:20" x14ac:dyDescent="0.25">
      <c r="A634" s="5">
        <v>43959</v>
      </c>
      <c r="B634">
        <v>2.0939999999999999E-3</v>
      </c>
      <c r="C634">
        <v>2.3149999999999998E-3</v>
      </c>
      <c r="D634">
        <v>2.0110000000000002E-3</v>
      </c>
      <c r="E634">
        <v>2.2539999999999999E-3</v>
      </c>
      <c r="F634">
        <v>53104174</v>
      </c>
      <c r="G634">
        <v>0</v>
      </c>
      <c r="L634" t="s">
        <v>8</v>
      </c>
      <c r="M634" t="s">
        <v>8</v>
      </c>
      <c r="N634" t="s">
        <v>8</v>
      </c>
      <c r="P634">
        <f t="shared" si="989"/>
        <v>0.59868421052631615</v>
      </c>
      <c r="Q634">
        <f t="shared" si="990"/>
        <v>31792630.486842126</v>
      </c>
      <c r="R634">
        <f t="shared" si="991"/>
        <v>-1594638481.3502243</v>
      </c>
      <c r="S634">
        <f t="shared" si="992"/>
        <v>-15946.384813502242</v>
      </c>
      <c r="T634">
        <f t="shared" si="993"/>
        <v>-15.946384813502242</v>
      </c>
    </row>
    <row r="635" spans="1:20" x14ac:dyDescent="0.25">
      <c r="A635" s="5">
        <v>43958</v>
      </c>
      <c r="B635">
        <v>2.0240000000000002E-3</v>
      </c>
      <c r="C635">
        <v>2.117E-3</v>
      </c>
      <c r="D635">
        <v>1.9849999999999998E-3</v>
      </c>
      <c r="E635">
        <v>2.0950000000000001E-3</v>
      </c>
      <c r="F635">
        <v>81871163</v>
      </c>
      <c r="G635">
        <v>0</v>
      </c>
      <c r="L635" t="s">
        <v>7</v>
      </c>
      <c r="M635" t="s">
        <v>8</v>
      </c>
      <c r="N635" t="s">
        <v>8</v>
      </c>
      <c r="P635">
        <f t="shared" si="989"/>
        <v>0.66666666666666885</v>
      </c>
      <c r="Q635">
        <f t="shared" si="990"/>
        <v>54580775.333333515</v>
      </c>
      <c r="R635">
        <f t="shared" si="991"/>
        <v>-1626431111.8370664</v>
      </c>
      <c r="S635">
        <f t="shared" si="992"/>
        <v>-16264.311118370664</v>
      </c>
      <c r="T635">
        <f t="shared" si="993"/>
        <v>-16.264311118370664</v>
      </c>
    </row>
    <row r="636" spans="1:20" x14ac:dyDescent="0.25">
      <c r="A636" s="5">
        <v>43957</v>
      </c>
      <c r="B636">
        <v>2.0790000000000001E-3</v>
      </c>
      <c r="C636">
        <v>2.1689999999999999E-3</v>
      </c>
      <c r="D636">
        <v>2.0070000000000001E-3</v>
      </c>
      <c r="E636">
        <v>2.0249999999999999E-3</v>
      </c>
      <c r="F636">
        <v>84383347</v>
      </c>
      <c r="G636">
        <v>0</v>
      </c>
      <c r="L636" t="s">
        <v>8</v>
      </c>
      <c r="M636" t="s">
        <v>8</v>
      </c>
      <c r="N636" t="s">
        <v>8</v>
      </c>
      <c r="P636">
        <f t="shared" si="989"/>
        <v>-0.77777777777778012</v>
      </c>
      <c r="Q636">
        <f t="shared" si="990"/>
        <v>-65631492.111111306</v>
      </c>
      <c r="R636">
        <f t="shared" si="991"/>
        <v>-1681011887.1703999</v>
      </c>
      <c r="S636">
        <f t="shared" si="992"/>
        <v>-16810.118871703999</v>
      </c>
      <c r="T636">
        <f t="shared" si="993"/>
        <v>-16.810118871703999</v>
      </c>
    </row>
    <row r="637" spans="1:20" x14ac:dyDescent="0.25">
      <c r="A637" s="5">
        <v>43956</v>
      </c>
      <c r="B637">
        <v>2.0379999999999999E-3</v>
      </c>
      <c r="C637">
        <v>2.1329999999999999E-3</v>
      </c>
      <c r="D637">
        <v>2.006E-3</v>
      </c>
      <c r="E637">
        <v>2.0860000000000002E-3</v>
      </c>
      <c r="F637">
        <v>48026237</v>
      </c>
      <c r="G637">
        <v>0</v>
      </c>
      <c r="L637" t="s">
        <v>8</v>
      </c>
      <c r="M637" t="s">
        <v>8</v>
      </c>
      <c r="N637" t="s">
        <v>8</v>
      </c>
      <c r="P637">
        <f t="shared" si="989"/>
        <v>0.25984251968504324</v>
      </c>
      <c r="Q637">
        <f t="shared" si="990"/>
        <v>12479258.433071053</v>
      </c>
      <c r="R637">
        <f t="shared" si="991"/>
        <v>-1615380395.0592885</v>
      </c>
      <c r="S637">
        <f t="shared" si="992"/>
        <v>-16153.803950592885</v>
      </c>
      <c r="T637">
        <f t="shared" si="993"/>
        <v>-16.153803950592884</v>
      </c>
    </row>
    <row r="638" spans="1:20" x14ac:dyDescent="0.25">
      <c r="A638" s="5">
        <v>43955</v>
      </c>
      <c r="B638">
        <v>2.0739999999999999E-3</v>
      </c>
      <c r="C638">
        <v>2.0799999999999998E-3</v>
      </c>
      <c r="D638">
        <v>1.89E-3</v>
      </c>
      <c r="E638">
        <v>2.0330000000000001E-3</v>
      </c>
      <c r="F638">
        <v>47852823</v>
      </c>
      <c r="G638">
        <v>0</v>
      </c>
      <c r="L638" t="s">
        <v>7</v>
      </c>
      <c r="M638" t="s">
        <v>8</v>
      </c>
      <c r="N638" t="s">
        <v>8</v>
      </c>
      <c r="P638">
        <f t="shared" si="989"/>
        <v>0.5052631578947393</v>
      </c>
      <c r="Q638">
        <f t="shared" si="990"/>
        <v>24178268.463158011</v>
      </c>
      <c r="R638">
        <f t="shared" si="991"/>
        <v>-1627859653.4923596</v>
      </c>
      <c r="S638">
        <f t="shared" si="992"/>
        <v>-16278.596534923596</v>
      </c>
      <c r="T638">
        <f t="shared" si="993"/>
        <v>-16.278596534923597</v>
      </c>
    </row>
    <row r="639" spans="1:20" x14ac:dyDescent="0.25">
      <c r="A639" s="5">
        <v>43954</v>
      </c>
      <c r="B639">
        <v>2.1150000000000001E-3</v>
      </c>
      <c r="C639">
        <v>2.1229999999999999E-3</v>
      </c>
      <c r="D639">
        <v>2.0100000000000001E-3</v>
      </c>
      <c r="E639">
        <v>2.0600000000000002E-3</v>
      </c>
      <c r="F639">
        <v>30333115</v>
      </c>
      <c r="G639">
        <v>0</v>
      </c>
      <c r="L639" t="s">
        <v>8</v>
      </c>
      <c r="M639" t="s">
        <v>8</v>
      </c>
      <c r="N639" t="s">
        <v>8</v>
      </c>
      <c r="P639">
        <f t="shared" si="989"/>
        <v>-0.11504424778760688</v>
      </c>
      <c r="Q639">
        <f t="shared" si="990"/>
        <v>-3489650.3982299753</v>
      </c>
      <c r="R639">
        <f t="shared" si="991"/>
        <v>-1652037921.9555178</v>
      </c>
      <c r="S639">
        <f t="shared" si="992"/>
        <v>-16520.379219555176</v>
      </c>
      <c r="T639">
        <f t="shared" si="993"/>
        <v>-16.520379219555174</v>
      </c>
    </row>
    <row r="640" spans="1:20" x14ac:dyDescent="0.25">
      <c r="A640" s="5">
        <v>43953</v>
      </c>
      <c r="B640">
        <v>2.0349999999999999E-3</v>
      </c>
      <c r="C640">
        <v>2.1150000000000001E-3</v>
      </c>
      <c r="D640">
        <v>2E-3</v>
      </c>
      <c r="E640">
        <v>2.1150000000000001E-3</v>
      </c>
      <c r="F640">
        <v>49118248</v>
      </c>
      <c r="G640">
        <v>0</v>
      </c>
      <c r="L640" t="s">
        <v>8</v>
      </c>
      <c r="M640" t="s">
        <v>8</v>
      </c>
      <c r="N640" t="s">
        <v>8</v>
      </c>
      <c r="P640">
        <f t="shared" si="989"/>
        <v>1</v>
      </c>
      <c r="Q640">
        <f t="shared" si="990"/>
        <v>49118248</v>
      </c>
      <c r="R640">
        <f t="shared" si="991"/>
        <v>-1648548271.5572877</v>
      </c>
      <c r="S640">
        <f t="shared" si="992"/>
        <v>-16485.482715572878</v>
      </c>
      <c r="T640">
        <f t="shared" si="993"/>
        <v>-16.485482715572878</v>
      </c>
    </row>
    <row r="641" spans="1:20" x14ac:dyDescent="0.25">
      <c r="A641" s="5">
        <v>43952</v>
      </c>
      <c r="B641">
        <v>1.928E-3</v>
      </c>
      <c r="C641">
        <v>2.0600000000000002E-3</v>
      </c>
      <c r="D641">
        <v>1.928E-3</v>
      </c>
      <c r="E641">
        <v>2.0470000000000002E-3</v>
      </c>
      <c r="F641">
        <v>33200325</v>
      </c>
      <c r="G641">
        <v>0</v>
      </c>
      <c r="L641" t="s">
        <v>7</v>
      </c>
      <c r="M641" t="s">
        <v>8</v>
      </c>
      <c r="N641" t="s">
        <v>8</v>
      </c>
      <c r="P641">
        <f t="shared" si="989"/>
        <v>0.80303030303030343</v>
      </c>
      <c r="Q641">
        <f t="shared" si="990"/>
        <v>26660867.045454558</v>
      </c>
      <c r="R641">
        <f t="shared" si="991"/>
        <v>-1697666519.5572877</v>
      </c>
      <c r="S641">
        <f t="shared" si="992"/>
        <v>-16976.665195572878</v>
      </c>
      <c r="T641">
        <f t="shared" si="993"/>
        <v>-16.976665195572878</v>
      </c>
    </row>
    <row r="642" spans="1:20" x14ac:dyDescent="0.25">
      <c r="A642" s="5">
        <v>43951</v>
      </c>
      <c r="B642">
        <v>1.939E-3</v>
      </c>
      <c r="C642">
        <v>2.1199999999999999E-3</v>
      </c>
      <c r="D642">
        <v>1.869E-3</v>
      </c>
      <c r="E642">
        <v>1.9400000000000001E-3</v>
      </c>
      <c r="F642">
        <v>115970446</v>
      </c>
      <c r="G642">
        <v>0</v>
      </c>
      <c r="L642" t="s">
        <v>8</v>
      </c>
      <c r="M642" t="s">
        <v>8</v>
      </c>
      <c r="N642" t="s">
        <v>8</v>
      </c>
      <c r="P642">
        <f t="shared" si="989"/>
        <v>-0.43426294820717032</v>
      </c>
      <c r="Q642">
        <f t="shared" si="990"/>
        <v>-50361667.78486044</v>
      </c>
      <c r="R642">
        <f t="shared" si="991"/>
        <v>-1724327386.6027422</v>
      </c>
      <c r="S642">
        <f t="shared" si="992"/>
        <v>-17243.273866027423</v>
      </c>
      <c r="T642">
        <f t="shared" si="993"/>
        <v>-17.243273866027423</v>
      </c>
    </row>
    <row r="643" spans="1:20" x14ac:dyDescent="0.25">
      <c r="A643" s="5">
        <v>43950</v>
      </c>
      <c r="B643">
        <v>1.887E-3</v>
      </c>
      <c r="C643">
        <v>2.0140000000000002E-3</v>
      </c>
      <c r="D643">
        <v>1.8680000000000001E-3</v>
      </c>
      <c r="E643">
        <v>1.9369999999999999E-3</v>
      </c>
      <c r="F643">
        <v>29671475</v>
      </c>
      <c r="G643">
        <v>0</v>
      </c>
      <c r="L643" t="s">
        <v>8</v>
      </c>
      <c r="M643" t="s">
        <v>8</v>
      </c>
      <c r="N643" t="s">
        <v>8</v>
      </c>
      <c r="P643">
        <f t="shared" si="989"/>
        <v>-5.4794520547947992E-2</v>
      </c>
      <c r="Q643">
        <f t="shared" si="990"/>
        <v>-1625834.2465754251</v>
      </c>
      <c r="R643">
        <f t="shared" si="991"/>
        <v>-1673965718.8178818</v>
      </c>
      <c r="S643">
        <f t="shared" si="992"/>
        <v>-16739.657188178819</v>
      </c>
      <c r="T643">
        <f t="shared" si="993"/>
        <v>-16.739657188178818</v>
      </c>
    </row>
    <row r="644" spans="1:20" x14ac:dyDescent="0.25">
      <c r="A644" s="5">
        <v>43949</v>
      </c>
      <c r="B644">
        <v>1.8500000000000001E-3</v>
      </c>
      <c r="C644">
        <v>1.9070000000000001E-3</v>
      </c>
      <c r="D644">
        <v>1.8079999999999999E-3</v>
      </c>
      <c r="E644">
        <v>1.887E-3</v>
      </c>
      <c r="F644">
        <v>34163139</v>
      </c>
      <c r="G644">
        <v>0</v>
      </c>
      <c r="L644" t="s">
        <v>7</v>
      </c>
      <c r="M644" t="s">
        <v>8</v>
      </c>
      <c r="N644" t="s">
        <v>8</v>
      </c>
      <c r="P644">
        <f t="shared" si="989"/>
        <v>0.59595959595959547</v>
      </c>
      <c r="Q644">
        <f t="shared" si="990"/>
        <v>20359850.515151497</v>
      </c>
      <c r="R644">
        <f t="shared" si="991"/>
        <v>-1672339884.5713065</v>
      </c>
      <c r="S644">
        <f t="shared" si="992"/>
        <v>-16723.398845713065</v>
      </c>
      <c r="T644">
        <f t="shared" si="993"/>
        <v>-16.723398845713067</v>
      </c>
    </row>
    <row r="645" spans="1:20" x14ac:dyDescent="0.25">
      <c r="A645" s="5">
        <v>43948</v>
      </c>
      <c r="B645">
        <v>1.8710000000000001E-3</v>
      </c>
      <c r="C645">
        <v>1.903E-3</v>
      </c>
      <c r="D645">
        <v>1.815E-3</v>
      </c>
      <c r="E645">
        <v>1.8500000000000001E-3</v>
      </c>
      <c r="F645">
        <v>62889080</v>
      </c>
      <c r="G645">
        <v>0</v>
      </c>
      <c r="L645" t="s">
        <v>7</v>
      </c>
      <c r="M645" t="s">
        <v>8</v>
      </c>
      <c r="N645" t="s">
        <v>8</v>
      </c>
      <c r="P645">
        <f t="shared" si="989"/>
        <v>-0.2045454545454522</v>
      </c>
      <c r="Q645">
        <f t="shared" si="990"/>
        <v>-12863675.454545306</v>
      </c>
      <c r="R645">
        <f t="shared" si="991"/>
        <v>-1692699735.086458</v>
      </c>
      <c r="S645">
        <f t="shared" si="992"/>
        <v>-16926.997350864578</v>
      </c>
      <c r="T645">
        <f t="shared" si="993"/>
        <v>-16.926997350864578</v>
      </c>
    </row>
    <row r="646" spans="1:20" x14ac:dyDescent="0.25">
      <c r="A646" s="5">
        <v>43947</v>
      </c>
      <c r="B646">
        <v>1.817E-3</v>
      </c>
      <c r="C646">
        <v>1.97E-3</v>
      </c>
      <c r="D646">
        <v>1.804E-3</v>
      </c>
      <c r="E646">
        <v>1.869E-3</v>
      </c>
      <c r="F646">
        <v>161546950</v>
      </c>
      <c r="G646">
        <v>0</v>
      </c>
      <c r="L646" t="s">
        <v>8</v>
      </c>
      <c r="M646" t="s">
        <v>8</v>
      </c>
      <c r="N646" t="s">
        <v>8</v>
      </c>
      <c r="P646">
        <f t="shared" ref="P646:P709" si="994">IF(C646=D646,0,((E646-D646)-(C646-E646))/(C646-D646))</f>
        <v>-0.21686746987951824</v>
      </c>
      <c r="Q646">
        <f t="shared" ref="Q646:Q709" si="995">F646*P646</f>
        <v>-35034278.313253038</v>
      </c>
      <c r="R646">
        <f t="shared" ref="R646:R709" si="996">R647+Q646</f>
        <v>-1679836059.6319127</v>
      </c>
      <c r="S646">
        <f t="shared" ref="S646:S709" si="997">R646/100000</f>
        <v>-16798.360596319126</v>
      </c>
      <c r="T646">
        <f t="shared" ref="T646:T709" si="998">S646/1000</f>
        <v>-16.798360596319124</v>
      </c>
    </row>
    <row r="647" spans="1:20" x14ac:dyDescent="0.25">
      <c r="A647" s="5">
        <v>43946</v>
      </c>
      <c r="B647">
        <v>1.7340000000000001E-3</v>
      </c>
      <c r="C647">
        <v>1.818E-3</v>
      </c>
      <c r="D647">
        <v>1.7309999999999999E-3</v>
      </c>
      <c r="E647">
        <v>1.818E-3</v>
      </c>
      <c r="F647">
        <v>12433082</v>
      </c>
      <c r="G647">
        <v>0</v>
      </c>
      <c r="L647" t="s">
        <v>8</v>
      </c>
      <c r="M647" t="s">
        <v>7</v>
      </c>
      <c r="N647" t="s">
        <v>8</v>
      </c>
      <c r="P647">
        <f t="shared" si="994"/>
        <v>1</v>
      </c>
      <c r="Q647">
        <f t="shared" si="995"/>
        <v>12433082</v>
      </c>
      <c r="R647">
        <f t="shared" si="996"/>
        <v>-1644801781.3186598</v>
      </c>
      <c r="S647">
        <f t="shared" si="997"/>
        <v>-16448.017813186598</v>
      </c>
      <c r="T647">
        <f t="shared" si="998"/>
        <v>-16.448017813186599</v>
      </c>
    </row>
    <row r="648" spans="1:20" x14ac:dyDescent="0.25">
      <c r="A648" s="5">
        <v>43945</v>
      </c>
      <c r="B648">
        <v>1.7240000000000001E-3</v>
      </c>
      <c r="C648">
        <v>1.7700000000000001E-3</v>
      </c>
      <c r="D648">
        <v>1.704E-3</v>
      </c>
      <c r="E648">
        <v>1.7409999999999999E-3</v>
      </c>
      <c r="F648">
        <v>8125352</v>
      </c>
      <c r="G648">
        <v>0</v>
      </c>
      <c r="L648" t="s">
        <v>8</v>
      </c>
      <c r="M648" t="s">
        <v>7</v>
      </c>
      <c r="N648" t="s">
        <v>8</v>
      </c>
      <c r="P648">
        <f t="shared" si="994"/>
        <v>0.12121212121211743</v>
      </c>
      <c r="Q648">
        <f t="shared" si="995"/>
        <v>984891.15151512076</v>
      </c>
      <c r="R648">
        <f t="shared" si="996"/>
        <v>-1657234863.3186598</v>
      </c>
      <c r="S648">
        <f t="shared" si="997"/>
        <v>-16572.348633186597</v>
      </c>
      <c r="T648">
        <f t="shared" si="998"/>
        <v>-16.572348633186596</v>
      </c>
    </row>
    <row r="649" spans="1:20" x14ac:dyDescent="0.25">
      <c r="A649" s="5">
        <v>43944</v>
      </c>
      <c r="B649">
        <v>1.7080000000000001E-3</v>
      </c>
      <c r="C649">
        <v>1.7539999999999999E-3</v>
      </c>
      <c r="D649">
        <v>1.6739999999999999E-3</v>
      </c>
      <c r="E649">
        <v>1.72E-3</v>
      </c>
      <c r="F649">
        <v>59248306</v>
      </c>
      <c r="G649">
        <v>0</v>
      </c>
      <c r="L649" t="s">
        <v>8</v>
      </c>
      <c r="M649" t="s">
        <v>7</v>
      </c>
      <c r="N649" t="s">
        <v>8</v>
      </c>
      <c r="P649">
        <f t="shared" si="994"/>
        <v>0.15000000000000094</v>
      </c>
      <c r="Q649">
        <f t="shared" si="995"/>
        <v>8887245.9000000563</v>
      </c>
      <c r="R649">
        <f t="shared" si="996"/>
        <v>-1658219754.4701748</v>
      </c>
      <c r="S649">
        <f t="shared" si="997"/>
        <v>-16582.197544701747</v>
      </c>
      <c r="T649">
        <f t="shared" si="998"/>
        <v>-16.582197544701746</v>
      </c>
    </row>
    <row r="650" spans="1:20" x14ac:dyDescent="0.25">
      <c r="A650" s="5">
        <v>43943</v>
      </c>
      <c r="B650">
        <v>1.629E-3</v>
      </c>
      <c r="C650">
        <v>1.74E-3</v>
      </c>
      <c r="D650">
        <v>1.6149999999999999E-3</v>
      </c>
      <c r="E650">
        <v>1.7060000000000001E-3</v>
      </c>
      <c r="F650">
        <v>21967693</v>
      </c>
      <c r="G650">
        <v>0</v>
      </c>
      <c r="L650" t="s">
        <v>8</v>
      </c>
      <c r="M650" t="s">
        <v>7</v>
      </c>
      <c r="N650" t="s">
        <v>8</v>
      </c>
      <c r="P650">
        <f t="shared" si="994"/>
        <v>0.45600000000000113</v>
      </c>
      <c r="Q650">
        <f t="shared" si="995"/>
        <v>10017268.008000026</v>
      </c>
      <c r="R650">
        <f t="shared" si="996"/>
        <v>-1667107000.3701749</v>
      </c>
      <c r="S650">
        <f t="shared" si="997"/>
        <v>-16671.070003701749</v>
      </c>
      <c r="T650">
        <f t="shared" si="998"/>
        <v>-16.67107000370175</v>
      </c>
    </row>
    <row r="651" spans="1:20" x14ac:dyDescent="0.25">
      <c r="A651" s="5">
        <v>43942</v>
      </c>
      <c r="B651">
        <v>1.645E-3</v>
      </c>
      <c r="C651">
        <v>1.663E-3</v>
      </c>
      <c r="D651">
        <v>1.601E-3</v>
      </c>
      <c r="E651">
        <v>1.632E-3</v>
      </c>
      <c r="F651">
        <v>34665070</v>
      </c>
      <c r="G651">
        <v>0</v>
      </c>
      <c r="L651" t="s">
        <v>7</v>
      </c>
      <c r="M651" t="s">
        <v>7</v>
      </c>
      <c r="N651" t="s">
        <v>8</v>
      </c>
      <c r="P651">
        <f t="shared" si="994"/>
        <v>0</v>
      </c>
      <c r="Q651">
        <f t="shared" si="995"/>
        <v>0</v>
      </c>
      <c r="R651">
        <f t="shared" si="996"/>
        <v>-1677124268.378175</v>
      </c>
      <c r="S651">
        <f t="shared" si="997"/>
        <v>-16771.242683781751</v>
      </c>
      <c r="T651">
        <f t="shared" si="998"/>
        <v>-16.77124268378175</v>
      </c>
    </row>
    <row r="652" spans="1:20" x14ac:dyDescent="0.25">
      <c r="A652" s="5">
        <v>43941</v>
      </c>
      <c r="B652">
        <v>1.658E-3</v>
      </c>
      <c r="C652">
        <v>1.745E-3</v>
      </c>
      <c r="D652">
        <v>1.635E-3</v>
      </c>
      <c r="E652">
        <v>1.6459999999999999E-3</v>
      </c>
      <c r="F652">
        <v>56273269</v>
      </c>
      <c r="G652">
        <v>0</v>
      </c>
      <c r="L652" t="s">
        <v>8</v>
      </c>
      <c r="M652" t="s">
        <v>7</v>
      </c>
      <c r="N652" t="s">
        <v>8</v>
      </c>
      <c r="P652">
        <f t="shared" si="994"/>
        <v>-0.80000000000000115</v>
      </c>
      <c r="Q652">
        <f t="shared" si="995"/>
        <v>-45018615.200000063</v>
      </c>
      <c r="R652">
        <f t="shared" si="996"/>
        <v>-1677124268.378175</v>
      </c>
      <c r="S652">
        <f t="shared" si="997"/>
        <v>-16771.242683781751</v>
      </c>
      <c r="T652">
        <f t="shared" si="998"/>
        <v>-16.77124268378175</v>
      </c>
    </row>
    <row r="653" spans="1:20" x14ac:dyDescent="0.25">
      <c r="A653" s="5">
        <v>43940</v>
      </c>
      <c r="B653">
        <v>1.6869999999999999E-3</v>
      </c>
      <c r="C653">
        <v>1.7049999999999999E-3</v>
      </c>
      <c r="D653">
        <v>1.635E-3</v>
      </c>
      <c r="E653">
        <v>1.639E-3</v>
      </c>
      <c r="F653">
        <v>11794387</v>
      </c>
      <c r="G653">
        <v>0</v>
      </c>
      <c r="L653" t="s">
        <v>8</v>
      </c>
      <c r="M653" t="s">
        <v>7</v>
      </c>
      <c r="N653" t="s">
        <v>8</v>
      </c>
      <c r="P653">
        <f t="shared" si="994"/>
        <v>-0.8857142857142829</v>
      </c>
      <c r="Q653">
        <f t="shared" si="995"/>
        <v>-10446457.057142824</v>
      </c>
      <c r="R653">
        <f t="shared" si="996"/>
        <v>-1632105653.178175</v>
      </c>
      <c r="S653">
        <f t="shared" si="997"/>
        <v>-16321.056531781749</v>
      </c>
      <c r="T653">
        <f t="shared" si="998"/>
        <v>-16.32105653178175</v>
      </c>
    </row>
    <row r="654" spans="1:20" x14ac:dyDescent="0.25">
      <c r="A654" s="5">
        <v>43939</v>
      </c>
      <c r="B654">
        <v>1.632E-3</v>
      </c>
      <c r="C654">
        <v>1.709E-3</v>
      </c>
      <c r="D654">
        <v>1.621E-3</v>
      </c>
      <c r="E654">
        <v>1.6980000000000001E-3</v>
      </c>
      <c r="F654">
        <v>15465983</v>
      </c>
      <c r="G654">
        <v>0</v>
      </c>
      <c r="L654" t="s">
        <v>8</v>
      </c>
      <c r="M654" t="s">
        <v>7</v>
      </c>
      <c r="N654" t="s">
        <v>8</v>
      </c>
      <c r="P654">
        <f t="shared" si="994"/>
        <v>0.75000000000000122</v>
      </c>
      <c r="Q654">
        <f t="shared" si="995"/>
        <v>11599487.250000019</v>
      </c>
      <c r="R654">
        <f t="shared" si="996"/>
        <v>-1621659196.1210322</v>
      </c>
      <c r="S654">
        <f t="shared" si="997"/>
        <v>-16216.591961210323</v>
      </c>
      <c r="T654">
        <f t="shared" si="998"/>
        <v>-16.216591961210323</v>
      </c>
    </row>
    <row r="655" spans="1:20" x14ac:dyDescent="0.25">
      <c r="A655" s="5">
        <v>43938</v>
      </c>
      <c r="B655">
        <v>1.653E-3</v>
      </c>
      <c r="C655">
        <v>1.681E-3</v>
      </c>
      <c r="D655">
        <v>1.621E-3</v>
      </c>
      <c r="E655">
        <v>1.6410000000000001E-3</v>
      </c>
      <c r="F655">
        <v>11319139</v>
      </c>
      <c r="G655">
        <v>0</v>
      </c>
      <c r="L655" t="s">
        <v>8</v>
      </c>
      <c r="M655" t="s">
        <v>7</v>
      </c>
      <c r="N655" t="s">
        <v>8</v>
      </c>
      <c r="P655">
        <f t="shared" si="994"/>
        <v>-0.33333333333333093</v>
      </c>
      <c r="Q655">
        <f t="shared" si="995"/>
        <v>-3773046.333333306</v>
      </c>
      <c r="R655">
        <f t="shared" si="996"/>
        <v>-1633258683.3710322</v>
      </c>
      <c r="S655">
        <f t="shared" si="997"/>
        <v>-16332.586833710322</v>
      </c>
      <c r="T655">
        <f t="shared" si="998"/>
        <v>-16.332586833710323</v>
      </c>
    </row>
    <row r="656" spans="1:20" x14ac:dyDescent="0.25">
      <c r="A656" s="5">
        <v>43937</v>
      </c>
      <c r="B656">
        <v>1.5950000000000001E-3</v>
      </c>
      <c r="C656">
        <v>1.7229999999999999E-3</v>
      </c>
      <c r="D656">
        <v>1.552E-3</v>
      </c>
      <c r="E656">
        <v>1.6689999999999999E-3</v>
      </c>
      <c r="F656">
        <v>34158088</v>
      </c>
      <c r="G656">
        <v>0</v>
      </c>
      <c r="L656" t="s">
        <v>8</v>
      </c>
      <c r="M656" t="s">
        <v>7</v>
      </c>
      <c r="N656" t="s">
        <v>8</v>
      </c>
      <c r="P656">
        <f t="shared" si="994"/>
        <v>0.36842105263157854</v>
      </c>
      <c r="Q656">
        <f t="shared" si="995"/>
        <v>12584558.736842092</v>
      </c>
      <c r="R656">
        <f t="shared" si="996"/>
        <v>-1629485637.037699</v>
      </c>
      <c r="S656">
        <f t="shared" si="997"/>
        <v>-16294.856370376991</v>
      </c>
      <c r="T656">
        <f t="shared" si="998"/>
        <v>-16.294856370376991</v>
      </c>
    </row>
    <row r="657" spans="1:20" x14ac:dyDescent="0.25">
      <c r="A657" s="5">
        <v>43936</v>
      </c>
      <c r="B657">
        <v>1.7110000000000001E-3</v>
      </c>
      <c r="C657">
        <v>1.7160000000000001E-3</v>
      </c>
      <c r="D657">
        <v>1.5709999999999999E-3</v>
      </c>
      <c r="E657">
        <v>1.609E-3</v>
      </c>
      <c r="F657">
        <v>21736836</v>
      </c>
      <c r="G657">
        <v>0</v>
      </c>
      <c r="L657" t="s">
        <v>7</v>
      </c>
      <c r="M657" t="s">
        <v>7</v>
      </c>
      <c r="N657" t="s">
        <v>8</v>
      </c>
      <c r="P657">
        <f t="shared" si="994"/>
        <v>-0.47586206896551708</v>
      </c>
      <c r="Q657">
        <f t="shared" si="995"/>
        <v>-10343735.751724135</v>
      </c>
      <c r="R657">
        <f t="shared" si="996"/>
        <v>-1642070195.7745411</v>
      </c>
      <c r="S657">
        <f t="shared" si="997"/>
        <v>-16420.701957745412</v>
      </c>
      <c r="T657">
        <f t="shared" si="998"/>
        <v>-16.420701957745411</v>
      </c>
    </row>
    <row r="658" spans="1:20" x14ac:dyDescent="0.25">
      <c r="A658" s="5">
        <v>43935</v>
      </c>
      <c r="B658">
        <v>1.671E-3</v>
      </c>
      <c r="C658">
        <v>1.73E-3</v>
      </c>
      <c r="D658">
        <v>1.642E-3</v>
      </c>
      <c r="E658">
        <v>1.727E-3</v>
      </c>
      <c r="F658">
        <v>37584733</v>
      </c>
      <c r="G658">
        <v>0</v>
      </c>
      <c r="L658" t="s">
        <v>7</v>
      </c>
      <c r="M658" t="s">
        <v>7</v>
      </c>
      <c r="N658" t="s">
        <v>8</v>
      </c>
      <c r="P658">
        <f t="shared" si="994"/>
        <v>0.93181818181818266</v>
      </c>
      <c r="Q658">
        <f t="shared" si="995"/>
        <v>35022137.56818185</v>
      </c>
      <c r="R658">
        <f t="shared" si="996"/>
        <v>-1631726460.0228169</v>
      </c>
      <c r="S658">
        <f t="shared" si="997"/>
        <v>-16317.264600228169</v>
      </c>
      <c r="T658">
        <f t="shared" si="998"/>
        <v>-16.317264600228167</v>
      </c>
    </row>
    <row r="659" spans="1:20" x14ac:dyDescent="0.25">
      <c r="A659" s="5">
        <v>43934</v>
      </c>
      <c r="B659">
        <v>1.6800000000000001E-3</v>
      </c>
      <c r="C659">
        <v>1.727E-3</v>
      </c>
      <c r="D659">
        <v>1.6100000000000001E-3</v>
      </c>
      <c r="E659">
        <v>1.668E-3</v>
      </c>
      <c r="F659">
        <v>15071577</v>
      </c>
      <c r="G659">
        <v>0</v>
      </c>
      <c r="L659" t="s">
        <v>7</v>
      </c>
      <c r="M659" t="s">
        <v>7</v>
      </c>
      <c r="N659" t="s">
        <v>8</v>
      </c>
      <c r="P659">
        <f t="shared" si="994"/>
        <v>-8.5470085470096876E-3</v>
      </c>
      <c r="Q659">
        <f t="shared" si="995"/>
        <v>-128816.89743591462</v>
      </c>
      <c r="R659">
        <f t="shared" si="996"/>
        <v>-1666748597.5909986</v>
      </c>
      <c r="S659">
        <f t="shared" si="997"/>
        <v>-16667.485975909985</v>
      </c>
      <c r="T659">
        <f t="shared" si="998"/>
        <v>-16.667485975909987</v>
      </c>
    </row>
    <row r="660" spans="1:20" x14ac:dyDescent="0.25">
      <c r="A660" s="5">
        <v>43933</v>
      </c>
      <c r="B660">
        <v>1.6659999999999999E-3</v>
      </c>
      <c r="C660">
        <v>1.8029999999999999E-3</v>
      </c>
      <c r="D660">
        <v>1.6659999999999999E-3</v>
      </c>
      <c r="E660">
        <v>1.7080000000000001E-3</v>
      </c>
      <c r="F660">
        <v>86361454</v>
      </c>
      <c r="G660">
        <v>0</v>
      </c>
      <c r="L660" t="s">
        <v>8</v>
      </c>
      <c r="M660" t="s">
        <v>7</v>
      </c>
      <c r="N660" t="s">
        <v>8</v>
      </c>
      <c r="P660">
        <f t="shared" si="994"/>
        <v>-0.38686131386861078</v>
      </c>
      <c r="Q660">
        <f t="shared" si="995"/>
        <v>-33409905.562043592</v>
      </c>
      <c r="R660">
        <f t="shared" si="996"/>
        <v>-1666619780.6935627</v>
      </c>
      <c r="S660">
        <f t="shared" si="997"/>
        <v>-16666.197806935626</v>
      </c>
      <c r="T660">
        <f t="shared" si="998"/>
        <v>-16.666197806935628</v>
      </c>
    </row>
    <row r="661" spans="1:20" x14ac:dyDescent="0.25">
      <c r="A661" s="5">
        <v>43932</v>
      </c>
      <c r="B661">
        <v>1.67E-3</v>
      </c>
      <c r="C661">
        <v>1.696E-3</v>
      </c>
      <c r="D661">
        <v>1.64E-3</v>
      </c>
      <c r="E661">
        <v>1.6659999999999999E-3</v>
      </c>
      <c r="F661">
        <v>11945956</v>
      </c>
      <c r="G661">
        <v>0</v>
      </c>
      <c r="L661" t="s">
        <v>7</v>
      </c>
      <c r="M661" t="s">
        <v>7</v>
      </c>
      <c r="N661" t="s">
        <v>8</v>
      </c>
      <c r="P661">
        <f t="shared" si="994"/>
        <v>-7.142857142857309E-2</v>
      </c>
      <c r="Q661">
        <f t="shared" si="995"/>
        <v>-853282.57142859127</v>
      </c>
      <c r="R661">
        <f t="shared" si="996"/>
        <v>-1633209875.1315191</v>
      </c>
      <c r="S661">
        <f t="shared" si="997"/>
        <v>-16332.09875131519</v>
      </c>
      <c r="T661">
        <f t="shared" si="998"/>
        <v>-16.33209875131519</v>
      </c>
    </row>
    <row r="662" spans="1:20" x14ac:dyDescent="0.25">
      <c r="A662" s="5">
        <v>43931</v>
      </c>
      <c r="B662">
        <v>1.8240000000000001E-3</v>
      </c>
      <c r="C662">
        <v>1.838E-3</v>
      </c>
      <c r="D662">
        <v>1.65E-3</v>
      </c>
      <c r="E662">
        <v>1.67E-3</v>
      </c>
      <c r="F662">
        <v>13645719</v>
      </c>
      <c r="G662">
        <v>0</v>
      </c>
      <c r="L662" t="s">
        <v>7</v>
      </c>
      <c r="M662" t="s">
        <v>7</v>
      </c>
      <c r="N662" t="s">
        <v>8</v>
      </c>
      <c r="P662">
        <f t="shared" si="994"/>
        <v>-0.78723404255319096</v>
      </c>
      <c r="Q662">
        <f t="shared" si="995"/>
        <v>-10742374.531914886</v>
      </c>
      <c r="R662">
        <f t="shared" si="996"/>
        <v>-1632356592.5600905</v>
      </c>
      <c r="S662">
        <f t="shared" si="997"/>
        <v>-16323.565925600906</v>
      </c>
      <c r="T662">
        <f t="shared" si="998"/>
        <v>-16.323565925600906</v>
      </c>
    </row>
    <row r="663" spans="1:20" x14ac:dyDescent="0.25">
      <c r="A663" s="5">
        <v>43930</v>
      </c>
      <c r="B663">
        <v>1.8450000000000001E-3</v>
      </c>
      <c r="C663">
        <v>1.8500000000000001E-3</v>
      </c>
      <c r="D663">
        <v>1.7910000000000001E-3</v>
      </c>
      <c r="E663">
        <v>1.828E-3</v>
      </c>
      <c r="F663">
        <v>18681907</v>
      </c>
      <c r="G663">
        <v>0</v>
      </c>
      <c r="L663" t="s">
        <v>7</v>
      </c>
      <c r="M663" t="s">
        <v>8</v>
      </c>
      <c r="N663" t="s">
        <v>8</v>
      </c>
      <c r="P663">
        <f t="shared" si="994"/>
        <v>0.2542372881355901</v>
      </c>
      <c r="Q663">
        <f t="shared" si="995"/>
        <v>4749637.372881298</v>
      </c>
      <c r="R663">
        <f t="shared" si="996"/>
        <v>-1621614218.0281756</v>
      </c>
      <c r="S663">
        <f t="shared" si="997"/>
        <v>-16216.142180281757</v>
      </c>
      <c r="T663">
        <f t="shared" si="998"/>
        <v>-16.216142180281757</v>
      </c>
    </row>
    <row r="664" spans="1:20" x14ac:dyDescent="0.25">
      <c r="A664" s="5">
        <v>43929</v>
      </c>
      <c r="B664">
        <v>1.804E-3</v>
      </c>
      <c r="C664">
        <v>1.8469999999999999E-3</v>
      </c>
      <c r="D664">
        <v>1.774E-3</v>
      </c>
      <c r="E664">
        <v>1.843E-3</v>
      </c>
      <c r="F664">
        <v>26328694</v>
      </c>
      <c r="G664">
        <v>0</v>
      </c>
      <c r="L664" t="s">
        <v>7</v>
      </c>
      <c r="M664" t="s">
        <v>8</v>
      </c>
      <c r="N664" t="s">
        <v>8</v>
      </c>
      <c r="P664">
        <f t="shared" si="994"/>
        <v>0.89041095890411281</v>
      </c>
      <c r="Q664">
        <f t="shared" si="995"/>
        <v>23443357.671232961</v>
      </c>
      <c r="R664">
        <f t="shared" si="996"/>
        <v>-1626363855.401057</v>
      </c>
      <c r="S664">
        <f t="shared" si="997"/>
        <v>-16263.638554010569</v>
      </c>
      <c r="T664">
        <f t="shared" si="998"/>
        <v>-16.263638554010569</v>
      </c>
    </row>
    <row r="665" spans="1:20" x14ac:dyDescent="0.25">
      <c r="A665" s="5">
        <v>43928</v>
      </c>
      <c r="B665">
        <v>1.861E-3</v>
      </c>
      <c r="C665">
        <v>1.9780000000000002E-3</v>
      </c>
      <c r="D665">
        <v>1.7570000000000001E-3</v>
      </c>
      <c r="E665">
        <v>1.7930000000000001E-3</v>
      </c>
      <c r="F665">
        <v>94838431</v>
      </c>
      <c r="G665">
        <v>0</v>
      </c>
      <c r="L665" t="s">
        <v>8</v>
      </c>
      <c r="M665" t="s">
        <v>8</v>
      </c>
      <c r="N665" t="s">
        <v>8</v>
      </c>
      <c r="P665">
        <f t="shared" si="994"/>
        <v>-0.67420814479638014</v>
      </c>
      <c r="Q665">
        <f t="shared" si="995"/>
        <v>-63940842.61990951</v>
      </c>
      <c r="R665">
        <f t="shared" si="996"/>
        <v>-1649807213.0722899</v>
      </c>
      <c r="S665">
        <f t="shared" si="997"/>
        <v>-16498.0721307229</v>
      </c>
      <c r="T665">
        <f t="shared" si="998"/>
        <v>-16.4980721307229</v>
      </c>
    </row>
    <row r="666" spans="1:20" x14ac:dyDescent="0.25">
      <c r="A666" s="5">
        <v>43927</v>
      </c>
      <c r="B666">
        <v>1.72E-3</v>
      </c>
      <c r="C666">
        <v>1.864E-3</v>
      </c>
      <c r="D666">
        <v>1.72E-3</v>
      </c>
      <c r="E666">
        <v>1.8500000000000001E-3</v>
      </c>
      <c r="F666">
        <v>51277643</v>
      </c>
      <c r="G666">
        <v>0</v>
      </c>
      <c r="L666" t="s">
        <v>8</v>
      </c>
      <c r="M666" t="s">
        <v>8</v>
      </c>
      <c r="N666" t="s">
        <v>8</v>
      </c>
      <c r="P666">
        <f t="shared" si="994"/>
        <v>0.80555555555555691</v>
      </c>
      <c r="Q666">
        <f t="shared" si="995"/>
        <v>41306990.194444515</v>
      </c>
      <c r="R666">
        <f t="shared" si="996"/>
        <v>-1585866370.4523804</v>
      </c>
      <c r="S666">
        <f t="shared" si="997"/>
        <v>-15858.663704523804</v>
      </c>
      <c r="T666">
        <f t="shared" si="998"/>
        <v>-15.858663704523805</v>
      </c>
    </row>
    <row r="667" spans="1:20" x14ac:dyDescent="0.25">
      <c r="A667" s="5">
        <v>43926</v>
      </c>
      <c r="B667">
        <v>1.735E-3</v>
      </c>
      <c r="C667">
        <v>1.7489999999999999E-3</v>
      </c>
      <c r="D667">
        <v>1.7099999999999999E-3</v>
      </c>
      <c r="E667">
        <v>1.7149999999999999E-3</v>
      </c>
      <c r="F667">
        <v>16212435</v>
      </c>
      <c r="G667">
        <v>0</v>
      </c>
      <c r="L667" t="s">
        <v>7</v>
      </c>
      <c r="M667" t="s">
        <v>7</v>
      </c>
      <c r="N667" t="s">
        <v>8</v>
      </c>
      <c r="P667">
        <f t="shared" si="994"/>
        <v>-0.74358974358974272</v>
      </c>
      <c r="Q667">
        <f t="shared" si="995"/>
        <v>-12055400.384615371</v>
      </c>
      <c r="R667">
        <f t="shared" si="996"/>
        <v>-1627173360.6468248</v>
      </c>
      <c r="S667">
        <f t="shared" si="997"/>
        <v>-16271.733606468248</v>
      </c>
      <c r="T667">
        <f t="shared" si="998"/>
        <v>-16.271733606468249</v>
      </c>
    </row>
    <row r="668" spans="1:20" x14ac:dyDescent="0.25">
      <c r="A668" s="5">
        <v>43925</v>
      </c>
      <c r="B668">
        <v>1.7290000000000001E-3</v>
      </c>
      <c r="C668">
        <v>1.7489999999999999E-3</v>
      </c>
      <c r="D668">
        <v>1.686E-3</v>
      </c>
      <c r="E668">
        <v>1.737E-3</v>
      </c>
      <c r="F668">
        <v>9174638</v>
      </c>
      <c r="G668">
        <v>0</v>
      </c>
      <c r="L668" t="s">
        <v>7</v>
      </c>
      <c r="M668" t="s">
        <v>7</v>
      </c>
      <c r="N668" t="s">
        <v>8</v>
      </c>
      <c r="P668">
        <f t="shared" si="994"/>
        <v>0.61904761904762295</v>
      </c>
      <c r="Q668">
        <f t="shared" si="995"/>
        <v>5679537.8095238451</v>
      </c>
      <c r="R668">
        <f t="shared" si="996"/>
        <v>-1615117960.2622094</v>
      </c>
      <c r="S668">
        <f t="shared" si="997"/>
        <v>-16151.179602622095</v>
      </c>
      <c r="T668">
        <f t="shared" si="998"/>
        <v>-16.151179602622094</v>
      </c>
    </row>
    <row r="669" spans="1:20" x14ac:dyDescent="0.25">
      <c r="A669" s="5">
        <v>43924</v>
      </c>
      <c r="B669">
        <v>1.74E-3</v>
      </c>
      <c r="C669">
        <v>1.818E-3</v>
      </c>
      <c r="D669">
        <v>1.6969999999999999E-3</v>
      </c>
      <c r="E669">
        <v>1.727E-3</v>
      </c>
      <c r="F669">
        <v>60578140</v>
      </c>
      <c r="G669">
        <v>0</v>
      </c>
      <c r="L669" t="s">
        <v>8</v>
      </c>
      <c r="M669" t="s">
        <v>7</v>
      </c>
      <c r="N669" t="s">
        <v>8</v>
      </c>
      <c r="P669">
        <f t="shared" si="994"/>
        <v>-0.50413223140495744</v>
      </c>
      <c r="Q669">
        <f t="shared" si="995"/>
        <v>-30539392.892561909</v>
      </c>
      <c r="R669">
        <f t="shared" si="996"/>
        <v>-1620797498.0717332</v>
      </c>
      <c r="S669">
        <f t="shared" si="997"/>
        <v>-16207.974980717332</v>
      </c>
      <c r="T669">
        <f t="shared" si="998"/>
        <v>-16.207974980717331</v>
      </c>
    </row>
    <row r="670" spans="1:20" x14ac:dyDescent="0.25">
      <c r="A670" s="5">
        <v>43923</v>
      </c>
      <c r="B670">
        <v>1.7409999999999999E-3</v>
      </c>
      <c r="C670">
        <v>1.7600000000000001E-3</v>
      </c>
      <c r="D670">
        <v>1.673E-3</v>
      </c>
      <c r="E670">
        <v>1.7420000000000001E-3</v>
      </c>
      <c r="F670">
        <v>27112078</v>
      </c>
      <c r="G670">
        <v>0</v>
      </c>
      <c r="L670" t="s">
        <v>8</v>
      </c>
      <c r="M670" t="s">
        <v>7</v>
      </c>
      <c r="N670" t="s">
        <v>8</v>
      </c>
      <c r="P670">
        <f t="shared" si="994"/>
        <v>0.58620689655172431</v>
      </c>
      <c r="Q670">
        <f t="shared" si="995"/>
        <v>15893287.103448281</v>
      </c>
      <c r="R670">
        <f t="shared" si="996"/>
        <v>-1590258105.1791713</v>
      </c>
      <c r="S670">
        <f t="shared" si="997"/>
        <v>-15902.581051791713</v>
      </c>
      <c r="T670">
        <f t="shared" si="998"/>
        <v>-15.902581051791712</v>
      </c>
    </row>
    <row r="671" spans="1:20" x14ac:dyDescent="0.25">
      <c r="A671" s="5">
        <v>43922</v>
      </c>
      <c r="B671">
        <v>1.738E-3</v>
      </c>
      <c r="C671">
        <v>1.748E-3</v>
      </c>
      <c r="D671">
        <v>1.609E-3</v>
      </c>
      <c r="E671">
        <v>1.74E-3</v>
      </c>
      <c r="F671">
        <v>24431884</v>
      </c>
      <c r="G671">
        <v>0</v>
      </c>
      <c r="L671" t="s">
        <v>7</v>
      </c>
      <c r="M671" t="s">
        <v>7</v>
      </c>
      <c r="N671" t="s">
        <v>8</v>
      </c>
      <c r="P671">
        <f t="shared" si="994"/>
        <v>0.88489208633093563</v>
      </c>
      <c r="Q671">
        <f t="shared" si="995"/>
        <v>21619580.805755407</v>
      </c>
      <c r="R671">
        <f t="shared" si="996"/>
        <v>-1606151392.2826197</v>
      </c>
      <c r="S671">
        <f t="shared" si="997"/>
        <v>-16061.513922826198</v>
      </c>
      <c r="T671">
        <f t="shared" si="998"/>
        <v>-16.061513922826197</v>
      </c>
    </row>
    <row r="672" spans="1:20" x14ac:dyDescent="0.25">
      <c r="A672" s="5">
        <v>43921</v>
      </c>
      <c r="B672">
        <v>1.699E-3</v>
      </c>
      <c r="C672">
        <v>1.786E-3</v>
      </c>
      <c r="D672">
        <v>1.6620000000000001E-3</v>
      </c>
      <c r="E672">
        <v>1.7340000000000001E-3</v>
      </c>
      <c r="F672">
        <v>59865963</v>
      </c>
      <c r="G672">
        <v>0</v>
      </c>
      <c r="L672" t="s">
        <v>8</v>
      </c>
      <c r="M672" t="s">
        <v>7</v>
      </c>
      <c r="N672" t="s">
        <v>8</v>
      </c>
      <c r="P672">
        <f t="shared" si="994"/>
        <v>0.1612903225806456</v>
      </c>
      <c r="Q672">
        <f t="shared" si="995"/>
        <v>9655800.4838709943</v>
      </c>
      <c r="R672">
        <f t="shared" si="996"/>
        <v>-1627770973.0883751</v>
      </c>
      <c r="S672">
        <f t="shared" si="997"/>
        <v>-16277.709730883751</v>
      </c>
      <c r="T672">
        <f t="shared" si="998"/>
        <v>-16.27770973088375</v>
      </c>
    </row>
    <row r="673" spans="1:20" x14ac:dyDescent="0.25">
      <c r="A673" s="5">
        <v>43920</v>
      </c>
      <c r="B673">
        <v>1.5950000000000001E-3</v>
      </c>
      <c r="C673">
        <v>1.7290000000000001E-3</v>
      </c>
      <c r="D673">
        <v>1.5820000000000001E-3</v>
      </c>
      <c r="E673">
        <v>1.6969999999999999E-3</v>
      </c>
      <c r="F673">
        <v>34044254</v>
      </c>
      <c r="G673">
        <v>0</v>
      </c>
      <c r="L673" t="s">
        <v>7</v>
      </c>
      <c r="M673" t="s">
        <v>7</v>
      </c>
      <c r="N673" t="s">
        <v>8</v>
      </c>
      <c r="P673">
        <f t="shared" si="994"/>
        <v>0.56462585034013435</v>
      </c>
      <c r="Q673">
        <f t="shared" si="995"/>
        <v>19222265.863945521</v>
      </c>
      <c r="R673">
        <f t="shared" si="996"/>
        <v>-1637426773.5722461</v>
      </c>
      <c r="S673">
        <f t="shared" si="997"/>
        <v>-16374.26773572246</v>
      </c>
      <c r="T673">
        <f t="shared" si="998"/>
        <v>-16.374267735722459</v>
      </c>
    </row>
    <row r="674" spans="1:20" x14ac:dyDescent="0.25">
      <c r="A674" s="5">
        <v>43919</v>
      </c>
      <c r="B674">
        <v>1.6949999999999999E-3</v>
      </c>
      <c r="C674">
        <v>1.717E-3</v>
      </c>
      <c r="D674">
        <v>1.578E-3</v>
      </c>
      <c r="E674">
        <v>1.578E-3</v>
      </c>
      <c r="F674">
        <v>19467066</v>
      </c>
      <c r="G674">
        <v>0</v>
      </c>
      <c r="L674" t="s">
        <v>8</v>
      </c>
      <c r="M674" t="s">
        <v>7</v>
      </c>
      <c r="N674" t="s">
        <v>8</v>
      </c>
      <c r="P674">
        <f t="shared" si="994"/>
        <v>-1</v>
      </c>
      <c r="Q674">
        <f t="shared" si="995"/>
        <v>-19467066</v>
      </c>
      <c r="R674">
        <f t="shared" si="996"/>
        <v>-1656649039.4361916</v>
      </c>
      <c r="S674">
        <f t="shared" si="997"/>
        <v>-16566.490394361914</v>
      </c>
      <c r="T674">
        <f t="shared" si="998"/>
        <v>-16.566490394361914</v>
      </c>
    </row>
    <row r="675" spans="1:20" x14ac:dyDescent="0.25">
      <c r="A675" s="5">
        <v>43918</v>
      </c>
      <c r="B675">
        <v>1.6670000000000001E-3</v>
      </c>
      <c r="C675">
        <v>1.7420000000000001E-3</v>
      </c>
      <c r="D675">
        <v>1.5989999999999999E-3</v>
      </c>
      <c r="E675">
        <v>1.6969999999999999E-3</v>
      </c>
      <c r="F675">
        <v>23652255</v>
      </c>
      <c r="G675">
        <v>0</v>
      </c>
      <c r="L675" t="s">
        <v>7</v>
      </c>
      <c r="M675" t="s">
        <v>8</v>
      </c>
      <c r="N675" t="s">
        <v>8</v>
      </c>
      <c r="P675">
        <f t="shared" si="994"/>
        <v>0.37062937062936946</v>
      </c>
      <c r="Q675">
        <f t="shared" si="995"/>
        <v>8766220.3846153561</v>
      </c>
      <c r="R675">
        <f t="shared" si="996"/>
        <v>-1637181973.4361916</v>
      </c>
      <c r="S675">
        <f t="shared" si="997"/>
        <v>-16371.819734361916</v>
      </c>
      <c r="T675">
        <f t="shared" si="998"/>
        <v>-16.371819734361917</v>
      </c>
    </row>
    <row r="676" spans="1:20" x14ac:dyDescent="0.25">
      <c r="A676" s="5">
        <v>43917</v>
      </c>
      <c r="B676">
        <v>1.7229999999999999E-3</v>
      </c>
      <c r="C676">
        <v>1.859E-3</v>
      </c>
      <c r="D676">
        <v>1.6609999999999999E-3</v>
      </c>
      <c r="E676">
        <v>1.696E-3</v>
      </c>
      <c r="F676">
        <v>110086747</v>
      </c>
      <c r="G676">
        <v>0</v>
      </c>
      <c r="L676" t="s">
        <v>8</v>
      </c>
      <c r="M676" t="s">
        <v>8</v>
      </c>
      <c r="N676" t="s">
        <v>8</v>
      </c>
      <c r="P676">
        <f t="shared" si="994"/>
        <v>-0.64646464646464563</v>
      </c>
      <c r="Q676">
        <f t="shared" si="995"/>
        <v>-71167189.979797885</v>
      </c>
      <c r="R676">
        <f t="shared" si="996"/>
        <v>-1645948193.820807</v>
      </c>
      <c r="S676">
        <f t="shared" si="997"/>
        <v>-16459.481938208071</v>
      </c>
      <c r="T676">
        <f t="shared" si="998"/>
        <v>-16.459481938208071</v>
      </c>
    </row>
    <row r="677" spans="1:20" x14ac:dyDescent="0.25">
      <c r="A677" s="5">
        <v>43916</v>
      </c>
      <c r="B677">
        <v>1.6639999999999999E-3</v>
      </c>
      <c r="C677">
        <v>1.7799999999999999E-3</v>
      </c>
      <c r="D677">
        <v>1.596E-3</v>
      </c>
      <c r="E677">
        <v>1.725E-3</v>
      </c>
      <c r="F677">
        <v>39523793</v>
      </c>
      <c r="G677">
        <v>0</v>
      </c>
      <c r="L677" t="s">
        <v>8</v>
      </c>
      <c r="M677" t="s">
        <v>8</v>
      </c>
      <c r="N677" t="s">
        <v>8</v>
      </c>
      <c r="P677">
        <f t="shared" si="994"/>
        <v>0.40217391304347877</v>
      </c>
      <c r="Q677">
        <f t="shared" si="995"/>
        <v>15895438.489130454</v>
      </c>
      <c r="R677">
        <f t="shared" si="996"/>
        <v>-1574781003.8410091</v>
      </c>
      <c r="S677">
        <f t="shared" si="997"/>
        <v>-15747.810038410091</v>
      </c>
      <c r="T677">
        <f t="shared" si="998"/>
        <v>-15.747810038410091</v>
      </c>
    </row>
    <row r="678" spans="1:20" x14ac:dyDescent="0.25">
      <c r="A678" s="5">
        <v>43915</v>
      </c>
      <c r="B678">
        <v>1.668E-3</v>
      </c>
      <c r="C678">
        <v>1.7080000000000001E-3</v>
      </c>
      <c r="D678">
        <v>1.5770000000000001E-3</v>
      </c>
      <c r="E678">
        <v>1.6509999999999999E-3</v>
      </c>
      <c r="F678">
        <v>36273397</v>
      </c>
      <c r="G678">
        <v>0</v>
      </c>
      <c r="L678" t="s">
        <v>7</v>
      </c>
      <c r="M678" t="s">
        <v>7</v>
      </c>
      <c r="N678" t="s">
        <v>8</v>
      </c>
      <c r="P678">
        <f t="shared" si="994"/>
        <v>0.12977099236640954</v>
      </c>
      <c r="Q678">
        <f t="shared" si="995"/>
        <v>4707234.7251907429</v>
      </c>
      <c r="R678">
        <f t="shared" si="996"/>
        <v>-1590676442.3301396</v>
      </c>
      <c r="S678">
        <f t="shared" si="997"/>
        <v>-15906.764423301396</v>
      </c>
      <c r="T678">
        <f t="shared" si="998"/>
        <v>-15.906764423301397</v>
      </c>
    </row>
    <row r="679" spans="1:20" x14ac:dyDescent="0.25">
      <c r="A679" s="5">
        <v>43914</v>
      </c>
      <c r="B679">
        <v>1.6900000000000001E-3</v>
      </c>
      <c r="C679">
        <v>1.7099999999999999E-3</v>
      </c>
      <c r="D679">
        <v>1.588E-3</v>
      </c>
      <c r="E679">
        <v>1.6570000000000001E-3</v>
      </c>
      <c r="F679">
        <v>26646005</v>
      </c>
      <c r="G679">
        <v>0</v>
      </c>
      <c r="L679" t="s">
        <v>8</v>
      </c>
      <c r="M679" t="s">
        <v>7</v>
      </c>
      <c r="N679" t="s">
        <v>8</v>
      </c>
      <c r="P679">
        <f t="shared" si="994"/>
        <v>0.13114754098360804</v>
      </c>
      <c r="Q679">
        <f t="shared" si="995"/>
        <v>3494558.0327869249</v>
      </c>
      <c r="R679">
        <f t="shared" si="996"/>
        <v>-1595383677.0553303</v>
      </c>
      <c r="S679">
        <f t="shared" si="997"/>
        <v>-15953.836770553302</v>
      </c>
      <c r="T679">
        <f t="shared" si="998"/>
        <v>-15.953836770553302</v>
      </c>
    </row>
    <row r="680" spans="1:20" x14ac:dyDescent="0.25">
      <c r="A680" s="5">
        <v>43913</v>
      </c>
      <c r="B680">
        <v>1.565E-3</v>
      </c>
      <c r="C680">
        <v>1.7080000000000001E-3</v>
      </c>
      <c r="D680">
        <v>1.506E-3</v>
      </c>
      <c r="E680">
        <v>1.6900000000000001E-3</v>
      </c>
      <c r="F680">
        <v>32029364</v>
      </c>
      <c r="G680">
        <v>0</v>
      </c>
      <c r="L680" t="s">
        <v>7</v>
      </c>
      <c r="M680" t="s">
        <v>7</v>
      </c>
      <c r="N680" t="s">
        <v>8</v>
      </c>
      <c r="P680">
        <f t="shared" si="994"/>
        <v>0.82178217821782185</v>
      </c>
      <c r="Q680">
        <f t="shared" si="995"/>
        <v>26321160.514851488</v>
      </c>
      <c r="R680">
        <f t="shared" si="996"/>
        <v>-1598878235.0881171</v>
      </c>
      <c r="S680">
        <f t="shared" si="997"/>
        <v>-15988.782350881171</v>
      </c>
      <c r="T680">
        <f t="shared" si="998"/>
        <v>-15.98878235088117</v>
      </c>
    </row>
    <row r="681" spans="1:20" x14ac:dyDescent="0.25">
      <c r="A681" s="5">
        <v>43912</v>
      </c>
      <c r="B681">
        <v>1.751E-3</v>
      </c>
      <c r="C681">
        <v>1.8140000000000001E-3</v>
      </c>
      <c r="D681">
        <v>1.5679999999999999E-3</v>
      </c>
      <c r="E681">
        <v>1.5870000000000001E-3</v>
      </c>
      <c r="F681">
        <v>49648018</v>
      </c>
      <c r="G681">
        <v>0</v>
      </c>
      <c r="L681" t="s">
        <v>7</v>
      </c>
      <c r="M681" t="s">
        <v>7</v>
      </c>
      <c r="N681" t="s">
        <v>8</v>
      </c>
      <c r="P681">
        <f t="shared" si="994"/>
        <v>-0.84552845528455178</v>
      </c>
      <c r="Q681">
        <f t="shared" si="995"/>
        <v>-41978811.967479624</v>
      </c>
      <c r="R681">
        <f t="shared" si="996"/>
        <v>-1625199395.6029687</v>
      </c>
      <c r="S681">
        <f t="shared" si="997"/>
        <v>-16251.993956029686</v>
      </c>
      <c r="T681">
        <f t="shared" si="998"/>
        <v>-16.251993956029686</v>
      </c>
    </row>
    <row r="682" spans="1:20" x14ac:dyDescent="0.25">
      <c r="A682" s="5">
        <v>43911</v>
      </c>
      <c r="B682">
        <v>1.7899999999999999E-3</v>
      </c>
      <c r="C682">
        <v>1.897E-3</v>
      </c>
      <c r="D682">
        <v>1.658E-3</v>
      </c>
      <c r="E682">
        <v>1.7459999999999999E-3</v>
      </c>
      <c r="F682">
        <v>26513747</v>
      </c>
      <c r="G682">
        <v>0</v>
      </c>
      <c r="L682" t="s">
        <v>8</v>
      </c>
      <c r="M682" t="s">
        <v>8</v>
      </c>
      <c r="N682" t="s">
        <v>8</v>
      </c>
      <c r="P682">
        <f t="shared" si="994"/>
        <v>-0.2635983263598331</v>
      </c>
      <c r="Q682">
        <f t="shared" si="995"/>
        <v>-6988979.3347280454</v>
      </c>
      <c r="R682">
        <f t="shared" si="996"/>
        <v>-1583220583.635489</v>
      </c>
      <c r="S682">
        <f t="shared" si="997"/>
        <v>-15832.205836354889</v>
      </c>
      <c r="T682">
        <f t="shared" si="998"/>
        <v>-15.832205836354889</v>
      </c>
    </row>
    <row r="683" spans="1:20" x14ac:dyDescent="0.25">
      <c r="A683" s="5">
        <v>43910</v>
      </c>
      <c r="B683">
        <v>1.6999999999999999E-3</v>
      </c>
      <c r="C683">
        <v>1.8519999999999999E-3</v>
      </c>
      <c r="D683">
        <v>1.593E-3</v>
      </c>
      <c r="E683">
        <v>1.8E-3</v>
      </c>
      <c r="F683">
        <v>68104664</v>
      </c>
      <c r="G683">
        <v>0</v>
      </c>
      <c r="L683" t="s">
        <v>8</v>
      </c>
      <c r="M683" t="s">
        <v>8</v>
      </c>
      <c r="N683" t="s">
        <v>8</v>
      </c>
      <c r="P683">
        <f t="shared" si="994"/>
        <v>0.59845559845559859</v>
      </c>
      <c r="Q683">
        <f t="shared" si="995"/>
        <v>40757617.451737463</v>
      </c>
      <c r="R683">
        <f t="shared" si="996"/>
        <v>-1576231604.300761</v>
      </c>
      <c r="S683">
        <f t="shared" si="997"/>
        <v>-15762.31604300761</v>
      </c>
      <c r="T683">
        <f t="shared" si="998"/>
        <v>-15.76231604300761</v>
      </c>
    </row>
    <row r="684" spans="1:20" x14ac:dyDescent="0.25">
      <c r="A684" s="5">
        <v>43909</v>
      </c>
      <c r="B684">
        <v>1.4809999999999999E-3</v>
      </c>
      <c r="C684">
        <v>1.7799999999999999E-3</v>
      </c>
      <c r="D684">
        <v>1.467E-3</v>
      </c>
      <c r="E684">
        <v>1.7179999999999999E-3</v>
      </c>
      <c r="F684">
        <v>62806514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0.60383386581469645</v>
      </c>
      <c r="Q684">
        <f t="shared" si="995"/>
        <v>37924700.146964855</v>
      </c>
      <c r="R684">
        <f t="shared" si="996"/>
        <v>-1616989221.7524984</v>
      </c>
      <c r="S684">
        <f t="shared" si="997"/>
        <v>-16169.892217524985</v>
      </c>
      <c r="T684">
        <f t="shared" si="998"/>
        <v>-16.169892217524986</v>
      </c>
    </row>
    <row r="685" spans="1:20" x14ac:dyDescent="0.25">
      <c r="A685" s="5">
        <v>43908</v>
      </c>
      <c r="B685">
        <v>1.5410000000000001E-3</v>
      </c>
      <c r="C685">
        <v>1.5889999999999999E-3</v>
      </c>
      <c r="D685">
        <v>1.3929999999999999E-3</v>
      </c>
      <c r="E685">
        <v>1.4760000000000001E-3</v>
      </c>
      <c r="F685">
        <v>23497490</v>
      </c>
      <c r="G685">
        <v>0</v>
      </c>
      <c r="L685" t="s">
        <v>7</v>
      </c>
      <c r="M685" t="s">
        <v>8</v>
      </c>
      <c r="N685" t="s">
        <v>8</v>
      </c>
      <c r="P685">
        <f t="shared" si="994"/>
        <v>-0.15306122448979412</v>
      </c>
      <c r="Q685">
        <f t="shared" si="995"/>
        <v>-3596554.5918366923</v>
      </c>
      <c r="R685">
        <f t="shared" si="996"/>
        <v>-1654913921.8994632</v>
      </c>
      <c r="S685">
        <f t="shared" si="997"/>
        <v>-16549.139218994631</v>
      </c>
      <c r="T685">
        <f t="shared" si="998"/>
        <v>-16.549139218994632</v>
      </c>
    </row>
    <row r="686" spans="1:20" x14ac:dyDescent="0.25">
      <c r="A686" s="5">
        <v>43907</v>
      </c>
      <c r="B686">
        <v>1.508E-3</v>
      </c>
      <c r="C686">
        <v>1.635E-3</v>
      </c>
      <c r="D686">
        <v>1.4649999999999999E-3</v>
      </c>
      <c r="E686">
        <v>1.5410000000000001E-3</v>
      </c>
      <c r="F686">
        <v>48895466</v>
      </c>
      <c r="G686">
        <v>0</v>
      </c>
      <c r="L686" t="s">
        <v>8</v>
      </c>
      <c r="M686" t="s">
        <v>8</v>
      </c>
      <c r="N686" t="s">
        <v>8</v>
      </c>
      <c r="P686">
        <f t="shared" si="994"/>
        <v>-0.10588235294117521</v>
      </c>
      <c r="Q686">
        <f t="shared" si="995"/>
        <v>-5177166.9882352324</v>
      </c>
      <c r="R686">
        <f t="shared" si="996"/>
        <v>-1651317367.3076265</v>
      </c>
      <c r="S686">
        <f t="shared" si="997"/>
        <v>-16513.173673076264</v>
      </c>
      <c r="T686">
        <f t="shared" si="998"/>
        <v>-16.513173673076263</v>
      </c>
    </row>
    <row r="687" spans="1:20" x14ac:dyDescent="0.25">
      <c r="A687" s="5">
        <v>43906</v>
      </c>
      <c r="B687">
        <v>1.6260000000000001E-3</v>
      </c>
      <c r="C687">
        <v>1.689E-3</v>
      </c>
      <c r="D687">
        <v>1.2689999999999999E-3</v>
      </c>
      <c r="E687">
        <v>1.5009999999999999E-3</v>
      </c>
      <c r="F687">
        <v>49410759</v>
      </c>
      <c r="G687">
        <v>0</v>
      </c>
      <c r="L687" t="s">
        <v>7</v>
      </c>
      <c r="M687" t="s">
        <v>7</v>
      </c>
      <c r="N687" t="s">
        <v>8</v>
      </c>
      <c r="P687">
        <f t="shared" si="994"/>
        <v>0.10476190476190472</v>
      </c>
      <c r="Q687">
        <f t="shared" si="995"/>
        <v>5176365.2285714271</v>
      </c>
      <c r="R687">
        <f t="shared" si="996"/>
        <v>-1646140200.3193913</v>
      </c>
      <c r="S687">
        <f t="shared" si="997"/>
        <v>-16461.402003193911</v>
      </c>
      <c r="T687">
        <f t="shared" si="998"/>
        <v>-16.461402003193911</v>
      </c>
    </row>
    <row r="688" spans="1:20" x14ac:dyDescent="0.25">
      <c r="A688" s="5">
        <v>43905</v>
      </c>
      <c r="B688">
        <v>1.5280000000000001E-3</v>
      </c>
      <c r="C688">
        <v>1.825E-3</v>
      </c>
      <c r="D688">
        <v>1.487E-3</v>
      </c>
      <c r="E688">
        <v>1.6260000000000001E-3</v>
      </c>
      <c r="F688">
        <v>75932705</v>
      </c>
      <c r="G688">
        <v>0</v>
      </c>
      <c r="L688" t="s">
        <v>8</v>
      </c>
      <c r="M688" t="s">
        <v>8</v>
      </c>
      <c r="N688" t="s">
        <v>8</v>
      </c>
      <c r="P688">
        <f t="shared" si="994"/>
        <v>-0.17751479289940811</v>
      </c>
      <c r="Q688">
        <f t="shared" si="995"/>
        <v>-13479178.402366851</v>
      </c>
      <c r="R688">
        <f t="shared" si="996"/>
        <v>-1651316565.5479627</v>
      </c>
      <c r="S688">
        <f t="shared" si="997"/>
        <v>-16513.165655479628</v>
      </c>
      <c r="T688">
        <f t="shared" si="998"/>
        <v>-16.513165655479629</v>
      </c>
    </row>
    <row r="689" spans="1:20" x14ac:dyDescent="0.25">
      <c r="A689" s="5">
        <v>43904</v>
      </c>
      <c r="B689">
        <v>1.371E-3</v>
      </c>
      <c r="C689">
        <v>1.6000000000000001E-3</v>
      </c>
      <c r="D689">
        <v>1.284E-3</v>
      </c>
      <c r="E689">
        <v>1.48E-3</v>
      </c>
      <c r="F689">
        <v>45778864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0.24050632911392364</v>
      </c>
      <c r="Q689">
        <f t="shared" si="995"/>
        <v>11010106.531645551</v>
      </c>
      <c r="R689">
        <f t="shared" si="996"/>
        <v>-1637837387.1455958</v>
      </c>
      <c r="S689">
        <f t="shared" si="997"/>
        <v>-16378.373871455959</v>
      </c>
      <c r="T689">
        <f t="shared" si="998"/>
        <v>-16.37837387145596</v>
      </c>
    </row>
    <row r="690" spans="1:20" x14ac:dyDescent="0.25">
      <c r="A690" s="5">
        <v>43903</v>
      </c>
      <c r="B690">
        <v>1.1299999999999999E-3</v>
      </c>
      <c r="C690">
        <v>1.472E-3</v>
      </c>
      <c r="D690">
        <v>7.7200000000000001E-4</v>
      </c>
      <c r="E690">
        <v>1.3829999999999999E-3</v>
      </c>
      <c r="F690">
        <v>74063462</v>
      </c>
      <c r="G690">
        <v>0</v>
      </c>
      <c r="L690" t="s">
        <v>7</v>
      </c>
      <c r="M690" t="s">
        <v>7</v>
      </c>
      <c r="N690" t="s">
        <v>7</v>
      </c>
      <c r="P690">
        <f t="shared" si="994"/>
        <v>0.74571428571428544</v>
      </c>
      <c r="Q690">
        <f t="shared" si="995"/>
        <v>55230181.662857123</v>
      </c>
      <c r="R690">
        <f t="shared" si="996"/>
        <v>-1648847493.6772413</v>
      </c>
      <c r="S690">
        <f t="shared" si="997"/>
        <v>-16488.474936772414</v>
      </c>
      <c r="T690">
        <f t="shared" si="998"/>
        <v>-16.488474936772413</v>
      </c>
    </row>
    <row r="691" spans="1:20" x14ac:dyDescent="0.25">
      <c r="A691" s="5">
        <v>43902</v>
      </c>
      <c r="B691">
        <v>2.3969999999999998E-3</v>
      </c>
      <c r="C691">
        <v>2.3969999999999998E-3</v>
      </c>
      <c r="D691">
        <v>1.0300000000000001E-3</v>
      </c>
      <c r="E691">
        <v>1.116E-3</v>
      </c>
      <c r="F691">
        <v>135933066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-0.87417702999268476</v>
      </c>
      <c r="Q691">
        <f t="shared" si="995"/>
        <v>-118829563.9136796</v>
      </c>
      <c r="R691">
        <f t="shared" si="996"/>
        <v>-1704077675.3400984</v>
      </c>
      <c r="S691">
        <f t="shared" si="997"/>
        <v>-17040.776753400984</v>
      </c>
      <c r="T691">
        <f t="shared" si="998"/>
        <v>-17.040776753400984</v>
      </c>
    </row>
    <row r="692" spans="1:20" x14ac:dyDescent="0.25">
      <c r="A692" s="5">
        <v>43901</v>
      </c>
      <c r="B692">
        <v>2.5010000000000002E-3</v>
      </c>
      <c r="C692">
        <v>2.565E-3</v>
      </c>
      <c r="D692">
        <v>2.2859999999999998E-3</v>
      </c>
      <c r="E692">
        <v>2.398E-3</v>
      </c>
      <c r="F692">
        <v>48623717</v>
      </c>
      <c r="G692">
        <v>0</v>
      </c>
      <c r="L692" t="s">
        <v>7</v>
      </c>
      <c r="M692" t="s">
        <v>7</v>
      </c>
      <c r="N692" t="s">
        <v>7</v>
      </c>
      <c r="P692">
        <f t="shared" si="994"/>
        <v>-0.19713261648745481</v>
      </c>
      <c r="Q692">
        <f t="shared" si="995"/>
        <v>-9585320.5555555373</v>
      </c>
      <c r="R692">
        <f t="shared" si="996"/>
        <v>-1585248111.4264188</v>
      </c>
      <c r="S692">
        <f t="shared" si="997"/>
        <v>-15852.481114264188</v>
      </c>
      <c r="T692">
        <f t="shared" si="998"/>
        <v>-15.852481114264188</v>
      </c>
    </row>
    <row r="693" spans="1:20" x14ac:dyDescent="0.25">
      <c r="A693" s="5">
        <v>43900</v>
      </c>
      <c r="B693">
        <v>2.565E-3</v>
      </c>
      <c r="C693">
        <v>2.624E-3</v>
      </c>
      <c r="D693">
        <v>2.4489999999999998E-3</v>
      </c>
      <c r="E693">
        <v>2.4870000000000001E-3</v>
      </c>
      <c r="F693">
        <v>81197342</v>
      </c>
      <c r="G693">
        <v>0</v>
      </c>
      <c r="L693" t="s">
        <v>8</v>
      </c>
      <c r="M693" t="s">
        <v>7</v>
      </c>
      <c r="N693" t="s">
        <v>7</v>
      </c>
      <c r="P693">
        <f t="shared" si="994"/>
        <v>-0.56571428571428317</v>
      </c>
      <c r="Q693">
        <f t="shared" si="995"/>
        <v>-45934496.331428364</v>
      </c>
      <c r="R693">
        <f t="shared" si="996"/>
        <v>-1575662790.8708632</v>
      </c>
      <c r="S693">
        <f t="shared" si="997"/>
        <v>-15756.627908708631</v>
      </c>
      <c r="T693">
        <f t="shared" si="998"/>
        <v>-15.756627908708632</v>
      </c>
    </row>
    <row r="694" spans="1:20" x14ac:dyDescent="0.25">
      <c r="A694" s="5">
        <v>43899</v>
      </c>
      <c r="B694">
        <v>2.5049999999999998E-3</v>
      </c>
      <c r="C694">
        <v>2.5990000000000002E-3</v>
      </c>
      <c r="D694">
        <v>2.3210000000000001E-3</v>
      </c>
      <c r="E694">
        <v>2.5349999999999999E-3</v>
      </c>
      <c r="F694">
        <v>21394275</v>
      </c>
      <c r="G694">
        <v>0</v>
      </c>
      <c r="L694" t="s">
        <v>7</v>
      </c>
      <c r="M694" t="s">
        <v>7</v>
      </c>
      <c r="N694" t="s">
        <v>7</v>
      </c>
      <c r="P694">
        <f t="shared" si="994"/>
        <v>0.53956834532373921</v>
      </c>
      <c r="Q694">
        <f t="shared" si="995"/>
        <v>11543673.561151041</v>
      </c>
      <c r="R694">
        <f t="shared" si="996"/>
        <v>-1529728294.5394349</v>
      </c>
      <c r="S694">
        <f t="shared" si="997"/>
        <v>-15297.282945394349</v>
      </c>
      <c r="T694">
        <f t="shared" si="998"/>
        <v>-15.297282945394349</v>
      </c>
    </row>
    <row r="695" spans="1:20" x14ac:dyDescent="0.25">
      <c r="A695" s="5">
        <v>43898</v>
      </c>
      <c r="B695">
        <v>2.8860000000000001E-3</v>
      </c>
      <c r="C695">
        <v>2.8860000000000001E-3</v>
      </c>
      <c r="D695">
        <v>2.5040000000000001E-3</v>
      </c>
      <c r="E695">
        <v>2.5040000000000001E-3</v>
      </c>
      <c r="F695">
        <v>43266038</v>
      </c>
      <c r="G695">
        <v>0</v>
      </c>
      <c r="L695" t="s">
        <v>7</v>
      </c>
      <c r="M695" t="s">
        <v>7</v>
      </c>
      <c r="N695" t="s">
        <v>7</v>
      </c>
      <c r="P695">
        <f t="shared" si="994"/>
        <v>-1</v>
      </c>
      <c r="Q695">
        <f t="shared" si="995"/>
        <v>-43266038</v>
      </c>
      <c r="R695">
        <f t="shared" si="996"/>
        <v>-1541271968.1005859</v>
      </c>
      <c r="S695">
        <f t="shared" si="997"/>
        <v>-15412.719681005859</v>
      </c>
      <c r="T695">
        <f t="shared" si="998"/>
        <v>-15.412719681005859</v>
      </c>
    </row>
    <row r="696" spans="1:20" x14ac:dyDescent="0.25">
      <c r="A696" s="5">
        <v>43897</v>
      </c>
      <c r="B696">
        <v>2.9889999999999999E-3</v>
      </c>
      <c r="C696">
        <v>3.0240000000000002E-3</v>
      </c>
      <c r="D696">
        <v>2.8549999999999999E-3</v>
      </c>
      <c r="E696">
        <v>2.8960000000000001E-3</v>
      </c>
      <c r="F696">
        <v>24562952</v>
      </c>
      <c r="G696">
        <v>0</v>
      </c>
      <c r="L696" t="s">
        <v>7</v>
      </c>
      <c r="M696" t="s">
        <v>8</v>
      </c>
      <c r="N696" t="s">
        <v>7</v>
      </c>
      <c r="P696">
        <f t="shared" si="994"/>
        <v>-0.5147928994082821</v>
      </c>
      <c r="Q696">
        <f t="shared" si="995"/>
        <v>-12644833.278106462</v>
      </c>
      <c r="R696">
        <f t="shared" si="996"/>
        <v>-1498005930.1005859</v>
      </c>
      <c r="S696">
        <f t="shared" si="997"/>
        <v>-14980.05930100586</v>
      </c>
      <c r="T696">
        <f t="shared" si="998"/>
        <v>-14.980059301005861</v>
      </c>
    </row>
    <row r="697" spans="1:20" x14ac:dyDescent="0.25">
      <c r="A697" s="5">
        <v>43896</v>
      </c>
      <c r="B697">
        <v>3.0360000000000001E-3</v>
      </c>
      <c r="C697">
        <v>3.0929999999999998E-3</v>
      </c>
      <c r="D697">
        <v>2.895E-3</v>
      </c>
      <c r="E697">
        <v>2.9870000000000001E-3</v>
      </c>
      <c r="F697">
        <v>22437929</v>
      </c>
      <c r="G697">
        <v>0</v>
      </c>
      <c r="L697" t="s">
        <v>8</v>
      </c>
      <c r="M697" t="s">
        <v>8</v>
      </c>
      <c r="N697" t="s">
        <v>7</v>
      </c>
      <c r="P697">
        <f t="shared" si="994"/>
        <v>-7.0707070707069206E-2</v>
      </c>
      <c r="Q697">
        <f t="shared" si="995"/>
        <v>-1586520.2323231986</v>
      </c>
      <c r="R697">
        <f t="shared" si="996"/>
        <v>-1485361096.8224795</v>
      </c>
      <c r="S697">
        <f t="shared" si="997"/>
        <v>-14853.610968224795</v>
      </c>
      <c r="T697">
        <f t="shared" si="998"/>
        <v>-14.853610968224796</v>
      </c>
    </row>
    <row r="698" spans="1:20" x14ac:dyDescent="0.25">
      <c r="A698" s="5">
        <v>43895</v>
      </c>
      <c r="B698">
        <v>2.9060000000000002E-3</v>
      </c>
      <c r="C698">
        <v>3.0639999999999999E-3</v>
      </c>
      <c r="D698">
        <v>2.8809999999999999E-3</v>
      </c>
      <c r="E698">
        <v>3.0100000000000001E-3</v>
      </c>
      <c r="F698">
        <v>23515089</v>
      </c>
      <c r="G698">
        <v>0</v>
      </c>
      <c r="L698" t="s">
        <v>8</v>
      </c>
      <c r="M698" t="s">
        <v>8</v>
      </c>
      <c r="N698" t="s">
        <v>7</v>
      </c>
      <c r="P698">
        <f t="shared" si="994"/>
        <v>0.40983606557377272</v>
      </c>
      <c r="Q698">
        <f t="shared" si="995"/>
        <v>9637331.5573771019</v>
      </c>
      <c r="R698">
        <f t="shared" si="996"/>
        <v>-1483774576.5901563</v>
      </c>
      <c r="S698">
        <f t="shared" si="997"/>
        <v>-14837.745765901564</v>
      </c>
      <c r="T698">
        <f t="shared" si="998"/>
        <v>-14.837745765901564</v>
      </c>
    </row>
    <row r="699" spans="1:20" x14ac:dyDescent="0.25">
      <c r="A699" s="5">
        <v>43894</v>
      </c>
      <c r="B699">
        <v>2.826E-3</v>
      </c>
      <c r="C699">
        <v>2.9069999999999999E-3</v>
      </c>
      <c r="D699">
        <v>2.7699999999999999E-3</v>
      </c>
      <c r="E699">
        <v>2.9060000000000002E-3</v>
      </c>
      <c r="F699">
        <v>28127849</v>
      </c>
      <c r="G699">
        <v>0</v>
      </c>
      <c r="L699" t="s">
        <v>8</v>
      </c>
      <c r="M699" t="s">
        <v>8</v>
      </c>
      <c r="N699" t="s">
        <v>7</v>
      </c>
      <c r="P699">
        <f t="shared" si="994"/>
        <v>0.98540145985401895</v>
      </c>
      <c r="Q699">
        <f t="shared" si="995"/>
        <v>27717223.467153408</v>
      </c>
      <c r="R699">
        <f t="shared" si="996"/>
        <v>-1493411908.1475334</v>
      </c>
      <c r="S699">
        <f t="shared" si="997"/>
        <v>-14934.119081475334</v>
      </c>
      <c r="T699">
        <f t="shared" si="998"/>
        <v>-14.934119081475334</v>
      </c>
    </row>
    <row r="700" spans="1:20" x14ac:dyDescent="0.25">
      <c r="A700" s="5">
        <v>43893</v>
      </c>
      <c r="B700">
        <v>2.7339999999999999E-3</v>
      </c>
      <c r="C700">
        <v>2.9580000000000001E-3</v>
      </c>
      <c r="D700">
        <v>2.7000000000000001E-3</v>
      </c>
      <c r="E700">
        <v>2.823E-3</v>
      </c>
      <c r="F700">
        <v>97683610</v>
      </c>
      <c r="G700">
        <v>0</v>
      </c>
      <c r="L700" t="s">
        <v>8</v>
      </c>
      <c r="M700" t="s">
        <v>8</v>
      </c>
      <c r="N700" t="s">
        <v>7</v>
      </c>
      <c r="P700">
        <f t="shared" si="994"/>
        <v>-4.6511627906977875E-2</v>
      </c>
      <c r="Q700">
        <f t="shared" si="995"/>
        <v>-4543423.7209303426</v>
      </c>
      <c r="R700">
        <f t="shared" si="996"/>
        <v>-1521129131.6146867</v>
      </c>
      <c r="S700">
        <f t="shared" si="997"/>
        <v>-15211.291316146868</v>
      </c>
      <c r="T700">
        <f t="shared" si="998"/>
        <v>-15.211291316146868</v>
      </c>
    </row>
    <row r="701" spans="1:20" x14ac:dyDescent="0.25">
      <c r="A701" s="5">
        <v>43892</v>
      </c>
      <c r="B701">
        <v>2.7130000000000001E-3</v>
      </c>
      <c r="C701">
        <v>2.8900000000000002E-3</v>
      </c>
      <c r="D701">
        <v>2.6519999999999998E-3</v>
      </c>
      <c r="E701">
        <v>2.7320000000000001E-3</v>
      </c>
      <c r="F701">
        <v>50218881</v>
      </c>
      <c r="G701">
        <v>0</v>
      </c>
      <c r="L701" t="s">
        <v>8</v>
      </c>
      <c r="M701" t="s">
        <v>8</v>
      </c>
      <c r="N701" t="s">
        <v>7</v>
      </c>
      <c r="P701">
        <f t="shared" si="994"/>
        <v>-0.32773109243697407</v>
      </c>
      <c r="Q701">
        <f t="shared" si="995"/>
        <v>-16458288.731092401</v>
      </c>
      <c r="R701">
        <f t="shared" si="996"/>
        <v>-1516585707.8937564</v>
      </c>
      <c r="S701">
        <f t="shared" si="997"/>
        <v>-15165.857078937564</v>
      </c>
      <c r="T701">
        <f t="shared" si="998"/>
        <v>-15.165857078937565</v>
      </c>
    </row>
    <row r="702" spans="1:20" x14ac:dyDescent="0.25">
      <c r="A702" s="5">
        <v>43891</v>
      </c>
      <c r="B702">
        <v>2.712E-3</v>
      </c>
      <c r="C702">
        <v>2.836E-3</v>
      </c>
      <c r="D702">
        <v>2.6689999999999999E-3</v>
      </c>
      <c r="E702">
        <v>2.7130000000000001E-3</v>
      </c>
      <c r="F702">
        <v>21420113</v>
      </c>
      <c r="G702">
        <v>0</v>
      </c>
      <c r="L702" t="s">
        <v>7</v>
      </c>
      <c r="M702" t="s">
        <v>8</v>
      </c>
      <c r="N702" t="s">
        <v>7</v>
      </c>
      <c r="P702">
        <f t="shared" si="994"/>
        <v>-0.4730538922155666</v>
      </c>
      <c r="Q702">
        <f t="shared" si="995"/>
        <v>-10132867.826347256</v>
      </c>
      <c r="R702">
        <f t="shared" si="996"/>
        <v>-1500127419.1626639</v>
      </c>
      <c r="S702">
        <f t="shared" si="997"/>
        <v>-15001.274191626639</v>
      </c>
      <c r="T702">
        <f t="shared" si="998"/>
        <v>-15.001274191626639</v>
      </c>
    </row>
    <row r="703" spans="1:20" x14ac:dyDescent="0.25">
      <c r="A703" s="5">
        <v>43890</v>
      </c>
      <c r="B703">
        <v>2.8080000000000002E-3</v>
      </c>
      <c r="C703">
        <v>2.8500000000000001E-3</v>
      </c>
      <c r="D703">
        <v>2.6819999999999999E-3</v>
      </c>
      <c r="E703">
        <v>2.709E-3</v>
      </c>
      <c r="F703">
        <v>5002987</v>
      </c>
      <c r="G703">
        <v>0</v>
      </c>
      <c r="L703" t="s">
        <v>7</v>
      </c>
      <c r="M703" t="s">
        <v>8</v>
      </c>
      <c r="N703" t="s">
        <v>7</v>
      </c>
      <c r="P703">
        <f t="shared" si="994"/>
        <v>-0.6785714285714276</v>
      </c>
      <c r="Q703">
        <f t="shared" si="995"/>
        <v>-3394884.0357142808</v>
      </c>
      <c r="R703">
        <f t="shared" si="996"/>
        <v>-1489994551.3363166</v>
      </c>
      <c r="S703">
        <f t="shared" si="997"/>
        <v>-14899.945513363165</v>
      </c>
      <c r="T703">
        <f t="shared" si="998"/>
        <v>-14.899945513363166</v>
      </c>
    </row>
    <row r="704" spans="1:20" x14ac:dyDescent="0.25">
      <c r="A704" s="5">
        <v>43889</v>
      </c>
      <c r="B704">
        <v>2.7030000000000001E-3</v>
      </c>
      <c r="C704">
        <v>2.9729999999999999E-3</v>
      </c>
      <c r="D704">
        <v>2.6840000000000002E-3</v>
      </c>
      <c r="E704">
        <v>2.7699999999999999E-3</v>
      </c>
      <c r="F704">
        <v>66789872</v>
      </c>
      <c r="G704">
        <v>0</v>
      </c>
      <c r="L704" t="s">
        <v>8</v>
      </c>
      <c r="M704" t="s">
        <v>8</v>
      </c>
      <c r="N704" t="s">
        <v>7</v>
      </c>
      <c r="P704">
        <f t="shared" si="994"/>
        <v>-0.40484429065744099</v>
      </c>
      <c r="Q704">
        <f t="shared" si="995"/>
        <v>-27039498.352941278</v>
      </c>
      <c r="R704">
        <f t="shared" si="996"/>
        <v>-1486599667.3006022</v>
      </c>
      <c r="S704">
        <f t="shared" si="997"/>
        <v>-14865.996673006022</v>
      </c>
      <c r="T704">
        <f t="shared" si="998"/>
        <v>-14.865996673006022</v>
      </c>
    </row>
    <row r="705" spans="1:20" x14ac:dyDescent="0.25">
      <c r="A705" s="5">
        <v>43888</v>
      </c>
      <c r="B705">
        <v>2.5590000000000001E-3</v>
      </c>
      <c r="C705">
        <v>2.8999999999999998E-3</v>
      </c>
      <c r="D705">
        <v>2.4090000000000001E-3</v>
      </c>
      <c r="E705">
        <v>2.696E-3</v>
      </c>
      <c r="F705">
        <v>124090074</v>
      </c>
      <c r="G705">
        <v>0</v>
      </c>
      <c r="L705" t="s">
        <v>8</v>
      </c>
      <c r="M705" t="s">
        <v>8</v>
      </c>
      <c r="N705" t="s">
        <v>7</v>
      </c>
      <c r="P705">
        <f t="shared" si="994"/>
        <v>0.16904276985743427</v>
      </c>
      <c r="Q705">
        <f t="shared" si="995"/>
        <v>20976529.820773989</v>
      </c>
      <c r="R705">
        <f t="shared" si="996"/>
        <v>-1459560168.9476609</v>
      </c>
      <c r="S705">
        <f t="shared" si="997"/>
        <v>-14595.601689476609</v>
      </c>
      <c r="T705">
        <f t="shared" si="998"/>
        <v>-14.595601689476609</v>
      </c>
    </row>
    <row r="706" spans="1:20" x14ac:dyDescent="0.25">
      <c r="A706" s="5">
        <v>43887</v>
      </c>
      <c r="B706">
        <v>2.918E-3</v>
      </c>
      <c r="C706">
        <v>2.9870000000000001E-3</v>
      </c>
      <c r="D706">
        <v>2.3500000000000001E-3</v>
      </c>
      <c r="E706">
        <v>2.565E-3</v>
      </c>
      <c r="F706">
        <v>44013142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-0.32496075353218234</v>
      </c>
      <c r="Q706">
        <f t="shared" si="995"/>
        <v>-14302543.789638944</v>
      </c>
      <c r="R706">
        <f t="shared" si="996"/>
        <v>-1480536698.768435</v>
      </c>
      <c r="S706">
        <f t="shared" si="997"/>
        <v>-14805.366987684351</v>
      </c>
      <c r="T706">
        <f t="shared" si="998"/>
        <v>-14.80536698768435</v>
      </c>
    </row>
    <row r="707" spans="1:20" x14ac:dyDescent="0.25">
      <c r="A707" s="5">
        <v>43886</v>
      </c>
      <c r="B707">
        <v>3.153E-3</v>
      </c>
      <c r="C707">
        <v>3.398E-3</v>
      </c>
      <c r="D707">
        <v>2.9250000000000001E-3</v>
      </c>
      <c r="E707">
        <v>2.9659999999999999E-3</v>
      </c>
      <c r="F707">
        <v>106678809</v>
      </c>
      <c r="G707">
        <v>0</v>
      </c>
      <c r="L707" t="s">
        <v>7</v>
      </c>
      <c r="M707" t="s">
        <v>7</v>
      </c>
      <c r="N707" t="s">
        <v>7</v>
      </c>
      <c r="P707">
        <f t="shared" si="994"/>
        <v>-0.82663847780126931</v>
      </c>
      <c r="Q707">
        <f t="shared" si="995"/>
        <v>-88184808.285412356</v>
      </c>
      <c r="R707">
        <f t="shared" si="996"/>
        <v>-1466234154.978796</v>
      </c>
      <c r="S707">
        <f t="shared" si="997"/>
        <v>-14662.34154978796</v>
      </c>
      <c r="T707">
        <f t="shared" si="998"/>
        <v>-14.662341549787959</v>
      </c>
    </row>
    <row r="708" spans="1:20" x14ac:dyDescent="0.25">
      <c r="A708" s="5">
        <v>43885</v>
      </c>
      <c r="B708">
        <v>3.261E-3</v>
      </c>
      <c r="C708">
        <v>3.3790000000000001E-3</v>
      </c>
      <c r="D708">
        <v>3.0270000000000002E-3</v>
      </c>
      <c r="E708">
        <v>3.1510000000000002E-3</v>
      </c>
      <c r="F708">
        <v>59191510</v>
      </c>
      <c r="G708">
        <v>0</v>
      </c>
      <c r="L708" t="s">
        <v>8</v>
      </c>
      <c r="M708" t="s">
        <v>7</v>
      </c>
      <c r="N708" t="s">
        <v>7</v>
      </c>
      <c r="P708">
        <f t="shared" si="994"/>
        <v>-0.29545454545454536</v>
      </c>
      <c r="Q708">
        <f t="shared" si="995"/>
        <v>-17488400.681818176</v>
      </c>
      <c r="R708">
        <f t="shared" si="996"/>
        <v>-1378049346.6933837</v>
      </c>
      <c r="S708">
        <f t="shared" si="997"/>
        <v>-13780.493466933836</v>
      </c>
      <c r="T708">
        <f t="shared" si="998"/>
        <v>-13.780493466933835</v>
      </c>
    </row>
    <row r="709" spans="1:20" x14ac:dyDescent="0.25">
      <c r="A709" s="5">
        <v>43884</v>
      </c>
      <c r="B709">
        <v>3.1540000000000001E-3</v>
      </c>
      <c r="C709">
        <v>3.261E-3</v>
      </c>
      <c r="D709">
        <v>3.1540000000000001E-3</v>
      </c>
      <c r="E709">
        <v>3.2460000000000002E-3</v>
      </c>
      <c r="F709">
        <v>15205707</v>
      </c>
      <c r="G709">
        <v>0</v>
      </c>
      <c r="L709" t="s">
        <v>8</v>
      </c>
      <c r="M709" t="s">
        <v>7</v>
      </c>
      <c r="N709" t="s">
        <v>7</v>
      </c>
      <c r="P709">
        <f t="shared" si="994"/>
        <v>0.71962616822430214</v>
      </c>
      <c r="Q709">
        <f t="shared" si="995"/>
        <v>10942424.663551448</v>
      </c>
      <c r="R709">
        <f t="shared" si="996"/>
        <v>-1360560946.0115654</v>
      </c>
      <c r="S709">
        <f t="shared" si="997"/>
        <v>-13605.609460115655</v>
      </c>
      <c r="T709">
        <f t="shared" si="998"/>
        <v>-13.605609460115655</v>
      </c>
    </row>
    <row r="710" spans="1:20" x14ac:dyDescent="0.25">
      <c r="A710" s="5">
        <v>43883</v>
      </c>
      <c r="B710">
        <v>3.1340000000000001E-3</v>
      </c>
      <c r="C710">
        <v>3.2230000000000002E-3</v>
      </c>
      <c r="D710">
        <v>3.0699999999999998E-3</v>
      </c>
      <c r="E710">
        <v>3.1540000000000001E-3</v>
      </c>
      <c r="F710">
        <v>9941020</v>
      </c>
      <c r="G710">
        <v>0</v>
      </c>
      <c r="L710" t="s">
        <v>8</v>
      </c>
      <c r="M710" t="s">
        <v>7</v>
      </c>
      <c r="N710" t="s">
        <v>7</v>
      </c>
      <c r="P710">
        <f t="shared" ref="P710:P766" si="999">IF(C710=D710,0,((E710-D710)-(C710-E710))/(C710-D710))</f>
        <v>9.8039215686275952E-2</v>
      </c>
      <c r="Q710">
        <f t="shared" ref="Q710:Q766" si="1000">F710*P710</f>
        <v>974609.80392158299</v>
      </c>
      <c r="R710">
        <f t="shared" ref="R710:R766" si="1001">R711+Q710</f>
        <v>-1371503370.6751168</v>
      </c>
      <c r="S710">
        <f t="shared" ref="S710:S766" si="1002">R710/100000</f>
        <v>-13715.033706751168</v>
      </c>
      <c r="T710">
        <f t="shared" ref="T710:T766" si="1003">S710/1000</f>
        <v>-13.715033706751168</v>
      </c>
    </row>
    <row r="711" spans="1:20" x14ac:dyDescent="0.25">
      <c r="A711" s="5">
        <v>43882</v>
      </c>
      <c r="B711">
        <v>3.0769999999999999E-3</v>
      </c>
      <c r="C711">
        <v>3.225E-3</v>
      </c>
      <c r="D711">
        <v>3.0500000000000002E-3</v>
      </c>
      <c r="E711">
        <v>3.1340000000000001E-3</v>
      </c>
      <c r="F711">
        <v>21176969</v>
      </c>
      <c r="G711">
        <v>0</v>
      </c>
      <c r="L711" t="s">
        <v>8</v>
      </c>
      <c r="M711" t="s">
        <v>7</v>
      </c>
      <c r="N711" t="s">
        <v>7</v>
      </c>
      <c r="P711">
        <f t="shared" si="999"/>
        <v>-4.0000000000000396E-2</v>
      </c>
      <c r="Q711">
        <f t="shared" si="1000"/>
        <v>-847078.76000000839</v>
      </c>
      <c r="R711">
        <f t="shared" si="1001"/>
        <v>-1372477980.4790385</v>
      </c>
      <c r="S711">
        <f t="shared" si="1002"/>
        <v>-13724.779804790385</v>
      </c>
      <c r="T711">
        <f t="shared" si="1003"/>
        <v>-13.724779804790385</v>
      </c>
    </row>
    <row r="712" spans="1:20" x14ac:dyDescent="0.25">
      <c r="A712" s="5">
        <v>43881</v>
      </c>
      <c r="B712">
        <v>3.088E-3</v>
      </c>
      <c r="C712">
        <v>3.1540000000000001E-3</v>
      </c>
      <c r="D712">
        <v>2.9350000000000001E-3</v>
      </c>
      <c r="E712">
        <v>3.1289999999999998E-3</v>
      </c>
      <c r="F712">
        <v>26440787</v>
      </c>
      <c r="G712">
        <v>0</v>
      </c>
      <c r="L712" t="s">
        <v>7</v>
      </c>
      <c r="M712" t="s">
        <v>7</v>
      </c>
      <c r="N712" t="s">
        <v>7</v>
      </c>
      <c r="P712">
        <f t="shared" si="999"/>
        <v>0.77168949771689244</v>
      </c>
      <c r="Q712">
        <f t="shared" si="1000"/>
        <v>20404077.639269341</v>
      </c>
      <c r="R712">
        <f t="shared" si="1001"/>
        <v>-1371630901.7190385</v>
      </c>
      <c r="S712">
        <f t="shared" si="1002"/>
        <v>-13716.309017190384</v>
      </c>
      <c r="T712">
        <f t="shared" si="1003"/>
        <v>-13.716309017190385</v>
      </c>
    </row>
    <row r="713" spans="1:20" x14ac:dyDescent="0.25">
      <c r="A713" s="5">
        <v>43880</v>
      </c>
      <c r="B713">
        <v>3.392E-3</v>
      </c>
      <c r="C713">
        <v>3.5270000000000002E-3</v>
      </c>
      <c r="D713">
        <v>2.99E-3</v>
      </c>
      <c r="E713">
        <v>3.088E-3</v>
      </c>
      <c r="F713">
        <v>29728821</v>
      </c>
      <c r="G713">
        <v>0</v>
      </c>
      <c r="L713" t="s">
        <v>7</v>
      </c>
      <c r="M713" t="s">
        <v>7</v>
      </c>
      <c r="N713" t="s">
        <v>7</v>
      </c>
      <c r="P713">
        <f t="shared" si="999"/>
        <v>-0.63500931098696478</v>
      </c>
      <c r="Q713">
        <f t="shared" si="1000"/>
        <v>-18878078.13966481</v>
      </c>
      <c r="R713">
        <f t="shared" si="1001"/>
        <v>-1392034979.3583078</v>
      </c>
      <c r="S713">
        <f t="shared" si="1002"/>
        <v>-13920.349793583078</v>
      </c>
      <c r="T713">
        <f t="shared" si="1003"/>
        <v>-13.920349793583078</v>
      </c>
    </row>
    <row r="714" spans="1:20" x14ac:dyDescent="0.25">
      <c r="A714" s="5">
        <v>43879</v>
      </c>
      <c r="B714">
        <v>3.398E-3</v>
      </c>
      <c r="C714">
        <v>3.5000000000000001E-3</v>
      </c>
      <c r="D714">
        <v>3.186E-3</v>
      </c>
      <c r="E714">
        <v>3.3939999999999999E-3</v>
      </c>
      <c r="F714">
        <v>104187599</v>
      </c>
      <c r="G714">
        <v>0</v>
      </c>
      <c r="L714" t="s">
        <v>8</v>
      </c>
      <c r="M714" t="s">
        <v>8</v>
      </c>
      <c r="N714" t="s">
        <v>7</v>
      </c>
      <c r="P714">
        <f t="shared" si="999"/>
        <v>0.32484076433120906</v>
      </c>
      <c r="Q714">
        <f t="shared" si="1000"/>
        <v>33844379.292993516</v>
      </c>
      <c r="R714">
        <f t="shared" si="1001"/>
        <v>-1373156901.218643</v>
      </c>
      <c r="S714">
        <f t="shared" si="1002"/>
        <v>-13731.56901218643</v>
      </c>
      <c r="T714">
        <f t="shared" si="1003"/>
        <v>-13.73156901218643</v>
      </c>
    </row>
    <row r="715" spans="1:20" x14ac:dyDescent="0.25">
      <c r="A715" s="5">
        <v>43878</v>
      </c>
      <c r="B715">
        <v>3.2629999999999998E-3</v>
      </c>
      <c r="C715">
        <v>3.6099999999999999E-3</v>
      </c>
      <c r="D715">
        <v>2.8999999999999998E-3</v>
      </c>
      <c r="E715">
        <v>3.369E-3</v>
      </c>
      <c r="F715">
        <v>106312407</v>
      </c>
      <c r="G715">
        <v>0</v>
      </c>
      <c r="L715" t="s">
        <v>7</v>
      </c>
      <c r="M715" t="s">
        <v>8</v>
      </c>
      <c r="N715" t="s">
        <v>7</v>
      </c>
      <c r="P715">
        <f t="shared" si="999"/>
        <v>0.32112676056338069</v>
      </c>
      <c r="Q715">
        <f t="shared" si="1000"/>
        <v>34139758.867605679</v>
      </c>
      <c r="R715">
        <f t="shared" si="1001"/>
        <v>-1407001280.5116365</v>
      </c>
      <c r="S715">
        <f t="shared" si="1002"/>
        <v>-14070.012805116365</v>
      </c>
      <c r="T715">
        <f t="shared" si="1003"/>
        <v>-14.070012805116365</v>
      </c>
    </row>
    <row r="716" spans="1:20" x14ac:dyDescent="0.25">
      <c r="A716" s="5">
        <v>43877</v>
      </c>
      <c r="B716">
        <v>3.4580000000000001E-3</v>
      </c>
      <c r="C716">
        <v>3.5980000000000001E-3</v>
      </c>
      <c r="D716">
        <v>2.9970000000000001E-3</v>
      </c>
      <c r="E716">
        <v>3.274E-3</v>
      </c>
      <c r="F716">
        <v>48775761</v>
      </c>
      <c r="G716">
        <v>0</v>
      </c>
      <c r="L716" t="s">
        <v>7</v>
      </c>
      <c r="M716" t="s">
        <v>7</v>
      </c>
      <c r="N716" t="s">
        <v>7</v>
      </c>
      <c r="P716">
        <f t="shared" si="999"/>
        <v>-7.8202995008319745E-2</v>
      </c>
      <c r="Q716">
        <f t="shared" si="1000"/>
        <v>-3814410.5940099969</v>
      </c>
      <c r="R716">
        <f t="shared" si="1001"/>
        <v>-1441141039.3792422</v>
      </c>
      <c r="S716">
        <f t="shared" si="1002"/>
        <v>-14411.410393792421</v>
      </c>
      <c r="T716">
        <f t="shared" si="1003"/>
        <v>-14.411410393792421</v>
      </c>
    </row>
    <row r="717" spans="1:20" x14ac:dyDescent="0.25">
      <c r="A717" s="5">
        <v>43876</v>
      </c>
      <c r="B717">
        <v>3.8379999999999998E-3</v>
      </c>
      <c r="C717">
        <v>3.9129999999999998E-3</v>
      </c>
      <c r="D717">
        <v>3.369E-3</v>
      </c>
      <c r="E717">
        <v>3.4580000000000001E-3</v>
      </c>
      <c r="F717">
        <v>73749464</v>
      </c>
      <c r="G717">
        <v>0</v>
      </c>
      <c r="L717" t="s">
        <v>7</v>
      </c>
      <c r="M717" t="s">
        <v>7</v>
      </c>
      <c r="N717" t="s">
        <v>8</v>
      </c>
      <c r="P717">
        <f t="shared" si="999"/>
        <v>-0.67279411764705832</v>
      </c>
      <c r="Q717">
        <f t="shared" si="1000"/>
        <v>-49618205.558823489</v>
      </c>
      <c r="R717">
        <f t="shared" si="1001"/>
        <v>-1437326628.7852321</v>
      </c>
      <c r="S717">
        <f t="shared" si="1002"/>
        <v>-14373.266287852321</v>
      </c>
      <c r="T717">
        <f t="shared" si="1003"/>
        <v>-14.373266287852321</v>
      </c>
    </row>
    <row r="718" spans="1:20" x14ac:dyDescent="0.25">
      <c r="A718" s="5">
        <v>43875</v>
      </c>
      <c r="B718">
        <v>3.9179999999999996E-3</v>
      </c>
      <c r="C718">
        <v>4.1399999999999996E-3</v>
      </c>
      <c r="D718">
        <v>3.5699999999999998E-3</v>
      </c>
      <c r="E718">
        <v>3.836E-3</v>
      </c>
      <c r="F718">
        <v>87857467</v>
      </c>
      <c r="G718">
        <v>0</v>
      </c>
      <c r="L718" t="s">
        <v>7</v>
      </c>
      <c r="M718" t="s">
        <v>7</v>
      </c>
      <c r="N718" t="s">
        <v>8</v>
      </c>
      <c r="P718">
        <f t="shared" si="999"/>
        <v>-6.6666666666665653E-2</v>
      </c>
      <c r="Q718">
        <f t="shared" si="1000"/>
        <v>-5857164.4666665774</v>
      </c>
      <c r="R718">
        <f t="shared" si="1001"/>
        <v>-1387708423.2264085</v>
      </c>
      <c r="S718">
        <f t="shared" si="1002"/>
        <v>-13877.084232264086</v>
      </c>
      <c r="T718">
        <f t="shared" si="1003"/>
        <v>-13.877084232264085</v>
      </c>
    </row>
    <row r="719" spans="1:20" x14ac:dyDescent="0.25">
      <c r="A719" s="5">
        <v>43874</v>
      </c>
      <c r="B719">
        <v>3.7469999999999999E-3</v>
      </c>
      <c r="C719">
        <v>4.3990000000000001E-3</v>
      </c>
      <c r="D719">
        <v>3.3E-3</v>
      </c>
      <c r="E719">
        <v>3.9179999999999996E-3</v>
      </c>
      <c r="F719">
        <v>194962497.59999999</v>
      </c>
      <c r="G719">
        <v>0</v>
      </c>
      <c r="L719" t="s">
        <v>8</v>
      </c>
      <c r="M719" t="s">
        <v>8</v>
      </c>
      <c r="N719" t="s">
        <v>8</v>
      </c>
      <c r="P719">
        <f t="shared" si="999"/>
        <v>0.1246587807097353</v>
      </c>
      <c r="Q719">
        <f t="shared" si="1000"/>
        <v>24303787.234940693</v>
      </c>
      <c r="R719">
        <f t="shared" si="1001"/>
        <v>-1381851258.759742</v>
      </c>
      <c r="S719">
        <f t="shared" si="1002"/>
        <v>-13818.512587597421</v>
      </c>
      <c r="T719">
        <f t="shared" si="1003"/>
        <v>-13.818512587597422</v>
      </c>
    </row>
    <row r="720" spans="1:20" x14ac:dyDescent="0.25">
      <c r="A720" s="5">
        <v>43873</v>
      </c>
      <c r="B720">
        <v>3.5630000000000002E-3</v>
      </c>
      <c r="C720">
        <v>3.96E-3</v>
      </c>
      <c r="D720">
        <v>3.47E-3</v>
      </c>
      <c r="E720">
        <v>3.7200000000000002E-3</v>
      </c>
      <c r="F720">
        <v>67658135</v>
      </c>
      <c r="G720">
        <v>0</v>
      </c>
      <c r="L720" t="s">
        <v>8</v>
      </c>
      <c r="M720" t="s">
        <v>8</v>
      </c>
      <c r="N720" t="s">
        <v>8</v>
      </c>
      <c r="P720">
        <f t="shared" si="999"/>
        <v>2.0408163265307061E-2</v>
      </c>
      <c r="Q720">
        <f t="shared" si="1000"/>
        <v>1380778.2653061859</v>
      </c>
      <c r="R720">
        <f t="shared" si="1001"/>
        <v>-1406155045.9946828</v>
      </c>
      <c r="S720">
        <f t="shared" si="1002"/>
        <v>-14061.550459946828</v>
      </c>
      <c r="T720">
        <f t="shared" si="1003"/>
        <v>-14.061550459946828</v>
      </c>
    </row>
    <row r="721" spans="1:20" x14ac:dyDescent="0.25">
      <c r="A721" s="5">
        <v>43872</v>
      </c>
      <c r="B721">
        <v>3.4390000000000002E-3</v>
      </c>
      <c r="C721">
        <v>3.6210000000000001E-3</v>
      </c>
      <c r="D721">
        <v>3.2169999999999998E-3</v>
      </c>
      <c r="E721">
        <v>3.5630000000000002E-3</v>
      </c>
      <c r="F721">
        <v>48617217</v>
      </c>
      <c r="G721">
        <v>0</v>
      </c>
      <c r="L721" t="s">
        <v>7</v>
      </c>
      <c r="M721" t="s">
        <v>8</v>
      </c>
      <c r="N721" t="s">
        <v>8</v>
      </c>
      <c r="P721">
        <f t="shared" si="999"/>
        <v>0.71287128712871362</v>
      </c>
      <c r="Q721">
        <f t="shared" si="1000"/>
        <v>34657818.059405975</v>
      </c>
      <c r="R721">
        <f t="shared" si="1001"/>
        <v>-1407535824.259989</v>
      </c>
      <c r="S721">
        <f t="shared" si="1002"/>
        <v>-14075.35824259989</v>
      </c>
      <c r="T721">
        <f t="shared" si="1003"/>
        <v>-14.07535824259989</v>
      </c>
    </row>
    <row r="722" spans="1:20" x14ac:dyDescent="0.25">
      <c r="A722" s="5">
        <v>43871</v>
      </c>
      <c r="B722">
        <v>3.333E-3</v>
      </c>
      <c r="C722">
        <v>3.6800000000000001E-3</v>
      </c>
      <c r="D722">
        <v>3.2369999999999999E-3</v>
      </c>
      <c r="E722">
        <v>3.4650000000000002E-3</v>
      </c>
      <c r="F722">
        <v>101973465</v>
      </c>
      <c r="G722">
        <v>0</v>
      </c>
      <c r="L722" t="s">
        <v>8</v>
      </c>
      <c r="M722" t="s">
        <v>8</v>
      </c>
      <c r="N722" t="s">
        <v>8</v>
      </c>
      <c r="P722">
        <f t="shared" si="999"/>
        <v>2.9345372460497555E-2</v>
      </c>
      <c r="Q722">
        <f t="shared" si="1000"/>
        <v>2992449.3115125112</v>
      </c>
      <c r="R722">
        <f t="shared" si="1001"/>
        <v>-1442193642.3193951</v>
      </c>
      <c r="S722">
        <f t="shared" si="1002"/>
        <v>-14421.936423193951</v>
      </c>
      <c r="T722">
        <f t="shared" si="1003"/>
        <v>-14.421936423193952</v>
      </c>
    </row>
    <row r="723" spans="1:20" x14ac:dyDescent="0.25">
      <c r="A723" s="5">
        <v>43870</v>
      </c>
      <c r="B723">
        <v>3.0309999999999998E-3</v>
      </c>
      <c r="C723">
        <v>3.3370000000000001E-3</v>
      </c>
      <c r="D723">
        <v>3.0049999999999999E-3</v>
      </c>
      <c r="E723">
        <v>3.333E-3</v>
      </c>
      <c r="F723">
        <v>39605860</v>
      </c>
      <c r="G723">
        <v>0</v>
      </c>
      <c r="L723" t="s">
        <v>8</v>
      </c>
      <c r="M723" t="s">
        <v>8</v>
      </c>
      <c r="N723" t="s">
        <v>8</v>
      </c>
      <c r="P723">
        <f t="shared" si="999"/>
        <v>0.9759036144578308</v>
      </c>
      <c r="Q723">
        <f t="shared" si="1000"/>
        <v>38651501.927710824</v>
      </c>
      <c r="R723">
        <f t="shared" si="1001"/>
        <v>-1445186091.6309075</v>
      </c>
      <c r="S723">
        <f t="shared" si="1002"/>
        <v>-14451.860916309075</v>
      </c>
      <c r="T723">
        <f t="shared" si="1003"/>
        <v>-14.451860916309075</v>
      </c>
    </row>
    <row r="724" spans="1:20" x14ac:dyDescent="0.25">
      <c r="A724" s="5">
        <v>43869</v>
      </c>
      <c r="B724">
        <v>3.2000000000000002E-3</v>
      </c>
      <c r="C724">
        <v>3.2000000000000002E-3</v>
      </c>
      <c r="D724">
        <v>2.931E-3</v>
      </c>
      <c r="E724">
        <v>3.0309999999999998E-3</v>
      </c>
      <c r="F724">
        <v>19193346</v>
      </c>
      <c r="G724">
        <v>0</v>
      </c>
      <c r="L724" t="s">
        <v>7</v>
      </c>
      <c r="M724" t="s">
        <v>8</v>
      </c>
      <c r="N724" t="s">
        <v>7</v>
      </c>
      <c r="P724">
        <f t="shared" si="999"/>
        <v>-0.2565055762081801</v>
      </c>
      <c r="Q724">
        <f t="shared" si="1000"/>
        <v>-4923200.2750929687</v>
      </c>
      <c r="R724">
        <f t="shared" si="1001"/>
        <v>-1483837593.5586183</v>
      </c>
      <c r="S724">
        <f t="shared" si="1002"/>
        <v>-14838.375935586184</v>
      </c>
      <c r="T724">
        <f t="shared" si="1003"/>
        <v>-14.838375935586184</v>
      </c>
    </row>
    <row r="725" spans="1:20" x14ac:dyDescent="0.25">
      <c r="A725" s="5">
        <v>43868</v>
      </c>
      <c r="B725">
        <v>3.0479999999999999E-3</v>
      </c>
      <c r="C725">
        <v>3.2000000000000002E-3</v>
      </c>
      <c r="D725">
        <v>2.9940000000000001E-3</v>
      </c>
      <c r="E725">
        <v>3.2000000000000002E-3</v>
      </c>
      <c r="F725">
        <v>57854846</v>
      </c>
      <c r="G725">
        <v>0</v>
      </c>
      <c r="L725" t="s">
        <v>8</v>
      </c>
      <c r="M725" t="s">
        <v>8</v>
      </c>
      <c r="N725" t="s">
        <v>7</v>
      </c>
      <c r="P725">
        <f t="shared" si="999"/>
        <v>1</v>
      </c>
      <c r="Q725">
        <f t="shared" si="1000"/>
        <v>57854846</v>
      </c>
      <c r="R725">
        <f t="shared" si="1001"/>
        <v>-1478914393.2835252</v>
      </c>
      <c r="S725">
        <f t="shared" si="1002"/>
        <v>-14789.143932835252</v>
      </c>
      <c r="T725">
        <f t="shared" si="1003"/>
        <v>-14.789143932835252</v>
      </c>
    </row>
    <row r="726" spans="1:20" x14ac:dyDescent="0.25">
      <c r="A726" s="5">
        <v>43867</v>
      </c>
      <c r="B726">
        <v>2.8679999999999999E-3</v>
      </c>
      <c r="C726">
        <v>3.1329999999999999E-3</v>
      </c>
      <c r="D726">
        <v>2.8E-3</v>
      </c>
      <c r="E726">
        <v>3.0240000000000002E-3</v>
      </c>
      <c r="F726">
        <v>64462715</v>
      </c>
      <c r="G726">
        <v>0</v>
      </c>
      <c r="L726" t="s">
        <v>8</v>
      </c>
      <c r="M726" t="s">
        <v>8</v>
      </c>
      <c r="N726" t="s">
        <v>7</v>
      </c>
      <c r="P726">
        <f t="shared" si="999"/>
        <v>0.34534534534534694</v>
      </c>
      <c r="Q726">
        <f t="shared" si="1000"/>
        <v>22261898.573573675</v>
      </c>
      <c r="R726">
        <f t="shared" si="1001"/>
        <v>-1536769239.2835252</v>
      </c>
      <c r="S726">
        <f t="shared" si="1002"/>
        <v>-15367.692392835252</v>
      </c>
      <c r="T726">
        <f t="shared" si="1003"/>
        <v>-15.367692392835252</v>
      </c>
    </row>
    <row r="727" spans="1:20" x14ac:dyDescent="0.25">
      <c r="A727" s="5">
        <v>43866</v>
      </c>
      <c r="B727">
        <v>2.7799999999999999E-3</v>
      </c>
      <c r="C727">
        <v>2.905E-3</v>
      </c>
      <c r="D727">
        <v>2.6870000000000002E-3</v>
      </c>
      <c r="E727">
        <v>2.882E-3</v>
      </c>
      <c r="F727">
        <v>84678251</v>
      </c>
      <c r="G727">
        <v>0</v>
      </c>
      <c r="L727" t="s">
        <v>8</v>
      </c>
      <c r="M727" t="s">
        <v>8</v>
      </c>
      <c r="N727" t="s">
        <v>7</v>
      </c>
      <c r="P727">
        <f t="shared" si="999"/>
        <v>0.78899082568807311</v>
      </c>
      <c r="Q727">
        <f t="shared" si="1000"/>
        <v>66810363.174311899</v>
      </c>
      <c r="R727">
        <f t="shared" si="1001"/>
        <v>-1559031137.8570988</v>
      </c>
      <c r="S727">
        <f t="shared" si="1002"/>
        <v>-15590.311378570988</v>
      </c>
      <c r="T727">
        <f t="shared" si="1003"/>
        <v>-15.590311378570988</v>
      </c>
    </row>
    <row r="728" spans="1:20" x14ac:dyDescent="0.25">
      <c r="A728" s="5">
        <v>43865</v>
      </c>
      <c r="B728">
        <v>2.5590000000000001E-3</v>
      </c>
      <c r="C728">
        <v>2.8E-3</v>
      </c>
      <c r="D728">
        <v>2.5370000000000002E-3</v>
      </c>
      <c r="E728">
        <v>2.7539999999999999E-3</v>
      </c>
      <c r="F728">
        <v>47762396</v>
      </c>
      <c r="G728">
        <v>0</v>
      </c>
      <c r="L728" t="s">
        <v>8</v>
      </c>
      <c r="M728" t="s">
        <v>8</v>
      </c>
      <c r="N728" t="s">
        <v>7</v>
      </c>
      <c r="P728">
        <f t="shared" si="999"/>
        <v>0.65019011406844052</v>
      </c>
      <c r="Q728">
        <f t="shared" si="1000"/>
        <v>31054637.703422029</v>
      </c>
      <c r="R728">
        <f t="shared" si="1001"/>
        <v>-1625841501.0314107</v>
      </c>
      <c r="S728">
        <f t="shared" si="1002"/>
        <v>-16258.415010314107</v>
      </c>
      <c r="T728">
        <f t="shared" si="1003"/>
        <v>-16.258415010314106</v>
      </c>
    </row>
    <row r="729" spans="1:20" x14ac:dyDescent="0.25">
      <c r="A729" s="5">
        <v>43864</v>
      </c>
      <c r="B729">
        <v>2.513E-3</v>
      </c>
      <c r="C729">
        <v>2.5600000000000002E-3</v>
      </c>
      <c r="D729">
        <v>2.5089999999999999E-3</v>
      </c>
      <c r="E729">
        <v>2.5530000000000001E-3</v>
      </c>
      <c r="F729">
        <v>7476466</v>
      </c>
      <c r="G729">
        <v>0</v>
      </c>
      <c r="L729" t="s">
        <v>7</v>
      </c>
      <c r="M729" t="s">
        <v>8</v>
      </c>
      <c r="N729" t="s">
        <v>7</v>
      </c>
      <c r="P729">
        <f t="shared" si="999"/>
        <v>0.72549019607843035</v>
      </c>
      <c r="Q729">
        <f t="shared" si="1000"/>
        <v>5424102.7843137179</v>
      </c>
      <c r="R729">
        <f t="shared" si="1001"/>
        <v>-1656896138.7348328</v>
      </c>
      <c r="S729">
        <f t="shared" si="1002"/>
        <v>-16568.961387348329</v>
      </c>
      <c r="T729">
        <f t="shared" si="1003"/>
        <v>-16.568961387348327</v>
      </c>
    </row>
    <row r="730" spans="1:20" x14ac:dyDescent="0.25">
      <c r="A730" s="5">
        <v>43863</v>
      </c>
      <c r="B730">
        <v>2.49E-3</v>
      </c>
      <c r="C730">
        <v>2.5630000000000002E-3</v>
      </c>
      <c r="D730">
        <v>2.4889999999999999E-3</v>
      </c>
      <c r="E730">
        <v>2.5279999999999999E-3</v>
      </c>
      <c r="F730">
        <v>10386777</v>
      </c>
      <c r="G730">
        <v>0</v>
      </c>
      <c r="L730" t="s">
        <v>7</v>
      </c>
      <c r="M730" t="s">
        <v>8</v>
      </c>
      <c r="N730" t="s">
        <v>7</v>
      </c>
      <c r="P730">
        <f t="shared" si="999"/>
        <v>5.4054054054049304E-2</v>
      </c>
      <c r="Q730">
        <f t="shared" si="1000"/>
        <v>561447.40540535608</v>
      </c>
      <c r="R730">
        <f t="shared" si="1001"/>
        <v>-1662320241.5191464</v>
      </c>
      <c r="S730">
        <f t="shared" si="1002"/>
        <v>-16623.202415191463</v>
      </c>
      <c r="T730">
        <f t="shared" si="1003"/>
        <v>-16.623202415191464</v>
      </c>
    </row>
    <row r="731" spans="1:20" x14ac:dyDescent="0.25">
      <c r="A731" s="5">
        <v>43862</v>
      </c>
      <c r="B731">
        <v>2.4989999999999999E-3</v>
      </c>
      <c r="C731">
        <v>2.5179999999999998E-3</v>
      </c>
      <c r="D731">
        <v>2.4589999999999998E-3</v>
      </c>
      <c r="E731">
        <v>2.496E-3</v>
      </c>
      <c r="F731">
        <v>7672971</v>
      </c>
      <c r="G731">
        <v>0</v>
      </c>
      <c r="L731" t="s">
        <v>7</v>
      </c>
      <c r="M731" t="s">
        <v>8</v>
      </c>
      <c r="N731" t="s">
        <v>7</v>
      </c>
      <c r="P731">
        <f t="shared" si="999"/>
        <v>0.25423728813559748</v>
      </c>
      <c r="Q731">
        <f t="shared" si="1000"/>
        <v>1950755.3389830836</v>
      </c>
      <c r="R731">
        <f t="shared" si="1001"/>
        <v>-1662881688.9245517</v>
      </c>
      <c r="S731">
        <f t="shared" si="1002"/>
        <v>-16628.816889245518</v>
      </c>
      <c r="T731">
        <f t="shared" si="1003"/>
        <v>-16.628816889245517</v>
      </c>
    </row>
    <row r="732" spans="1:20" x14ac:dyDescent="0.25">
      <c r="A732" s="5">
        <v>43861</v>
      </c>
      <c r="B732">
        <v>2.4810000000000001E-3</v>
      </c>
      <c r="C732">
        <v>2.5509999999999999E-3</v>
      </c>
      <c r="D732">
        <v>2.454E-3</v>
      </c>
      <c r="E732">
        <v>2.4819999999999998E-3</v>
      </c>
      <c r="F732">
        <v>13255817</v>
      </c>
      <c r="G732">
        <v>0</v>
      </c>
      <c r="L732" t="s">
        <v>7</v>
      </c>
      <c r="M732" t="s">
        <v>8</v>
      </c>
      <c r="N732" t="s">
        <v>7</v>
      </c>
      <c r="P732">
        <f t="shared" si="999"/>
        <v>-0.42268041237113707</v>
      </c>
      <c r="Q732">
        <f t="shared" si="1000"/>
        <v>-5602974.1958763292</v>
      </c>
      <c r="R732">
        <f t="shared" si="1001"/>
        <v>-1664832444.2635348</v>
      </c>
      <c r="S732">
        <f t="shared" si="1002"/>
        <v>-16648.324442635349</v>
      </c>
      <c r="T732">
        <f t="shared" si="1003"/>
        <v>-16.648324442635349</v>
      </c>
    </row>
    <row r="733" spans="1:20" x14ac:dyDescent="0.25">
      <c r="A733" s="5">
        <v>43860</v>
      </c>
      <c r="B733">
        <v>2.4810000000000001E-3</v>
      </c>
      <c r="C733">
        <v>2.5219999999999999E-3</v>
      </c>
      <c r="D733">
        <v>2.3999999999999998E-3</v>
      </c>
      <c r="E733">
        <v>2.4979999999999998E-3</v>
      </c>
      <c r="F733">
        <v>48559881</v>
      </c>
      <c r="G733">
        <v>0</v>
      </c>
      <c r="L733" t="s">
        <v>7</v>
      </c>
      <c r="M733" t="s">
        <v>8</v>
      </c>
      <c r="N733" t="s">
        <v>7</v>
      </c>
      <c r="P733">
        <f t="shared" si="999"/>
        <v>0.60655737704917834</v>
      </c>
      <c r="Q733">
        <f t="shared" si="1000"/>
        <v>29454354.049180232</v>
      </c>
      <c r="R733">
        <f t="shared" si="1001"/>
        <v>-1659229470.0676584</v>
      </c>
      <c r="S733">
        <f t="shared" si="1002"/>
        <v>-16592.294700676583</v>
      </c>
      <c r="T733">
        <f t="shared" si="1003"/>
        <v>-16.592294700676582</v>
      </c>
    </row>
    <row r="734" spans="1:20" x14ac:dyDescent="0.25">
      <c r="A734" s="5">
        <v>43859</v>
      </c>
      <c r="B734">
        <v>2.6180000000000001E-3</v>
      </c>
      <c r="C734">
        <v>2.6389999999999999E-3</v>
      </c>
      <c r="D734">
        <v>2.48E-3</v>
      </c>
      <c r="E734">
        <v>2.4810000000000001E-3</v>
      </c>
      <c r="F734">
        <v>12975593</v>
      </c>
      <c r="G734">
        <v>0</v>
      </c>
      <c r="L734" t="s">
        <v>8</v>
      </c>
      <c r="M734" t="s">
        <v>8</v>
      </c>
      <c r="N734" t="s">
        <v>7</v>
      </c>
      <c r="P734">
        <f t="shared" si="999"/>
        <v>-0.98742138364779708</v>
      </c>
      <c r="Q734">
        <f t="shared" si="1000"/>
        <v>-12812377.993710671</v>
      </c>
      <c r="R734">
        <f t="shared" si="1001"/>
        <v>-1688683824.1168387</v>
      </c>
      <c r="S734">
        <f t="shared" si="1002"/>
        <v>-16886.838241168385</v>
      </c>
      <c r="T734">
        <f t="shared" si="1003"/>
        <v>-16.886838241168384</v>
      </c>
    </row>
    <row r="735" spans="1:20" x14ac:dyDescent="0.25">
      <c r="A735" s="5">
        <v>43858</v>
      </c>
      <c r="B735">
        <v>2.5739999999999999E-3</v>
      </c>
      <c r="C735">
        <v>2.6210000000000001E-3</v>
      </c>
      <c r="D735">
        <v>2.5360000000000001E-3</v>
      </c>
      <c r="E735">
        <v>2.5999999999999999E-3</v>
      </c>
      <c r="F735">
        <v>11266639</v>
      </c>
      <c r="G735">
        <v>0</v>
      </c>
      <c r="L735" t="s">
        <v>8</v>
      </c>
      <c r="M735" t="s">
        <v>8</v>
      </c>
      <c r="N735" t="s">
        <v>7</v>
      </c>
      <c r="P735">
        <f t="shared" si="999"/>
        <v>0.50588235294117212</v>
      </c>
      <c r="Q735">
        <f t="shared" si="1000"/>
        <v>5699593.8470587749</v>
      </c>
      <c r="R735">
        <f t="shared" si="1001"/>
        <v>-1675871446.1231279</v>
      </c>
      <c r="S735">
        <f t="shared" si="1002"/>
        <v>-16758.71446123128</v>
      </c>
      <c r="T735">
        <f t="shared" si="1003"/>
        <v>-16.758714461231282</v>
      </c>
    </row>
    <row r="736" spans="1:20" x14ac:dyDescent="0.25">
      <c r="A736" s="5">
        <v>43857</v>
      </c>
      <c r="B736">
        <v>2.5000000000000001E-3</v>
      </c>
      <c r="C736">
        <v>2.643E-3</v>
      </c>
      <c r="D736">
        <v>2.447E-3</v>
      </c>
      <c r="E736">
        <v>2.5739999999999999E-3</v>
      </c>
      <c r="F736">
        <v>86501385</v>
      </c>
      <c r="G736">
        <v>0</v>
      </c>
      <c r="L736" t="s">
        <v>8</v>
      </c>
      <c r="M736" t="s">
        <v>8</v>
      </c>
      <c r="N736" t="s">
        <v>7</v>
      </c>
      <c r="P736">
        <f t="shared" si="999"/>
        <v>0.29591836734693822</v>
      </c>
      <c r="Q736">
        <f t="shared" si="1000"/>
        <v>25597348.622448932</v>
      </c>
      <c r="R736">
        <f t="shared" si="1001"/>
        <v>-1681571039.9701867</v>
      </c>
      <c r="S736">
        <f t="shared" si="1002"/>
        <v>-16815.710399701868</v>
      </c>
      <c r="T736">
        <f t="shared" si="1003"/>
        <v>-16.815710399701867</v>
      </c>
    </row>
    <row r="737" spans="1:20" x14ac:dyDescent="0.25">
      <c r="A737" s="5">
        <v>43856</v>
      </c>
      <c r="B737">
        <v>2.467E-3</v>
      </c>
      <c r="C737">
        <v>2.5500000000000002E-3</v>
      </c>
      <c r="D737">
        <v>2.4499999999999999E-3</v>
      </c>
      <c r="E737">
        <v>2.5000000000000001E-3</v>
      </c>
      <c r="F737">
        <v>26982672</v>
      </c>
      <c r="G737">
        <v>0</v>
      </c>
      <c r="L737" t="s">
        <v>7</v>
      </c>
      <c r="M737" t="s">
        <v>8</v>
      </c>
      <c r="N737" t="s">
        <v>7</v>
      </c>
      <c r="P737">
        <f t="shared" si="999"/>
        <v>0</v>
      </c>
      <c r="Q737">
        <f t="shared" si="1000"/>
        <v>0</v>
      </c>
      <c r="R737">
        <f t="shared" si="1001"/>
        <v>-1707168388.5926356</v>
      </c>
      <c r="S737">
        <f t="shared" si="1002"/>
        <v>-17071.683885926355</v>
      </c>
      <c r="T737">
        <f t="shared" si="1003"/>
        <v>-17.071683885926355</v>
      </c>
    </row>
    <row r="738" spans="1:20" x14ac:dyDescent="0.25">
      <c r="A738" s="5">
        <v>43855</v>
      </c>
      <c r="B738">
        <v>2.4489999999999998E-3</v>
      </c>
      <c r="C738">
        <v>2.4889999999999999E-3</v>
      </c>
      <c r="D738">
        <v>2.4290000000000002E-3</v>
      </c>
      <c r="E738">
        <v>2.4889999999999999E-3</v>
      </c>
      <c r="F738">
        <v>7929305</v>
      </c>
      <c r="G738">
        <v>0</v>
      </c>
      <c r="L738" t="s">
        <v>7</v>
      </c>
      <c r="M738" t="s">
        <v>8</v>
      </c>
      <c r="N738" t="s">
        <v>7</v>
      </c>
      <c r="P738">
        <f t="shared" si="999"/>
        <v>1</v>
      </c>
      <c r="Q738">
        <f t="shared" si="1000"/>
        <v>7929305</v>
      </c>
      <c r="R738">
        <f t="shared" si="1001"/>
        <v>-1707168388.5926356</v>
      </c>
      <c r="S738">
        <f t="shared" si="1002"/>
        <v>-17071.683885926355</v>
      </c>
      <c r="T738">
        <f t="shared" si="1003"/>
        <v>-17.071683885926355</v>
      </c>
    </row>
    <row r="739" spans="1:20" x14ac:dyDescent="0.25">
      <c r="A739" s="5">
        <v>43854</v>
      </c>
      <c r="B739">
        <v>2.5170000000000001E-3</v>
      </c>
      <c r="C739">
        <v>2.529E-3</v>
      </c>
      <c r="D739">
        <v>2.4039999999999999E-3</v>
      </c>
      <c r="E739">
        <v>2.4489999999999998E-3</v>
      </c>
      <c r="F739">
        <v>19106311</v>
      </c>
      <c r="G739">
        <v>0</v>
      </c>
      <c r="L739" t="s">
        <v>7</v>
      </c>
      <c r="M739" t="s">
        <v>8</v>
      </c>
      <c r="N739" t="s">
        <v>7</v>
      </c>
      <c r="P739">
        <f t="shared" si="999"/>
        <v>-0.28000000000000225</v>
      </c>
      <c r="Q739">
        <f t="shared" si="1000"/>
        <v>-5349767.0800000429</v>
      </c>
      <c r="R739">
        <f t="shared" si="1001"/>
        <v>-1715097693.5926356</v>
      </c>
      <c r="S739">
        <f t="shared" si="1002"/>
        <v>-17150.976935926356</v>
      </c>
      <c r="T739">
        <f t="shared" si="1003"/>
        <v>-17.150976935926355</v>
      </c>
    </row>
    <row r="740" spans="1:20" x14ac:dyDescent="0.25">
      <c r="A740" s="5">
        <v>43853</v>
      </c>
      <c r="B740">
        <v>2.5360000000000001E-3</v>
      </c>
      <c r="C740">
        <v>2.6949999999999999E-3</v>
      </c>
      <c r="D740">
        <v>2.4620000000000002E-3</v>
      </c>
      <c r="E740">
        <v>2.4919999999999999E-3</v>
      </c>
      <c r="F740">
        <v>13429515</v>
      </c>
      <c r="G740">
        <v>0</v>
      </c>
      <c r="L740" t="s">
        <v>8</v>
      </c>
      <c r="M740" t="s">
        <v>8</v>
      </c>
      <c r="N740" t="s">
        <v>7</v>
      </c>
      <c r="P740">
        <f t="shared" si="999"/>
        <v>-0.74248927038626877</v>
      </c>
      <c r="Q740">
        <f t="shared" si="1000"/>
        <v>-9971270.7939914521</v>
      </c>
      <c r="R740">
        <f t="shared" si="1001"/>
        <v>-1709747926.5126355</v>
      </c>
      <c r="S740">
        <f t="shared" si="1002"/>
        <v>-17097.479265126356</v>
      </c>
      <c r="T740">
        <f t="shared" si="1003"/>
        <v>-17.097479265126356</v>
      </c>
    </row>
    <row r="741" spans="1:20" x14ac:dyDescent="0.25">
      <c r="A741" s="5">
        <v>43852</v>
      </c>
      <c r="B741">
        <v>2.5119999999999999E-3</v>
      </c>
      <c r="C741">
        <v>2.6700000000000001E-3</v>
      </c>
      <c r="D741">
        <v>2.5070000000000001E-3</v>
      </c>
      <c r="E741">
        <v>2.5149999999999999E-3</v>
      </c>
      <c r="F741">
        <v>23939933</v>
      </c>
      <c r="G741">
        <v>0</v>
      </c>
      <c r="L741" t="s">
        <v>8</v>
      </c>
      <c r="M741" t="s">
        <v>8</v>
      </c>
      <c r="N741" t="s">
        <v>7</v>
      </c>
      <c r="P741">
        <f t="shared" si="999"/>
        <v>-0.90184049079754891</v>
      </c>
      <c r="Q741">
        <f t="shared" si="1000"/>
        <v>-21590000.926380437</v>
      </c>
      <c r="R741">
        <f t="shared" si="1001"/>
        <v>-1699776655.7186439</v>
      </c>
      <c r="S741">
        <f t="shared" si="1002"/>
        <v>-16997.766557186438</v>
      </c>
      <c r="T741">
        <f t="shared" si="1003"/>
        <v>-16.997766557186438</v>
      </c>
    </row>
    <row r="742" spans="1:20" x14ac:dyDescent="0.25">
      <c r="A742" s="5">
        <v>43851</v>
      </c>
      <c r="B742">
        <v>2.5699999999999998E-3</v>
      </c>
      <c r="C742">
        <v>2.594E-3</v>
      </c>
      <c r="D742">
        <v>2.4759999999999999E-3</v>
      </c>
      <c r="E742">
        <v>2.5140000000000002E-3</v>
      </c>
      <c r="F742">
        <v>13636848</v>
      </c>
      <c r="G742">
        <v>0</v>
      </c>
      <c r="L742" t="s">
        <v>8</v>
      </c>
      <c r="M742" t="s">
        <v>8</v>
      </c>
      <c r="N742" t="s">
        <v>7</v>
      </c>
      <c r="P742">
        <f t="shared" si="999"/>
        <v>-0.35593220338982617</v>
      </c>
      <c r="Q742">
        <f t="shared" si="1000"/>
        <v>-4853793.3559321444</v>
      </c>
      <c r="R742">
        <f t="shared" si="1001"/>
        <v>-1678186654.7922635</v>
      </c>
      <c r="S742">
        <f t="shared" si="1002"/>
        <v>-16781.866547922637</v>
      </c>
      <c r="T742">
        <f t="shared" si="1003"/>
        <v>-16.781866547922636</v>
      </c>
    </row>
    <row r="743" spans="1:20" x14ac:dyDescent="0.25">
      <c r="A743" s="5">
        <v>43850</v>
      </c>
      <c r="B743">
        <v>2.467E-3</v>
      </c>
      <c r="C743">
        <v>2.5990000000000002E-3</v>
      </c>
      <c r="D743">
        <v>2.4260000000000002E-3</v>
      </c>
      <c r="E743">
        <v>2.5790000000000001E-3</v>
      </c>
      <c r="F743">
        <v>13973328</v>
      </c>
      <c r="G743">
        <v>0</v>
      </c>
      <c r="L743" t="s">
        <v>8</v>
      </c>
      <c r="M743" t="s">
        <v>8</v>
      </c>
      <c r="N743" t="s">
        <v>7</v>
      </c>
      <c r="P743">
        <f t="shared" si="999"/>
        <v>0.7687861271676294</v>
      </c>
      <c r="Q743">
        <f t="shared" si="1000"/>
        <v>10742500.716762997</v>
      </c>
      <c r="R743">
        <f t="shared" si="1001"/>
        <v>-1673332861.4363313</v>
      </c>
      <c r="S743">
        <f t="shared" si="1002"/>
        <v>-16733.328614363312</v>
      </c>
      <c r="T743">
        <f t="shared" si="1003"/>
        <v>-16.733328614363312</v>
      </c>
    </row>
    <row r="744" spans="1:20" x14ac:dyDescent="0.25">
      <c r="A744" s="5">
        <v>43849</v>
      </c>
      <c r="B744">
        <v>2.5829999999999998E-3</v>
      </c>
      <c r="C744">
        <v>2.6340000000000001E-3</v>
      </c>
      <c r="D744">
        <v>2.372E-3</v>
      </c>
      <c r="E744">
        <v>2.4599999999999999E-3</v>
      </c>
      <c r="F744">
        <v>31255829</v>
      </c>
      <c r="G744">
        <v>0</v>
      </c>
      <c r="L744" t="s">
        <v>7</v>
      </c>
      <c r="M744" t="s">
        <v>8</v>
      </c>
      <c r="N744" t="s">
        <v>7</v>
      </c>
      <c r="P744">
        <f t="shared" si="999"/>
        <v>-0.32824427480916074</v>
      </c>
      <c r="Q744">
        <f t="shared" si="1000"/>
        <v>-10259546.923664136</v>
      </c>
      <c r="R744">
        <f t="shared" si="1001"/>
        <v>-1684075362.1530943</v>
      </c>
      <c r="S744">
        <f t="shared" si="1002"/>
        <v>-16840.753621530945</v>
      </c>
      <c r="T744">
        <f t="shared" si="1003"/>
        <v>-16.840753621530943</v>
      </c>
    </row>
    <row r="745" spans="1:20" x14ac:dyDescent="0.25">
      <c r="A745" s="5">
        <v>43848</v>
      </c>
      <c r="B745">
        <v>2.5839999999999999E-3</v>
      </c>
      <c r="C745">
        <v>2.6689999999999999E-3</v>
      </c>
      <c r="D745">
        <v>2.5720000000000001E-3</v>
      </c>
      <c r="E745">
        <v>2.591E-3</v>
      </c>
      <c r="F745">
        <v>10843695</v>
      </c>
      <c r="G745">
        <v>0</v>
      </c>
      <c r="L745" t="s">
        <v>7</v>
      </c>
      <c r="M745" t="s">
        <v>8</v>
      </c>
      <c r="N745" t="s">
        <v>7</v>
      </c>
      <c r="P745">
        <f t="shared" si="999"/>
        <v>-0.60824742268041343</v>
      </c>
      <c r="Q745">
        <f t="shared" si="1000"/>
        <v>-6595649.5360824857</v>
      </c>
      <c r="R745">
        <f t="shared" si="1001"/>
        <v>-1673815815.2294302</v>
      </c>
      <c r="S745">
        <f t="shared" si="1002"/>
        <v>-16738.158152294302</v>
      </c>
      <c r="T745">
        <f t="shared" si="1003"/>
        <v>-16.7381581522943</v>
      </c>
    </row>
    <row r="746" spans="1:20" x14ac:dyDescent="0.25">
      <c r="A746" s="5">
        <v>43847</v>
      </c>
      <c r="B746">
        <v>2.5839999999999999E-3</v>
      </c>
      <c r="C746">
        <v>2.5999999999999999E-3</v>
      </c>
      <c r="D746">
        <v>2.5000000000000001E-3</v>
      </c>
      <c r="E746">
        <v>2.598E-3</v>
      </c>
      <c r="F746">
        <v>41056806</v>
      </c>
      <c r="G746">
        <v>0</v>
      </c>
      <c r="L746" t="s">
        <v>7</v>
      </c>
      <c r="M746" t="s">
        <v>8</v>
      </c>
      <c r="N746" t="s">
        <v>7</v>
      </c>
      <c r="P746">
        <f t="shared" si="999"/>
        <v>0.9600000000000033</v>
      </c>
      <c r="Q746">
        <f t="shared" si="1000"/>
        <v>39414533.760000132</v>
      </c>
      <c r="R746">
        <f t="shared" si="1001"/>
        <v>-1667220165.6933477</v>
      </c>
      <c r="S746">
        <f t="shared" si="1002"/>
        <v>-16672.201656933477</v>
      </c>
      <c r="T746">
        <f t="shared" si="1003"/>
        <v>-16.672201656933478</v>
      </c>
    </row>
    <row r="747" spans="1:20" x14ac:dyDescent="0.25">
      <c r="A747" s="5">
        <v>43846</v>
      </c>
      <c r="B747">
        <v>2.5509999999999999E-3</v>
      </c>
      <c r="C747">
        <v>2.5860000000000002E-3</v>
      </c>
      <c r="D747">
        <v>2.48E-3</v>
      </c>
      <c r="E747">
        <v>2.5839999999999999E-3</v>
      </c>
      <c r="F747">
        <v>35075812</v>
      </c>
      <c r="G747">
        <v>0</v>
      </c>
      <c r="L747" t="s">
        <v>7</v>
      </c>
      <c r="M747" t="s">
        <v>8</v>
      </c>
      <c r="N747" t="s">
        <v>7</v>
      </c>
      <c r="P747">
        <f t="shared" si="999"/>
        <v>0.96226415094339124</v>
      </c>
      <c r="Q747">
        <f t="shared" si="1000"/>
        <v>33752196.452830017</v>
      </c>
      <c r="R747">
        <f t="shared" si="1001"/>
        <v>-1706634699.4533479</v>
      </c>
      <c r="S747">
        <f t="shared" si="1002"/>
        <v>-17066.34699453348</v>
      </c>
      <c r="T747">
        <f t="shared" si="1003"/>
        <v>-17.066346994533479</v>
      </c>
    </row>
    <row r="748" spans="1:20" x14ac:dyDescent="0.25">
      <c r="A748" s="5">
        <v>43845</v>
      </c>
      <c r="B748">
        <v>2.565E-3</v>
      </c>
      <c r="C748">
        <v>2.7499999999999998E-3</v>
      </c>
      <c r="D748">
        <v>2.503E-3</v>
      </c>
      <c r="E748">
        <v>2.5669999999999998E-3</v>
      </c>
      <c r="F748">
        <v>83067099</v>
      </c>
      <c r="G748">
        <v>0</v>
      </c>
      <c r="L748" t="s">
        <v>8</v>
      </c>
      <c r="M748" t="s">
        <v>8</v>
      </c>
      <c r="N748" t="s">
        <v>7</v>
      </c>
      <c r="P748">
        <f t="shared" si="999"/>
        <v>-0.48178137651821973</v>
      </c>
      <c r="Q748">
        <f t="shared" si="1000"/>
        <v>-40020181.299595237</v>
      </c>
      <c r="R748">
        <f t="shared" si="1001"/>
        <v>-1740386895.906178</v>
      </c>
      <c r="S748">
        <f t="shared" si="1002"/>
        <v>-17403.86895906178</v>
      </c>
      <c r="T748">
        <f t="shared" si="1003"/>
        <v>-17.403868959061779</v>
      </c>
    </row>
    <row r="749" spans="1:20" x14ac:dyDescent="0.25">
      <c r="A749" s="5">
        <v>43844</v>
      </c>
      <c r="B749">
        <v>2.4559999999999998E-3</v>
      </c>
      <c r="C749">
        <v>2.5820000000000001E-3</v>
      </c>
      <c r="D749">
        <v>2.4459999999999998E-3</v>
      </c>
      <c r="E749">
        <v>2.5720000000000001E-3</v>
      </c>
      <c r="F749">
        <v>16017245</v>
      </c>
      <c r="G749">
        <v>0</v>
      </c>
      <c r="L749" t="s">
        <v>8</v>
      </c>
      <c r="M749" t="s">
        <v>7</v>
      </c>
      <c r="N749" t="s">
        <v>7</v>
      </c>
      <c r="P749">
        <f t="shared" si="999"/>
        <v>0.85294117647058809</v>
      </c>
      <c r="Q749">
        <f t="shared" si="1000"/>
        <v>13661767.794117644</v>
      </c>
      <c r="R749">
        <f t="shared" si="1001"/>
        <v>-1700366714.6065826</v>
      </c>
      <c r="S749">
        <f t="shared" si="1002"/>
        <v>-17003.667146065825</v>
      </c>
      <c r="T749">
        <f t="shared" si="1003"/>
        <v>-17.003667146065826</v>
      </c>
    </row>
    <row r="750" spans="1:20" x14ac:dyDescent="0.25">
      <c r="A750" s="5">
        <v>43843</v>
      </c>
      <c r="B750">
        <v>2.4290000000000002E-3</v>
      </c>
      <c r="C750">
        <v>2.5869999999999999E-3</v>
      </c>
      <c r="D750">
        <v>2.405E-3</v>
      </c>
      <c r="E750">
        <v>2.4559999999999998E-3</v>
      </c>
      <c r="F750">
        <v>15227863</v>
      </c>
      <c r="G750">
        <v>0</v>
      </c>
      <c r="L750" t="s">
        <v>8</v>
      </c>
      <c r="M750" t="s">
        <v>7</v>
      </c>
      <c r="N750" t="s">
        <v>7</v>
      </c>
      <c r="P750">
        <f t="shared" si="999"/>
        <v>-0.43956043956044105</v>
      </c>
      <c r="Q750">
        <f t="shared" si="1000"/>
        <v>-6693566.1538461763</v>
      </c>
      <c r="R750">
        <f t="shared" si="1001"/>
        <v>-1714028482.4007003</v>
      </c>
      <c r="S750">
        <f t="shared" si="1002"/>
        <v>-17140.284824007002</v>
      </c>
      <c r="T750">
        <f t="shared" si="1003"/>
        <v>-17.140284824007001</v>
      </c>
    </row>
    <row r="751" spans="1:20" x14ac:dyDescent="0.25">
      <c r="A751" s="5">
        <v>43842</v>
      </c>
      <c r="B751">
        <v>2.3909999999999999E-3</v>
      </c>
      <c r="C751">
        <v>2.4520000000000002E-3</v>
      </c>
      <c r="D751">
        <v>2.3640000000000002E-3</v>
      </c>
      <c r="E751">
        <v>2.4520000000000002E-3</v>
      </c>
      <c r="F751">
        <v>8673261</v>
      </c>
      <c r="G751">
        <v>0</v>
      </c>
      <c r="L751" t="s">
        <v>7</v>
      </c>
      <c r="M751" t="s">
        <v>7</v>
      </c>
      <c r="N751" t="s">
        <v>7</v>
      </c>
      <c r="P751">
        <f t="shared" si="999"/>
        <v>1</v>
      </c>
      <c r="Q751">
        <f t="shared" si="1000"/>
        <v>8673261</v>
      </c>
      <c r="R751">
        <f t="shared" si="1001"/>
        <v>-1707334916.2468541</v>
      </c>
      <c r="S751">
        <f t="shared" si="1002"/>
        <v>-17073.349162468541</v>
      </c>
      <c r="T751">
        <f t="shared" si="1003"/>
        <v>-17.073349162468542</v>
      </c>
    </row>
    <row r="752" spans="1:20" x14ac:dyDescent="0.25">
      <c r="A752" s="5">
        <v>43841</v>
      </c>
      <c r="B752">
        <v>2.421E-3</v>
      </c>
      <c r="C752">
        <v>2.4650000000000002E-3</v>
      </c>
      <c r="D752">
        <v>2.3839999999999998E-3</v>
      </c>
      <c r="E752">
        <v>2.4030000000000002E-3</v>
      </c>
      <c r="F752">
        <v>21907344</v>
      </c>
      <c r="G752">
        <v>0</v>
      </c>
      <c r="L752" t="s">
        <v>7</v>
      </c>
      <c r="M752" t="s">
        <v>7</v>
      </c>
      <c r="N752" t="s">
        <v>7</v>
      </c>
      <c r="P752">
        <f t="shared" si="999"/>
        <v>-0.53086419753085745</v>
      </c>
      <c r="Q752">
        <f t="shared" si="1000"/>
        <v>-11629824.592592444</v>
      </c>
      <c r="R752">
        <f t="shared" si="1001"/>
        <v>-1716008177.2468541</v>
      </c>
      <c r="S752">
        <f t="shared" si="1002"/>
        <v>-17160.08177246854</v>
      </c>
      <c r="T752">
        <f t="shared" si="1003"/>
        <v>-17.160081772468541</v>
      </c>
    </row>
    <row r="753" spans="1:20" x14ac:dyDescent="0.25">
      <c r="A753" s="5">
        <v>43840</v>
      </c>
      <c r="B753">
        <v>2.4120000000000001E-3</v>
      </c>
      <c r="C753">
        <v>2.454E-3</v>
      </c>
      <c r="D753">
        <v>2.3869999999999998E-3</v>
      </c>
      <c r="E753">
        <v>2.4020000000000001E-3</v>
      </c>
      <c r="F753">
        <v>9491842</v>
      </c>
      <c r="G753">
        <v>0</v>
      </c>
      <c r="L753" t="s">
        <v>7</v>
      </c>
      <c r="M753" t="s">
        <v>7</v>
      </c>
      <c r="N753" t="s">
        <v>7</v>
      </c>
      <c r="P753">
        <f t="shared" si="999"/>
        <v>-0.55223880597014308</v>
      </c>
      <c r="Q753">
        <f t="shared" si="1000"/>
        <v>-5241763.4925372545</v>
      </c>
      <c r="R753">
        <f t="shared" si="1001"/>
        <v>-1704378352.6542616</v>
      </c>
      <c r="S753">
        <f t="shared" si="1002"/>
        <v>-17043.783526542615</v>
      </c>
      <c r="T753">
        <f t="shared" si="1003"/>
        <v>-17.043783526542615</v>
      </c>
    </row>
    <row r="754" spans="1:20" x14ac:dyDescent="0.25">
      <c r="A754" s="5">
        <v>43839</v>
      </c>
      <c r="B754">
        <v>2.5110000000000002E-3</v>
      </c>
      <c r="C754">
        <v>2.6150000000000001E-3</v>
      </c>
      <c r="D754">
        <v>2.3939999999999999E-3</v>
      </c>
      <c r="E754">
        <v>2.395E-3</v>
      </c>
      <c r="F754">
        <v>49037983</v>
      </c>
      <c r="G754">
        <v>0</v>
      </c>
      <c r="L754" t="s">
        <v>7</v>
      </c>
      <c r="M754" t="s">
        <v>7</v>
      </c>
      <c r="N754" t="s">
        <v>7</v>
      </c>
      <c r="P754">
        <f t="shared" si="999"/>
        <v>-0.9909502262443427</v>
      </c>
      <c r="Q754">
        <f t="shared" si="1000"/>
        <v>-48594200.348416232</v>
      </c>
      <c r="R754">
        <f t="shared" si="1001"/>
        <v>-1699136589.1617243</v>
      </c>
      <c r="S754">
        <f t="shared" si="1002"/>
        <v>-16991.365891617243</v>
      </c>
      <c r="T754">
        <f t="shared" si="1003"/>
        <v>-16.991365891617242</v>
      </c>
    </row>
    <row r="755" spans="1:20" x14ac:dyDescent="0.25">
      <c r="A755" s="5">
        <v>43838</v>
      </c>
      <c r="B755">
        <v>2.382E-3</v>
      </c>
      <c r="C755">
        <v>2.7169999999999998E-3</v>
      </c>
      <c r="D755">
        <v>2.356E-3</v>
      </c>
      <c r="E755">
        <v>2.5110000000000002E-3</v>
      </c>
      <c r="F755">
        <v>50778250</v>
      </c>
      <c r="G755">
        <v>0</v>
      </c>
      <c r="L755" t="s">
        <v>8</v>
      </c>
      <c r="M755" t="s">
        <v>7</v>
      </c>
      <c r="N755" t="s">
        <v>7</v>
      </c>
      <c r="P755">
        <f t="shared" si="999"/>
        <v>-0.14127423822714524</v>
      </c>
      <c r="Q755">
        <f t="shared" si="1000"/>
        <v>-7173658.587257538</v>
      </c>
      <c r="R755">
        <f t="shared" si="1001"/>
        <v>-1650542388.813308</v>
      </c>
      <c r="S755">
        <f t="shared" si="1002"/>
        <v>-16505.423888133078</v>
      </c>
      <c r="T755">
        <f t="shared" si="1003"/>
        <v>-16.505423888133077</v>
      </c>
    </row>
    <row r="756" spans="1:20" x14ac:dyDescent="0.25">
      <c r="A756" s="5">
        <v>43837</v>
      </c>
      <c r="B756">
        <v>2.4610000000000001E-3</v>
      </c>
      <c r="C756">
        <v>2.49E-3</v>
      </c>
      <c r="D756">
        <v>2.2799999999999999E-3</v>
      </c>
      <c r="E756">
        <v>2.382E-3</v>
      </c>
      <c r="F756">
        <v>45072085</v>
      </c>
      <c r="G756">
        <v>0</v>
      </c>
      <c r="L756" t="s">
        <v>7</v>
      </c>
      <c r="M756" t="s">
        <v>7</v>
      </c>
      <c r="N756" t="s">
        <v>7</v>
      </c>
      <c r="P756">
        <f t="shared" si="999"/>
        <v>-2.8571428571428217E-2</v>
      </c>
      <c r="Q756">
        <f t="shared" si="1000"/>
        <v>-1287773.8571428412</v>
      </c>
      <c r="R756">
        <f t="shared" si="1001"/>
        <v>-1643368730.2260504</v>
      </c>
      <c r="S756">
        <f t="shared" si="1002"/>
        <v>-16433.687302260503</v>
      </c>
      <c r="T756">
        <f t="shared" si="1003"/>
        <v>-16.433687302260502</v>
      </c>
    </row>
    <row r="757" spans="1:20" x14ac:dyDescent="0.25">
      <c r="A757" s="5">
        <v>43836</v>
      </c>
      <c r="B757">
        <v>2.4239999999999999E-3</v>
      </c>
      <c r="C757">
        <v>2.519E-3</v>
      </c>
      <c r="D757">
        <v>2.4199999999999998E-3</v>
      </c>
      <c r="E757">
        <v>2.4610000000000001E-3</v>
      </c>
      <c r="F757">
        <v>21903342</v>
      </c>
      <c r="G757">
        <v>0</v>
      </c>
      <c r="L757" t="s">
        <v>8</v>
      </c>
      <c r="M757" t="s">
        <v>7</v>
      </c>
      <c r="N757" t="s">
        <v>7</v>
      </c>
      <c r="P757">
        <f t="shared" si="999"/>
        <v>-0.17171717171716799</v>
      </c>
      <c r="Q757">
        <f t="shared" si="1000"/>
        <v>-3761179.939393858</v>
      </c>
      <c r="R757">
        <f t="shared" si="1001"/>
        <v>-1642080956.3689075</v>
      </c>
      <c r="S757">
        <f t="shared" si="1002"/>
        <v>-16420.809563689076</v>
      </c>
      <c r="T757">
        <f t="shared" si="1003"/>
        <v>-16.420809563689076</v>
      </c>
    </row>
    <row r="758" spans="1:20" x14ac:dyDescent="0.25">
      <c r="A758" s="5">
        <v>43835</v>
      </c>
      <c r="B758">
        <v>2.431E-3</v>
      </c>
      <c r="C758">
        <v>2.4780000000000002E-3</v>
      </c>
      <c r="D758">
        <v>2.4060000000000002E-3</v>
      </c>
      <c r="E758">
        <v>2.4120000000000001E-3</v>
      </c>
      <c r="F758">
        <v>8692556</v>
      </c>
      <c r="G758">
        <v>0</v>
      </c>
      <c r="L758" t="s">
        <v>8</v>
      </c>
      <c r="M758" t="s">
        <v>7</v>
      </c>
      <c r="N758" t="s">
        <v>7</v>
      </c>
      <c r="P758">
        <f t="shared" si="999"/>
        <v>-0.83333333333333537</v>
      </c>
      <c r="Q758">
        <f t="shared" si="1000"/>
        <v>-7243796.6666666847</v>
      </c>
      <c r="R758">
        <f t="shared" si="1001"/>
        <v>-1638319776.4295137</v>
      </c>
      <c r="S758">
        <f t="shared" si="1002"/>
        <v>-16383.197764295137</v>
      </c>
      <c r="T758">
        <f t="shared" si="1003"/>
        <v>-16.383197764295137</v>
      </c>
    </row>
    <row r="759" spans="1:20" x14ac:dyDescent="0.25">
      <c r="A759" s="5">
        <v>43834</v>
      </c>
      <c r="B759">
        <v>2.4039999999999999E-3</v>
      </c>
      <c r="C759">
        <v>2.4290000000000002E-3</v>
      </c>
      <c r="D759">
        <v>2.359E-3</v>
      </c>
      <c r="E759">
        <v>2.4290000000000002E-3</v>
      </c>
      <c r="F759">
        <v>5511011</v>
      </c>
      <c r="G759">
        <v>0</v>
      </c>
      <c r="L759" t="s">
        <v>8</v>
      </c>
      <c r="M759" t="s">
        <v>7</v>
      </c>
      <c r="N759" t="s">
        <v>7</v>
      </c>
      <c r="P759">
        <f t="shared" si="999"/>
        <v>1</v>
      </c>
      <c r="Q759">
        <f t="shared" si="1000"/>
        <v>5511011</v>
      </c>
      <c r="R759">
        <f t="shared" si="1001"/>
        <v>-1631075979.7628469</v>
      </c>
      <c r="S759">
        <f t="shared" si="1002"/>
        <v>-16310.759797628469</v>
      </c>
      <c r="T759">
        <f t="shared" si="1003"/>
        <v>-16.310759797628467</v>
      </c>
    </row>
    <row r="760" spans="1:20" x14ac:dyDescent="0.25">
      <c r="A760" s="5">
        <v>43833</v>
      </c>
      <c r="B760">
        <v>2.2820000000000002E-3</v>
      </c>
      <c r="C760">
        <v>2.434E-3</v>
      </c>
      <c r="D760">
        <v>2.2680000000000001E-3</v>
      </c>
      <c r="E760">
        <v>2.4030000000000002E-3</v>
      </c>
      <c r="F760">
        <v>6903924</v>
      </c>
      <c r="G760">
        <v>0</v>
      </c>
      <c r="L760" t="s">
        <v>8</v>
      </c>
      <c r="M760" t="s">
        <v>7</v>
      </c>
      <c r="N760" t="s">
        <v>7</v>
      </c>
      <c r="P760">
        <f t="shared" si="999"/>
        <v>0.626506024096388</v>
      </c>
      <c r="Q760">
        <f t="shared" si="1000"/>
        <v>4325349.9759036312</v>
      </c>
      <c r="R760">
        <f t="shared" si="1001"/>
        <v>-1636586990.7628469</v>
      </c>
      <c r="S760">
        <f t="shared" si="1002"/>
        <v>-16365.86990762847</v>
      </c>
      <c r="T760">
        <f t="shared" si="1003"/>
        <v>-16.365869907628472</v>
      </c>
    </row>
    <row r="761" spans="1:20" x14ac:dyDescent="0.25">
      <c r="A761" s="5">
        <v>43832</v>
      </c>
      <c r="B761">
        <v>2.4069999999999999E-3</v>
      </c>
      <c r="C761">
        <v>2.4250000000000001E-3</v>
      </c>
      <c r="D761">
        <v>2.261E-3</v>
      </c>
      <c r="E761">
        <v>2.297E-3</v>
      </c>
      <c r="F761">
        <v>7819556.0999999996</v>
      </c>
      <c r="G761">
        <v>0</v>
      </c>
      <c r="L761" t="s">
        <v>7</v>
      </c>
      <c r="M761" t="s">
        <v>7</v>
      </c>
      <c r="N761" t="s">
        <v>7</v>
      </c>
      <c r="P761">
        <f t="shared" si="999"/>
        <v>-0.56097560975609773</v>
      </c>
      <c r="Q761">
        <f t="shared" si="1000"/>
        <v>-4386580.2512195129</v>
      </c>
      <c r="R761">
        <f t="shared" si="1001"/>
        <v>-1640912340.7387507</v>
      </c>
      <c r="S761">
        <f t="shared" si="1002"/>
        <v>-16409.123407387506</v>
      </c>
      <c r="T761">
        <f t="shared" si="1003"/>
        <v>-16.409123407387504</v>
      </c>
    </row>
    <row r="762" spans="1:20" x14ac:dyDescent="0.25">
      <c r="A762" s="5">
        <v>43831</v>
      </c>
      <c r="B762">
        <v>2.3749999999999999E-3</v>
      </c>
      <c r="C762">
        <v>2.4269999999999999E-3</v>
      </c>
      <c r="D762">
        <v>2.356E-3</v>
      </c>
      <c r="E762">
        <v>2.3830000000000001E-3</v>
      </c>
      <c r="F762">
        <v>2544365</v>
      </c>
      <c r="G762">
        <v>0</v>
      </c>
      <c r="L762" t="s">
        <v>7</v>
      </c>
      <c r="M762" t="s">
        <v>7</v>
      </c>
      <c r="N762" t="s">
        <v>7</v>
      </c>
      <c r="P762">
        <f t="shared" si="999"/>
        <v>-0.23943661971830538</v>
      </c>
      <c r="Q762">
        <f t="shared" si="1000"/>
        <v>-609214.15492956608</v>
      </c>
      <c r="R762">
        <f t="shared" si="1001"/>
        <v>-1636525760.4875312</v>
      </c>
      <c r="S762">
        <f t="shared" si="1002"/>
        <v>-16365.257604875313</v>
      </c>
      <c r="T762">
        <f t="shared" si="1003"/>
        <v>-16.365257604875314</v>
      </c>
    </row>
    <row r="763" spans="1:20" x14ac:dyDescent="0.25">
      <c r="A763" s="5">
        <v>43830</v>
      </c>
      <c r="B763">
        <v>2.4139999999999999E-3</v>
      </c>
      <c r="C763">
        <v>2.431E-3</v>
      </c>
      <c r="D763">
        <v>2.3509999999999998E-3</v>
      </c>
      <c r="E763">
        <v>2.369E-3</v>
      </c>
      <c r="F763">
        <v>8598647</v>
      </c>
      <c r="G763">
        <v>0</v>
      </c>
      <c r="L763" t="s">
        <v>7</v>
      </c>
      <c r="M763" t="s">
        <v>7</v>
      </c>
      <c r="N763" t="s">
        <v>7</v>
      </c>
      <c r="P763">
        <f t="shared" si="999"/>
        <v>-0.54999999999999571</v>
      </c>
      <c r="Q763">
        <f t="shared" si="1000"/>
        <v>-4729255.8499999633</v>
      </c>
      <c r="R763">
        <f t="shared" si="1001"/>
        <v>-1635916546.3326015</v>
      </c>
      <c r="S763">
        <f t="shared" si="1002"/>
        <v>-16359.165463326015</v>
      </c>
      <c r="T763">
        <f t="shared" si="1003"/>
        <v>-16.359165463326015</v>
      </c>
    </row>
    <row r="764" spans="1:20" x14ac:dyDescent="0.25">
      <c r="A764" s="5">
        <v>43829</v>
      </c>
      <c r="B764">
        <v>2.4520000000000002E-3</v>
      </c>
      <c r="C764">
        <v>2.4889999999999999E-3</v>
      </c>
      <c r="D764">
        <v>2.385E-3</v>
      </c>
      <c r="E764">
        <v>2.4269999999999999E-3</v>
      </c>
      <c r="F764">
        <v>6107313</v>
      </c>
      <c r="G764">
        <v>0</v>
      </c>
      <c r="L764" t="s">
        <v>7</v>
      </c>
      <c r="M764" t="s">
        <v>8</v>
      </c>
      <c r="N764" t="s">
        <v>7</v>
      </c>
      <c r="P764">
        <f t="shared" si="999"/>
        <v>-0.19230769230769296</v>
      </c>
      <c r="Q764">
        <f t="shared" si="1000"/>
        <v>-1174483.2692307732</v>
      </c>
      <c r="R764">
        <f t="shared" si="1001"/>
        <v>-1631187290.4826016</v>
      </c>
      <c r="S764">
        <f t="shared" si="1002"/>
        <v>-16311.872904826016</v>
      </c>
      <c r="T764">
        <f t="shared" si="1003"/>
        <v>-16.311872904826014</v>
      </c>
    </row>
    <row r="765" spans="1:20" x14ac:dyDescent="0.25">
      <c r="A765" s="5">
        <v>43828</v>
      </c>
      <c r="B765">
        <v>2.4789999999999999E-3</v>
      </c>
      <c r="C765">
        <v>2.5500000000000002E-3</v>
      </c>
      <c r="D765">
        <v>2.4190000000000001E-3</v>
      </c>
      <c r="E765">
        <v>2.4759999999999999E-3</v>
      </c>
      <c r="F765">
        <v>13462631</v>
      </c>
      <c r="G765">
        <v>0</v>
      </c>
      <c r="L765" t="s">
        <v>7</v>
      </c>
      <c r="M765" t="s">
        <v>8</v>
      </c>
      <c r="N765" t="s">
        <v>7</v>
      </c>
      <c r="P765">
        <f t="shared" si="999"/>
        <v>-0.12977099236641615</v>
      </c>
      <c r="Q765">
        <f t="shared" si="1000"/>
        <v>-1747058.9847328775</v>
      </c>
      <c r="R765">
        <f t="shared" si="1001"/>
        <v>-1630012807.2133708</v>
      </c>
      <c r="S765">
        <f t="shared" si="1002"/>
        <v>-16300.128072133708</v>
      </c>
      <c r="T765">
        <f t="shared" si="1003"/>
        <v>-16.30012807213371</v>
      </c>
    </row>
    <row r="766" spans="1:20" x14ac:dyDescent="0.25">
      <c r="A766" s="5">
        <v>43827</v>
      </c>
      <c r="B766">
        <v>2.5560000000000001E-3</v>
      </c>
      <c r="C766">
        <v>2.5820000000000001E-3</v>
      </c>
      <c r="D766">
        <v>2.3999999999999998E-3</v>
      </c>
      <c r="E766">
        <v>2.4780000000000002E-3</v>
      </c>
      <c r="F766">
        <v>16196054</v>
      </c>
      <c r="G766">
        <v>0</v>
      </c>
      <c r="L766" t="s">
        <v>7</v>
      </c>
      <c r="M766" t="s">
        <v>8</v>
      </c>
      <c r="N766" t="s">
        <v>7</v>
      </c>
      <c r="P766">
        <f t="shared" si="999"/>
        <v>-0.14285714285714013</v>
      </c>
      <c r="Q766">
        <f t="shared" si="1000"/>
        <v>-2313721.9999999558</v>
      </c>
      <c r="R766">
        <f t="shared" si="1001"/>
        <v>-1628265748.2286379</v>
      </c>
      <c r="S766">
        <f t="shared" si="1002"/>
        <v>-16282.657482286379</v>
      </c>
      <c r="T766">
        <f t="shared" si="1003"/>
        <v>-16.282657482286378</v>
      </c>
    </row>
    <row r="767" spans="1:20" x14ac:dyDescent="0.25">
      <c r="A767" s="5">
        <v>43826</v>
      </c>
      <c r="B767">
        <v>2.5990000000000002E-3</v>
      </c>
      <c r="C767">
        <v>2.63E-3</v>
      </c>
      <c r="D767">
        <v>2.5089999999999999E-3</v>
      </c>
      <c r="E767">
        <v>2.5490000000000001E-3</v>
      </c>
      <c r="F767">
        <v>9978261</v>
      </c>
      <c r="G767">
        <v>0</v>
      </c>
      <c r="L767" t="s">
        <v>8</v>
      </c>
      <c r="M767" t="s">
        <v>8</v>
      </c>
      <c r="N767" t="s">
        <v>7</v>
      </c>
      <c r="P767">
        <f t="shared" ref="P767:P830" si="1004">IF(C767=D767,0,((E767-D767)-(C767-E767))/(C767-D767))</f>
        <v>-0.33884297520660989</v>
      </c>
      <c r="Q767">
        <f t="shared" ref="Q767:Q830" si="1005">F767*P767</f>
        <v>-3381063.6446280824</v>
      </c>
      <c r="R767">
        <f t="shared" ref="R767:R830" si="1006">R768+Q767</f>
        <v>-1625952026.2286379</v>
      </c>
      <c r="S767">
        <f t="shared" ref="S767:S830" si="1007">R767/100000</f>
        <v>-16259.52026228638</v>
      </c>
      <c r="T767">
        <f t="shared" ref="T767:T830" si="1008">S767/1000</f>
        <v>-16.259520262286379</v>
      </c>
    </row>
    <row r="768" spans="1:20" x14ac:dyDescent="0.25">
      <c r="A768" s="5">
        <v>43825</v>
      </c>
      <c r="B768">
        <v>2.4529999999999999E-3</v>
      </c>
      <c r="C768">
        <v>2.7200000000000002E-3</v>
      </c>
      <c r="D768">
        <v>2.3770000000000002E-3</v>
      </c>
      <c r="E768">
        <v>2.591E-3</v>
      </c>
      <c r="F768">
        <v>28151106</v>
      </c>
      <c r="G768">
        <v>0</v>
      </c>
      <c r="L768" t="s">
        <v>7</v>
      </c>
      <c r="M768" t="s">
        <v>8</v>
      </c>
      <c r="N768" t="s">
        <v>7</v>
      </c>
      <c r="P768">
        <f t="shared" si="1004"/>
        <v>0.24781341107871596</v>
      </c>
      <c r="Q768">
        <f t="shared" si="1005"/>
        <v>6976221.6034985073</v>
      </c>
      <c r="R768">
        <f t="shared" si="1006"/>
        <v>-1622570962.5840099</v>
      </c>
      <c r="S768">
        <f t="shared" si="1007"/>
        <v>-16225.7096258401</v>
      </c>
      <c r="T768">
        <f t="shared" si="1008"/>
        <v>-16.2257096258401</v>
      </c>
    </row>
    <row r="769" spans="1:20" x14ac:dyDescent="0.25">
      <c r="A769" s="5">
        <v>43824</v>
      </c>
      <c r="B769">
        <v>2.5079999999999998E-3</v>
      </c>
      <c r="C769">
        <v>2.5110000000000002E-3</v>
      </c>
      <c r="D769">
        <v>2.418E-3</v>
      </c>
      <c r="E769">
        <v>2.454E-3</v>
      </c>
      <c r="F769">
        <v>25071992</v>
      </c>
      <c r="G769">
        <v>0</v>
      </c>
      <c r="L769" t="s">
        <v>7</v>
      </c>
      <c r="M769" t="s">
        <v>8</v>
      </c>
      <c r="N769" t="s">
        <v>7</v>
      </c>
      <c r="P769">
        <f t="shared" si="1004"/>
        <v>-0.22580645161290472</v>
      </c>
      <c r="Q769">
        <f t="shared" si="1005"/>
        <v>-5661417.5483871344</v>
      </c>
      <c r="R769">
        <f t="shared" si="1006"/>
        <v>-1629547184.1875083</v>
      </c>
      <c r="S769">
        <f t="shared" si="1007"/>
        <v>-16295.471841875084</v>
      </c>
      <c r="T769">
        <f t="shared" si="1008"/>
        <v>-16.295471841875084</v>
      </c>
    </row>
    <row r="770" spans="1:20" x14ac:dyDescent="0.25">
      <c r="A770" s="5">
        <v>43823</v>
      </c>
      <c r="B770">
        <v>2.5200000000000001E-3</v>
      </c>
      <c r="C770">
        <v>2.5400000000000002E-3</v>
      </c>
      <c r="D770">
        <v>2.47E-3</v>
      </c>
      <c r="E770">
        <v>2.5119999999999999E-3</v>
      </c>
      <c r="F770">
        <v>8945961</v>
      </c>
      <c r="G770">
        <v>0</v>
      </c>
      <c r="L770" t="s">
        <v>7</v>
      </c>
      <c r="M770" t="s">
        <v>8</v>
      </c>
      <c r="N770" t="s">
        <v>7</v>
      </c>
      <c r="P770">
        <f t="shared" si="1004"/>
        <v>0.19999999999999504</v>
      </c>
      <c r="Q770">
        <f t="shared" si="1005"/>
        <v>1789192.1999999557</v>
      </c>
      <c r="R770">
        <f t="shared" si="1006"/>
        <v>-1623885766.6391213</v>
      </c>
      <c r="S770">
        <f t="shared" si="1007"/>
        <v>-16238.857666391214</v>
      </c>
      <c r="T770">
        <f t="shared" si="1008"/>
        <v>-16.238857666391212</v>
      </c>
    </row>
    <row r="771" spans="1:20" x14ac:dyDescent="0.25">
      <c r="A771" s="5">
        <v>43822</v>
      </c>
      <c r="B771">
        <v>2.7070000000000002E-3</v>
      </c>
      <c r="C771">
        <v>2.7499999999999998E-3</v>
      </c>
      <c r="D771">
        <v>2.5000000000000001E-3</v>
      </c>
      <c r="E771">
        <v>2.526E-3</v>
      </c>
      <c r="F771">
        <v>25752330</v>
      </c>
      <c r="G771">
        <v>0</v>
      </c>
      <c r="L771" t="s">
        <v>7</v>
      </c>
      <c r="M771" t="s">
        <v>8</v>
      </c>
      <c r="N771" t="s">
        <v>7</v>
      </c>
      <c r="P771">
        <f t="shared" si="1004"/>
        <v>-0.79199999999999993</v>
      </c>
      <c r="Q771">
        <f t="shared" si="1005"/>
        <v>-20395845.359999999</v>
      </c>
      <c r="R771">
        <f t="shared" si="1006"/>
        <v>-1625674958.8391213</v>
      </c>
      <c r="S771">
        <f t="shared" si="1007"/>
        <v>-16256.749588391214</v>
      </c>
      <c r="T771">
        <f t="shared" si="1008"/>
        <v>-16.256749588391216</v>
      </c>
    </row>
    <row r="772" spans="1:20" x14ac:dyDescent="0.25">
      <c r="A772" s="5">
        <v>43821</v>
      </c>
      <c r="B772">
        <v>2.6580000000000002E-3</v>
      </c>
      <c r="C772">
        <v>2.709E-3</v>
      </c>
      <c r="D772">
        <v>2.6080000000000001E-3</v>
      </c>
      <c r="E772">
        <v>2.709E-3</v>
      </c>
      <c r="F772">
        <v>5995517</v>
      </c>
      <c r="G772">
        <v>0</v>
      </c>
      <c r="L772" t="s">
        <v>7</v>
      </c>
      <c r="M772" t="s">
        <v>8</v>
      </c>
      <c r="N772" t="s">
        <v>7</v>
      </c>
      <c r="P772">
        <f t="shared" si="1004"/>
        <v>1</v>
      </c>
      <c r="Q772">
        <f t="shared" si="1005"/>
        <v>5995517</v>
      </c>
      <c r="R772">
        <f t="shared" si="1006"/>
        <v>-1605279113.4791214</v>
      </c>
      <c r="S772">
        <f t="shared" si="1007"/>
        <v>-16052.791134791214</v>
      </c>
      <c r="T772">
        <f t="shared" si="1008"/>
        <v>-16.052791134791214</v>
      </c>
    </row>
    <row r="773" spans="1:20" x14ac:dyDescent="0.25">
      <c r="A773" s="5">
        <v>43820</v>
      </c>
      <c r="B773">
        <v>2.6619999999999999E-3</v>
      </c>
      <c r="C773">
        <v>2.8189999999999999E-3</v>
      </c>
      <c r="D773">
        <v>2.6340000000000001E-3</v>
      </c>
      <c r="E773">
        <v>2.643E-3</v>
      </c>
      <c r="F773">
        <v>10432900</v>
      </c>
      <c r="G773">
        <v>0</v>
      </c>
      <c r="L773" t="s">
        <v>8</v>
      </c>
      <c r="M773" t="s">
        <v>8</v>
      </c>
      <c r="N773" t="s">
        <v>7</v>
      </c>
      <c r="P773">
        <f t="shared" si="1004"/>
        <v>-0.90270270270270381</v>
      </c>
      <c r="Q773">
        <f t="shared" si="1005"/>
        <v>-9417807.0270270389</v>
      </c>
      <c r="R773">
        <f t="shared" si="1006"/>
        <v>-1611274630.4791214</v>
      </c>
      <c r="S773">
        <f t="shared" si="1007"/>
        <v>-16112.746304791215</v>
      </c>
      <c r="T773">
        <f t="shared" si="1008"/>
        <v>-16.112746304791216</v>
      </c>
    </row>
    <row r="774" spans="1:20" x14ac:dyDescent="0.25">
      <c r="A774" s="5">
        <v>43819</v>
      </c>
      <c r="B774">
        <v>2.5739999999999999E-3</v>
      </c>
      <c r="C774">
        <v>2.7629999999999998E-3</v>
      </c>
      <c r="D774">
        <v>2.5339999999999998E-3</v>
      </c>
      <c r="E774">
        <v>2.6610000000000002E-3</v>
      </c>
      <c r="F774">
        <v>17339577</v>
      </c>
      <c r="G774">
        <v>0</v>
      </c>
      <c r="L774" t="s">
        <v>8</v>
      </c>
      <c r="M774" t="s">
        <v>8</v>
      </c>
      <c r="N774" t="s">
        <v>7</v>
      </c>
      <c r="P774">
        <f t="shared" si="1004"/>
        <v>0.10917030567685901</v>
      </c>
      <c r="Q774">
        <f t="shared" si="1005"/>
        <v>1892966.9213974338</v>
      </c>
      <c r="R774">
        <f t="shared" si="1006"/>
        <v>-1601856823.4520943</v>
      </c>
      <c r="S774">
        <f t="shared" si="1007"/>
        <v>-16018.568234520942</v>
      </c>
      <c r="T774">
        <f t="shared" si="1008"/>
        <v>-16.018568234520941</v>
      </c>
    </row>
    <row r="775" spans="1:20" x14ac:dyDescent="0.25">
      <c r="A775" s="5">
        <v>43818</v>
      </c>
      <c r="B775">
        <v>2.6540000000000001E-3</v>
      </c>
      <c r="C775">
        <v>2.6670000000000001E-3</v>
      </c>
      <c r="D775">
        <v>2.519E-3</v>
      </c>
      <c r="E775">
        <v>2.5630000000000002E-3</v>
      </c>
      <c r="F775">
        <v>24317115</v>
      </c>
      <c r="G775">
        <v>0</v>
      </c>
      <c r="L775" t="s">
        <v>8</v>
      </c>
      <c r="M775" t="s">
        <v>8</v>
      </c>
      <c r="N775" t="s">
        <v>7</v>
      </c>
      <c r="P775">
        <f t="shared" si="1004"/>
        <v>-0.40540540540540321</v>
      </c>
      <c r="Q775">
        <f t="shared" si="1005"/>
        <v>-9858289.8648648113</v>
      </c>
      <c r="R775">
        <f t="shared" si="1006"/>
        <v>-1603749790.3734918</v>
      </c>
      <c r="S775">
        <f t="shared" si="1007"/>
        <v>-16037.497903734919</v>
      </c>
      <c r="T775">
        <f t="shared" si="1008"/>
        <v>-16.03749790373492</v>
      </c>
    </row>
    <row r="776" spans="1:20" x14ac:dyDescent="0.25">
      <c r="A776" s="5">
        <v>43817</v>
      </c>
      <c r="B776">
        <v>2.346E-3</v>
      </c>
      <c r="C776">
        <v>2.7299999999999998E-3</v>
      </c>
      <c r="D776">
        <v>2.3349999999999998E-3</v>
      </c>
      <c r="E776">
        <v>2.6350000000000002E-3</v>
      </c>
      <c r="F776">
        <v>23012402</v>
      </c>
      <c r="G776">
        <v>0</v>
      </c>
      <c r="L776" t="s">
        <v>7</v>
      </c>
      <c r="M776" t="s">
        <v>8</v>
      </c>
      <c r="N776" t="s">
        <v>7</v>
      </c>
      <c r="P776">
        <f t="shared" si="1004"/>
        <v>0.51898734177215389</v>
      </c>
      <c r="Q776">
        <f t="shared" si="1005"/>
        <v>11943145.341772197</v>
      </c>
      <c r="R776">
        <f t="shared" si="1006"/>
        <v>-1593891500.5086269</v>
      </c>
      <c r="S776">
        <f t="shared" si="1007"/>
        <v>-15938.91500508627</v>
      </c>
      <c r="T776">
        <f t="shared" si="1008"/>
        <v>-15.938915005086271</v>
      </c>
    </row>
    <row r="777" spans="1:20" x14ac:dyDescent="0.25">
      <c r="A777" s="5">
        <v>43816</v>
      </c>
      <c r="B777">
        <v>2.5469999999999998E-3</v>
      </c>
      <c r="C777">
        <v>2.7000000000000001E-3</v>
      </c>
      <c r="D777">
        <v>2.3419999999999999E-3</v>
      </c>
      <c r="E777">
        <v>2.3419999999999999E-3</v>
      </c>
      <c r="F777">
        <v>44196014</v>
      </c>
      <c r="G777">
        <v>0</v>
      </c>
      <c r="L777" t="s">
        <v>7</v>
      </c>
      <c r="M777" t="s">
        <v>7</v>
      </c>
      <c r="N777" t="s">
        <v>7</v>
      </c>
      <c r="P777">
        <f t="shared" si="1004"/>
        <v>-1</v>
      </c>
      <c r="Q777">
        <f t="shared" si="1005"/>
        <v>-44196014</v>
      </c>
      <c r="R777">
        <f t="shared" si="1006"/>
        <v>-1605834645.850399</v>
      </c>
      <c r="S777">
        <f t="shared" si="1007"/>
        <v>-16058.346458503991</v>
      </c>
      <c r="T777">
        <f t="shared" si="1008"/>
        <v>-16.058346458503991</v>
      </c>
    </row>
    <row r="778" spans="1:20" x14ac:dyDescent="0.25">
      <c r="A778" s="5">
        <v>43815</v>
      </c>
      <c r="B778">
        <v>2.5730000000000002E-3</v>
      </c>
      <c r="C778">
        <v>2.7239999999999999E-3</v>
      </c>
      <c r="D778">
        <v>2.5000000000000001E-3</v>
      </c>
      <c r="E778">
        <v>2.5230000000000001E-3</v>
      </c>
      <c r="F778">
        <v>20942852</v>
      </c>
      <c r="G778">
        <v>0</v>
      </c>
      <c r="L778" t="s">
        <v>8</v>
      </c>
      <c r="M778" t="s">
        <v>7</v>
      </c>
      <c r="N778" t="s">
        <v>7</v>
      </c>
      <c r="P778">
        <f t="shared" si="1004"/>
        <v>-0.79464285714285676</v>
      </c>
      <c r="Q778">
        <f t="shared" si="1005"/>
        <v>-16642087.749999993</v>
      </c>
      <c r="R778">
        <f t="shared" si="1006"/>
        <v>-1561638631.850399</v>
      </c>
      <c r="S778">
        <f t="shared" si="1007"/>
        <v>-15616.38631850399</v>
      </c>
      <c r="T778">
        <f t="shared" si="1008"/>
        <v>-15.61638631850399</v>
      </c>
    </row>
    <row r="779" spans="1:20" x14ac:dyDescent="0.25">
      <c r="A779" s="5">
        <v>43814</v>
      </c>
      <c r="B779">
        <v>2.5300000000000001E-3</v>
      </c>
      <c r="C779">
        <v>2.5839999999999999E-3</v>
      </c>
      <c r="D779">
        <v>2.4750000000000002E-3</v>
      </c>
      <c r="E779">
        <v>2.5730000000000002E-3</v>
      </c>
      <c r="F779">
        <v>14663745</v>
      </c>
      <c r="G779">
        <v>0</v>
      </c>
      <c r="L779" t="s">
        <v>7</v>
      </c>
      <c r="M779" t="s">
        <v>7</v>
      </c>
      <c r="N779" t="s">
        <v>7</v>
      </c>
      <c r="P779">
        <f t="shared" si="1004"/>
        <v>0.79816513761468344</v>
      </c>
      <c r="Q779">
        <f t="shared" si="1005"/>
        <v>11704090.045871627</v>
      </c>
      <c r="R779">
        <f t="shared" si="1006"/>
        <v>-1544996544.100399</v>
      </c>
      <c r="S779">
        <f t="shared" si="1007"/>
        <v>-15449.965441003989</v>
      </c>
      <c r="T779">
        <f t="shared" si="1008"/>
        <v>-15.449965441003989</v>
      </c>
    </row>
    <row r="780" spans="1:20" x14ac:dyDescent="0.25">
      <c r="A780" s="5">
        <v>43813</v>
      </c>
      <c r="B780">
        <v>2.637E-3</v>
      </c>
      <c r="C780">
        <v>2.6640000000000001E-3</v>
      </c>
      <c r="D780">
        <v>2.467E-3</v>
      </c>
      <c r="E780">
        <v>2.5200000000000001E-3</v>
      </c>
      <c r="F780">
        <v>11878481</v>
      </c>
      <c r="G780">
        <v>0</v>
      </c>
      <c r="L780" t="s">
        <v>7</v>
      </c>
      <c r="M780" t="s">
        <v>7</v>
      </c>
      <c r="N780" t="s">
        <v>7</v>
      </c>
      <c r="P780">
        <f t="shared" si="1004"/>
        <v>-0.46192893401015167</v>
      </c>
      <c r="Q780">
        <f t="shared" si="1005"/>
        <v>-5487014.0659898408</v>
      </c>
      <c r="R780">
        <f t="shared" si="1006"/>
        <v>-1556700634.1462708</v>
      </c>
      <c r="S780">
        <f t="shared" si="1007"/>
        <v>-15567.006341462707</v>
      </c>
      <c r="T780">
        <f t="shared" si="1008"/>
        <v>-15.567006341462708</v>
      </c>
    </row>
    <row r="781" spans="1:20" x14ac:dyDescent="0.25">
      <c r="A781" s="5">
        <v>43812</v>
      </c>
      <c r="B781">
        <v>2.5829999999999998E-3</v>
      </c>
      <c r="C781">
        <v>2.7109999999999999E-3</v>
      </c>
      <c r="D781">
        <v>2.5730000000000002E-3</v>
      </c>
      <c r="E781">
        <v>2.63E-3</v>
      </c>
      <c r="F781">
        <v>9013182</v>
      </c>
      <c r="G781">
        <v>0</v>
      </c>
      <c r="L781" t="s">
        <v>8</v>
      </c>
      <c r="M781" t="s">
        <v>7</v>
      </c>
      <c r="N781" t="s">
        <v>7</v>
      </c>
      <c r="P781">
        <f t="shared" si="1004"/>
        <v>-0.17391304347826236</v>
      </c>
      <c r="Q781">
        <f t="shared" si="1005"/>
        <v>-1567509.9130434918</v>
      </c>
      <c r="R781">
        <f t="shared" si="1006"/>
        <v>-1551213620.080281</v>
      </c>
      <c r="S781">
        <f t="shared" si="1007"/>
        <v>-15512.13620080281</v>
      </c>
      <c r="T781">
        <f t="shared" si="1008"/>
        <v>-15.512136200802811</v>
      </c>
    </row>
    <row r="782" spans="1:20" x14ac:dyDescent="0.25">
      <c r="A782" s="5">
        <v>43811</v>
      </c>
      <c r="B782">
        <v>2.5409999999999999E-3</v>
      </c>
      <c r="C782">
        <v>2.598E-3</v>
      </c>
      <c r="D782">
        <v>2.454E-3</v>
      </c>
      <c r="E782">
        <v>2.5839999999999999E-3</v>
      </c>
      <c r="F782">
        <v>33144015</v>
      </c>
      <c r="G782">
        <v>0</v>
      </c>
      <c r="L782" t="s">
        <v>7</v>
      </c>
      <c r="M782" t="s">
        <v>7</v>
      </c>
      <c r="N782" t="s">
        <v>7</v>
      </c>
      <c r="P782">
        <f t="shared" si="1004"/>
        <v>0.80555555555555391</v>
      </c>
      <c r="Q782">
        <f t="shared" si="1005"/>
        <v>26699345.416666612</v>
      </c>
      <c r="R782">
        <f t="shared" si="1006"/>
        <v>-1549646110.1672375</v>
      </c>
      <c r="S782">
        <f t="shared" si="1007"/>
        <v>-15496.461101672376</v>
      </c>
      <c r="T782">
        <f t="shared" si="1008"/>
        <v>-15.496461101672375</v>
      </c>
    </row>
    <row r="783" spans="1:20" x14ac:dyDescent="0.25">
      <c r="A783" s="5">
        <v>43810</v>
      </c>
      <c r="B783">
        <v>2.5149999999999999E-3</v>
      </c>
      <c r="C783">
        <v>2.5850000000000001E-3</v>
      </c>
      <c r="D783">
        <v>2.4989999999999999E-3</v>
      </c>
      <c r="E783">
        <v>2.542E-3</v>
      </c>
      <c r="F783">
        <v>13636776</v>
      </c>
      <c r="G783">
        <v>0</v>
      </c>
      <c r="L783" t="s">
        <v>7</v>
      </c>
      <c r="M783" t="s">
        <v>8</v>
      </c>
      <c r="N783" t="s">
        <v>7</v>
      </c>
      <c r="P783">
        <f t="shared" si="1004"/>
        <v>0</v>
      </c>
      <c r="Q783">
        <f t="shared" si="1005"/>
        <v>0</v>
      </c>
      <c r="R783">
        <f t="shared" si="1006"/>
        <v>-1576345455.583904</v>
      </c>
      <c r="S783">
        <f t="shared" si="1007"/>
        <v>-15763.45455583904</v>
      </c>
      <c r="T783">
        <f t="shared" si="1008"/>
        <v>-15.76345455583904</v>
      </c>
    </row>
    <row r="784" spans="1:20" x14ac:dyDescent="0.25">
      <c r="A784" s="5">
        <v>43809</v>
      </c>
      <c r="B784">
        <v>2.7669999999999999E-3</v>
      </c>
      <c r="C784">
        <v>2.8189999999999999E-3</v>
      </c>
      <c r="D784">
        <v>2.503E-3</v>
      </c>
      <c r="E784">
        <v>2.5140000000000002E-3</v>
      </c>
      <c r="F784">
        <v>49874048</v>
      </c>
      <c r="G784">
        <v>0</v>
      </c>
      <c r="L784" t="s">
        <v>7</v>
      </c>
      <c r="M784" t="s">
        <v>8</v>
      </c>
      <c r="N784" t="s">
        <v>7</v>
      </c>
      <c r="P784">
        <f t="shared" si="1004"/>
        <v>-0.930379746835442</v>
      </c>
      <c r="Q784">
        <f t="shared" si="1005"/>
        <v>-46401804.151898682</v>
      </c>
      <c r="R784">
        <f t="shared" si="1006"/>
        <v>-1576345455.583904</v>
      </c>
      <c r="S784">
        <f t="shared" si="1007"/>
        <v>-15763.45455583904</v>
      </c>
      <c r="T784">
        <f t="shared" si="1008"/>
        <v>-15.76345455583904</v>
      </c>
    </row>
    <row r="785" spans="1:20" x14ac:dyDescent="0.25">
      <c r="A785" s="5">
        <v>43808</v>
      </c>
      <c r="B785">
        <v>2.8679999999999999E-3</v>
      </c>
      <c r="C785">
        <v>2.8939999999999999E-3</v>
      </c>
      <c r="D785">
        <v>2.7239999999999999E-3</v>
      </c>
      <c r="E785">
        <v>2.7810000000000001E-3</v>
      </c>
      <c r="F785">
        <v>19612081</v>
      </c>
      <c r="G785">
        <v>0</v>
      </c>
      <c r="L785" t="s">
        <v>7</v>
      </c>
      <c r="M785" t="s">
        <v>8</v>
      </c>
      <c r="N785" t="s">
        <v>7</v>
      </c>
      <c r="P785">
        <f t="shared" si="1004"/>
        <v>-0.32941176470588013</v>
      </c>
      <c r="Q785">
        <f t="shared" si="1005"/>
        <v>-6460450.2117646625</v>
      </c>
      <c r="R785">
        <f t="shared" si="1006"/>
        <v>-1529943651.4320054</v>
      </c>
      <c r="S785">
        <f t="shared" si="1007"/>
        <v>-15299.436514320054</v>
      </c>
      <c r="T785">
        <f t="shared" si="1008"/>
        <v>-15.299436514320053</v>
      </c>
    </row>
    <row r="786" spans="1:20" x14ac:dyDescent="0.25">
      <c r="A786" s="5">
        <v>43807</v>
      </c>
      <c r="B786">
        <v>2.748E-3</v>
      </c>
      <c r="C786">
        <v>2.9480000000000001E-3</v>
      </c>
      <c r="D786">
        <v>2.748E-3</v>
      </c>
      <c r="E786">
        <v>2.8679999999999999E-3</v>
      </c>
      <c r="F786">
        <v>117003705</v>
      </c>
      <c r="G786">
        <v>0</v>
      </c>
      <c r="L786" t="s">
        <v>8</v>
      </c>
      <c r="M786" t="s">
        <v>8</v>
      </c>
      <c r="N786" t="s">
        <v>7</v>
      </c>
      <c r="P786">
        <f t="shared" si="1004"/>
        <v>0.19999999999999826</v>
      </c>
      <c r="Q786">
        <f t="shared" si="1005"/>
        <v>23400740.999999795</v>
      </c>
      <c r="R786">
        <f t="shared" si="1006"/>
        <v>-1523483201.2202408</v>
      </c>
      <c r="S786">
        <f t="shared" si="1007"/>
        <v>-15234.832012202409</v>
      </c>
      <c r="T786">
        <f t="shared" si="1008"/>
        <v>-15.234832012202409</v>
      </c>
    </row>
    <row r="787" spans="1:20" x14ac:dyDescent="0.25">
      <c r="A787" s="5">
        <v>43806</v>
      </c>
      <c r="B787">
        <v>2.7109999999999999E-3</v>
      </c>
      <c r="C787">
        <v>2.7490000000000001E-3</v>
      </c>
      <c r="D787">
        <v>2.6749999999999999E-3</v>
      </c>
      <c r="E787">
        <v>2.748E-3</v>
      </c>
      <c r="F787">
        <v>9728932</v>
      </c>
      <c r="G787">
        <v>0</v>
      </c>
      <c r="L787" t="s">
        <v>7</v>
      </c>
      <c r="M787" t="s">
        <v>8</v>
      </c>
      <c r="N787" t="s">
        <v>7</v>
      </c>
      <c r="P787">
        <f t="shared" si="1004"/>
        <v>0.97297297297296947</v>
      </c>
      <c r="Q787">
        <f t="shared" si="1005"/>
        <v>9465987.8918918576</v>
      </c>
      <c r="R787">
        <f t="shared" si="1006"/>
        <v>-1546883942.2202406</v>
      </c>
      <c r="S787">
        <f t="shared" si="1007"/>
        <v>-15468.839422202405</v>
      </c>
      <c r="T787">
        <f t="shared" si="1008"/>
        <v>-15.468839422202405</v>
      </c>
    </row>
    <row r="788" spans="1:20" x14ac:dyDescent="0.25">
      <c r="A788" s="5">
        <v>43805</v>
      </c>
      <c r="B788">
        <v>2.6540000000000001E-3</v>
      </c>
      <c r="C788">
        <v>2.7239999999999999E-3</v>
      </c>
      <c r="D788">
        <v>2.6280000000000001E-3</v>
      </c>
      <c r="E788">
        <v>2.7100000000000002E-3</v>
      </c>
      <c r="F788">
        <v>8748299</v>
      </c>
      <c r="G788">
        <v>0</v>
      </c>
      <c r="L788" t="s">
        <v>7</v>
      </c>
      <c r="M788" t="s">
        <v>8</v>
      </c>
      <c r="N788" t="s">
        <v>7</v>
      </c>
      <c r="P788">
        <f t="shared" si="1004"/>
        <v>0.70833333333333903</v>
      </c>
      <c r="Q788">
        <f t="shared" si="1005"/>
        <v>6196711.7916667163</v>
      </c>
      <c r="R788">
        <f t="shared" si="1006"/>
        <v>-1556349930.1121325</v>
      </c>
      <c r="S788">
        <f t="shared" si="1007"/>
        <v>-15563.499301121325</v>
      </c>
      <c r="T788">
        <f t="shared" si="1008"/>
        <v>-15.563499301121325</v>
      </c>
    </row>
    <row r="789" spans="1:20" x14ac:dyDescent="0.25">
      <c r="A789" s="5">
        <v>43804</v>
      </c>
      <c r="B789">
        <v>2.614E-3</v>
      </c>
      <c r="C789">
        <v>2.7209999999999999E-3</v>
      </c>
      <c r="D789">
        <v>2.5869999999999999E-3</v>
      </c>
      <c r="E789">
        <v>2.6589999999999999E-3</v>
      </c>
      <c r="F789">
        <v>17802249</v>
      </c>
      <c r="G789">
        <v>0</v>
      </c>
      <c r="L789" t="s">
        <v>7</v>
      </c>
      <c r="M789" t="s">
        <v>8</v>
      </c>
      <c r="N789" t="s">
        <v>7</v>
      </c>
      <c r="P789">
        <f t="shared" si="1004"/>
        <v>7.4626865671641979E-2</v>
      </c>
      <c r="Q789">
        <f t="shared" si="1005"/>
        <v>1328526.0447761228</v>
      </c>
      <c r="R789">
        <f t="shared" si="1006"/>
        <v>-1562546641.9037993</v>
      </c>
      <c r="S789">
        <f t="shared" si="1007"/>
        <v>-15625.466419037994</v>
      </c>
      <c r="T789">
        <f t="shared" si="1008"/>
        <v>-15.625466419037993</v>
      </c>
    </row>
    <row r="790" spans="1:20" x14ac:dyDescent="0.25">
      <c r="A790" s="5">
        <v>43803</v>
      </c>
      <c r="B790">
        <v>2.7200000000000002E-3</v>
      </c>
      <c r="C790">
        <v>2.7959999999999999E-3</v>
      </c>
      <c r="D790">
        <v>2.5969999999999999E-3</v>
      </c>
      <c r="E790">
        <v>2.6329999999999999E-3</v>
      </c>
      <c r="F790">
        <v>17272664</v>
      </c>
      <c r="G790">
        <v>0</v>
      </c>
      <c r="L790" t="s">
        <v>7</v>
      </c>
      <c r="M790" t="s">
        <v>8</v>
      </c>
      <c r="N790" t="s">
        <v>7</v>
      </c>
      <c r="P790">
        <f t="shared" si="1004"/>
        <v>-0.63819095477386922</v>
      </c>
      <c r="Q790">
        <f t="shared" si="1005"/>
        <v>-11023257.929648239</v>
      </c>
      <c r="R790">
        <f t="shared" si="1006"/>
        <v>-1563875167.9485755</v>
      </c>
      <c r="S790">
        <f t="shared" si="1007"/>
        <v>-15638.751679485755</v>
      </c>
      <c r="T790">
        <f t="shared" si="1008"/>
        <v>-15.638751679485754</v>
      </c>
    </row>
    <row r="791" spans="1:20" x14ac:dyDescent="0.25">
      <c r="A791" s="5">
        <v>43802</v>
      </c>
      <c r="B791">
        <v>2.7320000000000001E-3</v>
      </c>
      <c r="C791">
        <v>2.7989999999999998E-3</v>
      </c>
      <c r="D791">
        <v>2.6580000000000002E-3</v>
      </c>
      <c r="E791">
        <v>2.7200000000000002E-3</v>
      </c>
      <c r="F791">
        <v>11245792</v>
      </c>
      <c r="G791">
        <v>0</v>
      </c>
      <c r="L791" t="s">
        <v>7</v>
      </c>
      <c r="M791" t="s">
        <v>8</v>
      </c>
      <c r="N791" t="s">
        <v>7</v>
      </c>
      <c r="P791">
        <f t="shared" si="1004"/>
        <v>-0.12056737588652268</v>
      </c>
      <c r="Q791">
        <f t="shared" si="1005"/>
        <v>-1355875.6312056496</v>
      </c>
      <c r="R791">
        <f t="shared" si="1006"/>
        <v>-1552851910.0189273</v>
      </c>
      <c r="S791">
        <f t="shared" si="1007"/>
        <v>-15528.519100189273</v>
      </c>
      <c r="T791">
        <f t="shared" si="1008"/>
        <v>-15.528519100189273</v>
      </c>
    </row>
    <row r="792" spans="1:20" x14ac:dyDescent="0.25">
      <c r="A792" s="5">
        <v>43801</v>
      </c>
      <c r="B792">
        <v>2.7420000000000001E-3</v>
      </c>
      <c r="C792">
        <v>2.7729999999999999E-3</v>
      </c>
      <c r="D792">
        <v>2.6549999999999998E-3</v>
      </c>
      <c r="E792">
        <v>2.7309999999999999E-3</v>
      </c>
      <c r="F792">
        <v>10018230</v>
      </c>
      <c r="G792">
        <v>0</v>
      </c>
      <c r="L792" t="s">
        <v>7</v>
      </c>
      <c r="M792" t="s">
        <v>8</v>
      </c>
      <c r="N792" t="s">
        <v>7</v>
      </c>
      <c r="P792">
        <f t="shared" si="1004"/>
        <v>0.28813559322034038</v>
      </c>
      <c r="Q792">
        <f t="shared" si="1005"/>
        <v>2886608.6440678104</v>
      </c>
      <c r="R792">
        <f t="shared" si="1006"/>
        <v>-1551496034.3877218</v>
      </c>
      <c r="S792">
        <f t="shared" si="1007"/>
        <v>-15514.960343877217</v>
      </c>
      <c r="T792">
        <f t="shared" si="1008"/>
        <v>-15.514960343877217</v>
      </c>
    </row>
    <row r="793" spans="1:20" x14ac:dyDescent="0.25">
      <c r="A793" s="5">
        <v>43800</v>
      </c>
      <c r="B793">
        <v>2.8279999999999998E-3</v>
      </c>
      <c r="C793">
        <v>2.8300000000000001E-3</v>
      </c>
      <c r="D793">
        <v>2.6549999999999998E-3</v>
      </c>
      <c r="E793">
        <v>2.7550000000000001E-3</v>
      </c>
      <c r="F793">
        <v>14885740</v>
      </c>
      <c r="G793">
        <v>0</v>
      </c>
      <c r="L793" t="s">
        <v>7</v>
      </c>
      <c r="M793" t="s">
        <v>8</v>
      </c>
      <c r="N793" t="s">
        <v>7</v>
      </c>
      <c r="P793">
        <f t="shared" si="1004"/>
        <v>0.14285714285714426</v>
      </c>
      <c r="Q793">
        <f t="shared" si="1005"/>
        <v>2126534.2857143069</v>
      </c>
      <c r="R793">
        <f t="shared" si="1006"/>
        <v>-1554382643.0317895</v>
      </c>
      <c r="S793">
        <f t="shared" si="1007"/>
        <v>-15543.826430317895</v>
      </c>
      <c r="T793">
        <f t="shared" si="1008"/>
        <v>-15.543826430317894</v>
      </c>
    </row>
    <row r="794" spans="1:20" x14ac:dyDescent="0.25">
      <c r="A794" s="5">
        <v>43799</v>
      </c>
      <c r="B794">
        <v>2.8999999999999998E-3</v>
      </c>
      <c r="C794">
        <v>2.9640000000000001E-3</v>
      </c>
      <c r="D794">
        <v>2.7590000000000002E-3</v>
      </c>
      <c r="E794">
        <v>2.8739999999999998E-3</v>
      </c>
      <c r="F794">
        <v>13561827</v>
      </c>
      <c r="G794">
        <v>0</v>
      </c>
      <c r="L794" t="s">
        <v>8</v>
      </c>
      <c r="M794" t="s">
        <v>8</v>
      </c>
      <c r="N794" t="s">
        <v>7</v>
      </c>
      <c r="P794">
        <f t="shared" si="1004"/>
        <v>0.12195121951219233</v>
      </c>
      <c r="Q794">
        <f t="shared" si="1005"/>
        <v>1653881.3414633768</v>
      </c>
      <c r="R794">
        <f t="shared" si="1006"/>
        <v>-1556509177.3175039</v>
      </c>
      <c r="S794">
        <f t="shared" si="1007"/>
        <v>-15565.09177317504</v>
      </c>
      <c r="T794">
        <f t="shared" si="1008"/>
        <v>-15.565091773175039</v>
      </c>
    </row>
    <row r="795" spans="1:20" x14ac:dyDescent="0.25">
      <c r="A795" s="5">
        <v>43798</v>
      </c>
      <c r="B795">
        <v>2.8059999999999999E-3</v>
      </c>
      <c r="C795">
        <v>2.9450000000000001E-3</v>
      </c>
      <c r="D795">
        <v>2.8059999999999999E-3</v>
      </c>
      <c r="E795">
        <v>2.898E-3</v>
      </c>
      <c r="F795">
        <v>6858725</v>
      </c>
      <c r="G795">
        <v>0</v>
      </c>
      <c r="L795" t="s">
        <v>8</v>
      </c>
      <c r="M795" t="s">
        <v>8</v>
      </c>
      <c r="N795" t="s">
        <v>7</v>
      </c>
      <c r="P795">
        <f t="shared" si="1004"/>
        <v>0.32374100719424337</v>
      </c>
      <c r="Q795">
        <f t="shared" si="1005"/>
        <v>2220450.5395683367</v>
      </c>
      <c r="R795">
        <f t="shared" si="1006"/>
        <v>-1558163058.6589673</v>
      </c>
      <c r="S795">
        <f t="shared" si="1007"/>
        <v>-15581.630586589672</v>
      </c>
      <c r="T795">
        <f t="shared" si="1008"/>
        <v>-15.581630586589672</v>
      </c>
    </row>
    <row r="796" spans="1:20" x14ac:dyDescent="0.25">
      <c r="A796" s="5">
        <v>43797</v>
      </c>
      <c r="B796">
        <v>2.8219999999999999E-3</v>
      </c>
      <c r="C796">
        <v>2.892E-3</v>
      </c>
      <c r="D796">
        <v>2.7789999999999998E-3</v>
      </c>
      <c r="E796">
        <v>2.8180000000000002E-3</v>
      </c>
      <c r="F796">
        <v>8927793</v>
      </c>
      <c r="G796">
        <v>0</v>
      </c>
      <c r="L796" t="s">
        <v>8</v>
      </c>
      <c r="M796" t="s">
        <v>8</v>
      </c>
      <c r="N796" t="s">
        <v>7</v>
      </c>
      <c r="P796">
        <f t="shared" si="1004"/>
        <v>-0.30973451327433066</v>
      </c>
      <c r="Q796">
        <f t="shared" si="1005"/>
        <v>-2765245.6194689763</v>
      </c>
      <c r="R796">
        <f t="shared" si="1006"/>
        <v>-1560383509.1985357</v>
      </c>
      <c r="S796">
        <f t="shared" si="1007"/>
        <v>-15603.835091985356</v>
      </c>
      <c r="T796">
        <f t="shared" si="1008"/>
        <v>-15.603835091985356</v>
      </c>
    </row>
    <row r="797" spans="1:20" x14ac:dyDescent="0.25">
      <c r="A797" s="5">
        <v>43796</v>
      </c>
      <c r="B797">
        <v>2.8310000000000002E-3</v>
      </c>
      <c r="C797">
        <v>2.8999999999999998E-3</v>
      </c>
      <c r="D797">
        <v>2.5799999999999998E-3</v>
      </c>
      <c r="E797">
        <v>2.8449999999999999E-3</v>
      </c>
      <c r="F797">
        <v>19086033</v>
      </c>
      <c r="G797">
        <v>0</v>
      </c>
      <c r="L797" t="s">
        <v>7</v>
      </c>
      <c r="M797" t="s">
        <v>8</v>
      </c>
      <c r="N797" t="s">
        <v>7</v>
      </c>
      <c r="P797">
        <f t="shared" si="1004"/>
        <v>0.65625000000000044</v>
      </c>
      <c r="Q797">
        <f t="shared" si="1005"/>
        <v>12525209.156250009</v>
      </c>
      <c r="R797">
        <f t="shared" si="1006"/>
        <v>-1557618263.5790668</v>
      </c>
      <c r="S797">
        <f t="shared" si="1007"/>
        <v>-15576.182635790668</v>
      </c>
      <c r="T797">
        <f t="shared" si="1008"/>
        <v>-15.576182635790669</v>
      </c>
    </row>
    <row r="798" spans="1:20" x14ac:dyDescent="0.25">
      <c r="A798" s="5">
        <v>43795</v>
      </c>
      <c r="B798">
        <v>2.7880000000000001E-3</v>
      </c>
      <c r="C798">
        <v>2.8900000000000002E-3</v>
      </c>
      <c r="D798">
        <v>2.7030000000000001E-3</v>
      </c>
      <c r="E798">
        <v>2.8140000000000001E-3</v>
      </c>
      <c r="F798">
        <v>38015048</v>
      </c>
      <c r="G798">
        <v>0</v>
      </c>
      <c r="L798" t="s">
        <v>8</v>
      </c>
      <c r="M798" t="s">
        <v>8</v>
      </c>
      <c r="N798" t="s">
        <v>7</v>
      </c>
      <c r="P798">
        <f t="shared" si="1004"/>
        <v>0.18716577540106874</v>
      </c>
      <c r="Q798">
        <f t="shared" si="1005"/>
        <v>7115115.9358288478</v>
      </c>
      <c r="R798">
        <f t="shared" si="1006"/>
        <v>-1570143472.7353168</v>
      </c>
      <c r="S798">
        <f t="shared" si="1007"/>
        <v>-15701.434727353168</v>
      </c>
      <c r="T798">
        <f t="shared" si="1008"/>
        <v>-15.701434727353167</v>
      </c>
    </row>
    <row r="799" spans="1:20" x14ac:dyDescent="0.25">
      <c r="A799" s="5">
        <v>43794</v>
      </c>
      <c r="B799">
        <v>2.64E-3</v>
      </c>
      <c r="C799">
        <v>2.8389999999999999E-3</v>
      </c>
      <c r="D799">
        <v>2.4659999999999999E-3</v>
      </c>
      <c r="E799">
        <v>2.7780000000000001E-3</v>
      </c>
      <c r="F799">
        <v>48987390</v>
      </c>
      <c r="G799">
        <v>0</v>
      </c>
      <c r="L799" t="s">
        <v>7</v>
      </c>
      <c r="M799" t="s">
        <v>7</v>
      </c>
      <c r="N799" t="s">
        <v>7</v>
      </c>
      <c r="P799">
        <f t="shared" si="1004"/>
        <v>0.67292225201072464</v>
      </c>
      <c r="Q799">
        <f t="shared" si="1005"/>
        <v>32964704.798927654</v>
      </c>
      <c r="R799">
        <f t="shared" si="1006"/>
        <v>-1577258588.6711457</v>
      </c>
      <c r="S799">
        <f t="shared" si="1007"/>
        <v>-15772.585886711457</v>
      </c>
      <c r="T799">
        <f t="shared" si="1008"/>
        <v>-15.772585886711457</v>
      </c>
    </row>
    <row r="800" spans="1:20" x14ac:dyDescent="0.25">
      <c r="A800" s="5">
        <v>43793</v>
      </c>
      <c r="B800">
        <v>2.7669999999999999E-3</v>
      </c>
      <c r="C800">
        <v>2.8089999999999999E-3</v>
      </c>
      <c r="D800">
        <v>2.591E-3</v>
      </c>
      <c r="E800">
        <v>2.591E-3</v>
      </c>
      <c r="F800">
        <v>13963345</v>
      </c>
      <c r="G800">
        <v>0</v>
      </c>
      <c r="L800" t="s">
        <v>7</v>
      </c>
      <c r="M800" t="s">
        <v>8</v>
      </c>
      <c r="N800" t="s">
        <v>7</v>
      </c>
      <c r="P800">
        <f t="shared" si="1004"/>
        <v>-1</v>
      </c>
      <c r="Q800">
        <f t="shared" si="1005"/>
        <v>-13963345</v>
      </c>
      <c r="R800">
        <f t="shared" si="1006"/>
        <v>-1610223293.4700732</v>
      </c>
      <c r="S800">
        <f t="shared" si="1007"/>
        <v>-16102.232934700733</v>
      </c>
      <c r="T800">
        <f t="shared" si="1008"/>
        <v>-16.102232934700734</v>
      </c>
    </row>
    <row r="801" spans="1:20" x14ac:dyDescent="0.25">
      <c r="A801" s="5">
        <v>43792</v>
      </c>
      <c r="B801">
        <v>2.6809999999999998E-3</v>
      </c>
      <c r="C801">
        <v>2.97E-3</v>
      </c>
      <c r="D801">
        <v>2.6210000000000001E-3</v>
      </c>
      <c r="E801">
        <v>2.771E-3</v>
      </c>
      <c r="F801">
        <v>12264908</v>
      </c>
      <c r="G801">
        <v>0</v>
      </c>
      <c r="L801" t="s">
        <v>8</v>
      </c>
      <c r="M801" t="s">
        <v>8</v>
      </c>
      <c r="N801" t="s">
        <v>7</v>
      </c>
      <c r="P801">
        <f t="shared" si="1004"/>
        <v>-0.14040114613180518</v>
      </c>
      <c r="Q801">
        <f t="shared" si="1005"/>
        <v>-1722007.1404011464</v>
      </c>
      <c r="R801">
        <f t="shared" si="1006"/>
        <v>-1596259948.4700732</v>
      </c>
      <c r="S801">
        <f t="shared" si="1007"/>
        <v>-15962.599484700731</v>
      </c>
      <c r="T801">
        <f t="shared" si="1008"/>
        <v>-15.962599484700732</v>
      </c>
    </row>
    <row r="802" spans="1:20" x14ac:dyDescent="0.25">
      <c r="A802" s="5">
        <v>43791</v>
      </c>
      <c r="B802">
        <v>2.9009999999999999E-3</v>
      </c>
      <c r="C802">
        <v>2.96E-3</v>
      </c>
      <c r="D802">
        <v>2.4620000000000002E-3</v>
      </c>
      <c r="E802">
        <v>2.6440000000000001E-3</v>
      </c>
      <c r="F802">
        <v>17005272</v>
      </c>
      <c r="G802">
        <v>0</v>
      </c>
      <c r="L802" t="s">
        <v>7</v>
      </c>
      <c r="M802" t="s">
        <v>7</v>
      </c>
      <c r="N802" t="s">
        <v>7</v>
      </c>
      <c r="P802">
        <f t="shared" si="1004"/>
        <v>-0.26907630522088366</v>
      </c>
      <c r="Q802">
        <f t="shared" si="1005"/>
        <v>-4575715.759036147</v>
      </c>
      <c r="R802">
        <f t="shared" si="1006"/>
        <v>-1594537941.3296721</v>
      </c>
      <c r="S802">
        <f t="shared" si="1007"/>
        <v>-15945.379413296721</v>
      </c>
      <c r="T802">
        <f t="shared" si="1008"/>
        <v>-15.945379413296722</v>
      </c>
    </row>
    <row r="803" spans="1:20" x14ac:dyDescent="0.25">
      <c r="A803" s="5">
        <v>43790</v>
      </c>
      <c r="B803">
        <v>3.1619999999999999E-3</v>
      </c>
      <c r="C803">
        <v>3.2000000000000002E-3</v>
      </c>
      <c r="D803">
        <v>2.8E-3</v>
      </c>
      <c r="E803">
        <v>2.9020000000000001E-3</v>
      </c>
      <c r="F803">
        <v>28447042</v>
      </c>
      <c r="G803">
        <v>0</v>
      </c>
      <c r="L803" t="s">
        <v>7</v>
      </c>
      <c r="M803" t="s">
        <v>7</v>
      </c>
      <c r="N803" t="s">
        <v>7</v>
      </c>
      <c r="P803">
        <f t="shared" si="1004"/>
        <v>-0.48999999999999977</v>
      </c>
      <c r="Q803">
        <f t="shared" si="1005"/>
        <v>-13939050.579999993</v>
      </c>
      <c r="R803">
        <f t="shared" si="1006"/>
        <v>-1589962225.570636</v>
      </c>
      <c r="S803">
        <f t="shared" si="1007"/>
        <v>-15899.622255706361</v>
      </c>
      <c r="T803">
        <f t="shared" si="1008"/>
        <v>-15.899622255706362</v>
      </c>
    </row>
    <row r="804" spans="1:20" x14ac:dyDescent="0.25">
      <c r="A804" s="5">
        <v>43789</v>
      </c>
      <c r="B804">
        <v>3.1700000000000001E-3</v>
      </c>
      <c r="C804">
        <v>3.1900000000000001E-3</v>
      </c>
      <c r="D804">
        <v>3.0599999999999998E-3</v>
      </c>
      <c r="E804">
        <v>3.1649999999999998E-3</v>
      </c>
      <c r="F804">
        <v>13869468</v>
      </c>
      <c r="G804">
        <v>0</v>
      </c>
      <c r="L804" t="s">
        <v>7</v>
      </c>
      <c r="M804" t="s">
        <v>7</v>
      </c>
      <c r="N804" t="s">
        <v>7</v>
      </c>
      <c r="P804">
        <f t="shared" si="1004"/>
        <v>0.61538461538461209</v>
      </c>
      <c r="Q804">
        <f t="shared" si="1005"/>
        <v>8535057.2307691853</v>
      </c>
      <c r="R804">
        <f t="shared" si="1006"/>
        <v>-1576023174.9906361</v>
      </c>
      <c r="S804">
        <f t="shared" si="1007"/>
        <v>-15760.231749906361</v>
      </c>
      <c r="T804">
        <f t="shared" si="1008"/>
        <v>-15.76023174990636</v>
      </c>
    </row>
    <row r="805" spans="1:20" x14ac:dyDescent="0.25">
      <c r="A805" s="5">
        <v>43788</v>
      </c>
      <c r="B805">
        <v>3.2339999999999999E-3</v>
      </c>
      <c r="C805">
        <v>3.2429999999999998E-3</v>
      </c>
      <c r="D805">
        <v>3.0760000000000002E-3</v>
      </c>
      <c r="E805">
        <v>3.1459999999999999E-3</v>
      </c>
      <c r="F805">
        <v>12768538</v>
      </c>
      <c r="G805">
        <v>0</v>
      </c>
      <c r="L805" t="s">
        <v>7</v>
      </c>
      <c r="M805" t="s">
        <v>7</v>
      </c>
      <c r="N805" t="s">
        <v>7</v>
      </c>
      <c r="P805">
        <f t="shared" si="1004"/>
        <v>-0.16167664670658788</v>
      </c>
      <c r="Q805">
        <f t="shared" si="1005"/>
        <v>-2064374.4071856423</v>
      </c>
      <c r="R805">
        <f t="shared" si="1006"/>
        <v>-1584558232.2214053</v>
      </c>
      <c r="S805">
        <f t="shared" si="1007"/>
        <v>-15845.582322214053</v>
      </c>
      <c r="T805">
        <f t="shared" si="1008"/>
        <v>-15.845582322214053</v>
      </c>
    </row>
    <row r="806" spans="1:20" x14ac:dyDescent="0.25">
      <c r="A806" s="5">
        <v>43787</v>
      </c>
      <c r="B806">
        <v>3.339E-3</v>
      </c>
      <c r="C806">
        <v>3.3999999999999998E-3</v>
      </c>
      <c r="D806">
        <v>3.2200000000000002E-3</v>
      </c>
      <c r="E806">
        <v>3.2399999999999998E-3</v>
      </c>
      <c r="F806">
        <v>16977897</v>
      </c>
      <c r="G806">
        <v>0</v>
      </c>
      <c r="L806" t="s">
        <v>7</v>
      </c>
      <c r="M806" t="s">
        <v>8</v>
      </c>
      <c r="N806" t="s">
        <v>7</v>
      </c>
      <c r="P806">
        <f t="shared" si="1004"/>
        <v>-0.77777777777778156</v>
      </c>
      <c r="Q806">
        <f t="shared" si="1005"/>
        <v>-13205031.000000065</v>
      </c>
      <c r="R806">
        <f t="shared" si="1006"/>
        <v>-1582493857.8142197</v>
      </c>
      <c r="S806">
        <f t="shared" si="1007"/>
        <v>-15824.938578142197</v>
      </c>
      <c r="T806">
        <f t="shared" si="1008"/>
        <v>-15.824938578142197</v>
      </c>
    </row>
    <row r="807" spans="1:20" x14ac:dyDescent="0.25">
      <c r="A807" s="5">
        <v>43786</v>
      </c>
      <c r="B807">
        <v>3.3899999999999998E-3</v>
      </c>
      <c r="C807">
        <v>3.5019999999999999E-3</v>
      </c>
      <c r="D807">
        <v>3.2910000000000001E-3</v>
      </c>
      <c r="E807">
        <v>3.3440000000000002E-3</v>
      </c>
      <c r="F807">
        <v>40260422.899999999</v>
      </c>
      <c r="G807">
        <v>0</v>
      </c>
      <c r="L807" t="s">
        <v>8</v>
      </c>
      <c r="M807" t="s">
        <v>8</v>
      </c>
      <c r="N807" t="s">
        <v>7</v>
      </c>
      <c r="P807">
        <f t="shared" si="1004"/>
        <v>-0.49763033175355315</v>
      </c>
      <c r="Q807">
        <f t="shared" si="1005"/>
        <v>-20034807.604265347</v>
      </c>
      <c r="R807">
        <f t="shared" si="1006"/>
        <v>-1569288826.8142197</v>
      </c>
      <c r="S807">
        <f t="shared" si="1007"/>
        <v>-15692.888268142196</v>
      </c>
      <c r="T807">
        <f t="shared" si="1008"/>
        <v>-15.692888268142196</v>
      </c>
    </row>
    <row r="808" spans="1:20" x14ac:dyDescent="0.25">
      <c r="A808" s="5">
        <v>43785</v>
      </c>
      <c r="B808">
        <v>3.2799999999999999E-3</v>
      </c>
      <c r="C808">
        <v>3.4789999999999999E-3</v>
      </c>
      <c r="D808">
        <v>3.2599999999999999E-3</v>
      </c>
      <c r="E808">
        <v>3.4099999999999998E-3</v>
      </c>
      <c r="F808">
        <v>27403488.100000001</v>
      </c>
      <c r="G808">
        <v>0</v>
      </c>
      <c r="L808" t="s">
        <v>8</v>
      </c>
      <c r="M808" t="s">
        <v>8</v>
      </c>
      <c r="N808" t="s">
        <v>7</v>
      </c>
      <c r="P808">
        <f t="shared" si="1004"/>
        <v>0.36986301369862973</v>
      </c>
      <c r="Q808">
        <f t="shared" si="1005"/>
        <v>10135536.694520537</v>
      </c>
      <c r="R808">
        <f t="shared" si="1006"/>
        <v>-1549254019.2099543</v>
      </c>
      <c r="S808">
        <f t="shared" si="1007"/>
        <v>-15492.540192099543</v>
      </c>
      <c r="T808">
        <f t="shared" si="1008"/>
        <v>-15.492540192099543</v>
      </c>
    </row>
    <row r="809" spans="1:20" x14ac:dyDescent="0.25">
      <c r="A809" s="5">
        <v>43784</v>
      </c>
      <c r="B809">
        <v>3.2399999999999998E-3</v>
      </c>
      <c r="C809">
        <v>3.3500000000000001E-3</v>
      </c>
      <c r="D809">
        <v>3.1649999999999998E-3</v>
      </c>
      <c r="E809">
        <v>3.2699999999999999E-3</v>
      </c>
      <c r="F809">
        <v>28544989.899999999</v>
      </c>
      <c r="G809">
        <v>0</v>
      </c>
      <c r="L809" t="s">
        <v>7</v>
      </c>
      <c r="M809" t="s">
        <v>8</v>
      </c>
      <c r="N809" t="s">
        <v>7</v>
      </c>
      <c r="P809">
        <f t="shared" si="1004"/>
        <v>0.13513513513513412</v>
      </c>
      <c r="Q809">
        <f t="shared" si="1005"/>
        <v>3857431.0675675385</v>
      </c>
      <c r="R809">
        <f t="shared" si="1006"/>
        <v>-1559389555.9044747</v>
      </c>
      <c r="S809">
        <f t="shared" si="1007"/>
        <v>-15593.895559044748</v>
      </c>
      <c r="T809">
        <f t="shared" si="1008"/>
        <v>-15.593895559044748</v>
      </c>
    </row>
    <row r="810" spans="1:20" x14ac:dyDescent="0.25">
      <c r="A810" s="5">
        <v>43783</v>
      </c>
      <c r="B810">
        <v>3.3E-3</v>
      </c>
      <c r="C810">
        <v>3.32E-3</v>
      </c>
      <c r="D810">
        <v>3.1619999999999999E-3</v>
      </c>
      <c r="E810">
        <v>3.2399999999999998E-3</v>
      </c>
      <c r="F810">
        <v>9397822</v>
      </c>
      <c r="G810">
        <v>0</v>
      </c>
      <c r="L810" t="s">
        <v>7</v>
      </c>
      <c r="M810" t="s">
        <v>8</v>
      </c>
      <c r="N810" t="s">
        <v>7</v>
      </c>
      <c r="P810">
        <f t="shared" si="1004"/>
        <v>-1.2658227848102933E-2</v>
      </c>
      <c r="Q810">
        <f t="shared" si="1005"/>
        <v>-118959.7721519144</v>
      </c>
      <c r="R810">
        <f t="shared" si="1006"/>
        <v>-1563246986.9720423</v>
      </c>
      <c r="S810">
        <f t="shared" si="1007"/>
        <v>-15632.469869720424</v>
      </c>
      <c r="T810">
        <f t="shared" si="1008"/>
        <v>-15.632469869720424</v>
      </c>
    </row>
    <row r="811" spans="1:20" x14ac:dyDescent="0.25">
      <c r="A811" s="5">
        <v>43782</v>
      </c>
      <c r="B811">
        <v>3.31E-3</v>
      </c>
      <c r="C811">
        <v>3.32E-3</v>
      </c>
      <c r="D811">
        <v>3.2299999999999998E-3</v>
      </c>
      <c r="E811">
        <v>3.2799999999999999E-3</v>
      </c>
      <c r="F811">
        <v>12649882</v>
      </c>
      <c r="G811">
        <v>0</v>
      </c>
      <c r="L811" t="s">
        <v>7</v>
      </c>
      <c r="M811" t="s">
        <v>8</v>
      </c>
      <c r="N811" t="s">
        <v>7</v>
      </c>
      <c r="P811">
        <f t="shared" si="1004"/>
        <v>0.1111111111111111</v>
      </c>
      <c r="Q811">
        <f t="shared" si="1005"/>
        <v>1405542.4444444443</v>
      </c>
      <c r="R811">
        <f t="shared" si="1006"/>
        <v>-1563128027.1998904</v>
      </c>
      <c r="S811">
        <f t="shared" si="1007"/>
        <v>-15631.280271998903</v>
      </c>
      <c r="T811">
        <f t="shared" si="1008"/>
        <v>-15.631280271998904</v>
      </c>
    </row>
    <row r="812" spans="1:20" x14ac:dyDescent="0.25">
      <c r="A812" s="5">
        <v>43781</v>
      </c>
      <c r="B812">
        <v>3.3300000000000001E-3</v>
      </c>
      <c r="C812">
        <v>3.3500000000000001E-3</v>
      </c>
      <c r="D812">
        <v>3.2499999999999999E-3</v>
      </c>
      <c r="E812">
        <v>3.31E-3</v>
      </c>
      <c r="F812">
        <v>13783569.6</v>
      </c>
      <c r="G812">
        <v>0</v>
      </c>
      <c r="L812" t="s">
        <v>7</v>
      </c>
      <c r="M812" t="s">
        <v>8</v>
      </c>
      <c r="N812" t="s">
        <v>7</v>
      </c>
      <c r="P812">
        <f t="shared" si="1004"/>
        <v>0.2</v>
      </c>
      <c r="Q812">
        <f t="shared" si="1005"/>
        <v>2756713.92</v>
      </c>
      <c r="R812">
        <f t="shared" si="1006"/>
        <v>-1564533569.6443348</v>
      </c>
      <c r="S812">
        <f t="shared" si="1007"/>
        <v>-15645.335696443348</v>
      </c>
      <c r="T812">
        <f t="shared" si="1008"/>
        <v>-15.645335696443349</v>
      </c>
    </row>
    <row r="813" spans="1:20" x14ac:dyDescent="0.25">
      <c r="A813" s="5">
        <v>43780</v>
      </c>
      <c r="B813">
        <v>3.4299999999999999E-3</v>
      </c>
      <c r="C813">
        <v>3.46E-3</v>
      </c>
      <c r="D813">
        <v>3.2799999999999999E-3</v>
      </c>
      <c r="E813">
        <v>3.3400000000000001E-3</v>
      </c>
      <c r="F813">
        <v>9125780.5999999996</v>
      </c>
      <c r="G813">
        <v>0</v>
      </c>
      <c r="L813" t="s">
        <v>7</v>
      </c>
      <c r="M813" t="s">
        <v>8</v>
      </c>
      <c r="N813" t="s">
        <v>7</v>
      </c>
      <c r="P813">
        <f t="shared" si="1004"/>
        <v>-0.33333333333333171</v>
      </c>
      <c r="Q813">
        <f t="shared" si="1005"/>
        <v>-3041926.8666666518</v>
      </c>
      <c r="R813">
        <f t="shared" si="1006"/>
        <v>-1567290283.5643349</v>
      </c>
      <c r="S813">
        <f t="shared" si="1007"/>
        <v>-15672.902835643348</v>
      </c>
      <c r="T813">
        <f t="shared" si="1008"/>
        <v>-15.672902835643349</v>
      </c>
    </row>
    <row r="814" spans="1:20" x14ac:dyDescent="0.25">
      <c r="A814" s="5">
        <v>43779</v>
      </c>
      <c r="B814">
        <v>3.4199999999999999E-3</v>
      </c>
      <c r="C814">
        <v>3.46E-3</v>
      </c>
      <c r="D814">
        <v>3.29E-3</v>
      </c>
      <c r="E814">
        <v>3.4099999999999998E-3</v>
      </c>
      <c r="F814">
        <v>21259496.899999999</v>
      </c>
      <c r="G814">
        <v>0</v>
      </c>
      <c r="L814" t="s">
        <v>7</v>
      </c>
      <c r="M814" t="s">
        <v>8</v>
      </c>
      <c r="N814" t="s">
        <v>7</v>
      </c>
      <c r="P814">
        <f t="shared" si="1004"/>
        <v>0.41176470588235142</v>
      </c>
      <c r="Q814">
        <f t="shared" si="1005"/>
        <v>8753910.4882352613</v>
      </c>
      <c r="R814">
        <f t="shared" si="1006"/>
        <v>-1564248356.6976683</v>
      </c>
      <c r="S814">
        <f t="shared" si="1007"/>
        <v>-15642.483566976684</v>
      </c>
      <c r="T814">
        <f t="shared" si="1008"/>
        <v>-15.642483566976683</v>
      </c>
    </row>
    <row r="815" spans="1:20" x14ac:dyDescent="0.25">
      <c r="A815" s="5">
        <v>43778</v>
      </c>
      <c r="B815">
        <v>3.3999999999999998E-3</v>
      </c>
      <c r="C815">
        <v>3.5899999999999999E-3</v>
      </c>
      <c r="D815">
        <v>3.3500000000000001E-3</v>
      </c>
      <c r="E815">
        <v>3.4299999999999999E-3</v>
      </c>
      <c r="F815">
        <v>14172199.699999999</v>
      </c>
      <c r="G815">
        <v>0</v>
      </c>
      <c r="L815" t="s">
        <v>7</v>
      </c>
      <c r="M815" t="s">
        <v>8</v>
      </c>
      <c r="N815" t="s">
        <v>7</v>
      </c>
      <c r="P815">
        <f t="shared" si="1004"/>
        <v>-0.33333333333333454</v>
      </c>
      <c r="Q815">
        <f t="shared" si="1005"/>
        <v>-4724066.5666666832</v>
      </c>
      <c r="R815">
        <f t="shared" si="1006"/>
        <v>-1573002267.1859035</v>
      </c>
      <c r="S815">
        <f t="shared" si="1007"/>
        <v>-15730.022671859035</v>
      </c>
      <c r="T815">
        <f t="shared" si="1008"/>
        <v>-15.730022671859034</v>
      </c>
    </row>
    <row r="816" spans="1:20" x14ac:dyDescent="0.25">
      <c r="A816" s="5">
        <v>43777</v>
      </c>
      <c r="B816">
        <v>3.5500000000000002E-3</v>
      </c>
      <c r="C816">
        <v>3.5999999999999999E-3</v>
      </c>
      <c r="D816">
        <v>3.3400000000000001E-3</v>
      </c>
      <c r="E816">
        <v>3.3999999999999998E-3</v>
      </c>
      <c r="F816">
        <v>32135090.300000001</v>
      </c>
      <c r="G816">
        <v>0</v>
      </c>
      <c r="L816" t="s">
        <v>7</v>
      </c>
      <c r="M816" t="s">
        <v>8</v>
      </c>
      <c r="N816" t="s">
        <v>7</v>
      </c>
      <c r="P816">
        <f t="shared" si="1004"/>
        <v>-0.53846153846154021</v>
      </c>
      <c r="Q816">
        <f t="shared" si="1005"/>
        <v>-17303510.161538519</v>
      </c>
      <c r="R816">
        <f t="shared" si="1006"/>
        <v>-1568278200.6192369</v>
      </c>
      <c r="S816">
        <f t="shared" si="1007"/>
        <v>-15682.78200619237</v>
      </c>
      <c r="T816">
        <f t="shared" si="1008"/>
        <v>-15.682782006192371</v>
      </c>
    </row>
    <row r="817" spans="1:20" x14ac:dyDescent="0.25">
      <c r="A817" s="5">
        <v>43776</v>
      </c>
      <c r="B817">
        <v>3.5000000000000001E-3</v>
      </c>
      <c r="C817">
        <v>3.7399999999999998E-3</v>
      </c>
      <c r="D817">
        <v>3.4499999999999999E-3</v>
      </c>
      <c r="E817">
        <v>3.5899999999999999E-3</v>
      </c>
      <c r="F817">
        <v>70236960.599999994</v>
      </c>
      <c r="G817">
        <v>0</v>
      </c>
      <c r="L817" t="s">
        <v>8</v>
      </c>
      <c r="M817" t="s">
        <v>8</v>
      </c>
      <c r="N817" t="s">
        <v>7</v>
      </c>
      <c r="P817">
        <f t="shared" si="1004"/>
        <v>-3.4482758620689759E-2</v>
      </c>
      <c r="Q817">
        <f t="shared" si="1005"/>
        <v>-2421964.1586206965</v>
      </c>
      <c r="R817">
        <f t="shared" si="1006"/>
        <v>-1550974690.4576983</v>
      </c>
      <c r="S817">
        <f t="shared" si="1007"/>
        <v>-15509.746904576983</v>
      </c>
      <c r="T817">
        <f t="shared" si="1008"/>
        <v>-15.509746904576984</v>
      </c>
    </row>
    <row r="818" spans="1:20" x14ac:dyDescent="0.25">
      <c r="A818" s="5">
        <v>43775</v>
      </c>
      <c r="B818">
        <v>3.5599999999999998E-3</v>
      </c>
      <c r="C818">
        <v>3.5599999999999998E-3</v>
      </c>
      <c r="D818">
        <v>3.4499999999999999E-3</v>
      </c>
      <c r="E818">
        <v>3.5000000000000001E-3</v>
      </c>
      <c r="F818">
        <v>19108626.300000001</v>
      </c>
      <c r="G818">
        <v>0</v>
      </c>
      <c r="L818" t="s">
        <v>8</v>
      </c>
      <c r="M818" t="s">
        <v>8</v>
      </c>
      <c r="N818" t="s">
        <v>7</v>
      </c>
      <c r="P818">
        <f t="shared" si="1004"/>
        <v>-9.0909090909087331E-2</v>
      </c>
      <c r="Q818">
        <f t="shared" si="1005"/>
        <v>-1737147.8454544772</v>
      </c>
      <c r="R818">
        <f t="shared" si="1006"/>
        <v>-1548552726.2990777</v>
      </c>
      <c r="S818">
        <f t="shared" si="1007"/>
        <v>-15485.527262990778</v>
      </c>
      <c r="T818">
        <f t="shared" si="1008"/>
        <v>-15.485527262990777</v>
      </c>
    </row>
    <row r="819" spans="1:20" x14ac:dyDescent="0.25">
      <c r="A819" s="5">
        <v>43774</v>
      </c>
      <c r="B819">
        <v>3.5899999999999999E-3</v>
      </c>
      <c r="C819">
        <v>3.5999999999999999E-3</v>
      </c>
      <c r="D819">
        <v>3.4399999999999999E-3</v>
      </c>
      <c r="E819">
        <v>3.5599999999999998E-3</v>
      </c>
      <c r="F819">
        <v>21506444.399999999</v>
      </c>
      <c r="G819">
        <v>0</v>
      </c>
      <c r="L819" t="s">
        <v>8</v>
      </c>
      <c r="M819" t="s">
        <v>8</v>
      </c>
      <c r="N819" t="s">
        <v>7</v>
      </c>
      <c r="P819">
        <f t="shared" si="1004"/>
        <v>0.49999999999999867</v>
      </c>
      <c r="Q819">
        <f t="shared" si="1005"/>
        <v>10753222.199999971</v>
      </c>
      <c r="R819">
        <f t="shared" si="1006"/>
        <v>-1546815578.4536233</v>
      </c>
      <c r="S819">
        <f t="shared" si="1007"/>
        <v>-15468.155784536233</v>
      </c>
      <c r="T819">
        <f t="shared" si="1008"/>
        <v>-15.468155784536233</v>
      </c>
    </row>
    <row r="820" spans="1:20" x14ac:dyDescent="0.25">
      <c r="A820" s="5">
        <v>43773</v>
      </c>
      <c r="B820">
        <v>3.47E-3</v>
      </c>
      <c r="C820">
        <v>3.64E-3</v>
      </c>
      <c r="D820">
        <v>3.4499999999999999E-3</v>
      </c>
      <c r="E820">
        <v>3.5899999999999999E-3</v>
      </c>
      <c r="F820">
        <v>18885655.300000001</v>
      </c>
      <c r="G820">
        <v>0</v>
      </c>
      <c r="L820" t="s">
        <v>8</v>
      </c>
      <c r="M820" t="s">
        <v>8</v>
      </c>
      <c r="N820" t="s">
        <v>7</v>
      </c>
      <c r="P820">
        <f t="shared" si="1004"/>
        <v>0.4736842105263146</v>
      </c>
      <c r="Q820">
        <f t="shared" si="1005"/>
        <v>8945836.7210526094</v>
      </c>
      <c r="R820">
        <f t="shared" si="1006"/>
        <v>-1557568800.6536233</v>
      </c>
      <c r="S820">
        <f t="shared" si="1007"/>
        <v>-15575.688006536233</v>
      </c>
      <c r="T820">
        <f t="shared" si="1008"/>
        <v>-15.575688006536232</v>
      </c>
    </row>
    <row r="821" spans="1:20" x14ac:dyDescent="0.25">
      <c r="A821" s="5">
        <v>43772</v>
      </c>
      <c r="B821">
        <v>3.5000000000000001E-3</v>
      </c>
      <c r="C821">
        <v>3.5100000000000001E-3</v>
      </c>
      <c r="D821">
        <v>3.3999999999999998E-3</v>
      </c>
      <c r="E821">
        <v>3.47E-3</v>
      </c>
      <c r="F821">
        <v>8617562.4000000004</v>
      </c>
      <c r="G821">
        <v>0</v>
      </c>
      <c r="L821" t="s">
        <v>8</v>
      </c>
      <c r="M821" t="s">
        <v>8</v>
      </c>
      <c r="N821" t="s">
        <v>7</v>
      </c>
      <c r="P821">
        <f t="shared" si="1004"/>
        <v>0.27272727272727271</v>
      </c>
      <c r="Q821">
        <f t="shared" si="1005"/>
        <v>2350244.290909091</v>
      </c>
      <c r="R821">
        <f t="shared" si="1006"/>
        <v>-1566514637.374676</v>
      </c>
      <c r="S821">
        <f t="shared" si="1007"/>
        <v>-15665.14637374676</v>
      </c>
      <c r="T821">
        <f t="shared" si="1008"/>
        <v>-15.66514637374676</v>
      </c>
    </row>
    <row r="822" spans="1:20" x14ac:dyDescent="0.25">
      <c r="A822" s="5">
        <v>43771</v>
      </c>
      <c r="B822">
        <v>3.47E-3</v>
      </c>
      <c r="C822">
        <v>3.5400000000000002E-3</v>
      </c>
      <c r="D822">
        <v>3.3700000000000002E-3</v>
      </c>
      <c r="E822">
        <v>3.48E-3</v>
      </c>
      <c r="F822">
        <v>11334353.699999999</v>
      </c>
      <c r="G822">
        <v>0</v>
      </c>
      <c r="L822" t="s">
        <v>8</v>
      </c>
      <c r="M822" t="s">
        <v>8</v>
      </c>
      <c r="N822" t="s">
        <v>7</v>
      </c>
      <c r="P822">
        <f t="shared" si="1004"/>
        <v>0.29411764705882171</v>
      </c>
      <c r="Q822">
        <f t="shared" si="1005"/>
        <v>3333633.4411764499</v>
      </c>
      <c r="R822">
        <f t="shared" si="1006"/>
        <v>-1568864881.665585</v>
      </c>
      <c r="S822">
        <f t="shared" si="1007"/>
        <v>-15688.64881665585</v>
      </c>
      <c r="T822">
        <f t="shared" si="1008"/>
        <v>-15.688648816655849</v>
      </c>
    </row>
    <row r="823" spans="1:20" x14ac:dyDescent="0.25">
      <c r="A823" s="5">
        <v>43770</v>
      </c>
      <c r="B823">
        <v>3.3999999999999998E-3</v>
      </c>
      <c r="C823">
        <v>3.5599999999999998E-3</v>
      </c>
      <c r="D823">
        <v>3.3500000000000001E-3</v>
      </c>
      <c r="E823">
        <v>3.49E-3</v>
      </c>
      <c r="F823">
        <v>23531623</v>
      </c>
      <c r="G823">
        <v>0</v>
      </c>
      <c r="L823" t="s">
        <v>8</v>
      </c>
      <c r="M823" t="s">
        <v>8</v>
      </c>
      <c r="N823" t="s">
        <v>7</v>
      </c>
      <c r="P823">
        <f t="shared" si="1004"/>
        <v>0.3333333333333347</v>
      </c>
      <c r="Q823">
        <f t="shared" si="1005"/>
        <v>7843874.3333333656</v>
      </c>
      <c r="R823">
        <f t="shared" si="1006"/>
        <v>-1572198515.1067615</v>
      </c>
      <c r="S823">
        <f t="shared" si="1007"/>
        <v>-15721.985151067614</v>
      </c>
      <c r="T823">
        <f t="shared" si="1008"/>
        <v>-15.721985151067614</v>
      </c>
    </row>
    <row r="824" spans="1:20" x14ac:dyDescent="0.25">
      <c r="A824" s="5">
        <v>43769</v>
      </c>
      <c r="B824">
        <v>3.4399999999999999E-3</v>
      </c>
      <c r="C824">
        <v>3.49E-3</v>
      </c>
      <c r="D824">
        <v>3.2200000000000002E-3</v>
      </c>
      <c r="E824">
        <v>3.3899999999999998E-3</v>
      </c>
      <c r="F824">
        <v>64154843.799999997</v>
      </c>
      <c r="G824">
        <v>0</v>
      </c>
      <c r="L824" t="s">
        <v>8</v>
      </c>
      <c r="M824" t="s">
        <v>8</v>
      </c>
      <c r="N824" t="s">
        <v>7</v>
      </c>
      <c r="P824">
        <f t="shared" si="1004"/>
        <v>0.25925925925925686</v>
      </c>
      <c r="Q824">
        <f t="shared" si="1005"/>
        <v>16632737.281481327</v>
      </c>
      <c r="R824">
        <f t="shared" si="1006"/>
        <v>-1580042389.4400947</v>
      </c>
      <c r="S824">
        <f t="shared" si="1007"/>
        <v>-15800.423894400947</v>
      </c>
      <c r="T824">
        <f t="shared" si="1008"/>
        <v>-15.800423894400947</v>
      </c>
    </row>
    <row r="825" spans="1:20" x14ac:dyDescent="0.25">
      <c r="A825" s="5">
        <v>43768</v>
      </c>
      <c r="B825">
        <v>3.5999999999999999E-3</v>
      </c>
      <c r="C825">
        <v>3.6700000000000001E-3</v>
      </c>
      <c r="D825">
        <v>3.2499999999999999E-3</v>
      </c>
      <c r="E825">
        <v>3.4499999999999999E-3</v>
      </c>
      <c r="F825">
        <v>32900985.5</v>
      </c>
      <c r="G825">
        <v>0</v>
      </c>
      <c r="L825" t="s">
        <v>7</v>
      </c>
      <c r="M825" t="s">
        <v>8</v>
      </c>
      <c r="N825" t="s">
        <v>7</v>
      </c>
      <c r="P825">
        <f t="shared" si="1004"/>
        <v>-4.761904761904772E-2</v>
      </c>
      <c r="Q825">
        <f t="shared" si="1005"/>
        <v>-1566713.5952380986</v>
      </c>
      <c r="R825">
        <f t="shared" si="1006"/>
        <v>-1596675126.721576</v>
      </c>
      <c r="S825">
        <f t="shared" si="1007"/>
        <v>-15966.751267215759</v>
      </c>
      <c r="T825">
        <f t="shared" si="1008"/>
        <v>-15.966751267215759</v>
      </c>
    </row>
    <row r="826" spans="1:20" x14ac:dyDescent="0.25">
      <c r="A826" s="5">
        <v>43767</v>
      </c>
      <c r="B826">
        <v>3.4399999999999999E-3</v>
      </c>
      <c r="C826">
        <v>3.8E-3</v>
      </c>
      <c r="D826">
        <v>3.4399999999999999E-3</v>
      </c>
      <c r="E826">
        <v>3.5699999999999998E-3</v>
      </c>
      <c r="F826">
        <v>110813608.2</v>
      </c>
      <c r="G826">
        <v>0</v>
      </c>
      <c r="L826" t="s">
        <v>8</v>
      </c>
      <c r="M826" t="s">
        <v>8</v>
      </c>
      <c r="N826" t="s">
        <v>7</v>
      </c>
      <c r="P826">
        <f t="shared" si="1004"/>
        <v>-0.27777777777777846</v>
      </c>
      <c r="Q826">
        <f t="shared" si="1005"/>
        <v>-30781557.83333341</v>
      </c>
      <c r="R826">
        <f t="shared" si="1006"/>
        <v>-1595108413.1263378</v>
      </c>
      <c r="S826">
        <f t="shared" si="1007"/>
        <v>-15951.084131263378</v>
      </c>
      <c r="T826">
        <f t="shared" si="1008"/>
        <v>-15.951084131263379</v>
      </c>
    </row>
    <row r="827" spans="1:20" x14ac:dyDescent="0.25">
      <c r="A827" s="5">
        <v>43766</v>
      </c>
      <c r="B827">
        <v>3.3899999999999998E-3</v>
      </c>
      <c r="C827">
        <v>3.5599999999999998E-3</v>
      </c>
      <c r="D827">
        <v>3.29E-3</v>
      </c>
      <c r="E827">
        <v>3.4399999999999999E-3</v>
      </c>
      <c r="F827">
        <v>52674171.600000001</v>
      </c>
      <c r="G827">
        <v>0</v>
      </c>
      <c r="L827" t="s">
        <v>8</v>
      </c>
      <c r="M827" t="s">
        <v>8</v>
      </c>
      <c r="N827" t="s">
        <v>7</v>
      </c>
      <c r="P827">
        <f t="shared" si="1004"/>
        <v>0.11111111111111147</v>
      </c>
      <c r="Q827">
        <f t="shared" si="1005"/>
        <v>5852685.733333352</v>
      </c>
      <c r="R827">
        <f t="shared" si="1006"/>
        <v>-1564326855.2930043</v>
      </c>
      <c r="S827">
        <f t="shared" si="1007"/>
        <v>-15643.268552930043</v>
      </c>
      <c r="T827">
        <f t="shared" si="1008"/>
        <v>-15.643268552930044</v>
      </c>
    </row>
    <row r="828" spans="1:20" x14ac:dyDescent="0.25">
      <c r="A828" s="5">
        <v>43765</v>
      </c>
      <c r="B828">
        <v>3.2399999999999998E-3</v>
      </c>
      <c r="C828">
        <v>3.3999999999999998E-3</v>
      </c>
      <c r="D828">
        <v>3.16E-3</v>
      </c>
      <c r="E828">
        <v>3.3800000000000002E-3</v>
      </c>
      <c r="F828">
        <v>37829263.200000003</v>
      </c>
      <c r="G828">
        <v>0</v>
      </c>
      <c r="L828" t="s">
        <v>8</v>
      </c>
      <c r="M828" t="s">
        <v>8</v>
      </c>
      <c r="N828" t="s">
        <v>7</v>
      </c>
      <c r="P828">
        <f t="shared" si="1004"/>
        <v>0.83333333333333637</v>
      </c>
      <c r="Q828">
        <f t="shared" si="1005"/>
        <v>31524386.000000115</v>
      </c>
      <c r="R828">
        <f t="shared" si="1006"/>
        <v>-1570179541.0263376</v>
      </c>
      <c r="S828">
        <f t="shared" si="1007"/>
        <v>-15701.795410263376</v>
      </c>
      <c r="T828">
        <f t="shared" si="1008"/>
        <v>-15.701795410263376</v>
      </c>
    </row>
    <row r="829" spans="1:20" x14ac:dyDescent="0.25">
      <c r="A829" s="5">
        <v>43764</v>
      </c>
      <c r="B829">
        <v>3.3800000000000002E-3</v>
      </c>
      <c r="C829">
        <v>3.5100000000000001E-3</v>
      </c>
      <c r="D829">
        <v>3.1099999999999999E-3</v>
      </c>
      <c r="E829">
        <v>3.2299999999999998E-3</v>
      </c>
      <c r="F829">
        <v>64117171.299999997</v>
      </c>
      <c r="G829">
        <v>0</v>
      </c>
      <c r="L829" t="s">
        <v>7</v>
      </c>
      <c r="M829" t="s">
        <v>8</v>
      </c>
      <c r="N829" t="s">
        <v>7</v>
      </c>
      <c r="P829">
        <f t="shared" si="1004"/>
        <v>-0.40000000000000085</v>
      </c>
      <c r="Q829">
        <f t="shared" si="1005"/>
        <v>-25646868.520000055</v>
      </c>
      <c r="R829">
        <f t="shared" si="1006"/>
        <v>-1601703927.0263376</v>
      </c>
      <c r="S829">
        <f t="shared" si="1007"/>
        <v>-16017.039270263376</v>
      </c>
      <c r="T829">
        <f t="shared" si="1008"/>
        <v>-16.017039270263375</v>
      </c>
    </row>
    <row r="830" spans="1:20" x14ac:dyDescent="0.25">
      <c r="A830" s="5">
        <v>43763</v>
      </c>
      <c r="B830">
        <v>3.1700000000000001E-3</v>
      </c>
      <c r="C830">
        <v>3.49E-3</v>
      </c>
      <c r="D830">
        <v>3.0500000000000002E-3</v>
      </c>
      <c r="E830">
        <v>3.3800000000000002E-3</v>
      </c>
      <c r="F830">
        <v>52614396</v>
      </c>
      <c r="G830">
        <v>0</v>
      </c>
      <c r="L830" t="s">
        <v>8</v>
      </c>
      <c r="M830" t="s">
        <v>8</v>
      </c>
      <c r="N830" t="s">
        <v>7</v>
      </c>
      <c r="P830">
        <f t="shared" si="1004"/>
        <v>0.50000000000000044</v>
      </c>
      <c r="Q830">
        <f t="shared" si="1005"/>
        <v>26307198.000000022</v>
      </c>
      <c r="R830">
        <f t="shared" si="1006"/>
        <v>-1576057058.5063376</v>
      </c>
      <c r="S830">
        <f t="shared" si="1007"/>
        <v>-15760.570585063377</v>
      </c>
      <c r="T830">
        <f t="shared" si="1008"/>
        <v>-15.760570585063377</v>
      </c>
    </row>
    <row r="831" spans="1:20" x14ac:dyDescent="0.25">
      <c r="A831" s="5">
        <v>43762</v>
      </c>
      <c r="B831">
        <v>3.16E-3</v>
      </c>
      <c r="C831">
        <v>3.2299999999999998E-3</v>
      </c>
      <c r="D831">
        <v>3.0999999999999999E-3</v>
      </c>
      <c r="E831">
        <v>3.2000000000000002E-3</v>
      </c>
      <c r="F831">
        <v>14319767</v>
      </c>
      <c r="G831">
        <v>0</v>
      </c>
      <c r="L831" t="s">
        <v>8</v>
      </c>
      <c r="M831" t="s">
        <v>7</v>
      </c>
      <c r="N831" t="s">
        <v>7</v>
      </c>
      <c r="P831">
        <f t="shared" ref="P831:P894" si="1009">IF(C831=D831,0,((E831-D831)-(C831-E831))/(C831-D831))</f>
        <v>0.53846153846154354</v>
      </c>
      <c r="Q831">
        <f t="shared" ref="Q831:Q894" si="1010">F831*P831</f>
        <v>7710643.7692308417</v>
      </c>
      <c r="R831">
        <f t="shared" ref="R831:R894" si="1011">R832+Q831</f>
        <v>-1602364256.5063376</v>
      </c>
      <c r="S831">
        <f t="shared" ref="S831:S894" si="1012">R831/100000</f>
        <v>-16023.642565063377</v>
      </c>
      <c r="T831">
        <f t="shared" ref="T831:T894" si="1013">S831/1000</f>
        <v>-16.023642565063376</v>
      </c>
    </row>
    <row r="832" spans="1:20" x14ac:dyDescent="0.25">
      <c r="A832" s="5">
        <v>43761</v>
      </c>
      <c r="B832">
        <v>3.3500000000000001E-3</v>
      </c>
      <c r="C832">
        <v>3.46E-3</v>
      </c>
      <c r="D832">
        <v>2.99E-3</v>
      </c>
      <c r="E832">
        <v>3.1800000000000001E-3</v>
      </c>
      <c r="F832">
        <v>56900372.299999997</v>
      </c>
      <c r="G832">
        <v>0</v>
      </c>
      <c r="L832" t="s">
        <v>7</v>
      </c>
      <c r="M832" t="s">
        <v>7</v>
      </c>
      <c r="N832" t="s">
        <v>7</v>
      </c>
      <c r="P832">
        <f t="shared" si="1009"/>
        <v>-0.19148936170212727</v>
      </c>
      <c r="Q832">
        <f t="shared" si="1010"/>
        <v>-10895815.972340403</v>
      </c>
      <c r="R832">
        <f t="shared" si="1011"/>
        <v>-1610074900.2755685</v>
      </c>
      <c r="S832">
        <f t="shared" si="1012"/>
        <v>-16100.749002755685</v>
      </c>
      <c r="T832">
        <f t="shared" si="1013"/>
        <v>-16.100749002755684</v>
      </c>
    </row>
    <row r="833" spans="1:20" x14ac:dyDescent="0.25">
      <c r="A833" s="5">
        <v>43760</v>
      </c>
      <c r="B833">
        <v>3.3999999999999998E-3</v>
      </c>
      <c r="C833">
        <v>3.47E-3</v>
      </c>
      <c r="D833">
        <v>3.3400000000000001E-3</v>
      </c>
      <c r="E833">
        <v>3.3500000000000001E-3</v>
      </c>
      <c r="F833">
        <v>16040301.1</v>
      </c>
      <c r="G833">
        <v>0</v>
      </c>
      <c r="L833" t="s">
        <v>8</v>
      </c>
      <c r="M833" t="s">
        <v>7</v>
      </c>
      <c r="N833" t="s">
        <v>7</v>
      </c>
      <c r="P833">
        <f t="shared" si="1009"/>
        <v>-0.84615384615384559</v>
      </c>
      <c r="Q833">
        <f t="shared" si="1010"/>
        <v>-13572562.46923076</v>
      </c>
      <c r="R833">
        <f t="shared" si="1011"/>
        <v>-1599179084.3032281</v>
      </c>
      <c r="S833">
        <f t="shared" si="1012"/>
        <v>-15991.790843032282</v>
      </c>
      <c r="T833">
        <f t="shared" si="1013"/>
        <v>-15.991790843032282</v>
      </c>
    </row>
    <row r="834" spans="1:20" x14ac:dyDescent="0.25">
      <c r="A834" s="5">
        <v>43759</v>
      </c>
      <c r="B834">
        <v>3.3899999999999998E-3</v>
      </c>
      <c r="C834">
        <v>3.49E-3</v>
      </c>
      <c r="D834">
        <v>3.3500000000000001E-3</v>
      </c>
      <c r="E834">
        <v>3.3600000000000001E-3</v>
      </c>
      <c r="F834">
        <v>21379450.5</v>
      </c>
      <c r="G834">
        <v>0</v>
      </c>
      <c r="L834" t="s">
        <v>8</v>
      </c>
      <c r="M834" t="s">
        <v>7</v>
      </c>
      <c r="N834" t="s">
        <v>7</v>
      </c>
      <c r="P834">
        <f t="shared" si="1009"/>
        <v>-0.85714285714285665</v>
      </c>
      <c r="Q834">
        <f t="shared" si="1010"/>
        <v>-18325243.285714276</v>
      </c>
      <c r="R834">
        <f t="shared" si="1011"/>
        <v>-1585606521.8339975</v>
      </c>
      <c r="S834">
        <f t="shared" si="1012"/>
        <v>-15856.065218339974</v>
      </c>
      <c r="T834">
        <f t="shared" si="1013"/>
        <v>-15.856065218339975</v>
      </c>
    </row>
    <row r="835" spans="1:20" x14ac:dyDescent="0.25">
      <c r="A835" s="5">
        <v>43758</v>
      </c>
      <c r="B835">
        <v>3.3300000000000001E-3</v>
      </c>
      <c r="C835">
        <v>3.4299999999999999E-3</v>
      </c>
      <c r="D835">
        <v>3.2499999999999999E-3</v>
      </c>
      <c r="E835">
        <v>3.3899999999999998E-3</v>
      </c>
      <c r="F835">
        <v>34489544.399999999</v>
      </c>
      <c r="G835">
        <v>0</v>
      </c>
      <c r="L835" t="s">
        <v>7</v>
      </c>
      <c r="M835" t="s">
        <v>7</v>
      </c>
      <c r="N835" t="s">
        <v>7</v>
      </c>
      <c r="P835">
        <f t="shared" si="1009"/>
        <v>0.55555555555555447</v>
      </c>
      <c r="Q835">
        <f t="shared" si="1010"/>
        <v>19160857.999999963</v>
      </c>
      <c r="R835">
        <f t="shared" si="1011"/>
        <v>-1567281278.5482831</v>
      </c>
      <c r="S835">
        <f t="shared" si="1012"/>
        <v>-15672.812785482831</v>
      </c>
      <c r="T835">
        <f t="shared" si="1013"/>
        <v>-15.672812785482831</v>
      </c>
    </row>
    <row r="836" spans="1:20" x14ac:dyDescent="0.25">
      <c r="A836" s="5">
        <v>43757</v>
      </c>
      <c r="B836">
        <v>3.3E-3</v>
      </c>
      <c r="C836">
        <v>3.4299999999999999E-3</v>
      </c>
      <c r="D836">
        <v>3.2799999999999999E-3</v>
      </c>
      <c r="E836">
        <v>3.32E-3</v>
      </c>
      <c r="F836">
        <v>9990896.1999999993</v>
      </c>
      <c r="G836">
        <v>0</v>
      </c>
      <c r="L836" t="s">
        <v>7</v>
      </c>
      <c r="M836" t="s">
        <v>7</v>
      </c>
      <c r="N836" t="s">
        <v>7</v>
      </c>
      <c r="P836">
        <f t="shared" si="1009"/>
        <v>-0.46666666666666512</v>
      </c>
      <c r="Q836">
        <f t="shared" si="1010"/>
        <v>-4662418.2266666507</v>
      </c>
      <c r="R836">
        <f t="shared" si="1011"/>
        <v>-1586442136.5482831</v>
      </c>
      <c r="S836">
        <f t="shared" si="1012"/>
        <v>-15864.421365482831</v>
      </c>
      <c r="T836">
        <f t="shared" si="1013"/>
        <v>-15.864421365482832</v>
      </c>
    </row>
    <row r="837" spans="1:20" x14ac:dyDescent="0.25">
      <c r="A837" s="5">
        <v>43756</v>
      </c>
      <c r="B837">
        <v>3.46E-3</v>
      </c>
      <c r="C837">
        <v>3.48E-3</v>
      </c>
      <c r="D837">
        <v>3.2499999999999999E-3</v>
      </c>
      <c r="E837">
        <v>3.3E-3</v>
      </c>
      <c r="F837">
        <v>16768089</v>
      </c>
      <c r="G837">
        <v>0</v>
      </c>
      <c r="L837" t="s">
        <v>7</v>
      </c>
      <c r="M837" t="s">
        <v>7</v>
      </c>
      <c r="N837" t="s">
        <v>7</v>
      </c>
      <c r="P837">
        <f t="shared" si="1009"/>
        <v>-0.56521739130434701</v>
      </c>
      <c r="Q837">
        <f t="shared" si="1010"/>
        <v>-9477615.5217391159</v>
      </c>
      <c r="R837">
        <f t="shared" si="1011"/>
        <v>-1581779718.3216164</v>
      </c>
      <c r="S837">
        <f t="shared" si="1012"/>
        <v>-15817.797183216164</v>
      </c>
      <c r="T837">
        <f t="shared" si="1013"/>
        <v>-15.817797183216165</v>
      </c>
    </row>
    <row r="838" spans="1:20" x14ac:dyDescent="0.25">
      <c r="A838" s="5">
        <v>43755</v>
      </c>
      <c r="B838">
        <v>3.3899999999999998E-3</v>
      </c>
      <c r="C838">
        <v>3.5000000000000001E-3</v>
      </c>
      <c r="D838">
        <v>3.31E-3</v>
      </c>
      <c r="E838">
        <v>3.48E-3</v>
      </c>
      <c r="F838">
        <v>6837124.0999999996</v>
      </c>
      <c r="G838">
        <v>0</v>
      </c>
      <c r="L838" t="s">
        <v>7</v>
      </c>
      <c r="M838" t="s">
        <v>7</v>
      </c>
      <c r="N838" t="s">
        <v>7</v>
      </c>
      <c r="P838">
        <f t="shared" si="1009"/>
        <v>0.78947368421052588</v>
      </c>
      <c r="Q838">
        <f t="shared" si="1010"/>
        <v>5397729.5526315756</v>
      </c>
      <c r="R838">
        <f t="shared" si="1011"/>
        <v>-1572302102.7998774</v>
      </c>
      <c r="S838">
        <f t="shared" si="1012"/>
        <v>-15723.021027998773</v>
      </c>
      <c r="T838">
        <f t="shared" si="1013"/>
        <v>-15.723021027998772</v>
      </c>
    </row>
    <row r="839" spans="1:20" x14ac:dyDescent="0.25">
      <c r="A839" s="5">
        <v>43754</v>
      </c>
      <c r="B839">
        <v>3.5999999999999999E-3</v>
      </c>
      <c r="C839">
        <v>3.62E-3</v>
      </c>
      <c r="D839">
        <v>3.2799999999999999E-3</v>
      </c>
      <c r="E839">
        <v>3.3700000000000002E-3</v>
      </c>
      <c r="F839">
        <v>23388182.300000001</v>
      </c>
      <c r="G839">
        <v>0</v>
      </c>
      <c r="L839" t="s">
        <v>7</v>
      </c>
      <c r="M839" t="s">
        <v>7</v>
      </c>
      <c r="N839" t="s">
        <v>7</v>
      </c>
      <c r="P839">
        <f t="shared" si="1009"/>
        <v>-0.47058823529411631</v>
      </c>
      <c r="Q839">
        <f t="shared" si="1010"/>
        <v>-11006203.435294086</v>
      </c>
      <c r="R839">
        <f t="shared" si="1011"/>
        <v>-1577699832.352509</v>
      </c>
      <c r="S839">
        <f t="shared" si="1012"/>
        <v>-15776.998323525091</v>
      </c>
      <c r="T839">
        <f t="shared" si="1013"/>
        <v>-15.776998323525092</v>
      </c>
    </row>
    <row r="840" spans="1:20" x14ac:dyDescent="0.25">
      <c r="A840" s="5">
        <v>43753</v>
      </c>
      <c r="B840">
        <v>3.5400000000000002E-3</v>
      </c>
      <c r="C840">
        <v>3.8E-3</v>
      </c>
      <c r="D840">
        <v>3.48E-3</v>
      </c>
      <c r="E840">
        <v>3.5799999999999998E-3</v>
      </c>
      <c r="F840">
        <v>49943651.899999999</v>
      </c>
      <c r="G840">
        <v>0</v>
      </c>
      <c r="L840" t="s">
        <v>8</v>
      </c>
      <c r="M840" t="s">
        <v>7</v>
      </c>
      <c r="N840" t="s">
        <v>7</v>
      </c>
      <c r="P840">
        <f t="shared" si="1009"/>
        <v>-0.375000000000001</v>
      </c>
      <c r="Q840">
        <f t="shared" si="1010"/>
        <v>-18728869.462500051</v>
      </c>
      <c r="R840">
        <f t="shared" si="1011"/>
        <v>-1566693628.9172149</v>
      </c>
      <c r="S840">
        <f t="shared" si="1012"/>
        <v>-15666.936289172148</v>
      </c>
      <c r="T840">
        <f t="shared" si="1013"/>
        <v>-15.666936289172149</v>
      </c>
    </row>
    <row r="841" spans="1:20" x14ac:dyDescent="0.25">
      <c r="A841" s="5">
        <v>43752</v>
      </c>
      <c r="B841">
        <v>3.47E-3</v>
      </c>
      <c r="C841">
        <v>3.5999999999999999E-3</v>
      </c>
      <c r="D841">
        <v>3.4499999999999999E-3</v>
      </c>
      <c r="E841">
        <v>3.5500000000000002E-3</v>
      </c>
      <c r="F841">
        <v>19069645.100000001</v>
      </c>
      <c r="G841">
        <v>0</v>
      </c>
      <c r="L841" t="s">
        <v>7</v>
      </c>
      <c r="M841" t="s">
        <v>7</v>
      </c>
      <c r="N841" t="s">
        <v>7</v>
      </c>
      <c r="P841">
        <f t="shared" si="1009"/>
        <v>0.3333333333333372</v>
      </c>
      <c r="Q841">
        <f t="shared" si="1010"/>
        <v>6356548.3666667407</v>
      </c>
      <c r="R841">
        <f t="shared" si="1011"/>
        <v>-1547964759.4547148</v>
      </c>
      <c r="S841">
        <f t="shared" si="1012"/>
        <v>-15479.647594547148</v>
      </c>
      <c r="T841">
        <f t="shared" si="1013"/>
        <v>-15.479647594547149</v>
      </c>
    </row>
    <row r="842" spans="1:20" x14ac:dyDescent="0.25">
      <c r="A842" s="5">
        <v>43751</v>
      </c>
      <c r="B842">
        <v>3.6700000000000001E-3</v>
      </c>
      <c r="C842">
        <v>3.7000000000000002E-3</v>
      </c>
      <c r="D842">
        <v>3.4399999999999999E-3</v>
      </c>
      <c r="E842">
        <v>3.5200000000000001E-3</v>
      </c>
      <c r="F842">
        <v>30541856.199999999</v>
      </c>
      <c r="G842">
        <v>0</v>
      </c>
      <c r="L842" t="s">
        <v>7</v>
      </c>
      <c r="M842" t="s">
        <v>7</v>
      </c>
      <c r="N842" t="s">
        <v>7</v>
      </c>
      <c r="P842">
        <f t="shared" si="1009"/>
        <v>-0.38461538461538358</v>
      </c>
      <c r="Q842">
        <f t="shared" si="1010"/>
        <v>-11746867.769230738</v>
      </c>
      <c r="R842">
        <f t="shared" si="1011"/>
        <v>-1554321307.8213816</v>
      </c>
      <c r="S842">
        <f t="shared" si="1012"/>
        <v>-15543.213078213816</v>
      </c>
      <c r="T842">
        <f t="shared" si="1013"/>
        <v>-15.543213078213816</v>
      </c>
    </row>
    <row r="843" spans="1:20" x14ac:dyDescent="0.25">
      <c r="A843" s="5">
        <v>43750</v>
      </c>
      <c r="B843">
        <v>3.7000000000000002E-3</v>
      </c>
      <c r="C843">
        <v>3.7499999999999999E-3</v>
      </c>
      <c r="D843">
        <v>3.5699999999999998E-3</v>
      </c>
      <c r="E843">
        <v>3.6700000000000001E-3</v>
      </c>
      <c r="F843">
        <v>22494145.800000001</v>
      </c>
      <c r="G843">
        <v>0</v>
      </c>
      <c r="L843" t="s">
        <v>7</v>
      </c>
      <c r="M843" t="s">
        <v>7</v>
      </c>
      <c r="N843" t="s">
        <v>7</v>
      </c>
      <c r="P843">
        <f t="shared" si="1009"/>
        <v>0.11111111111111378</v>
      </c>
      <c r="Q843">
        <f t="shared" si="1010"/>
        <v>2499349.5333333937</v>
      </c>
      <c r="R843">
        <f t="shared" si="1011"/>
        <v>-1542574440.0521507</v>
      </c>
      <c r="S843">
        <f t="shared" si="1012"/>
        <v>-15425.744400521507</v>
      </c>
      <c r="T843">
        <f t="shared" si="1013"/>
        <v>-15.425744400521507</v>
      </c>
    </row>
    <row r="844" spans="1:20" x14ac:dyDescent="0.25">
      <c r="A844" s="5">
        <v>43749</v>
      </c>
      <c r="B844">
        <v>3.7000000000000002E-3</v>
      </c>
      <c r="C844">
        <v>3.8600000000000001E-3</v>
      </c>
      <c r="D844">
        <v>3.5200000000000001E-3</v>
      </c>
      <c r="E844">
        <v>3.7000000000000002E-3</v>
      </c>
      <c r="F844">
        <v>61875452.399999999</v>
      </c>
      <c r="G844">
        <v>0</v>
      </c>
      <c r="L844" t="s">
        <v>7</v>
      </c>
      <c r="M844" t="s">
        <v>7</v>
      </c>
      <c r="N844" t="s">
        <v>7</v>
      </c>
      <c r="P844">
        <f t="shared" si="1009"/>
        <v>5.8823529411764858E-2</v>
      </c>
      <c r="Q844">
        <f t="shared" si="1010"/>
        <v>3639732.4941176563</v>
      </c>
      <c r="R844">
        <f t="shared" si="1011"/>
        <v>-1545073789.585484</v>
      </c>
      <c r="S844">
        <f t="shared" si="1012"/>
        <v>-15450.73789585484</v>
      </c>
      <c r="T844">
        <f t="shared" si="1013"/>
        <v>-15.450737895854839</v>
      </c>
    </row>
    <row r="845" spans="1:20" x14ac:dyDescent="0.25">
      <c r="A845" s="5">
        <v>43748</v>
      </c>
      <c r="B845">
        <v>3.9500000000000004E-3</v>
      </c>
      <c r="C845">
        <v>4.0200000000000001E-3</v>
      </c>
      <c r="D845">
        <v>3.5799999999999998E-3</v>
      </c>
      <c r="E845">
        <v>3.7100000000000002E-3</v>
      </c>
      <c r="F845">
        <v>156157284.80000001</v>
      </c>
      <c r="G845">
        <v>0</v>
      </c>
      <c r="L845" t="s">
        <v>7</v>
      </c>
      <c r="M845" t="s">
        <v>7</v>
      </c>
      <c r="N845" t="s">
        <v>7</v>
      </c>
      <c r="P845">
        <f t="shared" si="1009"/>
        <v>-0.40909090909090795</v>
      </c>
      <c r="Q845">
        <f t="shared" si="1010"/>
        <v>-63882525.59999983</v>
      </c>
      <c r="R845">
        <f t="shared" si="1011"/>
        <v>-1548713522.0796018</v>
      </c>
      <c r="S845">
        <f t="shared" si="1012"/>
        <v>-15487.135220796017</v>
      </c>
      <c r="T845">
        <f t="shared" si="1013"/>
        <v>-15.487135220796016</v>
      </c>
    </row>
    <row r="846" spans="1:20" x14ac:dyDescent="0.25">
      <c r="A846" s="5">
        <v>43747</v>
      </c>
      <c r="B846">
        <v>4.13E-3</v>
      </c>
      <c r="C846">
        <v>4.1999999999999997E-3</v>
      </c>
      <c r="D846">
        <v>3.8500000000000001E-3</v>
      </c>
      <c r="E846">
        <v>3.9500000000000004E-3</v>
      </c>
      <c r="F846">
        <v>246201820.5</v>
      </c>
      <c r="G846">
        <v>0</v>
      </c>
      <c r="L846" t="s">
        <v>7</v>
      </c>
      <c r="M846" t="s">
        <v>7</v>
      </c>
      <c r="N846" t="s">
        <v>8</v>
      </c>
      <c r="P846">
        <f t="shared" si="1009"/>
        <v>-0.42857142857142644</v>
      </c>
      <c r="Q846">
        <f t="shared" si="1010"/>
        <v>-105515065.9285709</v>
      </c>
      <c r="R846">
        <f t="shared" si="1011"/>
        <v>-1484830996.4796019</v>
      </c>
      <c r="S846">
        <f t="shared" si="1012"/>
        <v>-14848.309964796019</v>
      </c>
      <c r="T846">
        <f t="shared" si="1013"/>
        <v>-14.848309964796019</v>
      </c>
    </row>
    <row r="847" spans="1:20" x14ac:dyDescent="0.25">
      <c r="A847" s="5">
        <v>43746</v>
      </c>
      <c r="B847">
        <v>4.0299999999999997E-3</v>
      </c>
      <c r="C847">
        <v>5.2300000000000003E-3</v>
      </c>
      <c r="D847">
        <v>3.9199999999999999E-3</v>
      </c>
      <c r="E847">
        <v>4.13E-3</v>
      </c>
      <c r="F847">
        <v>272954377.39999998</v>
      </c>
      <c r="G847">
        <v>0</v>
      </c>
      <c r="L847" t="s">
        <v>8</v>
      </c>
      <c r="M847" t="s">
        <v>8</v>
      </c>
      <c r="N847" t="s">
        <v>8</v>
      </c>
      <c r="P847">
        <f t="shared" si="1009"/>
        <v>-0.67938931297709915</v>
      </c>
      <c r="Q847">
        <f t="shared" si="1010"/>
        <v>-185442286.93587783</v>
      </c>
      <c r="R847">
        <f t="shared" si="1011"/>
        <v>-1379315930.5510309</v>
      </c>
      <c r="S847">
        <f t="shared" si="1012"/>
        <v>-13793.159305510309</v>
      </c>
      <c r="T847">
        <f t="shared" si="1013"/>
        <v>-13.79315930551031</v>
      </c>
    </row>
    <row r="848" spans="1:20" x14ac:dyDescent="0.25">
      <c r="A848" s="5">
        <v>43745</v>
      </c>
      <c r="B848">
        <v>3.3899999999999998E-3</v>
      </c>
      <c r="C848">
        <v>4.2900000000000004E-3</v>
      </c>
      <c r="D848">
        <v>3.3500000000000001E-3</v>
      </c>
      <c r="E848">
        <v>4.0299999999999997E-3</v>
      </c>
      <c r="F848">
        <v>159787922</v>
      </c>
      <c r="G848">
        <v>0</v>
      </c>
      <c r="L848" t="s">
        <v>8</v>
      </c>
      <c r="M848" t="s">
        <v>8</v>
      </c>
      <c r="N848" t="s">
        <v>7</v>
      </c>
      <c r="P848">
        <f t="shared" si="1009"/>
        <v>0.44680851063829657</v>
      </c>
      <c r="Q848">
        <f t="shared" si="1010"/>
        <v>71394603.446808308</v>
      </c>
      <c r="R848">
        <f t="shared" si="1011"/>
        <v>-1193873643.6151531</v>
      </c>
      <c r="S848">
        <f t="shared" si="1012"/>
        <v>-11938.73643615153</v>
      </c>
      <c r="T848">
        <f t="shared" si="1013"/>
        <v>-11.93873643615153</v>
      </c>
    </row>
    <row r="849" spans="1:20" x14ac:dyDescent="0.25">
      <c r="A849" s="5">
        <v>43744</v>
      </c>
      <c r="B849">
        <v>3.3999999999999998E-3</v>
      </c>
      <c r="C849">
        <v>3.63E-3</v>
      </c>
      <c r="D849">
        <v>3.2599999999999999E-3</v>
      </c>
      <c r="E849">
        <v>3.3800000000000002E-3</v>
      </c>
      <c r="F849">
        <v>40053451.799999997</v>
      </c>
      <c r="G849">
        <v>0</v>
      </c>
      <c r="L849" t="s">
        <v>8</v>
      </c>
      <c r="M849" t="s">
        <v>7</v>
      </c>
      <c r="N849" t="s">
        <v>7</v>
      </c>
      <c r="P849">
        <f t="shared" si="1009"/>
        <v>-0.35135135135134982</v>
      </c>
      <c r="Q849">
        <f t="shared" si="1010"/>
        <v>-14072834.416216154</v>
      </c>
      <c r="R849">
        <f t="shared" si="1011"/>
        <v>-1265268247.0619614</v>
      </c>
      <c r="S849">
        <f t="shared" si="1012"/>
        <v>-12652.682470619615</v>
      </c>
      <c r="T849">
        <f t="shared" si="1013"/>
        <v>-12.652682470619615</v>
      </c>
    </row>
    <row r="850" spans="1:20" x14ac:dyDescent="0.25">
      <c r="A850" s="5">
        <v>43743</v>
      </c>
      <c r="B850">
        <v>3.3500000000000001E-3</v>
      </c>
      <c r="C850">
        <v>3.5000000000000001E-3</v>
      </c>
      <c r="D850">
        <v>3.2799999999999999E-3</v>
      </c>
      <c r="E850">
        <v>3.4099999999999998E-3</v>
      </c>
      <c r="F850">
        <v>43884827.799999997</v>
      </c>
      <c r="G850">
        <v>0</v>
      </c>
      <c r="L850" t="s">
        <v>8</v>
      </c>
      <c r="M850" t="s">
        <v>7</v>
      </c>
      <c r="N850" t="s">
        <v>7</v>
      </c>
      <c r="P850">
        <f t="shared" si="1009"/>
        <v>0.18181818181818021</v>
      </c>
      <c r="Q850">
        <f t="shared" si="1010"/>
        <v>7979059.5999999288</v>
      </c>
      <c r="R850">
        <f t="shared" si="1011"/>
        <v>-1251195412.6457453</v>
      </c>
      <c r="S850">
        <f t="shared" si="1012"/>
        <v>-12511.954126457453</v>
      </c>
      <c r="T850">
        <f t="shared" si="1013"/>
        <v>-12.511954126457452</v>
      </c>
    </row>
    <row r="851" spans="1:20" x14ac:dyDescent="0.25">
      <c r="A851" s="5">
        <v>43742</v>
      </c>
      <c r="B851">
        <v>3.31E-3</v>
      </c>
      <c r="C851">
        <v>3.3700000000000002E-3</v>
      </c>
      <c r="D851">
        <v>3.2000000000000002E-3</v>
      </c>
      <c r="E851">
        <v>3.3500000000000001E-3</v>
      </c>
      <c r="F851">
        <v>16611447.9</v>
      </c>
      <c r="G851">
        <v>0</v>
      </c>
      <c r="L851" t="s">
        <v>8</v>
      </c>
      <c r="M851" t="s">
        <v>7</v>
      </c>
      <c r="N851" t="s">
        <v>7</v>
      </c>
      <c r="P851">
        <f t="shared" si="1009"/>
        <v>0.76470588235294057</v>
      </c>
      <c r="Q851">
        <f t="shared" si="1010"/>
        <v>12702871.923529401</v>
      </c>
      <c r="R851">
        <f t="shared" si="1011"/>
        <v>-1259174472.2457452</v>
      </c>
      <c r="S851">
        <f t="shared" si="1012"/>
        <v>-12591.744722457452</v>
      </c>
      <c r="T851">
        <f t="shared" si="1013"/>
        <v>-12.591744722457452</v>
      </c>
    </row>
    <row r="852" spans="1:20" x14ac:dyDescent="0.25">
      <c r="A852" s="5">
        <v>43741</v>
      </c>
      <c r="B852">
        <v>3.2299999999999998E-3</v>
      </c>
      <c r="C852">
        <v>3.3999999999999998E-3</v>
      </c>
      <c r="D852">
        <v>3.15E-3</v>
      </c>
      <c r="E852">
        <v>3.29E-3</v>
      </c>
      <c r="F852">
        <v>26201578.300000001</v>
      </c>
      <c r="G852">
        <v>0</v>
      </c>
      <c r="L852" t="s">
        <v>8</v>
      </c>
      <c r="M852" t="s">
        <v>7</v>
      </c>
      <c r="N852" t="s">
        <v>7</v>
      </c>
      <c r="P852">
        <f t="shared" si="1009"/>
        <v>0.12000000000000041</v>
      </c>
      <c r="Q852">
        <f t="shared" si="1010"/>
        <v>3144189.3960000109</v>
      </c>
      <c r="R852">
        <f t="shared" si="1011"/>
        <v>-1271877344.1692746</v>
      </c>
      <c r="S852">
        <f t="shared" si="1012"/>
        <v>-12718.773441692745</v>
      </c>
      <c r="T852">
        <f t="shared" si="1013"/>
        <v>-12.718773441692745</v>
      </c>
    </row>
    <row r="853" spans="1:20" x14ac:dyDescent="0.25">
      <c r="A853" s="5">
        <v>43740</v>
      </c>
      <c r="B853">
        <v>3.2200000000000002E-3</v>
      </c>
      <c r="C853">
        <v>3.2399999999999998E-3</v>
      </c>
      <c r="D853">
        <v>3.0999999999999999E-3</v>
      </c>
      <c r="E853">
        <v>3.2100000000000002E-3</v>
      </c>
      <c r="F853">
        <v>19213792.300000001</v>
      </c>
      <c r="G853">
        <v>0</v>
      </c>
      <c r="L853" t="s">
        <v>7</v>
      </c>
      <c r="M853" t="s">
        <v>7</v>
      </c>
      <c r="N853" t="s">
        <v>7</v>
      </c>
      <c r="P853">
        <f t="shared" si="1009"/>
        <v>0.57142857142857628</v>
      </c>
      <c r="Q853">
        <f t="shared" si="1010"/>
        <v>10979309.88571438</v>
      </c>
      <c r="R853">
        <f t="shared" si="1011"/>
        <v>-1275021533.5652745</v>
      </c>
      <c r="S853">
        <f t="shared" si="1012"/>
        <v>-12750.215335652745</v>
      </c>
      <c r="T853">
        <f t="shared" si="1013"/>
        <v>-12.750215335652745</v>
      </c>
    </row>
    <row r="854" spans="1:20" x14ac:dyDescent="0.25">
      <c r="A854" s="5">
        <v>43739</v>
      </c>
      <c r="B854">
        <v>3.31E-3</v>
      </c>
      <c r="C854">
        <v>3.32E-3</v>
      </c>
      <c r="D854">
        <v>3.1900000000000001E-3</v>
      </c>
      <c r="E854">
        <v>3.2000000000000002E-3</v>
      </c>
      <c r="F854">
        <v>15452249.5</v>
      </c>
      <c r="G854">
        <v>0</v>
      </c>
      <c r="L854" t="s">
        <v>7</v>
      </c>
      <c r="M854" t="s">
        <v>7</v>
      </c>
      <c r="N854" t="s">
        <v>7</v>
      </c>
      <c r="P854">
        <f t="shared" si="1009"/>
        <v>-0.84615384615384559</v>
      </c>
      <c r="Q854">
        <f t="shared" si="1010"/>
        <v>-13074980.346153837</v>
      </c>
      <c r="R854">
        <f t="shared" si="1011"/>
        <v>-1286000843.4509888</v>
      </c>
      <c r="S854">
        <f t="shared" si="1012"/>
        <v>-12860.008434509888</v>
      </c>
      <c r="T854">
        <f t="shared" si="1013"/>
        <v>-12.860008434509888</v>
      </c>
    </row>
    <row r="855" spans="1:20" x14ac:dyDescent="0.25">
      <c r="A855" s="5">
        <v>43738</v>
      </c>
      <c r="B855">
        <v>3.31E-3</v>
      </c>
      <c r="C855">
        <v>3.32E-3</v>
      </c>
      <c r="D855">
        <v>3.0899999999999999E-3</v>
      </c>
      <c r="E855">
        <v>3.31E-3</v>
      </c>
      <c r="F855">
        <v>20152204.699999999</v>
      </c>
      <c r="G855">
        <v>0</v>
      </c>
      <c r="L855" t="s">
        <v>7</v>
      </c>
      <c r="M855" t="s">
        <v>7</v>
      </c>
      <c r="N855" t="s">
        <v>7</v>
      </c>
      <c r="P855">
        <f t="shared" si="1009"/>
        <v>0.9130434782608694</v>
      </c>
      <c r="Q855">
        <f t="shared" si="1010"/>
        <v>18399839.073913038</v>
      </c>
      <c r="R855">
        <f t="shared" si="1011"/>
        <v>-1272925863.104835</v>
      </c>
      <c r="S855">
        <f t="shared" si="1012"/>
        <v>-12729.258631048351</v>
      </c>
      <c r="T855">
        <f t="shared" si="1013"/>
        <v>-12.729258631048351</v>
      </c>
    </row>
    <row r="856" spans="1:20" x14ac:dyDescent="0.25">
      <c r="A856" s="5">
        <v>43737</v>
      </c>
      <c r="B856">
        <v>3.4499999999999999E-3</v>
      </c>
      <c r="C856">
        <v>3.5400000000000002E-3</v>
      </c>
      <c r="D856">
        <v>3.13E-3</v>
      </c>
      <c r="E856">
        <v>3.2699999999999999E-3</v>
      </c>
      <c r="F856">
        <v>10371450.699999999</v>
      </c>
      <c r="G856">
        <v>0</v>
      </c>
      <c r="L856" t="s">
        <v>7</v>
      </c>
      <c r="M856" t="s">
        <v>7</v>
      </c>
      <c r="N856" t="s">
        <v>7</v>
      </c>
      <c r="P856">
        <f t="shared" si="1009"/>
        <v>-0.31707317073170799</v>
      </c>
      <c r="Q856">
        <f t="shared" si="1010"/>
        <v>-3288508.7585365921</v>
      </c>
      <c r="R856">
        <f t="shared" si="1011"/>
        <v>-1291325702.1787481</v>
      </c>
      <c r="S856">
        <f t="shared" si="1012"/>
        <v>-12913.257021787482</v>
      </c>
      <c r="T856">
        <f t="shared" si="1013"/>
        <v>-12.913257021787482</v>
      </c>
    </row>
    <row r="857" spans="1:20" x14ac:dyDescent="0.25">
      <c r="A857" s="5">
        <v>43736</v>
      </c>
      <c r="B857">
        <v>3.4399999999999999E-3</v>
      </c>
      <c r="C857">
        <v>3.5999999999999999E-3</v>
      </c>
      <c r="D857">
        <v>3.3800000000000002E-3</v>
      </c>
      <c r="E857">
        <v>3.4299999999999999E-3</v>
      </c>
      <c r="F857">
        <v>33082635.600000001</v>
      </c>
      <c r="G857">
        <v>0</v>
      </c>
      <c r="L857" t="s">
        <v>7</v>
      </c>
      <c r="M857" t="s">
        <v>8</v>
      </c>
      <c r="N857" t="s">
        <v>7</v>
      </c>
      <c r="P857">
        <f t="shared" si="1009"/>
        <v>-0.54545454545454763</v>
      </c>
      <c r="Q857">
        <f t="shared" si="1010"/>
        <v>-18045073.963636436</v>
      </c>
      <c r="R857">
        <f t="shared" si="1011"/>
        <v>-1288037193.4202116</v>
      </c>
      <c r="S857">
        <f t="shared" si="1012"/>
        <v>-12880.371934202116</v>
      </c>
      <c r="T857">
        <f t="shared" si="1013"/>
        <v>-12.880371934202115</v>
      </c>
    </row>
    <row r="858" spans="1:20" x14ac:dyDescent="0.25">
      <c r="A858" s="5">
        <v>43735</v>
      </c>
      <c r="B858">
        <v>3.2399999999999998E-3</v>
      </c>
      <c r="C858">
        <v>3.7100000000000002E-3</v>
      </c>
      <c r="D858">
        <v>3.2200000000000002E-3</v>
      </c>
      <c r="E858">
        <v>3.4199999999999999E-3</v>
      </c>
      <c r="F858">
        <v>41662906</v>
      </c>
      <c r="G858">
        <v>0</v>
      </c>
      <c r="L858" t="s">
        <v>8</v>
      </c>
      <c r="M858" t="s">
        <v>8</v>
      </c>
      <c r="N858" t="s">
        <v>7</v>
      </c>
      <c r="P858">
        <f t="shared" si="1009"/>
        <v>-0.18367346938775647</v>
      </c>
      <c r="Q858">
        <f t="shared" si="1010"/>
        <v>-7652370.4897959754</v>
      </c>
      <c r="R858">
        <f t="shared" si="1011"/>
        <v>-1269992119.4565752</v>
      </c>
      <c r="S858">
        <f t="shared" si="1012"/>
        <v>-12699.921194565752</v>
      </c>
      <c r="T858">
        <f t="shared" si="1013"/>
        <v>-12.699921194565752</v>
      </c>
    </row>
    <row r="859" spans="1:20" x14ac:dyDescent="0.25">
      <c r="A859" s="5">
        <v>43734</v>
      </c>
      <c r="B859">
        <v>3.4399999999999999E-3</v>
      </c>
      <c r="C859">
        <v>3.65E-3</v>
      </c>
      <c r="D859">
        <v>2.99E-3</v>
      </c>
      <c r="E859">
        <v>3.1900000000000001E-3</v>
      </c>
      <c r="F859">
        <v>26639967.399999999</v>
      </c>
      <c r="G859">
        <v>0</v>
      </c>
      <c r="L859" t="s">
        <v>7</v>
      </c>
      <c r="M859" t="s">
        <v>7</v>
      </c>
      <c r="N859" t="s">
        <v>7</v>
      </c>
      <c r="P859">
        <f t="shared" si="1009"/>
        <v>-0.39393939393939365</v>
      </c>
      <c r="Q859">
        <f t="shared" si="1010"/>
        <v>-10494532.612121204</v>
      </c>
      <c r="R859">
        <f t="shared" si="1011"/>
        <v>-1262339748.9667792</v>
      </c>
      <c r="S859">
        <f t="shared" si="1012"/>
        <v>-12623.397489667792</v>
      </c>
      <c r="T859">
        <f t="shared" si="1013"/>
        <v>-12.623397489667791</v>
      </c>
    </row>
    <row r="860" spans="1:20" x14ac:dyDescent="0.25">
      <c r="A860" s="5">
        <v>43733</v>
      </c>
      <c r="B860">
        <v>3.3600000000000001E-3</v>
      </c>
      <c r="C860">
        <v>4.3400000000000001E-3</v>
      </c>
      <c r="D860">
        <v>3.13E-3</v>
      </c>
      <c r="E860">
        <v>3.4199999999999999E-3</v>
      </c>
      <c r="F860">
        <v>34468187.299999997</v>
      </c>
      <c r="G860">
        <v>0</v>
      </c>
      <c r="L860" t="s">
        <v>8</v>
      </c>
      <c r="M860" t="s">
        <v>8</v>
      </c>
      <c r="N860" t="s">
        <v>7</v>
      </c>
      <c r="P860">
        <f t="shared" si="1009"/>
        <v>-0.52066115702479365</v>
      </c>
      <c r="Q860">
        <f t="shared" si="1010"/>
        <v>-17946246.280165296</v>
      </c>
      <c r="R860">
        <f t="shared" si="1011"/>
        <v>-1251845216.3546581</v>
      </c>
      <c r="S860">
        <f t="shared" si="1012"/>
        <v>-12518.452163546581</v>
      </c>
      <c r="T860">
        <f t="shared" si="1013"/>
        <v>-12.518452163546581</v>
      </c>
    </row>
    <row r="861" spans="1:20" x14ac:dyDescent="0.25">
      <c r="A861" s="5">
        <v>43732</v>
      </c>
      <c r="B861">
        <v>4.0899999999999999E-3</v>
      </c>
      <c r="C861">
        <v>4.13E-3</v>
      </c>
      <c r="D861">
        <v>3.0300000000000001E-3</v>
      </c>
      <c r="E861">
        <v>3.3700000000000002E-3</v>
      </c>
      <c r="F861">
        <v>46502462.5</v>
      </c>
      <c r="G861">
        <v>0</v>
      </c>
      <c r="L861" t="s">
        <v>7</v>
      </c>
      <c r="M861" t="s">
        <v>7</v>
      </c>
      <c r="N861" t="s">
        <v>7</v>
      </c>
      <c r="P861">
        <f t="shared" si="1009"/>
        <v>-0.38181818181818167</v>
      </c>
      <c r="Q861">
        <f t="shared" si="1010"/>
        <v>-17755485.681818176</v>
      </c>
      <c r="R861">
        <f t="shared" si="1011"/>
        <v>-1233898970.0744929</v>
      </c>
      <c r="S861">
        <f t="shared" si="1012"/>
        <v>-12338.989700744929</v>
      </c>
      <c r="T861">
        <f t="shared" si="1013"/>
        <v>-12.338989700744929</v>
      </c>
    </row>
    <row r="862" spans="1:20" x14ac:dyDescent="0.25">
      <c r="A862" s="5">
        <v>43731</v>
      </c>
      <c r="B862">
        <v>4.2300000000000003E-3</v>
      </c>
      <c r="C862">
        <v>4.4000000000000003E-3</v>
      </c>
      <c r="D862">
        <v>4.0299999999999997E-3</v>
      </c>
      <c r="E862">
        <v>4.0899999999999999E-3</v>
      </c>
      <c r="F862">
        <v>23225850.800000001</v>
      </c>
      <c r="G862">
        <v>0</v>
      </c>
      <c r="L862" t="s">
        <v>7</v>
      </c>
      <c r="M862" t="s">
        <v>7</v>
      </c>
      <c r="N862" t="s">
        <v>7</v>
      </c>
      <c r="P862">
        <f t="shared" si="1009"/>
        <v>-0.67567567567567532</v>
      </c>
      <c r="Q862">
        <f t="shared" si="1010"/>
        <v>-15693142.432432424</v>
      </c>
      <c r="R862">
        <f t="shared" si="1011"/>
        <v>-1216143484.3926747</v>
      </c>
      <c r="S862">
        <f t="shared" si="1012"/>
        <v>-12161.434843926747</v>
      </c>
      <c r="T862">
        <f t="shared" si="1013"/>
        <v>-12.161434843926747</v>
      </c>
    </row>
    <row r="863" spans="1:20" x14ac:dyDescent="0.25">
      <c r="A863" s="5">
        <v>43730</v>
      </c>
      <c r="B863">
        <v>4.3699999999999998E-3</v>
      </c>
      <c r="C863">
        <v>4.3800000000000002E-3</v>
      </c>
      <c r="D863">
        <v>4.1099999999999999E-3</v>
      </c>
      <c r="E863">
        <v>4.2300000000000003E-3</v>
      </c>
      <c r="F863">
        <v>24332076.899999999</v>
      </c>
      <c r="G863">
        <v>0</v>
      </c>
      <c r="L863" t="s">
        <v>7</v>
      </c>
      <c r="M863" t="s">
        <v>7</v>
      </c>
      <c r="N863" t="s">
        <v>7</v>
      </c>
      <c r="P863">
        <f t="shared" si="1009"/>
        <v>-0.11111111111110969</v>
      </c>
      <c r="Q863">
        <f t="shared" si="1010"/>
        <v>-2703564.0999999652</v>
      </c>
      <c r="R863">
        <f t="shared" si="1011"/>
        <v>-1200450341.9602423</v>
      </c>
      <c r="S863">
        <f t="shared" si="1012"/>
        <v>-12004.503419602423</v>
      </c>
      <c r="T863">
        <f t="shared" si="1013"/>
        <v>-12.004503419602422</v>
      </c>
    </row>
    <row r="864" spans="1:20" x14ac:dyDescent="0.25">
      <c r="A864" s="5">
        <v>43729</v>
      </c>
      <c r="B864">
        <v>4.5300000000000002E-3</v>
      </c>
      <c r="C864">
        <v>4.5700000000000003E-3</v>
      </c>
      <c r="D864">
        <v>4.3200000000000001E-3</v>
      </c>
      <c r="E864">
        <v>4.4000000000000003E-3</v>
      </c>
      <c r="F864">
        <v>10692288.4</v>
      </c>
      <c r="G864">
        <v>0</v>
      </c>
      <c r="L864" t="s">
        <v>7</v>
      </c>
      <c r="M864" t="s">
        <v>8</v>
      </c>
      <c r="N864" t="s">
        <v>7</v>
      </c>
      <c r="P864">
        <f t="shared" si="1009"/>
        <v>-0.35999999999999888</v>
      </c>
      <c r="Q864">
        <f t="shared" si="1010"/>
        <v>-3849223.8239999879</v>
      </c>
      <c r="R864">
        <f t="shared" si="1011"/>
        <v>-1197746777.8602424</v>
      </c>
      <c r="S864">
        <f t="shared" si="1012"/>
        <v>-11977.467778602424</v>
      </c>
      <c r="T864">
        <f t="shared" si="1013"/>
        <v>-11.977467778602424</v>
      </c>
    </row>
    <row r="865" spans="1:20" x14ac:dyDescent="0.25">
      <c r="A865" s="5">
        <v>43728</v>
      </c>
      <c r="B865">
        <v>4.5900000000000003E-3</v>
      </c>
      <c r="C865">
        <v>4.9100000000000003E-3</v>
      </c>
      <c r="D865">
        <v>4.3600000000000002E-3</v>
      </c>
      <c r="E865">
        <v>4.5300000000000002E-3</v>
      </c>
      <c r="F865">
        <v>47691538.700000003</v>
      </c>
      <c r="G865">
        <v>0</v>
      </c>
      <c r="L865" t="s">
        <v>8</v>
      </c>
      <c r="M865" t="s">
        <v>8</v>
      </c>
      <c r="N865" t="s">
        <v>7</v>
      </c>
      <c r="P865">
        <f t="shared" si="1009"/>
        <v>-0.38181818181818195</v>
      </c>
      <c r="Q865">
        <f t="shared" si="1010"/>
        <v>-18209496.594545461</v>
      </c>
      <c r="R865">
        <f t="shared" si="1011"/>
        <v>-1193897554.0362425</v>
      </c>
      <c r="S865">
        <f t="shared" si="1012"/>
        <v>-11938.975540362424</v>
      </c>
      <c r="T865">
        <f t="shared" si="1013"/>
        <v>-11.938975540362424</v>
      </c>
    </row>
    <row r="866" spans="1:20" x14ac:dyDescent="0.25">
      <c r="A866" s="5">
        <v>43727</v>
      </c>
      <c r="B866">
        <v>4.6800000000000001E-3</v>
      </c>
      <c r="C866">
        <v>4.7099999999999998E-3</v>
      </c>
      <c r="D866">
        <v>4.1999999999999997E-3</v>
      </c>
      <c r="E866">
        <v>4.5900000000000003E-3</v>
      </c>
      <c r="F866">
        <v>32721486.800000001</v>
      </c>
      <c r="G866">
        <v>0</v>
      </c>
      <c r="L866" t="s">
        <v>7</v>
      </c>
      <c r="M866" t="s">
        <v>8</v>
      </c>
      <c r="N866" t="s">
        <v>7</v>
      </c>
      <c r="P866">
        <f t="shared" si="1009"/>
        <v>0.52941176470588458</v>
      </c>
      <c r="Q866">
        <f t="shared" si="1010"/>
        <v>17323140.070588309</v>
      </c>
      <c r="R866">
        <f t="shared" si="1011"/>
        <v>-1175688057.4416971</v>
      </c>
      <c r="S866">
        <f t="shared" si="1012"/>
        <v>-11756.880574416971</v>
      </c>
      <c r="T866">
        <f t="shared" si="1013"/>
        <v>-11.756880574416972</v>
      </c>
    </row>
    <row r="867" spans="1:20" x14ac:dyDescent="0.25">
      <c r="A867" s="5">
        <v>43726</v>
      </c>
      <c r="B867">
        <v>4.3899999999999998E-3</v>
      </c>
      <c r="C867">
        <v>4.8300000000000001E-3</v>
      </c>
      <c r="D867">
        <v>4.3400000000000001E-3</v>
      </c>
      <c r="E867">
        <v>4.7000000000000002E-3</v>
      </c>
      <c r="F867">
        <v>50827214.299999997</v>
      </c>
      <c r="G867">
        <v>0</v>
      </c>
      <c r="L867" t="s">
        <v>8</v>
      </c>
      <c r="M867" t="s">
        <v>8</v>
      </c>
      <c r="N867" t="s">
        <v>7</v>
      </c>
      <c r="P867">
        <f t="shared" si="1009"/>
        <v>0.46938775510204117</v>
      </c>
      <c r="Q867">
        <f t="shared" si="1010"/>
        <v>23857672.018367365</v>
      </c>
      <c r="R867">
        <f t="shared" si="1011"/>
        <v>-1193011197.5122855</v>
      </c>
      <c r="S867">
        <f t="shared" si="1012"/>
        <v>-11930.111975122854</v>
      </c>
      <c r="T867">
        <f t="shared" si="1013"/>
        <v>-11.930111975122854</v>
      </c>
    </row>
    <row r="868" spans="1:20" x14ac:dyDescent="0.25">
      <c r="A868" s="5">
        <v>43725</v>
      </c>
      <c r="B868">
        <v>4.2900000000000004E-3</v>
      </c>
      <c r="C868">
        <v>4.4099999999999999E-3</v>
      </c>
      <c r="D868">
        <v>4.0899999999999999E-3</v>
      </c>
      <c r="E868">
        <v>4.3899999999999998E-3</v>
      </c>
      <c r="F868">
        <v>49068183.899999999</v>
      </c>
      <c r="G868">
        <v>0</v>
      </c>
      <c r="L868" t="s">
        <v>8</v>
      </c>
      <c r="M868" t="s">
        <v>7</v>
      </c>
      <c r="N868" t="s">
        <v>7</v>
      </c>
      <c r="P868">
        <f t="shared" si="1009"/>
        <v>0.87499999999999967</v>
      </c>
      <c r="Q868">
        <f t="shared" si="1010"/>
        <v>42934660.912499979</v>
      </c>
      <c r="R868">
        <f t="shared" si="1011"/>
        <v>-1216868869.5306528</v>
      </c>
      <c r="S868">
        <f t="shared" si="1012"/>
        <v>-12168.688695306528</v>
      </c>
      <c r="T868">
        <f t="shared" si="1013"/>
        <v>-12.168688695306528</v>
      </c>
    </row>
    <row r="869" spans="1:20" x14ac:dyDescent="0.25">
      <c r="A869" s="5">
        <v>43724</v>
      </c>
      <c r="B869">
        <v>4.3E-3</v>
      </c>
      <c r="C869">
        <v>4.3899999999999998E-3</v>
      </c>
      <c r="D869">
        <v>4.0600000000000002E-3</v>
      </c>
      <c r="E869">
        <v>4.3E-3</v>
      </c>
      <c r="F869">
        <v>31515927.199999999</v>
      </c>
      <c r="G869">
        <v>0</v>
      </c>
      <c r="L869" t="s">
        <v>7</v>
      </c>
      <c r="M869" t="s">
        <v>7</v>
      </c>
      <c r="N869" t="s">
        <v>7</v>
      </c>
      <c r="P869">
        <f t="shared" si="1009"/>
        <v>0.45454545454545503</v>
      </c>
      <c r="Q869">
        <f t="shared" si="1010"/>
        <v>14325421.45454547</v>
      </c>
      <c r="R869">
        <f t="shared" si="1011"/>
        <v>-1259803530.4431527</v>
      </c>
      <c r="S869">
        <f t="shared" si="1012"/>
        <v>-12598.035304431527</v>
      </c>
      <c r="T869">
        <f t="shared" si="1013"/>
        <v>-12.598035304431527</v>
      </c>
    </row>
    <row r="870" spans="1:20" x14ac:dyDescent="0.25">
      <c r="A870" s="5">
        <v>43723</v>
      </c>
      <c r="B870">
        <v>4.4000000000000003E-3</v>
      </c>
      <c r="C870">
        <v>4.4200000000000003E-3</v>
      </c>
      <c r="D870">
        <v>4.2500000000000003E-3</v>
      </c>
      <c r="E870">
        <v>4.3200000000000001E-3</v>
      </c>
      <c r="F870">
        <v>10376212.199999999</v>
      </c>
      <c r="G870">
        <v>0</v>
      </c>
      <c r="L870" t="s">
        <v>8</v>
      </c>
      <c r="M870" t="s">
        <v>7</v>
      </c>
      <c r="N870" t="s">
        <v>7</v>
      </c>
      <c r="P870">
        <f t="shared" si="1009"/>
        <v>-0.17647058823529713</v>
      </c>
      <c r="Q870">
        <f t="shared" si="1010"/>
        <v>-1831096.2705882664</v>
      </c>
      <c r="R870">
        <f t="shared" si="1011"/>
        <v>-1274128951.8976982</v>
      </c>
      <c r="S870">
        <f t="shared" si="1012"/>
        <v>-12741.289518976982</v>
      </c>
      <c r="T870">
        <f t="shared" si="1013"/>
        <v>-12.741289518976982</v>
      </c>
    </row>
    <row r="871" spans="1:20" x14ac:dyDescent="0.25">
      <c r="A871" s="5">
        <v>43722</v>
      </c>
      <c r="B871">
        <v>4.3800000000000002E-3</v>
      </c>
      <c r="C871">
        <v>4.4299999999999999E-3</v>
      </c>
      <c r="D871">
        <v>4.28E-3</v>
      </c>
      <c r="E871">
        <v>4.4000000000000003E-3</v>
      </c>
      <c r="F871">
        <v>7857039.5999999996</v>
      </c>
      <c r="G871">
        <v>0</v>
      </c>
      <c r="L871" t="s">
        <v>8</v>
      </c>
      <c r="M871" t="s">
        <v>7</v>
      </c>
      <c r="N871" t="s">
        <v>7</v>
      </c>
      <c r="P871">
        <f t="shared" si="1009"/>
        <v>0.60000000000000464</v>
      </c>
      <c r="Q871">
        <f t="shared" si="1010"/>
        <v>4714223.7600000361</v>
      </c>
      <c r="R871">
        <f t="shared" si="1011"/>
        <v>-1272297855.62711</v>
      </c>
      <c r="S871">
        <f t="shared" si="1012"/>
        <v>-12722.9785562711</v>
      </c>
      <c r="T871">
        <f t="shared" si="1013"/>
        <v>-12.7229785562711</v>
      </c>
    </row>
    <row r="872" spans="1:20" x14ac:dyDescent="0.25">
      <c r="A872" s="5">
        <v>43721</v>
      </c>
      <c r="B872">
        <v>4.3400000000000001E-3</v>
      </c>
      <c r="C872">
        <v>4.4400000000000004E-3</v>
      </c>
      <c r="D872">
        <v>4.1200000000000004E-3</v>
      </c>
      <c r="E872">
        <v>4.3400000000000001E-3</v>
      </c>
      <c r="F872">
        <v>39194112</v>
      </c>
      <c r="G872">
        <v>0</v>
      </c>
      <c r="L872" t="s">
        <v>8</v>
      </c>
      <c r="M872" t="s">
        <v>7</v>
      </c>
      <c r="N872" t="s">
        <v>7</v>
      </c>
      <c r="P872">
        <f t="shared" si="1009"/>
        <v>0.37499999999999828</v>
      </c>
      <c r="Q872">
        <f t="shared" si="1010"/>
        <v>14697791.999999933</v>
      </c>
      <c r="R872">
        <f t="shared" si="1011"/>
        <v>-1277012079.38711</v>
      </c>
      <c r="S872">
        <f t="shared" si="1012"/>
        <v>-12770.1207938711</v>
      </c>
      <c r="T872">
        <f t="shared" si="1013"/>
        <v>-12.770120793871099</v>
      </c>
    </row>
    <row r="873" spans="1:20" x14ac:dyDescent="0.25">
      <c r="A873" s="5">
        <v>43720</v>
      </c>
      <c r="B873">
        <v>4.3499999999999997E-3</v>
      </c>
      <c r="C873">
        <v>4.4299999999999999E-3</v>
      </c>
      <c r="D873">
        <v>4.0200000000000001E-3</v>
      </c>
      <c r="E873">
        <v>4.3400000000000001E-3</v>
      </c>
      <c r="F873">
        <v>27877473.100000001</v>
      </c>
      <c r="G873">
        <v>0</v>
      </c>
      <c r="L873" t="s">
        <v>7</v>
      </c>
      <c r="M873" t="s">
        <v>7</v>
      </c>
      <c r="N873" t="s">
        <v>7</v>
      </c>
      <c r="P873">
        <f t="shared" si="1009"/>
        <v>0.56097560975609828</v>
      </c>
      <c r="Q873">
        <f t="shared" si="1010"/>
        <v>15638582.470731728</v>
      </c>
      <c r="R873">
        <f t="shared" si="1011"/>
        <v>-1291709871.38711</v>
      </c>
      <c r="S873">
        <f t="shared" si="1012"/>
        <v>-12917.098713871101</v>
      </c>
      <c r="T873">
        <f t="shared" si="1013"/>
        <v>-12.9170987138711</v>
      </c>
    </row>
    <row r="874" spans="1:20" x14ac:dyDescent="0.25">
      <c r="A874" s="5">
        <v>43719</v>
      </c>
      <c r="B874">
        <v>4.4799999999999996E-3</v>
      </c>
      <c r="C874">
        <v>4.5500000000000002E-3</v>
      </c>
      <c r="D874">
        <v>4.2399999999999998E-3</v>
      </c>
      <c r="E874">
        <v>4.3299999999999996E-3</v>
      </c>
      <c r="F874">
        <v>23498176.100000001</v>
      </c>
      <c r="G874">
        <v>0</v>
      </c>
      <c r="L874" t="s">
        <v>7</v>
      </c>
      <c r="M874" t="s">
        <v>7</v>
      </c>
      <c r="N874" t="s">
        <v>7</v>
      </c>
      <c r="P874">
        <f t="shared" si="1009"/>
        <v>-0.41935483870967938</v>
      </c>
      <c r="Q874">
        <f t="shared" si="1010"/>
        <v>-9854073.8483871426</v>
      </c>
      <c r="R874">
        <f t="shared" si="1011"/>
        <v>-1307348453.8578417</v>
      </c>
      <c r="S874">
        <f t="shared" si="1012"/>
        <v>-13073.484538578417</v>
      </c>
      <c r="T874">
        <f t="shared" si="1013"/>
        <v>-13.073484538578418</v>
      </c>
    </row>
    <row r="875" spans="1:20" x14ac:dyDescent="0.25">
      <c r="A875" s="5">
        <v>43718</v>
      </c>
      <c r="B875">
        <v>4.62E-3</v>
      </c>
      <c r="C875">
        <v>4.6800000000000001E-3</v>
      </c>
      <c r="D875">
        <v>4.4299999999999999E-3</v>
      </c>
      <c r="E875">
        <v>4.4799999999999996E-3</v>
      </c>
      <c r="F875">
        <v>25137016.899999999</v>
      </c>
      <c r="G875">
        <v>0</v>
      </c>
      <c r="L875" t="s">
        <v>8</v>
      </c>
      <c r="M875" t="s">
        <v>7</v>
      </c>
      <c r="N875" t="s">
        <v>7</v>
      </c>
      <c r="P875">
        <f t="shared" si="1009"/>
        <v>-0.60000000000000275</v>
      </c>
      <c r="Q875">
        <f t="shared" si="1010"/>
        <v>-15082210.140000068</v>
      </c>
      <c r="R875">
        <f t="shared" si="1011"/>
        <v>-1297494380.0094545</v>
      </c>
      <c r="S875">
        <f t="shared" si="1012"/>
        <v>-12974.943800094545</v>
      </c>
      <c r="T875">
        <f t="shared" si="1013"/>
        <v>-12.974943800094545</v>
      </c>
    </row>
    <row r="876" spans="1:20" x14ac:dyDescent="0.25">
      <c r="A876" s="5">
        <v>43717</v>
      </c>
      <c r="B876">
        <v>4.6600000000000001E-3</v>
      </c>
      <c r="C876">
        <v>4.7099999999999998E-3</v>
      </c>
      <c r="D876">
        <v>4.45E-3</v>
      </c>
      <c r="E876">
        <v>4.62E-3</v>
      </c>
      <c r="F876">
        <v>57612126.399999999</v>
      </c>
      <c r="G876">
        <v>0</v>
      </c>
      <c r="L876" t="s">
        <v>8</v>
      </c>
      <c r="M876" t="s">
        <v>7</v>
      </c>
      <c r="N876" t="s">
        <v>7</v>
      </c>
      <c r="P876">
        <f t="shared" si="1009"/>
        <v>0.30769230769230871</v>
      </c>
      <c r="Q876">
        <f t="shared" si="1010"/>
        <v>17726808.123076983</v>
      </c>
      <c r="R876">
        <f t="shared" si="1011"/>
        <v>-1282412169.8694544</v>
      </c>
      <c r="S876">
        <f t="shared" si="1012"/>
        <v>-12824.121698694544</v>
      </c>
      <c r="T876">
        <f t="shared" si="1013"/>
        <v>-12.824121698694544</v>
      </c>
    </row>
    <row r="877" spans="1:20" x14ac:dyDescent="0.25">
      <c r="A877" s="5">
        <v>43716</v>
      </c>
      <c r="B877">
        <v>4.5999999999999999E-3</v>
      </c>
      <c r="C877">
        <v>4.7499999999999999E-3</v>
      </c>
      <c r="D877">
        <v>4.4999999999999997E-3</v>
      </c>
      <c r="E877">
        <v>4.64E-3</v>
      </c>
      <c r="F877">
        <v>54376271.5</v>
      </c>
      <c r="G877">
        <v>0</v>
      </c>
      <c r="L877" t="s">
        <v>8</v>
      </c>
      <c r="M877" t="s">
        <v>7</v>
      </c>
      <c r="N877" t="s">
        <v>7</v>
      </c>
      <c r="P877">
        <f t="shared" si="1009"/>
        <v>0.12000000000000194</v>
      </c>
      <c r="Q877">
        <f t="shared" si="1010"/>
        <v>6525152.5800001053</v>
      </c>
      <c r="R877">
        <f t="shared" si="1011"/>
        <v>-1300138977.9925313</v>
      </c>
      <c r="S877">
        <f t="shared" si="1012"/>
        <v>-13001.389779925314</v>
      </c>
      <c r="T877">
        <f t="shared" si="1013"/>
        <v>-13.001389779925313</v>
      </c>
    </row>
    <row r="878" spans="1:20" x14ac:dyDescent="0.25">
      <c r="A878" s="5">
        <v>43715</v>
      </c>
      <c r="B878">
        <v>4.4099999999999999E-3</v>
      </c>
      <c r="C878">
        <v>4.64E-3</v>
      </c>
      <c r="D878">
        <v>4.3499999999999997E-3</v>
      </c>
      <c r="E878">
        <v>4.64E-3</v>
      </c>
      <c r="F878">
        <v>6984622</v>
      </c>
      <c r="G878">
        <v>0</v>
      </c>
      <c r="L878" t="s">
        <v>8</v>
      </c>
      <c r="M878" t="s">
        <v>7</v>
      </c>
      <c r="N878" t="s">
        <v>7</v>
      </c>
      <c r="P878">
        <f t="shared" si="1009"/>
        <v>1</v>
      </c>
      <c r="Q878">
        <f t="shared" si="1010"/>
        <v>6984622</v>
      </c>
      <c r="R878">
        <f t="shared" si="1011"/>
        <v>-1306664130.5725315</v>
      </c>
      <c r="S878">
        <f t="shared" si="1012"/>
        <v>-13066.641305725314</v>
      </c>
      <c r="T878">
        <f t="shared" si="1013"/>
        <v>-13.066641305725314</v>
      </c>
    </row>
    <row r="879" spans="1:20" x14ac:dyDescent="0.25">
      <c r="A879" s="5">
        <v>43714</v>
      </c>
      <c r="B879">
        <v>4.5399999999999998E-3</v>
      </c>
      <c r="C879">
        <v>4.5999999999999999E-3</v>
      </c>
      <c r="D879">
        <v>4.3099999999999996E-3</v>
      </c>
      <c r="E879">
        <v>4.4400000000000004E-3</v>
      </c>
      <c r="F879">
        <v>24512344.699999999</v>
      </c>
      <c r="G879">
        <v>0</v>
      </c>
      <c r="L879" t="s">
        <v>7</v>
      </c>
      <c r="M879" t="s">
        <v>7</v>
      </c>
      <c r="N879" t="s">
        <v>7</v>
      </c>
      <c r="P879">
        <f t="shared" si="1009"/>
        <v>-0.10344827586206463</v>
      </c>
      <c r="Q879">
        <f t="shared" si="1010"/>
        <v>-2535759.7965516178</v>
      </c>
      <c r="R879">
        <f t="shared" si="1011"/>
        <v>-1313648752.5725315</v>
      </c>
      <c r="S879">
        <f t="shared" si="1012"/>
        <v>-13136.487525725315</v>
      </c>
      <c r="T879">
        <f t="shared" si="1013"/>
        <v>-13.136487525725315</v>
      </c>
    </row>
    <row r="880" spans="1:20" x14ac:dyDescent="0.25">
      <c r="A880" s="5">
        <v>43713</v>
      </c>
      <c r="B880">
        <v>4.5799999999999999E-3</v>
      </c>
      <c r="C880">
        <v>4.7200000000000002E-3</v>
      </c>
      <c r="D880">
        <v>4.4099999999999999E-3</v>
      </c>
      <c r="E880">
        <v>4.5300000000000002E-3</v>
      </c>
      <c r="F880">
        <v>33747126</v>
      </c>
      <c r="G880">
        <v>0</v>
      </c>
      <c r="L880" t="s">
        <v>7</v>
      </c>
      <c r="M880" t="s">
        <v>7</v>
      </c>
      <c r="N880" t="s">
        <v>7</v>
      </c>
      <c r="P880">
        <f t="shared" si="1009"/>
        <v>-0.22580645161290214</v>
      </c>
      <c r="Q880">
        <f t="shared" si="1010"/>
        <v>-7620318.7741935113</v>
      </c>
      <c r="R880">
        <f t="shared" si="1011"/>
        <v>-1311112992.7759798</v>
      </c>
      <c r="S880">
        <f t="shared" si="1012"/>
        <v>-13111.129927759797</v>
      </c>
      <c r="T880">
        <f t="shared" si="1013"/>
        <v>-13.111129927759798</v>
      </c>
    </row>
    <row r="881" spans="1:20" x14ac:dyDescent="0.25">
      <c r="A881" s="5">
        <v>43712</v>
      </c>
      <c r="B881">
        <v>4.6299999999999996E-3</v>
      </c>
      <c r="C881">
        <v>4.7099999999999998E-3</v>
      </c>
      <c r="D881">
        <v>4.4799999999999996E-3</v>
      </c>
      <c r="E881">
        <v>4.5700000000000003E-3</v>
      </c>
      <c r="F881">
        <v>32547832.800000001</v>
      </c>
      <c r="G881">
        <v>0</v>
      </c>
      <c r="L881" t="s">
        <v>7</v>
      </c>
      <c r="M881" t="s">
        <v>7</v>
      </c>
      <c r="N881" t="s">
        <v>7</v>
      </c>
      <c r="P881">
        <f t="shared" si="1009"/>
        <v>-0.21739130434782084</v>
      </c>
      <c r="Q881">
        <f t="shared" si="1010"/>
        <v>-7075615.8260867856</v>
      </c>
      <c r="R881">
        <f t="shared" si="1011"/>
        <v>-1303492674.0017862</v>
      </c>
      <c r="S881">
        <f t="shared" si="1012"/>
        <v>-13034.926740017861</v>
      </c>
      <c r="T881">
        <f t="shared" si="1013"/>
        <v>-13.034926740017861</v>
      </c>
    </row>
    <row r="882" spans="1:20" x14ac:dyDescent="0.25">
      <c r="A882" s="5">
        <v>43711</v>
      </c>
      <c r="B882">
        <v>4.6699999999999997E-3</v>
      </c>
      <c r="C882">
        <v>4.7800000000000004E-3</v>
      </c>
      <c r="D882">
        <v>4.5599999999999998E-3</v>
      </c>
      <c r="E882">
        <v>4.6299999999999996E-3</v>
      </c>
      <c r="F882">
        <v>57864864.299999997</v>
      </c>
      <c r="G882">
        <v>0</v>
      </c>
      <c r="L882" t="s">
        <v>7</v>
      </c>
      <c r="M882" t="s">
        <v>7</v>
      </c>
      <c r="N882" t="s">
        <v>7</v>
      </c>
      <c r="P882">
        <f t="shared" si="1009"/>
        <v>-0.36363636363636759</v>
      </c>
      <c r="Q882">
        <f t="shared" si="1010"/>
        <v>-21041768.836363863</v>
      </c>
      <c r="R882">
        <f t="shared" si="1011"/>
        <v>-1296417058.1756995</v>
      </c>
      <c r="S882">
        <f t="shared" si="1012"/>
        <v>-12964.170581756995</v>
      </c>
      <c r="T882">
        <f t="shared" si="1013"/>
        <v>-12.964170581756994</v>
      </c>
    </row>
    <row r="883" spans="1:20" x14ac:dyDescent="0.25">
      <c r="A883" s="5">
        <v>43710</v>
      </c>
      <c r="B883">
        <v>4.7099999999999998E-3</v>
      </c>
      <c r="C883">
        <v>4.7499999999999999E-3</v>
      </c>
      <c r="D883">
        <v>4.5700000000000003E-3</v>
      </c>
      <c r="E883">
        <v>4.6499999999999996E-3</v>
      </c>
      <c r="F883">
        <v>33327600.699999999</v>
      </c>
      <c r="G883">
        <v>0</v>
      </c>
      <c r="L883" t="s">
        <v>7</v>
      </c>
      <c r="M883" t="s">
        <v>7</v>
      </c>
      <c r="N883" t="s">
        <v>7</v>
      </c>
      <c r="P883">
        <f t="shared" si="1009"/>
        <v>-0.11111111111111646</v>
      </c>
      <c r="Q883">
        <f t="shared" si="1010"/>
        <v>-3703066.7444446227</v>
      </c>
      <c r="R883">
        <f t="shared" si="1011"/>
        <v>-1275375289.3393357</v>
      </c>
      <c r="S883">
        <f t="shared" si="1012"/>
        <v>-12753.752893393357</v>
      </c>
      <c r="T883">
        <f t="shared" si="1013"/>
        <v>-12.753752893393358</v>
      </c>
    </row>
    <row r="884" spans="1:20" x14ac:dyDescent="0.25">
      <c r="A884" s="5">
        <v>43709</v>
      </c>
      <c r="B884">
        <v>4.7800000000000004E-3</v>
      </c>
      <c r="C884">
        <v>4.8399999999999997E-3</v>
      </c>
      <c r="D884">
        <v>4.5500000000000002E-3</v>
      </c>
      <c r="E884">
        <v>4.7000000000000002E-3</v>
      </c>
      <c r="F884">
        <v>88375437.700000003</v>
      </c>
      <c r="G884">
        <v>0</v>
      </c>
      <c r="L884" t="s">
        <v>7</v>
      </c>
      <c r="M884" t="s">
        <v>7</v>
      </c>
      <c r="N884" t="s">
        <v>7</v>
      </c>
      <c r="P884">
        <f t="shared" si="1009"/>
        <v>3.4482758620691306E-2</v>
      </c>
      <c r="Q884">
        <f t="shared" si="1010"/>
        <v>3047428.8862070427</v>
      </c>
      <c r="R884">
        <f t="shared" si="1011"/>
        <v>-1271672222.5948911</v>
      </c>
      <c r="S884">
        <f t="shared" si="1012"/>
        <v>-12716.72222594891</v>
      </c>
      <c r="T884">
        <f t="shared" si="1013"/>
        <v>-12.71672222594891</v>
      </c>
    </row>
    <row r="885" spans="1:20" x14ac:dyDescent="0.25">
      <c r="A885" s="5">
        <v>43708</v>
      </c>
      <c r="B885">
        <v>4.81E-3</v>
      </c>
      <c r="C885">
        <v>4.8500000000000001E-3</v>
      </c>
      <c r="D885">
        <v>4.6499999999999996E-3</v>
      </c>
      <c r="E885">
        <v>4.7699999999999999E-3</v>
      </c>
      <c r="F885">
        <v>8031597.5999999996</v>
      </c>
      <c r="G885">
        <v>0</v>
      </c>
      <c r="L885" t="s">
        <v>7</v>
      </c>
      <c r="M885" t="s">
        <v>7</v>
      </c>
      <c r="N885" t="s">
        <v>7</v>
      </c>
      <c r="P885">
        <f t="shared" si="1009"/>
        <v>0.2</v>
      </c>
      <c r="Q885">
        <f t="shared" si="1010"/>
        <v>1606319.52</v>
      </c>
      <c r="R885">
        <f t="shared" si="1011"/>
        <v>-1274719651.4810982</v>
      </c>
      <c r="S885">
        <f t="shared" si="1012"/>
        <v>-12747.196514810981</v>
      </c>
      <c r="T885">
        <f t="shared" si="1013"/>
        <v>-12.747196514810982</v>
      </c>
    </row>
    <row r="886" spans="1:20" x14ac:dyDescent="0.25">
      <c r="A886" s="5">
        <v>43707</v>
      </c>
      <c r="B886">
        <v>4.8500000000000001E-3</v>
      </c>
      <c r="C886">
        <v>4.8799999999999998E-3</v>
      </c>
      <c r="D886">
        <v>4.7000000000000002E-3</v>
      </c>
      <c r="E886">
        <v>4.81E-3</v>
      </c>
      <c r="F886">
        <v>27811181.199999999</v>
      </c>
      <c r="G886">
        <v>0</v>
      </c>
      <c r="L886" t="s">
        <v>7</v>
      </c>
      <c r="M886" t="s">
        <v>7</v>
      </c>
      <c r="N886" t="s">
        <v>7</v>
      </c>
      <c r="P886">
        <f t="shared" si="1009"/>
        <v>0.22222222222222329</v>
      </c>
      <c r="Q886">
        <f t="shared" si="1010"/>
        <v>6180262.4888889184</v>
      </c>
      <c r="R886">
        <f t="shared" si="1011"/>
        <v>-1276325971.0010982</v>
      </c>
      <c r="S886">
        <f t="shared" si="1012"/>
        <v>-12763.259710010982</v>
      </c>
      <c r="T886">
        <f t="shared" si="1013"/>
        <v>-12.763259710010981</v>
      </c>
    </row>
    <row r="887" spans="1:20" x14ac:dyDescent="0.25">
      <c r="A887" s="5">
        <v>43706</v>
      </c>
      <c r="B887">
        <v>5.1500000000000001E-3</v>
      </c>
      <c r="C887">
        <v>5.1500000000000001E-3</v>
      </c>
      <c r="D887">
        <v>4.6100000000000004E-3</v>
      </c>
      <c r="E887">
        <v>4.8500000000000001E-3</v>
      </c>
      <c r="F887">
        <v>30690814.800000001</v>
      </c>
      <c r="G887">
        <v>0</v>
      </c>
      <c r="L887" t="s">
        <v>7</v>
      </c>
      <c r="M887" t="s">
        <v>7</v>
      </c>
      <c r="N887" t="s">
        <v>7</v>
      </c>
      <c r="P887">
        <f t="shared" si="1009"/>
        <v>-0.11111111111111147</v>
      </c>
      <c r="Q887">
        <f t="shared" si="1010"/>
        <v>-3410090.5333333444</v>
      </c>
      <c r="R887">
        <f t="shared" si="1011"/>
        <v>-1282506233.4899871</v>
      </c>
      <c r="S887">
        <f t="shared" si="1012"/>
        <v>-12825.062334899871</v>
      </c>
      <c r="T887">
        <f t="shared" si="1013"/>
        <v>-12.82506233489987</v>
      </c>
    </row>
    <row r="888" spans="1:20" x14ac:dyDescent="0.25">
      <c r="A888" s="5">
        <v>43705</v>
      </c>
      <c r="B888">
        <v>5.7200000000000003E-3</v>
      </c>
      <c r="C888">
        <v>5.8500000000000002E-3</v>
      </c>
      <c r="D888">
        <v>4.8300000000000001E-3</v>
      </c>
      <c r="E888">
        <v>5.1599999999999997E-3</v>
      </c>
      <c r="F888">
        <v>66183154.899999999</v>
      </c>
      <c r="G888">
        <v>0</v>
      </c>
      <c r="L888" t="s">
        <v>7</v>
      </c>
      <c r="M888" t="s">
        <v>7</v>
      </c>
      <c r="N888" t="s">
        <v>7</v>
      </c>
      <c r="P888">
        <f t="shared" si="1009"/>
        <v>-0.35294117647058915</v>
      </c>
      <c r="Q888">
        <f t="shared" si="1010"/>
        <v>-23358760.552941237</v>
      </c>
      <c r="R888">
        <f t="shared" si="1011"/>
        <v>-1279096142.9566538</v>
      </c>
      <c r="S888">
        <f t="shared" si="1012"/>
        <v>-12790.961429566538</v>
      </c>
      <c r="T888">
        <f t="shared" si="1013"/>
        <v>-12.790961429566538</v>
      </c>
    </row>
    <row r="889" spans="1:20" x14ac:dyDescent="0.25">
      <c r="A889" s="5">
        <v>43704</v>
      </c>
      <c r="B889">
        <v>5.8599999999999998E-3</v>
      </c>
      <c r="C889">
        <v>5.8999999999999999E-3</v>
      </c>
      <c r="D889">
        <v>5.4400000000000004E-3</v>
      </c>
      <c r="E889">
        <v>5.7200000000000003E-3</v>
      </c>
      <c r="F889">
        <v>46772812.799999997</v>
      </c>
      <c r="G889">
        <v>0</v>
      </c>
      <c r="L889" t="s">
        <v>7</v>
      </c>
      <c r="M889" t="s">
        <v>7</v>
      </c>
      <c r="N889" t="s">
        <v>7</v>
      </c>
      <c r="P889">
        <f t="shared" si="1009"/>
        <v>0.21739130434782691</v>
      </c>
      <c r="Q889">
        <f t="shared" si="1010"/>
        <v>10168002.782608734</v>
      </c>
      <c r="R889">
        <f t="shared" si="1011"/>
        <v>-1255737382.4037125</v>
      </c>
      <c r="S889">
        <f t="shared" si="1012"/>
        <v>-12557.373824037126</v>
      </c>
      <c r="T889">
        <f t="shared" si="1013"/>
        <v>-12.557373824037127</v>
      </c>
    </row>
    <row r="890" spans="1:20" x14ac:dyDescent="0.25">
      <c r="A890" s="5">
        <v>43703</v>
      </c>
      <c r="B890">
        <v>6.2300000000000003E-3</v>
      </c>
      <c r="C890">
        <v>6.4000000000000003E-3</v>
      </c>
      <c r="D890">
        <v>5.64E-3</v>
      </c>
      <c r="E890">
        <v>5.8599999999999998E-3</v>
      </c>
      <c r="F890">
        <v>67124435.400000006</v>
      </c>
      <c r="G890">
        <v>0</v>
      </c>
      <c r="L890" t="s">
        <v>7</v>
      </c>
      <c r="M890" t="s">
        <v>7</v>
      </c>
      <c r="N890" t="s">
        <v>7</v>
      </c>
      <c r="P890">
        <f t="shared" si="1009"/>
        <v>-0.42105263157894834</v>
      </c>
      <c r="Q890">
        <f t="shared" si="1010"/>
        <v>-28262920.168421119</v>
      </c>
      <c r="R890">
        <f t="shared" si="1011"/>
        <v>-1265905385.1863213</v>
      </c>
      <c r="S890">
        <f t="shared" si="1012"/>
        <v>-12659.053851863213</v>
      </c>
      <c r="T890">
        <f t="shared" si="1013"/>
        <v>-12.659053851863213</v>
      </c>
    </row>
    <row r="891" spans="1:20" x14ac:dyDescent="0.25">
      <c r="A891" s="5">
        <v>43702</v>
      </c>
      <c r="B891">
        <v>5.8300000000000001E-3</v>
      </c>
      <c r="C891">
        <v>6.8999999999999999E-3</v>
      </c>
      <c r="D891">
        <v>5.8300000000000001E-3</v>
      </c>
      <c r="E891">
        <v>6.1700000000000001E-3</v>
      </c>
      <c r="F891">
        <v>139263102.69999999</v>
      </c>
      <c r="G891">
        <v>0</v>
      </c>
      <c r="L891" t="s">
        <v>8</v>
      </c>
      <c r="M891" t="s">
        <v>8</v>
      </c>
      <c r="N891" t="s">
        <v>7</v>
      </c>
      <c r="P891">
        <f t="shared" si="1009"/>
        <v>-0.36448598130841103</v>
      </c>
      <c r="Q891">
        <f t="shared" si="1010"/>
        <v>-50759448.647663519</v>
      </c>
      <c r="R891">
        <f t="shared" si="1011"/>
        <v>-1237642465.0179002</v>
      </c>
      <c r="S891">
        <f t="shared" si="1012"/>
        <v>-12376.424650179002</v>
      </c>
      <c r="T891">
        <f t="shared" si="1013"/>
        <v>-12.376424650179002</v>
      </c>
    </row>
    <row r="892" spans="1:20" x14ac:dyDescent="0.25">
      <c r="A892" s="5">
        <v>43701</v>
      </c>
      <c r="B892">
        <v>5.7600000000000004E-3</v>
      </c>
      <c r="C892">
        <v>5.8999999999999999E-3</v>
      </c>
      <c r="D892">
        <v>5.6100000000000004E-3</v>
      </c>
      <c r="E892">
        <v>5.8100000000000001E-3</v>
      </c>
      <c r="F892">
        <v>25443514.699999999</v>
      </c>
      <c r="G892">
        <v>0</v>
      </c>
      <c r="L892" t="s">
        <v>8</v>
      </c>
      <c r="M892" t="s">
        <v>7</v>
      </c>
      <c r="N892" t="s">
        <v>7</v>
      </c>
      <c r="P892">
        <f t="shared" si="1009"/>
        <v>0.37931034482758641</v>
      </c>
      <c r="Q892">
        <f t="shared" si="1010"/>
        <v>9650988.334482763</v>
      </c>
      <c r="R892">
        <f t="shared" si="1011"/>
        <v>-1186883016.3702366</v>
      </c>
      <c r="S892">
        <f t="shared" si="1012"/>
        <v>-11868.830163702367</v>
      </c>
      <c r="T892">
        <f t="shared" si="1013"/>
        <v>-11.868830163702366</v>
      </c>
    </row>
    <row r="893" spans="1:20" x14ac:dyDescent="0.25">
      <c r="A893" s="5">
        <v>43700</v>
      </c>
      <c r="B893">
        <v>5.5900000000000004E-3</v>
      </c>
      <c r="C893">
        <v>5.8300000000000001E-3</v>
      </c>
      <c r="D893">
        <v>5.5100000000000001E-3</v>
      </c>
      <c r="E893">
        <v>5.7600000000000004E-3</v>
      </c>
      <c r="F893">
        <v>49000032.899999999</v>
      </c>
      <c r="G893">
        <v>0</v>
      </c>
      <c r="L893" t="s">
        <v>8</v>
      </c>
      <c r="M893" t="s">
        <v>7</v>
      </c>
      <c r="N893" t="s">
        <v>7</v>
      </c>
      <c r="P893">
        <f t="shared" si="1009"/>
        <v>0.56250000000000155</v>
      </c>
      <c r="Q893">
        <f t="shared" si="1010"/>
        <v>27562518.506250076</v>
      </c>
      <c r="R893">
        <f t="shared" si="1011"/>
        <v>-1196534004.7047193</v>
      </c>
      <c r="S893">
        <f t="shared" si="1012"/>
        <v>-11965.340047047193</v>
      </c>
      <c r="T893">
        <f t="shared" si="1013"/>
        <v>-11.965340047047194</v>
      </c>
    </row>
    <row r="894" spans="1:20" x14ac:dyDescent="0.25">
      <c r="A894" s="5">
        <v>43699</v>
      </c>
      <c r="B894">
        <v>5.4000000000000003E-3</v>
      </c>
      <c r="C894">
        <v>5.6699999999999997E-3</v>
      </c>
      <c r="D894">
        <v>5.2500000000000003E-3</v>
      </c>
      <c r="E894">
        <v>5.6299999999999996E-3</v>
      </c>
      <c r="F894">
        <v>35254437.299999997</v>
      </c>
      <c r="G894">
        <v>0</v>
      </c>
      <c r="L894" t="s">
        <v>8</v>
      </c>
      <c r="M894" t="s">
        <v>7</v>
      </c>
      <c r="N894" t="s">
        <v>7</v>
      </c>
      <c r="P894">
        <f t="shared" si="1009"/>
        <v>0.80952380952380876</v>
      </c>
      <c r="Q894">
        <f t="shared" si="1010"/>
        <v>28539306.385714255</v>
      </c>
      <c r="R894">
        <f t="shared" si="1011"/>
        <v>-1224096523.2109694</v>
      </c>
      <c r="S894">
        <f t="shared" si="1012"/>
        <v>-12240.965232109695</v>
      </c>
      <c r="T894">
        <f t="shared" si="1013"/>
        <v>-12.240965232109694</v>
      </c>
    </row>
    <row r="895" spans="1:20" x14ac:dyDescent="0.25">
      <c r="A895" s="5">
        <v>43698</v>
      </c>
      <c r="B895">
        <v>5.8199999999999997E-3</v>
      </c>
      <c r="C895">
        <v>5.8399999999999997E-3</v>
      </c>
      <c r="D895">
        <v>5.2500000000000003E-3</v>
      </c>
      <c r="E895">
        <v>5.4000000000000003E-3</v>
      </c>
      <c r="F895">
        <v>39990521.799999997</v>
      </c>
      <c r="G895">
        <v>0</v>
      </c>
      <c r="L895" t="s">
        <v>7</v>
      </c>
      <c r="M895" t="s">
        <v>7</v>
      </c>
      <c r="N895" t="s">
        <v>7</v>
      </c>
      <c r="P895">
        <f t="shared" ref="P895:P958" si="1014">IF(C895=D895,0,((E895-D895)-(C895-E895))/(C895-D895))</f>
        <v>-0.49152542372881314</v>
      </c>
      <c r="Q895">
        <f t="shared" ref="Q895:Q958" si="1015">F895*P895</f>
        <v>-19656358.172881339</v>
      </c>
      <c r="R895">
        <f t="shared" ref="R895:R958" si="1016">R896+Q895</f>
        <v>-1252635829.5966837</v>
      </c>
      <c r="S895">
        <f t="shared" ref="S895:S958" si="1017">R895/100000</f>
        <v>-12526.358295966837</v>
      </c>
      <c r="T895">
        <f t="shared" ref="T895:T958" si="1018">S895/1000</f>
        <v>-12.526358295966837</v>
      </c>
    </row>
    <row r="896" spans="1:20" x14ac:dyDescent="0.25">
      <c r="A896" s="5">
        <v>43697</v>
      </c>
      <c r="B896">
        <v>5.9199999999999999E-3</v>
      </c>
      <c r="C896">
        <v>5.9500000000000004E-3</v>
      </c>
      <c r="D896">
        <v>5.7000000000000002E-3</v>
      </c>
      <c r="E896">
        <v>5.7800000000000004E-3</v>
      </c>
      <c r="F896">
        <v>25273798.600000001</v>
      </c>
      <c r="G896">
        <v>0</v>
      </c>
      <c r="L896" t="s">
        <v>8</v>
      </c>
      <c r="M896" t="s">
        <v>7</v>
      </c>
      <c r="N896" t="s">
        <v>7</v>
      </c>
      <c r="P896">
        <f t="shared" si="1014"/>
        <v>-0.35999999999999888</v>
      </c>
      <c r="Q896">
        <f t="shared" si="1015"/>
        <v>-9098567.4959999714</v>
      </c>
      <c r="R896">
        <f t="shared" si="1016"/>
        <v>-1232979471.4238024</v>
      </c>
      <c r="S896">
        <f t="shared" si="1017"/>
        <v>-12329.794714238024</v>
      </c>
      <c r="T896">
        <f t="shared" si="1018"/>
        <v>-12.329794714238023</v>
      </c>
    </row>
    <row r="897" spans="1:20" x14ac:dyDescent="0.25">
      <c r="A897" s="5">
        <v>43696</v>
      </c>
      <c r="B897">
        <v>5.79E-3</v>
      </c>
      <c r="C897">
        <v>5.9899999999999997E-3</v>
      </c>
      <c r="D897">
        <v>5.7299999999999999E-3</v>
      </c>
      <c r="E897">
        <v>5.9500000000000004E-3</v>
      </c>
      <c r="F897">
        <v>28308665.100000001</v>
      </c>
      <c r="G897">
        <v>0</v>
      </c>
      <c r="L897" t="s">
        <v>8</v>
      </c>
      <c r="M897" t="s">
        <v>7</v>
      </c>
      <c r="N897" t="s">
        <v>7</v>
      </c>
      <c r="P897">
        <f t="shared" si="1014"/>
        <v>0.69230769230769795</v>
      </c>
      <c r="Q897">
        <f t="shared" si="1015"/>
        <v>19598306.607692469</v>
      </c>
      <c r="R897">
        <f t="shared" si="1016"/>
        <v>-1223880903.9278023</v>
      </c>
      <c r="S897">
        <f t="shared" si="1017"/>
        <v>-12238.809039278023</v>
      </c>
      <c r="T897">
        <f t="shared" si="1018"/>
        <v>-12.238809039278022</v>
      </c>
    </row>
    <row r="898" spans="1:20" x14ac:dyDescent="0.25">
      <c r="A898" s="5">
        <v>43695</v>
      </c>
      <c r="B898">
        <v>5.7400000000000003E-3</v>
      </c>
      <c r="C898">
        <v>5.8700000000000002E-3</v>
      </c>
      <c r="D898">
        <v>5.64E-3</v>
      </c>
      <c r="E898">
        <v>5.79E-3</v>
      </c>
      <c r="F898">
        <v>18591417.300000001</v>
      </c>
      <c r="G898">
        <v>0</v>
      </c>
      <c r="L898" t="s">
        <v>7</v>
      </c>
      <c r="M898" t="s">
        <v>7</v>
      </c>
      <c r="N898" t="s">
        <v>7</v>
      </c>
      <c r="P898">
        <f t="shared" si="1014"/>
        <v>0.30434782608695521</v>
      </c>
      <c r="Q898">
        <f t="shared" si="1015"/>
        <v>5658257.4391304106</v>
      </c>
      <c r="R898">
        <f t="shared" si="1016"/>
        <v>-1243479210.5354948</v>
      </c>
      <c r="S898">
        <f t="shared" si="1017"/>
        <v>-12434.792105354949</v>
      </c>
      <c r="T898">
        <f t="shared" si="1018"/>
        <v>-12.434792105354949</v>
      </c>
    </row>
    <row r="899" spans="1:20" x14ac:dyDescent="0.25">
      <c r="A899" s="5">
        <v>43694</v>
      </c>
      <c r="B899">
        <v>5.8900000000000003E-3</v>
      </c>
      <c r="C899">
        <v>5.9100000000000003E-3</v>
      </c>
      <c r="D899">
        <v>5.5700000000000003E-3</v>
      </c>
      <c r="E899">
        <v>5.7400000000000003E-3</v>
      </c>
      <c r="F899">
        <v>19246664.800000001</v>
      </c>
      <c r="G899">
        <v>0</v>
      </c>
      <c r="L899" t="s">
        <v>7</v>
      </c>
      <c r="M899" t="s">
        <v>7</v>
      </c>
      <c r="N899" t="s">
        <v>7</v>
      </c>
      <c r="P899">
        <f t="shared" si="1014"/>
        <v>0</v>
      </c>
      <c r="Q899">
        <f t="shared" si="1015"/>
        <v>0</v>
      </c>
      <c r="R899">
        <f t="shared" si="1016"/>
        <v>-1249137467.9746251</v>
      </c>
      <c r="S899">
        <f t="shared" si="1017"/>
        <v>-12491.374679746252</v>
      </c>
      <c r="T899">
        <f t="shared" si="1018"/>
        <v>-12.491374679746253</v>
      </c>
    </row>
    <row r="900" spans="1:20" x14ac:dyDescent="0.25">
      <c r="A900" s="5">
        <v>43693</v>
      </c>
      <c r="B900">
        <v>5.8599999999999998E-3</v>
      </c>
      <c r="C900">
        <v>6.1000000000000004E-3</v>
      </c>
      <c r="D900">
        <v>5.5799999999999999E-3</v>
      </c>
      <c r="E900">
        <v>5.8999999999999999E-3</v>
      </c>
      <c r="F900">
        <v>21647680.800000001</v>
      </c>
      <c r="G900">
        <v>0</v>
      </c>
      <c r="L900" t="s">
        <v>7</v>
      </c>
      <c r="M900" t="s">
        <v>7</v>
      </c>
      <c r="N900" t="s">
        <v>7</v>
      </c>
      <c r="P900">
        <f t="shared" si="1014"/>
        <v>0.23076923076922948</v>
      </c>
      <c r="Q900">
        <f t="shared" si="1015"/>
        <v>4995618.6461538188</v>
      </c>
      <c r="R900">
        <f t="shared" si="1016"/>
        <v>-1249137467.9746251</v>
      </c>
      <c r="S900">
        <f t="shared" si="1017"/>
        <v>-12491.374679746252</v>
      </c>
      <c r="T900">
        <f t="shared" si="1018"/>
        <v>-12.491374679746253</v>
      </c>
    </row>
    <row r="901" spans="1:20" x14ac:dyDescent="0.25">
      <c r="A901" s="5">
        <v>43692</v>
      </c>
      <c r="B901">
        <v>6.0699999999999999E-3</v>
      </c>
      <c r="C901">
        <v>6.0899999999999999E-3</v>
      </c>
      <c r="D901">
        <v>5.7099999999999998E-3</v>
      </c>
      <c r="E901">
        <v>5.8700000000000002E-3</v>
      </c>
      <c r="F901">
        <v>18688680.199999999</v>
      </c>
      <c r="G901">
        <v>0</v>
      </c>
      <c r="L901" t="s">
        <v>7</v>
      </c>
      <c r="M901" t="s">
        <v>7</v>
      </c>
      <c r="N901" t="s">
        <v>7</v>
      </c>
      <c r="P901">
        <f t="shared" si="1014"/>
        <v>-0.15789473684210334</v>
      </c>
      <c r="Q901">
        <f t="shared" si="1015"/>
        <v>-2950844.242105227</v>
      </c>
      <c r="R901">
        <f t="shared" si="1016"/>
        <v>-1254133086.620779</v>
      </c>
      <c r="S901">
        <f t="shared" si="1017"/>
        <v>-12541.330866207791</v>
      </c>
      <c r="T901">
        <f t="shared" si="1018"/>
        <v>-12.54133086620779</v>
      </c>
    </row>
    <row r="902" spans="1:20" x14ac:dyDescent="0.25">
      <c r="A902" s="5">
        <v>43691</v>
      </c>
      <c r="B902">
        <v>6.7499999999999999E-3</v>
      </c>
      <c r="C902">
        <v>6.7999999999999996E-3</v>
      </c>
      <c r="D902">
        <v>5.96E-3</v>
      </c>
      <c r="E902">
        <v>6.0299999999999998E-3</v>
      </c>
      <c r="F902">
        <v>41698918.100000001</v>
      </c>
      <c r="G902">
        <v>0</v>
      </c>
      <c r="L902" t="s">
        <v>7</v>
      </c>
      <c r="M902" t="s">
        <v>7</v>
      </c>
      <c r="N902" t="s">
        <v>7</v>
      </c>
      <c r="P902">
        <f t="shared" si="1014"/>
        <v>-0.83333333333333381</v>
      </c>
      <c r="Q902">
        <f t="shared" si="1015"/>
        <v>-34749098.416666687</v>
      </c>
      <c r="R902">
        <f t="shared" si="1016"/>
        <v>-1251182242.3786738</v>
      </c>
      <c r="S902">
        <f t="shared" si="1017"/>
        <v>-12511.822423786738</v>
      </c>
      <c r="T902">
        <f t="shared" si="1018"/>
        <v>-12.511822423786738</v>
      </c>
    </row>
    <row r="903" spans="1:20" x14ac:dyDescent="0.25">
      <c r="A903" s="5">
        <v>43690</v>
      </c>
      <c r="B903">
        <v>7.11E-3</v>
      </c>
      <c r="C903">
        <v>7.2199999999999999E-3</v>
      </c>
      <c r="D903">
        <v>6.6100000000000004E-3</v>
      </c>
      <c r="E903">
        <v>6.7499999999999999E-3</v>
      </c>
      <c r="F903">
        <v>34300334.899999999</v>
      </c>
      <c r="G903">
        <v>0</v>
      </c>
      <c r="L903" t="s">
        <v>7</v>
      </c>
      <c r="M903" t="s">
        <v>8</v>
      </c>
      <c r="N903" t="s">
        <v>7</v>
      </c>
      <c r="P903">
        <f t="shared" si="1014"/>
        <v>-0.54098360655737832</v>
      </c>
      <c r="Q903">
        <f t="shared" si="1015"/>
        <v>-18555918.88032791</v>
      </c>
      <c r="R903">
        <f t="shared" si="1016"/>
        <v>-1216433143.962007</v>
      </c>
      <c r="S903">
        <f t="shared" si="1017"/>
        <v>-12164.331439620071</v>
      </c>
      <c r="T903">
        <f t="shared" si="1018"/>
        <v>-12.164331439620071</v>
      </c>
    </row>
    <row r="904" spans="1:20" x14ac:dyDescent="0.25">
      <c r="A904" s="5">
        <v>43689</v>
      </c>
      <c r="B904">
        <v>7.2700000000000004E-3</v>
      </c>
      <c r="C904">
        <v>7.4000000000000003E-3</v>
      </c>
      <c r="D904">
        <v>6.9800000000000001E-3</v>
      </c>
      <c r="E904">
        <v>7.1000000000000004E-3</v>
      </c>
      <c r="F904">
        <v>59088577.100000001</v>
      </c>
      <c r="G904">
        <v>0</v>
      </c>
      <c r="L904" t="s">
        <v>8</v>
      </c>
      <c r="M904" t="s">
        <v>8</v>
      </c>
      <c r="N904" t="s">
        <v>7</v>
      </c>
      <c r="P904">
        <f t="shared" si="1014"/>
        <v>-0.42857142857142738</v>
      </c>
      <c r="Q904">
        <f t="shared" si="1015"/>
        <v>-25323675.899999931</v>
      </c>
      <c r="R904">
        <f t="shared" si="1016"/>
        <v>-1197877225.0816791</v>
      </c>
      <c r="S904">
        <f t="shared" si="1017"/>
        <v>-11978.772250816792</v>
      </c>
      <c r="T904">
        <f t="shared" si="1018"/>
        <v>-11.978772250816792</v>
      </c>
    </row>
    <row r="905" spans="1:20" x14ac:dyDescent="0.25">
      <c r="A905" s="5">
        <v>43688</v>
      </c>
      <c r="B905">
        <v>6.5599999999999999E-3</v>
      </c>
      <c r="C905">
        <v>7.3400000000000002E-3</v>
      </c>
      <c r="D905">
        <v>6.5599999999999999E-3</v>
      </c>
      <c r="E905">
        <v>7.2399999999999999E-3</v>
      </c>
      <c r="F905">
        <v>112381913.2</v>
      </c>
      <c r="G905">
        <v>0</v>
      </c>
      <c r="L905" t="s">
        <v>8</v>
      </c>
      <c r="M905" t="s">
        <v>8</v>
      </c>
      <c r="N905" t="s">
        <v>7</v>
      </c>
      <c r="P905">
        <f t="shared" si="1014"/>
        <v>0.74358974358974306</v>
      </c>
      <c r="Q905">
        <f t="shared" si="1015"/>
        <v>83566038.02051276</v>
      </c>
      <c r="R905">
        <f t="shared" si="1016"/>
        <v>-1172553549.1816792</v>
      </c>
      <c r="S905">
        <f t="shared" si="1017"/>
        <v>-11725.535491816792</v>
      </c>
      <c r="T905">
        <f t="shared" si="1018"/>
        <v>-11.725535491816792</v>
      </c>
    </row>
    <row r="906" spans="1:20" x14ac:dyDescent="0.25">
      <c r="A906" s="5">
        <v>43687</v>
      </c>
      <c r="B906">
        <v>6.1599999999999997E-3</v>
      </c>
      <c r="C906">
        <v>6.9899999999999997E-3</v>
      </c>
      <c r="D906">
        <v>6.1599999999999997E-3</v>
      </c>
      <c r="E906">
        <v>6.5500000000000003E-3</v>
      </c>
      <c r="F906">
        <v>67979867.400000006</v>
      </c>
      <c r="G906">
        <v>0</v>
      </c>
      <c r="L906" t="s">
        <v>8</v>
      </c>
      <c r="M906" t="s">
        <v>7</v>
      </c>
      <c r="N906" t="s">
        <v>7</v>
      </c>
      <c r="P906">
        <f t="shared" si="1014"/>
        <v>-6.0240963855420278E-2</v>
      </c>
      <c r="Q906">
        <f t="shared" si="1015"/>
        <v>-4095172.7349396637</v>
      </c>
      <c r="R906">
        <f t="shared" si="1016"/>
        <v>-1256119587.2021921</v>
      </c>
      <c r="S906">
        <f t="shared" si="1017"/>
        <v>-12561.195872021921</v>
      </c>
      <c r="T906">
        <f t="shared" si="1018"/>
        <v>-12.561195872021921</v>
      </c>
    </row>
    <row r="907" spans="1:20" x14ac:dyDescent="0.25">
      <c r="A907" s="5">
        <v>43686</v>
      </c>
      <c r="B907">
        <v>6.43E-3</v>
      </c>
      <c r="C907">
        <v>6.4999999999999997E-3</v>
      </c>
      <c r="D907">
        <v>6.0099999999999997E-3</v>
      </c>
      <c r="E907">
        <v>6.1199999999999996E-3</v>
      </c>
      <c r="F907">
        <v>32706832.699999999</v>
      </c>
      <c r="G907">
        <v>0</v>
      </c>
      <c r="L907" t="s">
        <v>7</v>
      </c>
      <c r="M907" t="s">
        <v>7</v>
      </c>
      <c r="N907" t="s">
        <v>7</v>
      </c>
      <c r="P907">
        <f t="shared" si="1014"/>
        <v>-0.55102040816326592</v>
      </c>
      <c r="Q907">
        <f t="shared" si="1015"/>
        <v>-18022132.304081652</v>
      </c>
      <c r="R907">
        <f t="shared" si="1016"/>
        <v>-1252024414.4672525</v>
      </c>
      <c r="S907">
        <f t="shared" si="1017"/>
        <v>-12520.244144672524</v>
      </c>
      <c r="T907">
        <f t="shared" si="1018"/>
        <v>-12.520244144672525</v>
      </c>
    </row>
    <row r="908" spans="1:20" x14ac:dyDescent="0.25">
      <c r="A908" s="5">
        <v>43685</v>
      </c>
      <c r="B908">
        <v>6.4000000000000003E-3</v>
      </c>
      <c r="C908">
        <v>6.7499999999999999E-3</v>
      </c>
      <c r="D908">
        <v>6.3E-3</v>
      </c>
      <c r="E908">
        <v>6.4200000000000004E-3</v>
      </c>
      <c r="F908">
        <v>45360106.100000001</v>
      </c>
      <c r="G908">
        <v>0</v>
      </c>
      <c r="L908" t="s">
        <v>8</v>
      </c>
      <c r="M908" t="s">
        <v>7</v>
      </c>
      <c r="N908" t="s">
        <v>7</v>
      </c>
      <c r="P908">
        <f t="shared" si="1014"/>
        <v>-0.46666666666666512</v>
      </c>
      <c r="Q908">
        <f t="shared" si="1015"/>
        <v>-21168049.513333265</v>
      </c>
      <c r="R908">
        <f t="shared" si="1016"/>
        <v>-1234002282.1631708</v>
      </c>
      <c r="S908">
        <f t="shared" si="1017"/>
        <v>-12340.022821631708</v>
      </c>
      <c r="T908">
        <f t="shared" si="1018"/>
        <v>-12.340022821631708</v>
      </c>
    </row>
    <row r="909" spans="1:20" x14ac:dyDescent="0.25">
      <c r="A909" s="5">
        <v>43684</v>
      </c>
      <c r="B909">
        <v>6.4700000000000001E-3</v>
      </c>
      <c r="C909">
        <v>6.7600000000000004E-3</v>
      </c>
      <c r="D909">
        <v>6.1999999999999998E-3</v>
      </c>
      <c r="E909">
        <v>6.3499999999999997E-3</v>
      </c>
      <c r="F909">
        <v>53986776.399999999</v>
      </c>
      <c r="G909">
        <v>0</v>
      </c>
      <c r="L909" t="s">
        <v>8</v>
      </c>
      <c r="M909" t="s">
        <v>7</v>
      </c>
      <c r="N909" t="s">
        <v>7</v>
      </c>
      <c r="P909">
        <f t="shared" si="1014"/>
        <v>-0.46428571428571502</v>
      </c>
      <c r="Q909">
        <f t="shared" si="1015"/>
        <v>-25065289.042857181</v>
      </c>
      <c r="R909">
        <f t="shared" si="1016"/>
        <v>-1212834232.6498375</v>
      </c>
      <c r="S909">
        <f t="shared" si="1017"/>
        <v>-12128.342326498376</v>
      </c>
      <c r="T909">
        <f t="shared" si="1018"/>
        <v>-12.128342326498375</v>
      </c>
    </row>
    <row r="910" spans="1:20" x14ac:dyDescent="0.25">
      <c r="A910" s="5">
        <v>43683</v>
      </c>
      <c r="B910">
        <v>6.45E-3</v>
      </c>
      <c r="C910">
        <v>6.7999999999999996E-3</v>
      </c>
      <c r="D910">
        <v>6.11E-3</v>
      </c>
      <c r="E910">
        <v>6.4599999999999996E-3</v>
      </c>
      <c r="F910">
        <v>66646573.399999999</v>
      </c>
      <c r="G910">
        <v>0</v>
      </c>
      <c r="L910" t="s">
        <v>7</v>
      </c>
      <c r="M910" t="s">
        <v>7</v>
      </c>
      <c r="N910" t="s">
        <v>7</v>
      </c>
      <c r="P910">
        <f t="shared" si="1014"/>
        <v>1.4492753623187823E-2</v>
      </c>
      <c r="Q910">
        <f t="shared" si="1015"/>
        <v>965892.36811590323</v>
      </c>
      <c r="R910">
        <f t="shared" si="1016"/>
        <v>-1187768943.6069803</v>
      </c>
      <c r="S910">
        <f t="shared" si="1017"/>
        <v>-11877.689436069802</v>
      </c>
      <c r="T910">
        <f t="shared" si="1018"/>
        <v>-11.877689436069803</v>
      </c>
    </row>
    <row r="911" spans="1:20" x14ac:dyDescent="0.25">
      <c r="A911" s="5">
        <v>43682</v>
      </c>
      <c r="B911">
        <v>6.4700000000000001E-3</v>
      </c>
      <c r="C911">
        <v>6.5599999999999999E-3</v>
      </c>
      <c r="D911">
        <v>6.2199999999999998E-3</v>
      </c>
      <c r="E911">
        <v>6.4599999999999996E-3</v>
      </c>
      <c r="F911">
        <v>33502902.199999999</v>
      </c>
      <c r="G911">
        <v>0</v>
      </c>
      <c r="L911" t="s">
        <v>7</v>
      </c>
      <c r="M911" t="s">
        <v>7</v>
      </c>
      <c r="N911" t="s">
        <v>7</v>
      </c>
      <c r="P911">
        <f t="shared" si="1014"/>
        <v>0.41176470588235142</v>
      </c>
      <c r="Q911">
        <f t="shared" si="1015"/>
        <v>13795312.670588184</v>
      </c>
      <c r="R911">
        <f t="shared" si="1016"/>
        <v>-1188734835.9750962</v>
      </c>
      <c r="S911">
        <f t="shared" si="1017"/>
        <v>-11887.348359750962</v>
      </c>
      <c r="T911">
        <f t="shared" si="1018"/>
        <v>-11.887348359750963</v>
      </c>
    </row>
    <row r="912" spans="1:20" x14ac:dyDescent="0.25">
      <c r="A912" s="5">
        <v>43681</v>
      </c>
      <c r="B912">
        <v>6.7099999999999998E-3</v>
      </c>
      <c r="C912">
        <v>6.79E-3</v>
      </c>
      <c r="D912">
        <v>6.4200000000000004E-3</v>
      </c>
      <c r="E912">
        <v>6.4999999999999997E-3</v>
      </c>
      <c r="F912">
        <v>19075318.199999999</v>
      </c>
      <c r="G912">
        <v>0</v>
      </c>
      <c r="L912" t="s">
        <v>7</v>
      </c>
      <c r="M912" t="s">
        <v>7</v>
      </c>
      <c r="N912" t="s">
        <v>7</v>
      </c>
      <c r="P912">
        <f t="shared" si="1014"/>
        <v>-0.56756756756757076</v>
      </c>
      <c r="Q912">
        <f t="shared" si="1015"/>
        <v>-10826531.951351412</v>
      </c>
      <c r="R912">
        <f t="shared" si="1016"/>
        <v>-1202530148.6456845</v>
      </c>
      <c r="S912">
        <f t="shared" si="1017"/>
        <v>-12025.301486456845</v>
      </c>
      <c r="T912">
        <f t="shared" si="1018"/>
        <v>-12.025301486456845</v>
      </c>
    </row>
    <row r="913" spans="1:20" x14ac:dyDescent="0.25">
      <c r="A913" s="5">
        <v>43680</v>
      </c>
      <c r="B913">
        <v>6.9699999999999996E-3</v>
      </c>
      <c r="C913">
        <v>6.9899999999999997E-3</v>
      </c>
      <c r="D913">
        <v>6.5799999999999999E-3</v>
      </c>
      <c r="E913">
        <v>6.7099999999999998E-3</v>
      </c>
      <c r="F913">
        <v>22336904.699999999</v>
      </c>
      <c r="G913">
        <v>0</v>
      </c>
      <c r="L913" t="s">
        <v>7</v>
      </c>
      <c r="M913" t="s">
        <v>7</v>
      </c>
      <c r="N913" t="s">
        <v>7</v>
      </c>
      <c r="P913">
        <f t="shared" si="1014"/>
        <v>-0.36585365853658547</v>
      </c>
      <c r="Q913">
        <f t="shared" si="1015"/>
        <v>-8172038.3048780505</v>
      </c>
      <c r="R913">
        <f t="shared" si="1016"/>
        <v>-1191703616.6943331</v>
      </c>
      <c r="S913">
        <f t="shared" si="1017"/>
        <v>-11917.036166943331</v>
      </c>
      <c r="T913">
        <f t="shared" si="1018"/>
        <v>-11.917036166943332</v>
      </c>
    </row>
    <row r="914" spans="1:20" x14ac:dyDescent="0.25">
      <c r="A914" s="5">
        <v>43679</v>
      </c>
      <c r="B914">
        <v>7.2300000000000003E-3</v>
      </c>
      <c r="C914">
        <v>7.28E-3</v>
      </c>
      <c r="D914">
        <v>6.8199999999999997E-3</v>
      </c>
      <c r="E914">
        <v>6.9699999999999996E-3</v>
      </c>
      <c r="F914">
        <v>27270938.300000001</v>
      </c>
      <c r="G914">
        <v>0</v>
      </c>
      <c r="L914" t="s">
        <v>7</v>
      </c>
      <c r="M914" t="s">
        <v>7</v>
      </c>
      <c r="N914" t="s">
        <v>7</v>
      </c>
      <c r="P914">
        <f t="shared" si="1014"/>
        <v>-0.3478260869565224</v>
      </c>
      <c r="Q914">
        <f t="shared" si="1015"/>
        <v>-9485543.7565217577</v>
      </c>
      <c r="R914">
        <f t="shared" si="1016"/>
        <v>-1183531578.3894551</v>
      </c>
      <c r="S914">
        <f t="shared" si="1017"/>
        <v>-11835.31578389455</v>
      </c>
      <c r="T914">
        <f t="shared" si="1018"/>
        <v>-11.835315783894551</v>
      </c>
    </row>
    <row r="915" spans="1:20" x14ac:dyDescent="0.25">
      <c r="A915" s="5">
        <v>43678</v>
      </c>
      <c r="B915">
        <v>7.6800000000000002E-3</v>
      </c>
      <c r="C915">
        <v>7.7299999999999999E-3</v>
      </c>
      <c r="D915">
        <v>7.0499999999999998E-3</v>
      </c>
      <c r="E915">
        <v>7.2199999999999999E-3</v>
      </c>
      <c r="F915">
        <v>42592107.299999997</v>
      </c>
      <c r="G915">
        <v>0</v>
      </c>
      <c r="L915" t="s">
        <v>7</v>
      </c>
      <c r="M915" t="s">
        <v>8</v>
      </c>
      <c r="N915" t="s">
        <v>7</v>
      </c>
      <c r="P915">
        <f t="shared" si="1014"/>
        <v>-0.5</v>
      </c>
      <c r="Q915">
        <f t="shared" si="1015"/>
        <v>-21296053.649999999</v>
      </c>
      <c r="R915">
        <f t="shared" si="1016"/>
        <v>-1174046034.6329334</v>
      </c>
      <c r="S915">
        <f t="shared" si="1017"/>
        <v>-11740.460346329333</v>
      </c>
      <c r="T915">
        <f t="shared" si="1018"/>
        <v>-11.740460346329334</v>
      </c>
    </row>
    <row r="916" spans="1:20" x14ac:dyDescent="0.25">
      <c r="A916" s="5">
        <v>43677</v>
      </c>
      <c r="B916">
        <v>7.2700000000000004E-3</v>
      </c>
      <c r="C916">
        <v>7.6800000000000002E-3</v>
      </c>
      <c r="D916">
        <v>7.1900000000000002E-3</v>
      </c>
      <c r="E916">
        <v>7.6800000000000002E-3</v>
      </c>
      <c r="F916">
        <v>17671144.300000001</v>
      </c>
      <c r="G916">
        <v>0</v>
      </c>
      <c r="L916" t="s">
        <v>8</v>
      </c>
      <c r="M916" t="s">
        <v>8</v>
      </c>
      <c r="N916" t="s">
        <v>7</v>
      </c>
      <c r="P916">
        <f t="shared" si="1014"/>
        <v>1</v>
      </c>
      <c r="Q916">
        <f t="shared" si="1015"/>
        <v>17671144.300000001</v>
      </c>
      <c r="R916">
        <f t="shared" si="1016"/>
        <v>-1152749980.9829333</v>
      </c>
      <c r="S916">
        <f t="shared" si="1017"/>
        <v>-11527.499809829333</v>
      </c>
      <c r="T916">
        <f t="shared" si="1018"/>
        <v>-11.527499809829333</v>
      </c>
    </row>
    <row r="917" spans="1:20" x14ac:dyDescent="0.25">
      <c r="A917" s="5">
        <v>43676</v>
      </c>
      <c r="B917">
        <v>7.43E-3</v>
      </c>
      <c r="C917">
        <v>7.5500000000000003E-3</v>
      </c>
      <c r="D917">
        <v>7.0899999999999999E-3</v>
      </c>
      <c r="E917">
        <v>7.28E-3</v>
      </c>
      <c r="F917">
        <v>46630357.200000003</v>
      </c>
      <c r="G917">
        <v>0</v>
      </c>
      <c r="L917" t="s">
        <v>7</v>
      </c>
      <c r="M917" t="s">
        <v>8</v>
      </c>
      <c r="N917" t="s">
        <v>7</v>
      </c>
      <c r="P917">
        <f t="shared" si="1014"/>
        <v>-0.1739130434782612</v>
      </c>
      <c r="Q917">
        <f t="shared" si="1015"/>
        <v>-8109627.339130451</v>
      </c>
      <c r="R917">
        <f t="shared" si="1016"/>
        <v>-1170421125.2829332</v>
      </c>
      <c r="S917">
        <f t="shared" si="1017"/>
        <v>-11704.211252829333</v>
      </c>
      <c r="T917">
        <f t="shared" si="1018"/>
        <v>-11.704211252829333</v>
      </c>
    </row>
    <row r="918" spans="1:20" x14ac:dyDescent="0.25">
      <c r="A918" s="5">
        <v>43675</v>
      </c>
      <c r="B918">
        <v>7.2399999999999999E-3</v>
      </c>
      <c r="C918">
        <v>7.7400000000000004E-3</v>
      </c>
      <c r="D918">
        <v>7.2399999999999999E-3</v>
      </c>
      <c r="E918">
        <v>7.43E-3</v>
      </c>
      <c r="F918">
        <v>44181533.299999997</v>
      </c>
      <c r="G918">
        <v>0</v>
      </c>
      <c r="L918" t="s">
        <v>8</v>
      </c>
      <c r="M918" t="s">
        <v>8</v>
      </c>
      <c r="N918" t="s">
        <v>7</v>
      </c>
      <c r="P918">
        <f t="shared" si="1014"/>
        <v>-0.24000000000000041</v>
      </c>
      <c r="Q918">
        <f t="shared" si="1015"/>
        <v>-10603567.992000017</v>
      </c>
      <c r="R918">
        <f t="shared" si="1016"/>
        <v>-1162311497.9438028</v>
      </c>
      <c r="S918">
        <f t="shared" si="1017"/>
        <v>-11623.114979438029</v>
      </c>
      <c r="T918">
        <f t="shared" si="1018"/>
        <v>-11.623114979438029</v>
      </c>
    </row>
    <row r="919" spans="1:20" x14ac:dyDescent="0.25">
      <c r="A919" s="5">
        <v>43674</v>
      </c>
      <c r="B919">
        <v>7.1599999999999997E-3</v>
      </c>
      <c r="C919">
        <v>7.3699999999999998E-3</v>
      </c>
      <c r="D919">
        <v>7.0200000000000002E-3</v>
      </c>
      <c r="E919">
        <v>7.2500000000000004E-3</v>
      </c>
      <c r="F919">
        <v>24247312.100000001</v>
      </c>
      <c r="G919">
        <v>0</v>
      </c>
      <c r="L919" t="s">
        <v>7</v>
      </c>
      <c r="M919" t="s">
        <v>8</v>
      </c>
      <c r="N919" t="s">
        <v>7</v>
      </c>
      <c r="P919">
        <f t="shared" si="1014"/>
        <v>0.31428571428571667</v>
      </c>
      <c r="Q919">
        <f t="shared" si="1015"/>
        <v>7620583.8028572006</v>
      </c>
      <c r="R919">
        <f t="shared" si="1016"/>
        <v>-1151707929.9518027</v>
      </c>
      <c r="S919">
        <f t="shared" si="1017"/>
        <v>-11517.079299518027</v>
      </c>
      <c r="T919">
        <f t="shared" si="1018"/>
        <v>-11.517079299518027</v>
      </c>
    </row>
    <row r="920" spans="1:20" x14ac:dyDescent="0.25">
      <c r="A920" s="5">
        <v>43673</v>
      </c>
      <c r="B920">
        <v>7.7000000000000002E-3</v>
      </c>
      <c r="C920">
        <v>7.8499999999999993E-3</v>
      </c>
      <c r="D920">
        <v>6.9699999999999996E-3</v>
      </c>
      <c r="E920">
        <v>7.1700000000000002E-3</v>
      </c>
      <c r="F920">
        <v>25334918.300000001</v>
      </c>
      <c r="G920">
        <v>0</v>
      </c>
      <c r="L920" t="s">
        <v>7</v>
      </c>
      <c r="M920" t="s">
        <v>8</v>
      </c>
      <c r="N920" t="s">
        <v>7</v>
      </c>
      <c r="P920">
        <f t="shared" si="1014"/>
        <v>-0.54545454545454408</v>
      </c>
      <c r="Q920">
        <f t="shared" si="1015"/>
        <v>-13819046.34545451</v>
      </c>
      <c r="R920">
        <f t="shared" si="1016"/>
        <v>-1159328513.7546599</v>
      </c>
      <c r="S920">
        <f t="shared" si="1017"/>
        <v>-11593.2851375466</v>
      </c>
      <c r="T920">
        <f t="shared" si="1018"/>
        <v>-11.5932851375466</v>
      </c>
    </row>
    <row r="921" spans="1:20" x14ac:dyDescent="0.25">
      <c r="A921" s="5">
        <v>43672</v>
      </c>
      <c r="B921">
        <v>7.5100000000000002E-3</v>
      </c>
      <c r="C921">
        <v>7.8300000000000002E-3</v>
      </c>
      <c r="D921">
        <v>7.26E-3</v>
      </c>
      <c r="E921">
        <v>7.7200000000000003E-3</v>
      </c>
      <c r="F921">
        <v>32304712.600000001</v>
      </c>
      <c r="G921">
        <v>0</v>
      </c>
      <c r="L921" t="s">
        <v>8</v>
      </c>
      <c r="M921" t="s">
        <v>8</v>
      </c>
      <c r="N921" t="s">
        <v>7</v>
      </c>
      <c r="P921">
        <f t="shared" si="1014"/>
        <v>0.61403508771929893</v>
      </c>
      <c r="Q921">
        <f t="shared" si="1015"/>
        <v>19836227.035087742</v>
      </c>
      <c r="R921">
        <f t="shared" si="1016"/>
        <v>-1145509467.4092054</v>
      </c>
      <c r="S921">
        <f t="shared" si="1017"/>
        <v>-11455.094674092054</v>
      </c>
      <c r="T921">
        <f t="shared" si="1018"/>
        <v>-11.455094674092054</v>
      </c>
    </row>
    <row r="922" spans="1:20" x14ac:dyDescent="0.25">
      <c r="A922" s="5">
        <v>43671</v>
      </c>
      <c r="B922">
        <v>7.3299999999999997E-3</v>
      </c>
      <c r="C922">
        <v>7.6699999999999997E-3</v>
      </c>
      <c r="D922">
        <v>7.2899999999999996E-3</v>
      </c>
      <c r="E922">
        <v>7.4799999999999997E-3</v>
      </c>
      <c r="F922">
        <v>21614341.300000001</v>
      </c>
      <c r="G922">
        <v>0</v>
      </c>
      <c r="L922" t="s">
        <v>8</v>
      </c>
      <c r="M922" t="s">
        <v>8</v>
      </c>
      <c r="N922" t="s">
        <v>7</v>
      </c>
      <c r="P922">
        <f t="shared" si="1014"/>
        <v>0</v>
      </c>
      <c r="Q922">
        <f t="shared" si="1015"/>
        <v>0</v>
      </c>
      <c r="R922">
        <f t="shared" si="1016"/>
        <v>-1165345694.4442933</v>
      </c>
      <c r="S922">
        <f t="shared" si="1017"/>
        <v>-11653.456944442933</v>
      </c>
      <c r="T922">
        <f t="shared" si="1018"/>
        <v>-11.653456944442933</v>
      </c>
    </row>
    <row r="923" spans="1:20" x14ac:dyDescent="0.25">
      <c r="A923" s="5">
        <v>43670</v>
      </c>
      <c r="B923">
        <v>7.5300000000000002E-3</v>
      </c>
      <c r="C923">
        <v>7.5399999999999998E-3</v>
      </c>
      <c r="D923">
        <v>7.0600000000000003E-3</v>
      </c>
      <c r="E923">
        <v>7.3299999999999997E-3</v>
      </c>
      <c r="F923">
        <v>23155245.199999999</v>
      </c>
      <c r="G923">
        <v>0</v>
      </c>
      <c r="L923" t="s">
        <v>7</v>
      </c>
      <c r="M923" t="s">
        <v>8</v>
      </c>
      <c r="N923" t="s">
        <v>7</v>
      </c>
      <c r="P923">
        <f t="shared" si="1014"/>
        <v>0.12499999999999864</v>
      </c>
      <c r="Q923">
        <f t="shared" si="1015"/>
        <v>2894405.6499999682</v>
      </c>
      <c r="R923">
        <f t="shared" si="1016"/>
        <v>-1165345694.4442933</v>
      </c>
      <c r="S923">
        <f t="shared" si="1017"/>
        <v>-11653.456944442933</v>
      </c>
      <c r="T923">
        <f t="shared" si="1018"/>
        <v>-11.653456944442933</v>
      </c>
    </row>
    <row r="924" spans="1:20" x14ac:dyDescent="0.25">
      <c r="A924" s="5">
        <v>43669</v>
      </c>
      <c r="B924">
        <v>7.4999999999999997E-3</v>
      </c>
      <c r="C924">
        <v>8.0999999999999996E-3</v>
      </c>
      <c r="D924">
        <v>7.43E-3</v>
      </c>
      <c r="E924">
        <v>7.5700000000000003E-3</v>
      </c>
      <c r="F924">
        <v>91694664.599999994</v>
      </c>
      <c r="G924">
        <v>0</v>
      </c>
      <c r="L924" t="s">
        <v>8</v>
      </c>
      <c r="M924" t="s">
        <v>8</v>
      </c>
      <c r="N924" t="s">
        <v>7</v>
      </c>
      <c r="P924">
        <f t="shared" si="1014"/>
        <v>-0.58208955223880465</v>
      </c>
      <c r="Q924">
        <f t="shared" si="1015"/>
        <v>-53374506.259701371</v>
      </c>
      <c r="R924">
        <f t="shared" si="1016"/>
        <v>-1168240100.0942931</v>
      </c>
      <c r="S924">
        <f t="shared" si="1017"/>
        <v>-11682.401000942931</v>
      </c>
      <c r="T924">
        <f t="shared" si="1018"/>
        <v>-11.682401000942932</v>
      </c>
    </row>
    <row r="925" spans="1:20" x14ac:dyDescent="0.25">
      <c r="A925" s="5">
        <v>43668</v>
      </c>
      <c r="B925">
        <v>7.1000000000000004E-3</v>
      </c>
      <c r="C925">
        <v>7.8499999999999993E-3</v>
      </c>
      <c r="D925">
        <v>7.1000000000000004E-3</v>
      </c>
      <c r="E925">
        <v>7.4999999999999997E-3</v>
      </c>
      <c r="F925">
        <v>63190319.899999999</v>
      </c>
      <c r="G925">
        <v>0</v>
      </c>
      <c r="L925" t="s">
        <v>8</v>
      </c>
      <c r="M925" t="s">
        <v>8</v>
      </c>
      <c r="N925" t="s">
        <v>7</v>
      </c>
      <c r="P925">
        <f t="shared" si="1014"/>
        <v>6.666666666666636E-2</v>
      </c>
      <c r="Q925">
        <f t="shared" si="1015"/>
        <v>4212687.9933333136</v>
      </c>
      <c r="R925">
        <f t="shared" si="1016"/>
        <v>-1114865593.8345919</v>
      </c>
      <c r="S925">
        <f t="shared" si="1017"/>
        <v>-11148.655938345919</v>
      </c>
      <c r="T925">
        <f t="shared" si="1018"/>
        <v>-11.148655938345918</v>
      </c>
    </row>
    <row r="926" spans="1:20" x14ac:dyDescent="0.25">
      <c r="A926" s="5">
        <v>43667</v>
      </c>
      <c r="B926">
        <v>7.2500000000000004E-3</v>
      </c>
      <c r="C926">
        <v>7.4099999999999999E-3</v>
      </c>
      <c r="D926">
        <v>6.8999999999999999E-3</v>
      </c>
      <c r="E926">
        <v>7.0699999999999999E-3</v>
      </c>
      <c r="F926">
        <v>23103634.800000001</v>
      </c>
      <c r="G926">
        <v>0</v>
      </c>
      <c r="L926" t="s">
        <v>7</v>
      </c>
      <c r="M926" t="s">
        <v>8</v>
      </c>
      <c r="N926" t="s">
        <v>7</v>
      </c>
      <c r="P926">
        <f t="shared" si="1014"/>
        <v>-0.33333333333333331</v>
      </c>
      <c r="Q926">
        <f t="shared" si="1015"/>
        <v>-7701211.5999999996</v>
      </c>
      <c r="R926">
        <f t="shared" si="1016"/>
        <v>-1119078281.8279252</v>
      </c>
      <c r="S926">
        <f t="shared" si="1017"/>
        <v>-11190.782818279253</v>
      </c>
      <c r="T926">
        <f t="shared" si="1018"/>
        <v>-11.190782818279253</v>
      </c>
    </row>
    <row r="927" spans="1:20" x14ac:dyDescent="0.25">
      <c r="A927" s="5">
        <v>43666</v>
      </c>
      <c r="B927">
        <v>7.2100000000000003E-3</v>
      </c>
      <c r="C927">
        <v>7.4400000000000004E-3</v>
      </c>
      <c r="D927">
        <v>7.0200000000000002E-3</v>
      </c>
      <c r="E927">
        <v>7.2700000000000004E-3</v>
      </c>
      <c r="F927">
        <v>44904134.899999999</v>
      </c>
      <c r="G927">
        <v>0</v>
      </c>
      <c r="L927" t="s">
        <v>8</v>
      </c>
      <c r="M927" t="s">
        <v>8</v>
      </c>
      <c r="N927" t="s">
        <v>7</v>
      </c>
      <c r="P927">
        <f t="shared" si="1014"/>
        <v>0.19047619047619088</v>
      </c>
      <c r="Q927">
        <f t="shared" si="1015"/>
        <v>8553168.5523809697</v>
      </c>
      <c r="R927">
        <f t="shared" si="1016"/>
        <v>-1111377070.2279253</v>
      </c>
      <c r="S927">
        <f t="shared" si="1017"/>
        <v>-11113.770702279253</v>
      </c>
      <c r="T927">
        <f t="shared" si="1018"/>
        <v>-11.113770702279252</v>
      </c>
    </row>
    <row r="928" spans="1:20" x14ac:dyDescent="0.25">
      <c r="A928" s="5">
        <v>43665</v>
      </c>
      <c r="B928">
        <v>7.1500000000000001E-3</v>
      </c>
      <c r="C928">
        <v>7.2500000000000004E-3</v>
      </c>
      <c r="D928">
        <v>6.8700000000000002E-3</v>
      </c>
      <c r="E928">
        <v>7.1900000000000002E-3</v>
      </c>
      <c r="F928">
        <v>30676547</v>
      </c>
      <c r="G928">
        <v>0</v>
      </c>
      <c r="L928" t="s">
        <v>8</v>
      </c>
      <c r="M928" t="s">
        <v>8</v>
      </c>
      <c r="N928" t="s">
        <v>7</v>
      </c>
      <c r="P928">
        <f t="shared" si="1014"/>
        <v>0.68421052631578871</v>
      </c>
      <c r="Q928">
        <f t="shared" si="1015"/>
        <v>20989216.368421029</v>
      </c>
      <c r="R928">
        <f t="shared" si="1016"/>
        <v>-1119930238.7803063</v>
      </c>
      <c r="S928">
        <f t="shared" si="1017"/>
        <v>-11199.302387803064</v>
      </c>
      <c r="T928">
        <f t="shared" si="1018"/>
        <v>-11.199302387803064</v>
      </c>
    </row>
    <row r="929" spans="1:20" x14ac:dyDescent="0.25">
      <c r="A929" s="5">
        <v>43664</v>
      </c>
      <c r="B929">
        <v>6.8799999999999998E-3</v>
      </c>
      <c r="C929">
        <v>7.1700000000000002E-3</v>
      </c>
      <c r="D929">
        <v>6.5799999999999999E-3</v>
      </c>
      <c r="E929">
        <v>7.11E-3</v>
      </c>
      <c r="F929">
        <v>52542637.600000001</v>
      </c>
      <c r="G929">
        <v>0</v>
      </c>
      <c r="L929" t="s">
        <v>7</v>
      </c>
      <c r="M929" t="s">
        <v>7</v>
      </c>
      <c r="N929" t="s">
        <v>7</v>
      </c>
      <c r="P929">
        <f t="shared" si="1014"/>
        <v>0.79661016949152497</v>
      </c>
      <c r="Q929">
        <f t="shared" si="1015"/>
        <v>41855999.444067776</v>
      </c>
      <c r="R929">
        <f t="shared" si="1016"/>
        <v>-1140919455.1487274</v>
      </c>
      <c r="S929">
        <f t="shared" si="1017"/>
        <v>-11409.194551487275</v>
      </c>
      <c r="T929">
        <f t="shared" si="1018"/>
        <v>-11.409194551487275</v>
      </c>
    </row>
    <row r="930" spans="1:20" x14ac:dyDescent="0.25">
      <c r="A930" s="5">
        <v>43663</v>
      </c>
      <c r="B930">
        <v>6.1199999999999996E-3</v>
      </c>
      <c r="C930">
        <v>7.1000000000000004E-3</v>
      </c>
      <c r="D930">
        <v>6.0600000000000003E-3</v>
      </c>
      <c r="E930">
        <v>6.8599999999999998E-3</v>
      </c>
      <c r="F930">
        <v>59234252.399999999</v>
      </c>
      <c r="G930">
        <v>0</v>
      </c>
      <c r="L930" t="s">
        <v>8</v>
      </c>
      <c r="M930" t="s">
        <v>7</v>
      </c>
      <c r="N930" t="s">
        <v>7</v>
      </c>
      <c r="P930">
        <f t="shared" si="1014"/>
        <v>0.53846153846153733</v>
      </c>
      <c r="Q930">
        <f t="shared" si="1015"/>
        <v>31895366.67692301</v>
      </c>
      <c r="R930">
        <f t="shared" si="1016"/>
        <v>-1182775454.5927951</v>
      </c>
      <c r="S930">
        <f t="shared" si="1017"/>
        <v>-11827.754545927952</v>
      </c>
      <c r="T930">
        <f t="shared" si="1018"/>
        <v>-11.827754545927952</v>
      </c>
    </row>
    <row r="931" spans="1:20" x14ac:dyDescent="0.25">
      <c r="A931" s="5">
        <v>43662</v>
      </c>
      <c r="B931">
        <v>7.3099999999999997E-3</v>
      </c>
      <c r="C931">
        <v>7.4200000000000004E-3</v>
      </c>
      <c r="D931">
        <v>6.0200000000000002E-3</v>
      </c>
      <c r="E931">
        <v>6.1000000000000004E-3</v>
      </c>
      <c r="F931">
        <v>53561236.700000003</v>
      </c>
      <c r="G931">
        <v>0</v>
      </c>
      <c r="L931" t="s">
        <v>7</v>
      </c>
      <c r="M931" t="s">
        <v>7</v>
      </c>
      <c r="N931" t="s">
        <v>7</v>
      </c>
      <c r="P931">
        <f t="shared" si="1014"/>
        <v>-0.88571428571428545</v>
      </c>
      <c r="Q931">
        <f t="shared" si="1015"/>
        <v>-47439952.505714275</v>
      </c>
      <c r="R931">
        <f t="shared" si="1016"/>
        <v>-1214670821.2697182</v>
      </c>
      <c r="S931">
        <f t="shared" si="1017"/>
        <v>-12146.708212697182</v>
      </c>
      <c r="T931">
        <f t="shared" si="1018"/>
        <v>-12.146708212697181</v>
      </c>
    </row>
    <row r="932" spans="1:20" x14ac:dyDescent="0.25">
      <c r="A932" s="5">
        <v>43661</v>
      </c>
      <c r="B932">
        <v>7.6499999999999997E-3</v>
      </c>
      <c r="C932">
        <v>7.7000000000000002E-3</v>
      </c>
      <c r="D932">
        <v>6.6699999999999997E-3</v>
      </c>
      <c r="E932">
        <v>7.3000000000000001E-3</v>
      </c>
      <c r="F932">
        <v>82284171.400000006</v>
      </c>
      <c r="G932">
        <v>0</v>
      </c>
      <c r="L932" t="s">
        <v>7</v>
      </c>
      <c r="M932" t="s">
        <v>7</v>
      </c>
      <c r="N932" t="s">
        <v>7</v>
      </c>
      <c r="P932">
        <f t="shared" si="1014"/>
        <v>0.22330097087378645</v>
      </c>
      <c r="Q932">
        <f t="shared" si="1015"/>
        <v>18374135.361165054</v>
      </c>
      <c r="R932">
        <f t="shared" si="1016"/>
        <v>-1167230868.764004</v>
      </c>
      <c r="S932">
        <f t="shared" si="1017"/>
        <v>-11672.308687640039</v>
      </c>
      <c r="T932">
        <f t="shared" si="1018"/>
        <v>-11.67230868764004</v>
      </c>
    </row>
    <row r="933" spans="1:20" x14ac:dyDescent="0.25">
      <c r="A933" s="5">
        <v>43660</v>
      </c>
      <c r="B933">
        <v>8.6300000000000005E-3</v>
      </c>
      <c r="C933">
        <v>8.7799999999999996E-3</v>
      </c>
      <c r="D933">
        <v>7.45E-3</v>
      </c>
      <c r="E933">
        <v>7.6899999999999998E-3</v>
      </c>
      <c r="F933">
        <v>51577488</v>
      </c>
      <c r="G933">
        <v>0</v>
      </c>
      <c r="L933" t="s">
        <v>7</v>
      </c>
      <c r="M933" t="s">
        <v>7</v>
      </c>
      <c r="N933" t="s">
        <v>7</v>
      </c>
      <c r="P933">
        <f t="shared" si="1014"/>
        <v>-0.6390977443609025</v>
      </c>
      <c r="Q933">
        <f t="shared" si="1015"/>
        <v>-32963056.240601517</v>
      </c>
      <c r="R933">
        <f t="shared" si="1016"/>
        <v>-1185605004.125169</v>
      </c>
      <c r="S933">
        <f t="shared" si="1017"/>
        <v>-11856.05004125169</v>
      </c>
      <c r="T933">
        <f t="shared" si="1018"/>
        <v>-11.85605004125169</v>
      </c>
    </row>
    <row r="934" spans="1:20" x14ac:dyDescent="0.25">
      <c r="A934" s="5">
        <v>43659</v>
      </c>
      <c r="B934">
        <v>8.2500000000000004E-3</v>
      </c>
      <c r="C934">
        <v>9.0100000000000006E-3</v>
      </c>
      <c r="D934">
        <v>8.1700000000000002E-3</v>
      </c>
      <c r="E934">
        <v>8.6300000000000005E-3</v>
      </c>
      <c r="F934">
        <v>92533614.400000006</v>
      </c>
      <c r="G934">
        <v>0</v>
      </c>
      <c r="L934" t="s">
        <v>8</v>
      </c>
      <c r="M934" t="s">
        <v>8</v>
      </c>
      <c r="N934" t="s">
        <v>7</v>
      </c>
      <c r="P934">
        <f t="shared" si="1014"/>
        <v>9.5238095238095441E-2</v>
      </c>
      <c r="Q934">
        <f t="shared" si="1015"/>
        <v>8812725.1809524</v>
      </c>
      <c r="R934">
        <f t="shared" si="1016"/>
        <v>-1152641947.8845675</v>
      </c>
      <c r="S934">
        <f t="shared" si="1017"/>
        <v>-11526.419478845675</v>
      </c>
      <c r="T934">
        <f t="shared" si="1018"/>
        <v>-11.526419478845675</v>
      </c>
    </row>
    <row r="935" spans="1:20" x14ac:dyDescent="0.25">
      <c r="A935" s="5">
        <v>43658</v>
      </c>
      <c r="B935">
        <v>7.9600000000000001E-3</v>
      </c>
      <c r="C935">
        <v>8.4100000000000008E-3</v>
      </c>
      <c r="D935">
        <v>7.7400000000000004E-3</v>
      </c>
      <c r="E935">
        <v>8.2500000000000004E-3</v>
      </c>
      <c r="F935">
        <v>45291323.600000001</v>
      </c>
      <c r="G935">
        <v>0</v>
      </c>
      <c r="L935" t="s">
        <v>8</v>
      </c>
      <c r="M935" t="s">
        <v>7</v>
      </c>
      <c r="N935" t="s">
        <v>7</v>
      </c>
      <c r="P935">
        <f t="shared" si="1014"/>
        <v>0.5223880597014916</v>
      </c>
      <c r="Q935">
        <f t="shared" si="1015"/>
        <v>23659646.656716377</v>
      </c>
      <c r="R935">
        <f t="shared" si="1016"/>
        <v>-1161454673.0655198</v>
      </c>
      <c r="S935">
        <f t="shared" si="1017"/>
        <v>-11614.546730655198</v>
      </c>
      <c r="T935">
        <f t="shared" si="1018"/>
        <v>-11.614546730655197</v>
      </c>
    </row>
    <row r="936" spans="1:20" x14ac:dyDescent="0.25">
      <c r="A936" s="5">
        <v>43657</v>
      </c>
      <c r="B936">
        <v>8.8800000000000007E-3</v>
      </c>
      <c r="C936">
        <v>9.0600000000000003E-3</v>
      </c>
      <c r="D936">
        <v>7.5399999999999998E-3</v>
      </c>
      <c r="E936">
        <v>7.9299999999999995E-3</v>
      </c>
      <c r="F936">
        <v>51883584.5</v>
      </c>
      <c r="G936">
        <v>0</v>
      </c>
      <c r="L936" t="s">
        <v>7</v>
      </c>
      <c r="M936" t="s">
        <v>7</v>
      </c>
      <c r="N936" t="s">
        <v>7</v>
      </c>
      <c r="P936">
        <f t="shared" si="1014"/>
        <v>-0.48684210526315841</v>
      </c>
      <c r="Q936">
        <f t="shared" si="1015"/>
        <v>-25259113.506578974</v>
      </c>
      <c r="R936">
        <f t="shared" si="1016"/>
        <v>-1185114319.7222362</v>
      </c>
      <c r="S936">
        <f t="shared" si="1017"/>
        <v>-11851.143197222362</v>
      </c>
      <c r="T936">
        <f t="shared" si="1018"/>
        <v>-11.851143197222362</v>
      </c>
    </row>
    <row r="937" spans="1:20" x14ac:dyDescent="0.25">
      <c r="A937" s="5">
        <v>43656</v>
      </c>
      <c r="B937">
        <v>9.3900000000000008E-3</v>
      </c>
      <c r="C937">
        <v>9.75E-3</v>
      </c>
      <c r="D937">
        <v>8.6300000000000005E-3</v>
      </c>
      <c r="E937">
        <v>8.8900000000000003E-3</v>
      </c>
      <c r="F937">
        <v>76041338.400000006</v>
      </c>
      <c r="G937">
        <v>0</v>
      </c>
      <c r="L937" t="s">
        <v>8</v>
      </c>
      <c r="M937" t="s">
        <v>7</v>
      </c>
      <c r="N937" t="s">
        <v>8</v>
      </c>
      <c r="P937">
        <f t="shared" si="1014"/>
        <v>-0.53571428571428581</v>
      </c>
      <c r="Q937">
        <f t="shared" si="1015"/>
        <v>-40736431.285714298</v>
      </c>
      <c r="R937">
        <f t="shared" si="1016"/>
        <v>-1159855206.2156572</v>
      </c>
      <c r="S937">
        <f t="shared" si="1017"/>
        <v>-11598.552062156572</v>
      </c>
      <c r="T937">
        <f t="shared" si="1018"/>
        <v>-11.598552062156571</v>
      </c>
    </row>
    <row r="938" spans="1:20" x14ac:dyDescent="0.25">
      <c r="A938" s="5">
        <v>43655</v>
      </c>
      <c r="B938">
        <v>9.1400000000000006E-3</v>
      </c>
      <c r="C938">
        <v>9.4999999999999998E-3</v>
      </c>
      <c r="D938">
        <v>8.8999999999999999E-3</v>
      </c>
      <c r="E938">
        <v>9.3699999999999999E-3</v>
      </c>
      <c r="F938">
        <v>44052217.799999997</v>
      </c>
      <c r="G938">
        <v>0</v>
      </c>
      <c r="L938" t="s">
        <v>8</v>
      </c>
      <c r="M938" t="s">
        <v>7</v>
      </c>
      <c r="N938" t="s">
        <v>8</v>
      </c>
      <c r="P938">
        <f t="shared" si="1014"/>
        <v>0.56666666666666687</v>
      </c>
      <c r="Q938">
        <f t="shared" si="1015"/>
        <v>24962923.420000009</v>
      </c>
      <c r="R938">
        <f t="shared" si="1016"/>
        <v>-1119118774.9299428</v>
      </c>
      <c r="S938">
        <f t="shared" si="1017"/>
        <v>-11191.187749299428</v>
      </c>
      <c r="T938">
        <f t="shared" si="1018"/>
        <v>-11.191187749299429</v>
      </c>
    </row>
    <row r="939" spans="1:20" x14ac:dyDescent="0.25">
      <c r="A939" s="5">
        <v>43654</v>
      </c>
      <c r="B939">
        <v>9.7699999999999992E-3</v>
      </c>
      <c r="C939">
        <v>1.0019999999999999E-2</v>
      </c>
      <c r="D939">
        <v>8.7100000000000007E-3</v>
      </c>
      <c r="E939">
        <v>9.1299999999999992E-3</v>
      </c>
      <c r="F939">
        <v>102232522.7</v>
      </c>
      <c r="G939">
        <v>0</v>
      </c>
      <c r="L939" t="s">
        <v>7</v>
      </c>
      <c r="M939" t="s">
        <v>7</v>
      </c>
      <c r="N939" t="s">
        <v>8</v>
      </c>
      <c r="P939">
        <f t="shared" si="1014"/>
        <v>-0.35877862595420013</v>
      </c>
      <c r="Q939">
        <f t="shared" si="1015"/>
        <v>-36678844.022137575</v>
      </c>
      <c r="R939">
        <f t="shared" si="1016"/>
        <v>-1144081698.3499429</v>
      </c>
      <c r="S939">
        <f t="shared" si="1017"/>
        <v>-11440.81698349943</v>
      </c>
      <c r="T939">
        <f t="shared" si="1018"/>
        <v>-11.440816983499429</v>
      </c>
    </row>
    <row r="940" spans="1:20" x14ac:dyDescent="0.25">
      <c r="A940" s="5">
        <v>43653</v>
      </c>
      <c r="B940">
        <v>9.7000000000000003E-3</v>
      </c>
      <c r="C940">
        <v>1.0699999999999999E-2</v>
      </c>
      <c r="D940">
        <v>9.6100000000000005E-3</v>
      </c>
      <c r="E940">
        <v>9.75E-3</v>
      </c>
      <c r="F940">
        <v>123314491.59999999</v>
      </c>
      <c r="G940">
        <v>0</v>
      </c>
      <c r="L940" t="s">
        <v>7</v>
      </c>
      <c r="M940" t="s">
        <v>7</v>
      </c>
      <c r="N940" t="s">
        <v>8</v>
      </c>
      <c r="P940">
        <f t="shared" si="1014"/>
        <v>-0.74311926605504652</v>
      </c>
      <c r="Q940">
        <f t="shared" si="1015"/>
        <v>-91637374.491743192</v>
      </c>
      <c r="R940">
        <f t="shared" si="1016"/>
        <v>-1107402854.3278053</v>
      </c>
      <c r="S940">
        <f t="shared" si="1017"/>
        <v>-11074.028543278053</v>
      </c>
      <c r="T940">
        <f t="shared" si="1018"/>
        <v>-11.074028543278052</v>
      </c>
    </row>
    <row r="941" spans="1:20" x14ac:dyDescent="0.25">
      <c r="A941" s="5">
        <v>43652</v>
      </c>
      <c r="B941">
        <v>8.6599999999999993E-3</v>
      </c>
      <c r="C941">
        <v>1.157E-2</v>
      </c>
      <c r="D941">
        <v>8.6300000000000005E-3</v>
      </c>
      <c r="E941">
        <v>9.7099999999999999E-3</v>
      </c>
      <c r="F941">
        <v>229808313.19999999</v>
      </c>
      <c r="G941">
        <v>0</v>
      </c>
      <c r="L941" t="s">
        <v>8</v>
      </c>
      <c r="M941" t="s">
        <v>8</v>
      </c>
      <c r="N941" t="s">
        <v>8</v>
      </c>
      <c r="P941">
        <f t="shared" si="1014"/>
        <v>-0.26530612244898</v>
      </c>
      <c r="Q941">
        <f t="shared" si="1015"/>
        <v>-60969552.481632747</v>
      </c>
      <c r="R941">
        <f t="shared" si="1016"/>
        <v>-1015765479.8360622</v>
      </c>
      <c r="S941">
        <f t="shared" si="1017"/>
        <v>-10157.654798360621</v>
      </c>
      <c r="T941">
        <f t="shared" si="1018"/>
        <v>-10.157654798360621</v>
      </c>
    </row>
    <row r="942" spans="1:20" x14ac:dyDescent="0.25">
      <c r="A942" s="5">
        <v>43651</v>
      </c>
      <c r="B942">
        <v>8.7200000000000003E-3</v>
      </c>
      <c r="C942">
        <v>8.8599999999999998E-3</v>
      </c>
      <c r="D942">
        <v>8.5299999999999994E-3</v>
      </c>
      <c r="E942">
        <v>8.6499999999999997E-3</v>
      </c>
      <c r="F942">
        <v>43961675.100000001</v>
      </c>
      <c r="G942">
        <v>0</v>
      </c>
      <c r="L942" t="s">
        <v>7</v>
      </c>
      <c r="M942" t="s">
        <v>7</v>
      </c>
      <c r="N942" t="s">
        <v>7</v>
      </c>
      <c r="P942">
        <f t="shared" si="1014"/>
        <v>-0.27272727272727176</v>
      </c>
      <c r="Q942">
        <f t="shared" si="1015"/>
        <v>-11989547.754545413</v>
      </c>
      <c r="R942">
        <f t="shared" si="1016"/>
        <v>-954795927.35442948</v>
      </c>
      <c r="S942">
        <f t="shared" si="1017"/>
        <v>-9547.9592735442948</v>
      </c>
      <c r="T942">
        <f t="shared" si="1018"/>
        <v>-9.5479592735442953</v>
      </c>
    </row>
    <row r="943" spans="1:20" x14ac:dyDescent="0.25">
      <c r="A943" s="5">
        <v>43650</v>
      </c>
      <c r="B943">
        <v>9.1199999999999996E-3</v>
      </c>
      <c r="C943">
        <v>9.2700000000000005E-3</v>
      </c>
      <c r="D943">
        <v>8.6599999999999993E-3</v>
      </c>
      <c r="E943">
        <v>8.7100000000000007E-3</v>
      </c>
      <c r="F943">
        <v>58409345.100000001</v>
      </c>
      <c r="G943">
        <v>0</v>
      </c>
      <c r="L943" t="s">
        <v>7</v>
      </c>
      <c r="M943" t="s">
        <v>7</v>
      </c>
      <c r="N943" t="s">
        <v>7</v>
      </c>
      <c r="P943">
        <f t="shared" si="1014"/>
        <v>-0.8360655737704874</v>
      </c>
      <c r="Q943">
        <f t="shared" si="1015"/>
        <v>-48834042.624589905</v>
      </c>
      <c r="R943">
        <f t="shared" si="1016"/>
        <v>-942806379.59988403</v>
      </c>
      <c r="S943">
        <f t="shared" si="1017"/>
        <v>-9428.0637959988399</v>
      </c>
      <c r="T943">
        <f t="shared" si="1018"/>
        <v>-9.42806379599884</v>
      </c>
    </row>
    <row r="944" spans="1:20" x14ac:dyDescent="0.25">
      <c r="A944" s="5">
        <v>43649</v>
      </c>
      <c r="B944">
        <v>9.2499999999999995E-3</v>
      </c>
      <c r="C944">
        <v>9.2999999999999992E-3</v>
      </c>
      <c r="D944">
        <v>8.7500000000000008E-3</v>
      </c>
      <c r="E944">
        <v>9.11E-3</v>
      </c>
      <c r="F944">
        <v>75132734.900000006</v>
      </c>
      <c r="G944">
        <v>0</v>
      </c>
      <c r="L944" t="s">
        <v>7</v>
      </c>
      <c r="M944" t="s">
        <v>7</v>
      </c>
      <c r="N944" t="s">
        <v>7</v>
      </c>
      <c r="P944">
        <f t="shared" si="1014"/>
        <v>0.30909090909091003</v>
      </c>
      <c r="Q944">
        <f t="shared" si="1015"/>
        <v>23222845.332727347</v>
      </c>
      <c r="R944">
        <f t="shared" si="1016"/>
        <v>-893972336.97529411</v>
      </c>
      <c r="S944">
        <f t="shared" si="1017"/>
        <v>-8939.7233697529409</v>
      </c>
      <c r="T944">
        <f t="shared" si="1018"/>
        <v>-8.9397233697529401</v>
      </c>
    </row>
    <row r="945" spans="1:20" x14ac:dyDescent="0.25">
      <c r="A945" s="5">
        <v>43648</v>
      </c>
      <c r="B945">
        <v>9.6200000000000001E-3</v>
      </c>
      <c r="C945">
        <v>9.6699999999999998E-3</v>
      </c>
      <c r="D945">
        <v>8.6499999999999997E-3</v>
      </c>
      <c r="E945">
        <v>9.2300000000000004E-3</v>
      </c>
      <c r="F945">
        <v>84288811.5</v>
      </c>
      <c r="G945">
        <v>0</v>
      </c>
      <c r="L945" t="s">
        <v>7</v>
      </c>
      <c r="M945" t="s">
        <v>7</v>
      </c>
      <c r="N945" t="s">
        <v>7</v>
      </c>
      <c r="P945">
        <f t="shared" si="1014"/>
        <v>0.13725490196078552</v>
      </c>
      <c r="Q945">
        <f t="shared" si="1015"/>
        <v>11569052.55882363</v>
      </c>
      <c r="R945">
        <f t="shared" si="1016"/>
        <v>-917195182.30802143</v>
      </c>
      <c r="S945">
        <f t="shared" si="1017"/>
        <v>-9171.951823080215</v>
      </c>
      <c r="T945">
        <f t="shared" si="1018"/>
        <v>-9.1719518230802155</v>
      </c>
    </row>
    <row r="946" spans="1:20" x14ac:dyDescent="0.25">
      <c r="A946" s="5">
        <v>43647</v>
      </c>
      <c r="B946">
        <v>9.1800000000000007E-3</v>
      </c>
      <c r="C946">
        <v>1.005E-2</v>
      </c>
      <c r="D946">
        <v>8.9200000000000008E-3</v>
      </c>
      <c r="E946">
        <v>9.58E-3</v>
      </c>
      <c r="F946">
        <v>112907419.59999999</v>
      </c>
      <c r="G946">
        <v>0</v>
      </c>
      <c r="L946" t="s">
        <v>7</v>
      </c>
      <c r="M946" t="s">
        <v>7</v>
      </c>
      <c r="N946" t="s">
        <v>7</v>
      </c>
      <c r="P946">
        <f t="shared" si="1014"/>
        <v>0.16814159292035341</v>
      </c>
      <c r="Q946">
        <f t="shared" si="1015"/>
        <v>18984433.384070732</v>
      </c>
      <c r="R946">
        <f t="shared" si="1016"/>
        <v>-928764234.86684501</v>
      </c>
      <c r="S946">
        <f t="shared" si="1017"/>
        <v>-9287.6423486684507</v>
      </c>
      <c r="T946">
        <f t="shared" si="1018"/>
        <v>-9.2876423486684505</v>
      </c>
    </row>
    <row r="947" spans="1:20" x14ac:dyDescent="0.25">
      <c r="A947" s="5">
        <v>43646</v>
      </c>
      <c r="B947">
        <v>9.2999999999999992E-3</v>
      </c>
      <c r="C947">
        <v>1.0800000000000001E-2</v>
      </c>
      <c r="D947">
        <v>8.5299999999999994E-3</v>
      </c>
      <c r="E947">
        <v>9.1800000000000007E-3</v>
      </c>
      <c r="F947">
        <v>333922138.10000002</v>
      </c>
      <c r="G947">
        <v>0</v>
      </c>
      <c r="L947" t="s">
        <v>8</v>
      </c>
      <c r="M947" t="s">
        <v>8</v>
      </c>
      <c r="N947" t="s">
        <v>7</v>
      </c>
      <c r="P947">
        <f t="shared" si="1014"/>
        <v>-0.42731277533039563</v>
      </c>
      <c r="Q947">
        <f t="shared" si="1015"/>
        <v>-142689195.57577065</v>
      </c>
      <c r="R947">
        <f t="shared" si="1016"/>
        <v>-947748668.25091577</v>
      </c>
      <c r="S947">
        <f t="shared" si="1017"/>
        <v>-9477.4866825091576</v>
      </c>
      <c r="T947">
        <f t="shared" si="1018"/>
        <v>-9.4774866825091575</v>
      </c>
    </row>
    <row r="948" spans="1:20" x14ac:dyDescent="0.25">
      <c r="A948" s="5">
        <v>43645</v>
      </c>
      <c r="B948">
        <v>9.0100000000000006E-3</v>
      </c>
      <c r="C948">
        <v>9.5499999999999995E-3</v>
      </c>
      <c r="D948">
        <v>8.6800000000000002E-3</v>
      </c>
      <c r="E948">
        <v>9.3100000000000006E-3</v>
      </c>
      <c r="F948">
        <v>96868328.299999997</v>
      </c>
      <c r="G948">
        <v>0</v>
      </c>
      <c r="L948" t="s">
        <v>8</v>
      </c>
      <c r="M948" t="s">
        <v>7</v>
      </c>
      <c r="N948" t="s">
        <v>7</v>
      </c>
      <c r="P948">
        <f t="shared" si="1014"/>
        <v>0.44827586206896758</v>
      </c>
      <c r="Q948">
        <f t="shared" si="1015"/>
        <v>43423733.375862271</v>
      </c>
      <c r="R948">
        <f t="shared" si="1016"/>
        <v>-805059472.67514515</v>
      </c>
      <c r="S948">
        <f t="shared" si="1017"/>
        <v>-8050.5947267514512</v>
      </c>
      <c r="T948">
        <f t="shared" si="1018"/>
        <v>-8.0505947267514504</v>
      </c>
    </row>
    <row r="949" spans="1:20" x14ac:dyDescent="0.25">
      <c r="A949" s="5">
        <v>43644</v>
      </c>
      <c r="B949">
        <v>8.8299999999999993E-3</v>
      </c>
      <c r="C949">
        <v>9.2399999999999999E-3</v>
      </c>
      <c r="D949">
        <v>8.5599999999999999E-3</v>
      </c>
      <c r="E949">
        <v>9.0100000000000006E-3</v>
      </c>
      <c r="F949">
        <v>79987551.099999994</v>
      </c>
      <c r="G949">
        <v>0</v>
      </c>
      <c r="L949" t="s">
        <v>8</v>
      </c>
      <c r="M949" t="s">
        <v>7</v>
      </c>
      <c r="N949" t="s">
        <v>7</v>
      </c>
      <c r="P949">
        <f t="shared" si="1014"/>
        <v>0.32352941176470801</v>
      </c>
      <c r="Q949">
        <f t="shared" si="1015"/>
        <v>25878325.355882522</v>
      </c>
      <c r="R949">
        <f t="shared" si="1016"/>
        <v>-848483206.05100739</v>
      </c>
      <c r="S949">
        <f t="shared" si="1017"/>
        <v>-8484.8320605100744</v>
      </c>
      <c r="T949">
        <f t="shared" si="1018"/>
        <v>-8.4848320605100742</v>
      </c>
    </row>
    <row r="950" spans="1:20" x14ac:dyDescent="0.25">
      <c r="A950" s="5">
        <v>43643</v>
      </c>
      <c r="B950">
        <v>9.6699999999999998E-3</v>
      </c>
      <c r="C950">
        <v>9.8099999999999993E-3</v>
      </c>
      <c r="D950">
        <v>8.3300000000000006E-3</v>
      </c>
      <c r="E950">
        <v>8.8299999999999993E-3</v>
      </c>
      <c r="F950">
        <v>185905490.30000001</v>
      </c>
      <c r="G950">
        <v>0</v>
      </c>
      <c r="L950" t="s">
        <v>7</v>
      </c>
      <c r="M950" t="s">
        <v>7</v>
      </c>
      <c r="N950" t="s">
        <v>7</v>
      </c>
      <c r="P950">
        <f t="shared" si="1014"/>
        <v>-0.32432432432432545</v>
      </c>
      <c r="Q950">
        <f t="shared" si="1015"/>
        <v>-60293672.52972994</v>
      </c>
      <c r="R950">
        <f t="shared" si="1016"/>
        <v>-874361531.40688992</v>
      </c>
      <c r="S950">
        <f t="shared" si="1017"/>
        <v>-8743.6153140688984</v>
      </c>
      <c r="T950">
        <f t="shared" si="1018"/>
        <v>-8.743615314068899</v>
      </c>
    </row>
    <row r="951" spans="1:20" x14ac:dyDescent="0.25">
      <c r="A951" s="5">
        <v>43642</v>
      </c>
      <c r="B951">
        <v>1.085E-2</v>
      </c>
      <c r="C951">
        <v>1.107E-2</v>
      </c>
      <c r="D951">
        <v>9.3399999999999993E-3</v>
      </c>
      <c r="E951">
        <v>9.6699999999999998E-3</v>
      </c>
      <c r="F951">
        <v>179213793</v>
      </c>
      <c r="G951">
        <v>0</v>
      </c>
      <c r="L951" t="s">
        <v>7</v>
      </c>
      <c r="M951" t="s">
        <v>7</v>
      </c>
      <c r="N951" t="s">
        <v>7</v>
      </c>
      <c r="P951">
        <f t="shared" si="1014"/>
        <v>-0.61849710982658923</v>
      </c>
      <c r="Q951">
        <f t="shared" si="1015"/>
        <v>-110843213.01156063</v>
      </c>
      <c r="R951">
        <f t="shared" si="1016"/>
        <v>-814067858.87715995</v>
      </c>
      <c r="S951">
        <f t="shared" si="1017"/>
        <v>-8140.6785887715996</v>
      </c>
      <c r="T951">
        <f t="shared" si="1018"/>
        <v>-8.1406785887715998</v>
      </c>
    </row>
    <row r="952" spans="1:20" x14ac:dyDescent="0.25">
      <c r="A952" s="5">
        <v>43641</v>
      </c>
      <c r="B952">
        <v>1.1220000000000001E-2</v>
      </c>
      <c r="C952">
        <v>1.133E-2</v>
      </c>
      <c r="D952">
        <v>1.069E-2</v>
      </c>
      <c r="E952">
        <v>1.0840000000000001E-2</v>
      </c>
      <c r="F952">
        <v>67282566.799999997</v>
      </c>
      <c r="G952">
        <v>0</v>
      </c>
      <c r="L952" t="s">
        <v>7</v>
      </c>
      <c r="M952" t="s">
        <v>7</v>
      </c>
      <c r="N952" t="s">
        <v>7</v>
      </c>
      <c r="P952">
        <f t="shared" si="1014"/>
        <v>-0.53124999999999734</v>
      </c>
      <c r="Q952">
        <f t="shared" si="1015"/>
        <v>-35743863.612499818</v>
      </c>
      <c r="R952">
        <f t="shared" si="1016"/>
        <v>-703224645.86559927</v>
      </c>
      <c r="S952">
        <f t="shared" si="1017"/>
        <v>-7032.2464586559927</v>
      </c>
      <c r="T952">
        <f t="shared" si="1018"/>
        <v>-7.032246458655993</v>
      </c>
    </row>
    <row r="953" spans="1:20" x14ac:dyDescent="0.25">
      <c r="A953" s="5">
        <v>43640</v>
      </c>
      <c r="B953">
        <v>1.107E-2</v>
      </c>
      <c r="C953">
        <v>1.1390000000000001E-2</v>
      </c>
      <c r="D953">
        <v>1.0789999999999999E-2</v>
      </c>
      <c r="E953">
        <v>1.1220000000000001E-2</v>
      </c>
      <c r="F953">
        <v>47423646.700000003</v>
      </c>
      <c r="G953">
        <v>0</v>
      </c>
      <c r="L953" t="s">
        <v>7</v>
      </c>
      <c r="M953" t="s">
        <v>7</v>
      </c>
      <c r="N953" t="s">
        <v>7</v>
      </c>
      <c r="P953">
        <f t="shared" si="1014"/>
        <v>0.43333333333333479</v>
      </c>
      <c r="Q953">
        <f t="shared" si="1015"/>
        <v>20550246.903333403</v>
      </c>
      <c r="R953">
        <f t="shared" si="1016"/>
        <v>-667480782.25309944</v>
      </c>
      <c r="S953">
        <f t="shared" si="1017"/>
        <v>-6674.8078225309946</v>
      </c>
      <c r="T953">
        <f t="shared" si="1018"/>
        <v>-6.6748078225309948</v>
      </c>
    </row>
    <row r="954" spans="1:20" x14ac:dyDescent="0.25">
      <c r="A954" s="5">
        <v>43639</v>
      </c>
      <c r="B954">
        <v>1.1209999999999999E-2</v>
      </c>
      <c r="C954">
        <v>1.1679999999999999E-2</v>
      </c>
      <c r="D954">
        <v>1.0959999999999999E-2</v>
      </c>
      <c r="E954">
        <v>1.111E-2</v>
      </c>
      <c r="F954">
        <v>56402486.200000003</v>
      </c>
      <c r="G954">
        <v>0</v>
      </c>
      <c r="L954" t="s">
        <v>8</v>
      </c>
      <c r="M954" t="s">
        <v>7</v>
      </c>
      <c r="N954" t="s">
        <v>7</v>
      </c>
      <c r="P954">
        <f t="shared" si="1014"/>
        <v>-0.58333333333333115</v>
      </c>
      <c r="Q954">
        <f t="shared" si="1015"/>
        <v>-32901450.283333212</v>
      </c>
      <c r="R954">
        <f t="shared" si="1016"/>
        <v>-688031029.15643287</v>
      </c>
      <c r="S954">
        <f t="shared" si="1017"/>
        <v>-6880.3102915643285</v>
      </c>
      <c r="T954">
        <f t="shared" si="1018"/>
        <v>-6.8803102915643288</v>
      </c>
    </row>
    <row r="955" spans="1:20" x14ac:dyDescent="0.25">
      <c r="A955" s="5">
        <v>43638</v>
      </c>
      <c r="B955">
        <v>1.1509999999999999E-2</v>
      </c>
      <c r="C955">
        <v>1.175E-2</v>
      </c>
      <c r="D955">
        <v>1.06E-2</v>
      </c>
      <c r="E955">
        <v>1.1209999999999999E-2</v>
      </c>
      <c r="F955">
        <v>179937527.5</v>
      </c>
      <c r="G955">
        <v>0</v>
      </c>
      <c r="L955" t="s">
        <v>7</v>
      </c>
      <c r="M955" t="s">
        <v>7</v>
      </c>
      <c r="N955" t="s">
        <v>7</v>
      </c>
      <c r="P955">
        <f t="shared" si="1014"/>
        <v>6.0869565217390335E-2</v>
      </c>
      <c r="Q955">
        <f t="shared" si="1015"/>
        <v>10952719.065217217</v>
      </c>
      <c r="R955">
        <f t="shared" si="1016"/>
        <v>-655129578.87309968</v>
      </c>
      <c r="S955">
        <f t="shared" si="1017"/>
        <v>-6551.2957887309967</v>
      </c>
      <c r="T955">
        <f t="shared" si="1018"/>
        <v>-6.5512957887309966</v>
      </c>
    </row>
    <row r="956" spans="1:20" x14ac:dyDescent="0.25">
      <c r="A956" s="5">
        <v>43637</v>
      </c>
      <c r="B956">
        <v>1.2760000000000001E-2</v>
      </c>
      <c r="C956">
        <v>1.2789999999999999E-2</v>
      </c>
      <c r="D956">
        <v>1.1429999999999999E-2</v>
      </c>
      <c r="E956">
        <v>1.1509999999999999E-2</v>
      </c>
      <c r="F956">
        <v>91054214.200000003</v>
      </c>
      <c r="G956">
        <v>0</v>
      </c>
      <c r="L956" t="s">
        <v>7</v>
      </c>
      <c r="M956" t="s">
        <v>7</v>
      </c>
      <c r="N956" t="s">
        <v>7</v>
      </c>
      <c r="P956">
        <f t="shared" si="1014"/>
        <v>-0.88235294117647034</v>
      </c>
      <c r="Q956">
        <f t="shared" si="1015"/>
        <v>-80341953.705882326</v>
      </c>
      <c r="R956">
        <f t="shared" si="1016"/>
        <v>-666082297.93831694</v>
      </c>
      <c r="S956">
        <f t="shared" si="1017"/>
        <v>-6660.8229793831697</v>
      </c>
      <c r="T956">
        <f t="shared" si="1018"/>
        <v>-6.6608229793831697</v>
      </c>
    </row>
    <row r="957" spans="1:20" x14ac:dyDescent="0.25">
      <c r="A957" s="5">
        <v>43636</v>
      </c>
      <c r="B957">
        <v>1.2200000000000001E-2</v>
      </c>
      <c r="C957">
        <v>1.3129999999999999E-2</v>
      </c>
      <c r="D957">
        <v>1.2200000000000001E-2</v>
      </c>
      <c r="E957">
        <v>1.2789999999999999E-2</v>
      </c>
      <c r="F957">
        <v>159711436.59999999</v>
      </c>
      <c r="G957">
        <v>0</v>
      </c>
      <c r="L957" t="s">
        <v>8</v>
      </c>
      <c r="M957" t="s">
        <v>7</v>
      </c>
      <c r="N957" t="s">
        <v>7</v>
      </c>
      <c r="P957">
        <f t="shared" si="1014"/>
        <v>0.26881720430107409</v>
      </c>
      <c r="Q957">
        <f t="shared" si="1015"/>
        <v>42933181.881720237</v>
      </c>
      <c r="R957">
        <f t="shared" si="1016"/>
        <v>-585740344.23243463</v>
      </c>
      <c r="S957">
        <f t="shared" si="1017"/>
        <v>-5857.4034423243465</v>
      </c>
      <c r="T957">
        <f t="shared" si="1018"/>
        <v>-5.8574034423243466</v>
      </c>
    </row>
    <row r="958" spans="1:20" x14ac:dyDescent="0.25">
      <c r="A958" s="5">
        <v>43635</v>
      </c>
      <c r="B958">
        <v>1.184E-2</v>
      </c>
      <c r="C958">
        <v>1.2500000000000001E-2</v>
      </c>
      <c r="D958">
        <v>1.1809999999999999E-2</v>
      </c>
      <c r="E958">
        <v>1.2149999999999999E-2</v>
      </c>
      <c r="F958">
        <v>88758269.200000003</v>
      </c>
      <c r="G958">
        <v>0</v>
      </c>
      <c r="L958" t="s">
        <v>8</v>
      </c>
      <c r="M958" t="s">
        <v>7</v>
      </c>
      <c r="N958" t="s">
        <v>7</v>
      </c>
      <c r="P958">
        <f t="shared" si="1014"/>
        <v>-1.44927536231903E-2</v>
      </c>
      <c r="Q958">
        <f t="shared" si="1015"/>
        <v>-1286351.7275364001</v>
      </c>
      <c r="R958">
        <f t="shared" si="1016"/>
        <v>-628673526.11415482</v>
      </c>
      <c r="S958">
        <f t="shared" si="1017"/>
        <v>-6286.7352611415481</v>
      </c>
      <c r="T958">
        <f t="shared" si="1018"/>
        <v>-6.2867352611415477</v>
      </c>
    </row>
    <row r="959" spans="1:20" x14ac:dyDescent="0.25">
      <c r="A959" s="5">
        <v>43634</v>
      </c>
      <c r="B959">
        <v>1.204E-2</v>
      </c>
      <c r="C959">
        <v>1.217E-2</v>
      </c>
      <c r="D959">
        <v>1.14E-2</v>
      </c>
      <c r="E959">
        <v>1.184E-2</v>
      </c>
      <c r="F959">
        <v>69033962.099999994</v>
      </c>
      <c r="G959">
        <v>0</v>
      </c>
      <c r="L959" t="s">
        <v>7</v>
      </c>
      <c r="M959" t="s">
        <v>7</v>
      </c>
      <c r="N959" t="s">
        <v>7</v>
      </c>
      <c r="P959">
        <f t="shared" ref="P959:P984" si="1019">IF(C959=D959,0,((E959-D959)-(C959-E959))/(C959-D959))</f>
        <v>0.14285714285714157</v>
      </c>
      <c r="Q959">
        <f t="shared" ref="Q959:Q984" si="1020">F959*P959</f>
        <v>9861994.5857141968</v>
      </c>
      <c r="R959">
        <f t="shared" ref="R959:R984" si="1021">R960+Q959</f>
        <v>-627387174.38661838</v>
      </c>
      <c r="S959">
        <f t="shared" ref="S959:S984" si="1022">R959/100000</f>
        <v>-6273.8717438661834</v>
      </c>
      <c r="T959">
        <f t="shared" ref="T959:T984" si="1023">S959/1000</f>
        <v>-6.2738717438661835</v>
      </c>
    </row>
    <row r="960" spans="1:20" x14ac:dyDescent="0.25">
      <c r="A960" s="5">
        <v>43633</v>
      </c>
      <c r="B960">
        <v>1.201E-2</v>
      </c>
      <c r="C960">
        <v>1.2500000000000001E-2</v>
      </c>
      <c r="D960">
        <v>1.192E-2</v>
      </c>
      <c r="E960">
        <v>1.204E-2</v>
      </c>
      <c r="F960">
        <v>113051993.59999999</v>
      </c>
      <c r="G960">
        <v>0</v>
      </c>
      <c r="L960" t="s">
        <v>7</v>
      </c>
      <c r="M960" t="s">
        <v>7</v>
      </c>
      <c r="N960" t="s">
        <v>7</v>
      </c>
      <c r="P960">
        <f t="shared" si="1019"/>
        <v>-0.58620689655172353</v>
      </c>
      <c r="Q960">
        <f t="shared" si="1020"/>
        <v>-66271858.317241311</v>
      </c>
      <c r="R960">
        <f t="shared" si="1021"/>
        <v>-637249168.9723326</v>
      </c>
      <c r="S960">
        <f t="shared" si="1022"/>
        <v>-6372.4916897233261</v>
      </c>
      <c r="T960">
        <f t="shared" si="1023"/>
        <v>-6.3724916897233257</v>
      </c>
    </row>
    <row r="961" spans="1:20" x14ac:dyDescent="0.25">
      <c r="A961" s="5">
        <v>43632</v>
      </c>
      <c r="B961">
        <v>1.2189999999999999E-2</v>
      </c>
      <c r="C961">
        <v>1.2330000000000001E-2</v>
      </c>
      <c r="D961">
        <v>1.1730000000000001E-2</v>
      </c>
      <c r="E961">
        <v>1.1990000000000001E-2</v>
      </c>
      <c r="F961">
        <v>103531784.5</v>
      </c>
      <c r="G961">
        <v>0</v>
      </c>
      <c r="L961" t="s">
        <v>7</v>
      </c>
      <c r="M961" t="s">
        <v>7</v>
      </c>
      <c r="N961" t="s">
        <v>7</v>
      </c>
      <c r="P961">
        <f t="shared" si="1019"/>
        <v>-0.13333333333333372</v>
      </c>
      <c r="Q961">
        <f t="shared" si="1020"/>
        <v>-13804237.933333373</v>
      </c>
      <c r="R961">
        <f t="shared" si="1021"/>
        <v>-570977310.65509129</v>
      </c>
      <c r="S961">
        <f t="shared" si="1022"/>
        <v>-5709.7731065509124</v>
      </c>
      <c r="T961">
        <f t="shared" si="1023"/>
        <v>-5.7097731065509123</v>
      </c>
    </row>
    <row r="962" spans="1:20" x14ac:dyDescent="0.25">
      <c r="A962" s="5">
        <v>43631</v>
      </c>
      <c r="B962">
        <v>1.252E-2</v>
      </c>
      <c r="C962">
        <v>1.2659999999999999E-2</v>
      </c>
      <c r="D962">
        <v>1.187E-2</v>
      </c>
      <c r="E962">
        <v>1.2200000000000001E-2</v>
      </c>
      <c r="F962">
        <v>129927326.3</v>
      </c>
      <c r="G962">
        <v>0</v>
      </c>
      <c r="L962" t="s">
        <v>8</v>
      </c>
      <c r="M962" t="s">
        <v>7</v>
      </c>
      <c r="N962" t="s">
        <v>7</v>
      </c>
      <c r="P962">
        <f t="shared" si="1019"/>
        <v>-0.16455696202531434</v>
      </c>
      <c r="Q962">
        <f t="shared" si="1020"/>
        <v>-21380446.099999726</v>
      </c>
      <c r="R962">
        <f t="shared" si="1021"/>
        <v>-557173072.72175789</v>
      </c>
      <c r="S962">
        <f t="shared" si="1022"/>
        <v>-5571.7307272175785</v>
      </c>
      <c r="T962">
        <f t="shared" si="1023"/>
        <v>-5.5717307272175782</v>
      </c>
    </row>
    <row r="963" spans="1:20" x14ac:dyDescent="0.25">
      <c r="A963" s="5">
        <v>43630</v>
      </c>
      <c r="B963">
        <v>1.3180000000000001E-2</v>
      </c>
      <c r="C963">
        <v>1.3390000000000001E-2</v>
      </c>
      <c r="D963">
        <v>1.1690000000000001E-2</v>
      </c>
      <c r="E963">
        <v>1.2540000000000001E-2</v>
      </c>
      <c r="F963">
        <v>173336509.40000001</v>
      </c>
      <c r="G963">
        <v>0</v>
      </c>
      <c r="L963" t="s">
        <v>7</v>
      </c>
      <c r="M963" t="s">
        <v>7</v>
      </c>
      <c r="N963" t="s">
        <v>7</v>
      </c>
      <c r="P963">
        <f t="shared" si="1019"/>
        <v>0</v>
      </c>
      <c r="Q963">
        <f t="shared" si="1020"/>
        <v>0</v>
      </c>
      <c r="R963">
        <f t="shared" si="1021"/>
        <v>-535792626.6217581</v>
      </c>
      <c r="S963">
        <f t="shared" si="1022"/>
        <v>-5357.9262662175806</v>
      </c>
      <c r="T963">
        <f t="shared" si="1023"/>
        <v>-5.3579262662175804</v>
      </c>
    </row>
    <row r="964" spans="1:20" x14ac:dyDescent="0.25">
      <c r="A964" s="5">
        <v>43629</v>
      </c>
      <c r="B964">
        <v>1.349E-2</v>
      </c>
      <c r="C964">
        <v>1.357E-2</v>
      </c>
      <c r="D964">
        <v>1.2970000000000001E-2</v>
      </c>
      <c r="E964">
        <v>1.3180000000000001E-2</v>
      </c>
      <c r="F964">
        <v>108543279.09999999</v>
      </c>
      <c r="G964">
        <v>0</v>
      </c>
      <c r="L964" t="s">
        <v>7</v>
      </c>
      <c r="M964" t="s">
        <v>7</v>
      </c>
      <c r="N964" t="s">
        <v>7</v>
      </c>
      <c r="P964">
        <f t="shared" si="1019"/>
        <v>-0.29999999999999943</v>
      </c>
      <c r="Q964">
        <f t="shared" si="1020"/>
        <v>-32562983.729999937</v>
      </c>
      <c r="R964">
        <f t="shared" si="1021"/>
        <v>-535792626.6217581</v>
      </c>
      <c r="S964">
        <f t="shared" si="1022"/>
        <v>-5357.9262662175806</v>
      </c>
      <c r="T964">
        <f t="shared" si="1023"/>
        <v>-5.3579262662175804</v>
      </c>
    </row>
    <row r="965" spans="1:20" x14ac:dyDescent="0.25">
      <c r="A965" s="5">
        <v>43628</v>
      </c>
      <c r="B965">
        <v>1.3610000000000001E-2</v>
      </c>
      <c r="C965">
        <v>1.3639999999999999E-2</v>
      </c>
      <c r="D965">
        <v>1.325E-2</v>
      </c>
      <c r="E965">
        <v>1.3480000000000001E-2</v>
      </c>
      <c r="F965">
        <v>100609259.90000001</v>
      </c>
      <c r="G965">
        <v>0</v>
      </c>
      <c r="L965" t="s">
        <v>7</v>
      </c>
      <c r="M965" t="s">
        <v>7</v>
      </c>
      <c r="N965" t="s">
        <v>7</v>
      </c>
      <c r="P965">
        <f t="shared" si="1019"/>
        <v>0.17948717948718565</v>
      </c>
      <c r="Q965">
        <f t="shared" si="1020"/>
        <v>18058072.289744209</v>
      </c>
      <c r="R965">
        <f t="shared" si="1021"/>
        <v>-503229642.89175814</v>
      </c>
      <c r="S965">
        <f t="shared" si="1022"/>
        <v>-5032.2964289175816</v>
      </c>
      <c r="T965">
        <f t="shared" si="1023"/>
        <v>-5.032296428917582</v>
      </c>
    </row>
    <row r="966" spans="1:20" x14ac:dyDescent="0.25">
      <c r="A966" s="5">
        <v>43627</v>
      </c>
      <c r="B966">
        <v>1.4069999999999999E-2</v>
      </c>
      <c r="C966">
        <v>1.4160000000000001E-2</v>
      </c>
      <c r="D966">
        <v>1.306E-2</v>
      </c>
      <c r="E966">
        <v>1.363E-2</v>
      </c>
      <c r="F966">
        <v>145608455.19999999</v>
      </c>
      <c r="G966">
        <v>0</v>
      </c>
      <c r="L966" t="s">
        <v>7</v>
      </c>
      <c r="M966" t="s">
        <v>7</v>
      </c>
      <c r="N966" t="s">
        <v>7</v>
      </c>
      <c r="P966">
        <f t="shared" si="1019"/>
        <v>3.636363636363487E-2</v>
      </c>
      <c r="Q966">
        <f t="shared" si="1020"/>
        <v>5294852.9163634181</v>
      </c>
      <c r="R966">
        <f t="shared" si="1021"/>
        <v>-521287715.18150234</v>
      </c>
      <c r="S966">
        <f t="shared" si="1022"/>
        <v>-5212.8771518150234</v>
      </c>
      <c r="T966">
        <f t="shared" si="1023"/>
        <v>-5.2128771518150234</v>
      </c>
    </row>
    <row r="967" spans="1:20" x14ac:dyDescent="0.25">
      <c r="A967" s="5">
        <v>43626</v>
      </c>
      <c r="B967">
        <v>1.325E-2</v>
      </c>
      <c r="C967">
        <v>1.4319999999999999E-2</v>
      </c>
      <c r="D967">
        <v>1.265E-2</v>
      </c>
      <c r="E967">
        <v>1.4030000000000001E-2</v>
      </c>
      <c r="F967">
        <v>250862847.80000001</v>
      </c>
      <c r="G967">
        <v>0</v>
      </c>
      <c r="L967" t="s">
        <v>8</v>
      </c>
      <c r="M967" t="s">
        <v>7</v>
      </c>
      <c r="N967" t="s">
        <v>7</v>
      </c>
      <c r="P967">
        <f t="shared" si="1019"/>
        <v>0.65269461077844471</v>
      </c>
      <c r="Q967">
        <f t="shared" si="1020"/>
        <v>163736828.80359322</v>
      </c>
      <c r="R967">
        <f t="shared" si="1021"/>
        <v>-526582568.09786576</v>
      </c>
      <c r="S967">
        <f t="shared" si="1022"/>
        <v>-5265.8256809786581</v>
      </c>
      <c r="T967">
        <f t="shared" si="1023"/>
        <v>-5.2658256809786579</v>
      </c>
    </row>
    <row r="968" spans="1:20" x14ac:dyDescent="0.25">
      <c r="A968" s="5">
        <v>43625</v>
      </c>
      <c r="B968">
        <v>1.504E-2</v>
      </c>
      <c r="C968">
        <v>1.5769999999999999E-2</v>
      </c>
      <c r="D968">
        <v>1.2670000000000001E-2</v>
      </c>
      <c r="E968">
        <v>1.3299999999999999E-2</v>
      </c>
      <c r="F968">
        <v>357137406.39999998</v>
      </c>
      <c r="G968">
        <v>0</v>
      </c>
      <c r="L968" t="s">
        <v>7</v>
      </c>
      <c r="M968" t="s">
        <v>7</v>
      </c>
      <c r="N968" t="s">
        <v>7</v>
      </c>
      <c r="P968">
        <f t="shared" si="1019"/>
        <v>-0.59354838709677493</v>
      </c>
      <c r="Q968">
        <f t="shared" si="1020"/>
        <v>-211978331.54064542</v>
      </c>
      <c r="R968">
        <f t="shared" si="1021"/>
        <v>-690319396.90145898</v>
      </c>
      <c r="S968">
        <f t="shared" si="1022"/>
        <v>-6903.19396901459</v>
      </c>
      <c r="T968">
        <f t="shared" si="1023"/>
        <v>-6.9031939690145903</v>
      </c>
    </row>
    <row r="969" spans="1:20" x14ac:dyDescent="0.25">
      <c r="A969" s="5">
        <v>43624</v>
      </c>
      <c r="B969">
        <v>1.443E-2</v>
      </c>
      <c r="C969">
        <v>1.52E-2</v>
      </c>
      <c r="D969">
        <v>1.3599999999999999E-2</v>
      </c>
      <c r="E969">
        <v>1.499E-2</v>
      </c>
      <c r="F969">
        <v>221327155</v>
      </c>
      <c r="G969">
        <v>0</v>
      </c>
      <c r="L969" t="s">
        <v>7</v>
      </c>
      <c r="M969" t="s">
        <v>8</v>
      </c>
      <c r="N969" t="s">
        <v>7</v>
      </c>
      <c r="P969">
        <f t="shared" si="1019"/>
        <v>0.73749999999999993</v>
      </c>
      <c r="Q969">
        <f t="shared" si="1020"/>
        <v>163228776.8125</v>
      </c>
      <c r="R969">
        <f t="shared" si="1021"/>
        <v>-478341065.36081362</v>
      </c>
      <c r="S969">
        <f t="shared" si="1022"/>
        <v>-4783.4106536081363</v>
      </c>
      <c r="T969">
        <f t="shared" si="1023"/>
        <v>-4.7834106536081364</v>
      </c>
    </row>
    <row r="970" spans="1:20" x14ac:dyDescent="0.25">
      <c r="A970" s="5">
        <v>43623</v>
      </c>
      <c r="B970">
        <v>1.4120000000000001E-2</v>
      </c>
      <c r="C970">
        <v>1.47E-2</v>
      </c>
      <c r="D970">
        <v>1.3780000000000001E-2</v>
      </c>
      <c r="E970">
        <v>1.4449999999999999E-2</v>
      </c>
      <c r="F970">
        <v>193937537.59999999</v>
      </c>
      <c r="G970">
        <v>0</v>
      </c>
      <c r="L970" t="s">
        <v>7</v>
      </c>
      <c r="M970" t="s">
        <v>8</v>
      </c>
      <c r="N970" t="s">
        <v>7</v>
      </c>
      <c r="P970">
        <f t="shared" si="1019"/>
        <v>0.4565217391304337</v>
      </c>
      <c r="Q970">
        <f t="shared" si="1020"/>
        <v>88536701.947825879</v>
      </c>
      <c r="R970">
        <f t="shared" si="1021"/>
        <v>-641569842.17331362</v>
      </c>
      <c r="S970">
        <f t="shared" si="1022"/>
        <v>-6415.6984217331365</v>
      </c>
      <c r="T970">
        <f t="shared" si="1023"/>
        <v>-6.4156984217331363</v>
      </c>
    </row>
    <row r="971" spans="1:20" x14ac:dyDescent="0.25">
      <c r="A971" s="5">
        <v>43622</v>
      </c>
      <c r="B971">
        <v>1.323E-2</v>
      </c>
      <c r="C971">
        <v>1.52E-2</v>
      </c>
      <c r="D971">
        <v>1.3129999999999999E-2</v>
      </c>
      <c r="E971">
        <v>1.409E-2</v>
      </c>
      <c r="F971">
        <v>503244100.19999999</v>
      </c>
      <c r="G971">
        <v>0</v>
      </c>
      <c r="L971" t="s">
        <v>8</v>
      </c>
      <c r="M971" t="s">
        <v>8</v>
      </c>
      <c r="N971" t="s">
        <v>7</v>
      </c>
      <c r="P971">
        <f t="shared" si="1019"/>
        <v>-7.2463768115941574E-2</v>
      </c>
      <c r="Q971">
        <f t="shared" si="1020"/>
        <v>-36466963.782608464</v>
      </c>
      <c r="R971">
        <f t="shared" si="1021"/>
        <v>-730106544.12113953</v>
      </c>
      <c r="S971">
        <f t="shared" si="1022"/>
        <v>-7301.0654412113954</v>
      </c>
      <c r="T971">
        <f t="shared" si="1023"/>
        <v>-7.3010654412113958</v>
      </c>
    </row>
    <row r="972" spans="1:20" x14ac:dyDescent="0.25">
      <c r="A972" s="5">
        <v>43621</v>
      </c>
      <c r="B972">
        <v>1.2630000000000001E-2</v>
      </c>
      <c r="C972">
        <v>1.3769999999999999E-2</v>
      </c>
      <c r="D972">
        <v>1.24E-2</v>
      </c>
      <c r="E972">
        <v>1.3270000000000001E-2</v>
      </c>
      <c r="F972">
        <v>302914891.39999998</v>
      </c>
      <c r="G972">
        <v>0</v>
      </c>
      <c r="L972" t="s">
        <v>8</v>
      </c>
      <c r="M972" t="s">
        <v>7</v>
      </c>
      <c r="N972" t="s">
        <v>7</v>
      </c>
      <c r="P972">
        <f t="shared" si="1019"/>
        <v>0.27007299270073165</v>
      </c>
      <c r="Q972">
        <f t="shared" si="1020"/>
        <v>81809131.254015118</v>
      </c>
      <c r="R972">
        <f t="shared" si="1021"/>
        <v>-693639580.33853102</v>
      </c>
      <c r="S972">
        <f t="shared" si="1022"/>
        <v>-6936.3958033853105</v>
      </c>
      <c r="T972">
        <f t="shared" si="1023"/>
        <v>-6.9363958033853104</v>
      </c>
    </row>
    <row r="973" spans="1:20" x14ac:dyDescent="0.25">
      <c r="A973" s="5">
        <v>43620</v>
      </c>
      <c r="B973">
        <v>1.3339999999999999E-2</v>
      </c>
      <c r="C973">
        <v>1.3679999999999999E-2</v>
      </c>
      <c r="D973">
        <v>1.2120000000000001E-2</v>
      </c>
      <c r="E973">
        <v>1.2619999999999999E-2</v>
      </c>
      <c r="F973">
        <v>225064807.40000001</v>
      </c>
      <c r="G973">
        <v>0</v>
      </c>
      <c r="L973" t="s">
        <v>7</v>
      </c>
      <c r="M973" t="s">
        <v>7</v>
      </c>
      <c r="N973" t="s">
        <v>7</v>
      </c>
      <c r="P973">
        <f t="shared" si="1019"/>
        <v>-0.3589743589743602</v>
      </c>
      <c r="Q973">
        <f t="shared" si="1020"/>
        <v>-80792494.964102834</v>
      </c>
      <c r="R973">
        <f t="shared" si="1021"/>
        <v>-775448711.59254611</v>
      </c>
      <c r="S973">
        <f t="shared" si="1022"/>
        <v>-7754.4871159254608</v>
      </c>
      <c r="T973">
        <f t="shared" si="1023"/>
        <v>-7.7544871159254605</v>
      </c>
    </row>
    <row r="974" spans="1:20" x14ac:dyDescent="0.25">
      <c r="A974" s="5">
        <v>43619</v>
      </c>
      <c r="B974">
        <v>1.4670000000000001E-2</v>
      </c>
      <c r="C974">
        <v>1.468E-2</v>
      </c>
      <c r="D974">
        <v>1.3220000000000001E-2</v>
      </c>
      <c r="E974">
        <v>1.3350000000000001E-2</v>
      </c>
      <c r="F974">
        <v>172830450.90000001</v>
      </c>
      <c r="G974">
        <v>0</v>
      </c>
      <c r="L974" t="s">
        <v>7</v>
      </c>
      <c r="M974" t="s">
        <v>7</v>
      </c>
      <c r="N974" t="s">
        <v>7</v>
      </c>
      <c r="P974">
        <f t="shared" si="1019"/>
        <v>-0.82191780821917815</v>
      </c>
      <c r="Q974">
        <f t="shared" si="1020"/>
        <v>-142052425.39726028</v>
      </c>
      <c r="R974">
        <f t="shared" si="1021"/>
        <v>-694656216.62844324</v>
      </c>
      <c r="S974">
        <f t="shared" si="1022"/>
        <v>-6946.5621662844324</v>
      </c>
      <c r="T974">
        <f t="shared" si="1023"/>
        <v>-6.9465621662844326</v>
      </c>
    </row>
    <row r="975" spans="1:20" x14ac:dyDescent="0.25">
      <c r="A975" s="5">
        <v>43618</v>
      </c>
      <c r="B975">
        <v>1.4149999999999999E-2</v>
      </c>
      <c r="C975">
        <v>1.5259999999999999E-2</v>
      </c>
      <c r="D975">
        <v>1.405E-2</v>
      </c>
      <c r="E975">
        <v>1.465E-2</v>
      </c>
      <c r="F975">
        <v>240528606</v>
      </c>
      <c r="G975">
        <v>0</v>
      </c>
      <c r="L975" t="s">
        <v>8</v>
      </c>
      <c r="M975" t="s">
        <v>7</v>
      </c>
      <c r="N975" t="s">
        <v>7</v>
      </c>
      <c r="P975">
        <f t="shared" si="1019"/>
        <v>-8.2644628099170243E-3</v>
      </c>
      <c r="Q975">
        <f t="shared" si="1020"/>
        <v>-1987839.7190081847</v>
      </c>
      <c r="R975">
        <f t="shared" si="1021"/>
        <v>-552603791.23118293</v>
      </c>
      <c r="S975">
        <f t="shared" si="1022"/>
        <v>-5526.0379123118291</v>
      </c>
      <c r="T975">
        <f t="shared" si="1023"/>
        <v>-5.5260379123118293</v>
      </c>
    </row>
    <row r="976" spans="1:20" x14ac:dyDescent="0.25">
      <c r="A976" s="5">
        <v>43617</v>
      </c>
      <c r="B976">
        <v>1.477E-2</v>
      </c>
      <c r="C976">
        <v>1.4959999999999999E-2</v>
      </c>
      <c r="D976">
        <v>1.35E-2</v>
      </c>
      <c r="E976">
        <v>1.4160000000000001E-2</v>
      </c>
      <c r="F976">
        <v>391357409.39999998</v>
      </c>
      <c r="G976">
        <v>0</v>
      </c>
      <c r="L976" t="s">
        <v>7</v>
      </c>
      <c r="M976" t="s">
        <v>7</v>
      </c>
      <c r="N976" t="s">
        <v>7</v>
      </c>
      <c r="P976">
        <f t="shared" si="1019"/>
        <v>-9.5890410958902605E-2</v>
      </c>
      <c r="Q976">
        <f t="shared" si="1020"/>
        <v>-37527422.819177493</v>
      </c>
      <c r="R976">
        <f t="shared" si="1021"/>
        <v>-550615951.51217473</v>
      </c>
      <c r="S976">
        <f t="shared" si="1022"/>
        <v>-5506.1595151217471</v>
      </c>
      <c r="T976">
        <f t="shared" si="1023"/>
        <v>-5.5061595151217473</v>
      </c>
    </row>
    <row r="977" spans="1:20" x14ac:dyDescent="0.25">
      <c r="A977" s="5">
        <v>43616</v>
      </c>
      <c r="B977">
        <v>1.444E-2</v>
      </c>
      <c r="C977">
        <v>1.49E-2</v>
      </c>
      <c r="D977">
        <v>1.3729999999999999E-2</v>
      </c>
      <c r="E977">
        <v>1.477E-2</v>
      </c>
      <c r="F977">
        <v>320560664.19999999</v>
      </c>
      <c r="G977">
        <v>0</v>
      </c>
      <c r="L977" t="s">
        <v>8</v>
      </c>
      <c r="M977" t="s">
        <v>7</v>
      </c>
      <c r="N977" t="s">
        <v>7</v>
      </c>
      <c r="P977">
        <f t="shared" si="1019"/>
        <v>0.77777777777777812</v>
      </c>
      <c r="Q977">
        <f t="shared" si="1020"/>
        <v>249324961.04444453</v>
      </c>
      <c r="R977">
        <f t="shared" si="1021"/>
        <v>-513088528.69299722</v>
      </c>
      <c r="S977">
        <f t="shared" si="1022"/>
        <v>-5130.8852869299726</v>
      </c>
      <c r="T977">
        <f t="shared" si="1023"/>
        <v>-5.1308852869299724</v>
      </c>
    </row>
    <row r="978" spans="1:20" x14ac:dyDescent="0.25">
      <c r="A978" s="5">
        <v>43615</v>
      </c>
      <c r="B978">
        <v>1.7930000000000001E-2</v>
      </c>
      <c r="C978">
        <v>1.804E-2</v>
      </c>
      <c r="D978">
        <v>1.3310000000000001E-2</v>
      </c>
      <c r="E978">
        <v>1.4449999999999999E-2</v>
      </c>
      <c r="F978">
        <v>627599342.5</v>
      </c>
      <c r="G978">
        <v>0</v>
      </c>
      <c r="L978" t="s">
        <v>7</v>
      </c>
      <c r="M978" t="s">
        <v>7</v>
      </c>
      <c r="N978" t="s">
        <v>7</v>
      </c>
      <c r="P978">
        <f t="shared" si="1019"/>
        <v>-0.51797040169133246</v>
      </c>
      <c r="Q978">
        <f t="shared" si="1020"/>
        <v>-325077883.53594112</v>
      </c>
      <c r="R978">
        <f t="shared" si="1021"/>
        <v>-762413489.73744178</v>
      </c>
      <c r="S978">
        <f t="shared" si="1022"/>
        <v>-7624.134897374418</v>
      </c>
      <c r="T978">
        <f t="shared" si="1023"/>
        <v>-7.6241348973744181</v>
      </c>
    </row>
    <row r="979" spans="1:20" x14ac:dyDescent="0.25">
      <c r="A979" s="5">
        <v>43614</v>
      </c>
      <c r="B979">
        <v>1.643E-2</v>
      </c>
      <c r="C979">
        <v>1.865E-2</v>
      </c>
      <c r="D979">
        <v>1.5800000000000002E-2</v>
      </c>
      <c r="E979">
        <v>1.7979999999999999E-2</v>
      </c>
      <c r="F979">
        <v>767504163.29999995</v>
      </c>
      <c r="G979">
        <v>0</v>
      </c>
      <c r="L979" t="s">
        <v>8</v>
      </c>
      <c r="M979" t="s">
        <v>8</v>
      </c>
      <c r="N979" t="s">
        <v>7</v>
      </c>
      <c r="P979">
        <f t="shared" si="1019"/>
        <v>0.5298245614035082</v>
      </c>
      <c r="Q979">
        <f t="shared" si="1020"/>
        <v>406642556.69578898</v>
      </c>
      <c r="R979">
        <f t="shared" si="1021"/>
        <v>-437335606.20150065</v>
      </c>
      <c r="S979">
        <f t="shared" si="1022"/>
        <v>-4373.3560620150065</v>
      </c>
      <c r="T979">
        <f t="shared" si="1023"/>
        <v>-4.3733560620150067</v>
      </c>
    </row>
    <row r="980" spans="1:20" x14ac:dyDescent="0.25">
      <c r="A980" s="5">
        <v>43613</v>
      </c>
      <c r="B980">
        <v>1.6420000000000001E-2</v>
      </c>
      <c r="C980">
        <v>1.704E-2</v>
      </c>
      <c r="D980">
        <v>1.55E-2</v>
      </c>
      <c r="E980">
        <v>1.643E-2</v>
      </c>
      <c r="F980">
        <v>488613396.5</v>
      </c>
      <c r="G980">
        <v>0</v>
      </c>
      <c r="L980" t="s">
        <v>7</v>
      </c>
      <c r="M980" t="s">
        <v>7</v>
      </c>
      <c r="N980" t="s">
        <v>7</v>
      </c>
      <c r="P980">
        <f t="shared" si="1019"/>
        <v>0.20779220779220839</v>
      </c>
      <c r="Q980">
        <f t="shared" si="1020"/>
        <v>101530056.41558471</v>
      </c>
      <c r="R980">
        <f t="shared" si="1021"/>
        <v>-843978162.89728963</v>
      </c>
      <c r="S980">
        <f t="shared" si="1022"/>
        <v>-8439.7816289728962</v>
      </c>
      <c r="T980">
        <f t="shared" si="1023"/>
        <v>-8.4397816289728969</v>
      </c>
    </row>
    <row r="981" spans="1:20" x14ac:dyDescent="0.25">
      <c r="A981" s="5">
        <v>43612</v>
      </c>
      <c r="B981">
        <v>1.7600000000000001E-2</v>
      </c>
      <c r="C981">
        <v>1.7999999999999999E-2</v>
      </c>
      <c r="D981">
        <v>1.575E-2</v>
      </c>
      <c r="E981">
        <v>1.6459999999999999E-2</v>
      </c>
      <c r="F981">
        <v>682880948.79999995</v>
      </c>
      <c r="G981">
        <v>0</v>
      </c>
      <c r="L981" t="s">
        <v>7</v>
      </c>
      <c r="M981" t="s">
        <v>7</v>
      </c>
      <c r="N981" t="s">
        <v>7</v>
      </c>
      <c r="P981">
        <f t="shared" si="1019"/>
        <v>-0.36888888888888954</v>
      </c>
      <c r="Q981">
        <f t="shared" si="1020"/>
        <v>-251907194.44622266</v>
      </c>
      <c r="R981">
        <f t="shared" si="1021"/>
        <v>-945508219.31287432</v>
      </c>
      <c r="S981">
        <f t="shared" si="1022"/>
        <v>-9455.0821931287428</v>
      </c>
      <c r="T981">
        <f t="shared" si="1023"/>
        <v>-9.4550821931287423</v>
      </c>
    </row>
    <row r="982" spans="1:20" x14ac:dyDescent="0.25">
      <c r="A982" s="5">
        <v>43611</v>
      </c>
      <c r="B982">
        <v>2.1950000000000001E-2</v>
      </c>
      <c r="C982">
        <v>2.308E-2</v>
      </c>
      <c r="D982">
        <v>1.6910000000000001E-2</v>
      </c>
      <c r="E982">
        <v>1.7559999999999999E-2</v>
      </c>
      <c r="F982">
        <v>1336342202.3</v>
      </c>
      <c r="G982">
        <v>0</v>
      </c>
      <c r="L982" t="s">
        <v>8</v>
      </c>
      <c r="M982" t="s">
        <v>8</v>
      </c>
      <c r="N982" t="s">
        <v>8</v>
      </c>
      <c r="P982">
        <f t="shared" si="1019"/>
        <v>-0.78930307941653222</v>
      </c>
      <c r="Q982">
        <f t="shared" si="1020"/>
        <v>-1054779015.4296604</v>
      </c>
      <c r="R982">
        <f t="shared" si="1021"/>
        <v>-693601024.86665165</v>
      </c>
      <c r="S982">
        <f t="shared" si="1022"/>
        <v>-6936.0102486665164</v>
      </c>
      <c r="T982">
        <f t="shared" si="1023"/>
        <v>-6.9360102486665163</v>
      </c>
    </row>
    <row r="983" spans="1:20" x14ac:dyDescent="0.25">
      <c r="A983" s="5">
        <v>43610</v>
      </c>
      <c r="B983">
        <v>1.5140000000000001E-2</v>
      </c>
      <c r="C983">
        <v>2.478E-2</v>
      </c>
      <c r="D983">
        <v>1.503E-2</v>
      </c>
      <c r="E983">
        <v>2.1999999999999999E-2</v>
      </c>
      <c r="F983">
        <v>2299062770.5</v>
      </c>
      <c r="G983">
        <v>0</v>
      </c>
      <c r="L983" t="s">
        <v>7</v>
      </c>
      <c r="M983" t="s">
        <v>7</v>
      </c>
      <c r="N983" t="s">
        <v>7</v>
      </c>
      <c r="P983">
        <f t="shared" si="1019"/>
        <v>0.4297435897435895</v>
      </c>
      <c r="Q983">
        <f t="shared" si="1020"/>
        <v>988007488.04051232</v>
      </c>
      <c r="R983">
        <f t="shared" si="1021"/>
        <v>361177990.56300879</v>
      </c>
      <c r="S983">
        <f t="shared" si="1022"/>
        <v>3611.7799056300878</v>
      </c>
      <c r="T983">
        <f t="shared" si="1023"/>
        <v>3.6117799056300877</v>
      </c>
    </row>
    <row r="984" spans="1:20" x14ac:dyDescent="0.25">
      <c r="A984" s="5">
        <v>43609</v>
      </c>
      <c r="B984">
        <v>2.5000000000000001E-2</v>
      </c>
      <c r="C984">
        <v>2.5999999999999999E-2</v>
      </c>
      <c r="D984">
        <v>1.222E-2</v>
      </c>
      <c r="E984">
        <v>1.515E-2</v>
      </c>
      <c r="F984">
        <v>1090620009.5</v>
      </c>
      <c r="G984">
        <v>0</v>
      </c>
      <c r="P984">
        <f t="shared" si="1019"/>
        <v>-0.57474600870827275</v>
      </c>
      <c r="Q984">
        <f t="shared" si="1020"/>
        <v>-626829497.47750354</v>
      </c>
      <c r="R984">
        <f t="shared" si="1021"/>
        <v>-626829497.47750354</v>
      </c>
      <c r="S984">
        <f t="shared" si="1022"/>
        <v>-6268.2949747750354</v>
      </c>
      <c r="T984">
        <f t="shared" si="1023"/>
        <v>-6.2682949747750349</v>
      </c>
    </row>
    <row r="985" spans="1:20" x14ac:dyDescent="0.25">
      <c r="A985" s="5"/>
      <c r="C985"/>
      <c r="D985"/>
    </row>
    <row r="986" spans="1:20" x14ac:dyDescent="0.25">
      <c r="A986" s="5"/>
      <c r="C986"/>
      <c r="D986"/>
    </row>
    <row r="987" spans="1:20" x14ac:dyDescent="0.25">
      <c r="A987" s="5"/>
      <c r="C987"/>
      <c r="D987"/>
    </row>
    <row r="988" spans="1:20" x14ac:dyDescent="0.25">
      <c r="A988" s="5"/>
      <c r="C988"/>
      <c r="D988"/>
    </row>
    <row r="989" spans="1:20" x14ac:dyDescent="0.25">
      <c r="A989" s="5"/>
      <c r="C989"/>
      <c r="D989"/>
    </row>
    <row r="990" spans="1:20" x14ac:dyDescent="0.25">
      <c r="A990" s="5"/>
      <c r="C990"/>
      <c r="D990"/>
    </row>
    <row r="991" spans="1:20" x14ac:dyDescent="0.25">
      <c r="A991" s="5"/>
      <c r="C991"/>
      <c r="D991"/>
    </row>
    <row r="992" spans="1:20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7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QP680" sqref="QP680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$A$679</v>
      </c>
      <c r="D111" s="1" t="str">
        <f>ADDRESS(C121-1,D121,1,1)</f>
        <v>$QP$679</v>
      </c>
      <c r="E111"/>
    </row>
    <row r="112" spans="1:5" x14ac:dyDescent="0.25">
      <c r="A112" s="7">
        <v>12164.144957890772</v>
      </c>
      <c r="C112" s="1" t="str">
        <f>ADDRESS(C121,1,1,1)</f>
        <v>$A$680</v>
      </c>
      <c r="D112" s="1" t="str">
        <f>ADDRESS(C121,D121-1,1,1)</f>
        <v>$QO$680</v>
      </c>
      <c r="E112"/>
    </row>
    <row r="113" spans="1:5" x14ac:dyDescent="0.25">
      <c r="A113" s="7">
        <v>11925.63231165762</v>
      </c>
      <c r="C113" s="1" t="str">
        <f>ADDRESS(C121+1,1,1,1)</f>
        <v>$A$681</v>
      </c>
      <c r="D113" s="1" t="str">
        <f>ADDRESS(C121-1,D121+1,1,1)</f>
        <v>$QQ$679</v>
      </c>
    </row>
    <row r="114" spans="1:5" x14ac:dyDescent="0.25">
      <c r="A114" s="7">
        <v>11691.796383978059</v>
      </c>
      <c r="C114" s="1" t="str">
        <f>ADDRESS(C121,D121,1,1)</f>
        <v>$QP$680</v>
      </c>
      <c r="D114" s="1" t="str">
        <f>ADDRESS(C121+1,D121+1,1,1)</f>
        <v>$QQ$681</v>
      </c>
    </row>
    <row r="115" spans="1:5" x14ac:dyDescent="0.25">
      <c r="A115" s="7">
        <v>11462.545474488292</v>
      </c>
      <c r="C115" s="1" t="str">
        <f>ADDRESS(C121+1,D121,1,1)</f>
        <v>$QP$681</v>
      </c>
    </row>
    <row r="116" spans="1:5" x14ac:dyDescent="0.25">
      <c r="A116" s="7">
        <v>11237.789680870874</v>
      </c>
      <c r="C116" s="1">
        <f>C117-1</f>
        <v>679</v>
      </c>
    </row>
    <row r="117" spans="1:5" x14ac:dyDescent="0.25">
      <c r="A117" s="7">
        <v>11017.440863598895</v>
      </c>
      <c r="C117" s="1">
        <f>C121</f>
        <v>680</v>
      </c>
      <c r="D117" s="1">
        <f>D121</f>
        <v>458</v>
      </c>
    </row>
    <row r="118" spans="1:5" x14ac:dyDescent="0.25">
      <c r="A118" s="7">
        <v>10801.412611371465</v>
      </c>
      <c r="C118" s="1">
        <f>C117+1</f>
        <v>681</v>
      </c>
      <c r="D118" s="1">
        <f>D117+1</f>
        <v>459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680</v>
      </c>
      <c r="D121" s="19">
        <v>458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R680</v>
      </c>
      <c r="D123" s="1" t="str">
        <f>"C"&amp;D121</f>
        <v>C458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0.15855649108315376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6" x14ac:dyDescent="0.25">
      <c r="A577" s="7">
        <v>1.2189944199947573</v>
      </c>
      <c r="B577"/>
      <c r="C577"/>
      <c r="D577"/>
      <c r="E577"/>
    </row>
    <row r="578" spans="1:6" x14ac:dyDescent="0.25">
      <c r="A578" s="7">
        <v>1.1950925686223111</v>
      </c>
      <c r="B578"/>
      <c r="C578"/>
      <c r="D578"/>
      <c r="E578"/>
    </row>
    <row r="579" spans="1:6" x14ac:dyDescent="0.25">
      <c r="A579" s="7">
        <v>1.1716593810022657</v>
      </c>
      <c r="B579"/>
      <c r="C579"/>
      <c r="D579"/>
      <c r="E579"/>
    </row>
    <row r="580" spans="1:6" x14ac:dyDescent="0.25">
      <c r="A580" s="7">
        <v>1.14868566764928</v>
      </c>
      <c r="B580"/>
      <c r="C580"/>
      <c r="D580"/>
      <c r="E580"/>
    </row>
    <row r="581" spans="1:6" x14ac:dyDescent="0.25">
      <c r="A581" s="7">
        <v>1.1261624192640001</v>
      </c>
      <c r="B581"/>
      <c r="C581"/>
      <c r="D581"/>
      <c r="E581"/>
    </row>
    <row r="582" spans="1:6" x14ac:dyDescent="0.25">
      <c r="A582" s="7">
        <v>1.1040808032</v>
      </c>
      <c r="B582"/>
      <c r="C582"/>
      <c r="D582"/>
      <c r="E582"/>
    </row>
    <row r="583" spans="1:6" x14ac:dyDescent="0.25">
      <c r="A583" s="7">
        <v>1.08243216</v>
      </c>
      <c r="B583"/>
      <c r="C583"/>
      <c r="D583"/>
      <c r="E583"/>
    </row>
    <row r="584" spans="1:6" x14ac:dyDescent="0.25">
      <c r="A584" s="7">
        <v>1.0612079999999999</v>
      </c>
      <c r="B584"/>
      <c r="C584"/>
      <c r="D584"/>
      <c r="E584"/>
    </row>
    <row r="585" spans="1:6" x14ac:dyDescent="0.25">
      <c r="A585" s="7">
        <v>1.0404</v>
      </c>
      <c r="B585"/>
      <c r="C585"/>
      <c r="D585"/>
      <c r="E585"/>
    </row>
    <row r="586" spans="1:6" x14ac:dyDescent="0.25">
      <c r="A586" s="7">
        <v>1.02</v>
      </c>
      <c r="B586"/>
      <c r="C586"/>
      <c r="D586"/>
      <c r="E586"/>
    </row>
    <row r="587" spans="1:6" x14ac:dyDescent="0.25">
      <c r="A587" s="7">
        <v>1</v>
      </c>
      <c r="B587"/>
      <c r="C587"/>
      <c r="D587"/>
      <c r="E587" s="29" t="s">
        <v>8</v>
      </c>
    </row>
    <row r="588" spans="1:6" x14ac:dyDescent="0.25">
      <c r="A588" s="7">
        <v>0.98039215686274506</v>
      </c>
      <c r="B588"/>
      <c r="C588"/>
      <c r="D588"/>
      <c r="E588"/>
      <c r="F588" s="27" t="s">
        <v>7</v>
      </c>
    </row>
    <row r="589" spans="1:6" x14ac:dyDescent="0.25">
      <c r="A589" s="7">
        <v>0.96116878123798544</v>
      </c>
      <c r="B589"/>
      <c r="C589"/>
      <c r="D589"/>
      <c r="E589"/>
      <c r="F589" s="27" t="s">
        <v>7</v>
      </c>
    </row>
    <row r="590" spans="1:6" x14ac:dyDescent="0.25">
      <c r="A590" s="7">
        <v>0.94232233454704462</v>
      </c>
      <c r="B590"/>
      <c r="C590"/>
      <c r="D590"/>
      <c r="E590"/>
      <c r="F590" s="27" t="s">
        <v>7</v>
      </c>
    </row>
    <row r="591" spans="1:6" x14ac:dyDescent="0.25">
      <c r="A591" s="7">
        <v>0.92384542602651432</v>
      </c>
      <c r="B591"/>
      <c r="C591"/>
      <c r="D591"/>
      <c r="E591"/>
      <c r="F591" s="27" t="s">
        <v>7</v>
      </c>
    </row>
    <row r="592" spans="1:6" x14ac:dyDescent="0.25">
      <c r="A592" s="7">
        <v>0.90573080982991594</v>
      </c>
      <c r="B592"/>
      <c r="C592"/>
      <c r="D592"/>
      <c r="E592"/>
      <c r="F592" s="27" t="s">
        <v>7</v>
      </c>
    </row>
    <row r="593" spans="1:358" x14ac:dyDescent="0.25">
      <c r="A593" s="7">
        <v>0.8879713821861922</v>
      </c>
      <c r="B593"/>
      <c r="C593"/>
      <c r="D593"/>
      <c r="E593"/>
      <c r="F593" s="27" t="s">
        <v>7</v>
      </c>
    </row>
    <row r="594" spans="1:358" x14ac:dyDescent="0.25">
      <c r="A594" s="7">
        <v>0.87056017861391399</v>
      </c>
      <c r="B594"/>
      <c r="C594"/>
      <c r="D594"/>
      <c r="E594"/>
      <c r="F594" s="27" t="s">
        <v>7</v>
      </c>
    </row>
    <row r="595" spans="1:358" x14ac:dyDescent="0.25">
      <c r="A595" s="7">
        <v>0.85349037119011173</v>
      </c>
      <c r="B595"/>
      <c r="C595"/>
      <c r="D595"/>
      <c r="E595"/>
      <c r="F595" s="27" t="s">
        <v>7</v>
      </c>
    </row>
    <row r="596" spans="1:358" x14ac:dyDescent="0.25">
      <c r="A596" s="7">
        <v>0.83675526587265858</v>
      </c>
      <c r="B596"/>
      <c r="C596"/>
      <c r="D596"/>
      <c r="E596"/>
      <c r="F596" s="27" t="s">
        <v>7</v>
      </c>
    </row>
    <row r="597" spans="1:358" x14ac:dyDescent="0.25">
      <c r="A597" s="7">
        <v>0.82034829987515545</v>
      </c>
      <c r="B597"/>
      <c r="C597"/>
      <c r="D597"/>
      <c r="E597"/>
      <c r="F597" s="27" t="s">
        <v>7</v>
      </c>
    </row>
    <row r="598" spans="1:358" x14ac:dyDescent="0.25">
      <c r="A598" s="7">
        <v>0.80426303909328967</v>
      </c>
      <c r="B598"/>
      <c r="C598"/>
      <c r="D598"/>
      <c r="E598"/>
      <c r="F598" s="27" t="s">
        <v>7</v>
      </c>
    </row>
    <row r="599" spans="1:358" x14ac:dyDescent="0.25">
      <c r="A599" s="7">
        <v>0.78849317558165644</v>
      </c>
      <c r="B599"/>
      <c r="C599"/>
      <c r="D599"/>
      <c r="E599"/>
      <c r="F599" s="27" t="s">
        <v>7</v>
      </c>
    </row>
    <row r="600" spans="1:358" x14ac:dyDescent="0.25">
      <c r="A600" s="7">
        <v>0.77303252508005538</v>
      </c>
      <c r="B600"/>
      <c r="C600"/>
      <c r="D600"/>
      <c r="E600"/>
      <c r="F600" s="27" t="s">
        <v>7</v>
      </c>
    </row>
    <row r="601" spans="1:358" x14ac:dyDescent="0.25">
      <c r="A601" s="7">
        <v>0.75787502458828959</v>
      </c>
      <c r="B601"/>
      <c r="C601"/>
      <c r="D601"/>
      <c r="E601"/>
      <c r="F601" s="27" t="s">
        <v>7</v>
      </c>
    </row>
    <row r="602" spans="1:358" x14ac:dyDescent="0.25">
      <c r="A602" s="7">
        <v>0.74301472998851925</v>
      </c>
      <c r="B602"/>
      <c r="C602"/>
      <c r="D602"/>
      <c r="E602"/>
      <c r="F602" s="27" t="s">
        <v>7</v>
      </c>
    </row>
    <row r="603" spans="1:358" x14ac:dyDescent="0.25">
      <c r="A603" s="7">
        <v>0.72844581371423456</v>
      </c>
      <c r="B603"/>
      <c r="C603"/>
      <c r="D603"/>
      <c r="E603"/>
      <c r="F603" s="27" t="s">
        <v>7</v>
      </c>
    </row>
    <row r="604" spans="1:358" x14ac:dyDescent="0.25">
      <c r="A604" s="7">
        <v>0.71416256246493581</v>
      </c>
      <c r="B604"/>
      <c r="C604"/>
      <c r="D604"/>
      <c r="E604"/>
      <c r="F604" s="27" t="s">
        <v>7</v>
      </c>
    </row>
    <row r="605" spans="1:358" x14ac:dyDescent="0.25">
      <c r="A605" s="7">
        <v>0.7001593749656233</v>
      </c>
      <c r="B605"/>
      <c r="C605"/>
      <c r="D605"/>
      <c r="E605"/>
      <c r="F605" s="27" t="s">
        <v>7</v>
      </c>
    </row>
    <row r="606" spans="1:358" x14ac:dyDescent="0.25">
      <c r="A606" s="7">
        <v>0.68643075977021883</v>
      </c>
      <c r="B606"/>
      <c r="C606"/>
      <c r="D606"/>
      <c r="E606"/>
      <c r="F606" s="27" t="s">
        <v>7</v>
      </c>
    </row>
    <row r="607" spans="1:358" x14ac:dyDescent="0.25">
      <c r="A607" s="7">
        <v>0.67297133310805768</v>
      </c>
      <c r="B607"/>
      <c r="C607"/>
      <c r="D607"/>
      <c r="E607"/>
      <c r="F607" s="27" t="s">
        <v>7</v>
      </c>
      <c r="MS607" s="27" t="s">
        <v>8</v>
      </c>
    </row>
    <row r="608" spans="1:358" x14ac:dyDescent="0.25">
      <c r="A608" s="7">
        <v>0.65977581677260566</v>
      </c>
      <c r="B608"/>
      <c r="C608"/>
      <c r="D608"/>
      <c r="E608"/>
      <c r="F608" s="27" t="s">
        <v>7</v>
      </c>
      <c r="MS608" s="27" t="s">
        <v>8</v>
      </c>
      <c r="MT608" s="27" t="s">
        <v>7</v>
      </c>
    </row>
    <row r="609" spans="1:364" x14ac:dyDescent="0.25">
      <c r="A609" s="7">
        <v>0.64683903605157422</v>
      </c>
      <c r="B609"/>
      <c r="C609"/>
      <c r="D609"/>
      <c r="E609"/>
      <c r="F609" s="27" t="s">
        <v>7</v>
      </c>
      <c r="MS609" s="27" t="s">
        <v>8</v>
      </c>
      <c r="MT609" s="27" t="s">
        <v>7</v>
      </c>
    </row>
    <row r="610" spans="1:364" x14ac:dyDescent="0.25">
      <c r="A610" s="7">
        <v>0.63415591769762181</v>
      </c>
      <c r="B610"/>
      <c r="C610"/>
      <c r="D610"/>
      <c r="E610"/>
      <c r="F610" s="27" t="s">
        <v>7</v>
      </c>
      <c r="MS610" s="27" t="s">
        <v>8</v>
      </c>
      <c r="MT610" s="27" t="s">
        <v>7</v>
      </c>
      <c r="MW610" s="27" t="s">
        <v>8</v>
      </c>
    </row>
    <row r="611" spans="1:364" x14ac:dyDescent="0.25">
      <c r="A611" s="7">
        <v>0.62172148793884496</v>
      </c>
      <c r="B611"/>
      <c r="C611"/>
      <c r="D611"/>
      <c r="E611"/>
      <c r="F611" s="27" t="s">
        <v>7</v>
      </c>
      <c r="MS611" s="27" t="s">
        <v>8</v>
      </c>
      <c r="MT611" s="27" t="s">
        <v>7</v>
      </c>
      <c r="MW611" s="27" t="s">
        <v>8</v>
      </c>
      <c r="MX611" s="27" t="s">
        <v>7</v>
      </c>
    </row>
    <row r="612" spans="1:364" x14ac:dyDescent="0.25">
      <c r="A612" s="7">
        <v>0.60953087052827937</v>
      </c>
      <c r="B612"/>
      <c r="C612"/>
      <c r="D612"/>
      <c r="E612"/>
      <c r="F612" s="27" t="s">
        <v>7</v>
      </c>
      <c r="MS612" s="27" t="s">
        <v>8</v>
      </c>
      <c r="MT612" s="27" t="s">
        <v>7</v>
      </c>
      <c r="MW612" s="27" t="s">
        <v>8</v>
      </c>
      <c r="MX612" s="27" t="s">
        <v>7</v>
      </c>
    </row>
    <row r="613" spans="1:364" x14ac:dyDescent="0.25">
      <c r="A613" s="7">
        <v>0.59757928483164646</v>
      </c>
      <c r="B613"/>
      <c r="C613"/>
      <c r="D613"/>
      <c r="E613"/>
      <c r="F613" s="27" t="s">
        <v>7</v>
      </c>
      <c r="MS613" s="27" t="s">
        <v>8</v>
      </c>
      <c r="MT613" s="27" t="s">
        <v>7</v>
      </c>
      <c r="MU613" s="27" t="s">
        <v>8</v>
      </c>
      <c r="MW613" s="27" t="s">
        <v>8</v>
      </c>
      <c r="MX613" s="27" t="s">
        <v>7</v>
      </c>
    </row>
    <row r="614" spans="1:364" x14ac:dyDescent="0.25">
      <c r="A614" s="7">
        <v>0.58586204395259456</v>
      </c>
      <c r="B614"/>
      <c r="C614"/>
      <c r="D614"/>
      <c r="E614"/>
      <c r="F614" s="27" t="s">
        <v>7</v>
      </c>
      <c r="MS614" s="27" t="s">
        <v>8</v>
      </c>
      <c r="MT614" s="27" t="s">
        <v>7</v>
      </c>
      <c r="MU614" s="27" t="s">
        <v>8</v>
      </c>
      <c r="MV614" s="27" t="s">
        <v>7</v>
      </c>
      <c r="MW614" s="27" t="s">
        <v>8</v>
      </c>
      <c r="MX614" s="27" t="s">
        <v>7</v>
      </c>
    </row>
    <row r="615" spans="1:364" x14ac:dyDescent="0.25">
      <c r="A615" s="7">
        <v>0.57437455289470052</v>
      </c>
      <c r="B615"/>
      <c r="C615"/>
      <c r="D615"/>
      <c r="E615"/>
      <c r="F615" s="27" t="s">
        <v>7</v>
      </c>
      <c r="MS615" s="27" t="s">
        <v>8</v>
      </c>
      <c r="MT615" s="27" t="s">
        <v>7</v>
      </c>
      <c r="MU615" s="27" t="s">
        <v>8</v>
      </c>
      <c r="MV615" s="27" t="s">
        <v>7</v>
      </c>
      <c r="MW615" s="27" t="s">
        <v>8</v>
      </c>
      <c r="MX615" s="27" t="s">
        <v>7</v>
      </c>
    </row>
    <row r="616" spans="1:364" x14ac:dyDescent="0.25">
      <c r="A616" s="7">
        <v>0.56311230675951029</v>
      </c>
      <c r="B616"/>
      <c r="C616"/>
      <c r="D616"/>
      <c r="E616"/>
      <c r="F616" s="27" t="s">
        <v>7</v>
      </c>
      <c r="KY616" s="27" t="s">
        <v>8</v>
      </c>
      <c r="MS616" s="27" t="s">
        <v>8</v>
      </c>
      <c r="MT616" s="27" t="s">
        <v>7</v>
      </c>
      <c r="MU616" s="27" t="s">
        <v>8</v>
      </c>
      <c r="MV616" s="27" t="s">
        <v>7</v>
      </c>
      <c r="MW616" s="27" t="s">
        <v>8</v>
      </c>
      <c r="MX616" s="27" t="s">
        <v>7</v>
      </c>
    </row>
    <row r="617" spans="1:364" x14ac:dyDescent="0.25">
      <c r="A617" s="7">
        <v>0.55207088897991208</v>
      </c>
      <c r="B617"/>
      <c r="C617"/>
      <c r="D617"/>
      <c r="E617"/>
      <c r="F617" s="27" t="s">
        <v>7</v>
      </c>
      <c r="KY617" s="27" t="s">
        <v>8</v>
      </c>
      <c r="KZ617" s="27" t="s">
        <v>7</v>
      </c>
      <c r="MS617" s="27" t="s">
        <v>8</v>
      </c>
      <c r="MT617" s="27" t="s">
        <v>7</v>
      </c>
      <c r="MU617" s="27" t="s">
        <v>8</v>
      </c>
      <c r="MV617" s="27" t="s">
        <v>7</v>
      </c>
      <c r="MW617" s="27" t="s">
        <v>8</v>
      </c>
      <c r="MX617" s="27" t="s">
        <v>7</v>
      </c>
    </row>
    <row r="618" spans="1:364" x14ac:dyDescent="0.25">
      <c r="A618" s="7">
        <v>0.54124596958814908</v>
      </c>
      <c r="B618"/>
      <c r="C618"/>
      <c r="D618"/>
      <c r="E618"/>
      <c r="F618" s="27" t="s">
        <v>7</v>
      </c>
      <c r="KY618" s="27" t="s">
        <v>8</v>
      </c>
      <c r="KZ618" s="27" t="s">
        <v>7</v>
      </c>
      <c r="MS618" s="27" t="s">
        <v>8</v>
      </c>
      <c r="MT618" s="27" t="s">
        <v>7</v>
      </c>
      <c r="MU618" s="27" t="s">
        <v>8</v>
      </c>
      <c r="MV618" s="27" t="s">
        <v>7</v>
      </c>
      <c r="MW618" s="27" t="s">
        <v>8</v>
      </c>
      <c r="MX618" s="27" t="s">
        <v>7</v>
      </c>
    </row>
    <row r="619" spans="1:364" x14ac:dyDescent="0.25">
      <c r="A619" s="7">
        <v>0.53063330351779314</v>
      </c>
      <c r="B619"/>
      <c r="C619"/>
      <c r="D619"/>
      <c r="E619"/>
      <c r="F619" s="27" t="s">
        <v>7</v>
      </c>
      <c r="KY619" s="27" t="s">
        <v>8</v>
      </c>
      <c r="KZ619" s="27" t="s">
        <v>7</v>
      </c>
      <c r="MS619" s="27" t="s">
        <v>8</v>
      </c>
      <c r="MT619" s="27" t="s">
        <v>7</v>
      </c>
      <c r="MU619" s="27" t="s">
        <v>8</v>
      </c>
      <c r="MV619" s="27" t="s">
        <v>7</v>
      </c>
      <c r="MW619" s="27" t="s">
        <v>8</v>
      </c>
      <c r="MX619" s="27" t="s">
        <v>7</v>
      </c>
    </row>
    <row r="620" spans="1:364" x14ac:dyDescent="0.25">
      <c r="A620" s="7">
        <v>0.52022872893901284</v>
      </c>
      <c r="B620"/>
      <c r="C620"/>
      <c r="D620"/>
      <c r="E620"/>
      <c r="F620" s="27" t="s">
        <v>7</v>
      </c>
      <c r="KY620" s="27" t="s">
        <v>8</v>
      </c>
      <c r="KZ620" s="27" t="s">
        <v>7</v>
      </c>
      <c r="MS620" s="27" t="s">
        <v>8</v>
      </c>
      <c r="MT620" s="27" t="s">
        <v>7</v>
      </c>
      <c r="MU620" s="27" t="s">
        <v>8</v>
      </c>
      <c r="MV620" s="27" t="s">
        <v>7</v>
      </c>
      <c r="MW620" s="27" t="s">
        <v>8</v>
      </c>
      <c r="MX620" s="27" t="s">
        <v>7</v>
      </c>
    </row>
    <row r="621" spans="1:364" x14ac:dyDescent="0.25">
      <c r="A621" s="7">
        <v>0.51002816562648323</v>
      </c>
      <c r="B621"/>
      <c r="C621"/>
      <c r="D621"/>
      <c r="E621"/>
      <c r="F621" s="27" t="s">
        <v>7</v>
      </c>
      <c r="KY621" s="27" t="s">
        <v>8</v>
      </c>
      <c r="KZ621" s="27" t="s">
        <v>7</v>
      </c>
      <c r="MS621" s="27" t="s">
        <v>8</v>
      </c>
      <c r="MT621" s="27" t="s">
        <v>7</v>
      </c>
      <c r="MU621" s="27" t="s">
        <v>8</v>
      </c>
      <c r="MV621" s="27" t="s">
        <v>7</v>
      </c>
      <c r="MW621" s="27" t="s">
        <v>8</v>
      </c>
      <c r="MX621" s="27" t="s">
        <v>7</v>
      </c>
    </row>
    <row r="622" spans="1:364" x14ac:dyDescent="0.25">
      <c r="A622" s="7">
        <v>0.50002761335929735</v>
      </c>
      <c r="B622"/>
      <c r="C622"/>
      <c r="D622"/>
      <c r="E622"/>
      <c r="F622" s="27" t="s">
        <v>7</v>
      </c>
      <c r="KY622" s="27" t="s">
        <v>8</v>
      </c>
      <c r="KZ622" s="27" t="s">
        <v>7</v>
      </c>
      <c r="MS622" s="27" t="s">
        <v>8</v>
      </c>
      <c r="MT622" s="27" t="s">
        <v>7</v>
      </c>
      <c r="MU622" s="27" t="s">
        <v>8</v>
      </c>
      <c r="MV622" s="27" t="s">
        <v>7</v>
      </c>
      <c r="MW622" s="27" t="s">
        <v>8</v>
      </c>
      <c r="MX622" s="27" t="s">
        <v>7</v>
      </c>
    </row>
    <row r="623" spans="1:364" x14ac:dyDescent="0.25">
      <c r="A623" s="7">
        <v>0.49022315035225228</v>
      </c>
      <c r="B623"/>
      <c r="C623"/>
      <c r="D623"/>
      <c r="E623"/>
      <c r="F623" s="27" t="s">
        <v>7</v>
      </c>
      <c r="KY623" s="27" t="s">
        <v>8</v>
      </c>
      <c r="KZ623" s="27" t="s">
        <v>7</v>
      </c>
      <c r="MQ623" s="27" t="s">
        <v>8</v>
      </c>
      <c r="MS623" s="27" t="s">
        <v>8</v>
      </c>
      <c r="MT623" s="27" t="s">
        <v>7</v>
      </c>
      <c r="MU623" s="27" t="s">
        <v>8</v>
      </c>
      <c r="MV623" s="27" t="s">
        <v>7</v>
      </c>
      <c r="MW623" s="27" t="s">
        <v>8</v>
      </c>
      <c r="MX623" s="27" t="s">
        <v>7</v>
      </c>
      <c r="MY623" s="27" t="s">
        <v>8</v>
      </c>
    </row>
    <row r="624" spans="1:364" x14ac:dyDescent="0.25">
      <c r="A624" s="7">
        <v>0.48061093171789437</v>
      </c>
      <c r="B624"/>
      <c r="C624"/>
      <c r="D624"/>
      <c r="E624"/>
      <c r="F624" s="27" t="s">
        <v>7</v>
      </c>
      <c r="KY624" s="27" t="s">
        <v>8</v>
      </c>
      <c r="KZ624" s="27" t="s">
        <v>7</v>
      </c>
      <c r="MQ624" s="27" t="s">
        <v>8</v>
      </c>
      <c r="MR624" s="27" t="s">
        <v>7</v>
      </c>
      <c r="MS624" s="27" t="s">
        <v>8</v>
      </c>
      <c r="MT624" s="27" t="s">
        <v>7</v>
      </c>
      <c r="MU624" s="27" t="s">
        <v>8</v>
      </c>
      <c r="MV624" s="27" t="s">
        <v>7</v>
      </c>
      <c r="MX624" s="27" t="s">
        <v>7</v>
      </c>
      <c r="MY624" s="27" t="s">
        <v>8</v>
      </c>
      <c r="MZ624" s="27" t="s">
        <v>7</v>
      </c>
    </row>
    <row r="625" spans="1:418" x14ac:dyDescent="0.25">
      <c r="A625" s="7">
        <v>0.47118718795871994</v>
      </c>
      <c r="B625"/>
      <c r="C625"/>
      <c r="D625"/>
      <c r="E625"/>
      <c r="F625" s="27" t="s">
        <v>7</v>
      </c>
      <c r="KY625" s="27" t="s">
        <v>8</v>
      </c>
      <c r="KZ625" s="27" t="s">
        <v>7</v>
      </c>
      <c r="LG625" s="27" t="s">
        <v>8</v>
      </c>
      <c r="MQ625" s="27" t="s">
        <v>8</v>
      </c>
      <c r="MR625" s="27" t="s">
        <v>7</v>
      </c>
      <c r="MS625" s="27" t="s">
        <v>8</v>
      </c>
      <c r="MT625" s="27" t="s">
        <v>7</v>
      </c>
      <c r="MU625" s="27" t="s">
        <v>8</v>
      </c>
      <c r="MX625" s="27" t="s">
        <v>7</v>
      </c>
      <c r="MY625" s="27" t="s">
        <v>8</v>
      </c>
      <c r="MZ625" s="27" t="s">
        <v>7</v>
      </c>
    </row>
    <row r="626" spans="1:418" x14ac:dyDescent="0.25">
      <c r="A626" s="7">
        <v>0.46194822348894116</v>
      </c>
      <c r="B626"/>
      <c r="C626"/>
      <c r="D626"/>
      <c r="E626"/>
      <c r="F626" s="27" t="s">
        <v>7</v>
      </c>
      <c r="KY626" s="27" t="s">
        <v>8</v>
      </c>
      <c r="KZ626" s="27" t="s">
        <v>7</v>
      </c>
      <c r="LG626" s="27" t="s">
        <v>8</v>
      </c>
      <c r="LH626" s="27" t="s">
        <v>7</v>
      </c>
      <c r="MQ626" s="27" t="s">
        <v>8</v>
      </c>
      <c r="MR626" s="27" t="s">
        <v>7</v>
      </c>
      <c r="MS626" s="27" t="s">
        <v>8</v>
      </c>
      <c r="MT626" s="27" t="s">
        <v>7</v>
      </c>
      <c r="MU626" s="27" t="s">
        <v>8</v>
      </c>
      <c r="MX626" s="27" t="s">
        <v>7</v>
      </c>
      <c r="MY626" s="27" t="s">
        <v>8</v>
      </c>
      <c r="MZ626" s="27" t="s">
        <v>7</v>
      </c>
      <c r="OC626" s="27" t="s">
        <v>8</v>
      </c>
    </row>
    <row r="627" spans="1:418" x14ac:dyDescent="0.25">
      <c r="A627" s="7">
        <v>0.45289041518523643</v>
      </c>
      <c r="B627"/>
      <c r="C627"/>
      <c r="D627"/>
      <c r="E627"/>
      <c r="F627" s="27" t="s">
        <v>7</v>
      </c>
      <c r="KS627" s="27" t="s">
        <v>8</v>
      </c>
      <c r="KY627" s="27" t="s">
        <v>8</v>
      </c>
      <c r="KZ627" s="27" t="s">
        <v>7</v>
      </c>
      <c r="LG627" s="27" t="s">
        <v>8</v>
      </c>
      <c r="LH627" s="27" t="s">
        <v>7</v>
      </c>
      <c r="MQ627" s="27" t="s">
        <v>8</v>
      </c>
      <c r="MR627" s="27" t="s">
        <v>7</v>
      </c>
      <c r="MS627" s="27" t="s">
        <v>8</v>
      </c>
      <c r="MT627" s="27" t="s">
        <v>7</v>
      </c>
      <c r="MU627" s="27" t="s">
        <v>8</v>
      </c>
      <c r="MX627" s="27" t="s">
        <v>7</v>
      </c>
      <c r="MY627" s="27" t="s">
        <v>8</v>
      </c>
      <c r="MZ627" s="27" t="s">
        <v>7</v>
      </c>
      <c r="OC627" s="27" t="s">
        <v>8</v>
      </c>
      <c r="OD627" s="27" t="s">
        <v>7</v>
      </c>
    </row>
    <row r="628" spans="1:418" x14ac:dyDescent="0.25">
      <c r="A628" s="7">
        <v>0.44401021096591808</v>
      </c>
      <c r="B628"/>
      <c r="C628"/>
      <c r="D628"/>
      <c r="E628"/>
      <c r="F628" s="27" t="s">
        <v>7</v>
      </c>
      <c r="KS628" s="27" t="s">
        <v>8</v>
      </c>
      <c r="KT628" s="27" t="s">
        <v>7</v>
      </c>
      <c r="KY628" s="27" t="s">
        <v>8</v>
      </c>
      <c r="KZ628" s="27" t="s">
        <v>7</v>
      </c>
      <c r="LC628" s="27" t="s">
        <v>8</v>
      </c>
      <c r="LE628" s="27" t="s">
        <v>8</v>
      </c>
      <c r="LG628" s="27" t="s">
        <v>8</v>
      </c>
      <c r="LH628" s="27" t="s">
        <v>7</v>
      </c>
      <c r="MQ628" s="27" t="s">
        <v>8</v>
      </c>
      <c r="MR628" s="27" t="s">
        <v>7</v>
      </c>
      <c r="MS628" s="27" t="s">
        <v>8</v>
      </c>
      <c r="MT628" s="27" t="s">
        <v>7</v>
      </c>
      <c r="MU628" s="27" t="s">
        <v>8</v>
      </c>
      <c r="MX628" s="27" t="s">
        <v>7</v>
      </c>
      <c r="MY628" s="27" t="s">
        <v>8</v>
      </c>
      <c r="MZ628" s="27" t="s">
        <v>7</v>
      </c>
      <c r="NA628" s="27" t="s">
        <v>8</v>
      </c>
      <c r="OC628" s="27" t="s">
        <v>8</v>
      </c>
      <c r="OD628" s="27" t="s">
        <v>7</v>
      </c>
    </row>
    <row r="629" spans="1:418" x14ac:dyDescent="0.25">
      <c r="A629" s="7">
        <v>0.4353041283979589</v>
      </c>
      <c r="B629"/>
      <c r="C629"/>
      <c r="D629"/>
      <c r="E629"/>
      <c r="F629" s="27" t="s">
        <v>7</v>
      </c>
      <c r="KS629" s="27" t="s">
        <v>8</v>
      </c>
      <c r="KT629" s="27" t="s">
        <v>7</v>
      </c>
      <c r="KY629" s="27" t="s">
        <v>8</v>
      </c>
      <c r="KZ629" s="27" t="s">
        <v>7</v>
      </c>
      <c r="LC629" s="27" t="s">
        <v>8</v>
      </c>
      <c r="LD629" s="27" t="s">
        <v>7</v>
      </c>
      <c r="LE629" s="27" t="s">
        <v>8</v>
      </c>
      <c r="LF629" s="27" t="s">
        <v>7</v>
      </c>
      <c r="LG629" s="27" t="s">
        <v>8</v>
      </c>
      <c r="LH629" s="27" t="s">
        <v>7</v>
      </c>
      <c r="MQ629" s="27" t="s">
        <v>8</v>
      </c>
      <c r="MR629" s="27" t="s">
        <v>7</v>
      </c>
      <c r="MS629" s="27" t="s">
        <v>8</v>
      </c>
      <c r="MT629" s="27" t="s">
        <v>7</v>
      </c>
      <c r="MU629" s="27" t="s">
        <v>8</v>
      </c>
      <c r="MX629" s="27" t="s">
        <v>7</v>
      </c>
      <c r="MY629" s="27" t="s">
        <v>8</v>
      </c>
      <c r="MZ629" s="27" t="s">
        <v>7</v>
      </c>
      <c r="NA629" s="27" t="s">
        <v>8</v>
      </c>
      <c r="NB629" s="27" t="s">
        <v>7</v>
      </c>
      <c r="OC629" s="27" t="s">
        <v>8</v>
      </c>
      <c r="OD629" s="27" t="s">
        <v>7</v>
      </c>
    </row>
    <row r="630" spans="1:418" x14ac:dyDescent="0.25">
      <c r="A630" s="7">
        <v>0.4267687533313323</v>
      </c>
      <c r="B630"/>
      <c r="C630"/>
      <c r="D630"/>
      <c r="E630"/>
      <c r="F630" s="27" t="s">
        <v>7</v>
      </c>
      <c r="KS630" s="27" t="s">
        <v>8</v>
      </c>
      <c r="KT630" s="27" t="s">
        <v>7</v>
      </c>
      <c r="KY630" s="27" t="s">
        <v>8</v>
      </c>
      <c r="KZ630" s="27" t="s">
        <v>7</v>
      </c>
      <c r="LC630" s="27" t="s">
        <v>8</v>
      </c>
      <c r="LD630" s="27" t="s">
        <v>7</v>
      </c>
      <c r="LE630" s="27" t="s">
        <v>8</v>
      </c>
      <c r="LF630" s="27" t="s">
        <v>7</v>
      </c>
      <c r="LG630" s="27" t="s">
        <v>8</v>
      </c>
      <c r="LH630" s="27" t="s">
        <v>7</v>
      </c>
      <c r="MQ630" s="27" t="s">
        <v>8</v>
      </c>
      <c r="MR630" s="27" t="s">
        <v>7</v>
      </c>
      <c r="MS630" s="27" t="s">
        <v>8</v>
      </c>
      <c r="MT630" s="27" t="s">
        <v>7</v>
      </c>
      <c r="MU630" s="27" t="s">
        <v>8</v>
      </c>
      <c r="MX630" s="27" t="s">
        <v>7</v>
      </c>
      <c r="MY630" s="27" t="s">
        <v>8</v>
      </c>
      <c r="MZ630" s="27" t="s">
        <v>7</v>
      </c>
      <c r="NA630" s="27" t="s">
        <v>8</v>
      </c>
      <c r="NB630" s="27" t="s">
        <v>7</v>
      </c>
      <c r="OC630" s="27" t="s">
        <v>8</v>
      </c>
      <c r="OD630" s="27" t="s">
        <v>7</v>
      </c>
    </row>
    <row r="631" spans="1:418" x14ac:dyDescent="0.25">
      <c r="A631" s="7">
        <v>0.41840073856012971</v>
      </c>
      <c r="B631"/>
      <c r="C631"/>
      <c r="D631"/>
      <c r="E631"/>
      <c r="F631" s="27" t="s">
        <v>7</v>
      </c>
      <c r="KS631" s="27" t="s">
        <v>8</v>
      </c>
      <c r="KT631" s="27" t="s">
        <v>7</v>
      </c>
      <c r="KY631" s="27" t="s">
        <v>8</v>
      </c>
      <c r="KZ631" s="27" t="s">
        <v>7</v>
      </c>
      <c r="LA631" s="27" t="s">
        <v>8</v>
      </c>
      <c r="LC631" s="27" t="s">
        <v>8</v>
      </c>
      <c r="LD631" s="27" t="s">
        <v>7</v>
      </c>
      <c r="LE631" s="27" t="s">
        <v>8</v>
      </c>
      <c r="LF631" s="27" t="s">
        <v>7</v>
      </c>
      <c r="LG631" s="27" t="s">
        <v>8</v>
      </c>
      <c r="LH631" s="27" t="s">
        <v>7</v>
      </c>
      <c r="LO631" s="27" t="s">
        <v>8</v>
      </c>
      <c r="MA631" s="27" t="s">
        <v>8</v>
      </c>
      <c r="MC631" s="27" t="s">
        <v>8</v>
      </c>
      <c r="MQ631" s="27" t="s">
        <v>8</v>
      </c>
      <c r="MR631" s="27" t="s">
        <v>7</v>
      </c>
      <c r="MT631" s="27" t="s">
        <v>7</v>
      </c>
      <c r="MU631" s="27" t="s">
        <v>8</v>
      </c>
      <c r="MX631" s="27" t="s">
        <v>7</v>
      </c>
      <c r="MY631" s="27" t="s">
        <v>8</v>
      </c>
      <c r="MZ631" s="27" t="s">
        <v>7</v>
      </c>
      <c r="NA631" s="27" t="s">
        <v>8</v>
      </c>
      <c r="NB631" s="27" t="s">
        <v>7</v>
      </c>
      <c r="OC631" s="27" t="s">
        <v>8</v>
      </c>
      <c r="OD631" s="27" t="s">
        <v>7</v>
      </c>
    </row>
    <row r="632" spans="1:418" x14ac:dyDescent="0.25">
      <c r="A632" s="7">
        <v>0.41019680250993112</v>
      </c>
      <c r="B632"/>
      <c r="C632"/>
      <c r="D632"/>
      <c r="E632"/>
      <c r="F632" s="27" t="s">
        <v>7</v>
      </c>
      <c r="KS632" s="27" t="s">
        <v>8</v>
      </c>
      <c r="KT632" s="27" t="s">
        <v>7</v>
      </c>
      <c r="KY632" s="27" t="s">
        <v>8</v>
      </c>
      <c r="KZ632" s="27" t="s">
        <v>7</v>
      </c>
      <c r="LA632" s="27" t="s">
        <v>8</v>
      </c>
      <c r="LB632" s="27" t="s">
        <v>7</v>
      </c>
      <c r="LC632" s="27" t="s">
        <v>8</v>
      </c>
      <c r="LD632" s="27" t="s">
        <v>7</v>
      </c>
      <c r="LE632" s="27" t="s">
        <v>8</v>
      </c>
      <c r="LF632" s="27" t="s">
        <v>7</v>
      </c>
      <c r="LH632" s="27" t="s">
        <v>7</v>
      </c>
      <c r="LO632" s="27" t="s">
        <v>8</v>
      </c>
      <c r="LP632" s="27" t="s">
        <v>7</v>
      </c>
      <c r="MA632" s="27" t="s">
        <v>8</v>
      </c>
      <c r="MB632" s="27" t="s">
        <v>7</v>
      </c>
      <c r="MC632" s="27" t="s">
        <v>8</v>
      </c>
      <c r="MD632" s="27" t="s">
        <v>7</v>
      </c>
      <c r="MQ632" s="27" t="s">
        <v>8</v>
      </c>
      <c r="MT632" s="27" t="s">
        <v>7</v>
      </c>
      <c r="MX632" s="27" t="s">
        <v>7</v>
      </c>
      <c r="MY632" s="27" t="s">
        <v>8</v>
      </c>
      <c r="MZ632" s="27" t="s">
        <v>7</v>
      </c>
      <c r="NA632" s="27" t="s">
        <v>8</v>
      </c>
      <c r="NB632" s="27" t="s">
        <v>7</v>
      </c>
      <c r="OC632" s="27" t="s">
        <v>8</v>
      </c>
      <c r="OD632" s="27" t="s">
        <v>7</v>
      </c>
    </row>
    <row r="633" spans="1:418" x14ac:dyDescent="0.25">
      <c r="A633" s="7">
        <v>0.40215372795091286</v>
      </c>
      <c r="B633"/>
      <c r="C633"/>
      <c r="D633"/>
      <c r="E633"/>
      <c r="F633" s="27" t="s">
        <v>7</v>
      </c>
      <c r="KS633" s="27" t="s">
        <v>8</v>
      </c>
      <c r="KT633" s="27" t="s">
        <v>7</v>
      </c>
      <c r="KU633" s="27" t="s">
        <v>8</v>
      </c>
      <c r="KY633" s="27" t="s">
        <v>8</v>
      </c>
      <c r="KZ633" s="27" t="s">
        <v>7</v>
      </c>
      <c r="LA633" s="27" t="s">
        <v>8</v>
      </c>
      <c r="LB633" s="27" t="s">
        <v>7</v>
      </c>
      <c r="LC633" s="27" t="s">
        <v>8</v>
      </c>
      <c r="LD633" s="27" t="s">
        <v>7</v>
      </c>
      <c r="LH633" s="27" t="s">
        <v>7</v>
      </c>
      <c r="LO633" s="27" t="s">
        <v>8</v>
      </c>
      <c r="LP633" s="27" t="s">
        <v>7</v>
      </c>
      <c r="MA633" s="27" t="s">
        <v>8</v>
      </c>
      <c r="MB633" s="27" t="s">
        <v>7</v>
      </c>
      <c r="MC633" s="27" t="s">
        <v>8</v>
      </c>
      <c r="MD633" s="27" t="s">
        <v>7</v>
      </c>
      <c r="MQ633" s="27" t="s">
        <v>8</v>
      </c>
      <c r="MX633" s="27" t="s">
        <v>7</v>
      </c>
      <c r="MY633" s="27" t="s">
        <v>8</v>
      </c>
      <c r="MZ633" s="27" t="s">
        <v>7</v>
      </c>
      <c r="NA633" s="27" t="s">
        <v>8</v>
      </c>
      <c r="NB633" s="27" t="s">
        <v>7</v>
      </c>
      <c r="NE633" s="27" t="s">
        <v>8</v>
      </c>
      <c r="OC633" s="27" t="s">
        <v>8</v>
      </c>
      <c r="OD633" s="27" t="s">
        <v>7</v>
      </c>
    </row>
    <row r="634" spans="1:418" x14ac:dyDescent="0.25">
      <c r="A634" s="7">
        <v>0.39426836073618904</v>
      </c>
      <c r="B634"/>
      <c r="C634"/>
      <c r="D634"/>
      <c r="E634"/>
      <c r="F634" s="27" t="s">
        <v>7</v>
      </c>
      <c r="KS634" s="27" t="s">
        <v>8</v>
      </c>
      <c r="KT634" s="27" t="s">
        <v>7</v>
      </c>
      <c r="KU634" s="27" t="s">
        <v>8</v>
      </c>
      <c r="KV634" s="27" t="s">
        <v>7</v>
      </c>
      <c r="KY634" s="27" t="s">
        <v>8</v>
      </c>
      <c r="KZ634" s="27" t="s">
        <v>7</v>
      </c>
      <c r="LA634" s="27" t="s">
        <v>8</v>
      </c>
      <c r="LB634" s="27" t="s">
        <v>7</v>
      </c>
      <c r="LC634" s="27" t="s">
        <v>8</v>
      </c>
      <c r="LH634" s="27" t="s">
        <v>7</v>
      </c>
      <c r="LI634" s="27" t="s">
        <v>8</v>
      </c>
      <c r="LO634" s="27" t="s">
        <v>8</v>
      </c>
      <c r="LP634" s="27" t="s">
        <v>7</v>
      </c>
      <c r="MA634" s="27" t="s">
        <v>8</v>
      </c>
      <c r="MB634" s="27" t="s">
        <v>7</v>
      </c>
      <c r="MC634" s="27" t="s">
        <v>8</v>
      </c>
      <c r="MD634" s="27" t="s">
        <v>7</v>
      </c>
      <c r="MQ634" s="27" t="s">
        <v>8</v>
      </c>
      <c r="MX634" s="27" t="s">
        <v>7</v>
      </c>
      <c r="MY634" s="27" t="s">
        <v>8</v>
      </c>
      <c r="MZ634" s="27" t="s">
        <v>7</v>
      </c>
      <c r="NA634" s="27" t="s">
        <v>8</v>
      </c>
      <c r="NB634" s="27" t="s">
        <v>7</v>
      </c>
      <c r="NE634" s="27" t="s">
        <v>8</v>
      </c>
      <c r="NF634" s="27" t="s">
        <v>7</v>
      </c>
      <c r="OA634" s="27" t="s">
        <v>8</v>
      </c>
      <c r="OC634" s="27" t="s">
        <v>8</v>
      </c>
      <c r="OD634" s="27" t="s">
        <v>7</v>
      </c>
      <c r="OW634" s="27" t="s">
        <v>8</v>
      </c>
      <c r="PA634" s="27" t="s">
        <v>8</v>
      </c>
    </row>
    <row r="635" spans="1:418" x14ac:dyDescent="0.25">
      <c r="A635" s="7">
        <v>0.38653760856489122</v>
      </c>
      <c r="B635"/>
      <c r="C635"/>
      <c r="D635"/>
      <c r="E635"/>
      <c r="F635" s="27" t="s">
        <v>7</v>
      </c>
      <c r="KS635" s="27" t="s">
        <v>8</v>
      </c>
      <c r="KT635" s="27" t="s">
        <v>7</v>
      </c>
      <c r="KU635" s="27" t="s">
        <v>8</v>
      </c>
      <c r="KV635" s="27" t="s">
        <v>7</v>
      </c>
      <c r="KY635" s="27" t="s">
        <v>8</v>
      </c>
      <c r="KZ635" s="27" t="s">
        <v>7</v>
      </c>
      <c r="LA635" s="27" t="s">
        <v>8</v>
      </c>
      <c r="LB635" s="27" t="s">
        <v>7</v>
      </c>
      <c r="LH635" s="27" t="s">
        <v>7</v>
      </c>
      <c r="LI635" s="27" t="s">
        <v>8</v>
      </c>
      <c r="LJ635" s="27" t="s">
        <v>7</v>
      </c>
      <c r="LO635" s="27" t="s">
        <v>8</v>
      </c>
      <c r="LP635" s="27" t="s">
        <v>7</v>
      </c>
      <c r="LY635" s="27" t="s">
        <v>8</v>
      </c>
      <c r="MA635" s="27" t="s">
        <v>8</v>
      </c>
      <c r="MB635" s="27" t="s">
        <v>7</v>
      </c>
      <c r="MC635" s="27" t="s">
        <v>8</v>
      </c>
      <c r="MD635" s="27" t="s">
        <v>7</v>
      </c>
      <c r="MQ635" s="27" t="s">
        <v>8</v>
      </c>
      <c r="MX635" s="27" t="s">
        <v>7</v>
      </c>
      <c r="MY635" s="27" t="s">
        <v>8</v>
      </c>
      <c r="MZ635" s="27" t="s">
        <v>7</v>
      </c>
      <c r="NB635" s="27" t="s">
        <v>7</v>
      </c>
      <c r="NC635" s="27" t="s">
        <v>8</v>
      </c>
      <c r="NE635" s="27" t="s">
        <v>8</v>
      </c>
      <c r="NF635" s="27" t="s">
        <v>7</v>
      </c>
      <c r="NM635" s="27" t="s">
        <v>8</v>
      </c>
      <c r="OA635" s="27" t="s">
        <v>8</v>
      </c>
      <c r="OB635" s="27" t="s">
        <v>7</v>
      </c>
      <c r="OC635" s="27" t="s">
        <v>8</v>
      </c>
      <c r="OD635" s="27" t="s">
        <v>7</v>
      </c>
      <c r="OW635" s="27" t="s">
        <v>8</v>
      </c>
      <c r="OX635" s="27" t="s">
        <v>7</v>
      </c>
      <c r="OY635" s="27" t="s">
        <v>8</v>
      </c>
      <c r="PA635" s="27" t="s">
        <v>8</v>
      </c>
      <c r="PB635" s="27" t="s">
        <v>7</v>
      </c>
    </row>
    <row r="636" spans="1:418" x14ac:dyDescent="0.25">
      <c r="A636" s="7">
        <v>0.37895843976950117</v>
      </c>
      <c r="B636"/>
      <c r="C636"/>
      <c r="D636"/>
      <c r="E636"/>
      <c r="F636" s="27" t="s">
        <v>7</v>
      </c>
      <c r="KS636" s="27" t="s">
        <v>8</v>
      </c>
      <c r="KT636" s="27" t="s">
        <v>7</v>
      </c>
      <c r="KU636" s="27" t="s">
        <v>8</v>
      </c>
      <c r="KV636" s="27" t="s">
        <v>7</v>
      </c>
      <c r="KY636" s="27" t="s">
        <v>8</v>
      </c>
      <c r="KZ636" s="27" t="s">
        <v>7</v>
      </c>
      <c r="LA636" s="27" t="s">
        <v>8</v>
      </c>
      <c r="LH636" s="27" t="s">
        <v>7</v>
      </c>
      <c r="LI636" s="27" t="s">
        <v>8</v>
      </c>
      <c r="LJ636" s="27" t="s">
        <v>7</v>
      </c>
      <c r="LK636" s="27" t="s">
        <v>8</v>
      </c>
      <c r="LO636" s="27" t="s">
        <v>8</v>
      </c>
      <c r="LP636" s="27" t="s">
        <v>7</v>
      </c>
      <c r="LY636" s="27" t="s">
        <v>8</v>
      </c>
      <c r="LZ636" s="27" t="s">
        <v>7</v>
      </c>
      <c r="MA636" s="27" t="s">
        <v>8</v>
      </c>
      <c r="MB636" s="27" t="s">
        <v>7</v>
      </c>
      <c r="MC636" s="27" t="s">
        <v>8</v>
      </c>
      <c r="MD636" s="27" t="s">
        <v>7</v>
      </c>
      <c r="MQ636" s="27" t="s">
        <v>8</v>
      </c>
      <c r="MX636" s="27" t="s">
        <v>7</v>
      </c>
      <c r="MY636" s="27" t="s">
        <v>8</v>
      </c>
      <c r="NB636" s="27" t="s">
        <v>7</v>
      </c>
      <c r="NC636" s="27" t="s">
        <v>8</v>
      </c>
      <c r="ND636" s="27" t="s">
        <v>7</v>
      </c>
      <c r="NE636" s="27" t="s">
        <v>8</v>
      </c>
      <c r="NF636" s="27" t="s">
        <v>7</v>
      </c>
      <c r="NM636" s="27" t="s">
        <v>8</v>
      </c>
      <c r="NN636" s="27" t="s">
        <v>7</v>
      </c>
      <c r="NW636" s="27" t="s">
        <v>8</v>
      </c>
      <c r="OA636" s="27" t="s">
        <v>8</v>
      </c>
      <c r="OB636" s="27" t="s">
        <v>7</v>
      </c>
      <c r="OC636" s="27" t="s">
        <v>8</v>
      </c>
      <c r="OD636" s="27" t="s">
        <v>7</v>
      </c>
      <c r="OW636" s="27" t="s">
        <v>8</v>
      </c>
      <c r="OX636" s="27" t="s">
        <v>7</v>
      </c>
      <c r="OY636" s="27" t="s">
        <v>8</v>
      </c>
      <c r="OZ636" s="27" t="s">
        <v>7</v>
      </c>
      <c r="PA636" s="27" t="s">
        <v>8</v>
      </c>
      <c r="PB636" s="27" t="s">
        <v>7</v>
      </c>
    </row>
    <row r="637" spans="1:418" x14ac:dyDescent="0.25">
      <c r="A637" s="7">
        <v>0.37152788212696197</v>
      </c>
      <c r="B637"/>
      <c r="C637"/>
      <c r="D637"/>
      <c r="E637"/>
      <c r="F637" s="27" t="s">
        <v>7</v>
      </c>
      <c r="KS637" s="27" t="s">
        <v>8</v>
      </c>
      <c r="KT637" s="27" t="s">
        <v>7</v>
      </c>
      <c r="KU637" s="27" t="s">
        <v>8</v>
      </c>
      <c r="KV637" s="27" t="s">
        <v>7</v>
      </c>
      <c r="KY637" s="27" t="s">
        <v>8</v>
      </c>
      <c r="KZ637" s="27" t="s">
        <v>7</v>
      </c>
      <c r="LH637" s="27" t="s">
        <v>7</v>
      </c>
      <c r="LI637" s="27" t="s">
        <v>8</v>
      </c>
      <c r="LJ637" s="27" t="s">
        <v>7</v>
      </c>
      <c r="LK637" s="27" t="s">
        <v>8</v>
      </c>
      <c r="LL637" s="27" t="s">
        <v>7</v>
      </c>
      <c r="LO637" s="27" t="s">
        <v>8</v>
      </c>
      <c r="LP637" s="27" t="s">
        <v>7</v>
      </c>
      <c r="LW637" s="27" t="s">
        <v>8</v>
      </c>
      <c r="LY637" s="27" t="s">
        <v>8</v>
      </c>
      <c r="LZ637" s="27" t="s">
        <v>7</v>
      </c>
      <c r="MA637" s="27" t="s">
        <v>8</v>
      </c>
      <c r="MB637" s="27" t="s">
        <v>7</v>
      </c>
      <c r="MD637" s="27" t="s">
        <v>7</v>
      </c>
      <c r="ME637" s="27" t="s">
        <v>8</v>
      </c>
      <c r="MQ637" s="27" t="s">
        <v>8</v>
      </c>
      <c r="MX637" s="27" t="s">
        <v>7</v>
      </c>
      <c r="MY637" s="27" t="s">
        <v>8</v>
      </c>
      <c r="NB637" s="27" t="s">
        <v>7</v>
      </c>
      <c r="NC637" s="27" t="s">
        <v>8</v>
      </c>
      <c r="ND637" s="27" t="s">
        <v>7</v>
      </c>
      <c r="NE637" s="27" t="s">
        <v>8</v>
      </c>
      <c r="NF637" s="27" t="s">
        <v>7</v>
      </c>
      <c r="NM637" s="27" t="s">
        <v>8</v>
      </c>
      <c r="NN637" s="27" t="s">
        <v>7</v>
      </c>
      <c r="NW637" s="27" t="s">
        <v>8</v>
      </c>
      <c r="NX637" s="27" t="s">
        <v>7</v>
      </c>
      <c r="OA637" s="27" t="s">
        <v>8</v>
      </c>
      <c r="OB637" s="27" t="s">
        <v>7</v>
      </c>
      <c r="OD637" s="27" t="s">
        <v>7</v>
      </c>
      <c r="OW637" s="27" t="s">
        <v>8</v>
      </c>
      <c r="OX637" s="27" t="s">
        <v>7</v>
      </c>
      <c r="OY637" s="27" t="s">
        <v>8</v>
      </c>
      <c r="OZ637" s="27" t="s">
        <v>7</v>
      </c>
      <c r="PA637" s="27" t="s">
        <v>8</v>
      </c>
      <c r="PB637" s="27" t="s">
        <v>7</v>
      </c>
    </row>
    <row r="638" spans="1:418" x14ac:dyDescent="0.25">
      <c r="A638" s="7">
        <v>0.36424302169310002</v>
      </c>
      <c r="B638"/>
      <c r="C638"/>
      <c r="D638"/>
      <c r="E638"/>
      <c r="F638" s="27" t="s">
        <v>7</v>
      </c>
      <c r="KS638" s="27" t="s">
        <v>8</v>
      </c>
      <c r="KT638" s="27" t="s">
        <v>7</v>
      </c>
      <c r="KU638" s="27" t="s">
        <v>8</v>
      </c>
      <c r="KV638" s="27" t="s">
        <v>7</v>
      </c>
      <c r="KW638" s="27" t="s">
        <v>8</v>
      </c>
      <c r="KY638" s="27" t="s">
        <v>8</v>
      </c>
      <c r="LH638" s="27" t="s">
        <v>7</v>
      </c>
      <c r="LI638" s="27" t="s">
        <v>8</v>
      </c>
      <c r="LJ638" s="27" t="s">
        <v>7</v>
      </c>
      <c r="LK638" s="27" t="s">
        <v>8</v>
      </c>
      <c r="LL638" s="27" t="s">
        <v>7</v>
      </c>
      <c r="LO638" s="27" t="s">
        <v>8</v>
      </c>
      <c r="LP638" s="27" t="s">
        <v>7</v>
      </c>
      <c r="LW638" s="27" t="s">
        <v>8</v>
      </c>
      <c r="LX638" s="27" t="s">
        <v>7</v>
      </c>
      <c r="LY638" s="27" t="s">
        <v>8</v>
      </c>
      <c r="LZ638" s="27" t="s">
        <v>7</v>
      </c>
      <c r="MA638" s="27" t="s">
        <v>8</v>
      </c>
      <c r="MD638" s="27" t="s">
        <v>7</v>
      </c>
      <c r="ME638" s="27" t="s">
        <v>8</v>
      </c>
      <c r="MF638" s="27" t="s">
        <v>7</v>
      </c>
      <c r="MO638" s="27" t="s">
        <v>8</v>
      </c>
      <c r="MQ638" s="27" t="s">
        <v>8</v>
      </c>
      <c r="MX638" s="27" t="s">
        <v>7</v>
      </c>
      <c r="MY638" s="27" t="s">
        <v>8</v>
      </c>
      <c r="NB638" s="27" t="s">
        <v>7</v>
      </c>
      <c r="NC638" s="27" t="s">
        <v>8</v>
      </c>
      <c r="ND638" s="27" t="s">
        <v>7</v>
      </c>
      <c r="NE638" s="27" t="s">
        <v>8</v>
      </c>
      <c r="NF638" s="27" t="s">
        <v>7</v>
      </c>
      <c r="NM638" s="27" t="s">
        <v>8</v>
      </c>
      <c r="NN638" s="27" t="s">
        <v>7</v>
      </c>
      <c r="NW638" s="27" t="s">
        <v>8</v>
      </c>
      <c r="NX638" s="27" t="s">
        <v>7</v>
      </c>
      <c r="NY638" s="27" t="s">
        <v>8</v>
      </c>
      <c r="OA638" s="27" t="s">
        <v>8</v>
      </c>
      <c r="OD638" s="27" t="s">
        <v>7</v>
      </c>
      <c r="OW638" s="27" t="s">
        <v>8</v>
      </c>
      <c r="OX638" s="27" t="s">
        <v>7</v>
      </c>
      <c r="OY638" s="27" t="s">
        <v>8</v>
      </c>
      <c r="OZ638" s="27" t="s">
        <v>7</v>
      </c>
      <c r="PB638" s="27" t="s">
        <v>7</v>
      </c>
    </row>
    <row r="639" spans="1:418" x14ac:dyDescent="0.25">
      <c r="A639" s="7">
        <v>0.35710100165990194</v>
      </c>
      <c r="B639"/>
      <c r="C639"/>
      <c r="D639"/>
      <c r="E639"/>
      <c r="F639" s="27" t="s">
        <v>7</v>
      </c>
      <c r="KS639" s="27" t="s">
        <v>8</v>
      </c>
      <c r="KT639" s="27" t="s">
        <v>7</v>
      </c>
      <c r="KU639" s="27" t="s">
        <v>8</v>
      </c>
      <c r="KV639" s="27" t="s">
        <v>7</v>
      </c>
      <c r="KW639" s="27" t="s">
        <v>8</v>
      </c>
      <c r="KX639" s="27" t="s">
        <v>7</v>
      </c>
      <c r="KY639" s="27" t="s">
        <v>8</v>
      </c>
      <c r="LH639" s="27" t="s">
        <v>7</v>
      </c>
      <c r="LI639" s="27" t="s">
        <v>8</v>
      </c>
      <c r="LJ639" s="27" t="s">
        <v>7</v>
      </c>
      <c r="LK639" s="27" t="s">
        <v>8</v>
      </c>
      <c r="LL639" s="27" t="s">
        <v>7</v>
      </c>
      <c r="LM639" s="27" t="s">
        <v>8</v>
      </c>
      <c r="LO639" s="27" t="s">
        <v>8</v>
      </c>
      <c r="LP639" s="27" t="s">
        <v>7</v>
      </c>
      <c r="LW639" s="27" t="s">
        <v>8</v>
      </c>
      <c r="LX639" s="27" t="s">
        <v>7</v>
      </c>
      <c r="LY639" s="27" t="s">
        <v>8</v>
      </c>
      <c r="LZ639" s="27" t="s">
        <v>7</v>
      </c>
      <c r="MA639" s="27" t="s">
        <v>8</v>
      </c>
      <c r="MD639" s="27" t="s">
        <v>7</v>
      </c>
      <c r="ME639" s="27" t="s">
        <v>8</v>
      </c>
      <c r="MF639" s="27" t="s">
        <v>7</v>
      </c>
      <c r="MO639" s="27" t="s">
        <v>8</v>
      </c>
      <c r="MP639" s="27" t="s">
        <v>7</v>
      </c>
      <c r="MQ639" s="27" t="s">
        <v>8</v>
      </c>
      <c r="MX639" s="27" t="s">
        <v>7</v>
      </c>
      <c r="MY639" s="27" t="s">
        <v>8</v>
      </c>
      <c r="NB639" s="27" t="s">
        <v>7</v>
      </c>
      <c r="NC639" s="27" t="s">
        <v>8</v>
      </c>
      <c r="ND639" s="27" t="s">
        <v>7</v>
      </c>
      <c r="NE639" s="27" t="s">
        <v>8</v>
      </c>
      <c r="NF639" s="27" t="s">
        <v>7</v>
      </c>
      <c r="NM639" s="27" t="s">
        <v>8</v>
      </c>
      <c r="NN639" s="27" t="s">
        <v>7</v>
      </c>
      <c r="NW639" s="27" t="s">
        <v>8</v>
      </c>
      <c r="NX639" s="27" t="s">
        <v>7</v>
      </c>
      <c r="NY639" s="27" t="s">
        <v>8</v>
      </c>
      <c r="NZ639" s="27" t="s">
        <v>7</v>
      </c>
      <c r="OA639" s="27" t="s">
        <v>8</v>
      </c>
      <c r="OD639" s="27" t="s">
        <v>7</v>
      </c>
      <c r="OU639" s="27" t="s">
        <v>8</v>
      </c>
      <c r="OW639" s="27" t="s">
        <v>8</v>
      </c>
      <c r="OX639" s="27" t="s">
        <v>7</v>
      </c>
      <c r="OY639" s="27" t="s">
        <v>8</v>
      </c>
      <c r="PB639" s="27" t="s">
        <v>7</v>
      </c>
    </row>
    <row r="640" spans="1:418" x14ac:dyDescent="0.25">
      <c r="A640" s="7">
        <v>0.35009902123519804</v>
      </c>
      <c r="B640"/>
      <c r="C640"/>
      <c r="D640"/>
      <c r="E640"/>
      <c r="F640" s="27" t="s">
        <v>7</v>
      </c>
      <c r="KS640" s="27" t="s">
        <v>8</v>
      </c>
      <c r="KT640" s="27" t="s">
        <v>7</v>
      </c>
      <c r="KU640" s="27" t="s">
        <v>8</v>
      </c>
      <c r="KV640" s="27" t="s">
        <v>7</v>
      </c>
      <c r="KW640" s="27" t="s">
        <v>8</v>
      </c>
      <c r="KX640" s="27" t="s">
        <v>7</v>
      </c>
      <c r="KY640" s="27" t="s">
        <v>8</v>
      </c>
      <c r="LH640" s="27" t="s">
        <v>7</v>
      </c>
      <c r="LI640" s="27" t="s">
        <v>8</v>
      </c>
      <c r="LJ640" s="27" t="s">
        <v>7</v>
      </c>
      <c r="LL640" s="27" t="s">
        <v>7</v>
      </c>
      <c r="LM640" s="27" t="s">
        <v>8</v>
      </c>
      <c r="LN640" s="27" t="s">
        <v>7</v>
      </c>
      <c r="LO640" s="27" t="s">
        <v>8</v>
      </c>
      <c r="LP640" s="27" t="s">
        <v>7</v>
      </c>
      <c r="LW640" s="27" t="s">
        <v>8</v>
      </c>
      <c r="LX640" s="27" t="s">
        <v>7</v>
      </c>
      <c r="LY640" s="27" t="s">
        <v>8</v>
      </c>
      <c r="LZ640" s="27" t="s">
        <v>7</v>
      </c>
      <c r="MA640" s="27" t="s">
        <v>8</v>
      </c>
      <c r="MD640" s="27" t="s">
        <v>7</v>
      </c>
      <c r="ME640" s="27" t="s">
        <v>8</v>
      </c>
      <c r="MF640" s="27" t="s">
        <v>7</v>
      </c>
      <c r="MO640" s="27" t="s">
        <v>8</v>
      </c>
      <c r="MP640" s="27" t="s">
        <v>7</v>
      </c>
      <c r="MQ640" s="27" t="s">
        <v>8</v>
      </c>
      <c r="MX640" s="27" t="s">
        <v>7</v>
      </c>
      <c r="NB640" s="27" t="s">
        <v>7</v>
      </c>
      <c r="ND640" s="27" t="s">
        <v>7</v>
      </c>
      <c r="NE640" s="27" t="s">
        <v>8</v>
      </c>
      <c r="NF640" s="27" t="s">
        <v>7</v>
      </c>
      <c r="NG640" s="27" t="s">
        <v>8</v>
      </c>
      <c r="NM640" s="27" t="s">
        <v>8</v>
      </c>
      <c r="NN640" s="27" t="s">
        <v>7</v>
      </c>
      <c r="NS640" s="27" t="s">
        <v>8</v>
      </c>
      <c r="NU640" s="27" t="s">
        <v>8</v>
      </c>
      <c r="NW640" s="27" t="s">
        <v>8</v>
      </c>
      <c r="NX640" s="27" t="s">
        <v>7</v>
      </c>
      <c r="NY640" s="27" t="s">
        <v>8</v>
      </c>
      <c r="NZ640" s="27" t="s">
        <v>7</v>
      </c>
      <c r="OA640" s="27" t="s">
        <v>8</v>
      </c>
      <c r="OD640" s="27" t="s">
        <v>7</v>
      </c>
      <c r="OU640" s="27" t="s">
        <v>8</v>
      </c>
      <c r="OV640" s="27" t="s">
        <v>7</v>
      </c>
      <c r="OW640" s="27" t="s">
        <v>8</v>
      </c>
      <c r="OX640" s="27" t="s">
        <v>7</v>
      </c>
      <c r="OY640" s="27" t="s">
        <v>8</v>
      </c>
      <c r="PB640" s="27" t="s">
        <v>7</v>
      </c>
    </row>
    <row r="641" spans="1:432" x14ac:dyDescent="0.25">
      <c r="A641" s="7">
        <v>0.34323433454431179</v>
      </c>
      <c r="B641"/>
      <c r="C641"/>
      <c r="D641"/>
      <c r="E641"/>
      <c r="F641" s="27" t="s">
        <v>7</v>
      </c>
      <c r="KS641" s="27" t="s">
        <v>8</v>
      </c>
      <c r="KT641" s="27" t="s">
        <v>7</v>
      </c>
      <c r="KV641" s="27" t="s">
        <v>7</v>
      </c>
      <c r="KW641" s="27" t="s">
        <v>8</v>
      </c>
      <c r="KX641" s="27" t="s">
        <v>7</v>
      </c>
      <c r="KY641" s="27" t="s">
        <v>8</v>
      </c>
      <c r="LH641" s="27" t="s">
        <v>7</v>
      </c>
      <c r="LI641" s="27" t="s">
        <v>8</v>
      </c>
      <c r="LL641" s="27" t="s">
        <v>7</v>
      </c>
      <c r="LM641" s="27" t="s">
        <v>8</v>
      </c>
      <c r="LN641" s="27" t="s">
        <v>7</v>
      </c>
      <c r="LO641" s="27" t="s">
        <v>8</v>
      </c>
      <c r="LP641" s="27" t="s">
        <v>7</v>
      </c>
      <c r="LQ641" s="27" t="s">
        <v>8</v>
      </c>
      <c r="LW641" s="27" t="s">
        <v>8</v>
      </c>
      <c r="LX641" s="27" t="s">
        <v>7</v>
      </c>
      <c r="LZ641" s="27" t="s">
        <v>7</v>
      </c>
      <c r="MA641" s="27" t="s">
        <v>8</v>
      </c>
      <c r="MD641" s="27" t="s">
        <v>7</v>
      </c>
      <c r="ME641" s="27" t="s">
        <v>8</v>
      </c>
      <c r="MF641" s="27" t="s">
        <v>7</v>
      </c>
      <c r="MG641" s="27" t="s">
        <v>8</v>
      </c>
      <c r="MI641" s="27" t="s">
        <v>8</v>
      </c>
      <c r="MO641" s="27" t="s">
        <v>8</v>
      </c>
      <c r="MP641" s="27" t="s">
        <v>7</v>
      </c>
      <c r="MQ641" s="27" t="s">
        <v>8</v>
      </c>
      <c r="ND641" s="27" t="s">
        <v>7</v>
      </c>
      <c r="NF641" s="27" t="s">
        <v>7</v>
      </c>
      <c r="NG641" s="27" t="s">
        <v>8</v>
      </c>
      <c r="NH641" s="27" t="s">
        <v>7</v>
      </c>
      <c r="NM641" s="27" t="s">
        <v>8</v>
      </c>
      <c r="NN641" s="27" t="s">
        <v>7</v>
      </c>
      <c r="NO641" s="27" t="s">
        <v>8</v>
      </c>
      <c r="NS641" s="27" t="s">
        <v>8</v>
      </c>
      <c r="NT641" s="27" t="s">
        <v>7</v>
      </c>
      <c r="NU641" s="27" t="s">
        <v>8</v>
      </c>
      <c r="NV641" s="27" t="s">
        <v>7</v>
      </c>
      <c r="NW641" s="27" t="s">
        <v>8</v>
      </c>
      <c r="NX641" s="27" t="s">
        <v>7</v>
      </c>
      <c r="NY641" s="27" t="s">
        <v>8</v>
      </c>
      <c r="NZ641" s="27" t="s">
        <v>7</v>
      </c>
      <c r="OA641" s="27" t="s">
        <v>8</v>
      </c>
      <c r="OD641" s="27" t="s">
        <v>7</v>
      </c>
      <c r="OU641" s="27" t="s">
        <v>8</v>
      </c>
      <c r="OV641" s="27" t="s">
        <v>7</v>
      </c>
      <c r="OW641" s="27" t="s">
        <v>8</v>
      </c>
      <c r="OX641" s="27" t="s">
        <v>7</v>
      </c>
      <c r="PB641" s="27" t="s">
        <v>7</v>
      </c>
    </row>
    <row r="642" spans="1:432" x14ac:dyDescent="0.25">
      <c r="A642" s="7">
        <v>0.33650424955324681</v>
      </c>
      <c r="B642"/>
      <c r="C642"/>
      <c r="D642"/>
      <c r="E642"/>
      <c r="F642" s="27" t="s">
        <v>7</v>
      </c>
      <c r="KS642" s="27" t="s">
        <v>8</v>
      </c>
      <c r="KV642" s="27" t="s">
        <v>7</v>
      </c>
      <c r="KW642" s="27" t="s">
        <v>8</v>
      </c>
      <c r="KX642" s="27" t="s">
        <v>7</v>
      </c>
      <c r="KY642" s="27" t="s">
        <v>8</v>
      </c>
      <c r="LH642" s="27" t="s">
        <v>7</v>
      </c>
      <c r="LL642" s="27" t="s">
        <v>7</v>
      </c>
      <c r="LN642" s="27" t="s">
        <v>7</v>
      </c>
      <c r="LO642" s="27" t="s">
        <v>8</v>
      </c>
      <c r="LP642" s="27" t="s">
        <v>7</v>
      </c>
      <c r="LQ642" s="27" t="s">
        <v>8</v>
      </c>
      <c r="LR642" s="27" t="s">
        <v>7</v>
      </c>
      <c r="LU642" s="27" t="s">
        <v>8</v>
      </c>
      <c r="LW642" s="27" t="s">
        <v>8</v>
      </c>
      <c r="LZ642" s="27" t="s">
        <v>7</v>
      </c>
      <c r="MA642" s="27" t="s">
        <v>8</v>
      </c>
      <c r="MD642" s="27" t="s">
        <v>7</v>
      </c>
      <c r="ME642" s="27" t="s">
        <v>8</v>
      </c>
      <c r="MF642" s="27" t="s">
        <v>7</v>
      </c>
      <c r="MG642" s="27" t="s">
        <v>8</v>
      </c>
      <c r="MH642" s="27" t="s">
        <v>7</v>
      </c>
      <c r="MI642" s="27" t="s">
        <v>8</v>
      </c>
      <c r="MJ642" s="27" t="s">
        <v>7</v>
      </c>
      <c r="MO642" s="27" t="s">
        <v>8</v>
      </c>
      <c r="MP642" s="27" t="s">
        <v>7</v>
      </c>
      <c r="MQ642" s="27" t="s">
        <v>8</v>
      </c>
      <c r="NF642" s="27" t="s">
        <v>7</v>
      </c>
      <c r="NG642" s="27" t="s">
        <v>8</v>
      </c>
      <c r="NH642" s="27" t="s">
        <v>7</v>
      </c>
      <c r="NM642" s="27" t="s">
        <v>8</v>
      </c>
      <c r="NN642" s="27" t="s">
        <v>7</v>
      </c>
      <c r="NO642" s="27" t="s">
        <v>8</v>
      </c>
      <c r="NP642" s="27" t="s">
        <v>7</v>
      </c>
      <c r="NS642" s="27" t="s">
        <v>8</v>
      </c>
      <c r="NT642" s="27" t="s">
        <v>7</v>
      </c>
      <c r="NU642" s="27" t="s">
        <v>8</v>
      </c>
      <c r="NV642" s="27" t="s">
        <v>7</v>
      </c>
      <c r="NW642" s="27" t="s">
        <v>8</v>
      </c>
      <c r="NX642" s="27" t="s">
        <v>7</v>
      </c>
      <c r="NY642" s="27" t="s">
        <v>8</v>
      </c>
      <c r="NZ642" s="27" t="s">
        <v>7</v>
      </c>
      <c r="OA642" s="27" t="s">
        <v>8</v>
      </c>
      <c r="OD642" s="27" t="s">
        <v>7</v>
      </c>
      <c r="OE642" s="27" t="s">
        <v>8</v>
      </c>
      <c r="OU642" s="27" t="s">
        <v>8</v>
      </c>
      <c r="OV642" s="27" t="s">
        <v>7</v>
      </c>
      <c r="OW642" s="27" t="s">
        <v>8</v>
      </c>
      <c r="PB642" s="27" t="s">
        <v>7</v>
      </c>
      <c r="PC642" s="27" t="s">
        <v>8</v>
      </c>
      <c r="PG642" s="27" t="s">
        <v>8</v>
      </c>
    </row>
    <row r="643" spans="1:432" x14ac:dyDescent="0.25">
      <c r="A643" s="7">
        <v>0.3299061270129871</v>
      </c>
      <c r="B643"/>
      <c r="C643"/>
      <c r="D643"/>
      <c r="E643"/>
      <c r="F643" s="27" t="s">
        <v>7</v>
      </c>
      <c r="KS643" s="27" t="s">
        <v>8</v>
      </c>
      <c r="KV643" s="27" t="s">
        <v>7</v>
      </c>
      <c r="KW643" s="27" t="s">
        <v>8</v>
      </c>
      <c r="KX643" s="27" t="s">
        <v>7</v>
      </c>
      <c r="KY643" s="27" t="s">
        <v>8</v>
      </c>
      <c r="LN643" s="27" t="s">
        <v>7</v>
      </c>
      <c r="LO643" s="27" t="s">
        <v>8</v>
      </c>
      <c r="LP643" s="27" t="s">
        <v>7</v>
      </c>
      <c r="LQ643" s="27" t="s">
        <v>8</v>
      </c>
      <c r="LR643" s="27" t="s">
        <v>7</v>
      </c>
      <c r="LU643" s="27" t="s">
        <v>8</v>
      </c>
      <c r="LV643" s="27" t="s">
        <v>7</v>
      </c>
      <c r="LW643" s="27" t="s">
        <v>8</v>
      </c>
      <c r="LZ643" s="27" t="s">
        <v>7</v>
      </c>
      <c r="MA643" s="27" t="s">
        <v>8</v>
      </c>
      <c r="MD643" s="27" t="s">
        <v>7</v>
      </c>
      <c r="ME643" s="27" t="s">
        <v>8</v>
      </c>
      <c r="MF643" s="27" t="s">
        <v>7</v>
      </c>
      <c r="MG643" s="27" t="s">
        <v>8</v>
      </c>
      <c r="MH643" s="27" t="s">
        <v>7</v>
      </c>
      <c r="MI643" s="27" t="s">
        <v>8</v>
      </c>
      <c r="MJ643" s="27" t="s">
        <v>7</v>
      </c>
      <c r="MO643" s="27" t="s">
        <v>8</v>
      </c>
      <c r="MP643" s="27" t="s">
        <v>7</v>
      </c>
      <c r="MQ643" s="27" t="s">
        <v>8</v>
      </c>
      <c r="NF643" s="27" t="s">
        <v>7</v>
      </c>
      <c r="NH643" s="27" t="s">
        <v>7</v>
      </c>
      <c r="NM643" s="27" t="s">
        <v>8</v>
      </c>
      <c r="NN643" s="27" t="s">
        <v>7</v>
      </c>
      <c r="NO643" s="27" t="s">
        <v>8</v>
      </c>
      <c r="NP643" s="27" t="s">
        <v>7</v>
      </c>
      <c r="NQ643" s="27" t="s">
        <v>8</v>
      </c>
      <c r="NS643" s="27" t="s">
        <v>8</v>
      </c>
      <c r="NT643" s="27" t="s">
        <v>7</v>
      </c>
      <c r="NU643" s="27" t="s">
        <v>8</v>
      </c>
      <c r="NV643" s="27" t="s">
        <v>7</v>
      </c>
      <c r="NX643" s="27" t="s">
        <v>7</v>
      </c>
      <c r="NY643" s="27" t="s">
        <v>8</v>
      </c>
      <c r="NZ643" s="27" t="s">
        <v>7</v>
      </c>
      <c r="OA643" s="27" t="s">
        <v>8</v>
      </c>
      <c r="OD643" s="27" t="s">
        <v>7</v>
      </c>
      <c r="OE643" s="27" t="s">
        <v>8</v>
      </c>
      <c r="OF643" s="27" t="s">
        <v>7</v>
      </c>
      <c r="OG643" s="27" t="s">
        <v>8</v>
      </c>
      <c r="OU643" s="27" t="s">
        <v>8</v>
      </c>
      <c r="OV643" s="27" t="s">
        <v>7</v>
      </c>
      <c r="OW643" s="27" t="s">
        <v>8</v>
      </c>
      <c r="PB643" s="27" t="s">
        <v>7</v>
      </c>
      <c r="PC643" s="27" t="s">
        <v>8</v>
      </c>
      <c r="PD643" s="27" t="s">
        <v>7</v>
      </c>
      <c r="PE643" s="27" t="s">
        <v>8</v>
      </c>
      <c r="PG643" s="27" t="s">
        <v>8</v>
      </c>
      <c r="PH643" s="27" t="s">
        <v>7</v>
      </c>
      <c r="PK643" s="27" t="s">
        <v>8</v>
      </c>
    </row>
    <row r="644" spans="1:432" x14ac:dyDescent="0.25">
      <c r="A644" s="7">
        <v>0.32343737942449713</v>
      </c>
      <c r="B644"/>
      <c r="C644"/>
      <c r="D644"/>
      <c r="E644"/>
      <c r="F644" s="27" t="s">
        <v>7</v>
      </c>
      <c r="KS644" s="27" t="s">
        <v>8</v>
      </c>
      <c r="KV644" s="27" t="s">
        <v>7</v>
      </c>
      <c r="KW644" s="27" t="s">
        <v>8</v>
      </c>
      <c r="KX644" s="27" t="s">
        <v>7</v>
      </c>
      <c r="KY644" s="27" t="s">
        <v>8</v>
      </c>
      <c r="LN644" s="27" t="s">
        <v>7</v>
      </c>
      <c r="LO644" s="27" t="s">
        <v>8</v>
      </c>
      <c r="LP644" s="27" t="s">
        <v>7</v>
      </c>
      <c r="LQ644" s="27" t="s">
        <v>8</v>
      </c>
      <c r="LR644" s="27" t="s">
        <v>7</v>
      </c>
      <c r="LU644" s="27" t="s">
        <v>8</v>
      </c>
      <c r="LV644" s="27" t="s">
        <v>7</v>
      </c>
      <c r="LW644" s="27" t="s">
        <v>8</v>
      </c>
      <c r="LZ644" s="27" t="s">
        <v>7</v>
      </c>
      <c r="MD644" s="27" t="s">
        <v>7</v>
      </c>
      <c r="MF644" s="27" t="s">
        <v>7</v>
      </c>
      <c r="MG644" s="27" t="s">
        <v>8</v>
      </c>
      <c r="MH644" s="27" t="s">
        <v>7</v>
      </c>
      <c r="MI644" s="27" t="s">
        <v>8</v>
      </c>
      <c r="MJ644" s="27" t="s">
        <v>7</v>
      </c>
      <c r="MO644" s="27" t="s">
        <v>8</v>
      </c>
      <c r="MP644" s="27" t="s">
        <v>7</v>
      </c>
      <c r="MQ644" s="27" t="s">
        <v>8</v>
      </c>
      <c r="NH644" s="27" t="s">
        <v>7</v>
      </c>
      <c r="NM644" s="27" t="s">
        <v>8</v>
      </c>
      <c r="NN644" s="27" t="s">
        <v>7</v>
      </c>
      <c r="NO644" s="27" t="s">
        <v>8</v>
      </c>
      <c r="NP644" s="27" t="s">
        <v>7</v>
      </c>
      <c r="NQ644" s="27" t="s">
        <v>8</v>
      </c>
      <c r="NR644" s="27" t="s">
        <v>7</v>
      </c>
      <c r="NS644" s="27" t="s">
        <v>8</v>
      </c>
      <c r="NT644" s="27" t="s">
        <v>7</v>
      </c>
      <c r="NX644" s="27" t="s">
        <v>7</v>
      </c>
      <c r="NY644" s="27" t="s">
        <v>8</v>
      </c>
      <c r="NZ644" s="27" t="s">
        <v>7</v>
      </c>
      <c r="OA644" s="27" t="s">
        <v>8</v>
      </c>
      <c r="OD644" s="27" t="s">
        <v>7</v>
      </c>
      <c r="OE644" s="27" t="s">
        <v>8</v>
      </c>
      <c r="OF644" s="27" t="s">
        <v>7</v>
      </c>
      <c r="OG644" s="27" t="s">
        <v>8</v>
      </c>
      <c r="OH644" s="27" t="s">
        <v>7</v>
      </c>
      <c r="OU644" s="27" t="s">
        <v>8</v>
      </c>
      <c r="OV644" s="27" t="s">
        <v>7</v>
      </c>
      <c r="OW644" s="27" t="s">
        <v>8</v>
      </c>
      <c r="PB644" s="27" t="s">
        <v>7</v>
      </c>
      <c r="PC644" s="27" t="s">
        <v>8</v>
      </c>
      <c r="PD644" s="27" t="s">
        <v>7</v>
      </c>
      <c r="PE644" s="27" t="s">
        <v>8</v>
      </c>
      <c r="PF644" s="27" t="s">
        <v>7</v>
      </c>
      <c r="PG644" s="27" t="s">
        <v>8</v>
      </c>
      <c r="PH644" s="27" t="s">
        <v>7</v>
      </c>
      <c r="PK644" s="27" t="s">
        <v>8</v>
      </c>
      <c r="PL644" s="27" t="s">
        <v>7</v>
      </c>
    </row>
    <row r="645" spans="1:432" x14ac:dyDescent="0.25">
      <c r="A645" s="7">
        <v>0.31709547002401678</v>
      </c>
      <c r="B645"/>
      <c r="C645"/>
      <c r="D645"/>
      <c r="E645"/>
      <c r="F645" s="27" t="s">
        <v>7</v>
      </c>
      <c r="KS645" s="27" t="s">
        <v>8</v>
      </c>
      <c r="KV645" s="27" t="s">
        <v>7</v>
      </c>
      <c r="KW645" s="27" t="s">
        <v>8</v>
      </c>
      <c r="KX645" s="27" t="s">
        <v>7</v>
      </c>
      <c r="KY645" s="27" t="s">
        <v>8</v>
      </c>
      <c r="LN645" s="27" t="s">
        <v>7</v>
      </c>
      <c r="LP645" s="27" t="s">
        <v>7</v>
      </c>
      <c r="LQ645" s="27" t="s">
        <v>8</v>
      </c>
      <c r="LR645" s="27" t="s">
        <v>7</v>
      </c>
      <c r="LS645" s="27" t="s">
        <v>8</v>
      </c>
      <c r="LU645" s="27" t="s">
        <v>8</v>
      </c>
      <c r="LV645" s="27" t="s">
        <v>7</v>
      </c>
      <c r="LW645" s="27" t="s">
        <v>8</v>
      </c>
      <c r="MF645" s="27" t="s">
        <v>7</v>
      </c>
      <c r="MG645" s="27" t="s">
        <v>8</v>
      </c>
      <c r="MH645" s="27" t="s">
        <v>7</v>
      </c>
      <c r="MI645" s="27" t="s">
        <v>8</v>
      </c>
      <c r="MJ645" s="27" t="s">
        <v>7</v>
      </c>
      <c r="MK645" s="27" t="s">
        <v>8</v>
      </c>
      <c r="MO645" s="27" t="s">
        <v>8</v>
      </c>
      <c r="MP645" s="27" t="s">
        <v>7</v>
      </c>
      <c r="MQ645" s="27" t="s">
        <v>8</v>
      </c>
      <c r="NH645" s="27" t="s">
        <v>7</v>
      </c>
      <c r="NM645" s="27" t="s">
        <v>8</v>
      </c>
      <c r="NN645" s="27" t="s">
        <v>7</v>
      </c>
      <c r="NO645" s="27" t="s">
        <v>8</v>
      </c>
      <c r="NP645" s="27" t="s">
        <v>7</v>
      </c>
      <c r="NQ645" s="27" t="s">
        <v>8</v>
      </c>
      <c r="NR645" s="27" t="s">
        <v>7</v>
      </c>
      <c r="NS645" s="27" t="s">
        <v>8</v>
      </c>
      <c r="NX645" s="27" t="s">
        <v>7</v>
      </c>
      <c r="NY645" s="27" t="s">
        <v>8</v>
      </c>
      <c r="NZ645" s="27" t="s">
        <v>7</v>
      </c>
      <c r="OD645" s="27" t="s">
        <v>7</v>
      </c>
      <c r="OE645" s="27" t="s">
        <v>8</v>
      </c>
      <c r="OF645" s="27" t="s">
        <v>7</v>
      </c>
      <c r="OG645" s="27" t="s">
        <v>8</v>
      </c>
      <c r="OH645" s="27" t="s">
        <v>7</v>
      </c>
      <c r="OQ645" s="27" t="s">
        <v>8</v>
      </c>
      <c r="OU645" s="27" t="s">
        <v>8</v>
      </c>
      <c r="OV645" s="27" t="s">
        <v>7</v>
      </c>
      <c r="OW645" s="27" t="s">
        <v>8</v>
      </c>
      <c r="PB645" s="27" t="s">
        <v>7</v>
      </c>
      <c r="PC645" s="27" t="s">
        <v>8</v>
      </c>
      <c r="PD645" s="27" t="s">
        <v>7</v>
      </c>
      <c r="PE645" s="27" t="s">
        <v>8</v>
      </c>
      <c r="PF645" s="27" t="s">
        <v>7</v>
      </c>
      <c r="PG645" s="27" t="s">
        <v>8</v>
      </c>
      <c r="PH645" s="27" t="s">
        <v>7</v>
      </c>
      <c r="PK645" s="27" t="s">
        <v>8</v>
      </c>
      <c r="PL645" s="27" t="s">
        <v>7</v>
      </c>
    </row>
    <row r="646" spans="1:432" x14ac:dyDescent="0.25">
      <c r="A646" s="7">
        <v>0.31087791178825175</v>
      </c>
      <c r="B646"/>
      <c r="C646"/>
      <c r="D646"/>
      <c r="E646"/>
      <c r="F646" s="27" t="s">
        <v>7</v>
      </c>
      <c r="KS646" s="27" t="s">
        <v>8</v>
      </c>
      <c r="KV646" s="27" t="s">
        <v>7</v>
      </c>
      <c r="KW646" s="27" t="s">
        <v>8</v>
      </c>
      <c r="KX646" s="27" t="s">
        <v>7</v>
      </c>
      <c r="KY646" s="27" t="s">
        <v>8</v>
      </c>
      <c r="LP646" s="27" t="s">
        <v>7</v>
      </c>
      <c r="LQ646" s="27" t="s">
        <v>8</v>
      </c>
      <c r="LR646" s="27" t="s">
        <v>7</v>
      </c>
      <c r="LS646" s="27" t="s">
        <v>8</v>
      </c>
      <c r="LT646" s="27" t="s">
        <v>7</v>
      </c>
      <c r="LU646" s="27" t="s">
        <v>8</v>
      </c>
      <c r="LV646" s="27" t="s">
        <v>7</v>
      </c>
      <c r="LW646" s="27" t="s">
        <v>8</v>
      </c>
      <c r="MF646" s="27" t="s">
        <v>7</v>
      </c>
      <c r="MG646" s="27" t="s">
        <v>8</v>
      </c>
      <c r="MH646" s="27" t="s">
        <v>7</v>
      </c>
      <c r="MI646" s="27" t="s">
        <v>8</v>
      </c>
      <c r="MJ646" s="27" t="s">
        <v>7</v>
      </c>
      <c r="MK646" s="27" t="s">
        <v>8</v>
      </c>
      <c r="ML646" s="27" t="s">
        <v>7</v>
      </c>
      <c r="MO646" s="27" t="s">
        <v>8</v>
      </c>
      <c r="MP646" s="27" t="s">
        <v>7</v>
      </c>
      <c r="MQ646" s="27" t="s">
        <v>8</v>
      </c>
      <c r="NH646" s="27" t="s">
        <v>7</v>
      </c>
      <c r="NM646" s="27" t="s">
        <v>8</v>
      </c>
      <c r="NN646" s="27" t="s">
        <v>7</v>
      </c>
      <c r="NP646" s="27" t="s">
        <v>7</v>
      </c>
      <c r="NQ646" s="27" t="s">
        <v>8</v>
      </c>
      <c r="NR646" s="27" t="s">
        <v>7</v>
      </c>
      <c r="NS646" s="27" t="s">
        <v>8</v>
      </c>
      <c r="NX646" s="27" t="s">
        <v>7</v>
      </c>
      <c r="OD646" s="27" t="s">
        <v>7</v>
      </c>
      <c r="OE646" s="27" t="s">
        <v>8</v>
      </c>
      <c r="OF646" s="27" t="s">
        <v>7</v>
      </c>
      <c r="OG646" s="27" t="s">
        <v>8</v>
      </c>
      <c r="OH646" s="27" t="s">
        <v>7</v>
      </c>
      <c r="OO646" s="27" t="s">
        <v>8</v>
      </c>
      <c r="OQ646" s="27" t="s">
        <v>8</v>
      </c>
      <c r="OR646" s="27" t="s">
        <v>7</v>
      </c>
      <c r="OS646" s="27" t="s">
        <v>8</v>
      </c>
      <c r="OU646" s="27" t="s">
        <v>8</v>
      </c>
      <c r="OV646" s="27" t="s">
        <v>7</v>
      </c>
      <c r="OW646" s="27" t="s">
        <v>8</v>
      </c>
      <c r="PB646" s="27" t="s">
        <v>7</v>
      </c>
      <c r="PC646" s="27" t="s">
        <v>8</v>
      </c>
      <c r="PD646" s="27" t="s">
        <v>7</v>
      </c>
      <c r="PE646" s="27" t="s">
        <v>8</v>
      </c>
      <c r="PF646" s="27" t="s">
        <v>7</v>
      </c>
      <c r="PH646" s="27" t="s">
        <v>7</v>
      </c>
      <c r="PI646" s="27" t="s">
        <v>8</v>
      </c>
      <c r="PK646" s="27" t="s">
        <v>8</v>
      </c>
      <c r="PL646" s="27" t="s">
        <v>7</v>
      </c>
    </row>
    <row r="647" spans="1:432" x14ac:dyDescent="0.25">
      <c r="A647" s="7">
        <v>0.30478226645907036</v>
      </c>
      <c r="B647"/>
      <c r="C647"/>
      <c r="D647"/>
      <c r="E647"/>
      <c r="F647" s="27" t="s">
        <v>7</v>
      </c>
      <c r="KS647" s="27" t="s">
        <v>8</v>
      </c>
      <c r="KV647" s="27" t="s">
        <v>7</v>
      </c>
      <c r="KW647" s="27" t="s">
        <v>8</v>
      </c>
      <c r="KX647" s="27" t="s">
        <v>7</v>
      </c>
      <c r="LP647" s="27" t="s">
        <v>7</v>
      </c>
      <c r="LQ647" s="27" t="s">
        <v>8</v>
      </c>
      <c r="LR647" s="27" t="s">
        <v>7</v>
      </c>
      <c r="LS647" s="27" t="s">
        <v>8</v>
      </c>
      <c r="LT647" s="27" t="s">
        <v>7</v>
      </c>
      <c r="LU647" s="27" t="s">
        <v>8</v>
      </c>
      <c r="LV647" s="27" t="s">
        <v>7</v>
      </c>
      <c r="LW647" s="27" t="s">
        <v>8</v>
      </c>
      <c r="MF647" s="27" t="s">
        <v>7</v>
      </c>
      <c r="MG647" s="27" t="s">
        <v>8</v>
      </c>
      <c r="MH647" s="27" t="s">
        <v>7</v>
      </c>
      <c r="MI647" s="27" t="s">
        <v>8</v>
      </c>
      <c r="MJ647" s="27" t="s">
        <v>7</v>
      </c>
      <c r="MK647" s="27" t="s">
        <v>8</v>
      </c>
      <c r="ML647" s="27" t="s">
        <v>7</v>
      </c>
      <c r="MM647" s="27" t="s">
        <v>8</v>
      </c>
      <c r="MO647" s="27" t="s">
        <v>8</v>
      </c>
      <c r="MP647" s="27" t="s">
        <v>7</v>
      </c>
      <c r="MQ647" s="27" t="s">
        <v>8</v>
      </c>
      <c r="NH647" s="27" t="s">
        <v>7</v>
      </c>
      <c r="NI647" s="27" t="s">
        <v>8</v>
      </c>
      <c r="NM647" s="27" t="s">
        <v>8</v>
      </c>
      <c r="NP647" s="27" t="s">
        <v>7</v>
      </c>
      <c r="NQ647" s="27" t="s">
        <v>8</v>
      </c>
      <c r="NR647" s="27" t="s">
        <v>7</v>
      </c>
      <c r="NS647" s="27" t="s">
        <v>8</v>
      </c>
      <c r="OD647" s="27" t="s">
        <v>7</v>
      </c>
      <c r="OE647" s="27" t="s">
        <v>8</v>
      </c>
      <c r="OF647" s="27" t="s">
        <v>7</v>
      </c>
      <c r="OG647" s="27" t="s">
        <v>8</v>
      </c>
      <c r="OH647" s="27" t="s">
        <v>7</v>
      </c>
      <c r="OM647" s="27" t="s">
        <v>8</v>
      </c>
      <c r="OO647" s="27" t="s">
        <v>8</v>
      </c>
      <c r="OP647" s="27" t="s">
        <v>7</v>
      </c>
      <c r="OQ647" s="27" t="s">
        <v>8</v>
      </c>
      <c r="OR647" s="27" t="s">
        <v>7</v>
      </c>
      <c r="OS647" s="27" t="s">
        <v>8</v>
      </c>
      <c r="OT647" s="27" t="s">
        <v>7</v>
      </c>
      <c r="OU647" s="27" t="s">
        <v>8</v>
      </c>
      <c r="OV647" s="27" t="s">
        <v>7</v>
      </c>
      <c r="OW647" s="27" t="s">
        <v>8</v>
      </c>
      <c r="PB647" s="27" t="s">
        <v>7</v>
      </c>
      <c r="PC647" s="27" t="s">
        <v>8</v>
      </c>
      <c r="PD647" s="27" t="s">
        <v>7</v>
      </c>
      <c r="PE647" s="27" t="s">
        <v>8</v>
      </c>
      <c r="PH647" s="27" t="s">
        <v>7</v>
      </c>
      <c r="PI647" s="27" t="s">
        <v>8</v>
      </c>
      <c r="PJ647" s="27" t="s">
        <v>7</v>
      </c>
      <c r="PK647" s="27" t="s">
        <v>8</v>
      </c>
      <c r="PL647" s="27" t="s">
        <v>7</v>
      </c>
    </row>
    <row r="648" spans="1:432" x14ac:dyDescent="0.25">
      <c r="A648" s="7">
        <v>0.29880614358732388</v>
      </c>
      <c r="B648"/>
      <c r="C648"/>
      <c r="D648"/>
      <c r="E648"/>
      <c r="F648" s="27" t="s">
        <v>7</v>
      </c>
      <c r="KS648" s="27" t="s">
        <v>8</v>
      </c>
      <c r="KV648" s="27" t="s">
        <v>7</v>
      </c>
      <c r="LP648" s="27" t="s">
        <v>7</v>
      </c>
      <c r="LQ648" s="27" t="s">
        <v>8</v>
      </c>
      <c r="LR648" s="27" t="s">
        <v>7</v>
      </c>
      <c r="LS648" s="27" t="s">
        <v>8</v>
      </c>
      <c r="LT648" s="27" t="s">
        <v>7</v>
      </c>
      <c r="LU648" s="27" t="s">
        <v>8</v>
      </c>
      <c r="LV648" s="27" t="s">
        <v>7</v>
      </c>
      <c r="LW648" s="27" t="s">
        <v>8</v>
      </c>
      <c r="MF648" s="27" t="s">
        <v>7</v>
      </c>
      <c r="MG648" s="27" t="s">
        <v>8</v>
      </c>
      <c r="MH648" s="27" t="s">
        <v>7</v>
      </c>
      <c r="MJ648" s="27" t="s">
        <v>7</v>
      </c>
      <c r="MK648" s="27" t="s">
        <v>8</v>
      </c>
      <c r="ML648" s="27" t="s">
        <v>7</v>
      </c>
      <c r="MM648" s="27" t="s">
        <v>8</v>
      </c>
      <c r="MN648" s="27" t="s">
        <v>7</v>
      </c>
      <c r="MO648" s="27" t="s">
        <v>8</v>
      </c>
      <c r="MP648" s="27" t="s">
        <v>7</v>
      </c>
      <c r="MQ648" s="27" t="s">
        <v>8</v>
      </c>
      <c r="NH648" s="27" t="s">
        <v>7</v>
      </c>
      <c r="NI648" s="27" t="s">
        <v>8</v>
      </c>
      <c r="NJ648" s="27" t="s">
        <v>7</v>
      </c>
      <c r="NM648" s="27" t="s">
        <v>8</v>
      </c>
      <c r="NP648" s="27" t="s">
        <v>7</v>
      </c>
      <c r="NQ648" s="27" t="s">
        <v>8</v>
      </c>
      <c r="NR648" s="27" t="s">
        <v>7</v>
      </c>
      <c r="NS648" s="27" t="s">
        <v>8</v>
      </c>
      <c r="OD648" s="27" t="s">
        <v>7</v>
      </c>
      <c r="OF648" s="27" t="s">
        <v>7</v>
      </c>
      <c r="OG648" s="27" t="s">
        <v>8</v>
      </c>
      <c r="OH648" s="27" t="s">
        <v>7</v>
      </c>
      <c r="OM648" s="27" t="s">
        <v>8</v>
      </c>
      <c r="ON648" s="27" t="s">
        <v>7</v>
      </c>
      <c r="OO648" s="27" t="s">
        <v>8</v>
      </c>
      <c r="OP648" s="27" t="s">
        <v>7</v>
      </c>
      <c r="OQ648" s="27" t="s">
        <v>8</v>
      </c>
      <c r="OR648" s="27" t="s">
        <v>7</v>
      </c>
      <c r="OS648" s="27" t="s">
        <v>8</v>
      </c>
      <c r="OT648" s="27" t="s">
        <v>7</v>
      </c>
      <c r="OU648" s="27" t="s">
        <v>8</v>
      </c>
      <c r="OV648" s="27" t="s">
        <v>7</v>
      </c>
      <c r="OW648" s="27" t="s">
        <v>8</v>
      </c>
      <c r="PB648" s="27" t="s">
        <v>7</v>
      </c>
      <c r="PC648" s="27" t="s">
        <v>8</v>
      </c>
      <c r="PD648" s="27" t="s">
        <v>7</v>
      </c>
      <c r="PH648" s="27" t="s">
        <v>7</v>
      </c>
      <c r="PI648" s="27" t="s">
        <v>8</v>
      </c>
      <c r="PJ648" s="27" t="s">
        <v>7</v>
      </c>
      <c r="PK648" s="27" t="s">
        <v>8</v>
      </c>
      <c r="PL648" s="27" t="s">
        <v>7</v>
      </c>
    </row>
    <row r="649" spans="1:432" x14ac:dyDescent="0.25">
      <c r="A649" s="7">
        <v>0.2929471995954156</v>
      </c>
      <c r="B649"/>
      <c r="C649"/>
      <c r="D649"/>
      <c r="E649"/>
      <c r="F649" s="27" t="s">
        <v>7</v>
      </c>
      <c r="KS649" s="27" t="s">
        <v>8</v>
      </c>
      <c r="LP649" s="27" t="s">
        <v>7</v>
      </c>
      <c r="LQ649" s="27" t="s">
        <v>8</v>
      </c>
      <c r="LR649" s="27" t="s">
        <v>7</v>
      </c>
      <c r="LS649" s="27" t="s">
        <v>8</v>
      </c>
      <c r="LT649" s="27" t="s">
        <v>7</v>
      </c>
      <c r="LU649" s="27" t="s">
        <v>8</v>
      </c>
      <c r="LV649" s="27" t="s">
        <v>7</v>
      </c>
      <c r="LW649" s="27" t="s">
        <v>8</v>
      </c>
      <c r="MF649" s="27" t="s">
        <v>7</v>
      </c>
      <c r="MG649" s="27" t="s">
        <v>8</v>
      </c>
      <c r="MJ649" s="27" t="s">
        <v>7</v>
      </c>
      <c r="MK649" s="27" t="s">
        <v>8</v>
      </c>
      <c r="ML649" s="27" t="s">
        <v>7</v>
      </c>
      <c r="MM649" s="27" t="s">
        <v>8</v>
      </c>
      <c r="MN649" s="27" t="s">
        <v>7</v>
      </c>
      <c r="MO649" s="27" t="s">
        <v>8</v>
      </c>
      <c r="MP649" s="27" t="s">
        <v>7</v>
      </c>
      <c r="MQ649" s="27" t="s">
        <v>8</v>
      </c>
      <c r="NH649" s="27" t="s">
        <v>7</v>
      </c>
      <c r="NI649" s="27" t="s">
        <v>8</v>
      </c>
      <c r="NJ649" s="27" t="s">
        <v>7</v>
      </c>
      <c r="NM649" s="27" t="s">
        <v>8</v>
      </c>
      <c r="NP649" s="27" t="s">
        <v>7</v>
      </c>
      <c r="NQ649" s="27" t="s">
        <v>8</v>
      </c>
      <c r="NR649" s="27" t="s">
        <v>7</v>
      </c>
      <c r="NS649" s="27" t="s">
        <v>8</v>
      </c>
      <c r="OF649" s="27" t="s">
        <v>7</v>
      </c>
      <c r="OG649" s="27" t="s">
        <v>8</v>
      </c>
      <c r="OH649" s="27" t="s">
        <v>7</v>
      </c>
      <c r="OK649" s="27" t="s">
        <v>8</v>
      </c>
      <c r="OM649" s="27" t="s">
        <v>8</v>
      </c>
      <c r="ON649" s="27" t="s">
        <v>7</v>
      </c>
      <c r="OO649" s="27" t="s">
        <v>8</v>
      </c>
      <c r="OP649" s="27" t="s">
        <v>7</v>
      </c>
      <c r="OQ649" s="27" t="s">
        <v>8</v>
      </c>
      <c r="OR649" s="27" t="s">
        <v>7</v>
      </c>
      <c r="OS649" s="27" t="s">
        <v>8</v>
      </c>
      <c r="OT649" s="27" t="s">
        <v>7</v>
      </c>
      <c r="OV649" s="27" t="s">
        <v>7</v>
      </c>
      <c r="PB649" s="27" t="s">
        <v>7</v>
      </c>
      <c r="PH649" s="27" t="s">
        <v>7</v>
      </c>
      <c r="PI649" s="27" t="s">
        <v>8</v>
      </c>
      <c r="PJ649" s="27" t="s">
        <v>7</v>
      </c>
      <c r="PK649" s="27" t="s">
        <v>8</v>
      </c>
      <c r="PL649" s="27" t="s">
        <v>7</v>
      </c>
    </row>
    <row r="650" spans="1:432" x14ac:dyDescent="0.25">
      <c r="A650" s="7">
        <v>0.28720313685825055</v>
      </c>
      <c r="B650"/>
      <c r="C650"/>
      <c r="D650"/>
      <c r="E650"/>
      <c r="F650" s="27" t="s">
        <v>7</v>
      </c>
      <c r="KS650" s="27" t="s">
        <v>8</v>
      </c>
      <c r="LP650" s="27" t="s">
        <v>7</v>
      </c>
      <c r="LQ650" s="27" t="s">
        <v>8</v>
      </c>
      <c r="LR650" s="27" t="s">
        <v>7</v>
      </c>
      <c r="LS650" s="27" t="s">
        <v>8</v>
      </c>
      <c r="LT650" s="27" t="s">
        <v>7</v>
      </c>
      <c r="LU650" s="27" t="s">
        <v>8</v>
      </c>
      <c r="LV650" s="27" t="s">
        <v>7</v>
      </c>
      <c r="MF650" s="27" t="s">
        <v>7</v>
      </c>
      <c r="MG650" s="27" t="s">
        <v>8</v>
      </c>
      <c r="MJ650" s="27" t="s">
        <v>7</v>
      </c>
      <c r="MK650" s="27" t="s">
        <v>8</v>
      </c>
      <c r="ML650" s="27" t="s">
        <v>7</v>
      </c>
      <c r="MM650" s="27" t="s">
        <v>8</v>
      </c>
      <c r="MN650" s="27" t="s">
        <v>7</v>
      </c>
      <c r="MO650" s="27" t="s">
        <v>8</v>
      </c>
      <c r="MP650" s="27" t="s">
        <v>7</v>
      </c>
      <c r="MQ650" s="27" t="s">
        <v>8</v>
      </c>
      <c r="NH650" s="27" t="s">
        <v>7</v>
      </c>
      <c r="NI650" s="27" t="s">
        <v>8</v>
      </c>
      <c r="NJ650" s="27" t="s">
        <v>7</v>
      </c>
      <c r="NK650" s="27" t="s">
        <v>8</v>
      </c>
      <c r="NM650" s="27" t="s">
        <v>8</v>
      </c>
      <c r="NP650" s="27" t="s">
        <v>7</v>
      </c>
      <c r="NQ650" s="27" t="s">
        <v>8</v>
      </c>
      <c r="NR650" s="27" t="s">
        <v>7</v>
      </c>
      <c r="NS650" s="27" t="s">
        <v>8</v>
      </c>
      <c r="OF650" s="27" t="s">
        <v>7</v>
      </c>
      <c r="OH650" s="27" t="s">
        <v>7</v>
      </c>
      <c r="OI650" s="27" t="s">
        <v>8</v>
      </c>
      <c r="OK650" s="27" t="s">
        <v>8</v>
      </c>
      <c r="OL650" s="27" t="s">
        <v>7</v>
      </c>
      <c r="OM650" s="27" t="s">
        <v>8</v>
      </c>
      <c r="ON650" s="27" t="s">
        <v>7</v>
      </c>
      <c r="OO650" s="27" t="s">
        <v>8</v>
      </c>
      <c r="OP650" s="27" t="s">
        <v>7</v>
      </c>
      <c r="OR650" s="27" t="s">
        <v>7</v>
      </c>
      <c r="OS650" s="27" t="s">
        <v>8</v>
      </c>
      <c r="PH650" s="27" t="s">
        <v>7</v>
      </c>
      <c r="PJ650" s="27" t="s">
        <v>7</v>
      </c>
      <c r="PL650" s="27" t="s">
        <v>7</v>
      </c>
    </row>
    <row r="651" spans="1:432" x14ac:dyDescent="0.25">
      <c r="A651" s="7">
        <v>0.28157170280220645</v>
      </c>
      <c r="B651"/>
      <c r="C651"/>
      <c r="D651"/>
      <c r="E651"/>
      <c r="F651" s="27" t="s">
        <v>7</v>
      </c>
      <c r="KS651" s="27" t="s">
        <v>8</v>
      </c>
      <c r="LP651" s="27" t="s">
        <v>7</v>
      </c>
      <c r="LR651" s="27" t="s">
        <v>7</v>
      </c>
      <c r="LS651" s="27" t="s">
        <v>8</v>
      </c>
      <c r="LT651" s="27" t="s">
        <v>7</v>
      </c>
      <c r="LU651" s="27" t="s">
        <v>8</v>
      </c>
      <c r="MF651" s="27" t="s">
        <v>7</v>
      </c>
      <c r="MG651" s="27" t="s">
        <v>8</v>
      </c>
      <c r="MJ651" s="27" t="s">
        <v>7</v>
      </c>
      <c r="MK651" s="27" t="s">
        <v>8</v>
      </c>
      <c r="ML651" s="27" t="s">
        <v>7</v>
      </c>
      <c r="MM651" s="27" t="s">
        <v>8</v>
      </c>
      <c r="MN651" s="27" t="s">
        <v>7</v>
      </c>
      <c r="MO651" s="27" t="s">
        <v>8</v>
      </c>
      <c r="MP651" s="27" t="s">
        <v>7</v>
      </c>
      <c r="MQ651" s="27" t="s">
        <v>8</v>
      </c>
      <c r="NH651" s="27" t="s">
        <v>7</v>
      </c>
      <c r="NI651" s="27" t="s">
        <v>8</v>
      </c>
      <c r="NJ651" s="27" t="s">
        <v>7</v>
      </c>
      <c r="NK651" s="27" t="s">
        <v>8</v>
      </c>
      <c r="NL651" s="27" t="s">
        <v>7</v>
      </c>
      <c r="NM651" s="27" t="s">
        <v>8</v>
      </c>
      <c r="NP651" s="27" t="s">
        <v>7</v>
      </c>
      <c r="NR651" s="27" t="s">
        <v>7</v>
      </c>
      <c r="OH651" s="27" t="s">
        <v>7</v>
      </c>
      <c r="OI651" s="27" t="s">
        <v>8</v>
      </c>
      <c r="OJ651" s="27" t="s">
        <v>7</v>
      </c>
      <c r="OK651" s="27" t="s">
        <v>8</v>
      </c>
      <c r="OL651" s="27" t="s">
        <v>7</v>
      </c>
      <c r="OM651" s="27" t="s">
        <v>8</v>
      </c>
      <c r="ON651" s="27" t="s">
        <v>7</v>
      </c>
      <c r="OO651" s="27" t="s">
        <v>8</v>
      </c>
      <c r="OR651" s="27" t="s">
        <v>7</v>
      </c>
      <c r="OS651" s="27" t="s">
        <v>8</v>
      </c>
      <c r="PL651" s="27" t="s">
        <v>7</v>
      </c>
      <c r="PM651" s="27" t="s">
        <v>8</v>
      </c>
    </row>
    <row r="652" spans="1:432" x14ac:dyDescent="0.25">
      <c r="A652" s="7">
        <v>0.27605068902177105</v>
      </c>
      <c r="B652"/>
      <c r="C652"/>
      <c r="D652"/>
      <c r="E652"/>
      <c r="F652" s="27" t="s">
        <v>7</v>
      </c>
      <c r="KS652" s="27" t="s">
        <v>8</v>
      </c>
      <c r="LR652" s="27" t="s">
        <v>7</v>
      </c>
      <c r="LS652" s="27" t="s">
        <v>8</v>
      </c>
      <c r="LT652" s="27" t="s">
        <v>7</v>
      </c>
      <c r="LU652" s="27" t="s">
        <v>8</v>
      </c>
      <c r="MF652" s="27" t="s">
        <v>7</v>
      </c>
      <c r="MJ652" s="27" t="s">
        <v>7</v>
      </c>
      <c r="MK652" s="27" t="s">
        <v>8</v>
      </c>
      <c r="ML652" s="27" t="s">
        <v>7</v>
      </c>
      <c r="MM652" s="27" t="s">
        <v>8</v>
      </c>
      <c r="MN652" s="27" t="s">
        <v>7</v>
      </c>
      <c r="MO652" s="27" t="s">
        <v>8</v>
      </c>
      <c r="MP652" s="27" t="s">
        <v>7</v>
      </c>
      <c r="MQ652" s="27" t="s">
        <v>8</v>
      </c>
      <c r="NH652" s="27" t="s">
        <v>7</v>
      </c>
      <c r="NI652" s="27" t="s">
        <v>8</v>
      </c>
      <c r="NJ652" s="27" t="s">
        <v>7</v>
      </c>
      <c r="NK652" s="27" t="s">
        <v>8</v>
      </c>
      <c r="NL652" s="27" t="s">
        <v>7</v>
      </c>
      <c r="NM652" s="27" t="s">
        <v>8</v>
      </c>
      <c r="OH652" s="27" t="s">
        <v>7</v>
      </c>
      <c r="OI652" s="27" t="s">
        <v>8</v>
      </c>
      <c r="OJ652" s="27" t="s">
        <v>7</v>
      </c>
      <c r="OK652" s="27" t="s">
        <v>8</v>
      </c>
      <c r="OL652" s="27" t="s">
        <v>7</v>
      </c>
      <c r="OM652" s="27" t="s">
        <v>8</v>
      </c>
      <c r="ON652" s="27" t="s">
        <v>7</v>
      </c>
      <c r="OR652" s="27" t="s">
        <v>7</v>
      </c>
      <c r="PL652" s="27" t="s">
        <v>7</v>
      </c>
      <c r="PM652" s="27" t="s">
        <v>8</v>
      </c>
      <c r="PN652" s="27" t="s">
        <v>7</v>
      </c>
    </row>
    <row r="653" spans="1:432" x14ac:dyDescent="0.25">
      <c r="A653" s="7">
        <v>0.27063793041350104</v>
      </c>
      <c r="B653"/>
      <c r="C653"/>
      <c r="D653"/>
      <c r="E653"/>
      <c r="F653" s="27" t="s">
        <v>7</v>
      </c>
      <c r="KS653" s="27" t="s">
        <v>8</v>
      </c>
      <c r="LR653" s="27" t="s">
        <v>7</v>
      </c>
      <c r="LS653" s="27" t="s">
        <v>8</v>
      </c>
      <c r="LT653" s="27" t="s">
        <v>7</v>
      </c>
      <c r="LU653" s="27" t="s">
        <v>8</v>
      </c>
      <c r="MJ653" s="27" t="s">
        <v>7</v>
      </c>
      <c r="MK653" s="27" t="s">
        <v>8</v>
      </c>
      <c r="ML653" s="27" t="s">
        <v>7</v>
      </c>
      <c r="MM653" s="27" t="s">
        <v>8</v>
      </c>
      <c r="MN653" s="27" t="s">
        <v>7</v>
      </c>
      <c r="MO653" s="27" t="s">
        <v>8</v>
      </c>
      <c r="MP653" s="27" t="s">
        <v>7</v>
      </c>
      <c r="MQ653" s="27" t="s">
        <v>8</v>
      </c>
      <c r="NH653" s="27" t="s">
        <v>7</v>
      </c>
      <c r="NI653" s="27" t="s">
        <v>8</v>
      </c>
      <c r="NJ653" s="27" t="s">
        <v>7</v>
      </c>
      <c r="NK653" s="27" t="s">
        <v>8</v>
      </c>
      <c r="NL653" s="27" t="s">
        <v>7</v>
      </c>
      <c r="NM653" s="27" t="s">
        <v>8</v>
      </c>
      <c r="OH653" s="27" t="s">
        <v>7</v>
      </c>
      <c r="OI653" s="27" t="s">
        <v>8</v>
      </c>
      <c r="OJ653" s="27" t="s">
        <v>7</v>
      </c>
      <c r="OK653" s="27" t="s">
        <v>8</v>
      </c>
      <c r="OL653" s="27" t="s">
        <v>7</v>
      </c>
      <c r="OM653" s="27" t="s">
        <v>8</v>
      </c>
      <c r="PL653" s="27" t="s">
        <v>7</v>
      </c>
      <c r="PM653" s="27" t="s">
        <v>8</v>
      </c>
      <c r="PN653" s="27" t="s">
        <v>7</v>
      </c>
    </row>
    <row r="654" spans="1:432" x14ac:dyDescent="0.25">
      <c r="A654" s="7">
        <v>0.26533130432696184</v>
      </c>
      <c r="B654"/>
      <c r="C654"/>
      <c r="D654"/>
      <c r="E654"/>
      <c r="F654" s="27" t="s">
        <v>7</v>
      </c>
      <c r="KS654" s="27" t="s">
        <v>8</v>
      </c>
      <c r="LR654" s="27" t="s">
        <v>7</v>
      </c>
      <c r="LT654" s="27" t="s">
        <v>7</v>
      </c>
      <c r="LU654" s="27" t="s">
        <v>8</v>
      </c>
      <c r="MJ654" s="27" t="s">
        <v>7</v>
      </c>
      <c r="MK654" s="27" t="s">
        <v>8</v>
      </c>
      <c r="ML654" s="27" t="s">
        <v>7</v>
      </c>
      <c r="MM654" s="27" t="s">
        <v>8</v>
      </c>
      <c r="MN654" s="27" t="s">
        <v>7</v>
      </c>
      <c r="MO654" s="27" t="s">
        <v>8</v>
      </c>
      <c r="MP654" s="27" t="s">
        <v>7</v>
      </c>
      <c r="NH654" s="27" t="s">
        <v>7</v>
      </c>
      <c r="NI654" s="27" t="s">
        <v>8</v>
      </c>
      <c r="NJ654" s="27" t="s">
        <v>7</v>
      </c>
      <c r="NK654" s="27" t="s">
        <v>8</v>
      </c>
      <c r="NL654" s="27" t="s">
        <v>7</v>
      </c>
      <c r="OH654" s="27" t="s">
        <v>7</v>
      </c>
      <c r="OI654" s="27" t="s">
        <v>8</v>
      </c>
      <c r="OJ654" s="27" t="s">
        <v>7</v>
      </c>
      <c r="OK654" s="27" t="s">
        <v>8</v>
      </c>
      <c r="OL654" s="27" t="s">
        <v>7</v>
      </c>
      <c r="OM654" s="27" t="s">
        <v>8</v>
      </c>
      <c r="PL654" s="27" t="s">
        <v>7</v>
      </c>
      <c r="PM654" s="27" t="s">
        <v>8</v>
      </c>
      <c r="PN654" s="27" t="s">
        <v>7</v>
      </c>
    </row>
    <row r="655" spans="1:432" x14ac:dyDescent="0.25">
      <c r="A655" s="7">
        <v>0.26012872973231554</v>
      </c>
      <c r="B655"/>
      <c r="C655"/>
      <c r="D655"/>
      <c r="E655"/>
      <c r="F655" s="27" t="s">
        <v>7</v>
      </c>
      <c r="KS655" s="27" t="s">
        <v>8</v>
      </c>
      <c r="LT655" s="27" t="s">
        <v>7</v>
      </c>
      <c r="LU655" s="27" t="s">
        <v>8</v>
      </c>
      <c r="MJ655" s="27" t="s">
        <v>7</v>
      </c>
      <c r="MK655" s="27" t="s">
        <v>8</v>
      </c>
      <c r="ML655" s="27" t="s">
        <v>7</v>
      </c>
      <c r="MM655" s="27" t="s">
        <v>8</v>
      </c>
      <c r="MN655" s="27" t="s">
        <v>7</v>
      </c>
      <c r="MO655" s="27" t="s">
        <v>8</v>
      </c>
      <c r="NH655" s="27" t="s">
        <v>7</v>
      </c>
      <c r="NJ655" s="18" t="s">
        <v>7</v>
      </c>
      <c r="NK655" s="27" t="s">
        <v>8</v>
      </c>
      <c r="OH655" s="27" t="s">
        <v>7</v>
      </c>
      <c r="OI655" s="27" t="s">
        <v>8</v>
      </c>
      <c r="OJ655" s="27" t="s">
        <v>7</v>
      </c>
      <c r="OK655" s="27" t="s">
        <v>8</v>
      </c>
      <c r="OL655" s="27" t="s">
        <v>7</v>
      </c>
      <c r="OM655" s="27" t="s">
        <v>8</v>
      </c>
      <c r="PL655" s="27" t="s">
        <v>7</v>
      </c>
      <c r="PM655" s="27" t="s">
        <v>8</v>
      </c>
      <c r="PN655" s="27" t="s">
        <v>7</v>
      </c>
      <c r="PO655" s="27" t="s">
        <v>8</v>
      </c>
    </row>
    <row r="656" spans="1:432" x14ac:dyDescent="0.25">
      <c r="A656" s="7">
        <v>0.25502816640423093</v>
      </c>
      <c r="B656"/>
      <c r="C656"/>
      <c r="D656"/>
      <c r="E656"/>
      <c r="F656" s="27" t="s">
        <v>7</v>
      </c>
      <c r="KS656" s="27" t="s">
        <v>8</v>
      </c>
      <c r="LT656" s="27" t="s">
        <v>7</v>
      </c>
      <c r="LU656" s="27" t="s">
        <v>8</v>
      </c>
      <c r="MJ656" s="27" t="s">
        <v>7</v>
      </c>
      <c r="MK656" s="27" t="s">
        <v>8</v>
      </c>
      <c r="ML656" s="27" t="s">
        <v>7</v>
      </c>
      <c r="MM656" s="27" t="s">
        <v>8</v>
      </c>
      <c r="MN656" s="27" t="s">
        <v>7</v>
      </c>
      <c r="MO656" s="27" t="s">
        <v>8</v>
      </c>
      <c r="NJ656" s="27" t="s">
        <v>7</v>
      </c>
      <c r="NK656" s="27" t="s">
        <v>8</v>
      </c>
      <c r="OH656" s="27" t="s">
        <v>7</v>
      </c>
      <c r="OI656" s="27" t="s">
        <v>8</v>
      </c>
      <c r="OJ656" s="27" t="s">
        <v>7</v>
      </c>
      <c r="OL656" s="27" t="s">
        <v>7</v>
      </c>
      <c r="OM656" s="27" t="s">
        <v>8</v>
      </c>
      <c r="PL656" s="27" t="s">
        <v>7</v>
      </c>
      <c r="PM656" s="27" t="s">
        <v>8</v>
      </c>
      <c r="PN656" s="27" t="s">
        <v>7</v>
      </c>
      <c r="PO656" s="27" t="s">
        <v>8</v>
      </c>
      <c r="PP656" s="27" t="s">
        <v>7</v>
      </c>
    </row>
    <row r="657" spans="1:458" x14ac:dyDescent="0.25">
      <c r="A657" s="7">
        <v>0.25002761412179503</v>
      </c>
      <c r="B657"/>
      <c r="C657"/>
      <c r="D657"/>
      <c r="E657"/>
      <c r="F657" s="27" t="s">
        <v>7</v>
      </c>
      <c r="KS657" s="27" t="s">
        <v>8</v>
      </c>
      <c r="LT657" s="27" t="s">
        <v>7</v>
      </c>
      <c r="LU657" s="27" t="s">
        <v>8</v>
      </c>
      <c r="MJ657" s="27" t="s">
        <v>7</v>
      </c>
      <c r="MK657" s="27" t="s">
        <v>8</v>
      </c>
      <c r="ML657" s="27" t="s">
        <v>7</v>
      </c>
      <c r="MM657" s="27" t="s">
        <v>8</v>
      </c>
      <c r="MN657" s="27" t="s">
        <v>7</v>
      </c>
      <c r="MO657" s="27" t="s">
        <v>8</v>
      </c>
      <c r="NJ657" s="27" t="s">
        <v>7</v>
      </c>
      <c r="NK657" s="27" t="s">
        <v>8</v>
      </c>
      <c r="OH657" s="27" t="s">
        <v>7</v>
      </c>
      <c r="OI657" s="27" t="s">
        <v>8</v>
      </c>
      <c r="OL657" s="27" t="s">
        <v>7</v>
      </c>
      <c r="PL657" s="27" t="s">
        <v>7</v>
      </c>
      <c r="PM657" s="27" t="s">
        <v>8</v>
      </c>
      <c r="PN657" s="27" t="s">
        <v>7</v>
      </c>
      <c r="PO657" s="27" t="s">
        <v>8</v>
      </c>
      <c r="PP657" s="27" t="s">
        <v>7</v>
      </c>
    </row>
    <row r="658" spans="1:458" x14ac:dyDescent="0.25">
      <c r="A658" s="7">
        <v>0.24512511188411276</v>
      </c>
      <c r="B658"/>
      <c r="C658"/>
      <c r="D658"/>
      <c r="E658"/>
      <c r="F658" s="27" t="s">
        <v>7</v>
      </c>
      <c r="KS658" s="27" t="s">
        <v>8</v>
      </c>
      <c r="LT658" s="27" t="s">
        <v>7</v>
      </c>
      <c r="LU658" s="27" t="s">
        <v>8</v>
      </c>
      <c r="MJ658" s="27" t="s">
        <v>7</v>
      </c>
      <c r="MK658" s="27" t="s">
        <v>8</v>
      </c>
      <c r="ML658" s="27" t="s">
        <v>7</v>
      </c>
      <c r="MM658" s="27" t="s">
        <v>8</v>
      </c>
      <c r="MN658" s="27" t="s">
        <v>7</v>
      </c>
      <c r="MO658" s="27" t="s">
        <v>8</v>
      </c>
      <c r="NJ658" s="27" t="s">
        <v>7</v>
      </c>
      <c r="NK658" s="27" t="s">
        <v>8</v>
      </c>
      <c r="OH658" s="27" t="s">
        <v>7</v>
      </c>
      <c r="PL658" s="27" t="s">
        <v>7</v>
      </c>
      <c r="PM658" s="27" t="s">
        <v>8</v>
      </c>
      <c r="PN658" s="27" t="s">
        <v>7</v>
      </c>
      <c r="PO658" s="27" t="s">
        <v>8</v>
      </c>
      <c r="PP658" s="27" t="s">
        <v>7</v>
      </c>
      <c r="PY658" s="27" t="s">
        <v>8</v>
      </c>
    </row>
    <row r="659" spans="1:458" x14ac:dyDescent="0.25">
      <c r="A659" s="7">
        <v>0.24031873714128701</v>
      </c>
      <c r="B659"/>
      <c r="C659"/>
      <c r="D659"/>
      <c r="E659"/>
      <c r="F659" s="27" t="s">
        <v>7</v>
      </c>
      <c r="KS659" s="27" t="s">
        <v>8</v>
      </c>
      <c r="LT659" s="27" t="s">
        <v>7</v>
      </c>
      <c r="LU659" s="27" t="s">
        <v>8</v>
      </c>
      <c r="MJ659" s="27" t="s">
        <v>7</v>
      </c>
      <c r="MK659" s="27" t="s">
        <v>8</v>
      </c>
      <c r="ML659" s="27" t="s">
        <v>7</v>
      </c>
      <c r="MM659" s="27" t="s">
        <v>8</v>
      </c>
      <c r="MN659" s="27" t="s">
        <v>7</v>
      </c>
      <c r="MO659" s="27" t="s">
        <v>8</v>
      </c>
      <c r="NJ659" s="27" t="s">
        <v>7</v>
      </c>
      <c r="NK659" s="27" t="s">
        <v>8</v>
      </c>
      <c r="PL659" s="27" t="s">
        <v>7</v>
      </c>
      <c r="PM659" s="27" t="s">
        <v>8</v>
      </c>
      <c r="PN659" s="27" t="s">
        <v>7</v>
      </c>
      <c r="PO659" s="27" t="s">
        <v>8</v>
      </c>
      <c r="PP659" s="27" t="s">
        <v>7</v>
      </c>
      <c r="PQ659" s="27" t="s">
        <v>8</v>
      </c>
      <c r="PY659" s="27" t="s">
        <v>8</v>
      </c>
      <c r="PZ659" s="27" t="s">
        <v>7</v>
      </c>
    </row>
    <row r="660" spans="1:458" x14ac:dyDescent="0.25">
      <c r="A660" s="7">
        <v>0.23560660504047748</v>
      </c>
      <c r="B660"/>
      <c r="C660"/>
      <c r="D660"/>
      <c r="E660"/>
      <c r="F660" s="27" t="s">
        <v>7</v>
      </c>
      <c r="KS660" s="27" t="s">
        <v>8</v>
      </c>
      <c r="LT660" s="27" t="s">
        <v>7</v>
      </c>
      <c r="LU660" s="27" t="s">
        <v>8</v>
      </c>
      <c r="MJ660" s="27" t="s">
        <v>7</v>
      </c>
      <c r="MK660" s="27" t="s">
        <v>8</v>
      </c>
      <c r="ML660" s="27" t="s">
        <v>7</v>
      </c>
      <c r="MM660" s="27" t="s">
        <v>8</v>
      </c>
      <c r="MN660" s="27" t="s">
        <v>7</v>
      </c>
      <c r="MO660" s="27" t="s">
        <v>8</v>
      </c>
      <c r="NJ660" s="27" t="s">
        <v>7</v>
      </c>
      <c r="NK660" s="27" t="s">
        <v>8</v>
      </c>
      <c r="PL660" s="27" t="s">
        <v>7</v>
      </c>
      <c r="PM660" s="27" t="s">
        <v>8</v>
      </c>
      <c r="PN660" s="27" t="s">
        <v>7</v>
      </c>
      <c r="PO660" s="27" t="s">
        <v>8</v>
      </c>
      <c r="PP660" s="27" t="s">
        <v>7</v>
      </c>
      <c r="PQ660" s="27" t="s">
        <v>8</v>
      </c>
      <c r="PR660" s="27" t="s">
        <v>7</v>
      </c>
      <c r="PY660" s="27" t="s">
        <v>8</v>
      </c>
      <c r="PZ660" s="27" t="s">
        <v>7</v>
      </c>
    </row>
    <row r="661" spans="1:458" x14ac:dyDescent="0.25">
      <c r="A661" s="7">
        <v>0.23098686768674265</v>
      </c>
      <c r="B661"/>
      <c r="C661"/>
      <c r="D661"/>
      <c r="E661"/>
      <c r="F661" s="27" t="s">
        <v>7</v>
      </c>
      <c r="KS661" s="27" t="s">
        <v>8</v>
      </c>
      <c r="LT661" s="27" t="s">
        <v>7</v>
      </c>
      <c r="LU661" s="27" t="s">
        <v>8</v>
      </c>
      <c r="MJ661" s="27" t="s">
        <v>7</v>
      </c>
      <c r="MK661" s="27" t="s">
        <v>8</v>
      </c>
      <c r="ML661" s="27" t="s">
        <v>7</v>
      </c>
      <c r="MM661" s="27" t="s">
        <v>8</v>
      </c>
      <c r="MN661" s="27" t="s">
        <v>7</v>
      </c>
      <c r="MO661" s="27" t="s">
        <v>8</v>
      </c>
      <c r="NJ661" s="27" t="s">
        <v>7</v>
      </c>
      <c r="NK661" s="27" t="s">
        <v>8</v>
      </c>
      <c r="PL661" s="27" t="s">
        <v>7</v>
      </c>
      <c r="PM661" s="27" t="s">
        <v>8</v>
      </c>
      <c r="PN661" s="27" t="s">
        <v>7</v>
      </c>
      <c r="PO661" s="27" t="s">
        <v>8</v>
      </c>
      <c r="PP661" s="27" t="s">
        <v>7</v>
      </c>
      <c r="PQ661" s="27" t="s">
        <v>8</v>
      </c>
      <c r="PR661" s="27" t="s">
        <v>7</v>
      </c>
      <c r="PY661" s="27" t="s">
        <v>8</v>
      </c>
      <c r="PZ661" s="27" t="s">
        <v>7</v>
      </c>
    </row>
    <row r="662" spans="1:458" x14ac:dyDescent="0.25">
      <c r="A662" s="7">
        <v>0.22645771341837515</v>
      </c>
      <c r="B662"/>
      <c r="C662"/>
      <c r="D662"/>
      <c r="E662"/>
      <c r="F662" s="27" t="s">
        <v>7</v>
      </c>
      <c r="KS662" s="27" t="s">
        <v>8</v>
      </c>
      <c r="LT662" s="27" t="s">
        <v>7</v>
      </c>
      <c r="LU662" s="27" t="s">
        <v>8</v>
      </c>
      <c r="MJ662" s="27" t="s">
        <v>7</v>
      </c>
      <c r="MK662" s="27" t="s">
        <v>8</v>
      </c>
      <c r="ML662" s="27" t="s">
        <v>7</v>
      </c>
      <c r="MM662" s="27" t="s">
        <v>8</v>
      </c>
      <c r="MN662" s="27" t="s">
        <v>7</v>
      </c>
      <c r="MO662" s="27" t="s">
        <v>8</v>
      </c>
      <c r="NJ662" s="27" t="s">
        <v>7</v>
      </c>
      <c r="NK662" s="27" t="s">
        <v>8</v>
      </c>
      <c r="PL662" s="27" t="s">
        <v>7</v>
      </c>
      <c r="PM662" s="27" t="s">
        <v>8</v>
      </c>
      <c r="PN662" s="27" t="s">
        <v>7</v>
      </c>
      <c r="PP662" s="27" t="s">
        <v>7</v>
      </c>
      <c r="PR662" s="27" t="s">
        <v>7</v>
      </c>
      <c r="PW662" s="27" t="s">
        <v>8</v>
      </c>
      <c r="PY662" s="27" t="s">
        <v>8</v>
      </c>
      <c r="PZ662" s="27" t="s">
        <v>7</v>
      </c>
    </row>
    <row r="663" spans="1:458" x14ac:dyDescent="0.25">
      <c r="A663" s="7">
        <v>0.22201736609644623</v>
      </c>
      <c r="B663"/>
      <c r="C663"/>
      <c r="D663"/>
      <c r="E663"/>
      <c r="F663" s="27" t="s">
        <v>7</v>
      </c>
      <c r="KS663" s="27" t="s">
        <v>8</v>
      </c>
      <c r="LT663" s="27" t="s">
        <v>7</v>
      </c>
      <c r="LU663" s="27" t="s">
        <v>8</v>
      </c>
      <c r="MJ663" s="27" t="s">
        <v>7</v>
      </c>
      <c r="MK663" s="27" t="s">
        <v>8</v>
      </c>
      <c r="ML663" s="27" t="s">
        <v>7</v>
      </c>
      <c r="MM663" s="27" t="s">
        <v>8</v>
      </c>
      <c r="MN663" s="27" t="s">
        <v>7</v>
      </c>
      <c r="MO663" s="27" t="s">
        <v>8</v>
      </c>
      <c r="NJ663" s="27" t="s">
        <v>7</v>
      </c>
      <c r="NK663" s="27" t="s">
        <v>8</v>
      </c>
      <c r="PL663" s="27" t="s">
        <v>7</v>
      </c>
      <c r="PM663" s="27" t="s">
        <v>8</v>
      </c>
      <c r="PR663" s="27" t="s">
        <v>7</v>
      </c>
      <c r="PW663" s="27" t="s">
        <v>8</v>
      </c>
      <c r="PX663" s="27" t="s">
        <v>7</v>
      </c>
      <c r="PY663" s="27" t="s">
        <v>8</v>
      </c>
      <c r="PZ663" s="27" t="s">
        <v>7</v>
      </c>
    </row>
    <row r="664" spans="1:458" x14ac:dyDescent="0.25">
      <c r="A664" s="7">
        <v>0.21766408440828061</v>
      </c>
      <c r="B664"/>
      <c r="C664"/>
      <c r="D664"/>
      <c r="E664"/>
      <c r="F664" s="27" t="s">
        <v>7</v>
      </c>
      <c r="KS664" s="27" t="s">
        <v>8</v>
      </c>
      <c r="LT664" s="27" t="s">
        <v>7</v>
      </c>
      <c r="LU664" s="27" t="s">
        <v>8</v>
      </c>
      <c r="MJ664" s="27" t="s">
        <v>7</v>
      </c>
      <c r="MK664" s="27" t="s">
        <v>8</v>
      </c>
      <c r="ML664" s="27" t="s">
        <v>7</v>
      </c>
      <c r="MM664" s="27" t="s">
        <v>8</v>
      </c>
      <c r="MN664" s="27" t="s">
        <v>7</v>
      </c>
      <c r="MO664" s="27" t="s">
        <v>8</v>
      </c>
      <c r="NJ664" s="27" t="s">
        <v>7</v>
      </c>
      <c r="PL664" s="27" t="s">
        <v>7</v>
      </c>
      <c r="PM664" s="27" t="s">
        <v>8</v>
      </c>
      <c r="PR664" s="27" t="s">
        <v>7</v>
      </c>
      <c r="PW664" s="27" t="s">
        <v>8</v>
      </c>
      <c r="PX664" s="27" t="s">
        <v>7</v>
      </c>
      <c r="PY664" s="27" t="s">
        <v>8</v>
      </c>
      <c r="PZ664" s="27" t="s">
        <v>7</v>
      </c>
    </row>
    <row r="665" spans="1:458" x14ac:dyDescent="0.25">
      <c r="A665" s="7">
        <v>0.21339616118458882</v>
      </c>
      <c r="B665"/>
      <c r="C665"/>
      <c r="D665"/>
      <c r="E665"/>
      <c r="F665" s="27" t="s">
        <v>7</v>
      </c>
      <c r="KS665" s="27" t="s">
        <v>8</v>
      </c>
      <c r="LT665" s="27" t="s">
        <v>7</v>
      </c>
      <c r="LU665" s="27" t="s">
        <v>8</v>
      </c>
      <c r="MJ665" s="27" t="s">
        <v>7</v>
      </c>
      <c r="MK665" s="27" t="s">
        <v>8</v>
      </c>
      <c r="ML665" s="27" t="s">
        <v>7</v>
      </c>
      <c r="MN665" s="27" t="s">
        <v>7</v>
      </c>
      <c r="MO665" s="27" t="s">
        <v>8</v>
      </c>
      <c r="PL665" s="27" t="s">
        <v>7</v>
      </c>
      <c r="PM665" s="27" t="s">
        <v>8</v>
      </c>
      <c r="PR665" s="27" t="s">
        <v>7</v>
      </c>
      <c r="PS665" s="27" t="s">
        <v>8</v>
      </c>
      <c r="PW665" s="27" t="s">
        <v>8</v>
      </c>
      <c r="PX665" s="27" t="s">
        <v>7</v>
      </c>
      <c r="PZ665" s="27" t="s">
        <v>7</v>
      </c>
    </row>
    <row r="666" spans="1:458" x14ac:dyDescent="0.25">
      <c r="A666" s="7">
        <v>0.20921192272998904</v>
      </c>
      <c r="B666"/>
      <c r="C666"/>
      <c r="D666"/>
      <c r="E666"/>
      <c r="F666" s="27" t="s">
        <v>7</v>
      </c>
      <c r="KS666" s="27" t="s">
        <v>8</v>
      </c>
      <c r="LT666" s="27" t="s">
        <v>7</v>
      </c>
      <c r="LU666" s="27" t="s">
        <v>8</v>
      </c>
      <c r="MJ666" s="27" t="s">
        <v>7</v>
      </c>
      <c r="MK666" s="27" t="s">
        <v>8</v>
      </c>
      <c r="MN666" s="27" t="s">
        <v>7</v>
      </c>
      <c r="PL666" s="27" t="s">
        <v>7</v>
      </c>
      <c r="PM666" s="27" t="s">
        <v>8</v>
      </c>
      <c r="PR666" s="27" t="s">
        <v>7</v>
      </c>
      <c r="PS666" s="27" t="s">
        <v>8</v>
      </c>
      <c r="PT666" s="27" t="s">
        <v>7</v>
      </c>
      <c r="PW666" s="27" t="s">
        <v>8</v>
      </c>
      <c r="PZ666" s="27" t="s">
        <v>7</v>
      </c>
      <c r="QA666" s="27" t="s">
        <v>8</v>
      </c>
      <c r="QI666" s="27" t="s">
        <v>8</v>
      </c>
    </row>
    <row r="667" spans="1:458" x14ac:dyDescent="0.25">
      <c r="A667" s="7">
        <v>0.20510972816665593</v>
      </c>
      <c r="B667"/>
      <c r="C667"/>
      <c r="D667"/>
      <c r="E667"/>
      <c r="F667" s="27" t="s">
        <v>7</v>
      </c>
      <c r="KS667" s="27" t="s">
        <v>8</v>
      </c>
      <c r="LT667" s="27" t="s">
        <v>7</v>
      </c>
      <c r="LU667" s="27" t="s">
        <v>8</v>
      </c>
      <c r="MJ667" s="27" t="s">
        <v>7</v>
      </c>
      <c r="MK667" s="27" t="s">
        <v>8</v>
      </c>
      <c r="PL667" s="27" t="s">
        <v>7</v>
      </c>
      <c r="PM667" s="27" t="s">
        <v>8</v>
      </c>
      <c r="PR667" s="27" t="s">
        <v>7</v>
      </c>
      <c r="PS667" s="27" t="s">
        <v>8</v>
      </c>
      <c r="PT667" s="27" t="s">
        <v>7</v>
      </c>
      <c r="PW667" s="27" t="s">
        <v>8</v>
      </c>
      <c r="PZ667" s="27" t="s">
        <v>7</v>
      </c>
      <c r="QA667" s="27" t="s">
        <v>8</v>
      </c>
      <c r="QB667" s="27" t="s">
        <v>7</v>
      </c>
      <c r="QI667" s="27" t="s">
        <v>8</v>
      </c>
      <c r="QJ667" s="27" t="s">
        <v>7</v>
      </c>
    </row>
    <row r="668" spans="1:458" x14ac:dyDescent="0.25">
      <c r="A668" s="7">
        <v>0.20108796879083912</v>
      </c>
      <c r="B668"/>
      <c r="C668"/>
      <c r="D668"/>
      <c r="E668"/>
      <c r="F668" s="27" t="s">
        <v>7</v>
      </c>
      <c r="KS668" s="27" t="s">
        <v>8</v>
      </c>
      <c r="LT668" s="27" t="s">
        <v>7</v>
      </c>
      <c r="LU668" s="27" t="s">
        <v>8</v>
      </c>
      <c r="MJ668" s="27" t="s">
        <v>7</v>
      </c>
      <c r="MK668" s="27" t="s">
        <v>8</v>
      </c>
      <c r="PL668" s="27" t="s">
        <v>7</v>
      </c>
      <c r="PR668" s="27" t="s">
        <v>7</v>
      </c>
      <c r="PS668" s="27" t="s">
        <v>8</v>
      </c>
      <c r="PT668" s="27" t="s">
        <v>7</v>
      </c>
      <c r="PU668" s="27" t="s">
        <v>8</v>
      </c>
      <c r="PW668" s="27" t="s">
        <v>8</v>
      </c>
      <c r="PZ668" s="27" t="s">
        <v>7</v>
      </c>
      <c r="QA668" s="27" t="s">
        <v>8</v>
      </c>
      <c r="QB668" s="27" t="s">
        <v>7</v>
      </c>
      <c r="QI668" s="27" t="s">
        <v>8</v>
      </c>
      <c r="QJ668" s="27" t="s">
        <v>7</v>
      </c>
      <c r="QK668" s="27" t="s">
        <v>8</v>
      </c>
    </row>
    <row r="669" spans="1:458" x14ac:dyDescent="0.25">
      <c r="A669" s="7">
        <v>0.19714506744199917</v>
      </c>
      <c r="B669"/>
      <c r="C669"/>
      <c r="D669"/>
      <c r="E669"/>
      <c r="F669" s="27" t="s">
        <v>7</v>
      </c>
      <c r="KS669" s="27" t="s">
        <v>8</v>
      </c>
      <c r="LT669" s="27" t="s">
        <v>7</v>
      </c>
      <c r="LU669" s="27" t="s">
        <v>8</v>
      </c>
      <c r="MJ669" s="27" t="s">
        <v>7</v>
      </c>
      <c r="MK669" s="27" t="s">
        <v>8</v>
      </c>
      <c r="PR669" s="27" t="s">
        <v>7</v>
      </c>
      <c r="PS669" s="27" t="s">
        <v>8</v>
      </c>
      <c r="PT669" s="27" t="s">
        <v>7</v>
      </c>
      <c r="PU669" s="27" t="s">
        <v>8</v>
      </c>
      <c r="PV669" s="27" t="s">
        <v>7</v>
      </c>
      <c r="PW669" s="27" t="s">
        <v>8</v>
      </c>
      <c r="PZ669" s="27" t="s">
        <v>7</v>
      </c>
      <c r="QA669" s="27" t="s">
        <v>8</v>
      </c>
      <c r="QB669" s="27" t="s">
        <v>7</v>
      </c>
      <c r="QI669" s="27" t="s">
        <v>8</v>
      </c>
      <c r="QJ669" s="27" t="s">
        <v>7</v>
      </c>
      <c r="QK669" s="27" t="s">
        <v>8</v>
      </c>
      <c r="QL669" s="27" t="s">
        <v>7</v>
      </c>
    </row>
    <row r="670" spans="1:458" x14ac:dyDescent="0.25">
      <c r="A670" s="7">
        <v>0.19327947788431293</v>
      </c>
      <c r="B670"/>
      <c r="C670"/>
      <c r="D670"/>
      <c r="E670"/>
      <c r="F670" s="27" t="s">
        <v>7</v>
      </c>
      <c r="KS670" s="27" t="s">
        <v>8</v>
      </c>
      <c r="LT670" s="27" t="s">
        <v>7</v>
      </c>
      <c r="LU670" s="27" t="s">
        <v>8</v>
      </c>
      <c r="MJ670" s="27" t="s">
        <v>7</v>
      </c>
      <c r="MK670" s="27" t="s">
        <v>8</v>
      </c>
      <c r="PR670" s="27" t="s">
        <v>7</v>
      </c>
      <c r="PS670" s="27" t="s">
        <v>8</v>
      </c>
      <c r="PT670" s="27" t="s">
        <v>7</v>
      </c>
      <c r="PU670" s="27" t="s">
        <v>8</v>
      </c>
      <c r="PV670" s="27" t="s">
        <v>7</v>
      </c>
      <c r="PW670" s="27" t="s">
        <v>8</v>
      </c>
      <c r="PZ670" s="27" t="s">
        <v>7</v>
      </c>
      <c r="QA670" s="27" t="s">
        <v>8</v>
      </c>
      <c r="QB670" s="27" t="s">
        <v>7</v>
      </c>
      <c r="QI670" s="27" t="s">
        <v>8</v>
      </c>
      <c r="QJ670" s="27" t="s">
        <v>7</v>
      </c>
      <c r="QK670" s="27" t="s">
        <v>8</v>
      </c>
      <c r="QL670" s="27" t="s">
        <v>7</v>
      </c>
    </row>
    <row r="671" spans="1:458" x14ac:dyDescent="0.25">
      <c r="A671" s="7">
        <v>0.18948968420030682</v>
      </c>
      <c r="B671"/>
      <c r="C671"/>
      <c r="D671"/>
      <c r="E671"/>
      <c r="F671" s="27" t="s">
        <v>7</v>
      </c>
      <c r="KS671" s="27" t="s">
        <v>8</v>
      </c>
      <c r="LT671" s="27" t="s">
        <v>7</v>
      </c>
      <c r="LU671" s="27" t="s">
        <v>8</v>
      </c>
      <c r="MJ671" s="27" t="s">
        <v>7</v>
      </c>
      <c r="MK671" s="27" t="s">
        <v>8</v>
      </c>
      <c r="PR671" s="27" t="s">
        <v>7</v>
      </c>
      <c r="PT671" s="27" t="s">
        <v>7</v>
      </c>
      <c r="PU671" s="27" t="s">
        <v>8</v>
      </c>
      <c r="PV671" s="27" t="s">
        <v>7</v>
      </c>
      <c r="PW671" s="27" t="s">
        <v>8</v>
      </c>
      <c r="PZ671" s="27" t="s">
        <v>7</v>
      </c>
      <c r="QA671" s="27" t="s">
        <v>8</v>
      </c>
      <c r="QB671" s="27" t="s">
        <v>7</v>
      </c>
      <c r="QI671" s="27" t="s">
        <v>8</v>
      </c>
      <c r="QJ671" s="27" t="s">
        <v>7</v>
      </c>
      <c r="QK671" s="27" t="s">
        <v>8</v>
      </c>
      <c r="QL671" s="27" t="s">
        <v>7</v>
      </c>
      <c r="QO671" s="27" t="s">
        <v>8</v>
      </c>
    </row>
    <row r="672" spans="1:458" x14ac:dyDescent="0.25">
      <c r="A672" s="7">
        <v>0.18577420019637925</v>
      </c>
      <c r="B672"/>
      <c r="C672"/>
      <c r="D672"/>
      <c r="E672"/>
      <c r="F672" s="27" t="s">
        <v>7</v>
      </c>
      <c r="KS672" s="27" t="s">
        <v>8</v>
      </c>
      <c r="LT672" s="27" t="s">
        <v>7</v>
      </c>
      <c r="LU672" s="27" t="s">
        <v>8</v>
      </c>
      <c r="MJ672" s="27" t="s">
        <v>7</v>
      </c>
      <c r="MK672" s="27" t="s">
        <v>8</v>
      </c>
      <c r="PT672" s="27" t="s">
        <v>7</v>
      </c>
      <c r="PV672" s="27" t="s">
        <v>7</v>
      </c>
      <c r="PW672" s="27" t="s">
        <v>8</v>
      </c>
      <c r="PZ672" s="27" t="s">
        <v>7</v>
      </c>
      <c r="QB672" s="27" t="s">
        <v>7</v>
      </c>
      <c r="QI672" s="27" t="s">
        <v>8</v>
      </c>
      <c r="QJ672" s="27" t="s">
        <v>7</v>
      </c>
      <c r="QK672" s="27" t="s">
        <v>8</v>
      </c>
      <c r="QL672" s="27" t="s">
        <v>7</v>
      </c>
      <c r="QO672" s="27" t="s">
        <v>8</v>
      </c>
      <c r="QP672" s="27" t="s">
        <v>7</v>
      </c>
    </row>
    <row r="673" spans="1:458" x14ac:dyDescent="0.25">
      <c r="A673" s="7">
        <v>0.18213156881997963</v>
      </c>
      <c r="B673"/>
      <c r="C673"/>
      <c r="D673"/>
      <c r="E673"/>
      <c r="F673" s="27" t="s">
        <v>7</v>
      </c>
      <c r="KS673" s="27" t="s">
        <v>8</v>
      </c>
      <c r="LT673" s="27" t="s">
        <v>7</v>
      </c>
      <c r="LU673" s="27" t="s">
        <v>8</v>
      </c>
      <c r="MJ673" s="27" t="s">
        <v>7</v>
      </c>
      <c r="MK673" s="27" t="s">
        <v>8</v>
      </c>
      <c r="PV673" s="27" t="s">
        <v>7</v>
      </c>
      <c r="QB673" s="27" t="s">
        <v>7</v>
      </c>
      <c r="QE673" s="27" t="s">
        <v>8</v>
      </c>
      <c r="QG673" s="27" t="s">
        <v>8</v>
      </c>
      <c r="QI673" s="27" t="s">
        <v>8</v>
      </c>
      <c r="QJ673" s="27" t="s">
        <v>7</v>
      </c>
      <c r="QL673" s="27" t="s">
        <v>7</v>
      </c>
      <c r="QO673" s="27" t="s">
        <v>8</v>
      </c>
      <c r="QP673" s="27" t="s">
        <v>7</v>
      </c>
    </row>
    <row r="674" spans="1:458" x14ac:dyDescent="0.25">
      <c r="A674" s="7">
        <v>0.17856036158821534</v>
      </c>
      <c r="B674"/>
      <c r="C674"/>
      <c r="D674"/>
      <c r="E674"/>
      <c r="F674" s="27" t="s">
        <v>7</v>
      </c>
      <c r="KS674" s="27" t="s">
        <v>8</v>
      </c>
      <c r="LT674" s="27" t="s">
        <v>7</v>
      </c>
      <c r="LU674" s="27" t="s">
        <v>8</v>
      </c>
      <c r="MJ674" s="27" t="s">
        <v>7</v>
      </c>
      <c r="MK674" s="27" t="s">
        <v>8</v>
      </c>
      <c r="QB674" s="27" t="s">
        <v>7</v>
      </c>
      <c r="QC674" s="27" t="s">
        <v>8</v>
      </c>
      <c r="QE674" s="27" t="s">
        <v>8</v>
      </c>
      <c r="QF674" s="27" t="s">
        <v>7</v>
      </c>
      <c r="QG674" s="27" t="s">
        <v>8</v>
      </c>
      <c r="QH674" s="27" t="s">
        <v>7</v>
      </c>
      <c r="QI674" s="27" t="s">
        <v>8</v>
      </c>
      <c r="QL674" s="27" t="s">
        <v>7</v>
      </c>
      <c r="QO674" s="27" t="s">
        <v>8</v>
      </c>
      <c r="QP674" s="27" t="s">
        <v>7</v>
      </c>
    </row>
    <row r="675" spans="1:458" x14ac:dyDescent="0.25">
      <c r="A675" s="7">
        <v>0.17505917802766208</v>
      </c>
      <c r="B675"/>
      <c r="C675"/>
      <c r="D675"/>
      <c r="E675"/>
      <c r="F675" s="27" t="s">
        <v>7</v>
      </c>
      <c r="KS675" s="27" t="s">
        <v>8</v>
      </c>
      <c r="LT675" s="27" t="s">
        <v>7</v>
      </c>
      <c r="LU675" s="27" t="s">
        <v>8</v>
      </c>
      <c r="MJ675" s="27" t="s">
        <v>7</v>
      </c>
      <c r="MK675" s="27" t="s">
        <v>8</v>
      </c>
      <c r="QB675" s="27" t="s">
        <v>7</v>
      </c>
      <c r="QC675" s="27" t="s">
        <v>8</v>
      </c>
      <c r="QD675" s="27" t="s">
        <v>7</v>
      </c>
      <c r="QE675" s="27" t="s">
        <v>8</v>
      </c>
      <c r="QF675" s="27" t="s">
        <v>7</v>
      </c>
      <c r="QG675" s="27" t="s">
        <v>8</v>
      </c>
      <c r="QH675" s="27" t="s">
        <v>7</v>
      </c>
      <c r="QI675" s="27" t="s">
        <v>8</v>
      </c>
      <c r="QL675" s="27" t="s">
        <v>7</v>
      </c>
      <c r="QO675" s="27" t="s">
        <v>8</v>
      </c>
      <c r="QP675" s="27" t="s">
        <v>7</v>
      </c>
    </row>
    <row r="676" spans="1:458" x14ac:dyDescent="0.25">
      <c r="A676" s="7">
        <v>0.17162664512515888</v>
      </c>
      <c r="B676"/>
      <c r="C676"/>
      <c r="D676"/>
      <c r="E676"/>
      <c r="F676" s="27" t="s">
        <v>7</v>
      </c>
      <c r="KS676" s="27" t="s">
        <v>8</v>
      </c>
      <c r="LT676" s="27" t="s">
        <v>7</v>
      </c>
      <c r="MJ676" s="27" t="s">
        <v>7</v>
      </c>
      <c r="MK676" s="27" t="s">
        <v>8</v>
      </c>
      <c r="QB676" s="27" t="s">
        <v>7</v>
      </c>
      <c r="QC676" s="27" t="s">
        <v>8</v>
      </c>
      <c r="QD676" s="27" t="s">
        <v>7</v>
      </c>
      <c r="QE676" s="27" t="s">
        <v>8</v>
      </c>
      <c r="QF676" s="27" t="s">
        <v>7</v>
      </c>
      <c r="QG676" s="27" t="s">
        <v>8</v>
      </c>
      <c r="QH676" s="27" t="s">
        <v>7</v>
      </c>
      <c r="QL676" s="27" t="s">
        <v>7</v>
      </c>
      <c r="QO676" s="27" t="s">
        <v>8</v>
      </c>
      <c r="QP676" s="27" t="s">
        <v>7</v>
      </c>
    </row>
    <row r="677" spans="1:458" x14ac:dyDescent="0.25">
      <c r="A677" s="7">
        <v>0.16826141678937145</v>
      </c>
      <c r="B677"/>
      <c r="C677"/>
      <c r="D677"/>
      <c r="E677"/>
      <c r="F677" s="27" t="s">
        <v>7</v>
      </c>
      <c r="KQ677" s="27" t="s">
        <v>8</v>
      </c>
      <c r="KS677" s="27" t="s">
        <v>8</v>
      </c>
      <c r="MJ677" s="27" t="s">
        <v>7</v>
      </c>
      <c r="MK677" s="27" t="s">
        <v>8</v>
      </c>
      <c r="QB677" s="27" t="s">
        <v>7</v>
      </c>
      <c r="QC677" s="27" t="s">
        <v>8</v>
      </c>
      <c r="QD677" s="27" t="s">
        <v>7</v>
      </c>
      <c r="QE677" s="27" t="s">
        <v>8</v>
      </c>
      <c r="QF677" s="27" t="s">
        <v>7</v>
      </c>
      <c r="QL677" s="27" t="s">
        <v>7</v>
      </c>
      <c r="QO677" s="27" t="s">
        <v>8</v>
      </c>
      <c r="QP677" s="27" t="s">
        <v>7</v>
      </c>
    </row>
    <row r="678" spans="1:458" x14ac:dyDescent="0.25">
      <c r="A678" s="7">
        <v>0.16496217332291319</v>
      </c>
      <c r="B678"/>
      <c r="C678"/>
      <c r="D678"/>
      <c r="E678"/>
      <c r="F678" s="27" t="s">
        <v>7</v>
      </c>
      <c r="KQ678" s="27" t="s">
        <v>8</v>
      </c>
      <c r="KR678" s="27" t="s">
        <v>7</v>
      </c>
      <c r="KS678" s="27" t="s">
        <v>8</v>
      </c>
      <c r="MJ678" s="27" t="s">
        <v>7</v>
      </c>
      <c r="MK678" s="27" t="s">
        <v>8</v>
      </c>
      <c r="QB678" s="27" t="s">
        <v>7</v>
      </c>
      <c r="QC678" s="27" t="s">
        <v>8</v>
      </c>
      <c r="QD678" s="27" t="s">
        <v>7</v>
      </c>
      <c r="QE678" s="27" t="s">
        <v>8</v>
      </c>
      <c r="QL678" s="27" t="s">
        <v>7</v>
      </c>
      <c r="QO678" s="27" t="s">
        <v>8</v>
      </c>
      <c r="QP678" s="27" t="s">
        <v>7</v>
      </c>
    </row>
    <row r="679" spans="1:458" x14ac:dyDescent="0.25">
      <c r="A679" s="7">
        <v>0.16172762090481685</v>
      </c>
      <c r="B679"/>
      <c r="C679"/>
      <c r="D679"/>
      <c r="E679"/>
      <c r="F679" s="27" t="s">
        <v>7</v>
      </c>
      <c r="KQ679" s="27" t="s">
        <v>8</v>
      </c>
      <c r="KR679" s="27" t="s">
        <v>7</v>
      </c>
      <c r="KS679" s="27" t="s">
        <v>8</v>
      </c>
      <c r="MJ679" s="27" t="s">
        <v>7</v>
      </c>
      <c r="MK679" s="27" t="s">
        <v>8</v>
      </c>
      <c r="QB679" s="27" t="s">
        <v>7</v>
      </c>
      <c r="QD679" s="27" t="s">
        <v>7</v>
      </c>
      <c r="QE679" s="27" t="s">
        <v>8</v>
      </c>
      <c r="QL679" s="27" t="s">
        <v>7</v>
      </c>
      <c r="QO679" s="27" t="s">
        <v>8</v>
      </c>
      <c r="QP679" s="27" t="s">
        <v>7</v>
      </c>
    </row>
    <row r="680" spans="1:458" x14ac:dyDescent="0.25">
      <c r="A680" s="7">
        <v>0.15855649108315376</v>
      </c>
      <c r="B680"/>
      <c r="C680"/>
      <c r="D680"/>
      <c r="E680"/>
      <c r="F680" s="27" t="s">
        <v>7</v>
      </c>
      <c r="KQ680" s="27" t="s">
        <v>8</v>
      </c>
      <c r="KR680" s="27" t="s">
        <v>7</v>
      </c>
      <c r="KS680" s="27" t="s">
        <v>8</v>
      </c>
      <c r="MJ680" s="27" t="s">
        <v>7</v>
      </c>
      <c r="MK680" s="27" t="s">
        <v>8</v>
      </c>
      <c r="QD680" s="27" t="s">
        <v>7</v>
      </c>
      <c r="QE680" s="27" t="s">
        <v>8</v>
      </c>
      <c r="QL680" s="27" t="s">
        <v>7</v>
      </c>
      <c r="QO680" s="27" t="s">
        <v>8</v>
      </c>
      <c r="QP680" s="27" t="s">
        <v>7</v>
      </c>
    </row>
    <row r="681" spans="1:458" x14ac:dyDescent="0.25">
      <c r="A681" s="7">
        <v>0.15544754027760171</v>
      </c>
      <c r="B681"/>
      <c r="C681"/>
      <c r="D681"/>
      <c r="E681"/>
      <c r="F681" s="27" t="s">
        <v>7</v>
      </c>
      <c r="KQ681" s="27" t="s">
        <v>8</v>
      </c>
      <c r="KR681" s="27" t="s">
        <v>7</v>
      </c>
      <c r="KS681" s="27" t="s">
        <v>8</v>
      </c>
      <c r="MJ681" s="27" t="s">
        <v>7</v>
      </c>
      <c r="MK681" s="27" t="s">
        <v>8</v>
      </c>
      <c r="QD681" s="27" t="s">
        <v>7</v>
      </c>
      <c r="QL681" s="27" t="s">
        <v>7</v>
      </c>
      <c r="QO681" s="27" t="s">
        <v>8</v>
      </c>
    </row>
    <row r="682" spans="1:458" x14ac:dyDescent="0.25">
      <c r="A682" s="7">
        <v>0.15239954929176638</v>
      </c>
      <c r="B682"/>
      <c r="C682"/>
      <c r="D682"/>
      <c r="E682"/>
      <c r="F682" s="27" t="s">
        <v>7</v>
      </c>
      <c r="KQ682" s="27" t="s">
        <v>8</v>
      </c>
      <c r="KR682" s="27" t="s">
        <v>7</v>
      </c>
      <c r="KS682" s="27" t="s">
        <v>8</v>
      </c>
      <c r="MJ682" s="27" t="s">
        <v>7</v>
      </c>
      <c r="MK682" s="27" t="s">
        <v>8</v>
      </c>
      <c r="QL682" s="27" t="s">
        <v>7</v>
      </c>
      <c r="QO682" s="27" t="s">
        <v>8</v>
      </c>
    </row>
    <row r="683" spans="1:458" x14ac:dyDescent="0.25">
      <c r="A683" s="7">
        <v>0.14941132283506509</v>
      </c>
      <c r="B683"/>
      <c r="C683"/>
      <c r="D683"/>
      <c r="E683"/>
      <c r="F683" s="27" t="s">
        <v>7</v>
      </c>
      <c r="KQ683" s="27" t="s">
        <v>8</v>
      </c>
      <c r="KR683" s="27" t="s">
        <v>7</v>
      </c>
      <c r="KS683" s="27" t="s">
        <v>8</v>
      </c>
      <c r="MJ683" s="27" t="s">
        <v>7</v>
      </c>
      <c r="MK683" s="27" t="s">
        <v>8</v>
      </c>
      <c r="QL683" s="27" t="s">
        <v>7</v>
      </c>
      <c r="QO683" s="27" t="s">
        <v>8</v>
      </c>
    </row>
    <row r="684" spans="1:458" x14ac:dyDescent="0.25">
      <c r="A684" s="7">
        <v>0.14648168905398537</v>
      </c>
      <c r="B684"/>
      <c r="C684"/>
      <c r="D684"/>
      <c r="E684"/>
      <c r="F684" s="27" t="s">
        <v>7</v>
      </c>
      <c r="KQ684" s="27" t="s">
        <v>8</v>
      </c>
      <c r="KR684" s="27" t="s">
        <v>7</v>
      </c>
      <c r="KS684" s="27" t="s">
        <v>8</v>
      </c>
      <c r="MJ684" s="27" t="s">
        <v>7</v>
      </c>
      <c r="QL684" s="27" t="s">
        <v>7</v>
      </c>
      <c r="QM684" s="27" t="s">
        <v>8</v>
      </c>
      <c r="QO684" s="27" t="s">
        <v>8</v>
      </c>
    </row>
    <row r="685" spans="1:458" x14ac:dyDescent="0.25">
      <c r="A685" s="7">
        <v>0.14360949907253467</v>
      </c>
      <c r="B685"/>
      <c r="C685"/>
      <c r="D685"/>
      <c r="E685"/>
      <c r="F685" s="27" t="s">
        <v>7</v>
      </c>
      <c r="KO685" s="27" t="s">
        <v>8</v>
      </c>
      <c r="KQ685" s="27" t="s">
        <v>8</v>
      </c>
      <c r="KR685" s="27" t="s">
        <v>7</v>
      </c>
      <c r="KS685" s="27" t="s">
        <v>8</v>
      </c>
      <c r="QL685" s="27" t="s">
        <v>7</v>
      </c>
      <c r="QM685" s="27" t="s">
        <v>8</v>
      </c>
      <c r="QN685" s="27" t="s">
        <v>7</v>
      </c>
      <c r="QO685" s="27" t="s">
        <v>8</v>
      </c>
    </row>
    <row r="686" spans="1:458" x14ac:dyDescent="0.25">
      <c r="A686" s="7">
        <v>0.14079362654170066</v>
      </c>
      <c r="B686"/>
      <c r="C686"/>
      <c r="D686"/>
      <c r="E686"/>
      <c r="F686" s="27" t="s">
        <v>7</v>
      </c>
      <c r="KO686" s="27" t="s">
        <v>8</v>
      </c>
      <c r="KP686" s="27" t="s">
        <v>7</v>
      </c>
      <c r="KQ686" s="27" t="s">
        <v>8</v>
      </c>
      <c r="KR686" s="27" t="s">
        <v>7</v>
      </c>
      <c r="KS686" s="27" t="s">
        <v>8</v>
      </c>
      <c r="QL686" s="27" t="s">
        <v>7</v>
      </c>
      <c r="QM686" s="27" t="s">
        <v>8</v>
      </c>
      <c r="QN686" s="27" t="s">
        <v>7</v>
      </c>
      <c r="QO686" s="27" t="s">
        <v>8</v>
      </c>
    </row>
    <row r="687" spans="1:458" x14ac:dyDescent="0.25">
      <c r="A687" s="7">
        <v>0.13803296719774574</v>
      </c>
      <c r="B687"/>
      <c r="C687"/>
      <c r="D687"/>
      <c r="E687"/>
      <c r="F687" s="27" t="s">
        <v>7</v>
      </c>
      <c r="KO687" s="27" t="s">
        <v>8</v>
      </c>
      <c r="KP687" s="27" t="s">
        <v>7</v>
      </c>
      <c r="KQ687" s="27" t="s">
        <v>8</v>
      </c>
      <c r="KR687" s="27" t="s">
        <v>7</v>
      </c>
      <c r="KS687" s="27" t="s">
        <v>8</v>
      </c>
      <c r="QL687" s="27" t="s">
        <v>7</v>
      </c>
      <c r="QM687" s="27" t="s">
        <v>8</v>
      </c>
      <c r="QN687" s="27" t="s">
        <v>7</v>
      </c>
      <c r="QO687" s="27" t="s">
        <v>8</v>
      </c>
    </row>
    <row r="688" spans="1:458" x14ac:dyDescent="0.25">
      <c r="A688" s="7">
        <v>0.1353264384291625</v>
      </c>
      <c r="B688"/>
      <c r="C688"/>
      <c r="D688"/>
      <c r="E688"/>
      <c r="F688" s="27" t="s">
        <v>7</v>
      </c>
      <c r="KO688" s="27" t="s">
        <v>8</v>
      </c>
      <c r="KP688" s="27" t="s">
        <v>7</v>
      </c>
      <c r="KQ688" s="27" t="s">
        <v>8</v>
      </c>
      <c r="KR688" s="27" t="s">
        <v>7</v>
      </c>
      <c r="KS688" s="27" t="s">
        <v>8</v>
      </c>
      <c r="QL688" s="27" t="s">
        <v>7</v>
      </c>
      <c r="QM688" s="27" t="s">
        <v>8</v>
      </c>
      <c r="QN688" s="27" t="s">
        <v>7</v>
      </c>
      <c r="QO688" s="27" t="s">
        <v>8</v>
      </c>
    </row>
    <row r="689" spans="1:457" x14ac:dyDescent="0.25">
      <c r="A689" s="7">
        <v>0.13267297885212009</v>
      </c>
      <c r="B689"/>
      <c r="C689"/>
      <c r="D689"/>
      <c r="E689"/>
      <c r="F689" s="27" t="s">
        <v>7</v>
      </c>
      <c r="KO689" s="27" t="s">
        <v>8</v>
      </c>
      <c r="KP689" s="27" t="s">
        <v>7</v>
      </c>
      <c r="KQ689" s="27" t="s">
        <v>8</v>
      </c>
      <c r="KR689" s="27" t="s">
        <v>7</v>
      </c>
      <c r="QL689" s="27" t="s">
        <v>7</v>
      </c>
      <c r="QM689" s="27" t="s">
        <v>8</v>
      </c>
      <c r="QN689" s="27" t="s">
        <v>7</v>
      </c>
      <c r="QO689" s="27" t="s">
        <v>8</v>
      </c>
    </row>
    <row r="690" spans="1:457" x14ac:dyDescent="0.25">
      <c r="A690" s="7">
        <v>0.13007154789423539</v>
      </c>
      <c r="B690"/>
      <c r="C690"/>
      <c r="D690"/>
      <c r="E690"/>
      <c r="F690" s="27" t="s">
        <v>7</v>
      </c>
      <c r="KO690" s="27" t="s">
        <v>8</v>
      </c>
      <c r="KP690" s="27" t="s">
        <v>7</v>
      </c>
      <c r="KQ690" s="27" t="s">
        <v>8</v>
      </c>
      <c r="QL690" s="27" t="s">
        <v>7</v>
      </c>
      <c r="QM690" s="27" t="s">
        <v>8</v>
      </c>
      <c r="QN690" s="27" t="s">
        <v>7</v>
      </c>
      <c r="QO690" s="27" t="s">
        <v>8</v>
      </c>
    </row>
    <row r="691" spans="1:457" x14ac:dyDescent="0.25">
      <c r="A691" s="7">
        <v>0.12752112538650529</v>
      </c>
      <c r="B691"/>
      <c r="C691"/>
      <c r="D691"/>
      <c r="E691"/>
      <c r="F691" s="27" t="s">
        <v>7</v>
      </c>
      <c r="KO691" s="27" t="s">
        <v>8</v>
      </c>
      <c r="KP691" s="27" t="s">
        <v>7</v>
      </c>
      <c r="KQ691" s="27" t="s">
        <v>8</v>
      </c>
      <c r="QL691" s="27" t="s">
        <v>7</v>
      </c>
      <c r="QM691" s="27" t="s">
        <v>8</v>
      </c>
      <c r="QN691" s="27" t="s">
        <v>7</v>
      </c>
      <c r="QO691" s="27" t="s">
        <v>8</v>
      </c>
    </row>
    <row r="692" spans="1:457" x14ac:dyDescent="0.25">
      <c r="A692" s="7">
        <v>0.12502071116324048</v>
      </c>
      <c r="B692"/>
      <c r="C692"/>
      <c r="D692"/>
      <c r="E692"/>
      <c r="F692" s="27" t="s">
        <v>7</v>
      </c>
      <c r="KO692" s="27" t="s">
        <v>8</v>
      </c>
      <c r="KP692" s="27" t="s">
        <v>7</v>
      </c>
      <c r="KQ692" s="27" t="s">
        <v>8</v>
      </c>
      <c r="QL692" s="27" t="s">
        <v>7</v>
      </c>
      <c r="QM692" s="27" t="s">
        <v>8</v>
      </c>
      <c r="QN692" s="27" t="s">
        <v>7</v>
      </c>
      <c r="QO692" s="27" t="s">
        <v>8</v>
      </c>
    </row>
    <row r="693" spans="1:457" x14ac:dyDescent="0.25">
      <c r="A693" s="7">
        <v>0.1225693246698436</v>
      </c>
      <c r="B693"/>
      <c r="C693"/>
      <c r="D693"/>
      <c r="E693"/>
      <c r="F693" s="27" t="s">
        <v>7</v>
      </c>
      <c r="KO693" s="27" t="s">
        <v>8</v>
      </c>
      <c r="KP693" s="27" t="s">
        <v>7</v>
      </c>
      <c r="QL693" s="27" t="s">
        <v>7</v>
      </c>
      <c r="QN693" s="27" t="s">
        <v>7</v>
      </c>
      <c r="QO693" s="27" t="s">
        <v>8</v>
      </c>
    </row>
    <row r="694" spans="1:457" x14ac:dyDescent="0.25">
      <c r="A694" s="7">
        <v>0.12016600457827803</v>
      </c>
      <c r="B694"/>
      <c r="C694"/>
      <c r="D694"/>
      <c r="E694"/>
      <c r="F694" s="27" t="s">
        <v>7</v>
      </c>
      <c r="KO694" s="27" t="s">
        <v>8</v>
      </c>
      <c r="QN694" s="27" t="s">
        <v>7</v>
      </c>
      <c r="QO694" s="27" t="s">
        <v>8</v>
      </c>
    </row>
    <row r="695" spans="1:457" x14ac:dyDescent="0.25">
      <c r="A695" s="7">
        <v>0.1178098084100765</v>
      </c>
      <c r="B695"/>
      <c r="C695"/>
      <c r="D695"/>
      <c r="E695"/>
      <c r="F695" s="27" t="s">
        <v>7</v>
      </c>
      <c r="KO695" s="27" t="s">
        <v>8</v>
      </c>
      <c r="QN695" s="27" t="s">
        <v>7</v>
      </c>
      <c r="QO695" s="27" t="s">
        <v>8</v>
      </c>
    </row>
    <row r="696" spans="1:457" x14ac:dyDescent="0.25">
      <c r="A696" s="7">
        <v>0.11549981216674166</v>
      </c>
      <c r="B696"/>
      <c r="C696"/>
      <c r="D696"/>
      <c r="E696"/>
      <c r="F696" s="27" t="s">
        <v>7</v>
      </c>
      <c r="KI696" s="27" t="s">
        <v>8</v>
      </c>
      <c r="KO696" s="27" t="s">
        <v>8</v>
      </c>
      <c r="QN696" s="27" t="s">
        <v>7</v>
      </c>
    </row>
    <row r="697" spans="1:457" x14ac:dyDescent="0.25">
      <c r="A697" s="7">
        <v>0.11323510996739378</v>
      </c>
      <c r="B697"/>
      <c r="C697"/>
      <c r="D697"/>
      <c r="E697"/>
      <c r="F697" s="27" t="s">
        <v>7</v>
      </c>
      <c r="KI697" s="27" t="s">
        <v>8</v>
      </c>
      <c r="KJ697" s="27" t="s">
        <v>7</v>
      </c>
      <c r="KO697" s="27" t="s">
        <v>8</v>
      </c>
    </row>
    <row r="698" spans="1:457" x14ac:dyDescent="0.25">
      <c r="A698" s="7">
        <v>0.11101481369352331</v>
      </c>
      <c r="B698"/>
      <c r="C698"/>
      <c r="D698"/>
      <c r="E698"/>
      <c r="F698" s="27" t="s">
        <v>7</v>
      </c>
      <c r="KI698" s="27" t="s">
        <v>8</v>
      </c>
      <c r="KJ698" s="27" t="s">
        <v>7</v>
      </c>
      <c r="KM698" s="27" t="s">
        <v>8</v>
      </c>
      <c r="KO698" s="27" t="s">
        <v>8</v>
      </c>
    </row>
    <row r="699" spans="1:457" x14ac:dyDescent="0.25">
      <c r="A699" s="7">
        <v>0.10883805264070913</v>
      </c>
      <c r="B699"/>
      <c r="C699"/>
      <c r="D699"/>
      <c r="E699"/>
      <c r="F699" s="27" t="s">
        <v>7</v>
      </c>
      <c r="KI699" s="27" t="s">
        <v>8</v>
      </c>
      <c r="KJ699" s="27" t="s">
        <v>7</v>
      </c>
      <c r="KM699" s="27" t="s">
        <v>8</v>
      </c>
      <c r="KN699" s="27" t="s">
        <v>7</v>
      </c>
      <c r="KO699" s="27" t="s">
        <v>8</v>
      </c>
    </row>
    <row r="700" spans="1:457" x14ac:dyDescent="0.25">
      <c r="A700" s="7">
        <v>0.10670397317716582</v>
      </c>
      <c r="B700"/>
      <c r="C700"/>
      <c r="D700"/>
      <c r="E700"/>
      <c r="F700" s="27" t="s">
        <v>7</v>
      </c>
      <c r="KI700" s="27" t="s">
        <v>8</v>
      </c>
      <c r="KJ700" s="27" t="s">
        <v>7</v>
      </c>
      <c r="KM700" s="27" t="s">
        <v>8</v>
      </c>
      <c r="KN700" s="27" t="s">
        <v>7</v>
      </c>
      <c r="KO700" s="27" t="s">
        <v>8</v>
      </c>
    </row>
    <row r="701" spans="1:457" x14ac:dyDescent="0.25">
      <c r="A701" s="7">
        <v>0.1046117384089861</v>
      </c>
      <c r="B701"/>
      <c r="C701"/>
      <c r="D701"/>
      <c r="E701"/>
      <c r="F701" s="27" t="s">
        <v>7</v>
      </c>
      <c r="KI701" s="27" t="s">
        <v>8</v>
      </c>
      <c r="KJ701" s="27" t="s">
        <v>7</v>
      </c>
      <c r="KM701" s="27" t="s">
        <v>8</v>
      </c>
      <c r="KN701" s="27" t="s">
        <v>7</v>
      </c>
      <c r="KO701" s="27" t="s">
        <v>8</v>
      </c>
    </row>
    <row r="702" spans="1:457" x14ac:dyDescent="0.25">
      <c r="A702" s="7">
        <v>0.10256052785194716</v>
      </c>
      <c r="B702"/>
      <c r="C702"/>
      <c r="D702"/>
      <c r="E702"/>
      <c r="F702" s="27" t="s">
        <v>7</v>
      </c>
      <c r="KI702" s="27" t="s">
        <v>8</v>
      </c>
      <c r="KJ702" s="27" t="s">
        <v>7</v>
      </c>
      <c r="KM702" s="27" t="s">
        <v>8</v>
      </c>
      <c r="KN702" s="27" t="s">
        <v>7</v>
      </c>
      <c r="KO702" s="27" t="s">
        <v>8</v>
      </c>
    </row>
    <row r="703" spans="1:457" x14ac:dyDescent="0.25">
      <c r="A703" s="7">
        <v>0.10054953710975212</v>
      </c>
      <c r="B703"/>
      <c r="C703"/>
      <c r="D703"/>
      <c r="E703"/>
      <c r="F703" s="27" t="s">
        <v>7</v>
      </c>
      <c r="KI703" s="27" t="s">
        <v>8</v>
      </c>
      <c r="KJ703" s="27" t="s">
        <v>7</v>
      </c>
      <c r="KM703" s="27" t="s">
        <v>8</v>
      </c>
      <c r="KN703" s="27" t="s">
        <v>7</v>
      </c>
      <c r="KO703" s="27" t="s">
        <v>8</v>
      </c>
    </row>
    <row r="704" spans="1:457" x14ac:dyDescent="0.25">
      <c r="A704" s="7">
        <v>9.8577977558580512E-2</v>
      </c>
      <c r="B704"/>
      <c r="C704"/>
      <c r="D704"/>
      <c r="E704"/>
      <c r="F704" s="27" t="s">
        <v>7</v>
      </c>
      <c r="KI704" s="27" t="s">
        <v>8</v>
      </c>
      <c r="KJ704" s="27" t="s">
        <v>7</v>
      </c>
      <c r="KM704" s="27" t="s">
        <v>8</v>
      </c>
      <c r="KN704" s="27" t="s">
        <v>7</v>
      </c>
      <c r="KO704" s="27" t="s">
        <v>8</v>
      </c>
    </row>
    <row r="705" spans="1:301" x14ac:dyDescent="0.25">
      <c r="A705" s="7">
        <v>9.6645076037824032E-2</v>
      </c>
      <c r="B705"/>
      <c r="C705"/>
      <c r="D705"/>
      <c r="E705"/>
      <c r="F705" s="27" t="s">
        <v>7</v>
      </c>
      <c r="KI705" s="27" t="s">
        <v>8</v>
      </c>
      <c r="KJ705" s="27" t="s">
        <v>7</v>
      </c>
      <c r="KM705" s="27" t="s">
        <v>8</v>
      </c>
      <c r="KN705" s="27" t="s">
        <v>7</v>
      </c>
      <c r="KO705" s="27" t="s">
        <v>8</v>
      </c>
    </row>
    <row r="706" spans="1:301" x14ac:dyDescent="0.25">
      <c r="A706" s="7">
        <v>9.4750074546886304E-2</v>
      </c>
      <c r="B706"/>
      <c r="C706"/>
      <c r="D706"/>
      <c r="E706"/>
      <c r="F706" s="27" t="s">
        <v>7</v>
      </c>
      <c r="KI706" s="27" t="s">
        <v>8</v>
      </c>
      <c r="KJ706" s="27" t="s">
        <v>7</v>
      </c>
      <c r="KM706" s="27" t="s">
        <v>8</v>
      </c>
      <c r="KN706" s="27" t="s">
        <v>7</v>
      </c>
      <c r="KO706" s="27" t="s">
        <v>8</v>
      </c>
    </row>
    <row r="707" spans="1:301" x14ac:dyDescent="0.25">
      <c r="A707" s="7">
        <v>9.2892229947927743E-2</v>
      </c>
      <c r="B707"/>
      <c r="C707"/>
      <c r="D707"/>
      <c r="E707"/>
      <c r="F707" s="27" t="s">
        <v>7</v>
      </c>
      <c r="KI707" s="27" t="s">
        <v>8</v>
      </c>
      <c r="KJ707" s="27" t="s">
        <v>7</v>
      </c>
      <c r="KM707" s="27" t="s">
        <v>8</v>
      </c>
      <c r="KN707" s="27" t="s">
        <v>7</v>
      </c>
      <c r="KO707" s="27" t="s">
        <v>8</v>
      </c>
    </row>
    <row r="708" spans="1:301" x14ac:dyDescent="0.25">
      <c r="A708" s="7">
        <v>9.1070813674438963E-2</v>
      </c>
      <c r="B708"/>
      <c r="C708"/>
      <c r="D708"/>
      <c r="E708"/>
      <c r="F708" s="27" t="s">
        <v>7</v>
      </c>
      <c r="KI708" s="27" t="s">
        <v>8</v>
      </c>
      <c r="KJ708" s="27" t="s">
        <v>7</v>
      </c>
      <c r="KK708" s="27" t="s">
        <v>8</v>
      </c>
      <c r="KM708" s="27" t="s">
        <v>8</v>
      </c>
      <c r="KN708" s="27" t="s">
        <v>7</v>
      </c>
      <c r="KO708" s="27" t="s">
        <v>8</v>
      </c>
    </row>
    <row r="709" spans="1:301" x14ac:dyDescent="0.25">
      <c r="A709" s="7">
        <v>8.9285111445528392E-2</v>
      </c>
      <c r="B709"/>
      <c r="C709"/>
      <c r="D709"/>
      <c r="E709"/>
      <c r="F709" s="27" t="s">
        <v>7</v>
      </c>
      <c r="KI709" s="27" t="s">
        <v>8</v>
      </c>
      <c r="KJ709" s="27" t="s">
        <v>7</v>
      </c>
      <c r="KK709" s="27" t="s">
        <v>8</v>
      </c>
      <c r="KL709" s="27" t="s">
        <v>7</v>
      </c>
      <c r="KM709" s="27" t="s">
        <v>8</v>
      </c>
      <c r="KN709" s="27" t="s">
        <v>7</v>
      </c>
      <c r="KO709" s="27" t="s">
        <v>8</v>
      </c>
    </row>
    <row r="710" spans="1:301" x14ac:dyDescent="0.25">
      <c r="A710" s="7">
        <v>8.7534422985812155E-2</v>
      </c>
      <c r="B710"/>
      <c r="C710"/>
      <c r="D710"/>
      <c r="E710"/>
      <c r="F710" s="27" t="s">
        <v>7</v>
      </c>
      <c r="KI710" s="27" t="s">
        <v>8</v>
      </c>
      <c r="KJ710" s="27" t="s">
        <v>7</v>
      </c>
      <c r="KK710" s="27" t="s">
        <v>8</v>
      </c>
      <c r="KL710" s="27" t="s">
        <v>7</v>
      </c>
      <c r="KM710" s="27" t="s">
        <v>8</v>
      </c>
      <c r="KN710" s="27" t="s">
        <v>7</v>
      </c>
    </row>
    <row r="711" spans="1:301" x14ac:dyDescent="0.25">
      <c r="A711" s="7">
        <v>8.5818061750796232E-2</v>
      </c>
      <c r="B711"/>
      <c r="C711"/>
      <c r="D711"/>
      <c r="E711"/>
      <c r="F711" s="27" t="s">
        <v>7</v>
      </c>
      <c r="KI711" s="27" t="s">
        <v>8</v>
      </c>
      <c r="KJ711" s="27" t="s">
        <v>7</v>
      </c>
      <c r="KK711" s="27" t="s">
        <v>8</v>
      </c>
      <c r="KL711" s="27" t="s">
        <v>7</v>
      </c>
      <c r="KM711" s="27" t="s">
        <v>8</v>
      </c>
    </row>
    <row r="712" spans="1:301" x14ac:dyDescent="0.25">
      <c r="A712" s="7">
        <v>8.4135354657643366E-2</v>
      </c>
      <c r="B712"/>
      <c r="C712"/>
      <c r="D712"/>
      <c r="E712"/>
      <c r="F712" s="27" t="s">
        <v>7</v>
      </c>
      <c r="KI712" s="27" t="s">
        <v>8</v>
      </c>
      <c r="KJ712" s="27" t="s">
        <v>7</v>
      </c>
      <c r="KK712" s="27" t="s">
        <v>8</v>
      </c>
      <c r="KL712" s="27" t="s">
        <v>7</v>
      </c>
      <c r="KM712" s="27" t="s">
        <v>8</v>
      </c>
    </row>
    <row r="713" spans="1:301" x14ac:dyDescent="0.25">
      <c r="A713" s="7">
        <v>8.248564182121898E-2</v>
      </c>
      <c r="B713"/>
      <c r="C713"/>
      <c r="D713"/>
      <c r="E713"/>
      <c r="F713" s="27" t="s">
        <v>7</v>
      </c>
      <c r="KI713" s="27" t="s">
        <v>8</v>
      </c>
      <c r="KJ713" s="27" t="s">
        <v>7</v>
      </c>
      <c r="KK713" s="27" t="s">
        <v>8</v>
      </c>
      <c r="KL713" s="27" t="s">
        <v>7</v>
      </c>
      <c r="KM713" s="27" t="s">
        <v>8</v>
      </c>
    </row>
    <row r="714" spans="1:301" x14ac:dyDescent="0.25">
      <c r="A714" s="7">
        <v>8.0868276295312735E-2</v>
      </c>
      <c r="B714"/>
      <c r="C714"/>
      <c r="D714"/>
      <c r="E714"/>
      <c r="F714" s="27" t="s">
        <v>7</v>
      </c>
      <c r="KI714" s="27" t="s">
        <v>8</v>
      </c>
      <c r="KJ714" s="27" t="s">
        <v>7</v>
      </c>
      <c r="KK714" s="27" t="s">
        <v>8</v>
      </c>
      <c r="KL714" s="27" t="s">
        <v>7</v>
      </c>
      <c r="KM714" s="27" t="s">
        <v>8</v>
      </c>
    </row>
    <row r="715" spans="1:301" x14ac:dyDescent="0.25">
      <c r="A715" s="7">
        <v>7.9282623818934056E-2</v>
      </c>
      <c r="B715"/>
      <c r="C715"/>
      <c r="D715"/>
      <c r="E715"/>
      <c r="F715" s="27" t="s">
        <v>7</v>
      </c>
      <c r="KI715" s="27" t="s">
        <v>8</v>
      </c>
      <c r="KJ715" s="27" t="s">
        <v>7</v>
      </c>
      <c r="KK715" s="27" t="s">
        <v>8</v>
      </c>
      <c r="KL715" s="27" t="s">
        <v>7</v>
      </c>
      <c r="KM715" s="27" t="s">
        <v>8</v>
      </c>
    </row>
    <row r="716" spans="1:301" x14ac:dyDescent="0.25">
      <c r="A716" s="7">
        <v>7.7728062567582412E-2</v>
      </c>
      <c r="B716"/>
      <c r="C716"/>
      <c r="D716"/>
      <c r="E716"/>
      <c r="F716" s="27" t="s">
        <v>7</v>
      </c>
      <c r="KI716" s="27" t="s">
        <v>8</v>
      </c>
      <c r="KJ716" s="27" t="s">
        <v>7</v>
      </c>
      <c r="KK716" s="27" t="s">
        <v>8</v>
      </c>
      <c r="KL716" s="27" t="s">
        <v>7</v>
      </c>
      <c r="KM716" s="27" t="s">
        <v>8</v>
      </c>
    </row>
    <row r="717" spans="1:301" x14ac:dyDescent="0.25">
      <c r="A717" s="7">
        <v>7.6203982909394521E-2</v>
      </c>
      <c r="B717"/>
      <c r="C717"/>
      <c r="D717"/>
      <c r="E717"/>
      <c r="F717" s="27" t="s">
        <v>7</v>
      </c>
      <c r="KI717" s="27" t="s">
        <v>8</v>
      </c>
      <c r="KJ717" s="27" t="s">
        <v>7</v>
      </c>
      <c r="KK717" s="27" t="s">
        <v>8</v>
      </c>
      <c r="KL717" s="27" t="s">
        <v>7</v>
      </c>
      <c r="KM717" s="27" t="s">
        <v>8</v>
      </c>
    </row>
    <row r="718" spans="1:301" x14ac:dyDescent="0.25">
      <c r="A718" s="7">
        <v>7.4709787166073058E-2</v>
      </c>
      <c r="B718"/>
      <c r="C718"/>
      <c r="D718"/>
      <c r="E718"/>
      <c r="F718" s="27" t="s">
        <v>7</v>
      </c>
      <c r="KI718" s="27" t="s">
        <v>8</v>
      </c>
      <c r="KJ718" s="27" t="s">
        <v>7</v>
      </c>
      <c r="KK718" s="27" t="s">
        <v>8</v>
      </c>
      <c r="KL718" s="27" t="s">
        <v>7</v>
      </c>
    </row>
    <row r="719" spans="1:301" x14ac:dyDescent="0.25">
      <c r="A719" s="7">
        <v>7.3244889378503E-2</v>
      </c>
      <c r="B719"/>
      <c r="C719"/>
      <c r="D719"/>
      <c r="E719"/>
      <c r="F719" s="27" t="s">
        <v>7</v>
      </c>
      <c r="KI719" s="27" t="s">
        <v>8</v>
      </c>
      <c r="KJ719" s="27" t="s">
        <v>7</v>
      </c>
      <c r="KK719" s="27" t="s">
        <v>8</v>
      </c>
    </row>
    <row r="720" spans="1:301" x14ac:dyDescent="0.25">
      <c r="A720" s="7">
        <v>7.1808715076963722E-2</v>
      </c>
      <c r="B720"/>
      <c r="C720"/>
      <c r="D720"/>
      <c r="E720"/>
      <c r="F720" s="27" t="s">
        <v>7</v>
      </c>
      <c r="KI720" s="27" t="s">
        <v>8</v>
      </c>
      <c r="KJ720" s="27" t="s">
        <v>7</v>
      </c>
      <c r="KK720" s="27" t="s">
        <v>8</v>
      </c>
    </row>
    <row r="721" spans="1:297" x14ac:dyDescent="0.25">
      <c r="A721" s="7">
        <v>7.0400701055846782E-2</v>
      </c>
      <c r="B721"/>
      <c r="C721"/>
      <c r="D721"/>
      <c r="E721"/>
      <c r="F721" s="27" t="s">
        <v>7</v>
      </c>
      <c r="KI721" s="27" t="s">
        <v>8</v>
      </c>
      <c r="KJ721" s="27" t="s">
        <v>7</v>
      </c>
      <c r="KK721" s="27" t="s">
        <v>8</v>
      </c>
    </row>
    <row r="722" spans="1:297" x14ac:dyDescent="0.25">
      <c r="A722" s="7">
        <v>6.9020295152790956E-2</v>
      </c>
      <c r="B722"/>
      <c r="C722"/>
      <c r="D722"/>
      <c r="E722"/>
      <c r="F722" s="27" t="s">
        <v>7</v>
      </c>
      <c r="KI722" s="27" t="s">
        <v>8</v>
      </c>
      <c r="KJ722" s="27" t="s">
        <v>7</v>
      </c>
      <c r="KK722" s="27" t="s">
        <v>8</v>
      </c>
    </row>
    <row r="723" spans="1:297" x14ac:dyDescent="0.25">
      <c r="A723" s="7">
        <v>6.7666956032147993E-2</v>
      </c>
      <c r="B723"/>
      <c r="C723"/>
      <c r="D723"/>
      <c r="E723"/>
      <c r="F723" s="27" t="s">
        <v>7</v>
      </c>
      <c r="KI723" s="27" t="s">
        <v>8</v>
      </c>
      <c r="KJ723" s="27" t="s">
        <v>7</v>
      </c>
      <c r="KK723" s="27" t="s">
        <v>8</v>
      </c>
    </row>
    <row r="724" spans="1:297" x14ac:dyDescent="0.25">
      <c r="A724" s="7">
        <v>6.6340152972694105E-2</v>
      </c>
      <c r="B724"/>
      <c r="C724"/>
      <c r="D724"/>
      <c r="E724"/>
      <c r="F724" s="27" t="s">
        <v>7</v>
      </c>
      <c r="KI724" s="27" t="s">
        <v>8</v>
      </c>
      <c r="KJ724" s="27" t="s">
        <v>7</v>
      </c>
      <c r="KK724" s="27" t="s">
        <v>8</v>
      </c>
    </row>
    <row r="725" spans="1:297" x14ac:dyDescent="0.25">
      <c r="A725" s="7">
        <v>6.5039365659504023E-2</v>
      </c>
      <c r="B725"/>
      <c r="C725"/>
      <c r="D725"/>
      <c r="E725"/>
      <c r="F725" s="27" t="s">
        <v>7</v>
      </c>
      <c r="KI725" s="27" t="s">
        <v>8</v>
      </c>
      <c r="KJ725" s="27" t="s">
        <v>7</v>
      </c>
      <c r="KK725" s="27" t="s">
        <v>8</v>
      </c>
    </row>
    <row r="726" spans="1:297" x14ac:dyDescent="0.25">
      <c r="A726" s="7">
        <v>6.3764083979905906E-2</v>
      </c>
      <c r="B726"/>
      <c r="C726"/>
      <c r="D726"/>
      <c r="E726"/>
      <c r="F726" s="27" t="s">
        <v>7</v>
      </c>
      <c r="KG726" s="27" t="s">
        <v>8</v>
      </c>
      <c r="KI726" s="27" t="s">
        <v>8</v>
      </c>
      <c r="KJ726" s="27" t="s">
        <v>7</v>
      </c>
      <c r="KK726" s="27" t="s">
        <v>8</v>
      </c>
    </row>
    <row r="727" spans="1:297" x14ac:dyDescent="0.25">
      <c r="A727" s="7">
        <v>6.251380782343717E-2</v>
      </c>
      <c r="B727"/>
      <c r="C727"/>
      <c r="D727"/>
      <c r="E727"/>
      <c r="F727" s="27" t="s">
        <v>7</v>
      </c>
      <c r="KG727" s="27" t="s">
        <v>8</v>
      </c>
      <c r="KH727" s="27" t="s">
        <v>7</v>
      </c>
      <c r="KI727" s="27" t="s">
        <v>8</v>
      </c>
      <c r="KJ727" s="27" t="s">
        <v>7</v>
      </c>
      <c r="KK727" s="27" t="s">
        <v>8</v>
      </c>
    </row>
    <row r="728" spans="1:297" x14ac:dyDescent="0.25">
      <c r="A728" s="7">
        <v>6.1288046885722716E-2</v>
      </c>
      <c r="B728"/>
      <c r="C728"/>
      <c r="D728"/>
      <c r="E728"/>
      <c r="F728" s="27" t="s">
        <v>7</v>
      </c>
      <c r="KG728" s="27" t="s">
        <v>8</v>
      </c>
      <c r="KH728" s="27" t="s">
        <v>7</v>
      </c>
      <c r="KI728" s="27" t="s">
        <v>8</v>
      </c>
      <c r="KJ728" s="27" t="s">
        <v>7</v>
      </c>
      <c r="KK728" s="27" t="s">
        <v>8</v>
      </c>
    </row>
    <row r="729" spans="1:297" x14ac:dyDescent="0.25">
      <c r="A729" s="7">
        <v>6.0086320476198739E-2</v>
      </c>
      <c r="B729"/>
      <c r="C729"/>
      <c r="D729"/>
      <c r="E729"/>
      <c r="F729" s="27" t="s">
        <v>7</v>
      </c>
      <c r="KG729" s="27" t="s">
        <v>8</v>
      </c>
      <c r="KH729" s="27" t="s">
        <v>7</v>
      </c>
      <c r="KI729" s="27" t="s">
        <v>8</v>
      </c>
      <c r="KJ729" s="27" t="s">
        <v>7</v>
      </c>
    </row>
    <row r="730" spans="1:297" x14ac:dyDescent="0.25">
      <c r="A730" s="7">
        <v>5.8908157329606609E-2</v>
      </c>
      <c r="B730"/>
      <c r="C730"/>
      <c r="D730"/>
      <c r="E730"/>
      <c r="F730" s="27" t="s">
        <v>7</v>
      </c>
      <c r="KE730" s="27" t="s">
        <v>8</v>
      </c>
      <c r="KG730" s="27" t="s">
        <v>8</v>
      </c>
      <c r="KH730" s="27" t="s">
        <v>7</v>
      </c>
      <c r="KI730" s="27" t="s">
        <v>8</v>
      </c>
    </row>
    <row r="731" spans="1:297" x14ac:dyDescent="0.25">
      <c r="A731" s="7">
        <v>5.7753095421182947E-2</v>
      </c>
      <c r="B731"/>
      <c r="C731"/>
      <c r="D731"/>
      <c r="E731"/>
      <c r="F731" s="27" t="s">
        <v>7</v>
      </c>
      <c r="KE731" s="27" t="s">
        <v>8</v>
      </c>
      <c r="KF731" s="27" t="s">
        <v>7</v>
      </c>
      <c r="KG731" s="27" t="s">
        <v>8</v>
      </c>
      <c r="KH731" s="27" t="s">
        <v>7</v>
      </c>
      <c r="KI731" s="27" t="s">
        <v>8</v>
      </c>
    </row>
    <row r="732" spans="1:297" x14ac:dyDescent="0.25">
      <c r="A732" s="7">
        <v>5.6620681785473484E-2</v>
      </c>
      <c r="B732"/>
      <c r="C732"/>
      <c r="D732"/>
      <c r="E732"/>
      <c r="F732" s="27" t="s">
        <v>7</v>
      </c>
      <c r="KE732" s="27" t="s">
        <v>8</v>
      </c>
      <c r="KF732" s="27" t="s">
        <v>7</v>
      </c>
      <c r="KG732" s="27" t="s">
        <v>8</v>
      </c>
      <c r="KH732" s="27" t="s">
        <v>7</v>
      </c>
      <c r="KI732" s="27" t="s">
        <v>8</v>
      </c>
    </row>
    <row r="733" spans="1:297" x14ac:dyDescent="0.25">
      <c r="A733" s="7">
        <v>5.5510472338699497E-2</v>
      </c>
      <c r="B733"/>
      <c r="C733"/>
      <c r="D733"/>
      <c r="E733"/>
      <c r="F733" s="27" t="s">
        <v>7</v>
      </c>
      <c r="KE733" s="27" t="s">
        <v>8</v>
      </c>
      <c r="KF733" s="27" t="s">
        <v>7</v>
      </c>
      <c r="KG733" s="27" t="s">
        <v>8</v>
      </c>
      <c r="KH733" s="27" t="s">
        <v>7</v>
      </c>
    </row>
    <row r="734" spans="1:297" x14ac:dyDescent="0.25">
      <c r="A734" s="7">
        <v>5.4422031704607354E-2</v>
      </c>
      <c r="B734"/>
      <c r="C734"/>
      <c r="D734"/>
      <c r="E734"/>
      <c r="F734" s="27" t="s">
        <v>7</v>
      </c>
      <c r="KE734" s="27" t="s">
        <v>8</v>
      </c>
      <c r="KF734" s="27" t="s">
        <v>7</v>
      </c>
      <c r="KG734" s="27" t="s">
        <v>8</v>
      </c>
    </row>
    <row r="735" spans="1:297" x14ac:dyDescent="0.25">
      <c r="A735" s="7">
        <v>5.3354933043732705E-2</v>
      </c>
      <c r="B735"/>
      <c r="C735"/>
      <c r="D735"/>
      <c r="E735"/>
      <c r="F735" s="27" t="s">
        <v>7</v>
      </c>
      <c r="KE735" s="27" t="s">
        <v>8</v>
      </c>
      <c r="KF735" s="27" t="s">
        <v>7</v>
      </c>
      <c r="KG735" s="27" t="s">
        <v>8</v>
      </c>
    </row>
    <row r="736" spans="1:297" x14ac:dyDescent="0.25">
      <c r="A736" s="7">
        <v>5.2308757886012455E-2</v>
      </c>
      <c r="B736"/>
      <c r="C736"/>
      <c r="D736"/>
      <c r="E736"/>
      <c r="F736" s="27" t="s">
        <v>7</v>
      </c>
      <c r="KE736" s="27" t="s">
        <v>8</v>
      </c>
      <c r="KF736" s="27" t="s">
        <v>7</v>
      </c>
      <c r="KG736" s="27" t="s">
        <v>8</v>
      </c>
    </row>
    <row r="737" spans="1:293" x14ac:dyDescent="0.25">
      <c r="A737" s="7">
        <v>5.1283095966678877E-2</v>
      </c>
      <c r="B737"/>
      <c r="C737"/>
      <c r="D737"/>
      <c r="E737"/>
      <c r="F737" s="27" t="s">
        <v>7</v>
      </c>
      <c r="KE737" s="27" t="s">
        <v>8</v>
      </c>
      <c r="KF737" s="27" t="s">
        <v>7</v>
      </c>
      <c r="KG737" s="27" t="s">
        <v>8</v>
      </c>
    </row>
    <row r="738" spans="1:293" x14ac:dyDescent="0.25">
      <c r="A738" s="7">
        <v>5.0277545065371444E-2</v>
      </c>
      <c r="B738"/>
      <c r="C738"/>
      <c r="D738"/>
      <c r="E738"/>
      <c r="F738" s="27" t="s">
        <v>7</v>
      </c>
      <c r="KE738" s="27" t="s">
        <v>8</v>
      </c>
      <c r="KF738" s="27" t="s">
        <v>7</v>
      </c>
      <c r="KG738" s="27" t="s">
        <v>8</v>
      </c>
    </row>
    <row r="739" spans="1:293" x14ac:dyDescent="0.25">
      <c r="A739" s="7">
        <v>4.9291710848403378E-2</v>
      </c>
      <c r="B739"/>
      <c r="C739"/>
      <c r="D739"/>
      <c r="E739"/>
      <c r="F739" s="27" t="s">
        <v>7</v>
      </c>
      <c r="KE739" s="27" t="s">
        <v>8</v>
      </c>
      <c r="KF739" s="27" t="s">
        <v>7</v>
      </c>
    </row>
    <row r="740" spans="1:293" x14ac:dyDescent="0.25">
      <c r="A740" s="7">
        <v>4.8325206714120959E-2</v>
      </c>
      <c r="B740"/>
      <c r="C740"/>
      <c r="D740"/>
      <c r="E740"/>
      <c r="F740" s="27" t="s">
        <v>7</v>
      </c>
      <c r="KE740" s="27" t="s">
        <v>8</v>
      </c>
    </row>
    <row r="741" spans="1:293" x14ac:dyDescent="0.25">
      <c r="A741" s="7">
        <v>4.7377653641295057E-2</v>
      </c>
      <c r="B741"/>
      <c r="C741"/>
      <c r="D741"/>
      <c r="E741"/>
      <c r="F741" s="27" t="s">
        <v>7</v>
      </c>
      <c r="KC741" s="27" t="s">
        <v>8</v>
      </c>
      <c r="KE741" s="27" t="s">
        <v>8</v>
      </c>
    </row>
    <row r="742" spans="1:293" x14ac:dyDescent="0.25">
      <c r="A742" s="7">
        <v>4.644868004048535E-2</v>
      </c>
      <c r="B742"/>
      <c r="C742"/>
      <c r="D742"/>
      <c r="E742"/>
      <c r="F742" s="27" t="s">
        <v>7</v>
      </c>
      <c r="KC742" s="27" t="s">
        <v>8</v>
      </c>
      <c r="KD742" s="27" t="s">
        <v>7</v>
      </c>
      <c r="KE742" s="27" t="s">
        <v>8</v>
      </c>
    </row>
    <row r="743" spans="1:293" x14ac:dyDescent="0.25">
      <c r="A743" s="7">
        <v>4.5537921608318974E-2</v>
      </c>
      <c r="B743"/>
      <c r="C743"/>
      <c r="D743"/>
      <c r="E743"/>
      <c r="F743" s="27" t="s">
        <v>7</v>
      </c>
      <c r="KC743" s="27" t="s">
        <v>8</v>
      </c>
      <c r="KD743" s="27" t="s">
        <v>7</v>
      </c>
      <c r="KE743" s="27" t="s">
        <v>8</v>
      </c>
    </row>
    <row r="744" spans="1:293" x14ac:dyDescent="0.25">
      <c r="A744" s="7">
        <v>4.4645021184626446E-2</v>
      </c>
      <c r="B744"/>
      <c r="C744"/>
      <c r="D744"/>
      <c r="E744"/>
      <c r="F744" s="27" t="s">
        <v>7</v>
      </c>
      <c r="KC744" s="27" t="s">
        <v>8</v>
      </c>
      <c r="KD744" s="27" t="s">
        <v>7</v>
      </c>
      <c r="KE744" s="27" t="s">
        <v>8</v>
      </c>
    </row>
    <row r="745" spans="1:293" x14ac:dyDescent="0.25">
      <c r="A745" s="7">
        <v>4.3769628612378868E-2</v>
      </c>
      <c r="B745"/>
      <c r="C745"/>
      <c r="D745"/>
      <c r="E745"/>
      <c r="F745" s="27" t="s">
        <v>7</v>
      </c>
      <c r="KC745" s="27" t="s">
        <v>8</v>
      </c>
      <c r="KD745" s="27" t="s">
        <v>7</v>
      </c>
      <c r="KE745" s="27" t="s">
        <v>8</v>
      </c>
    </row>
    <row r="746" spans="1:293" x14ac:dyDescent="0.25">
      <c r="A746" s="7">
        <v>4.2911400600371442E-2</v>
      </c>
      <c r="B746"/>
      <c r="C746"/>
      <c r="D746"/>
      <c r="E746"/>
      <c r="F746" s="27" t="s">
        <v>7</v>
      </c>
      <c r="KC746" s="27" t="s">
        <v>8</v>
      </c>
      <c r="KD746" s="27" t="s">
        <v>7</v>
      </c>
      <c r="KE746" s="27" t="s">
        <v>8</v>
      </c>
    </row>
    <row r="747" spans="1:293" x14ac:dyDescent="0.25">
      <c r="A747" s="7">
        <v>4.2070000588599457E-2</v>
      </c>
      <c r="B747"/>
      <c r="C747"/>
      <c r="D747"/>
      <c r="E747"/>
      <c r="F747" s="27" t="s">
        <v>7</v>
      </c>
      <c r="KC747" s="27" t="s">
        <v>8</v>
      </c>
      <c r="KD747" s="27" t="s">
        <v>7</v>
      </c>
      <c r="KE747" s="27" t="s">
        <v>8</v>
      </c>
    </row>
    <row r="748" spans="1:293" x14ac:dyDescent="0.25">
      <c r="A748" s="7">
        <v>4.1245098616273977E-2</v>
      </c>
      <c r="B748"/>
      <c r="C748"/>
      <c r="D748"/>
      <c r="E748"/>
      <c r="F748" s="27" t="s">
        <v>7</v>
      </c>
      <c r="KC748" s="27" t="s">
        <v>8</v>
      </c>
      <c r="KD748" s="27" t="s">
        <v>7</v>
      </c>
      <c r="KE748" s="27" t="s">
        <v>8</v>
      </c>
    </row>
    <row r="749" spans="1:293" x14ac:dyDescent="0.25">
      <c r="A749" s="7">
        <v>4.043637119242547E-2</v>
      </c>
      <c r="B749"/>
      <c r="C749"/>
      <c r="D749"/>
      <c r="E749"/>
      <c r="F749" s="27" t="s">
        <v>7</v>
      </c>
      <c r="JC749" s="27" t="s">
        <v>8</v>
      </c>
      <c r="KC749" s="27" t="s">
        <v>8</v>
      </c>
      <c r="KD749" s="27" t="s">
        <v>7</v>
      </c>
      <c r="KE749" s="27" t="s">
        <v>8</v>
      </c>
    </row>
    <row r="750" spans="1:293" x14ac:dyDescent="0.25">
      <c r="A750" s="7">
        <v>3.9643501169044582E-2</v>
      </c>
      <c r="B750"/>
      <c r="C750"/>
      <c r="D750"/>
      <c r="E750"/>
      <c r="F750" s="27" t="s">
        <v>7</v>
      </c>
      <c r="JC750" s="27" t="s">
        <v>8</v>
      </c>
      <c r="JD750" s="27" t="s">
        <v>7</v>
      </c>
      <c r="JG750" s="27" t="s">
        <v>8</v>
      </c>
      <c r="KC750" s="27" t="s">
        <v>8</v>
      </c>
      <c r="KD750" s="27" t="s">
        <v>7</v>
      </c>
      <c r="KE750" s="27" t="s">
        <v>8</v>
      </c>
    </row>
    <row r="751" spans="1:293" x14ac:dyDescent="0.25">
      <c r="A751" s="7">
        <v>3.8866177616710372E-2</v>
      </c>
      <c r="B751"/>
      <c r="C751"/>
      <c r="D751"/>
      <c r="E751"/>
      <c r="F751" s="27" t="s">
        <v>7</v>
      </c>
      <c r="JC751" s="27" t="s">
        <v>8</v>
      </c>
      <c r="JD751" s="27" t="s">
        <v>7</v>
      </c>
      <c r="JG751" s="27" t="s">
        <v>8</v>
      </c>
      <c r="JH751" s="27" t="s">
        <v>7</v>
      </c>
      <c r="KC751" s="27" t="s">
        <v>8</v>
      </c>
      <c r="KD751" s="27" t="s">
        <v>7</v>
      </c>
    </row>
    <row r="752" spans="1:293" x14ac:dyDescent="0.25">
      <c r="A752" s="7">
        <v>3.8104095702657229E-2</v>
      </c>
      <c r="B752"/>
      <c r="C752"/>
      <c r="D752"/>
      <c r="E752"/>
      <c r="F752" s="27" t="s">
        <v>7</v>
      </c>
      <c r="JC752" s="27" t="s">
        <v>8</v>
      </c>
      <c r="JD752" s="27" t="s">
        <v>7</v>
      </c>
      <c r="JG752" s="27" t="s">
        <v>8</v>
      </c>
      <c r="JH752" s="27" t="s">
        <v>7</v>
      </c>
      <c r="KA752" s="27" t="s">
        <v>8</v>
      </c>
      <c r="KC752" s="27" t="s">
        <v>8</v>
      </c>
    </row>
    <row r="753" spans="1:289" x14ac:dyDescent="0.25">
      <c r="A753" s="7">
        <v>3.7356956571232579E-2</v>
      </c>
      <c r="B753"/>
      <c r="C753"/>
      <c r="D753"/>
      <c r="E753"/>
      <c r="F753" s="27" t="s">
        <v>7</v>
      </c>
      <c r="JC753" s="27" t="s">
        <v>8</v>
      </c>
      <c r="JD753" s="27" t="s">
        <v>7</v>
      </c>
      <c r="JG753" s="27" t="s">
        <v>8</v>
      </c>
      <c r="JH753" s="27" t="s">
        <v>7</v>
      </c>
      <c r="KA753" s="27" t="s">
        <v>8</v>
      </c>
      <c r="KB753" s="27" t="s">
        <v>7</v>
      </c>
      <c r="KC753" s="27" t="s">
        <v>8</v>
      </c>
    </row>
    <row r="754" spans="1:289" x14ac:dyDescent="0.25">
      <c r="A754" s="7">
        <v>3.6624467226698605E-2</v>
      </c>
      <c r="B754"/>
      <c r="C754"/>
      <c r="D754"/>
      <c r="E754"/>
      <c r="F754" s="27" t="s">
        <v>7</v>
      </c>
      <c r="JC754" s="27" t="s">
        <v>8</v>
      </c>
      <c r="JD754" s="27" t="s">
        <v>7</v>
      </c>
      <c r="JG754" s="27" t="s">
        <v>8</v>
      </c>
      <c r="JH754" s="27" t="s">
        <v>7</v>
      </c>
      <c r="KA754" s="27" t="s">
        <v>8</v>
      </c>
      <c r="KB754" s="27" t="s">
        <v>7</v>
      </c>
      <c r="KC754" s="27" t="s">
        <v>8</v>
      </c>
    </row>
    <row r="755" spans="1:289" x14ac:dyDescent="0.25">
      <c r="A755" s="7">
        <v>3.5906340418331961E-2</v>
      </c>
      <c r="B755"/>
      <c r="C755"/>
      <c r="D755"/>
      <c r="E755"/>
      <c r="F755" s="27" t="s">
        <v>7</v>
      </c>
      <c r="JC755" s="27" t="s">
        <v>8</v>
      </c>
      <c r="JD755" s="27" t="s">
        <v>7</v>
      </c>
      <c r="JG755" s="27" t="s">
        <v>8</v>
      </c>
      <c r="JH755" s="27" t="s">
        <v>7</v>
      </c>
      <c r="KA755" s="27" t="s">
        <v>8</v>
      </c>
      <c r="KB755" s="27" t="s">
        <v>7</v>
      </c>
      <c r="KC755" s="27" t="s">
        <v>8</v>
      </c>
    </row>
    <row r="756" spans="1:289" x14ac:dyDescent="0.25">
      <c r="A756" s="7">
        <v>3.5202294527776436E-2</v>
      </c>
      <c r="B756"/>
      <c r="C756"/>
      <c r="D756"/>
      <c r="E756"/>
      <c r="F756" s="27" t="s">
        <v>7</v>
      </c>
      <c r="JC756" s="27" t="s">
        <v>8</v>
      </c>
      <c r="JD756" s="27" t="s">
        <v>7</v>
      </c>
      <c r="JG756" s="27" t="s">
        <v>8</v>
      </c>
      <c r="JH756" s="27" t="s">
        <v>7</v>
      </c>
      <c r="KA756" s="27" t="s">
        <v>8</v>
      </c>
      <c r="KB756" s="27" t="s">
        <v>7</v>
      </c>
      <c r="KC756" s="27" t="s">
        <v>8</v>
      </c>
    </row>
    <row r="757" spans="1:289" x14ac:dyDescent="0.25">
      <c r="A757" s="7">
        <v>3.451205345860435E-2</v>
      </c>
      <c r="B757"/>
      <c r="C757"/>
      <c r="D757"/>
      <c r="E757"/>
      <c r="F757" s="27" t="s">
        <v>7</v>
      </c>
      <c r="JC757" s="27" t="s">
        <v>8</v>
      </c>
      <c r="JD757" s="27" t="s">
        <v>7</v>
      </c>
      <c r="JG757" s="27" t="s">
        <v>8</v>
      </c>
      <c r="JH757" s="27" t="s">
        <v>7</v>
      </c>
      <c r="JU757" s="27" t="s">
        <v>8</v>
      </c>
      <c r="KA757" s="27" t="s">
        <v>8</v>
      </c>
      <c r="KB757" s="27" t="s">
        <v>7</v>
      </c>
      <c r="KC757" s="27" t="s">
        <v>8</v>
      </c>
    </row>
    <row r="758" spans="1:289" x14ac:dyDescent="0.25">
      <c r="A758" s="7">
        <v>3.3835346528043479E-2</v>
      </c>
      <c r="B758"/>
      <c r="C758"/>
      <c r="D758"/>
      <c r="E758"/>
      <c r="F758" s="27" t="s">
        <v>7</v>
      </c>
      <c r="JC758" s="27" t="s">
        <v>8</v>
      </c>
      <c r="JD758" s="27" t="s">
        <v>7</v>
      </c>
      <c r="JG758" s="27" t="s">
        <v>8</v>
      </c>
      <c r="JH758" s="27" t="s">
        <v>7</v>
      </c>
      <c r="JI758" s="27" t="s">
        <v>8</v>
      </c>
      <c r="JU758" s="27" t="s">
        <v>8</v>
      </c>
      <c r="JV758" s="27" t="s">
        <v>7</v>
      </c>
      <c r="KA758" s="27" t="s">
        <v>8</v>
      </c>
      <c r="KB758" s="27" t="s">
        <v>7</v>
      </c>
      <c r="KC758" s="27" t="s">
        <v>8</v>
      </c>
    </row>
    <row r="759" spans="1:289" x14ac:dyDescent="0.25">
      <c r="A759" s="7">
        <v>3.3171908360826938E-2</v>
      </c>
      <c r="B759"/>
      <c r="C759"/>
      <c r="D759"/>
      <c r="E759"/>
      <c r="F759" s="27" t="s">
        <v>7</v>
      </c>
      <c r="JC759" s="27" t="s">
        <v>8</v>
      </c>
      <c r="JD759" s="27" t="s">
        <v>7</v>
      </c>
      <c r="JG759" s="27" t="s">
        <v>8</v>
      </c>
      <c r="JH759" s="27" t="s">
        <v>7</v>
      </c>
      <c r="JI759" s="27" t="s">
        <v>8</v>
      </c>
      <c r="JJ759" s="27" t="s">
        <v>7</v>
      </c>
      <c r="JU759" s="27" t="s">
        <v>8</v>
      </c>
      <c r="JV759" s="27" t="s">
        <v>7</v>
      </c>
      <c r="KA759" s="27" t="s">
        <v>8</v>
      </c>
      <c r="KB759" s="27" t="s">
        <v>7</v>
      </c>
    </row>
    <row r="760" spans="1:289" x14ac:dyDescent="0.25">
      <c r="A760" s="7">
        <v>3.2521478785124451E-2</v>
      </c>
      <c r="B760"/>
      <c r="C760"/>
      <c r="D760"/>
      <c r="E760"/>
      <c r="F760" s="27" t="s">
        <v>7</v>
      </c>
      <c r="JC760" s="27" t="s">
        <v>8</v>
      </c>
      <c r="JD760" s="27" t="s">
        <v>7</v>
      </c>
      <c r="JG760" s="27" t="s">
        <v>8</v>
      </c>
      <c r="JH760" s="27" t="s">
        <v>7</v>
      </c>
      <c r="JI760" s="27" t="s">
        <v>8</v>
      </c>
      <c r="JJ760" s="27" t="s">
        <v>7</v>
      </c>
      <c r="JU760" s="27" t="s">
        <v>8</v>
      </c>
      <c r="JV760" s="27" t="s">
        <v>7</v>
      </c>
      <c r="JY760" s="27" t="s">
        <v>8</v>
      </c>
      <c r="KA760" s="27" t="s">
        <v>8</v>
      </c>
    </row>
    <row r="761" spans="1:289" x14ac:dyDescent="0.25">
      <c r="A761" s="7">
        <v>3.1883802730514173E-2</v>
      </c>
      <c r="B761"/>
      <c r="C761"/>
      <c r="D761"/>
      <c r="E761"/>
      <c r="F761" s="27" t="s">
        <v>7</v>
      </c>
      <c r="JC761" s="27" t="s">
        <v>8</v>
      </c>
      <c r="JD761" s="27" t="s">
        <v>7</v>
      </c>
      <c r="JG761" s="27" t="s">
        <v>8</v>
      </c>
      <c r="JH761" s="27" t="s">
        <v>7</v>
      </c>
      <c r="JI761" s="27" t="s">
        <v>8</v>
      </c>
      <c r="JJ761" s="27" t="s">
        <v>7</v>
      </c>
      <c r="JU761" s="27" t="s">
        <v>8</v>
      </c>
      <c r="JV761" s="27" t="s">
        <v>7</v>
      </c>
      <c r="JY761" s="27" t="s">
        <v>8</v>
      </c>
      <c r="JZ761" s="27" t="s">
        <v>7</v>
      </c>
      <c r="KA761" s="27" t="s">
        <v>8</v>
      </c>
    </row>
    <row r="762" spans="1:289" x14ac:dyDescent="0.25">
      <c r="A762" s="7">
        <v>3.1258630127955073E-2</v>
      </c>
      <c r="B762"/>
      <c r="C762"/>
      <c r="D762"/>
      <c r="E762"/>
      <c r="F762" s="27" t="s">
        <v>7</v>
      </c>
      <c r="JC762" s="27" t="s">
        <v>8</v>
      </c>
      <c r="JD762" s="27" t="s">
        <v>7</v>
      </c>
      <c r="JG762" s="27" t="s">
        <v>8</v>
      </c>
      <c r="JH762" s="27" t="s">
        <v>7</v>
      </c>
      <c r="JI762" s="27" t="s">
        <v>8</v>
      </c>
      <c r="JJ762" s="27" t="s">
        <v>7</v>
      </c>
      <c r="JQ762" s="27" t="s">
        <v>8</v>
      </c>
      <c r="JU762" s="27" t="s">
        <v>8</v>
      </c>
      <c r="JV762" s="27" t="s">
        <v>7</v>
      </c>
      <c r="JY762" s="27" t="s">
        <v>8</v>
      </c>
      <c r="JZ762" s="27" t="s">
        <v>7</v>
      </c>
      <c r="KA762" s="27" t="s">
        <v>8</v>
      </c>
    </row>
    <row r="763" spans="1:289" x14ac:dyDescent="0.25">
      <c r="A763" s="7">
        <v>3.064571581172066E-2</v>
      </c>
      <c r="B763"/>
      <c r="C763"/>
      <c r="D763"/>
      <c r="E763"/>
      <c r="F763" s="27" t="s">
        <v>7</v>
      </c>
      <c r="JC763" s="27" t="s">
        <v>8</v>
      </c>
      <c r="JD763" s="27" t="s">
        <v>7</v>
      </c>
      <c r="JE763" s="27" t="s">
        <v>8</v>
      </c>
      <c r="JG763" s="27" t="s">
        <v>8</v>
      </c>
      <c r="JH763" s="27" t="s">
        <v>7</v>
      </c>
      <c r="JI763" s="27" t="s">
        <v>8</v>
      </c>
      <c r="JJ763" s="27" t="s">
        <v>7</v>
      </c>
      <c r="JQ763" s="27" t="s">
        <v>8</v>
      </c>
      <c r="JR763" s="27" t="s">
        <v>7</v>
      </c>
      <c r="JU763" s="27" t="s">
        <v>8</v>
      </c>
      <c r="JV763" s="27" t="s">
        <v>7</v>
      </c>
      <c r="JW763" s="27" t="s">
        <v>8</v>
      </c>
      <c r="JY763" s="27" t="s">
        <v>8</v>
      </c>
      <c r="JZ763" s="27" t="s">
        <v>7</v>
      </c>
    </row>
    <row r="764" spans="1:289" x14ac:dyDescent="0.25">
      <c r="A764" s="7">
        <v>3.0044819423255549E-2</v>
      </c>
      <c r="B764"/>
      <c r="C764"/>
      <c r="D764"/>
      <c r="E764"/>
      <c r="F764" s="27" t="s">
        <v>7</v>
      </c>
      <c r="JC764" s="27" t="s">
        <v>8</v>
      </c>
      <c r="JD764" s="27" t="s">
        <v>7</v>
      </c>
      <c r="JE764" s="27" t="s">
        <v>8</v>
      </c>
      <c r="JF764" s="27" t="s">
        <v>7</v>
      </c>
      <c r="JG764" s="27" t="s">
        <v>8</v>
      </c>
      <c r="JH764" s="27" t="s">
        <v>7</v>
      </c>
      <c r="JI764" s="27" t="s">
        <v>8</v>
      </c>
      <c r="JJ764" s="27" t="s">
        <v>7</v>
      </c>
      <c r="JM764" s="27" t="s">
        <v>8</v>
      </c>
      <c r="JQ764" s="27" t="s">
        <v>8</v>
      </c>
      <c r="JR764" s="27" t="s">
        <v>7</v>
      </c>
      <c r="JU764" s="27" t="s">
        <v>8</v>
      </c>
      <c r="JV764" s="27" t="s">
        <v>7</v>
      </c>
      <c r="JW764" s="27" t="s">
        <v>8</v>
      </c>
      <c r="JX764" s="27" t="s">
        <v>7</v>
      </c>
      <c r="JY764" s="27" t="s">
        <v>8</v>
      </c>
    </row>
    <row r="765" spans="1:289" x14ac:dyDescent="0.25">
      <c r="A765" s="7">
        <v>2.9455705316917203E-2</v>
      </c>
      <c r="B765"/>
      <c r="C765"/>
      <c r="D765"/>
      <c r="E765"/>
      <c r="F765" s="27" t="s">
        <v>7</v>
      </c>
      <c r="JC765" s="27" t="s">
        <v>8</v>
      </c>
      <c r="JD765" s="27" t="s">
        <v>7</v>
      </c>
      <c r="JE765" s="27" t="s">
        <v>8</v>
      </c>
      <c r="JF765" s="27" t="s">
        <v>7</v>
      </c>
      <c r="JG765" s="27" t="s">
        <v>8</v>
      </c>
      <c r="JH765" s="27" t="s">
        <v>7</v>
      </c>
      <c r="JI765" s="27" t="s">
        <v>8</v>
      </c>
      <c r="JJ765" s="27" t="s">
        <v>7</v>
      </c>
      <c r="JM765" s="27" t="s">
        <v>8</v>
      </c>
      <c r="JN765" s="27" t="s">
        <v>7</v>
      </c>
      <c r="JQ765" s="27" t="s">
        <v>8</v>
      </c>
      <c r="JR765" s="27" t="s">
        <v>7</v>
      </c>
      <c r="JS765" s="27" t="s">
        <v>8</v>
      </c>
      <c r="JU765" s="27" t="s">
        <v>8</v>
      </c>
      <c r="JV765" s="27" t="s">
        <v>7</v>
      </c>
      <c r="JW765" s="27" t="s">
        <v>8</v>
      </c>
      <c r="JX765" s="27" t="s">
        <v>7</v>
      </c>
      <c r="JY765" s="27" t="s">
        <v>8</v>
      </c>
    </row>
    <row r="766" spans="1:289" x14ac:dyDescent="0.25">
      <c r="A766" s="7">
        <v>2.8878142467565884E-2</v>
      </c>
      <c r="B766"/>
      <c r="C766"/>
      <c r="D766"/>
      <c r="E766"/>
      <c r="F766" s="27" t="s">
        <v>7</v>
      </c>
      <c r="JC766" s="27" t="s">
        <v>8</v>
      </c>
      <c r="JD766" s="27" t="s">
        <v>7</v>
      </c>
      <c r="JE766" s="27" t="s">
        <v>8</v>
      </c>
      <c r="JF766" s="27" t="s">
        <v>7</v>
      </c>
      <c r="JG766" s="27" t="s">
        <v>8</v>
      </c>
      <c r="JH766" s="27" t="s">
        <v>7</v>
      </c>
      <c r="JI766" s="27" t="s">
        <v>8</v>
      </c>
      <c r="JJ766" s="27" t="s">
        <v>7</v>
      </c>
      <c r="JM766" s="27" t="s">
        <v>8</v>
      </c>
      <c r="JN766" s="27" t="s">
        <v>7</v>
      </c>
      <c r="JO766" s="27" t="s">
        <v>8</v>
      </c>
      <c r="JQ766" s="27" t="s">
        <v>8</v>
      </c>
      <c r="JR766" s="27" t="s">
        <v>7</v>
      </c>
      <c r="JS766" s="27" t="s">
        <v>8</v>
      </c>
      <c r="JT766" s="27" t="s">
        <v>7</v>
      </c>
      <c r="JU766" s="27" t="s">
        <v>8</v>
      </c>
      <c r="JV766" s="27" t="s">
        <v>7</v>
      </c>
      <c r="JW766" s="27" t="s">
        <v>8</v>
      </c>
      <c r="JX766" s="27" t="s">
        <v>7</v>
      </c>
      <c r="JY766" s="27" t="s">
        <v>8</v>
      </c>
    </row>
    <row r="767" spans="1:289" x14ac:dyDescent="0.25">
      <c r="A767" s="7">
        <v>2.8311904379966554E-2</v>
      </c>
      <c r="B767"/>
      <c r="C767"/>
      <c r="D767"/>
      <c r="E767"/>
      <c r="F767" s="27" t="s">
        <v>7</v>
      </c>
      <c r="JC767" s="27" t="s">
        <v>8</v>
      </c>
      <c r="JD767" s="27" t="s">
        <v>7</v>
      </c>
      <c r="JE767" s="27" t="s">
        <v>8</v>
      </c>
      <c r="JF767" s="27" t="s">
        <v>7</v>
      </c>
      <c r="JG767" s="27" t="s">
        <v>8</v>
      </c>
      <c r="JH767" s="27" t="s">
        <v>7</v>
      </c>
      <c r="JI767" s="27" t="s">
        <v>8</v>
      </c>
      <c r="JJ767" s="27" t="s">
        <v>7</v>
      </c>
      <c r="JK767" s="27" t="s">
        <v>8</v>
      </c>
      <c r="JM767" s="27" t="s">
        <v>8</v>
      </c>
      <c r="JN767" s="27" t="s">
        <v>7</v>
      </c>
      <c r="JO767" s="27" t="s">
        <v>8</v>
      </c>
      <c r="JP767" s="27" t="s">
        <v>7</v>
      </c>
      <c r="JQ767" s="27" t="s">
        <v>8</v>
      </c>
      <c r="JR767" s="27" t="s">
        <v>7</v>
      </c>
      <c r="JS767" s="27" t="s">
        <v>8</v>
      </c>
      <c r="JT767" s="27" t="s">
        <v>7</v>
      </c>
      <c r="JU767" s="27" t="s">
        <v>8</v>
      </c>
      <c r="JV767" s="27" t="s">
        <v>7</v>
      </c>
      <c r="JX767" s="27" t="s">
        <v>7</v>
      </c>
      <c r="JY767" s="27" t="s">
        <v>8</v>
      </c>
    </row>
    <row r="768" spans="1:289" x14ac:dyDescent="0.25">
      <c r="A768" s="7">
        <v>2.7756768999967207E-2</v>
      </c>
      <c r="B768"/>
      <c r="C768"/>
      <c r="D768"/>
      <c r="E768"/>
      <c r="F768" s="27" t="s">
        <v>7</v>
      </c>
      <c r="JC768" s="27" t="s">
        <v>8</v>
      </c>
      <c r="JD768" s="27" t="s">
        <v>7</v>
      </c>
      <c r="JE768" s="27" t="s">
        <v>8</v>
      </c>
      <c r="JF768" s="27" t="s">
        <v>7</v>
      </c>
      <c r="JG768" s="27" t="s">
        <v>8</v>
      </c>
      <c r="JH768" s="27" t="s">
        <v>7</v>
      </c>
      <c r="JI768" s="27" t="s">
        <v>8</v>
      </c>
      <c r="JJ768" s="27" t="s">
        <v>7</v>
      </c>
      <c r="JK768" s="27" t="s">
        <v>8</v>
      </c>
      <c r="JL768" s="27" t="s">
        <v>7</v>
      </c>
      <c r="JM768" s="27" t="s">
        <v>8</v>
      </c>
      <c r="JN768" s="27" t="s">
        <v>7</v>
      </c>
      <c r="JO768" s="27" t="s">
        <v>8</v>
      </c>
      <c r="JP768" s="27" t="s">
        <v>7</v>
      </c>
      <c r="JQ768" s="27" t="s">
        <v>8</v>
      </c>
      <c r="JR768" s="27" t="s">
        <v>7</v>
      </c>
      <c r="JS768" s="27" t="s">
        <v>8</v>
      </c>
      <c r="JT768" s="27" t="s">
        <v>7</v>
      </c>
      <c r="JU768" s="27" t="s">
        <v>8</v>
      </c>
      <c r="JX768" s="27" t="s">
        <v>7</v>
      </c>
      <c r="JY768" s="27" t="s">
        <v>8</v>
      </c>
    </row>
    <row r="769" spans="1:284" x14ac:dyDescent="0.25">
      <c r="A769" s="7">
        <v>2.7212518627418834E-2</v>
      </c>
      <c r="B769"/>
      <c r="C769"/>
      <c r="D769"/>
      <c r="E769"/>
      <c r="F769" s="27" t="s">
        <v>7</v>
      </c>
      <c r="JC769" s="27" t="s">
        <v>8</v>
      </c>
      <c r="JD769" s="27" t="s">
        <v>7</v>
      </c>
      <c r="JE769" s="27" t="s">
        <v>8</v>
      </c>
      <c r="JF769" s="27" t="s">
        <v>7</v>
      </c>
      <c r="JG769" s="27" t="s">
        <v>8</v>
      </c>
      <c r="JH769" s="27" t="s">
        <v>7</v>
      </c>
      <c r="JI769" s="27" t="s">
        <v>8</v>
      </c>
      <c r="JJ769" s="27" t="s">
        <v>7</v>
      </c>
      <c r="JK769" s="27" t="s">
        <v>8</v>
      </c>
      <c r="JL769" s="27" t="s">
        <v>7</v>
      </c>
      <c r="JM769" s="27" t="s">
        <v>8</v>
      </c>
      <c r="JN769" s="27" t="s">
        <v>7</v>
      </c>
      <c r="JO769" s="27" t="s">
        <v>8</v>
      </c>
      <c r="JP769" s="27" t="s">
        <v>7</v>
      </c>
      <c r="JQ769" s="27" t="s">
        <v>8</v>
      </c>
      <c r="JR769" s="27" t="s">
        <v>7</v>
      </c>
      <c r="JS769" s="27" t="s">
        <v>8</v>
      </c>
      <c r="JT769" s="27" t="s">
        <v>7</v>
      </c>
      <c r="JX769" s="27" t="s">
        <v>7</v>
      </c>
    </row>
    <row r="770" spans="1:284" x14ac:dyDescent="0.25">
      <c r="A770" s="7">
        <v>2.6678939830802779E-2</v>
      </c>
      <c r="B770"/>
      <c r="C770"/>
      <c r="D770"/>
      <c r="E770"/>
      <c r="F770" s="27" t="s">
        <v>7</v>
      </c>
      <c r="JC770" s="27" t="s">
        <v>8</v>
      </c>
      <c r="JD770" s="27" t="s">
        <v>7</v>
      </c>
      <c r="JE770" s="27" t="s">
        <v>8</v>
      </c>
      <c r="JF770" s="27" t="s">
        <v>7</v>
      </c>
      <c r="JH770" s="27" t="s">
        <v>7</v>
      </c>
      <c r="JI770" s="27" t="s">
        <v>8</v>
      </c>
      <c r="JJ770" s="27" t="s">
        <v>7</v>
      </c>
      <c r="JK770" s="27" t="s">
        <v>8</v>
      </c>
      <c r="JL770" s="27" t="s">
        <v>7</v>
      </c>
      <c r="JM770" s="27" t="s">
        <v>8</v>
      </c>
      <c r="JN770" s="27" t="s">
        <v>7</v>
      </c>
      <c r="JO770" s="27" t="s">
        <v>8</v>
      </c>
      <c r="JP770" s="27" t="s">
        <v>7</v>
      </c>
      <c r="JQ770" s="27" t="s">
        <v>8</v>
      </c>
      <c r="JR770" s="27" t="s">
        <v>7</v>
      </c>
      <c r="JS770" s="27" t="s">
        <v>8</v>
      </c>
    </row>
    <row r="771" spans="1:284" x14ac:dyDescent="0.25">
      <c r="A771" s="7">
        <v>2.615582336353214E-2</v>
      </c>
      <c r="B771"/>
      <c r="C771"/>
      <c r="D771"/>
      <c r="E771"/>
      <c r="F771" s="27" t="s">
        <v>7</v>
      </c>
      <c r="JC771" s="27" t="s">
        <v>8</v>
      </c>
      <c r="JD771" s="27" t="s">
        <v>7</v>
      </c>
      <c r="JE771" s="27" t="s">
        <v>8</v>
      </c>
      <c r="JH771" s="27" t="s">
        <v>7</v>
      </c>
      <c r="JJ771" s="27" t="s">
        <v>7</v>
      </c>
      <c r="JK771" s="27" t="s">
        <v>8</v>
      </c>
      <c r="JL771" s="27" t="s">
        <v>7</v>
      </c>
      <c r="JM771" s="27" t="s">
        <v>8</v>
      </c>
      <c r="JN771" s="27" t="s">
        <v>7</v>
      </c>
      <c r="JO771" s="27" t="s">
        <v>8</v>
      </c>
      <c r="JP771" s="27" t="s">
        <v>7</v>
      </c>
      <c r="JR771" s="27" t="s">
        <v>7</v>
      </c>
      <c r="JS771" s="27" t="s">
        <v>8</v>
      </c>
    </row>
    <row r="772" spans="1:284" x14ac:dyDescent="0.25">
      <c r="A772" s="7">
        <v>2.5642964081894253E-2</v>
      </c>
      <c r="B772"/>
      <c r="C772"/>
      <c r="D772"/>
      <c r="E772"/>
      <c r="F772" s="27" t="s">
        <v>7</v>
      </c>
      <c r="JC772" s="27" t="s">
        <v>8</v>
      </c>
      <c r="JD772" s="27" t="s">
        <v>7</v>
      </c>
      <c r="JE772" s="27" t="s">
        <v>8</v>
      </c>
      <c r="JJ772" s="27" t="s">
        <v>7</v>
      </c>
      <c r="JK772" s="27" t="s">
        <v>8</v>
      </c>
      <c r="JL772" s="27" t="s">
        <v>7</v>
      </c>
      <c r="JM772" s="27" t="s">
        <v>8</v>
      </c>
      <c r="JN772" s="27" t="s">
        <v>7</v>
      </c>
      <c r="JR772" s="27" t="s">
        <v>7</v>
      </c>
      <c r="JS772" s="27" t="s">
        <v>8</v>
      </c>
    </row>
    <row r="773" spans="1:284" x14ac:dyDescent="0.25">
      <c r="A773" s="7">
        <v>2.5140160864602207E-2</v>
      </c>
      <c r="B773"/>
      <c r="C773"/>
      <c r="D773"/>
      <c r="E773"/>
      <c r="F773" s="27" t="s">
        <v>7</v>
      </c>
      <c r="JC773" s="27" t="s">
        <v>8</v>
      </c>
      <c r="JD773" s="27" t="s">
        <v>7</v>
      </c>
      <c r="JJ773" s="27" t="s">
        <v>7</v>
      </c>
      <c r="JK773" s="27" t="s">
        <v>8</v>
      </c>
      <c r="JL773" s="27" t="s">
        <v>7</v>
      </c>
      <c r="JM773" s="27" t="s">
        <v>8</v>
      </c>
      <c r="JR773" s="27" t="s">
        <v>7</v>
      </c>
      <c r="JS773" s="27" t="s">
        <v>8</v>
      </c>
    </row>
    <row r="774" spans="1:284" x14ac:dyDescent="0.25">
      <c r="A774" s="7">
        <v>2.4647216533923735E-2</v>
      </c>
      <c r="B774"/>
      <c r="C774"/>
      <c r="D774"/>
      <c r="E774"/>
      <c r="F774" s="27" t="s">
        <v>7</v>
      </c>
      <c r="JC774" s="27" t="s">
        <v>8</v>
      </c>
      <c r="JJ774" s="27" t="s">
        <v>7</v>
      </c>
      <c r="JL774" s="27" t="s">
        <v>7</v>
      </c>
      <c r="JM774" s="27" t="s">
        <v>8</v>
      </c>
      <c r="JR774" s="27" t="s">
        <v>7</v>
      </c>
      <c r="JS774" s="27" t="s">
        <v>8</v>
      </c>
    </row>
    <row r="775" spans="1:284" x14ac:dyDescent="0.25">
      <c r="A775" s="7">
        <v>2.4163937778356601E-2</v>
      </c>
      <c r="B775"/>
      <c r="C775"/>
      <c r="D775"/>
      <c r="E775"/>
      <c r="F775" s="27" t="s">
        <v>7</v>
      </c>
      <c r="FE775" s="27" t="s">
        <v>8</v>
      </c>
      <c r="JC775" s="27" t="s">
        <v>8</v>
      </c>
      <c r="JL775" s="27" t="s">
        <v>7</v>
      </c>
      <c r="JM775" s="27" t="s">
        <v>8</v>
      </c>
      <c r="JR775" s="27" t="s">
        <v>7</v>
      </c>
      <c r="JS775" s="27" t="s">
        <v>8</v>
      </c>
    </row>
    <row r="776" spans="1:284" x14ac:dyDescent="0.25">
      <c r="A776" s="7">
        <v>2.3690135076820197E-2</v>
      </c>
      <c r="B776"/>
      <c r="C776"/>
      <c r="D776"/>
      <c r="E776"/>
      <c r="F776" s="27" t="s">
        <v>7</v>
      </c>
      <c r="FE776" s="27" t="s">
        <v>8</v>
      </c>
      <c r="FF776" s="27" t="s">
        <v>7</v>
      </c>
      <c r="JC776" s="27" t="s">
        <v>8</v>
      </c>
      <c r="JL776" s="27" t="s">
        <v>7</v>
      </c>
      <c r="JM776" s="27" t="s">
        <v>8</v>
      </c>
      <c r="JR776" s="27" t="s">
        <v>7</v>
      </c>
      <c r="JS776" s="27" t="s">
        <v>8</v>
      </c>
    </row>
    <row r="777" spans="1:284" x14ac:dyDescent="0.25">
      <c r="A777" s="7">
        <v>2.3225622624333527E-2</v>
      </c>
      <c r="B777"/>
      <c r="C777"/>
      <c r="D777"/>
      <c r="E777"/>
      <c r="F777" s="27" t="s">
        <v>7</v>
      </c>
      <c r="FE777" s="27" t="s">
        <v>8</v>
      </c>
      <c r="FF777" s="27" t="s">
        <v>7</v>
      </c>
      <c r="JC777" s="27" t="s">
        <v>8</v>
      </c>
      <c r="JL777" s="27" t="s">
        <v>7</v>
      </c>
      <c r="JM777" s="27" t="s">
        <v>8</v>
      </c>
      <c r="JR777" s="27" t="s">
        <v>7</v>
      </c>
    </row>
    <row r="778" spans="1:284" x14ac:dyDescent="0.25">
      <c r="A778" s="7">
        <v>2.2770218259150519E-2</v>
      </c>
      <c r="B778"/>
      <c r="C778"/>
      <c r="D778"/>
      <c r="E778"/>
      <c r="F778" s="27" t="s">
        <v>7</v>
      </c>
      <c r="G778" s="27" t="s">
        <v>8</v>
      </c>
      <c r="FE778" s="27" t="s">
        <v>8</v>
      </c>
      <c r="FF778" s="27" t="s">
        <v>7</v>
      </c>
      <c r="JC778" s="27" t="s">
        <v>8</v>
      </c>
      <c r="JL778" s="27" t="s">
        <v>7</v>
      </c>
      <c r="JM778" s="27" t="s">
        <v>8</v>
      </c>
    </row>
    <row r="779" spans="1:284" x14ac:dyDescent="0.25">
      <c r="A779" s="7">
        <v>2.2323743391324039E-2</v>
      </c>
      <c r="B779"/>
      <c r="C779"/>
      <c r="D779"/>
      <c r="E779"/>
      <c r="F779" s="27" t="s">
        <v>7</v>
      </c>
      <c r="G779" s="27" t="s">
        <v>8</v>
      </c>
      <c r="H779" s="27" t="s">
        <v>7</v>
      </c>
      <c r="FE779" s="27" t="s">
        <v>8</v>
      </c>
      <c r="FF779" s="27" t="s">
        <v>7</v>
      </c>
      <c r="JC779" s="27" t="s">
        <v>8</v>
      </c>
      <c r="JL779" s="27" t="s">
        <v>7</v>
      </c>
      <c r="JM779" s="27" t="s">
        <v>8</v>
      </c>
    </row>
    <row r="780" spans="1:284" x14ac:dyDescent="0.25">
      <c r="A780" s="7">
        <v>2.188602293267063E-2</v>
      </c>
      <c r="B780"/>
      <c r="C780"/>
      <c r="D780"/>
      <c r="E780"/>
      <c r="F780" s="27" t="s">
        <v>7</v>
      </c>
      <c r="G780" s="27" t="s">
        <v>8</v>
      </c>
      <c r="H780" s="27" t="s">
        <v>7</v>
      </c>
      <c r="FE780" s="27" t="s">
        <v>8</v>
      </c>
      <c r="FF780" s="27" t="s">
        <v>7</v>
      </c>
      <c r="JA780" s="27" t="s">
        <v>8</v>
      </c>
      <c r="JC780" s="27" t="s">
        <v>8</v>
      </c>
      <c r="JL780" s="27" t="s">
        <v>7</v>
      </c>
      <c r="JM780" s="27" t="s">
        <v>8</v>
      </c>
    </row>
    <row r="781" spans="1:284" x14ac:dyDescent="0.25">
      <c r="A781" s="7">
        <v>2.1456885228108461E-2</v>
      </c>
      <c r="B781"/>
      <c r="C781"/>
      <c r="D781"/>
      <c r="E781"/>
      <c r="F781" s="27" t="s">
        <v>7</v>
      </c>
      <c r="G781" s="27" t="s">
        <v>8</v>
      </c>
      <c r="H781" s="27" t="s">
        <v>7</v>
      </c>
      <c r="FE781" s="27" t="s">
        <v>8</v>
      </c>
      <c r="FF781" s="27" t="s">
        <v>7</v>
      </c>
      <c r="JA781" s="27" t="s">
        <v>8</v>
      </c>
      <c r="JB781" s="27" t="s">
        <v>7</v>
      </c>
      <c r="JC781" s="27" t="s">
        <v>8</v>
      </c>
      <c r="JL781" s="27" t="s">
        <v>7</v>
      </c>
      <c r="JM781" s="27" t="s">
        <v>8</v>
      </c>
    </row>
    <row r="782" spans="1:284" x14ac:dyDescent="0.25">
      <c r="A782" s="7">
        <v>2.1036161988341632E-2</v>
      </c>
      <c r="B782"/>
      <c r="C782"/>
      <c r="D782"/>
      <c r="E782"/>
      <c r="F782" s="27" t="s">
        <v>7</v>
      </c>
      <c r="G782" s="27" t="s">
        <v>8</v>
      </c>
      <c r="H782" s="27" t="s">
        <v>7</v>
      </c>
      <c r="FE782" s="27" t="s">
        <v>8</v>
      </c>
      <c r="FF782" s="27" t="s">
        <v>7</v>
      </c>
      <c r="JA782" s="27" t="s">
        <v>8</v>
      </c>
      <c r="JB782" s="27" t="s">
        <v>7</v>
      </c>
      <c r="JC782" s="27" t="s">
        <v>8</v>
      </c>
      <c r="JL782" s="27" t="s">
        <v>7</v>
      </c>
      <c r="JM782" s="27" t="s">
        <v>8</v>
      </c>
    </row>
    <row r="783" spans="1:284" x14ac:dyDescent="0.25">
      <c r="A783" s="7">
        <v>2.0623688223864345E-2</v>
      </c>
      <c r="B783"/>
      <c r="C783"/>
      <c r="D783"/>
      <c r="E783"/>
      <c r="F783" s="27" t="s">
        <v>7</v>
      </c>
      <c r="G783" s="27" t="s">
        <v>8</v>
      </c>
      <c r="H783" s="27" t="s">
        <v>7</v>
      </c>
      <c r="FE783" s="27" t="s">
        <v>8</v>
      </c>
      <c r="FF783" s="27" t="s">
        <v>7</v>
      </c>
      <c r="JA783" s="27" t="s">
        <v>8</v>
      </c>
      <c r="JB783" s="27" t="s">
        <v>7</v>
      </c>
      <c r="JC783" s="27" t="s">
        <v>8</v>
      </c>
      <c r="JL783" s="27" t="s">
        <v>7</v>
      </c>
      <c r="JM783" s="27" t="s">
        <v>8</v>
      </c>
    </row>
    <row r="784" spans="1:284" x14ac:dyDescent="0.25">
      <c r="A784" s="7">
        <v>2.021930218025916E-2</v>
      </c>
      <c r="B784"/>
      <c r="C784"/>
      <c r="D784"/>
      <c r="E784"/>
      <c r="F784" s="27" t="s">
        <v>7</v>
      </c>
      <c r="G784" s="27" t="s">
        <v>8</v>
      </c>
      <c r="H784" s="27" t="s">
        <v>7</v>
      </c>
      <c r="FE784" s="27" t="s">
        <v>8</v>
      </c>
      <c r="FF784" s="27" t="s">
        <v>7</v>
      </c>
      <c r="IQ784" s="27" t="s">
        <v>8</v>
      </c>
      <c r="JA784" s="27" t="s">
        <v>8</v>
      </c>
      <c r="JB784" s="27" t="s">
        <v>7</v>
      </c>
      <c r="JC784" s="27" t="s">
        <v>8</v>
      </c>
      <c r="JL784" s="27" t="s">
        <v>7</v>
      </c>
      <c r="JM784" s="27" t="s">
        <v>8</v>
      </c>
    </row>
    <row r="785" spans="1:272" x14ac:dyDescent="0.25">
      <c r="A785" s="7">
        <v>1.9822845274763884E-2</v>
      </c>
      <c r="B785"/>
      <c r="C785"/>
      <c r="D785"/>
      <c r="E785"/>
      <c r="F785" s="27" t="s">
        <v>7</v>
      </c>
      <c r="G785" s="27" t="s">
        <v>8</v>
      </c>
      <c r="H785" s="27" t="s">
        <v>7</v>
      </c>
      <c r="FE785" s="27" t="s">
        <v>8</v>
      </c>
      <c r="FF785" s="27" t="s">
        <v>7</v>
      </c>
      <c r="IQ785" s="27" t="s">
        <v>8</v>
      </c>
      <c r="IR785" s="27" t="s">
        <v>7</v>
      </c>
      <c r="JA785" s="27" t="s">
        <v>8</v>
      </c>
      <c r="JB785" s="27" t="s">
        <v>7</v>
      </c>
      <c r="JC785" s="27" t="s">
        <v>8</v>
      </c>
      <c r="JL785" s="27" t="s">
        <v>7</v>
      </c>
    </row>
    <row r="786" spans="1:272" x14ac:dyDescent="0.25">
      <c r="A786" s="7">
        <v>1.9434162034082238E-2</v>
      </c>
      <c r="B786"/>
      <c r="C786"/>
      <c r="D786"/>
      <c r="E786"/>
      <c r="F786" s="27" t="s">
        <v>7</v>
      </c>
      <c r="G786" s="27" t="s">
        <v>8</v>
      </c>
      <c r="H786" s="27" t="s">
        <v>7</v>
      </c>
      <c r="FE786" s="27" t="s">
        <v>8</v>
      </c>
      <c r="FF786" s="27" t="s">
        <v>7</v>
      </c>
      <c r="IQ786" s="27" t="s">
        <v>8</v>
      </c>
      <c r="IR786" s="27" t="s">
        <v>7</v>
      </c>
      <c r="IU786" s="27" t="s">
        <v>8</v>
      </c>
      <c r="JA786" s="27" t="s">
        <v>8</v>
      </c>
      <c r="JB786" s="27" t="s">
        <v>7</v>
      </c>
      <c r="JC786" s="27" t="s">
        <v>8</v>
      </c>
    </row>
    <row r="787" spans="1:272" x14ac:dyDescent="0.25">
      <c r="A787" s="7">
        <v>1.9053100033413959E-2</v>
      </c>
      <c r="B787"/>
      <c r="C787"/>
      <c r="D787"/>
      <c r="E787"/>
      <c r="F787" s="27" t="s">
        <v>7</v>
      </c>
      <c r="G787" s="27" t="s">
        <v>8</v>
      </c>
      <c r="H787" s="27" t="s">
        <v>7</v>
      </c>
      <c r="FE787" s="27" t="s">
        <v>8</v>
      </c>
      <c r="FF787" s="27" t="s">
        <v>7</v>
      </c>
      <c r="IQ787" s="27" t="s">
        <v>8</v>
      </c>
      <c r="IR787" s="27" t="s">
        <v>7</v>
      </c>
      <c r="IU787" s="27" t="s">
        <v>8</v>
      </c>
      <c r="IV787" s="27" t="s">
        <v>7</v>
      </c>
      <c r="JA787" s="27" t="s">
        <v>8</v>
      </c>
      <c r="JB787" s="27" t="s">
        <v>7</v>
      </c>
      <c r="JC787" s="27" t="s">
        <v>8</v>
      </c>
    </row>
    <row r="788" spans="1:272" x14ac:dyDescent="0.25">
      <c r="A788" s="7">
        <v>1.867950983668035E-2</v>
      </c>
      <c r="B788"/>
      <c r="C788"/>
      <c r="D788"/>
      <c r="E788"/>
      <c r="F788" s="27" t="s">
        <v>7</v>
      </c>
      <c r="G788" s="27" t="s">
        <v>8</v>
      </c>
      <c r="H788" s="27" t="s">
        <v>7</v>
      </c>
      <c r="FE788" s="27" t="s">
        <v>8</v>
      </c>
      <c r="FF788" s="27" t="s">
        <v>7</v>
      </c>
      <c r="IQ788" s="27" t="s">
        <v>8</v>
      </c>
      <c r="IR788" s="27" t="s">
        <v>7</v>
      </c>
      <c r="IU788" s="27" t="s">
        <v>8</v>
      </c>
      <c r="IV788" s="27" t="s">
        <v>7</v>
      </c>
      <c r="JA788" s="27" t="s">
        <v>8</v>
      </c>
      <c r="JB788" s="27" t="s">
        <v>7</v>
      </c>
      <c r="JC788" s="27" t="s">
        <v>8</v>
      </c>
    </row>
    <row r="789" spans="1:272" x14ac:dyDescent="0.25">
      <c r="A789" s="7">
        <v>1.8313244937921913E-2</v>
      </c>
      <c r="B789"/>
      <c r="C789"/>
      <c r="D789"/>
      <c r="E789"/>
      <c r="F789" s="27" t="s">
        <v>7</v>
      </c>
      <c r="G789" s="27" t="s">
        <v>8</v>
      </c>
      <c r="H789" s="27" t="s">
        <v>7</v>
      </c>
      <c r="I789" s="27" t="s">
        <v>8</v>
      </c>
      <c r="FE789" s="27" t="s">
        <v>8</v>
      </c>
      <c r="FF789" s="27" t="s">
        <v>7</v>
      </c>
      <c r="IQ789" s="27" t="s">
        <v>8</v>
      </c>
      <c r="IR789" s="27" t="s">
        <v>7</v>
      </c>
      <c r="IU789" s="27" t="s">
        <v>8</v>
      </c>
      <c r="IV789" s="27" t="s">
        <v>7</v>
      </c>
      <c r="IW789" s="27" t="s">
        <v>8</v>
      </c>
      <c r="JA789" s="27" t="s">
        <v>8</v>
      </c>
      <c r="JB789" s="27" t="s">
        <v>7</v>
      </c>
      <c r="JC789" s="27" t="s">
        <v>8</v>
      </c>
    </row>
    <row r="790" spans="1:272" x14ac:dyDescent="0.25">
      <c r="A790" s="7">
        <v>1.7954161703845013E-2</v>
      </c>
      <c r="B790"/>
      <c r="C790"/>
      <c r="D790"/>
      <c r="E790"/>
      <c r="F790" s="27" t="s">
        <v>7</v>
      </c>
      <c r="G790" s="27" t="s">
        <v>8</v>
      </c>
      <c r="H790" s="27" t="s">
        <v>7</v>
      </c>
      <c r="I790" s="27" t="s">
        <v>8</v>
      </c>
      <c r="J790" s="27" t="s">
        <v>7</v>
      </c>
      <c r="FE790" s="27" t="s">
        <v>8</v>
      </c>
      <c r="FF790" s="27" t="s">
        <v>7</v>
      </c>
      <c r="IQ790" s="27" t="s">
        <v>8</v>
      </c>
      <c r="IR790" s="27" t="s">
        <v>7</v>
      </c>
      <c r="IU790" s="27" t="s">
        <v>8</v>
      </c>
      <c r="IV790" s="27" t="s">
        <v>7</v>
      </c>
      <c r="IW790" s="27" t="s">
        <v>8</v>
      </c>
      <c r="IX790" s="27" t="s">
        <v>7</v>
      </c>
      <c r="IY790" s="27" t="s">
        <v>8</v>
      </c>
      <c r="JA790" s="27" t="s">
        <v>8</v>
      </c>
      <c r="JB790" s="27" t="s">
        <v>7</v>
      </c>
      <c r="JC790" s="27" t="s">
        <v>8</v>
      </c>
    </row>
    <row r="791" spans="1:272" x14ac:dyDescent="0.25">
      <c r="A791" s="7">
        <v>1.7602119317495109E-2</v>
      </c>
      <c r="B791"/>
      <c r="C791"/>
      <c r="D791"/>
      <c r="E791"/>
      <c r="F791" s="27" t="s">
        <v>7</v>
      </c>
      <c r="G791" s="27" t="s">
        <v>8</v>
      </c>
      <c r="H791" s="27" t="s">
        <v>7</v>
      </c>
      <c r="I791" s="27" t="s">
        <v>8</v>
      </c>
      <c r="J791" s="27" t="s">
        <v>7</v>
      </c>
      <c r="FE791" s="27" t="s">
        <v>8</v>
      </c>
      <c r="FF791" s="27" t="s">
        <v>7</v>
      </c>
      <c r="IQ791" s="27" t="s">
        <v>8</v>
      </c>
      <c r="IR791" s="27" t="s">
        <v>7</v>
      </c>
      <c r="IU791" s="27" t="s">
        <v>8</v>
      </c>
      <c r="IV791" s="27" t="s">
        <v>7</v>
      </c>
      <c r="IW791" s="27" t="s">
        <v>8</v>
      </c>
      <c r="IX791" s="27" t="s">
        <v>7</v>
      </c>
      <c r="IY791" s="27" t="s">
        <v>8</v>
      </c>
      <c r="IZ791" s="27" t="s">
        <v>7</v>
      </c>
      <c r="JA791" s="27" t="s">
        <v>8</v>
      </c>
      <c r="JB791" s="27" t="s">
        <v>7</v>
      </c>
      <c r="JC791" s="27" t="s">
        <v>8</v>
      </c>
    </row>
    <row r="792" spans="1:272" x14ac:dyDescent="0.25">
      <c r="A792" s="7">
        <v>1.7256979723034419E-2</v>
      </c>
      <c r="B792"/>
      <c r="C792"/>
      <c r="D792"/>
      <c r="E792"/>
      <c r="F792" s="27" t="s">
        <v>7</v>
      </c>
      <c r="G792" s="27" t="s">
        <v>8</v>
      </c>
      <c r="H792" s="27" t="s">
        <v>7</v>
      </c>
      <c r="I792" s="27" t="s">
        <v>8</v>
      </c>
      <c r="J792" s="27" t="s">
        <v>7</v>
      </c>
      <c r="FE792" s="27" t="s">
        <v>8</v>
      </c>
      <c r="FF792" s="27" t="s">
        <v>7</v>
      </c>
      <c r="IQ792" s="27" t="s">
        <v>8</v>
      </c>
      <c r="IR792" s="27" t="s">
        <v>7</v>
      </c>
      <c r="IU792" s="27" t="s">
        <v>8</v>
      </c>
      <c r="IV792" s="27" t="s">
        <v>7</v>
      </c>
      <c r="IW792" s="27" t="s">
        <v>8</v>
      </c>
      <c r="IX792" s="27" t="s">
        <v>7</v>
      </c>
      <c r="IY792" s="27" t="s">
        <v>8</v>
      </c>
      <c r="IZ792" s="27" t="s">
        <v>7</v>
      </c>
      <c r="JA792" s="27" t="s">
        <v>8</v>
      </c>
      <c r="JB792" s="27" t="s">
        <v>7</v>
      </c>
    </row>
    <row r="793" spans="1:272" x14ac:dyDescent="0.25">
      <c r="A793" s="7">
        <v>1.6918607571602372E-2</v>
      </c>
      <c r="B793"/>
      <c r="C793"/>
      <c r="D793"/>
      <c r="E793"/>
      <c r="F793" s="27" t="s">
        <v>7</v>
      </c>
      <c r="G793" s="27" t="s">
        <v>8</v>
      </c>
      <c r="H793" s="27" t="s">
        <v>7</v>
      </c>
      <c r="I793" s="27" t="s">
        <v>8</v>
      </c>
      <c r="J793" s="27" t="s">
        <v>7</v>
      </c>
      <c r="FE793" s="27" t="s">
        <v>8</v>
      </c>
      <c r="FF793" s="27" t="s">
        <v>7</v>
      </c>
      <c r="IQ793" s="27" t="s">
        <v>8</v>
      </c>
      <c r="IR793" s="27" t="s">
        <v>7</v>
      </c>
      <c r="IU793" s="27" t="s">
        <v>8</v>
      </c>
      <c r="IV793" s="27" t="s">
        <v>7</v>
      </c>
      <c r="IW793" s="27" t="s">
        <v>8</v>
      </c>
      <c r="IX793" s="27" t="s">
        <v>7</v>
      </c>
      <c r="IY793" s="27" t="s">
        <v>8</v>
      </c>
      <c r="IZ793" s="27" t="s">
        <v>7</v>
      </c>
      <c r="JA793" s="27" t="s">
        <v>8</v>
      </c>
    </row>
    <row r="794" spans="1:272" x14ac:dyDescent="0.25">
      <c r="A794" s="7">
        <v>1.6586870168237622E-2</v>
      </c>
      <c r="B794"/>
      <c r="C794"/>
      <c r="D794"/>
      <c r="E794"/>
      <c r="F794" s="27" t="s">
        <v>7</v>
      </c>
      <c r="G794" s="27" t="s">
        <v>8</v>
      </c>
      <c r="H794" s="27" t="s">
        <v>7</v>
      </c>
      <c r="I794" s="27" t="s">
        <v>8</v>
      </c>
      <c r="J794" s="27" t="s">
        <v>7</v>
      </c>
      <c r="FE794" s="27" t="s">
        <v>8</v>
      </c>
      <c r="FF794" s="27" t="s">
        <v>7</v>
      </c>
      <c r="IQ794" s="27" t="s">
        <v>8</v>
      </c>
      <c r="IR794" s="27" t="s">
        <v>7</v>
      </c>
      <c r="IU794" s="27" t="s">
        <v>8</v>
      </c>
      <c r="IV794" s="27" t="s">
        <v>7</v>
      </c>
      <c r="IW794" s="27" t="s">
        <v>8</v>
      </c>
      <c r="IX794" s="27" t="s">
        <v>7</v>
      </c>
      <c r="IY794" s="27" t="s">
        <v>8</v>
      </c>
      <c r="IZ794" s="27" t="s">
        <v>7</v>
      </c>
      <c r="JA794" s="27" t="s">
        <v>8</v>
      </c>
    </row>
    <row r="795" spans="1:272" x14ac:dyDescent="0.25">
      <c r="A795" s="7">
        <v>1.6261637419840807E-2</v>
      </c>
      <c r="B795"/>
      <c r="C795"/>
      <c r="D795"/>
      <c r="E795"/>
      <c r="F795" s="27" t="s">
        <v>7</v>
      </c>
      <c r="G795" s="27" t="s">
        <v>8</v>
      </c>
      <c r="H795" s="27" t="s">
        <v>7</v>
      </c>
      <c r="I795" s="27" t="s">
        <v>8</v>
      </c>
      <c r="J795" s="27" t="s">
        <v>7</v>
      </c>
      <c r="FE795" s="27" t="s">
        <v>8</v>
      </c>
      <c r="FF795" s="27" t="s">
        <v>7</v>
      </c>
      <c r="IQ795" s="27" t="s">
        <v>8</v>
      </c>
      <c r="IR795" s="27" t="s">
        <v>7</v>
      </c>
      <c r="IU795" s="27" t="s">
        <v>8</v>
      </c>
      <c r="IV795" s="27" t="s">
        <v>7</v>
      </c>
      <c r="IW795" s="27" t="s">
        <v>8</v>
      </c>
      <c r="IX795" s="27" t="s">
        <v>7</v>
      </c>
      <c r="IY795" s="27" t="s">
        <v>8</v>
      </c>
      <c r="IZ795" s="27" t="s">
        <v>7</v>
      </c>
      <c r="JA795" s="27" t="s">
        <v>8</v>
      </c>
    </row>
    <row r="796" spans="1:272" x14ac:dyDescent="0.25">
      <c r="A796" s="7">
        <v>1.5942781784157655E-2</v>
      </c>
      <c r="B796"/>
      <c r="C796"/>
      <c r="D796"/>
      <c r="E796"/>
      <c r="F796" s="27" t="s">
        <v>7</v>
      </c>
      <c r="G796" s="27" t="s">
        <v>8</v>
      </c>
      <c r="H796" s="27" t="s">
        <v>7</v>
      </c>
      <c r="I796" s="27" t="s">
        <v>8</v>
      </c>
      <c r="J796" s="27" t="s">
        <v>7</v>
      </c>
      <c r="FE796" s="27" t="s">
        <v>8</v>
      </c>
      <c r="FF796" s="27" t="s">
        <v>7</v>
      </c>
      <c r="IQ796" s="27" t="s">
        <v>8</v>
      </c>
      <c r="IR796" s="27" t="s">
        <v>7</v>
      </c>
      <c r="IU796" s="27" t="s">
        <v>8</v>
      </c>
      <c r="IV796" s="27" t="s">
        <v>7</v>
      </c>
      <c r="IX796" s="27" t="s">
        <v>7</v>
      </c>
      <c r="IZ796" s="27" t="s">
        <v>7</v>
      </c>
      <c r="JA796" s="27" t="s">
        <v>8</v>
      </c>
    </row>
    <row r="797" spans="1:272" x14ac:dyDescent="0.25">
      <c r="A797" s="7">
        <v>1.5630178219762408E-2</v>
      </c>
      <c r="B797"/>
      <c r="C797"/>
      <c r="D797"/>
      <c r="E797"/>
      <c r="F797" s="27" t="s">
        <v>7</v>
      </c>
      <c r="G797" s="27" t="s">
        <v>8</v>
      </c>
      <c r="H797" s="27" t="s">
        <v>7</v>
      </c>
      <c r="J797" s="27" t="s">
        <v>7</v>
      </c>
      <c r="FE797" s="27" t="s">
        <v>8</v>
      </c>
      <c r="FF797" s="27" t="s">
        <v>7</v>
      </c>
      <c r="IQ797" s="27" t="s">
        <v>8</v>
      </c>
      <c r="IR797" s="27" t="s">
        <v>7</v>
      </c>
      <c r="IU797" s="27" t="s">
        <v>8</v>
      </c>
      <c r="IZ797" s="27" t="s">
        <v>7</v>
      </c>
      <c r="JA797" s="27" t="s">
        <v>8</v>
      </c>
    </row>
    <row r="798" spans="1:272" x14ac:dyDescent="0.25">
      <c r="A798" s="7">
        <v>1.5323704137021967E-2</v>
      </c>
      <c r="B798"/>
      <c r="C798"/>
      <c r="D798"/>
      <c r="E798"/>
      <c r="F798" s="27" t="s">
        <v>7</v>
      </c>
      <c r="J798" s="27" t="s">
        <v>7</v>
      </c>
      <c r="FE798" s="27" t="s">
        <v>8</v>
      </c>
      <c r="FF798" s="27" t="s">
        <v>7</v>
      </c>
      <c r="GS798" s="27" t="s">
        <v>8</v>
      </c>
      <c r="IQ798" s="27" t="s">
        <v>8</v>
      </c>
      <c r="IR798" s="27" t="s">
        <v>7</v>
      </c>
      <c r="IU798" s="27" t="s">
        <v>8</v>
      </c>
      <c r="IZ798" s="27" t="s">
        <v>7</v>
      </c>
      <c r="JA798" s="27" t="s">
        <v>8</v>
      </c>
    </row>
    <row r="799" spans="1:272" x14ac:dyDescent="0.25">
      <c r="A799" s="7">
        <v>1.5023239350021535E-2</v>
      </c>
      <c r="B799"/>
      <c r="C799"/>
      <c r="D799"/>
      <c r="E799"/>
      <c r="J799" s="27" t="s">
        <v>7</v>
      </c>
      <c r="M799" s="27" t="s">
        <v>8</v>
      </c>
      <c r="O799" s="27" t="s">
        <v>8</v>
      </c>
      <c r="FE799" s="27" t="s">
        <v>8</v>
      </c>
      <c r="FF799" s="27" t="s">
        <v>7</v>
      </c>
      <c r="GS799" s="27" t="s">
        <v>8</v>
      </c>
      <c r="GT799" s="27" t="s">
        <v>7</v>
      </c>
      <c r="IQ799" s="27" t="s">
        <v>8</v>
      </c>
      <c r="IR799" s="27" t="s">
        <v>7</v>
      </c>
      <c r="IU799" s="27" t="s">
        <v>8</v>
      </c>
      <c r="IZ799" s="27" t="s">
        <v>7</v>
      </c>
      <c r="JA799" s="27" t="s">
        <v>8</v>
      </c>
    </row>
    <row r="800" spans="1:272" x14ac:dyDescent="0.25">
      <c r="A800" s="7">
        <v>1.4728666029432878E-2</v>
      </c>
      <c r="B800"/>
      <c r="C800"/>
      <c r="D800"/>
      <c r="E800"/>
      <c r="J800" s="27" t="s">
        <v>7</v>
      </c>
      <c r="K800" s="27" t="s">
        <v>8</v>
      </c>
      <c r="M800" s="27" t="s">
        <v>8</v>
      </c>
      <c r="N800" s="27" t="s">
        <v>7</v>
      </c>
      <c r="O800" s="27" t="s">
        <v>8</v>
      </c>
      <c r="P800" s="27" t="s">
        <v>7</v>
      </c>
      <c r="FE800" s="27" t="s">
        <v>8</v>
      </c>
      <c r="FF800" s="27" t="s">
        <v>7</v>
      </c>
      <c r="GS800" s="27" t="s">
        <v>8</v>
      </c>
      <c r="GT800" s="27" t="s">
        <v>7</v>
      </c>
      <c r="IQ800" s="27" t="s">
        <v>8</v>
      </c>
      <c r="IR800" s="27" t="s">
        <v>7</v>
      </c>
      <c r="IU800" s="27" t="s">
        <v>8</v>
      </c>
      <c r="IZ800" s="27" t="s">
        <v>7</v>
      </c>
    </row>
    <row r="801" spans="1:255" x14ac:dyDescent="0.25">
      <c r="A801" s="7">
        <v>1.4439868656306743E-2</v>
      </c>
      <c r="B801"/>
      <c r="C801"/>
      <c r="D801"/>
      <c r="E801"/>
      <c r="J801" s="27" t="s">
        <v>7</v>
      </c>
      <c r="K801" s="27" t="s">
        <v>8</v>
      </c>
      <c r="L801" s="27" t="s">
        <v>7</v>
      </c>
      <c r="M801" s="27" t="s">
        <v>8</v>
      </c>
      <c r="N801" s="27" t="s">
        <v>7</v>
      </c>
      <c r="O801" s="27" t="s">
        <v>8</v>
      </c>
      <c r="P801" s="27" t="s">
        <v>7</v>
      </c>
      <c r="FE801" s="27" t="s">
        <v>8</v>
      </c>
      <c r="FF801" s="27" t="s">
        <v>7</v>
      </c>
      <c r="GS801" s="27" t="s">
        <v>8</v>
      </c>
      <c r="GT801" s="27" t="s">
        <v>7</v>
      </c>
      <c r="IQ801" s="27" t="s">
        <v>8</v>
      </c>
      <c r="IR801" s="27" t="s">
        <v>7</v>
      </c>
      <c r="IU801" s="27" t="s">
        <v>8</v>
      </c>
    </row>
    <row r="802" spans="1:255" x14ac:dyDescent="0.25">
      <c r="A802" s="7">
        <v>1.4156733976771318E-2</v>
      </c>
      <c r="B802"/>
      <c r="C802"/>
      <c r="D802"/>
      <c r="E802"/>
      <c r="J802" s="27" t="s">
        <v>7</v>
      </c>
      <c r="K802" s="27" t="s">
        <v>8</v>
      </c>
      <c r="L802" s="27" t="s">
        <v>7</v>
      </c>
      <c r="M802" s="27" t="s">
        <v>8</v>
      </c>
      <c r="N802" s="27" t="s">
        <v>7</v>
      </c>
      <c r="O802" s="27" t="s">
        <v>8</v>
      </c>
      <c r="P802" s="27" t="s">
        <v>7</v>
      </c>
      <c r="Q802" s="27" t="s">
        <v>8</v>
      </c>
      <c r="FE802" s="27" t="s">
        <v>8</v>
      </c>
      <c r="FF802" s="27" t="s">
        <v>7</v>
      </c>
      <c r="GS802" s="27" t="s">
        <v>8</v>
      </c>
      <c r="GT802" s="27" t="s">
        <v>7</v>
      </c>
      <c r="IQ802" s="27" t="s">
        <v>8</v>
      </c>
      <c r="IR802" s="27" t="s">
        <v>7</v>
      </c>
      <c r="IS802" s="27" t="s">
        <v>8</v>
      </c>
      <c r="IU802" s="27" t="s">
        <v>8</v>
      </c>
    </row>
    <row r="803" spans="1:255" x14ac:dyDescent="0.25">
      <c r="A803" s="7">
        <v>1.3879150957618939E-2</v>
      </c>
      <c r="B803"/>
      <c r="C803"/>
      <c r="D803"/>
      <c r="E803"/>
      <c r="J803" s="27" t="s">
        <v>7</v>
      </c>
      <c r="K803" s="27" t="s">
        <v>8</v>
      </c>
      <c r="L803" s="27" t="s">
        <v>7</v>
      </c>
      <c r="M803" s="27" t="s">
        <v>8</v>
      </c>
      <c r="N803" s="27" t="s">
        <v>7</v>
      </c>
      <c r="O803" s="27" t="s">
        <v>8</v>
      </c>
      <c r="P803" s="27" t="s">
        <v>7</v>
      </c>
      <c r="Q803" s="27" t="s">
        <v>8</v>
      </c>
      <c r="R803" s="27" t="s">
        <v>7</v>
      </c>
      <c r="FE803" s="27" t="s">
        <v>8</v>
      </c>
      <c r="FF803" s="27" t="s">
        <v>7</v>
      </c>
      <c r="GS803" s="27" t="s">
        <v>8</v>
      </c>
      <c r="GT803" s="27" t="s">
        <v>7</v>
      </c>
      <c r="IQ803" s="27" t="s">
        <v>8</v>
      </c>
      <c r="IR803" s="27" t="s">
        <v>7</v>
      </c>
      <c r="IS803" s="27" t="s">
        <v>8</v>
      </c>
      <c r="IT803" s="27" t="s">
        <v>7</v>
      </c>
      <c r="IU803" s="27" t="s">
        <v>8</v>
      </c>
    </row>
    <row r="804" spans="1:255" x14ac:dyDescent="0.25">
      <c r="A804" s="7">
        <v>1.3607010742763666E-2</v>
      </c>
      <c r="B804"/>
      <c r="C804"/>
      <c r="D804"/>
      <c r="E804"/>
      <c r="J804" s="27" t="s">
        <v>7</v>
      </c>
      <c r="K804" s="27" t="s">
        <v>8</v>
      </c>
      <c r="L804" s="27" t="s">
        <v>7</v>
      </c>
      <c r="N804" s="27" t="s">
        <v>7</v>
      </c>
      <c r="O804" s="27" t="s">
        <v>8</v>
      </c>
      <c r="P804" s="27" t="s">
        <v>7</v>
      </c>
      <c r="Q804" s="27" t="s">
        <v>8</v>
      </c>
      <c r="R804" s="27" t="s">
        <v>7</v>
      </c>
      <c r="FE804" s="27" t="s">
        <v>8</v>
      </c>
      <c r="FF804" s="27" t="s">
        <v>7</v>
      </c>
      <c r="GS804" s="27" t="s">
        <v>8</v>
      </c>
      <c r="GT804" s="27" t="s">
        <v>7</v>
      </c>
      <c r="IQ804" s="27" t="s">
        <v>8</v>
      </c>
      <c r="IR804" s="27" t="s">
        <v>7</v>
      </c>
      <c r="IS804" s="27" t="s">
        <v>8</v>
      </c>
      <c r="IT804" s="27" t="s">
        <v>7</v>
      </c>
      <c r="IU804" s="27" t="s">
        <v>8</v>
      </c>
    </row>
    <row r="805" spans="1:255" x14ac:dyDescent="0.25">
      <c r="A805" s="7">
        <v>1.3340206610552614E-2</v>
      </c>
      <c r="B805"/>
      <c r="C805"/>
      <c r="D805"/>
      <c r="E805"/>
      <c r="J805" s="27" t="s">
        <v>7</v>
      </c>
      <c r="N805" s="27" t="s">
        <v>7</v>
      </c>
      <c r="O805" s="27" t="s">
        <v>8</v>
      </c>
      <c r="P805" s="27" t="s">
        <v>7</v>
      </c>
      <c r="Q805" s="27" t="s">
        <v>8</v>
      </c>
      <c r="R805" s="27" t="s">
        <v>7</v>
      </c>
      <c r="FE805" s="27" t="s">
        <v>8</v>
      </c>
      <c r="FF805" s="27" t="s">
        <v>7</v>
      </c>
      <c r="GS805" s="27" t="s">
        <v>8</v>
      </c>
      <c r="GT805" s="27" t="s">
        <v>7</v>
      </c>
      <c r="IO805" s="27" t="s">
        <v>8</v>
      </c>
      <c r="IQ805" s="27" t="s">
        <v>8</v>
      </c>
      <c r="IR805" s="27" t="s">
        <v>7</v>
      </c>
      <c r="IS805" s="27" t="s">
        <v>8</v>
      </c>
      <c r="IT805" s="27" t="s">
        <v>7</v>
      </c>
      <c r="IU805" s="27" t="s">
        <v>8</v>
      </c>
    </row>
    <row r="806" spans="1:255" x14ac:dyDescent="0.25">
      <c r="A806" s="7">
        <v>1.3078633931914328E-2</v>
      </c>
      <c r="B806"/>
      <c r="C806"/>
      <c r="D806"/>
      <c r="E806"/>
      <c r="N806" s="27" t="s">
        <v>7</v>
      </c>
      <c r="O806" s="27" t="s">
        <v>8</v>
      </c>
      <c r="P806" s="27" t="s">
        <v>7</v>
      </c>
      <c r="Q806" s="27" t="s">
        <v>8</v>
      </c>
      <c r="R806" s="27" t="s">
        <v>7</v>
      </c>
      <c r="U806" s="27" t="s">
        <v>8</v>
      </c>
      <c r="FE806" s="27" t="s">
        <v>8</v>
      </c>
      <c r="FF806" s="27" t="s">
        <v>7</v>
      </c>
      <c r="GS806" s="27" t="s">
        <v>8</v>
      </c>
      <c r="GT806" s="27" t="s">
        <v>7</v>
      </c>
      <c r="IO806" s="27" t="s">
        <v>8</v>
      </c>
      <c r="IP806" s="27" t="s">
        <v>7</v>
      </c>
      <c r="IQ806" s="27" t="s">
        <v>8</v>
      </c>
      <c r="IR806" s="27" t="s">
        <v>7</v>
      </c>
      <c r="IT806" s="27" t="s">
        <v>7</v>
      </c>
    </row>
    <row r="807" spans="1:255" x14ac:dyDescent="0.25">
      <c r="A807" s="7">
        <v>1.2822190129327771E-2</v>
      </c>
      <c r="B807"/>
      <c r="C807"/>
      <c r="D807"/>
      <c r="E807"/>
      <c r="N807" s="27" t="s">
        <v>7</v>
      </c>
      <c r="O807" s="27" t="s">
        <v>8</v>
      </c>
      <c r="P807" s="27" t="s">
        <v>7</v>
      </c>
      <c r="R807" s="27" t="s">
        <v>7</v>
      </c>
      <c r="U807" s="27" t="s">
        <v>8</v>
      </c>
      <c r="V807" s="27" t="s">
        <v>7</v>
      </c>
      <c r="FE807" s="27" t="s">
        <v>8</v>
      </c>
      <c r="FF807" s="27" t="s">
        <v>7</v>
      </c>
      <c r="FO807" s="27" t="s">
        <v>8</v>
      </c>
      <c r="GQ807" s="27" t="s">
        <v>8</v>
      </c>
      <c r="GS807" s="27" t="s">
        <v>8</v>
      </c>
      <c r="GT807" s="27" t="s">
        <v>7</v>
      </c>
      <c r="IK807" s="27" t="s">
        <v>8</v>
      </c>
      <c r="IO807" s="27" t="s">
        <v>8</v>
      </c>
      <c r="IP807" s="27" t="s">
        <v>7</v>
      </c>
      <c r="IQ807" s="27" t="s">
        <v>8</v>
      </c>
    </row>
    <row r="808" spans="1:255" x14ac:dyDescent="0.25">
      <c r="A808" s="7">
        <v>1.2570774636595854E-2</v>
      </c>
      <c r="B808"/>
      <c r="C808"/>
      <c r="D808"/>
      <c r="E808"/>
      <c r="N808" s="27" t="s">
        <v>7</v>
      </c>
      <c r="O808" s="27" t="s">
        <v>8</v>
      </c>
      <c r="R808" s="27" t="s">
        <v>7</v>
      </c>
      <c r="S808" s="27" t="s">
        <v>8</v>
      </c>
      <c r="U808" s="27" t="s">
        <v>8</v>
      </c>
      <c r="V808" s="27" t="s">
        <v>7</v>
      </c>
      <c r="FE808" s="27" t="s">
        <v>8</v>
      </c>
      <c r="FF808" s="27" t="s">
        <v>7</v>
      </c>
      <c r="FO808" s="27" t="s">
        <v>8</v>
      </c>
      <c r="FP808" s="27" t="s">
        <v>7</v>
      </c>
      <c r="GQ808" s="27" t="s">
        <v>8</v>
      </c>
      <c r="GR808" s="27" t="s">
        <v>7</v>
      </c>
      <c r="GS808" s="27" t="s">
        <v>8</v>
      </c>
      <c r="GT808" s="27" t="s">
        <v>7</v>
      </c>
      <c r="IK808" s="27" t="s">
        <v>8</v>
      </c>
      <c r="IL808" s="27" t="s">
        <v>7</v>
      </c>
      <c r="IO808" s="27" t="s">
        <v>8</v>
      </c>
      <c r="IP808" s="27" t="s">
        <v>7</v>
      </c>
      <c r="IQ808" s="27" t="s">
        <v>8</v>
      </c>
    </row>
    <row r="809" spans="1:255" x14ac:dyDescent="0.25">
      <c r="A809" s="7">
        <v>1.23242888594077E-2</v>
      </c>
      <c r="B809"/>
      <c r="C809"/>
      <c r="D809"/>
      <c r="E809"/>
      <c r="N809" s="27" t="s">
        <v>7</v>
      </c>
      <c r="R809" s="27" t="s">
        <v>7</v>
      </c>
      <c r="S809" s="27" t="s">
        <v>8</v>
      </c>
      <c r="T809" s="27" t="s">
        <v>7</v>
      </c>
      <c r="U809" s="27" t="s">
        <v>8</v>
      </c>
      <c r="V809" s="27" t="s">
        <v>7</v>
      </c>
      <c r="FE809" s="27" t="s">
        <v>8</v>
      </c>
      <c r="FF809" s="27" t="s">
        <v>7</v>
      </c>
      <c r="FO809" s="27" t="s">
        <v>8</v>
      </c>
      <c r="FP809" s="27" t="s">
        <v>7</v>
      </c>
      <c r="GQ809" s="27" t="s">
        <v>8</v>
      </c>
      <c r="GR809" s="27" t="s">
        <v>7</v>
      </c>
      <c r="GS809" s="27" t="s">
        <v>8</v>
      </c>
      <c r="GT809" s="27" t="s">
        <v>7</v>
      </c>
      <c r="IK809" s="27" t="s">
        <v>8</v>
      </c>
      <c r="IL809" s="27" t="s">
        <v>7</v>
      </c>
      <c r="IO809" s="27" t="s">
        <v>8</v>
      </c>
      <c r="IP809" s="27" t="s">
        <v>7</v>
      </c>
      <c r="IQ809" s="27" t="s">
        <v>8</v>
      </c>
    </row>
    <row r="810" spans="1:255" x14ac:dyDescent="0.25">
      <c r="A810" s="7">
        <v>1.2082636136674216E-2</v>
      </c>
      <c r="B810"/>
      <c r="C810"/>
      <c r="D810"/>
      <c r="E810"/>
      <c r="R810" s="27" t="s">
        <v>7</v>
      </c>
      <c r="S810" s="27" t="s">
        <v>8</v>
      </c>
      <c r="T810" s="27" t="s">
        <v>7</v>
      </c>
      <c r="U810" s="27" t="s">
        <v>8</v>
      </c>
      <c r="V810" s="27" t="s">
        <v>7</v>
      </c>
      <c r="FE810" s="27" t="s">
        <v>8</v>
      </c>
      <c r="FF810" s="27" t="s">
        <v>7</v>
      </c>
      <c r="FO810" s="27" t="s">
        <v>8</v>
      </c>
      <c r="FP810" s="27" t="s">
        <v>7</v>
      </c>
      <c r="GQ810" s="27" t="s">
        <v>8</v>
      </c>
      <c r="GR810" s="27" t="s">
        <v>7</v>
      </c>
      <c r="GS810" s="27" t="s">
        <v>8</v>
      </c>
      <c r="GT810" s="27" t="s">
        <v>7</v>
      </c>
      <c r="IK810" s="27" t="s">
        <v>8</v>
      </c>
      <c r="IL810" s="27" t="s">
        <v>7</v>
      </c>
      <c r="IO810" s="27" t="s">
        <v>8</v>
      </c>
      <c r="IP810" s="27" t="s">
        <v>7</v>
      </c>
      <c r="IQ810" s="27" t="s">
        <v>8</v>
      </c>
    </row>
    <row r="811" spans="1:255" x14ac:dyDescent="0.25">
      <c r="A811" s="7">
        <v>1.184572170262178E-2</v>
      </c>
      <c r="B811"/>
      <c r="C811"/>
      <c r="D811"/>
      <c r="E811"/>
      <c r="R811" s="27" t="s">
        <v>7</v>
      </c>
      <c r="T811" s="27" t="s">
        <v>7</v>
      </c>
      <c r="U811" s="27" t="s">
        <v>8</v>
      </c>
      <c r="V811" s="27" t="s">
        <v>7</v>
      </c>
      <c r="FE811" s="27" t="s">
        <v>8</v>
      </c>
      <c r="FF811" s="27" t="s">
        <v>7</v>
      </c>
      <c r="FO811" s="27" t="s">
        <v>8</v>
      </c>
      <c r="FP811" s="27" t="s">
        <v>7</v>
      </c>
      <c r="GQ811" s="27" t="s">
        <v>8</v>
      </c>
      <c r="GR811" s="27" t="s">
        <v>7</v>
      </c>
      <c r="GS811" s="27" t="s">
        <v>8</v>
      </c>
      <c r="GT811" s="27" t="s">
        <v>7</v>
      </c>
      <c r="HM811" s="27" t="s">
        <v>8</v>
      </c>
      <c r="IK811" s="27" t="s">
        <v>8</v>
      </c>
      <c r="IL811" s="27" t="s">
        <v>7</v>
      </c>
      <c r="IO811" s="27" t="s">
        <v>8</v>
      </c>
      <c r="IP811" s="27" t="s">
        <v>7</v>
      </c>
      <c r="IQ811" s="27" t="s">
        <v>8</v>
      </c>
    </row>
    <row r="812" spans="1:255" x14ac:dyDescent="0.25">
      <c r="A812" s="7">
        <v>1.1613452649629196E-2</v>
      </c>
      <c r="B812"/>
      <c r="C812"/>
      <c r="D812"/>
      <c r="E812"/>
      <c r="T812" s="27" t="s">
        <v>7</v>
      </c>
      <c r="V812" s="27" t="s">
        <v>7</v>
      </c>
      <c r="W812" s="27" t="s">
        <v>8</v>
      </c>
      <c r="FE812" s="27" t="s">
        <v>8</v>
      </c>
      <c r="FF812" s="27" t="s">
        <v>7</v>
      </c>
      <c r="FO812" s="27" t="s">
        <v>8</v>
      </c>
      <c r="FP812" s="27" t="s">
        <v>7</v>
      </c>
      <c r="GQ812" s="27" t="s">
        <v>8</v>
      </c>
      <c r="GR812" s="27" t="s">
        <v>7</v>
      </c>
      <c r="GS812" s="27" t="s">
        <v>8</v>
      </c>
      <c r="GT812" s="27" t="s">
        <v>7</v>
      </c>
      <c r="GU812" s="27" t="s">
        <v>8</v>
      </c>
      <c r="HM812" s="27" t="s">
        <v>8</v>
      </c>
      <c r="HN812" s="27" t="s">
        <v>7</v>
      </c>
      <c r="IK812" s="27" t="s">
        <v>8</v>
      </c>
      <c r="IL812" s="27" t="s">
        <v>7</v>
      </c>
      <c r="IO812" s="27" t="s">
        <v>8</v>
      </c>
      <c r="IP812" s="27" t="s">
        <v>7</v>
      </c>
      <c r="IQ812" s="27" t="s">
        <v>8</v>
      </c>
    </row>
    <row r="813" spans="1:255" x14ac:dyDescent="0.25">
      <c r="A813" s="7">
        <v>1.138573789179333E-2</v>
      </c>
      <c r="B813"/>
      <c r="C813"/>
      <c r="D813"/>
      <c r="E813"/>
      <c r="V813" s="27" t="s">
        <v>7</v>
      </c>
      <c r="W813" s="27" t="s">
        <v>8</v>
      </c>
      <c r="X813" s="27" t="s">
        <v>7</v>
      </c>
      <c r="AA813" s="27" t="s">
        <v>8</v>
      </c>
      <c r="FE813" s="27" t="s">
        <v>8</v>
      </c>
      <c r="FF813" s="27" t="s">
        <v>7</v>
      </c>
      <c r="FO813" s="27" t="s">
        <v>8</v>
      </c>
      <c r="FP813" s="27" t="s">
        <v>7</v>
      </c>
      <c r="GQ813" s="27" t="s">
        <v>8</v>
      </c>
      <c r="GR813" s="27" t="s">
        <v>7</v>
      </c>
      <c r="GS813" s="27" t="s">
        <v>8</v>
      </c>
      <c r="GT813" s="27" t="s">
        <v>7</v>
      </c>
      <c r="GU813" s="27" t="s">
        <v>8</v>
      </c>
      <c r="GV813" s="27" t="s">
        <v>7</v>
      </c>
      <c r="HM813" s="27" t="s">
        <v>8</v>
      </c>
      <c r="HN813" s="27" t="s">
        <v>7</v>
      </c>
      <c r="IK813" s="27" t="s">
        <v>8</v>
      </c>
      <c r="IL813" s="27" t="s">
        <v>7</v>
      </c>
      <c r="IO813" s="27" t="s">
        <v>8</v>
      </c>
      <c r="IP813" s="27" t="s">
        <v>7</v>
      </c>
    </row>
    <row r="814" spans="1:255" x14ac:dyDescent="0.25">
      <c r="A814" s="7">
        <v>1.1162488129209149E-2</v>
      </c>
      <c r="B814"/>
      <c r="C814"/>
      <c r="D814"/>
      <c r="E814"/>
      <c r="V814" s="27" t="s">
        <v>7</v>
      </c>
      <c r="W814" s="27" t="s">
        <v>8</v>
      </c>
      <c r="X814" s="27" t="s">
        <v>7</v>
      </c>
      <c r="AA814" s="27" t="s">
        <v>8</v>
      </c>
      <c r="AB814" s="27" t="s">
        <v>7</v>
      </c>
      <c r="FE814" s="27" t="s">
        <v>8</v>
      </c>
      <c r="FF814" s="27" t="s">
        <v>7</v>
      </c>
      <c r="FO814" s="27" t="s">
        <v>8</v>
      </c>
      <c r="FP814" s="27" t="s">
        <v>7</v>
      </c>
      <c r="GQ814" s="27" t="s">
        <v>8</v>
      </c>
      <c r="GR814" s="27" t="s">
        <v>7</v>
      </c>
      <c r="GS814" s="27" t="s">
        <v>8</v>
      </c>
      <c r="GT814" s="27" t="s">
        <v>7</v>
      </c>
      <c r="GU814" s="27" t="s">
        <v>8</v>
      </c>
      <c r="GV814" s="27" t="s">
        <v>7</v>
      </c>
      <c r="HK814" s="27" t="s">
        <v>8</v>
      </c>
      <c r="HM814" s="27" t="s">
        <v>8</v>
      </c>
      <c r="HN814" s="27" t="s">
        <v>7</v>
      </c>
      <c r="IK814" s="27" t="s">
        <v>8</v>
      </c>
      <c r="IL814" s="27" t="s">
        <v>7</v>
      </c>
      <c r="IO814" s="27" t="s">
        <v>8</v>
      </c>
    </row>
    <row r="815" spans="1:255" x14ac:dyDescent="0.25">
      <c r="A815" s="7">
        <v>1.0943615812950145E-2</v>
      </c>
      <c r="B815"/>
      <c r="C815"/>
      <c r="D815"/>
      <c r="E815"/>
      <c r="V815" s="27" t="s">
        <v>7</v>
      </c>
      <c r="W815" s="27" t="s">
        <v>8</v>
      </c>
      <c r="X815" s="27" t="s">
        <v>7</v>
      </c>
      <c r="AA815" s="27" t="s">
        <v>8</v>
      </c>
      <c r="AB815" s="27" t="s">
        <v>7</v>
      </c>
      <c r="FE815" s="27" t="s">
        <v>8</v>
      </c>
      <c r="FF815" s="27" t="s">
        <v>7</v>
      </c>
      <c r="FG815" s="27" t="s">
        <v>8</v>
      </c>
      <c r="FO815" s="27" t="s">
        <v>8</v>
      </c>
      <c r="FP815" s="27" t="s">
        <v>7</v>
      </c>
      <c r="GQ815" s="27" t="s">
        <v>8</v>
      </c>
      <c r="GR815" s="27" t="s">
        <v>7</v>
      </c>
      <c r="GS815" s="27" t="s">
        <v>8</v>
      </c>
      <c r="GT815" s="27" t="s">
        <v>7</v>
      </c>
      <c r="GU815" s="27" t="s">
        <v>8</v>
      </c>
      <c r="GV815" s="27" t="s">
        <v>7</v>
      </c>
      <c r="HK815" s="27" t="s">
        <v>8</v>
      </c>
      <c r="HL815" s="27" t="s">
        <v>7</v>
      </c>
      <c r="HM815" s="27" t="s">
        <v>8</v>
      </c>
      <c r="HN815" s="27" t="s">
        <v>7</v>
      </c>
      <c r="IK815" s="27" t="s">
        <v>8</v>
      </c>
      <c r="IL815" s="27" t="s">
        <v>7</v>
      </c>
      <c r="IO815" s="27" t="s">
        <v>8</v>
      </c>
    </row>
    <row r="816" spans="1:255" x14ac:dyDescent="0.25">
      <c r="A816" s="7">
        <v>1.0729035110735436E-2</v>
      </c>
      <c r="B816"/>
      <c r="C816"/>
      <c r="D816"/>
      <c r="E816"/>
      <c r="V816" s="27" t="s">
        <v>7</v>
      </c>
      <c r="X816" s="27" t="s">
        <v>7</v>
      </c>
      <c r="Y816" s="27" t="s">
        <v>8</v>
      </c>
      <c r="AA816" s="27" t="s">
        <v>8</v>
      </c>
      <c r="AB816" s="27" t="s">
        <v>7</v>
      </c>
      <c r="FE816" s="27" t="s">
        <v>8</v>
      </c>
      <c r="FF816" s="27" t="s">
        <v>7</v>
      </c>
      <c r="FG816" s="27" t="s">
        <v>8</v>
      </c>
      <c r="FH816" s="27" t="s">
        <v>7</v>
      </c>
      <c r="FO816" s="27" t="s">
        <v>8</v>
      </c>
      <c r="FP816" s="27" t="s">
        <v>7</v>
      </c>
      <c r="GO816" s="27" t="s">
        <v>8</v>
      </c>
      <c r="GQ816" s="27" t="s">
        <v>8</v>
      </c>
      <c r="GR816" s="27" t="s">
        <v>7</v>
      </c>
      <c r="GS816" s="27" t="s">
        <v>8</v>
      </c>
      <c r="GT816" s="27" t="s">
        <v>7</v>
      </c>
      <c r="GU816" s="27" t="s">
        <v>8</v>
      </c>
      <c r="GV816" s="27" t="s">
        <v>7</v>
      </c>
      <c r="HK816" s="27" t="s">
        <v>8</v>
      </c>
      <c r="HL816" s="27" t="s">
        <v>7</v>
      </c>
      <c r="HM816" s="27" t="s">
        <v>8</v>
      </c>
      <c r="HN816" s="27" t="s">
        <v>7</v>
      </c>
      <c r="IK816" s="27" t="s">
        <v>8</v>
      </c>
      <c r="IL816" s="27" t="s">
        <v>7</v>
      </c>
      <c r="IO816" s="27" t="s">
        <v>8</v>
      </c>
    </row>
    <row r="817" spans="1:249" x14ac:dyDescent="0.25">
      <c r="A817" s="7">
        <v>1.0518661873270036E-2</v>
      </c>
      <c r="B817"/>
      <c r="C817"/>
      <c r="D817"/>
      <c r="E817"/>
      <c r="X817" s="27" t="s">
        <v>7</v>
      </c>
      <c r="Y817" s="27" t="s">
        <v>8</v>
      </c>
      <c r="Z817" s="27" t="s">
        <v>7</v>
      </c>
      <c r="AA817" s="27" t="s">
        <v>8</v>
      </c>
      <c r="AB817" s="27" t="s">
        <v>7</v>
      </c>
      <c r="FE817" s="27" t="s">
        <v>8</v>
      </c>
      <c r="FF817" s="27" t="s">
        <v>7</v>
      </c>
      <c r="FG817" s="27" t="s">
        <v>8</v>
      </c>
      <c r="FH817" s="27" t="s">
        <v>7</v>
      </c>
      <c r="FO817" s="27" t="s">
        <v>8</v>
      </c>
      <c r="FP817" s="27" t="s">
        <v>7</v>
      </c>
      <c r="FQ817" s="27" t="s">
        <v>8</v>
      </c>
      <c r="FS817" s="27" t="s">
        <v>8</v>
      </c>
      <c r="GO817" s="27" t="s">
        <v>8</v>
      </c>
      <c r="GP817" s="27" t="s">
        <v>7</v>
      </c>
      <c r="GQ817" s="27" t="s">
        <v>8</v>
      </c>
      <c r="GR817" s="27" t="s">
        <v>7</v>
      </c>
      <c r="GS817" s="27" t="s">
        <v>8</v>
      </c>
      <c r="GT817" s="27" t="s">
        <v>7</v>
      </c>
      <c r="GU817" s="27" t="s">
        <v>8</v>
      </c>
      <c r="GV817" s="27" t="s">
        <v>7</v>
      </c>
      <c r="HK817" s="27" t="s">
        <v>8</v>
      </c>
      <c r="HL817" s="27" t="s">
        <v>7</v>
      </c>
      <c r="HM817" s="27" t="s">
        <v>8</v>
      </c>
      <c r="HN817" s="27" t="s">
        <v>7</v>
      </c>
      <c r="HW817" s="27" t="s">
        <v>8</v>
      </c>
      <c r="IK817" s="27" t="s">
        <v>8</v>
      </c>
      <c r="IL817" s="27" t="s">
        <v>7</v>
      </c>
      <c r="IO817" s="27" t="s">
        <v>8</v>
      </c>
    </row>
    <row r="818" spans="1:249" x14ac:dyDescent="0.25">
      <c r="A818" s="7">
        <v>1.0312413601245135E-2</v>
      </c>
      <c r="B818"/>
      <c r="C818"/>
      <c r="D818"/>
      <c r="E818"/>
      <c r="X818" s="27" t="s">
        <v>7</v>
      </c>
      <c r="Y818" s="27" t="s">
        <v>8</v>
      </c>
      <c r="Z818" s="27" t="s">
        <v>7</v>
      </c>
      <c r="AA818" s="27" t="s">
        <v>8</v>
      </c>
      <c r="AB818" s="27" t="s">
        <v>7</v>
      </c>
      <c r="FE818" s="27" t="s">
        <v>8</v>
      </c>
      <c r="FF818" s="27" t="s">
        <v>7</v>
      </c>
      <c r="FG818" s="27" t="s">
        <v>8</v>
      </c>
      <c r="FH818" s="27" t="s">
        <v>7</v>
      </c>
      <c r="FO818" s="27" t="s">
        <v>8</v>
      </c>
      <c r="FP818" s="27" t="s">
        <v>7</v>
      </c>
      <c r="FQ818" s="27" t="s">
        <v>8</v>
      </c>
      <c r="FR818" s="27" t="s">
        <v>7</v>
      </c>
      <c r="FS818" s="27" t="s">
        <v>8</v>
      </c>
      <c r="FT818" s="27" t="s">
        <v>7</v>
      </c>
      <c r="FU818" s="27" t="s">
        <v>8</v>
      </c>
      <c r="GO818" s="27" t="s">
        <v>8</v>
      </c>
      <c r="GP818" s="27" t="s">
        <v>7</v>
      </c>
      <c r="GQ818" s="27" t="s">
        <v>8</v>
      </c>
      <c r="GR818" s="27" t="s">
        <v>7</v>
      </c>
      <c r="GS818" s="27" t="s">
        <v>8</v>
      </c>
      <c r="GT818" s="27" t="s">
        <v>7</v>
      </c>
      <c r="GV818" s="27" t="s">
        <v>7</v>
      </c>
      <c r="HK818" s="27" t="s">
        <v>8</v>
      </c>
      <c r="HL818" s="27" t="s">
        <v>7</v>
      </c>
      <c r="HM818" s="27" t="s">
        <v>8</v>
      </c>
      <c r="HN818" s="27" t="s">
        <v>7</v>
      </c>
      <c r="HO818" s="27" t="s">
        <v>8</v>
      </c>
      <c r="HW818" s="27" t="s">
        <v>8</v>
      </c>
      <c r="HX818" s="27" t="s">
        <v>7</v>
      </c>
      <c r="HY818" s="27" t="s">
        <v>8</v>
      </c>
      <c r="IK818" s="27" t="s">
        <v>8</v>
      </c>
      <c r="IL818" s="27" t="s">
        <v>7</v>
      </c>
      <c r="IO818" s="27" t="s">
        <v>8</v>
      </c>
    </row>
    <row r="819" spans="1:249" x14ac:dyDescent="0.25">
      <c r="A819" s="7">
        <v>1.0110209412985426E-2</v>
      </c>
      <c r="B819"/>
      <c r="C819"/>
      <c r="D819"/>
      <c r="E819"/>
      <c r="X819" s="27" t="s">
        <v>7</v>
      </c>
      <c r="Y819" s="27" t="s">
        <v>8</v>
      </c>
      <c r="Z819" s="27" t="s">
        <v>7</v>
      </c>
      <c r="AA819" s="27" t="s">
        <v>8</v>
      </c>
      <c r="AB819" s="27" t="s">
        <v>7</v>
      </c>
      <c r="FE819" s="27" t="s">
        <v>8</v>
      </c>
      <c r="FF819" s="27" t="s">
        <v>7</v>
      </c>
      <c r="FG819" s="27" t="s">
        <v>8</v>
      </c>
      <c r="FH819" s="27" t="s">
        <v>7</v>
      </c>
      <c r="FO819" s="27" t="s">
        <v>8</v>
      </c>
      <c r="FP819" s="27" t="s">
        <v>7</v>
      </c>
      <c r="FQ819" s="27" t="s">
        <v>8</v>
      </c>
      <c r="FR819" s="27" t="s">
        <v>7</v>
      </c>
      <c r="FS819" s="27" t="s">
        <v>8</v>
      </c>
      <c r="FT819" s="27" t="s">
        <v>7</v>
      </c>
      <c r="FU819" s="27" t="s">
        <v>8</v>
      </c>
      <c r="FV819" s="27" t="s">
        <v>7</v>
      </c>
      <c r="GO819" s="27" t="s">
        <v>8</v>
      </c>
      <c r="GP819" s="27" t="s">
        <v>7</v>
      </c>
      <c r="GQ819" s="27" t="s">
        <v>8</v>
      </c>
      <c r="GR819" s="27" t="s">
        <v>7</v>
      </c>
      <c r="GV819" s="27" t="s">
        <v>7</v>
      </c>
      <c r="HG819" s="27" t="s">
        <v>8</v>
      </c>
      <c r="HK819" s="27" t="s">
        <v>8</v>
      </c>
      <c r="HL819" s="27" t="s">
        <v>7</v>
      </c>
      <c r="HM819" s="27" t="s">
        <v>8</v>
      </c>
      <c r="HN819" s="27" t="s">
        <v>7</v>
      </c>
      <c r="HO819" s="27" t="s">
        <v>8</v>
      </c>
      <c r="HP819" s="27" t="s">
        <v>7</v>
      </c>
      <c r="HS819" s="27" t="s">
        <v>8</v>
      </c>
      <c r="HW819" s="27" t="s">
        <v>8</v>
      </c>
      <c r="HX819" s="27" t="s">
        <v>7</v>
      </c>
      <c r="HY819" s="27" t="s">
        <v>8</v>
      </c>
      <c r="HZ819" s="27" t="s">
        <v>7</v>
      </c>
      <c r="IA819" s="27" t="s">
        <v>8</v>
      </c>
      <c r="IK819" s="27" t="s">
        <v>8</v>
      </c>
      <c r="IL819" s="27" t="s">
        <v>7</v>
      </c>
      <c r="IM819" s="27" t="s">
        <v>8</v>
      </c>
      <c r="IO819" s="27" t="s">
        <v>8</v>
      </c>
    </row>
    <row r="820" spans="1:249" x14ac:dyDescent="0.25">
      <c r="A820" s="7">
        <v>9.9119700127308103E-3</v>
      </c>
      <c r="B820"/>
      <c r="C820"/>
      <c r="D820"/>
      <c r="E820"/>
      <c r="X820" s="27" t="s">
        <v>7</v>
      </c>
      <c r="Y820" s="27" t="s">
        <v>8</v>
      </c>
      <c r="Z820" s="27" t="s">
        <v>7</v>
      </c>
      <c r="AA820" s="27" t="s">
        <v>8</v>
      </c>
      <c r="AB820" s="27" t="s">
        <v>7</v>
      </c>
      <c r="FE820" s="27" t="s">
        <v>8</v>
      </c>
      <c r="FF820" s="27" t="s">
        <v>7</v>
      </c>
      <c r="FG820" s="27" t="s">
        <v>8</v>
      </c>
      <c r="FH820" s="27" t="s">
        <v>7</v>
      </c>
      <c r="FI820" s="27" t="s">
        <v>8</v>
      </c>
      <c r="FO820" s="27" t="s">
        <v>8</v>
      </c>
      <c r="FP820" s="27" t="s">
        <v>7</v>
      </c>
      <c r="FQ820" s="27" t="s">
        <v>8</v>
      </c>
      <c r="FR820" s="27" t="s">
        <v>7</v>
      </c>
      <c r="FS820" s="27" t="s">
        <v>8</v>
      </c>
      <c r="FT820" s="27" t="s">
        <v>7</v>
      </c>
      <c r="FU820" s="27" t="s">
        <v>8</v>
      </c>
      <c r="FV820" s="27" t="s">
        <v>7</v>
      </c>
      <c r="GA820" s="27" t="s">
        <v>8</v>
      </c>
      <c r="GM820" s="27" t="s">
        <v>8</v>
      </c>
      <c r="GO820" s="27" t="s">
        <v>8</v>
      </c>
      <c r="GP820" s="27" t="s">
        <v>7</v>
      </c>
      <c r="GQ820" s="27" t="s">
        <v>8</v>
      </c>
      <c r="GV820" s="27" t="s">
        <v>7</v>
      </c>
      <c r="HC820" s="27" t="s">
        <v>8</v>
      </c>
      <c r="HE820" s="27" t="s">
        <v>8</v>
      </c>
      <c r="HG820" s="27" t="s">
        <v>8</v>
      </c>
      <c r="HH820" s="27" t="s">
        <v>7</v>
      </c>
      <c r="HK820" s="27" t="s">
        <v>8</v>
      </c>
      <c r="HL820" s="27" t="s">
        <v>7</v>
      </c>
      <c r="HN820" s="27" t="s">
        <v>7</v>
      </c>
      <c r="HO820" s="27" t="s">
        <v>8</v>
      </c>
      <c r="HP820" s="27" t="s">
        <v>7</v>
      </c>
      <c r="HS820" s="27" t="s">
        <v>8</v>
      </c>
      <c r="HT820" s="27" t="s">
        <v>7</v>
      </c>
      <c r="HU820" s="27" t="s">
        <v>8</v>
      </c>
      <c r="HW820" s="27" t="s">
        <v>8</v>
      </c>
      <c r="HX820" s="27" t="s">
        <v>7</v>
      </c>
      <c r="HY820" s="27" t="s">
        <v>8</v>
      </c>
      <c r="HZ820" s="27" t="s">
        <v>7</v>
      </c>
      <c r="IA820" s="27" t="s">
        <v>8</v>
      </c>
      <c r="IB820" s="27" t="s">
        <v>7</v>
      </c>
      <c r="IK820" s="27" t="s">
        <v>8</v>
      </c>
      <c r="IL820" s="27" t="s">
        <v>7</v>
      </c>
      <c r="IM820" s="27" t="s">
        <v>8</v>
      </c>
      <c r="IN820" s="27" t="s">
        <v>7</v>
      </c>
      <c r="IO820" s="27" t="s">
        <v>8</v>
      </c>
    </row>
    <row r="821" spans="1:249" x14ac:dyDescent="0.25">
      <c r="A821" s="7">
        <v>9.717617659540009E-3</v>
      </c>
      <c r="B821"/>
      <c r="C821"/>
      <c r="D821"/>
      <c r="E821"/>
      <c r="X821" s="27" t="s">
        <v>7</v>
      </c>
      <c r="Y821" s="27" t="s">
        <v>8</v>
      </c>
      <c r="Z821" s="27" t="s">
        <v>7</v>
      </c>
      <c r="AA821" s="27" t="s">
        <v>8</v>
      </c>
      <c r="AB821" s="27" t="s">
        <v>7</v>
      </c>
      <c r="AC821" s="27" t="s">
        <v>8</v>
      </c>
      <c r="FE821" s="27" t="s">
        <v>8</v>
      </c>
      <c r="FF821" s="27" t="s">
        <v>7</v>
      </c>
      <c r="FG821" s="27" t="s">
        <v>8</v>
      </c>
      <c r="FH821" s="27" t="s">
        <v>7</v>
      </c>
      <c r="FI821" s="27" t="s">
        <v>8</v>
      </c>
      <c r="FJ821" s="27" t="s">
        <v>7</v>
      </c>
      <c r="FO821" s="27" t="s">
        <v>8</v>
      </c>
      <c r="FP821" s="27" t="s">
        <v>7</v>
      </c>
      <c r="FQ821" s="27" t="s">
        <v>8</v>
      </c>
      <c r="FR821" s="27" t="s">
        <v>7</v>
      </c>
      <c r="FS821" s="27" t="s">
        <v>8</v>
      </c>
      <c r="FT821" s="27" t="s">
        <v>7</v>
      </c>
      <c r="FU821" s="27" t="s">
        <v>8</v>
      </c>
      <c r="FV821" s="27" t="s">
        <v>7</v>
      </c>
      <c r="GA821" s="27" t="s">
        <v>8</v>
      </c>
      <c r="GB821" s="27" t="s">
        <v>7</v>
      </c>
      <c r="GI821" s="27" t="s">
        <v>8</v>
      </c>
      <c r="GM821" s="27" t="s">
        <v>8</v>
      </c>
      <c r="GN821" s="27" t="s">
        <v>7</v>
      </c>
      <c r="GO821" s="27" t="s">
        <v>8</v>
      </c>
      <c r="GP821" s="27" t="s">
        <v>7</v>
      </c>
      <c r="GQ821" s="27" t="s">
        <v>8</v>
      </c>
      <c r="GV821" s="27" t="s">
        <v>7</v>
      </c>
      <c r="HC821" s="27" t="s">
        <v>8</v>
      </c>
      <c r="HD821" s="27" t="s">
        <v>7</v>
      </c>
      <c r="HE821" s="27" t="s">
        <v>8</v>
      </c>
      <c r="HF821" s="27" t="s">
        <v>7</v>
      </c>
      <c r="HG821" s="27" t="s">
        <v>8</v>
      </c>
      <c r="HH821" s="27" t="s">
        <v>7</v>
      </c>
      <c r="HK821" s="27" t="s">
        <v>8</v>
      </c>
      <c r="HN821" s="27" t="s">
        <v>7</v>
      </c>
      <c r="HO821" s="27" t="s">
        <v>8</v>
      </c>
      <c r="HP821" s="27" t="s">
        <v>7</v>
      </c>
      <c r="HQ821" s="27" t="s">
        <v>8</v>
      </c>
      <c r="HS821" s="27" t="s">
        <v>8</v>
      </c>
      <c r="HT821" s="27" t="s">
        <v>7</v>
      </c>
      <c r="HU821" s="27" t="s">
        <v>8</v>
      </c>
      <c r="HV821" s="27" t="s">
        <v>7</v>
      </c>
      <c r="HW821" s="27" t="s">
        <v>8</v>
      </c>
      <c r="HX821" s="27" t="s">
        <v>7</v>
      </c>
      <c r="HZ821" s="27" t="s">
        <v>7</v>
      </c>
      <c r="IA821" s="27" t="s">
        <v>8</v>
      </c>
      <c r="IB821" s="27" t="s">
        <v>7</v>
      </c>
      <c r="IK821" s="27" t="s">
        <v>8</v>
      </c>
      <c r="IL821" s="27" t="s">
        <v>7</v>
      </c>
      <c r="IM821" s="27" t="s">
        <v>8</v>
      </c>
      <c r="IN821" s="27" t="s">
        <v>7</v>
      </c>
      <c r="IO821" s="27" t="s">
        <v>8</v>
      </c>
    </row>
    <row r="822" spans="1:249" x14ac:dyDescent="0.25">
      <c r="A822" s="7">
        <v>9.5270761368039299E-3</v>
      </c>
      <c r="B822"/>
      <c r="C822"/>
      <c r="D822"/>
      <c r="E822"/>
      <c r="X822" s="27" t="s">
        <v>7</v>
      </c>
      <c r="Y822" s="27" t="s">
        <v>8</v>
      </c>
      <c r="Z822" s="27" t="s">
        <v>7</v>
      </c>
      <c r="AA822" s="27" t="s">
        <v>8</v>
      </c>
      <c r="AB822" s="27" t="s">
        <v>7</v>
      </c>
      <c r="AC822" s="27" t="s">
        <v>8</v>
      </c>
      <c r="AD822" s="27" t="s">
        <v>7</v>
      </c>
      <c r="FE822" s="27" t="s">
        <v>8</v>
      </c>
      <c r="FF822" s="27" t="s">
        <v>7</v>
      </c>
      <c r="FG822" s="27" t="s">
        <v>8</v>
      </c>
      <c r="FH822" s="27" t="s">
        <v>7</v>
      </c>
      <c r="FI822" s="27" t="s">
        <v>8</v>
      </c>
      <c r="FJ822" s="27" t="s">
        <v>7</v>
      </c>
      <c r="FO822" s="27" t="s">
        <v>8</v>
      </c>
      <c r="FP822" s="27" t="s">
        <v>7</v>
      </c>
      <c r="FQ822" s="27" t="s">
        <v>8</v>
      </c>
      <c r="FR822" s="27" t="s">
        <v>7</v>
      </c>
      <c r="FS822" s="27" t="s">
        <v>8</v>
      </c>
      <c r="FT822" s="27" t="s">
        <v>7</v>
      </c>
      <c r="FU822" s="27" t="s">
        <v>8</v>
      </c>
      <c r="FV822" s="27" t="s">
        <v>7</v>
      </c>
      <c r="GA822" s="27" t="s">
        <v>8</v>
      </c>
      <c r="GB822" s="27" t="s">
        <v>7</v>
      </c>
      <c r="GG822" s="27" t="s">
        <v>8</v>
      </c>
      <c r="GI822" s="27" t="s">
        <v>8</v>
      </c>
      <c r="GJ822" s="27" t="s">
        <v>7</v>
      </c>
      <c r="GK822" s="27" t="s">
        <v>8</v>
      </c>
      <c r="GM822" s="27" t="s">
        <v>8</v>
      </c>
      <c r="GN822" s="27" t="s">
        <v>7</v>
      </c>
      <c r="GO822" s="27" t="s">
        <v>8</v>
      </c>
      <c r="GP822" s="27" t="s">
        <v>7</v>
      </c>
      <c r="GQ822" s="27" t="s">
        <v>8</v>
      </c>
      <c r="GV822" s="27" t="s">
        <v>7</v>
      </c>
      <c r="GW822" s="27" t="s">
        <v>8</v>
      </c>
      <c r="HA822" s="27" t="s">
        <v>8</v>
      </c>
      <c r="HC822" s="27" t="s">
        <v>8</v>
      </c>
      <c r="HD822" s="27" t="s">
        <v>7</v>
      </c>
      <c r="HE822" s="27" t="s">
        <v>8</v>
      </c>
      <c r="HF822" s="27" t="s">
        <v>7</v>
      </c>
      <c r="HG822" s="27" t="s">
        <v>8</v>
      </c>
      <c r="HH822" s="27" t="s">
        <v>7</v>
      </c>
      <c r="HK822" s="27" t="s">
        <v>8</v>
      </c>
      <c r="HN822" s="27" t="s">
        <v>7</v>
      </c>
      <c r="HO822" s="27" t="s">
        <v>8</v>
      </c>
      <c r="HP822" s="27" t="s">
        <v>7</v>
      </c>
      <c r="HQ822" s="27" t="s">
        <v>8</v>
      </c>
      <c r="HR822" s="27" t="s">
        <v>7</v>
      </c>
      <c r="HS822" s="27" t="s">
        <v>8</v>
      </c>
      <c r="HT822" s="27" t="s">
        <v>7</v>
      </c>
      <c r="HU822" s="27" t="s">
        <v>8</v>
      </c>
      <c r="HV822" s="27" t="s">
        <v>7</v>
      </c>
      <c r="HW822" s="27" t="s">
        <v>8</v>
      </c>
      <c r="HZ822" s="27" t="s">
        <v>7</v>
      </c>
      <c r="IB822" s="27" t="s">
        <v>7</v>
      </c>
      <c r="IE822" s="27" t="s">
        <v>8</v>
      </c>
      <c r="IK822" s="27" t="s">
        <v>8</v>
      </c>
      <c r="IL822" s="27" t="s">
        <v>7</v>
      </c>
      <c r="IM822" s="27" t="s">
        <v>8</v>
      </c>
      <c r="IN822" s="27" t="s">
        <v>7</v>
      </c>
      <c r="IO822" s="27" t="s">
        <v>8</v>
      </c>
    </row>
    <row r="823" spans="1:249" x14ac:dyDescent="0.25">
      <c r="A823" s="7">
        <v>9.3402707223567936E-3</v>
      </c>
      <c r="B823"/>
      <c r="C823"/>
      <c r="D823"/>
      <c r="E823"/>
      <c r="X823" s="27" t="s">
        <v>7</v>
      </c>
      <c r="Y823" s="27" t="s">
        <v>8</v>
      </c>
      <c r="Z823" s="27" t="s">
        <v>7</v>
      </c>
      <c r="AA823" s="27" t="s">
        <v>8</v>
      </c>
      <c r="AB823" s="27" t="s">
        <v>7</v>
      </c>
      <c r="AC823" s="27" t="s">
        <v>8</v>
      </c>
      <c r="AD823" s="27" t="s">
        <v>7</v>
      </c>
      <c r="FC823" s="27" t="s">
        <v>8</v>
      </c>
      <c r="FE823" s="27" t="s">
        <v>8</v>
      </c>
      <c r="FF823" s="27" t="s">
        <v>7</v>
      </c>
      <c r="FG823" s="27" t="s">
        <v>8</v>
      </c>
      <c r="FH823" s="27" t="s">
        <v>7</v>
      </c>
      <c r="FI823" s="27" t="s">
        <v>8</v>
      </c>
      <c r="FJ823" s="27" t="s">
        <v>7</v>
      </c>
      <c r="FO823" s="27" t="s">
        <v>8</v>
      </c>
      <c r="FP823" s="27" t="s">
        <v>7</v>
      </c>
      <c r="FQ823" s="27" t="s">
        <v>8</v>
      </c>
      <c r="FR823" s="27" t="s">
        <v>7</v>
      </c>
      <c r="FS823" s="27" t="s">
        <v>8</v>
      </c>
      <c r="FT823" s="27" t="s">
        <v>7</v>
      </c>
      <c r="FU823" s="27" t="s">
        <v>8</v>
      </c>
      <c r="FV823" s="27" t="s">
        <v>7</v>
      </c>
      <c r="GA823" s="27" t="s">
        <v>8</v>
      </c>
      <c r="GB823" s="27" t="s">
        <v>7</v>
      </c>
      <c r="GG823" s="27" t="s">
        <v>8</v>
      </c>
      <c r="GH823" s="27" t="s">
        <v>7</v>
      </c>
      <c r="GI823" s="27" t="s">
        <v>8</v>
      </c>
      <c r="GJ823" s="27" t="s">
        <v>7</v>
      </c>
      <c r="GK823" s="27" t="s">
        <v>8</v>
      </c>
      <c r="GL823" s="27" t="s">
        <v>7</v>
      </c>
      <c r="GM823" s="27" t="s">
        <v>8</v>
      </c>
      <c r="GN823" s="27" t="s">
        <v>7</v>
      </c>
      <c r="GO823" s="27" t="s">
        <v>8</v>
      </c>
      <c r="GP823" s="27" t="s">
        <v>7</v>
      </c>
      <c r="GV823" s="27" t="s">
        <v>7</v>
      </c>
      <c r="GW823" s="27" t="s">
        <v>8</v>
      </c>
      <c r="GX823" s="27" t="s">
        <v>7</v>
      </c>
      <c r="HA823" s="27" t="s">
        <v>8</v>
      </c>
      <c r="HB823" s="27" t="s">
        <v>7</v>
      </c>
      <c r="HC823" s="27" t="s">
        <v>8</v>
      </c>
      <c r="HD823" s="27" t="s">
        <v>7</v>
      </c>
      <c r="HE823" s="27" t="s">
        <v>8</v>
      </c>
      <c r="HF823" s="27" t="s">
        <v>7</v>
      </c>
      <c r="HG823" s="27" t="s">
        <v>8</v>
      </c>
      <c r="HH823" s="27" t="s">
        <v>7</v>
      </c>
      <c r="HK823" s="27" t="s">
        <v>8</v>
      </c>
      <c r="HN823" s="27" t="s">
        <v>7</v>
      </c>
      <c r="HO823" s="27" t="s">
        <v>8</v>
      </c>
      <c r="HP823" s="27" t="s">
        <v>7</v>
      </c>
      <c r="HQ823" s="27" t="s">
        <v>8</v>
      </c>
      <c r="HR823" s="27" t="s">
        <v>7</v>
      </c>
      <c r="HS823" s="27" t="s">
        <v>8</v>
      </c>
      <c r="HT823" s="27" t="s">
        <v>7</v>
      </c>
      <c r="HV823" s="27" t="s">
        <v>7</v>
      </c>
      <c r="IB823" s="27" t="s">
        <v>7</v>
      </c>
      <c r="IC823" s="27" t="s">
        <v>8</v>
      </c>
      <c r="IE823" s="27" t="s">
        <v>8</v>
      </c>
      <c r="IF823" s="27" t="s">
        <v>7</v>
      </c>
      <c r="II823" s="27" t="s">
        <v>8</v>
      </c>
      <c r="IK823" s="27" t="s">
        <v>8</v>
      </c>
      <c r="IL823" s="27" t="s">
        <v>7</v>
      </c>
      <c r="IM823" s="27" t="s">
        <v>8</v>
      </c>
      <c r="IN823" s="27" t="s">
        <v>7</v>
      </c>
    </row>
    <row r="824" spans="1:249" x14ac:dyDescent="0.25">
      <c r="A824" s="7">
        <v>9.1571281591733261E-3</v>
      </c>
      <c r="B824"/>
      <c r="C824"/>
      <c r="D824"/>
      <c r="E824"/>
      <c r="X824" s="27" t="s">
        <v>7</v>
      </c>
      <c r="Y824" s="27" t="s">
        <v>8</v>
      </c>
      <c r="Z824" s="27" t="s">
        <v>7</v>
      </c>
      <c r="AA824" s="27" t="s">
        <v>8</v>
      </c>
      <c r="AB824" s="27" t="s">
        <v>7</v>
      </c>
      <c r="AC824" s="27" t="s">
        <v>8</v>
      </c>
      <c r="AD824" s="27" t="s">
        <v>7</v>
      </c>
      <c r="FC824" s="27" t="s">
        <v>8</v>
      </c>
      <c r="FD824" s="27" t="s">
        <v>7</v>
      </c>
      <c r="FE824" s="27" t="s">
        <v>8</v>
      </c>
      <c r="FF824" s="27" t="s">
        <v>7</v>
      </c>
      <c r="FG824" s="27" t="s">
        <v>8</v>
      </c>
      <c r="FH824" s="27" t="s">
        <v>7</v>
      </c>
      <c r="FI824" s="27" t="s">
        <v>8</v>
      </c>
      <c r="FJ824" s="27" t="s">
        <v>7</v>
      </c>
      <c r="FO824" s="27" t="s">
        <v>8</v>
      </c>
      <c r="FP824" s="27" t="s">
        <v>7</v>
      </c>
      <c r="FQ824" s="27" t="s">
        <v>8</v>
      </c>
      <c r="FR824" s="27" t="s">
        <v>7</v>
      </c>
      <c r="FS824" s="27" t="s">
        <v>8</v>
      </c>
      <c r="FT824" s="27" t="s">
        <v>7</v>
      </c>
      <c r="FV824" s="27" t="s">
        <v>7</v>
      </c>
      <c r="FY824" s="27" t="s">
        <v>8</v>
      </c>
      <c r="GA824" s="27" t="s">
        <v>8</v>
      </c>
      <c r="GB824" s="27" t="s">
        <v>7</v>
      </c>
      <c r="GG824" s="27" t="s">
        <v>8</v>
      </c>
      <c r="GH824" s="27" t="s">
        <v>7</v>
      </c>
      <c r="GI824" s="27" t="s">
        <v>8</v>
      </c>
      <c r="GJ824" s="27" t="s">
        <v>7</v>
      </c>
      <c r="GK824" s="27" t="s">
        <v>8</v>
      </c>
      <c r="GL824" s="27" t="s">
        <v>7</v>
      </c>
      <c r="GM824" s="27" t="s">
        <v>8</v>
      </c>
      <c r="GN824" s="27" t="s">
        <v>7</v>
      </c>
      <c r="GV824" s="27" t="s">
        <v>7</v>
      </c>
      <c r="GW824" s="27" t="s">
        <v>8</v>
      </c>
      <c r="GX824" s="27" t="s">
        <v>7</v>
      </c>
      <c r="HA824" s="27" t="s">
        <v>8</v>
      </c>
      <c r="HB824" s="27" t="s">
        <v>7</v>
      </c>
      <c r="HC824" s="27" t="s">
        <v>8</v>
      </c>
      <c r="HD824" s="27" t="s">
        <v>7</v>
      </c>
      <c r="HE824" s="27" t="s">
        <v>8</v>
      </c>
      <c r="HF824" s="27" t="s">
        <v>7</v>
      </c>
      <c r="HG824" s="27" t="s">
        <v>8</v>
      </c>
      <c r="HH824" s="27" t="s">
        <v>7</v>
      </c>
      <c r="HI824" s="27" t="s">
        <v>8</v>
      </c>
      <c r="HK824" s="27" t="s">
        <v>8</v>
      </c>
      <c r="HN824" s="27" t="s">
        <v>7</v>
      </c>
      <c r="HO824" s="27" t="s">
        <v>8</v>
      </c>
      <c r="HP824" s="27" t="s">
        <v>7</v>
      </c>
      <c r="HR824" s="27" t="s">
        <v>7</v>
      </c>
      <c r="IB824" s="27" t="s">
        <v>7</v>
      </c>
      <c r="IC824" s="27" t="s">
        <v>8</v>
      </c>
      <c r="ID824" s="27" t="s">
        <v>7</v>
      </c>
      <c r="IE824" s="27" t="s">
        <v>8</v>
      </c>
      <c r="IF824" s="27" t="s">
        <v>7</v>
      </c>
      <c r="IG824" s="27" t="s">
        <v>8</v>
      </c>
      <c r="II824" s="27" t="s">
        <v>8</v>
      </c>
      <c r="IJ824" s="27" t="s">
        <v>7</v>
      </c>
      <c r="IK824" s="27" t="s">
        <v>8</v>
      </c>
      <c r="IL824" s="27" t="s">
        <v>7</v>
      </c>
      <c r="IM824" s="27" t="s">
        <v>8</v>
      </c>
    </row>
    <row r="825" spans="1:249" x14ac:dyDescent="0.25">
      <c r="A825" s="7">
        <v>8.9775766266405148E-3</v>
      </c>
      <c r="B825"/>
      <c r="C825"/>
      <c r="D825"/>
      <c r="E825"/>
      <c r="X825" s="27" t="s">
        <v>7</v>
      </c>
      <c r="Y825" s="27" t="s">
        <v>8</v>
      </c>
      <c r="Z825" s="27" t="s">
        <v>7</v>
      </c>
      <c r="AA825" s="27" t="s">
        <v>8</v>
      </c>
      <c r="AB825" s="27" t="s">
        <v>7</v>
      </c>
      <c r="AC825" s="27" t="s">
        <v>8</v>
      </c>
      <c r="AD825" s="27" t="s">
        <v>7</v>
      </c>
      <c r="AE825" s="27" t="s">
        <v>8</v>
      </c>
      <c r="FC825" s="27" t="s">
        <v>8</v>
      </c>
      <c r="FD825" s="27" t="s">
        <v>7</v>
      </c>
      <c r="FE825" s="27" t="s">
        <v>8</v>
      </c>
      <c r="FF825" s="27" t="s">
        <v>7</v>
      </c>
      <c r="FG825" s="27" t="s">
        <v>8</v>
      </c>
      <c r="FH825" s="27" t="s">
        <v>7</v>
      </c>
      <c r="FI825" s="27" t="s">
        <v>8</v>
      </c>
      <c r="FJ825" s="27" t="s">
        <v>7</v>
      </c>
      <c r="FK825" s="27" t="s">
        <v>8</v>
      </c>
      <c r="FO825" s="27" t="s">
        <v>8</v>
      </c>
      <c r="FP825" s="27" t="s">
        <v>7</v>
      </c>
      <c r="FQ825" s="27" t="s">
        <v>8</v>
      </c>
      <c r="FR825" s="27" t="s">
        <v>7</v>
      </c>
      <c r="FS825" s="27" t="s">
        <v>8</v>
      </c>
      <c r="FV825" s="27" t="s">
        <v>7</v>
      </c>
      <c r="FY825" s="27" t="s">
        <v>8</v>
      </c>
      <c r="FZ825" s="27" t="s">
        <v>7</v>
      </c>
      <c r="GA825" s="27" t="s">
        <v>8</v>
      </c>
      <c r="GB825" s="27" t="s">
        <v>7</v>
      </c>
      <c r="GG825" s="27" t="s">
        <v>8</v>
      </c>
      <c r="GH825" s="27" t="s">
        <v>7</v>
      </c>
      <c r="GI825" s="27" t="s">
        <v>8</v>
      </c>
      <c r="GJ825" s="27" t="s">
        <v>7</v>
      </c>
      <c r="GK825" s="27" t="s">
        <v>8</v>
      </c>
      <c r="GL825" s="27" t="s">
        <v>7</v>
      </c>
      <c r="GM825" s="27" t="s">
        <v>8</v>
      </c>
      <c r="GV825" s="27" t="s">
        <v>7</v>
      </c>
      <c r="GW825" s="27" t="s">
        <v>8</v>
      </c>
      <c r="GX825" s="27" t="s">
        <v>7</v>
      </c>
      <c r="HA825" s="27" t="s">
        <v>8</v>
      </c>
      <c r="HB825" s="27" t="s">
        <v>7</v>
      </c>
      <c r="HC825" s="27" t="s">
        <v>8</v>
      </c>
      <c r="HD825" s="27" t="s">
        <v>7</v>
      </c>
      <c r="HE825" s="27" t="s">
        <v>8</v>
      </c>
      <c r="HF825" s="27" t="s">
        <v>7</v>
      </c>
      <c r="HG825" s="27" t="s">
        <v>8</v>
      </c>
      <c r="HH825" s="27" t="s">
        <v>7</v>
      </c>
      <c r="HI825" s="27" t="s">
        <v>8</v>
      </c>
      <c r="HJ825" s="27" t="s">
        <v>7</v>
      </c>
      <c r="HK825" s="27" t="s">
        <v>8</v>
      </c>
      <c r="HN825" s="27" t="s">
        <v>7</v>
      </c>
      <c r="IB825" s="27" t="s">
        <v>7</v>
      </c>
      <c r="IC825" s="27" t="s">
        <v>8</v>
      </c>
      <c r="ID825" s="27" t="s">
        <v>7</v>
      </c>
      <c r="IE825" s="27" t="s">
        <v>8</v>
      </c>
      <c r="IF825" s="27" t="s">
        <v>7</v>
      </c>
      <c r="IG825" s="27" t="s">
        <v>8</v>
      </c>
      <c r="IH825" s="27" t="s">
        <v>7</v>
      </c>
      <c r="II825" s="27" t="s">
        <v>8</v>
      </c>
      <c r="IJ825" s="27" t="s">
        <v>7</v>
      </c>
      <c r="IK825" s="27" t="s">
        <v>8</v>
      </c>
      <c r="IL825" s="27" t="s">
        <v>7</v>
      </c>
    </row>
    <row r="826" spans="1:249" x14ac:dyDescent="0.25">
      <c r="A826" s="7">
        <v>8.8015457123926614E-3</v>
      </c>
      <c r="B826"/>
      <c r="C826"/>
      <c r="D826"/>
      <c r="E826"/>
      <c r="X826" s="27" t="s">
        <v>7</v>
      </c>
      <c r="Y826" s="27" t="s">
        <v>8</v>
      </c>
      <c r="Z826" s="27" t="s">
        <v>7</v>
      </c>
      <c r="AA826" s="27" t="s">
        <v>8</v>
      </c>
      <c r="AB826" s="27" t="s">
        <v>7</v>
      </c>
      <c r="AD826" s="27" t="s">
        <v>7</v>
      </c>
      <c r="AE826" s="27" t="s">
        <v>8</v>
      </c>
      <c r="AF826" s="27" t="s">
        <v>7</v>
      </c>
      <c r="FC826" s="27" t="s">
        <v>8</v>
      </c>
      <c r="FD826" s="27" t="s">
        <v>7</v>
      </c>
      <c r="FE826" s="27" t="s">
        <v>8</v>
      </c>
      <c r="FF826" s="27" t="s">
        <v>7</v>
      </c>
      <c r="FG826" s="27" t="s">
        <v>8</v>
      </c>
      <c r="FH826" s="27" t="s">
        <v>7</v>
      </c>
      <c r="FI826" s="27" t="s">
        <v>8</v>
      </c>
      <c r="FJ826" s="27" t="s">
        <v>7</v>
      </c>
      <c r="FK826" s="27" t="s">
        <v>8</v>
      </c>
      <c r="FL826" s="27" t="s">
        <v>7</v>
      </c>
      <c r="FO826" s="27" t="s">
        <v>8</v>
      </c>
      <c r="FP826" s="27" t="s">
        <v>7</v>
      </c>
      <c r="FQ826" s="27" t="s">
        <v>8</v>
      </c>
      <c r="FR826" s="27" t="s">
        <v>7</v>
      </c>
      <c r="FS826" s="27" t="s">
        <v>8</v>
      </c>
      <c r="FV826" s="27" t="s">
        <v>7</v>
      </c>
      <c r="FW826" s="27" t="s">
        <v>8</v>
      </c>
      <c r="FY826" s="27" t="s">
        <v>8</v>
      </c>
      <c r="FZ826" s="27" t="s">
        <v>7</v>
      </c>
      <c r="GA826" s="27" t="s">
        <v>8</v>
      </c>
      <c r="GB826" s="27" t="s">
        <v>7</v>
      </c>
      <c r="GC826" s="27" t="s">
        <v>8</v>
      </c>
      <c r="GG826" s="27" t="s">
        <v>8</v>
      </c>
      <c r="GH826" s="27" t="s">
        <v>7</v>
      </c>
      <c r="GI826" s="27" t="s">
        <v>8</v>
      </c>
      <c r="GJ826" s="27" t="s">
        <v>7</v>
      </c>
      <c r="GK826" s="27" t="s">
        <v>8</v>
      </c>
      <c r="GL826" s="27" t="s">
        <v>7</v>
      </c>
      <c r="GM826" s="27" t="s">
        <v>8</v>
      </c>
      <c r="GV826" s="27" t="s">
        <v>7</v>
      </c>
      <c r="GW826" s="27" t="s">
        <v>8</v>
      </c>
      <c r="GX826" s="27" t="s">
        <v>7</v>
      </c>
      <c r="HA826" s="27" t="s">
        <v>8</v>
      </c>
      <c r="HB826" s="27" t="s">
        <v>7</v>
      </c>
      <c r="HD826" s="27" t="s">
        <v>7</v>
      </c>
      <c r="HF826" s="27" t="s">
        <v>7</v>
      </c>
      <c r="HH826" s="27" t="s">
        <v>7</v>
      </c>
      <c r="HI826" s="27" t="s">
        <v>8</v>
      </c>
      <c r="HJ826" s="27" t="s">
        <v>7</v>
      </c>
      <c r="HK826" s="27" t="s">
        <v>8</v>
      </c>
      <c r="IB826" s="27" t="s">
        <v>7</v>
      </c>
      <c r="ID826" s="27" t="s">
        <v>7</v>
      </c>
      <c r="IE826" s="27" t="s">
        <v>8</v>
      </c>
      <c r="IF826" s="27" t="s">
        <v>7</v>
      </c>
      <c r="IG826" s="27" t="s">
        <v>8</v>
      </c>
      <c r="IH826" s="27" t="s">
        <v>7</v>
      </c>
      <c r="II826" s="27" t="s">
        <v>8</v>
      </c>
      <c r="IJ826" s="27" t="s">
        <v>7</v>
      </c>
      <c r="IK826" s="27" t="s">
        <v>8</v>
      </c>
    </row>
    <row r="827" spans="1:249" x14ac:dyDescent="0.25">
      <c r="A827" s="7">
        <v>8.6289663846986879E-3</v>
      </c>
      <c r="B827"/>
      <c r="C827"/>
      <c r="D827"/>
      <c r="E827"/>
      <c r="X827" s="27" t="s">
        <v>7</v>
      </c>
      <c r="Y827" s="27" t="s">
        <v>8</v>
      </c>
      <c r="Z827" s="27" t="s">
        <v>7</v>
      </c>
      <c r="AD827" s="27" t="s">
        <v>7</v>
      </c>
      <c r="AE827" s="27" t="s">
        <v>8</v>
      </c>
      <c r="AF827" s="27" t="s">
        <v>7</v>
      </c>
      <c r="FC827" s="27" t="s">
        <v>8</v>
      </c>
      <c r="FD827" s="27" t="s">
        <v>7</v>
      </c>
      <c r="FE827" s="27" t="s">
        <v>8</v>
      </c>
      <c r="FF827" s="27" t="s">
        <v>7</v>
      </c>
      <c r="FG827" s="27" t="s">
        <v>8</v>
      </c>
      <c r="FH827" s="27" t="s">
        <v>7</v>
      </c>
      <c r="FI827" s="27" t="s">
        <v>8</v>
      </c>
      <c r="FJ827" s="27" t="s">
        <v>7</v>
      </c>
      <c r="FK827" s="27" t="s">
        <v>8</v>
      </c>
      <c r="FL827" s="27" t="s">
        <v>7</v>
      </c>
      <c r="FO827" s="27" t="s">
        <v>8</v>
      </c>
      <c r="FP827" s="27" t="s">
        <v>7</v>
      </c>
      <c r="FR827" s="27" t="s">
        <v>7</v>
      </c>
      <c r="FV827" s="27" t="s">
        <v>7</v>
      </c>
      <c r="FW827" s="27" t="s">
        <v>8</v>
      </c>
      <c r="FX827" s="27" t="s">
        <v>7</v>
      </c>
      <c r="FY827" s="27" t="s">
        <v>8</v>
      </c>
      <c r="FZ827" s="27" t="s">
        <v>7</v>
      </c>
      <c r="GA827" s="27" t="s">
        <v>8</v>
      </c>
      <c r="GB827" s="27" t="s">
        <v>7</v>
      </c>
      <c r="GC827" s="27" t="s">
        <v>8</v>
      </c>
      <c r="GD827" s="27" t="s">
        <v>7</v>
      </c>
      <c r="GE827" s="27" t="s">
        <v>8</v>
      </c>
      <c r="GG827" s="27" t="s">
        <v>8</v>
      </c>
      <c r="GH827" s="27" t="s">
        <v>7</v>
      </c>
      <c r="GI827" s="27" t="s">
        <v>8</v>
      </c>
      <c r="GJ827" s="27" t="s">
        <v>7</v>
      </c>
      <c r="GK827" s="27" t="s">
        <v>8</v>
      </c>
      <c r="GL827" s="27" t="s">
        <v>7</v>
      </c>
      <c r="GV827" s="27" t="s">
        <v>7</v>
      </c>
      <c r="GW827" s="27" t="s">
        <v>8</v>
      </c>
      <c r="GX827" s="27" t="s">
        <v>7</v>
      </c>
      <c r="GY827" s="27" t="s">
        <v>8</v>
      </c>
      <c r="HA827" s="27" t="s">
        <v>8</v>
      </c>
      <c r="HH827" s="27" t="s">
        <v>7</v>
      </c>
      <c r="HI827" s="27" t="s">
        <v>8</v>
      </c>
      <c r="HJ827" s="27" t="s">
        <v>7</v>
      </c>
      <c r="ID827" s="27" t="s">
        <v>7</v>
      </c>
      <c r="IE827" s="27" t="s">
        <v>8</v>
      </c>
      <c r="IF827" s="27" t="s">
        <v>7</v>
      </c>
      <c r="IG827" s="27" t="s">
        <v>8</v>
      </c>
      <c r="IH827" s="27" t="s">
        <v>7</v>
      </c>
      <c r="II827" s="27" t="s">
        <v>8</v>
      </c>
      <c r="IJ827" s="27" t="s">
        <v>7</v>
      </c>
    </row>
    <row r="828" spans="1:249" x14ac:dyDescent="0.25">
      <c r="A828" s="7">
        <v>8.4597709653908715E-3</v>
      </c>
      <c r="B828"/>
      <c r="C828"/>
      <c r="D828"/>
      <c r="E828"/>
      <c r="X828" s="27" t="s">
        <v>7</v>
      </c>
      <c r="AD828" s="27" t="s">
        <v>7</v>
      </c>
      <c r="AE828" s="27" t="s">
        <v>8</v>
      </c>
      <c r="AF828" s="27" t="s">
        <v>7</v>
      </c>
      <c r="FC828" s="27" t="s">
        <v>8</v>
      </c>
      <c r="FD828" s="27" t="s">
        <v>7</v>
      </c>
      <c r="FE828" s="27" t="s">
        <v>8</v>
      </c>
      <c r="FF828" s="27" t="s">
        <v>7</v>
      </c>
      <c r="FG828" s="27" t="s">
        <v>8</v>
      </c>
      <c r="FH828" s="27" t="s">
        <v>7</v>
      </c>
      <c r="FI828" s="27" t="s">
        <v>8</v>
      </c>
      <c r="FJ828" s="27" t="s">
        <v>7</v>
      </c>
      <c r="FK828" s="27" t="s">
        <v>8</v>
      </c>
      <c r="FL828" s="27" t="s">
        <v>7</v>
      </c>
      <c r="FO828" s="27" t="s">
        <v>8</v>
      </c>
      <c r="FV828" s="27" t="s">
        <v>7</v>
      </c>
      <c r="FW828" s="27" t="s">
        <v>8</v>
      </c>
      <c r="FX828" s="27" t="s">
        <v>7</v>
      </c>
      <c r="FY828" s="27" t="s">
        <v>8</v>
      </c>
      <c r="FZ828" s="27" t="s">
        <v>7</v>
      </c>
      <c r="GA828" s="27" t="s">
        <v>8</v>
      </c>
      <c r="GB828" s="27" t="s">
        <v>7</v>
      </c>
      <c r="GC828" s="27" t="s">
        <v>8</v>
      </c>
      <c r="GD828" s="27" t="s">
        <v>7</v>
      </c>
      <c r="GE828" s="27" t="s">
        <v>8</v>
      </c>
      <c r="GF828" s="27" t="s">
        <v>7</v>
      </c>
      <c r="GG828" s="27" t="s">
        <v>8</v>
      </c>
      <c r="GH828" s="27" t="s">
        <v>7</v>
      </c>
      <c r="GI828" s="27" t="s">
        <v>8</v>
      </c>
      <c r="GJ828" s="27" t="s">
        <v>7</v>
      </c>
      <c r="GV828" s="27" t="s">
        <v>7</v>
      </c>
      <c r="GW828" s="27" t="s">
        <v>8</v>
      </c>
      <c r="GX828" s="27" t="s">
        <v>7</v>
      </c>
      <c r="GY828" s="27" t="s">
        <v>8</v>
      </c>
      <c r="GZ828" s="27" t="s">
        <v>7</v>
      </c>
      <c r="HA828" s="27" t="s">
        <v>8</v>
      </c>
      <c r="HH828" s="27" t="s">
        <v>7</v>
      </c>
      <c r="ID828" s="27" t="s">
        <v>7</v>
      </c>
      <c r="IE828" s="27" t="s">
        <v>8</v>
      </c>
      <c r="IF828" s="27" t="s">
        <v>7</v>
      </c>
      <c r="IH828" s="27" t="s">
        <v>7</v>
      </c>
    </row>
    <row r="829" spans="1:249" x14ac:dyDescent="0.25">
      <c r="A829" s="7">
        <v>8.2938931033243839E-3</v>
      </c>
      <c r="B829"/>
      <c r="C829"/>
      <c r="D829"/>
      <c r="E829"/>
      <c r="AD829" s="27" t="s">
        <v>7</v>
      </c>
      <c r="AE829" s="27" t="s">
        <v>8</v>
      </c>
      <c r="AF829" s="27" t="s">
        <v>7</v>
      </c>
      <c r="FC829" s="27" t="s">
        <v>8</v>
      </c>
      <c r="FD829" s="27" t="s">
        <v>7</v>
      </c>
      <c r="FE829" s="27" t="s">
        <v>8</v>
      </c>
      <c r="FF829" s="27" t="s">
        <v>7</v>
      </c>
      <c r="FH829" s="27" t="s">
        <v>7</v>
      </c>
      <c r="FJ829" s="27" t="s">
        <v>7</v>
      </c>
      <c r="FK829" s="27" t="s">
        <v>8</v>
      </c>
      <c r="FL829" s="27" t="s">
        <v>7</v>
      </c>
      <c r="FO829" s="27" t="s">
        <v>8</v>
      </c>
      <c r="FV829" s="27" t="s">
        <v>7</v>
      </c>
      <c r="FW829" s="27" t="s">
        <v>8</v>
      </c>
      <c r="FX829" s="27" t="s">
        <v>7</v>
      </c>
      <c r="FY829" s="27" t="s">
        <v>8</v>
      </c>
      <c r="FZ829" s="27" t="s">
        <v>7</v>
      </c>
      <c r="GB829" s="27" t="s">
        <v>7</v>
      </c>
      <c r="GC829" s="27" t="s">
        <v>8</v>
      </c>
      <c r="GD829" s="27" t="s">
        <v>7</v>
      </c>
      <c r="GE829" s="27" t="s">
        <v>8</v>
      </c>
      <c r="GF829" s="27" t="s">
        <v>7</v>
      </c>
      <c r="GG829" s="27" t="s">
        <v>8</v>
      </c>
      <c r="GH829" s="27" t="s">
        <v>7</v>
      </c>
      <c r="GV829" s="27" t="s">
        <v>7</v>
      </c>
      <c r="GW829" s="27" t="s">
        <v>8</v>
      </c>
      <c r="GX829" s="27" t="s">
        <v>7</v>
      </c>
      <c r="GY829" s="27" t="s">
        <v>8</v>
      </c>
      <c r="GZ829" s="27" t="s">
        <v>7</v>
      </c>
      <c r="HA829" s="27" t="s">
        <v>8</v>
      </c>
      <c r="ID829" s="27" t="s">
        <v>7</v>
      </c>
    </row>
    <row r="830" spans="1:249" x14ac:dyDescent="0.25">
      <c r="A830" s="7">
        <v>8.1312677483572383E-3</v>
      </c>
      <c r="B830"/>
      <c r="C830"/>
      <c r="D830"/>
      <c r="E830"/>
      <c r="AD830" s="27" t="s">
        <v>7</v>
      </c>
      <c r="AE830" s="27" t="s">
        <v>8</v>
      </c>
      <c r="AF830" s="27" t="s">
        <v>7</v>
      </c>
      <c r="FC830" s="27" t="s">
        <v>8</v>
      </c>
      <c r="FD830" s="27" t="s">
        <v>7</v>
      </c>
      <c r="FE830" s="27" t="s">
        <v>8</v>
      </c>
      <c r="FJ830" s="27" t="s">
        <v>7</v>
      </c>
      <c r="FL830" s="27" t="s">
        <v>7</v>
      </c>
      <c r="FM830" s="27" t="s">
        <v>8</v>
      </c>
      <c r="FO830" s="27" t="s">
        <v>8</v>
      </c>
      <c r="FV830" s="27" t="s">
        <v>7</v>
      </c>
      <c r="FW830" s="27" t="s">
        <v>8</v>
      </c>
      <c r="FX830" s="27" t="s">
        <v>7</v>
      </c>
      <c r="FY830" s="27" t="s">
        <v>8</v>
      </c>
      <c r="GB830" s="27" t="s">
        <v>7</v>
      </c>
      <c r="GD830" s="27" t="s">
        <v>7</v>
      </c>
      <c r="GE830" s="27" t="s">
        <v>8</v>
      </c>
      <c r="GF830" s="27" t="s">
        <v>7</v>
      </c>
      <c r="GV830" s="27" t="s">
        <v>7</v>
      </c>
      <c r="GW830" s="27" t="s">
        <v>8</v>
      </c>
      <c r="GX830" s="27" t="s">
        <v>7</v>
      </c>
      <c r="GY830" s="27" t="s">
        <v>8</v>
      </c>
      <c r="GZ830" s="27" t="s">
        <v>7</v>
      </c>
    </row>
    <row r="831" spans="1:249" x14ac:dyDescent="0.25">
      <c r="A831" s="7">
        <v>7.9718311258404305E-3</v>
      </c>
      <c r="B831"/>
      <c r="C831"/>
      <c r="D831"/>
      <c r="E831"/>
      <c r="AD831" s="27" t="s">
        <v>7</v>
      </c>
      <c r="AE831" s="27" t="s">
        <v>8</v>
      </c>
      <c r="AF831" s="27" t="s">
        <v>7</v>
      </c>
      <c r="AK831" s="27" t="s">
        <v>8</v>
      </c>
      <c r="FC831" s="27" t="s">
        <v>8</v>
      </c>
      <c r="FD831" s="27" t="s">
        <v>7</v>
      </c>
      <c r="FE831" s="27" t="s">
        <v>8</v>
      </c>
      <c r="FL831" s="27" t="s">
        <v>7</v>
      </c>
      <c r="FM831" s="27" t="s">
        <v>8</v>
      </c>
      <c r="FN831" s="27" t="s">
        <v>7</v>
      </c>
      <c r="FO831" s="27" t="s">
        <v>8</v>
      </c>
      <c r="FV831" s="27" t="s">
        <v>7</v>
      </c>
      <c r="FX831" s="27" t="s">
        <v>7</v>
      </c>
      <c r="GD831" s="27" t="s">
        <v>7</v>
      </c>
      <c r="GE831" s="27" t="s">
        <v>8</v>
      </c>
      <c r="GV831" s="27" t="s">
        <v>7</v>
      </c>
      <c r="GX831" s="27" t="s">
        <v>7</v>
      </c>
    </row>
    <row r="832" spans="1:249" x14ac:dyDescent="0.25">
      <c r="A832" s="7">
        <v>7.8155207116082648E-3</v>
      </c>
      <c r="B832"/>
      <c r="C832"/>
      <c r="D832"/>
      <c r="E832"/>
      <c r="AD832" s="27" t="s">
        <v>7</v>
      </c>
      <c r="AE832" s="27" t="s">
        <v>8</v>
      </c>
      <c r="AF832" s="27" t="s">
        <v>7</v>
      </c>
      <c r="AK832" s="27" t="s">
        <v>8</v>
      </c>
      <c r="AL832" s="27" t="s">
        <v>7</v>
      </c>
      <c r="AM832" s="27" t="s">
        <v>8</v>
      </c>
      <c r="FC832" s="27" t="s">
        <v>8</v>
      </c>
      <c r="FD832" s="27" t="s">
        <v>7</v>
      </c>
      <c r="FE832" s="27" t="s">
        <v>8</v>
      </c>
      <c r="FL832" s="27" t="s">
        <v>7</v>
      </c>
      <c r="FM832" s="27" t="s">
        <v>8</v>
      </c>
      <c r="FN832" s="27" t="s">
        <v>7</v>
      </c>
      <c r="FO832" s="27" t="s">
        <v>8</v>
      </c>
      <c r="GD832" s="27" t="s">
        <v>7</v>
      </c>
      <c r="GE832" s="27" t="s">
        <v>8</v>
      </c>
    </row>
    <row r="833" spans="1:187" x14ac:dyDescent="0.25">
      <c r="A833" s="7">
        <v>7.6622752074590825E-3</v>
      </c>
      <c r="B833"/>
      <c r="C833"/>
      <c r="D833"/>
      <c r="E833"/>
      <c r="AD833" s="27" t="s">
        <v>7</v>
      </c>
      <c r="AF833" s="27" t="s">
        <v>7</v>
      </c>
      <c r="AK833" s="27" t="s">
        <v>8</v>
      </c>
      <c r="AL833" s="27" t="s">
        <v>7</v>
      </c>
      <c r="AM833" s="27" t="s">
        <v>8</v>
      </c>
      <c r="AN833" s="27" t="s">
        <v>7</v>
      </c>
      <c r="AO833" s="27" t="s">
        <v>8</v>
      </c>
      <c r="AQ833" s="27" t="s">
        <v>8</v>
      </c>
      <c r="FC833" s="27" t="s">
        <v>8</v>
      </c>
      <c r="FD833" s="27" t="s">
        <v>7</v>
      </c>
      <c r="FE833" s="27" t="s">
        <v>8</v>
      </c>
      <c r="FL833" s="27" t="s">
        <v>7</v>
      </c>
      <c r="FN833" s="27" t="s">
        <v>7</v>
      </c>
      <c r="FO833" s="27" t="s">
        <v>8</v>
      </c>
      <c r="GD833" s="27" t="s">
        <v>7</v>
      </c>
      <c r="GE833" s="27" t="s">
        <v>8</v>
      </c>
    </row>
    <row r="834" spans="1:187" x14ac:dyDescent="0.25">
      <c r="A834" s="7">
        <v>7.5120345171167469E-3</v>
      </c>
      <c r="B834"/>
      <c r="C834"/>
      <c r="D834"/>
      <c r="E834"/>
      <c r="AF834" s="27" t="s">
        <v>7</v>
      </c>
      <c r="AK834" s="27" t="s">
        <v>8</v>
      </c>
      <c r="AL834" s="27" t="s">
        <v>7</v>
      </c>
      <c r="AM834" s="27" t="s">
        <v>8</v>
      </c>
      <c r="AN834" s="27" t="s">
        <v>7</v>
      </c>
      <c r="AO834" s="27" t="s">
        <v>8</v>
      </c>
      <c r="AP834" s="27" t="s">
        <v>7</v>
      </c>
      <c r="AQ834" s="27" t="s">
        <v>8</v>
      </c>
      <c r="AR834" s="27" t="s">
        <v>7</v>
      </c>
      <c r="FC834" s="27" t="s">
        <v>8</v>
      </c>
      <c r="FD834" s="27" t="s">
        <v>7</v>
      </c>
      <c r="FE834" s="27" t="s">
        <v>8</v>
      </c>
      <c r="FN834" s="27" t="s">
        <v>7</v>
      </c>
      <c r="FO834" s="27" t="s">
        <v>8</v>
      </c>
      <c r="GD834" s="27" t="s">
        <v>7</v>
      </c>
    </row>
    <row r="835" spans="1:187" x14ac:dyDescent="0.25">
      <c r="A835" s="7">
        <v>7.3647397226634772E-3</v>
      </c>
      <c r="B835"/>
      <c r="C835"/>
      <c r="D835"/>
      <c r="E835"/>
      <c r="AF835" s="27" t="s">
        <v>7</v>
      </c>
      <c r="AI835" s="27" t="s">
        <v>8</v>
      </c>
      <c r="AK835" s="27" t="s">
        <v>8</v>
      </c>
      <c r="AL835" s="27" t="s">
        <v>7</v>
      </c>
      <c r="AM835" s="27" t="s">
        <v>8</v>
      </c>
      <c r="AN835" s="27" t="s">
        <v>7</v>
      </c>
      <c r="AO835" s="27" t="s">
        <v>8</v>
      </c>
      <c r="AP835" s="27" t="s">
        <v>7</v>
      </c>
      <c r="AQ835" s="27" t="s">
        <v>8</v>
      </c>
      <c r="AR835" s="27" t="s">
        <v>7</v>
      </c>
      <c r="AU835" s="27" t="s">
        <v>8</v>
      </c>
      <c r="FC835" s="27" t="s">
        <v>8</v>
      </c>
      <c r="FD835" s="27" t="s">
        <v>7</v>
      </c>
      <c r="FE835" s="27" t="s">
        <v>8</v>
      </c>
      <c r="FN835" s="27" t="s">
        <v>7</v>
      </c>
      <c r="FO835" s="27" t="s">
        <v>8</v>
      </c>
    </row>
    <row r="836" spans="1:187" x14ac:dyDescent="0.25">
      <c r="A836" s="7">
        <v>7.2203330614347815E-3</v>
      </c>
      <c r="B836"/>
      <c r="C836"/>
      <c r="D836"/>
      <c r="E836"/>
      <c r="AF836" s="27" t="s">
        <v>7</v>
      </c>
      <c r="AI836" s="27" t="s">
        <v>8</v>
      </c>
      <c r="AJ836" s="27" t="s">
        <v>7</v>
      </c>
      <c r="AK836" s="27" t="s">
        <v>8</v>
      </c>
      <c r="AL836" s="27" t="s">
        <v>7</v>
      </c>
      <c r="AM836" s="27" t="s">
        <v>8</v>
      </c>
      <c r="AN836" s="27" t="s">
        <v>7</v>
      </c>
      <c r="AO836" s="27" t="s">
        <v>8</v>
      </c>
      <c r="AP836" s="27" t="s">
        <v>7</v>
      </c>
      <c r="AR836" s="27" t="s">
        <v>7</v>
      </c>
      <c r="AU836" s="27" t="s">
        <v>8</v>
      </c>
      <c r="AV836" s="27" t="s">
        <v>7</v>
      </c>
      <c r="FC836" s="27" t="s">
        <v>8</v>
      </c>
      <c r="FD836" s="27" t="s">
        <v>7</v>
      </c>
      <c r="FE836" s="27" t="s">
        <v>8</v>
      </c>
      <c r="FN836" s="27" t="s">
        <v>7</v>
      </c>
      <c r="FO836" s="27" t="s">
        <v>8</v>
      </c>
    </row>
    <row r="837" spans="1:187" x14ac:dyDescent="0.25">
      <c r="A837" s="7">
        <v>7.0787579033674327E-3</v>
      </c>
      <c r="B837"/>
      <c r="C837"/>
      <c r="D837"/>
      <c r="E837"/>
      <c r="AF837" s="27" t="s">
        <v>7</v>
      </c>
      <c r="AG837" s="27" t="s">
        <v>8</v>
      </c>
      <c r="AI837" s="27" t="s">
        <v>8</v>
      </c>
      <c r="AJ837" s="27" t="s">
        <v>7</v>
      </c>
      <c r="AK837" s="27" t="s">
        <v>8</v>
      </c>
      <c r="AL837" s="27" t="s">
        <v>7</v>
      </c>
      <c r="AN837" s="27" t="s">
        <v>7</v>
      </c>
      <c r="AR837" s="27" t="s">
        <v>7</v>
      </c>
      <c r="AU837" s="27" t="s">
        <v>8</v>
      </c>
      <c r="AV837" s="27" t="s">
        <v>7</v>
      </c>
      <c r="FC837" s="27" t="s">
        <v>8</v>
      </c>
      <c r="FD837" s="27" t="s">
        <v>7</v>
      </c>
      <c r="FE837" s="27" t="s">
        <v>8</v>
      </c>
      <c r="FN837" s="27" t="s">
        <v>7</v>
      </c>
      <c r="FO837" s="27" t="s">
        <v>8</v>
      </c>
    </row>
    <row r="838" spans="1:187" x14ac:dyDescent="0.25">
      <c r="A838" s="7">
        <v>6.9399587287916013E-3</v>
      </c>
      <c r="B838"/>
      <c r="C838"/>
      <c r="D838"/>
      <c r="E838"/>
      <c r="AF838" s="27" t="s">
        <v>7</v>
      </c>
      <c r="AG838" s="27" t="s">
        <v>8</v>
      </c>
      <c r="AH838" s="27" t="s">
        <v>7</v>
      </c>
      <c r="AI838" s="27" t="s">
        <v>8</v>
      </c>
      <c r="AJ838" s="27" t="s">
        <v>7</v>
      </c>
      <c r="AR838" s="27" t="s">
        <v>7</v>
      </c>
      <c r="AU838" s="27" t="s">
        <v>8</v>
      </c>
      <c r="AV838" s="27" t="s">
        <v>7</v>
      </c>
      <c r="FC838" s="27" t="s">
        <v>8</v>
      </c>
      <c r="FD838" s="27" t="s">
        <v>7</v>
      </c>
      <c r="FE838" s="27" t="s">
        <v>8</v>
      </c>
      <c r="FN838" s="27" t="s">
        <v>7</v>
      </c>
      <c r="FO838" s="27" t="s">
        <v>8</v>
      </c>
    </row>
    <row r="839" spans="1:187" x14ac:dyDescent="0.25">
      <c r="A839" s="7">
        <v>6.8038811066584333E-3</v>
      </c>
      <c r="B839"/>
      <c r="C839"/>
      <c r="D839"/>
      <c r="E839"/>
      <c r="AF839" s="27" t="s">
        <v>7</v>
      </c>
      <c r="AG839" s="27" t="s">
        <v>8</v>
      </c>
      <c r="AH839" s="27" t="s">
        <v>7</v>
      </c>
      <c r="AI839" s="27" t="s">
        <v>8</v>
      </c>
      <c r="AR839" s="27" t="s">
        <v>7</v>
      </c>
      <c r="AU839" s="27" t="s">
        <v>8</v>
      </c>
      <c r="AV839" s="27" t="s">
        <v>7</v>
      </c>
      <c r="AY839" s="27" t="s">
        <v>8</v>
      </c>
      <c r="FC839" s="27" t="s">
        <v>8</v>
      </c>
      <c r="FD839" s="27" t="s">
        <v>7</v>
      </c>
      <c r="FE839" s="27" t="s">
        <v>8</v>
      </c>
      <c r="FN839" s="27" t="s">
        <v>7</v>
      </c>
      <c r="FO839" s="27" t="s">
        <v>8</v>
      </c>
    </row>
    <row r="840" spans="1:187" x14ac:dyDescent="0.25">
      <c r="A840" s="7">
        <v>6.6704716731945425E-3</v>
      </c>
      <c r="B840"/>
      <c r="C840"/>
      <c r="D840"/>
      <c r="E840"/>
      <c r="AF840" s="27" t="s">
        <v>7</v>
      </c>
      <c r="AG840" s="27" t="s">
        <v>8</v>
      </c>
      <c r="AH840" s="27" t="s">
        <v>7</v>
      </c>
      <c r="AR840" s="27" t="s">
        <v>7</v>
      </c>
      <c r="AS840" s="27" t="s">
        <v>8</v>
      </c>
      <c r="AU840" s="27" t="s">
        <v>8</v>
      </c>
      <c r="AV840" s="27" t="s">
        <v>7</v>
      </c>
      <c r="AY840" s="27" t="s">
        <v>8</v>
      </c>
      <c r="AZ840" s="27" t="s">
        <v>7</v>
      </c>
      <c r="FC840" s="27" t="s">
        <v>8</v>
      </c>
      <c r="FD840" s="27" t="s">
        <v>7</v>
      </c>
      <c r="FE840" s="27" t="s">
        <v>8</v>
      </c>
      <c r="FN840" s="27" t="s">
        <v>7</v>
      </c>
      <c r="FO840" s="27" t="s">
        <v>8</v>
      </c>
    </row>
    <row r="841" spans="1:187" x14ac:dyDescent="0.25">
      <c r="A841" s="7">
        <v>6.5396781109750427E-3</v>
      </c>
      <c r="B841"/>
      <c r="C841"/>
      <c r="D841"/>
      <c r="E841"/>
      <c r="AF841" s="27" t="s">
        <v>7</v>
      </c>
      <c r="AG841" s="27" t="s">
        <v>8</v>
      </c>
      <c r="AR841" s="27" t="s">
        <v>7</v>
      </c>
      <c r="AS841" s="27" t="s">
        <v>8</v>
      </c>
      <c r="AT841" s="27" t="s">
        <v>7</v>
      </c>
      <c r="AU841" s="27" t="s">
        <v>8</v>
      </c>
      <c r="AV841" s="27" t="s">
        <v>7</v>
      </c>
      <c r="AY841" s="27" t="s">
        <v>8</v>
      </c>
      <c r="AZ841" s="27" t="s">
        <v>7</v>
      </c>
      <c r="FC841" s="27" t="s">
        <v>8</v>
      </c>
      <c r="FD841" s="27" t="s">
        <v>7</v>
      </c>
      <c r="FE841" s="27" t="s">
        <v>8</v>
      </c>
      <c r="FN841" s="27" t="s">
        <v>7</v>
      </c>
      <c r="FO841" s="27" t="s">
        <v>8</v>
      </c>
    </row>
    <row r="842" spans="1:187" x14ac:dyDescent="0.25">
      <c r="A842" s="7">
        <v>6.4114491284069045E-3</v>
      </c>
      <c r="B842"/>
      <c r="C842"/>
      <c r="D842"/>
      <c r="E842"/>
      <c r="AF842" s="27" t="s">
        <v>7</v>
      </c>
      <c r="AG842" s="27" t="s">
        <v>8</v>
      </c>
      <c r="AR842" s="27" t="s">
        <v>7</v>
      </c>
      <c r="AS842" s="27" t="s">
        <v>8</v>
      </c>
      <c r="AT842" s="27" t="s">
        <v>7</v>
      </c>
      <c r="AU842" s="27" t="s">
        <v>8</v>
      </c>
      <c r="AV842" s="27" t="s">
        <v>7</v>
      </c>
      <c r="AY842" s="27" t="s">
        <v>8</v>
      </c>
      <c r="AZ842" s="27" t="s">
        <v>7</v>
      </c>
      <c r="FC842" s="27" t="s">
        <v>8</v>
      </c>
      <c r="FD842" s="27" t="s">
        <v>7</v>
      </c>
      <c r="FE842" s="27" t="s">
        <v>8</v>
      </c>
      <c r="FN842" s="27" t="s">
        <v>7</v>
      </c>
      <c r="FO842" s="27" t="s">
        <v>8</v>
      </c>
    </row>
    <row r="843" spans="1:187" x14ac:dyDescent="0.25">
      <c r="A843" s="7">
        <v>6.2857344396146115E-3</v>
      </c>
      <c r="B843"/>
      <c r="C843"/>
      <c r="D843"/>
      <c r="E843"/>
      <c r="AF843" s="27" t="s">
        <v>7</v>
      </c>
      <c r="AG843" s="27" t="s">
        <v>8</v>
      </c>
      <c r="AR843" s="27" t="s">
        <v>7</v>
      </c>
      <c r="AS843" s="27" t="s">
        <v>8</v>
      </c>
      <c r="AT843" s="27" t="s">
        <v>7</v>
      </c>
      <c r="AU843" s="27" t="s">
        <v>8</v>
      </c>
      <c r="AV843" s="27" t="s">
        <v>7</v>
      </c>
      <c r="AY843" s="27" t="s">
        <v>8</v>
      </c>
      <c r="AZ843" s="27" t="s">
        <v>7</v>
      </c>
      <c r="FC843" s="27" t="s">
        <v>8</v>
      </c>
      <c r="FD843" s="27" t="s">
        <v>7</v>
      </c>
      <c r="FE843" s="27" t="s">
        <v>8</v>
      </c>
      <c r="FN843" s="27" t="s">
        <v>7</v>
      </c>
    </row>
    <row r="844" spans="1:187" x14ac:dyDescent="0.25">
      <c r="A844" s="7">
        <v>6.1624847447202076E-3</v>
      </c>
      <c r="B844"/>
      <c r="C844"/>
      <c r="D844"/>
      <c r="E844"/>
      <c r="AF844" s="27" t="s">
        <v>7</v>
      </c>
      <c r="AG844" s="27" t="s">
        <v>8</v>
      </c>
      <c r="AR844" s="27" t="s">
        <v>7</v>
      </c>
      <c r="AT844" s="27" t="s">
        <v>7</v>
      </c>
      <c r="AU844" s="27" t="s">
        <v>8</v>
      </c>
      <c r="AV844" s="27" t="s">
        <v>7</v>
      </c>
      <c r="AY844" s="27" t="s">
        <v>8</v>
      </c>
      <c r="AZ844" s="27" t="s">
        <v>7</v>
      </c>
      <c r="FC844" s="27" t="s">
        <v>8</v>
      </c>
      <c r="FD844" s="27" t="s">
        <v>7</v>
      </c>
      <c r="FE844" s="27" t="s">
        <v>8</v>
      </c>
    </row>
    <row r="845" spans="1:187" x14ac:dyDescent="0.25">
      <c r="A845" s="7">
        <v>6.0416517105100079E-3</v>
      </c>
      <c r="B845"/>
      <c r="C845"/>
      <c r="D845"/>
      <c r="E845"/>
      <c r="AF845" s="27" t="s">
        <v>7</v>
      </c>
      <c r="AT845" s="27" t="s">
        <v>7</v>
      </c>
      <c r="AV845" s="27" t="s">
        <v>7</v>
      </c>
      <c r="AY845" s="27" t="s">
        <v>8</v>
      </c>
      <c r="AZ845" s="27" t="s">
        <v>7</v>
      </c>
      <c r="FC845" s="27" t="s">
        <v>8</v>
      </c>
      <c r="FD845" s="27" t="s">
        <v>7</v>
      </c>
    </row>
    <row r="846" spans="1:187" x14ac:dyDescent="0.25">
      <c r="A846" s="7">
        <v>5.9231879514803996E-3</v>
      </c>
      <c r="B846"/>
      <c r="C846"/>
      <c r="D846"/>
      <c r="E846"/>
      <c r="AV846" s="27" t="s">
        <v>7</v>
      </c>
      <c r="AW846" s="27" t="s">
        <v>8</v>
      </c>
      <c r="AY846" s="27" t="s">
        <v>8</v>
      </c>
      <c r="AZ846" s="27" t="s">
        <v>7</v>
      </c>
      <c r="FC846" s="27" t="s">
        <v>8</v>
      </c>
    </row>
    <row r="847" spans="1:187" x14ac:dyDescent="0.25">
      <c r="A847" s="7">
        <v>5.8070470112552936E-3</v>
      </c>
      <c r="B847"/>
      <c r="C847"/>
      <c r="D847"/>
      <c r="E847"/>
      <c r="AV847" s="27" t="s">
        <v>7</v>
      </c>
      <c r="AW847" s="27" t="s">
        <v>8</v>
      </c>
      <c r="AX847" s="27" t="s">
        <v>7</v>
      </c>
      <c r="AY847" s="27" t="s">
        <v>8</v>
      </c>
      <c r="AZ847" s="27" t="s">
        <v>7</v>
      </c>
      <c r="FC847" s="27" t="s">
        <v>8</v>
      </c>
    </row>
    <row r="848" spans="1:187" x14ac:dyDescent="0.25">
      <c r="A848" s="7">
        <v>5.6931833443679353E-3</v>
      </c>
      <c r="B848"/>
      <c r="C848"/>
      <c r="D848"/>
      <c r="E848"/>
      <c r="AV848" s="27" t="s">
        <v>7</v>
      </c>
      <c r="AW848" s="27" t="s">
        <v>8</v>
      </c>
      <c r="AX848" s="27" t="s">
        <v>7</v>
      </c>
      <c r="AY848" s="27" t="s">
        <v>8</v>
      </c>
      <c r="AZ848" s="27" t="s">
        <v>7</v>
      </c>
      <c r="FC848" s="27" t="s">
        <v>8</v>
      </c>
    </row>
    <row r="849" spans="1:159" x14ac:dyDescent="0.25">
      <c r="A849" s="7">
        <v>5.5815522983999367E-3</v>
      </c>
      <c r="B849"/>
      <c r="C849"/>
      <c r="D849"/>
      <c r="E849"/>
      <c r="AV849" s="27" t="s">
        <v>7</v>
      </c>
      <c r="AX849" s="27" t="s">
        <v>7</v>
      </c>
      <c r="AY849" s="27" t="s">
        <v>8</v>
      </c>
      <c r="AZ849" s="27" t="s">
        <v>7</v>
      </c>
      <c r="FC849" s="27" t="s">
        <v>8</v>
      </c>
    </row>
    <row r="850" spans="1:159" x14ac:dyDescent="0.25">
      <c r="A850" s="7">
        <v>5.4721100964705257E-3</v>
      </c>
      <c r="B850"/>
      <c r="C850"/>
      <c r="D850"/>
      <c r="E850"/>
      <c r="AX850" s="27" t="s">
        <v>7</v>
      </c>
      <c r="AY850" s="27" t="s">
        <v>8</v>
      </c>
      <c r="AZ850" s="27" t="s">
        <v>7</v>
      </c>
      <c r="FC850" s="27" t="s">
        <v>8</v>
      </c>
    </row>
    <row r="851" spans="1:159" x14ac:dyDescent="0.25">
      <c r="A851" s="7">
        <v>5.3648138200691423E-3</v>
      </c>
      <c r="B851"/>
      <c r="C851"/>
      <c r="D851"/>
      <c r="E851"/>
      <c r="AX851" s="27" t="s">
        <v>7</v>
      </c>
      <c r="AY851" s="27" t="s">
        <v>8</v>
      </c>
      <c r="AZ851" s="27" t="s">
        <v>7</v>
      </c>
      <c r="FC851" s="27" t="s">
        <v>8</v>
      </c>
    </row>
    <row r="852" spans="1:159" x14ac:dyDescent="0.25">
      <c r="A852" s="7">
        <v>5.2596213922246494E-3</v>
      </c>
      <c r="B852"/>
      <c r="C852"/>
      <c r="D852"/>
      <c r="E852"/>
      <c r="AX852" s="27" t="s">
        <v>7</v>
      </c>
      <c r="AZ852" s="27" t="s">
        <v>7</v>
      </c>
      <c r="FC852" s="27" t="s">
        <v>8</v>
      </c>
    </row>
    <row r="853" spans="1:159" x14ac:dyDescent="0.25">
      <c r="A853" s="7">
        <v>5.1564915610045588E-3</v>
      </c>
      <c r="B853"/>
      <c r="C853"/>
      <c r="D853"/>
      <c r="E853"/>
      <c r="AZ853" s="27" t="s">
        <v>7</v>
      </c>
      <c r="BM853" s="27" t="s">
        <v>8</v>
      </c>
      <c r="FC853" s="27" t="s">
        <v>8</v>
      </c>
    </row>
    <row r="854" spans="1:159" x14ac:dyDescent="0.25">
      <c r="A854" s="7">
        <v>5.0553838833378023E-3</v>
      </c>
      <c r="B854"/>
      <c r="C854"/>
      <c r="D854"/>
      <c r="E854"/>
      <c r="AZ854" s="27" t="s">
        <v>7</v>
      </c>
      <c r="BM854" s="27" t="s">
        <v>8</v>
      </c>
      <c r="BN854" s="27" t="s">
        <v>7</v>
      </c>
      <c r="FC854" s="27" t="s">
        <v>8</v>
      </c>
    </row>
    <row r="855" spans="1:159" x14ac:dyDescent="0.25">
      <c r="A855" s="7">
        <v>4.9562587091547079E-3</v>
      </c>
      <c r="B855"/>
      <c r="C855"/>
      <c r="D855"/>
      <c r="E855"/>
      <c r="AZ855" s="27" t="s">
        <v>7</v>
      </c>
      <c r="BM855" s="27" t="s">
        <v>8</v>
      </c>
      <c r="BN855" s="27" t="s">
        <v>7</v>
      </c>
      <c r="FC855" s="27" t="s">
        <v>8</v>
      </c>
    </row>
    <row r="856" spans="1:159" x14ac:dyDescent="0.25">
      <c r="A856" s="7">
        <v>4.8590771658379491E-3</v>
      </c>
      <c r="B856"/>
      <c r="C856"/>
      <c r="D856"/>
      <c r="E856"/>
      <c r="AZ856" s="27" t="s">
        <v>7</v>
      </c>
      <c r="BG856" s="27" t="s">
        <v>8</v>
      </c>
      <c r="BM856" s="27" t="s">
        <v>8</v>
      </c>
      <c r="BN856" s="27" t="s">
        <v>7</v>
      </c>
      <c r="FC856" s="27" t="s">
        <v>8</v>
      </c>
    </row>
    <row r="857" spans="1:159" x14ac:dyDescent="0.25">
      <c r="A857" s="7">
        <v>4.7638011429783815E-3</v>
      </c>
      <c r="B857"/>
      <c r="C857"/>
      <c r="D857"/>
      <c r="E857"/>
      <c r="AZ857" s="27" t="s">
        <v>7</v>
      </c>
      <c r="BE857" s="27" t="s">
        <v>8</v>
      </c>
      <c r="BG857" s="27" t="s">
        <v>8</v>
      </c>
      <c r="BH857" s="27" t="s">
        <v>7</v>
      </c>
      <c r="BM857" s="27" t="s">
        <v>8</v>
      </c>
      <c r="BN857" s="27" t="s">
        <v>7</v>
      </c>
      <c r="FC857" s="27" t="s">
        <v>8</v>
      </c>
    </row>
    <row r="858" spans="1:159" x14ac:dyDescent="0.25">
      <c r="A858" s="7">
        <v>4.6703932774297859E-3</v>
      </c>
      <c r="B858"/>
      <c r="C858"/>
      <c r="D858"/>
      <c r="E858"/>
      <c r="AZ858" s="27" t="s">
        <v>7</v>
      </c>
      <c r="BA858" s="27" t="s">
        <v>8</v>
      </c>
      <c r="BE858" s="27" t="s">
        <v>8</v>
      </c>
      <c r="BF858" s="27" t="s">
        <v>7</v>
      </c>
      <c r="BG858" s="27" t="s">
        <v>8</v>
      </c>
      <c r="BH858" s="27" t="s">
        <v>7</v>
      </c>
      <c r="BM858" s="27" t="s">
        <v>8</v>
      </c>
      <c r="BN858" s="27" t="s">
        <v>7</v>
      </c>
      <c r="FC858" s="27" t="s">
        <v>8</v>
      </c>
    </row>
    <row r="859" spans="1:159" x14ac:dyDescent="0.25">
      <c r="A859" s="7">
        <v>4.5788169386566527E-3</v>
      </c>
      <c r="B859"/>
      <c r="C859"/>
      <c r="D859"/>
      <c r="E859"/>
      <c r="AZ859" s="27" t="s">
        <v>7</v>
      </c>
      <c r="BA859" s="27" t="s">
        <v>8</v>
      </c>
      <c r="BB859" s="27" t="s">
        <v>7</v>
      </c>
      <c r="BE859" s="27" t="s">
        <v>8</v>
      </c>
      <c r="BF859" s="27" t="s">
        <v>7</v>
      </c>
      <c r="BG859" s="27" t="s">
        <v>8</v>
      </c>
      <c r="BH859" s="27" t="s">
        <v>7</v>
      </c>
      <c r="BM859" s="27" t="s">
        <v>8</v>
      </c>
      <c r="BN859" s="27" t="s">
        <v>7</v>
      </c>
      <c r="FC859" s="27" t="s">
        <v>8</v>
      </c>
    </row>
    <row r="860" spans="1:159" x14ac:dyDescent="0.25">
      <c r="A860" s="7">
        <v>4.4890362143692672E-3</v>
      </c>
      <c r="B860"/>
      <c r="C860"/>
      <c r="D860"/>
      <c r="E860"/>
      <c r="AZ860" s="27" t="s">
        <v>7</v>
      </c>
      <c r="BA860" s="27" t="s">
        <v>8</v>
      </c>
      <c r="BB860" s="27" t="s">
        <v>7</v>
      </c>
      <c r="BE860" s="27" t="s">
        <v>8</v>
      </c>
      <c r="BF860" s="27" t="s">
        <v>7</v>
      </c>
      <c r="BG860" s="27" t="s">
        <v>8</v>
      </c>
      <c r="BH860" s="27" t="s">
        <v>7</v>
      </c>
      <c r="BM860" s="27" t="s">
        <v>8</v>
      </c>
      <c r="BN860" s="27" t="s">
        <v>7</v>
      </c>
      <c r="FC860" s="27" t="s">
        <v>8</v>
      </c>
    </row>
    <row r="861" spans="1:159" x14ac:dyDescent="0.25">
      <c r="A861" s="7">
        <v>4.4010158964404578E-3</v>
      </c>
      <c r="B861"/>
      <c r="C861"/>
      <c r="D861"/>
      <c r="E861"/>
      <c r="AZ861" s="27" t="s">
        <v>7</v>
      </c>
      <c r="BA861" s="27" t="s">
        <v>8</v>
      </c>
      <c r="BB861" s="27" t="s">
        <v>7</v>
      </c>
      <c r="BC861" s="27" t="s">
        <v>8</v>
      </c>
      <c r="BE861" s="27" t="s">
        <v>8</v>
      </c>
      <c r="BF861" s="27" t="s">
        <v>7</v>
      </c>
      <c r="BG861" s="27" t="s">
        <v>8</v>
      </c>
      <c r="BH861" s="27" t="s">
        <v>7</v>
      </c>
      <c r="BM861" s="27" t="s">
        <v>8</v>
      </c>
      <c r="BN861" s="27" t="s">
        <v>7</v>
      </c>
      <c r="FC861" s="27" t="s">
        <v>8</v>
      </c>
    </row>
    <row r="862" spans="1:159" x14ac:dyDescent="0.25">
      <c r="A862" s="7">
        <v>4.314721467098488E-3</v>
      </c>
      <c r="B862"/>
      <c r="C862"/>
      <c r="D862"/>
      <c r="E862"/>
      <c r="AZ862" s="27" t="s">
        <v>7</v>
      </c>
      <c r="BB862" s="27" t="s">
        <v>7</v>
      </c>
      <c r="BC862" s="27" t="s">
        <v>8</v>
      </c>
      <c r="BD862" s="27" t="s">
        <v>7</v>
      </c>
      <c r="BE862" s="27" t="s">
        <v>8</v>
      </c>
      <c r="BF862" s="27" t="s">
        <v>7</v>
      </c>
      <c r="BG862" s="27" t="s">
        <v>8</v>
      </c>
      <c r="BH862" s="27" t="s">
        <v>7</v>
      </c>
      <c r="BI862" s="27" t="s">
        <v>8</v>
      </c>
      <c r="BM862" s="27" t="s">
        <v>8</v>
      </c>
      <c r="BN862" s="27" t="s">
        <v>7</v>
      </c>
      <c r="DE862" s="27" t="s">
        <v>8</v>
      </c>
      <c r="FC862" s="27" t="s">
        <v>8</v>
      </c>
    </row>
    <row r="863" spans="1:159" x14ac:dyDescent="0.25">
      <c r="A863" s="7">
        <v>4.2301190853906746E-3</v>
      </c>
      <c r="B863"/>
      <c r="C863"/>
      <c r="D863"/>
      <c r="E863"/>
      <c r="BB863" s="27" t="s">
        <v>7</v>
      </c>
      <c r="BC863" s="27" t="s">
        <v>8</v>
      </c>
      <c r="BD863" s="27" t="s">
        <v>7</v>
      </c>
      <c r="BE863" s="27" t="s">
        <v>8</v>
      </c>
      <c r="BF863" s="27" t="s">
        <v>7</v>
      </c>
      <c r="BH863" s="27" t="s">
        <v>7</v>
      </c>
      <c r="BI863" s="27" t="s">
        <v>8</v>
      </c>
      <c r="BJ863" s="27" t="s">
        <v>7</v>
      </c>
      <c r="BM863" s="27" t="s">
        <v>8</v>
      </c>
      <c r="BN863" s="27" t="s">
        <v>7</v>
      </c>
      <c r="DE863" s="27" t="s">
        <v>8</v>
      </c>
      <c r="DF863" s="27" t="s">
        <v>7</v>
      </c>
      <c r="FC863" s="27" t="s">
        <v>8</v>
      </c>
    </row>
    <row r="864" spans="1:159" x14ac:dyDescent="0.25">
      <c r="A864" s="7">
        <v>4.1471755739124266E-3</v>
      </c>
      <c r="B864"/>
      <c r="C864"/>
      <c r="D864"/>
      <c r="E864"/>
      <c r="BB864" s="27" t="s">
        <v>7</v>
      </c>
      <c r="BC864" s="27" t="s">
        <v>8</v>
      </c>
      <c r="BD864" s="27" t="s">
        <v>7</v>
      </c>
      <c r="BE864" s="27" t="s">
        <v>8</v>
      </c>
      <c r="BH864" s="27" t="s">
        <v>7</v>
      </c>
      <c r="BI864" s="27" t="s">
        <v>8</v>
      </c>
      <c r="BJ864" s="27" t="s">
        <v>7</v>
      </c>
      <c r="BM864" s="27" t="s">
        <v>8</v>
      </c>
      <c r="BN864" s="27" t="s">
        <v>7</v>
      </c>
      <c r="DE864" s="27" t="s">
        <v>8</v>
      </c>
      <c r="DF864" s="27" t="s">
        <v>7</v>
      </c>
      <c r="FC864" s="27" t="s">
        <v>8</v>
      </c>
    </row>
    <row r="865" spans="1:159" x14ac:dyDescent="0.25">
      <c r="A865" s="7">
        <v>4.0658584057964966E-3</v>
      </c>
      <c r="B865"/>
      <c r="C865"/>
      <c r="D865"/>
      <c r="E865"/>
      <c r="BB865" s="27" t="s">
        <v>7</v>
      </c>
      <c r="BD865" s="27" t="s">
        <v>7</v>
      </c>
      <c r="BH865" s="27" t="s">
        <v>7</v>
      </c>
      <c r="BI865" s="27" t="s">
        <v>8</v>
      </c>
      <c r="BJ865" s="27" t="s">
        <v>7</v>
      </c>
      <c r="BM865" s="27" t="s">
        <v>8</v>
      </c>
      <c r="BN865" s="27" t="s">
        <v>7</v>
      </c>
      <c r="DE865" s="27" t="s">
        <v>8</v>
      </c>
      <c r="DF865" s="27" t="s">
        <v>7</v>
      </c>
      <c r="FC865" s="27" t="s">
        <v>8</v>
      </c>
    </row>
    <row r="866" spans="1:159" x14ac:dyDescent="0.25">
      <c r="A866" s="7">
        <v>3.9861356919573491E-3</v>
      </c>
      <c r="B866"/>
      <c r="C866"/>
      <c r="D866"/>
      <c r="E866"/>
      <c r="BH866" s="27" t="s">
        <v>7</v>
      </c>
      <c r="BI866" s="27" t="s">
        <v>8</v>
      </c>
      <c r="BJ866" s="27" t="s">
        <v>7</v>
      </c>
      <c r="BM866" s="27" t="s">
        <v>8</v>
      </c>
      <c r="BN866" s="27" t="s">
        <v>7</v>
      </c>
      <c r="DE866" s="27" t="s">
        <v>8</v>
      </c>
      <c r="DF866" s="27" t="s">
        <v>7</v>
      </c>
      <c r="FC866" s="27" t="s">
        <v>8</v>
      </c>
    </row>
    <row r="867" spans="1:159" x14ac:dyDescent="0.25">
      <c r="A867" s="7">
        <v>3.9079761685856364E-3</v>
      </c>
      <c r="B867"/>
      <c r="C867"/>
      <c r="D867"/>
      <c r="E867"/>
      <c r="BH867" s="27" t="s">
        <v>7</v>
      </c>
      <c r="BI867" s="27" t="s">
        <v>8</v>
      </c>
      <c r="BJ867" s="27" t="s">
        <v>7</v>
      </c>
      <c r="BM867" s="27" t="s">
        <v>8</v>
      </c>
      <c r="BN867" s="27" t="s">
        <v>7</v>
      </c>
      <c r="DE867" s="27" t="s">
        <v>8</v>
      </c>
      <c r="DF867" s="27" t="s">
        <v>7</v>
      </c>
      <c r="FC867" s="27" t="s">
        <v>8</v>
      </c>
    </row>
    <row r="868" spans="1:159" x14ac:dyDescent="0.25">
      <c r="A868" s="7">
        <v>3.8313491848878793E-3</v>
      </c>
      <c r="B868"/>
      <c r="C868"/>
      <c r="D868"/>
      <c r="E868"/>
      <c r="BH868" s="27" t="s">
        <v>7</v>
      </c>
      <c r="BI868" s="27" t="s">
        <v>8</v>
      </c>
      <c r="BJ868" s="27" t="s">
        <v>7</v>
      </c>
      <c r="BM868" s="27" t="s">
        <v>8</v>
      </c>
      <c r="BN868" s="27" t="s">
        <v>7</v>
      </c>
      <c r="DE868" s="27" t="s">
        <v>8</v>
      </c>
      <c r="DF868" s="27" t="s">
        <v>7</v>
      </c>
      <c r="FC868" s="27" t="s">
        <v>8</v>
      </c>
    </row>
    <row r="869" spans="1:159" x14ac:dyDescent="0.25">
      <c r="A869" s="7">
        <v>3.7562246910665485E-3</v>
      </c>
      <c r="B869"/>
      <c r="C869"/>
      <c r="D869"/>
      <c r="E869"/>
      <c r="BH869" s="27" t="s">
        <v>7</v>
      </c>
      <c r="BI869" s="27" t="s">
        <v>8</v>
      </c>
      <c r="BJ869" s="27" t="s">
        <v>7</v>
      </c>
      <c r="BM869" s="27" t="s">
        <v>8</v>
      </c>
      <c r="BN869" s="27" t="s">
        <v>7</v>
      </c>
      <c r="BO869" s="27" t="s">
        <v>8</v>
      </c>
      <c r="BU869" s="27" t="s">
        <v>8</v>
      </c>
      <c r="DE869" s="27" t="s">
        <v>8</v>
      </c>
      <c r="DF869" s="27" t="s">
        <v>7</v>
      </c>
      <c r="FC869" s="27" t="s">
        <v>8</v>
      </c>
    </row>
    <row r="870" spans="1:159" x14ac:dyDescent="0.25">
      <c r="A870" s="7">
        <v>3.6825732265358315E-3</v>
      </c>
      <c r="B870"/>
      <c r="C870"/>
      <c r="D870"/>
      <c r="E870"/>
      <c r="BH870" s="27" t="s">
        <v>7</v>
      </c>
      <c r="BI870" s="27" t="s">
        <v>8</v>
      </c>
      <c r="BJ870" s="27" t="s">
        <v>7</v>
      </c>
      <c r="BK870" s="27" t="s">
        <v>8</v>
      </c>
      <c r="BM870" s="27" t="s">
        <v>8</v>
      </c>
      <c r="BN870" s="27" t="s">
        <v>7</v>
      </c>
      <c r="BO870" s="27" t="s">
        <v>8</v>
      </c>
      <c r="BP870" s="27" t="s">
        <v>7</v>
      </c>
      <c r="BU870" s="27" t="s">
        <v>8</v>
      </c>
      <c r="BV870" s="27" t="s">
        <v>7</v>
      </c>
      <c r="BW870" s="27" t="s">
        <v>8</v>
      </c>
      <c r="DE870" s="27" t="s">
        <v>8</v>
      </c>
      <c r="DF870" s="27" t="s">
        <v>7</v>
      </c>
      <c r="FC870" s="27" t="s">
        <v>8</v>
      </c>
    </row>
    <row r="871" spans="1:159" x14ac:dyDescent="0.25">
      <c r="A871" s="7">
        <v>3.6103659083684624E-3</v>
      </c>
      <c r="B871"/>
      <c r="C871"/>
      <c r="D871"/>
      <c r="E871"/>
      <c r="BH871" s="27" t="s">
        <v>7</v>
      </c>
      <c r="BI871" s="27" t="s">
        <v>8</v>
      </c>
      <c r="BJ871" s="27" t="s">
        <v>7</v>
      </c>
      <c r="BK871" s="27" t="s">
        <v>8</v>
      </c>
      <c r="BL871" s="27" t="s">
        <v>7</v>
      </c>
      <c r="BM871" s="27" t="s">
        <v>8</v>
      </c>
      <c r="BN871" s="27" t="s">
        <v>7</v>
      </c>
      <c r="BO871" s="27" t="s">
        <v>8</v>
      </c>
      <c r="BP871" s="27" t="s">
        <v>7</v>
      </c>
      <c r="BU871" s="27" t="s">
        <v>8</v>
      </c>
      <c r="BV871" s="27" t="s">
        <v>7</v>
      </c>
      <c r="BW871" s="27" t="s">
        <v>8</v>
      </c>
      <c r="BX871" s="27" t="s">
        <v>7</v>
      </c>
      <c r="DC871" s="27" t="s">
        <v>8</v>
      </c>
      <c r="DE871" s="27" t="s">
        <v>8</v>
      </c>
      <c r="DF871" s="27" t="s">
        <v>7</v>
      </c>
      <c r="FC871" s="27" t="s">
        <v>8</v>
      </c>
    </row>
    <row r="872" spans="1:159" x14ac:dyDescent="0.25">
      <c r="A872" s="7">
        <v>3.539574419969081E-3</v>
      </c>
      <c r="B872"/>
      <c r="C872"/>
      <c r="D872"/>
      <c r="E872"/>
      <c r="BH872" s="27" t="s">
        <v>7</v>
      </c>
      <c r="BI872" s="27" t="s">
        <v>8</v>
      </c>
      <c r="BJ872" s="27" t="s">
        <v>7</v>
      </c>
      <c r="BK872" s="27" t="s">
        <v>8</v>
      </c>
      <c r="BL872" s="27" t="s">
        <v>7</v>
      </c>
      <c r="BM872" s="27" t="s">
        <v>8</v>
      </c>
      <c r="BN872" s="27" t="s">
        <v>7</v>
      </c>
      <c r="BO872" s="27" t="s">
        <v>8</v>
      </c>
      <c r="BP872" s="27" t="s">
        <v>7</v>
      </c>
      <c r="BU872" s="27" t="s">
        <v>8</v>
      </c>
      <c r="BV872" s="27" t="s">
        <v>7</v>
      </c>
      <c r="BW872" s="27" t="s">
        <v>8</v>
      </c>
      <c r="BX872" s="27" t="s">
        <v>7</v>
      </c>
      <c r="DC872" s="27" t="s">
        <v>8</v>
      </c>
      <c r="DD872" s="27" t="s">
        <v>7</v>
      </c>
      <c r="DE872" s="27" t="s">
        <v>8</v>
      </c>
      <c r="DF872" s="27" t="s">
        <v>7</v>
      </c>
      <c r="FC872" s="27" t="s">
        <v>8</v>
      </c>
    </row>
    <row r="873" spans="1:159" x14ac:dyDescent="0.25">
      <c r="A873" s="7">
        <v>3.4701709999696872E-3</v>
      </c>
      <c r="B873"/>
      <c r="C873"/>
      <c r="D873"/>
      <c r="E873"/>
      <c r="BH873" s="27" t="s">
        <v>7</v>
      </c>
      <c r="BI873" s="27" t="s">
        <v>8</v>
      </c>
      <c r="BJ873" s="27" t="s">
        <v>7</v>
      </c>
      <c r="BK873" s="27" t="s">
        <v>8</v>
      </c>
      <c r="BL873" s="27" t="s">
        <v>7</v>
      </c>
      <c r="BM873" s="27" t="s">
        <v>8</v>
      </c>
      <c r="BN873" s="27" t="s">
        <v>7</v>
      </c>
      <c r="BP873" s="27" t="s">
        <v>7</v>
      </c>
      <c r="BQ873" s="27" t="s">
        <v>8</v>
      </c>
      <c r="BS873" s="27" t="s">
        <v>8</v>
      </c>
      <c r="BU873" s="27" t="s">
        <v>8</v>
      </c>
      <c r="BV873" s="27" t="s">
        <v>7</v>
      </c>
      <c r="BW873" s="27" t="s">
        <v>8</v>
      </c>
      <c r="BX873" s="27" t="s">
        <v>7</v>
      </c>
      <c r="BY873" s="27" t="s">
        <v>8</v>
      </c>
      <c r="DC873" s="27" t="s">
        <v>8</v>
      </c>
      <c r="DD873" s="27" t="s">
        <v>7</v>
      </c>
      <c r="DE873" s="27" t="s">
        <v>8</v>
      </c>
      <c r="DF873" s="27" t="s">
        <v>7</v>
      </c>
      <c r="DG873" s="27" t="s">
        <v>8</v>
      </c>
      <c r="FC873" s="27" t="s">
        <v>8</v>
      </c>
    </row>
    <row r="874" spans="1:159" x14ac:dyDescent="0.25">
      <c r="A874" s="7">
        <v>3.4021284313428307E-3</v>
      </c>
      <c r="B874"/>
      <c r="C874"/>
      <c r="D874"/>
      <c r="E874"/>
      <c r="BH874" s="27" t="s">
        <v>7</v>
      </c>
      <c r="BI874" s="27" t="s">
        <v>8</v>
      </c>
      <c r="BJ874" s="27" t="s">
        <v>7</v>
      </c>
      <c r="BK874" s="27" t="s">
        <v>8</v>
      </c>
      <c r="BL874" s="27" t="s">
        <v>7</v>
      </c>
      <c r="BM874" s="27" t="s">
        <v>8</v>
      </c>
      <c r="BP874" s="27" t="s">
        <v>7</v>
      </c>
      <c r="BQ874" s="27" t="s">
        <v>8</v>
      </c>
      <c r="BR874" s="27" t="s">
        <v>7</v>
      </c>
      <c r="BS874" s="27" t="s">
        <v>8</v>
      </c>
      <c r="BT874" s="27" t="s">
        <v>7</v>
      </c>
      <c r="BU874" s="27" t="s">
        <v>8</v>
      </c>
      <c r="BV874" s="27" t="s">
        <v>7</v>
      </c>
      <c r="BW874" s="27" t="s">
        <v>8</v>
      </c>
      <c r="BX874" s="27" t="s">
        <v>7</v>
      </c>
      <c r="BY874" s="27" t="s">
        <v>8</v>
      </c>
      <c r="BZ874" s="27" t="s">
        <v>7</v>
      </c>
      <c r="DC874" s="27" t="s">
        <v>8</v>
      </c>
      <c r="DD874" s="27" t="s">
        <v>7</v>
      </c>
      <c r="DE874" s="27" t="s">
        <v>8</v>
      </c>
      <c r="DF874" s="27" t="s">
        <v>7</v>
      </c>
      <c r="DG874" s="27" t="s">
        <v>8</v>
      </c>
      <c r="DH874" s="27" t="s">
        <v>7</v>
      </c>
      <c r="FC874" s="27" t="s">
        <v>8</v>
      </c>
    </row>
    <row r="875" spans="1:159" x14ac:dyDescent="0.25">
      <c r="A875" s="7">
        <v>3.3354200307282654E-3</v>
      </c>
      <c r="B875"/>
      <c r="C875"/>
      <c r="D875"/>
      <c r="E875"/>
      <c r="BH875" s="27" t="s">
        <v>7</v>
      </c>
      <c r="BI875" s="27" t="s">
        <v>8</v>
      </c>
      <c r="BJ875" s="27" t="s">
        <v>7</v>
      </c>
      <c r="BK875" s="27" t="s">
        <v>8</v>
      </c>
      <c r="BL875" s="27" t="s">
        <v>7</v>
      </c>
      <c r="BM875" s="27" t="s">
        <v>8</v>
      </c>
      <c r="BP875" s="27" t="s">
        <v>7</v>
      </c>
      <c r="BQ875" s="27" t="s">
        <v>8</v>
      </c>
      <c r="BR875" s="27" t="s">
        <v>7</v>
      </c>
      <c r="BS875" s="27" t="s">
        <v>8</v>
      </c>
      <c r="BT875" s="27" t="s">
        <v>7</v>
      </c>
      <c r="BU875" s="27" t="s">
        <v>8</v>
      </c>
      <c r="BV875" s="27" t="s">
        <v>7</v>
      </c>
      <c r="BW875" s="27" t="s">
        <v>8</v>
      </c>
      <c r="BX875" s="27" t="s">
        <v>7</v>
      </c>
      <c r="BY875" s="27" t="s">
        <v>8</v>
      </c>
      <c r="BZ875" s="27" t="s">
        <v>7</v>
      </c>
      <c r="DC875" s="27" t="s">
        <v>8</v>
      </c>
      <c r="DD875" s="27" t="s">
        <v>7</v>
      </c>
      <c r="DE875" s="27" t="s">
        <v>8</v>
      </c>
      <c r="DF875" s="27" t="s">
        <v>7</v>
      </c>
      <c r="DG875" s="27" t="s">
        <v>8</v>
      </c>
      <c r="DH875" s="27" t="s">
        <v>7</v>
      </c>
      <c r="DI875" s="27" t="s">
        <v>8</v>
      </c>
      <c r="FC875" s="27" t="s">
        <v>8</v>
      </c>
    </row>
    <row r="876" spans="1:159" x14ac:dyDescent="0.25">
      <c r="A876" s="7">
        <v>3.2700196379688881E-3</v>
      </c>
      <c r="B876"/>
      <c r="C876"/>
      <c r="D876"/>
      <c r="E876"/>
      <c r="BH876" s="27" t="s">
        <v>7</v>
      </c>
      <c r="BI876" s="27" t="s">
        <v>8</v>
      </c>
      <c r="BJ876" s="27" t="s">
        <v>7</v>
      </c>
      <c r="BK876" s="27" t="s">
        <v>8</v>
      </c>
      <c r="BL876" s="27" t="s">
        <v>7</v>
      </c>
      <c r="BM876" s="27" t="s">
        <v>8</v>
      </c>
      <c r="BP876" s="27" t="s">
        <v>7</v>
      </c>
      <c r="BR876" s="27" t="s">
        <v>7</v>
      </c>
      <c r="BS876" s="27" t="s">
        <v>8</v>
      </c>
      <c r="BT876" s="27" t="s">
        <v>7</v>
      </c>
      <c r="BU876" s="27" t="s">
        <v>8</v>
      </c>
      <c r="BV876" s="27" t="s">
        <v>7</v>
      </c>
      <c r="BX876" s="27" t="s">
        <v>7</v>
      </c>
      <c r="BY876" s="27" t="s">
        <v>8</v>
      </c>
      <c r="BZ876" s="27" t="s">
        <v>7</v>
      </c>
      <c r="DC876" s="27" t="s">
        <v>8</v>
      </c>
      <c r="DD876" s="27" t="s">
        <v>7</v>
      </c>
      <c r="DF876" s="27" t="s">
        <v>7</v>
      </c>
      <c r="DG876" s="27" t="s">
        <v>8</v>
      </c>
      <c r="DH876" s="27" t="s">
        <v>7</v>
      </c>
      <c r="DI876" s="27" t="s">
        <v>8</v>
      </c>
      <c r="DJ876" s="27" t="s">
        <v>7</v>
      </c>
      <c r="FC876" s="27" t="s">
        <v>8</v>
      </c>
    </row>
    <row r="877" spans="1:159" x14ac:dyDescent="0.25">
      <c r="A877" s="7">
        <v>3.205901605851851E-3</v>
      </c>
      <c r="B877"/>
      <c r="C877"/>
      <c r="D877"/>
      <c r="E877"/>
      <c r="BH877" s="27" t="s">
        <v>7</v>
      </c>
      <c r="BI877" s="27" t="s">
        <v>8</v>
      </c>
      <c r="BJ877" s="27" t="s">
        <v>7</v>
      </c>
      <c r="BK877" s="27" t="s">
        <v>8</v>
      </c>
      <c r="BL877" s="27" t="s">
        <v>7</v>
      </c>
      <c r="BM877" s="27" t="s">
        <v>8</v>
      </c>
      <c r="BR877" s="27" t="s">
        <v>7</v>
      </c>
      <c r="BS877" s="27" t="s">
        <v>8</v>
      </c>
      <c r="BT877" s="27" t="s">
        <v>7</v>
      </c>
      <c r="BU877" s="27" t="s">
        <v>8</v>
      </c>
      <c r="BX877" s="27" t="s">
        <v>7</v>
      </c>
      <c r="BZ877" s="27" t="s">
        <v>7</v>
      </c>
      <c r="DC877" s="27" t="s">
        <v>8</v>
      </c>
      <c r="DF877" s="27" t="s">
        <v>7</v>
      </c>
      <c r="DG877" s="27" t="s">
        <v>8</v>
      </c>
      <c r="DH877" s="27" t="s">
        <v>7</v>
      </c>
      <c r="DI877" s="27" t="s">
        <v>8</v>
      </c>
      <c r="DJ877" s="27" t="s">
        <v>7</v>
      </c>
      <c r="FC877" s="27" t="s">
        <v>8</v>
      </c>
    </row>
    <row r="878" spans="1:159" x14ac:dyDescent="0.25">
      <c r="A878" s="7">
        <v>3.1430407900508344E-3</v>
      </c>
      <c r="B878"/>
      <c r="C878"/>
      <c r="D878"/>
      <c r="E878"/>
      <c r="BH878" s="27" t="s">
        <v>7</v>
      </c>
      <c r="BI878" s="27" t="s">
        <v>8</v>
      </c>
      <c r="BJ878" s="27" t="s">
        <v>7</v>
      </c>
      <c r="BK878" s="27" t="s">
        <v>8</v>
      </c>
      <c r="BL878" s="27" t="s">
        <v>7</v>
      </c>
      <c r="BR878" s="27" t="s">
        <v>7</v>
      </c>
      <c r="BS878" s="27" t="s">
        <v>8</v>
      </c>
      <c r="BT878" s="27" t="s">
        <v>7</v>
      </c>
      <c r="BZ878" s="27" t="s">
        <v>7</v>
      </c>
      <c r="DA878" s="27" t="s">
        <v>8</v>
      </c>
      <c r="DC878" s="27" t="s">
        <v>8</v>
      </c>
      <c r="DF878" s="27" t="s">
        <v>7</v>
      </c>
      <c r="DG878" s="27" t="s">
        <v>8</v>
      </c>
      <c r="DH878" s="27" t="s">
        <v>7</v>
      </c>
      <c r="DI878" s="27" t="s">
        <v>8</v>
      </c>
      <c r="DJ878" s="27" t="s">
        <v>7</v>
      </c>
      <c r="FC878" s="27" t="s">
        <v>8</v>
      </c>
    </row>
    <row r="879" spans="1:159" x14ac:dyDescent="0.25">
      <c r="A879" s="7">
        <v>3.0814125392655241E-3</v>
      </c>
      <c r="B879"/>
      <c r="C879"/>
      <c r="D879"/>
      <c r="E879"/>
      <c r="BH879" s="27" t="s">
        <v>7</v>
      </c>
      <c r="BJ879" s="27" t="s">
        <v>7</v>
      </c>
      <c r="BK879" s="27" t="s">
        <v>8</v>
      </c>
      <c r="BR879" s="27" t="s">
        <v>7</v>
      </c>
      <c r="BS879" s="27" t="s">
        <v>8</v>
      </c>
      <c r="BZ879" s="27" t="s">
        <v>7</v>
      </c>
      <c r="DA879" s="27" t="s">
        <v>8</v>
      </c>
      <c r="DB879" s="27" t="s">
        <v>7</v>
      </c>
      <c r="DC879" s="27" t="s">
        <v>8</v>
      </c>
      <c r="DF879" s="27" t="s">
        <v>7</v>
      </c>
      <c r="DG879" s="27" t="s">
        <v>8</v>
      </c>
      <c r="DH879" s="27" t="s">
        <v>7</v>
      </c>
      <c r="DI879" s="27" t="s">
        <v>8</v>
      </c>
      <c r="DJ879" s="27" t="s">
        <v>7</v>
      </c>
      <c r="DM879" s="27" t="s">
        <v>8</v>
      </c>
      <c r="FC879" s="27" t="s">
        <v>8</v>
      </c>
    </row>
    <row r="880" spans="1:159" x14ac:dyDescent="0.25">
      <c r="A880" s="7">
        <v>3.0209926855544354E-3</v>
      </c>
      <c r="B880"/>
      <c r="C880"/>
      <c r="D880"/>
      <c r="E880"/>
      <c r="BJ880" s="27" t="s">
        <v>7</v>
      </c>
      <c r="BR880" s="27" t="s">
        <v>7</v>
      </c>
      <c r="BZ880" s="27" t="s">
        <v>7</v>
      </c>
      <c r="DA880" s="27" t="s">
        <v>8</v>
      </c>
      <c r="DB880" s="27" t="s">
        <v>7</v>
      </c>
      <c r="DC880" s="27" t="s">
        <v>8</v>
      </c>
      <c r="DF880" s="27" t="s">
        <v>7</v>
      </c>
      <c r="DG880" s="27" t="s">
        <v>8</v>
      </c>
      <c r="DH880" s="27" t="s">
        <v>7</v>
      </c>
      <c r="DI880" s="27" t="s">
        <v>8</v>
      </c>
      <c r="DJ880" s="27" t="s">
        <v>7</v>
      </c>
      <c r="DM880" s="27" t="s">
        <v>8</v>
      </c>
      <c r="DN880" s="27" t="s">
        <v>7</v>
      </c>
      <c r="FC880" s="27" t="s">
        <v>8</v>
      </c>
    </row>
    <row r="881" spans="1:159" x14ac:dyDescent="0.25">
      <c r="A881" s="7">
        <v>2.9617575348572897E-3</v>
      </c>
      <c r="B881"/>
      <c r="C881"/>
      <c r="D881"/>
      <c r="E881"/>
      <c r="BZ881" s="27" t="s">
        <v>7</v>
      </c>
      <c r="CA881" s="27" t="s">
        <v>8</v>
      </c>
      <c r="CE881" s="27" t="s">
        <v>8</v>
      </c>
      <c r="DA881" s="27" t="s">
        <v>8</v>
      </c>
      <c r="DB881" s="27" t="s">
        <v>7</v>
      </c>
      <c r="DF881" s="27" t="s">
        <v>7</v>
      </c>
      <c r="DG881" s="27" t="s">
        <v>8</v>
      </c>
      <c r="DH881" s="27" t="s">
        <v>7</v>
      </c>
      <c r="DJ881" s="27" t="s">
        <v>7</v>
      </c>
      <c r="DK881" s="27" t="s">
        <v>8</v>
      </c>
      <c r="DM881" s="27" t="s">
        <v>8</v>
      </c>
      <c r="DN881" s="27" t="s">
        <v>7</v>
      </c>
      <c r="EY881" s="27" t="s">
        <v>8</v>
      </c>
      <c r="FA881" s="27" t="s">
        <v>8</v>
      </c>
      <c r="FC881" s="27" t="s">
        <v>8</v>
      </c>
    </row>
    <row r="882" spans="1:159" x14ac:dyDescent="0.25">
      <c r="A882" s="7">
        <v>2.9036838577032251E-3</v>
      </c>
      <c r="B882"/>
      <c r="C882"/>
      <c r="D882"/>
      <c r="E882"/>
      <c r="BZ882" s="27" t="s">
        <v>7</v>
      </c>
      <c r="CA882" s="27" t="s">
        <v>8</v>
      </c>
      <c r="CB882" s="27" t="s">
        <v>7</v>
      </c>
      <c r="CE882" s="27" t="s">
        <v>8</v>
      </c>
      <c r="CF882" s="27" t="s">
        <v>7</v>
      </c>
      <c r="CG882" s="27" t="s">
        <v>8</v>
      </c>
      <c r="DA882" s="27" t="s">
        <v>8</v>
      </c>
      <c r="DF882" s="27" t="s">
        <v>7</v>
      </c>
      <c r="DJ882" s="27" t="s">
        <v>7</v>
      </c>
      <c r="DK882" s="27" t="s">
        <v>8</v>
      </c>
      <c r="DL882" s="27" t="s">
        <v>7</v>
      </c>
      <c r="DM882" s="27" t="s">
        <v>8</v>
      </c>
      <c r="DN882" s="27" t="s">
        <v>7</v>
      </c>
      <c r="EY882" s="27" t="s">
        <v>8</v>
      </c>
      <c r="EZ882" s="27" t="s">
        <v>7</v>
      </c>
      <c r="FA882" s="27" t="s">
        <v>8</v>
      </c>
      <c r="FB882" s="27" t="s">
        <v>7</v>
      </c>
      <c r="FC882" s="27" t="s">
        <v>8</v>
      </c>
    </row>
    <row r="883" spans="1:159" x14ac:dyDescent="0.25">
      <c r="A883" s="7">
        <v>2.8467488801012012E-3</v>
      </c>
      <c r="B883"/>
      <c r="C883"/>
      <c r="D883"/>
      <c r="E883"/>
      <c r="BZ883" s="27" t="s">
        <v>7</v>
      </c>
      <c r="CA883" s="27" t="s">
        <v>8</v>
      </c>
      <c r="CB883" s="27" t="s">
        <v>7</v>
      </c>
      <c r="CC883" s="27" t="s">
        <v>8</v>
      </c>
      <c r="CE883" s="27" t="s">
        <v>8</v>
      </c>
      <c r="CF883" s="27" t="s">
        <v>7</v>
      </c>
      <c r="CG883" s="27" t="s">
        <v>8</v>
      </c>
      <c r="CH883" s="27" t="s">
        <v>7</v>
      </c>
      <c r="DA883" s="27" t="s">
        <v>8</v>
      </c>
      <c r="DJ883" s="27" t="s">
        <v>7</v>
      </c>
      <c r="DK883" s="27" t="s">
        <v>8</v>
      </c>
      <c r="DL883" s="27" t="s">
        <v>7</v>
      </c>
      <c r="DM883" s="27" t="s">
        <v>8</v>
      </c>
      <c r="DN883" s="27" t="s">
        <v>7</v>
      </c>
      <c r="EY883" s="27" t="s">
        <v>8</v>
      </c>
      <c r="EZ883" s="27" t="s">
        <v>7</v>
      </c>
      <c r="FA883" s="27" t="s">
        <v>8</v>
      </c>
      <c r="FB883" s="27" t="s">
        <v>7</v>
      </c>
      <c r="FC883" s="27" t="s">
        <v>8</v>
      </c>
    </row>
    <row r="884" spans="1:159" x14ac:dyDescent="0.25">
      <c r="A884" s="7">
        <v>2.7909302746090209E-3</v>
      </c>
      <c r="B884"/>
      <c r="C884"/>
      <c r="D884"/>
      <c r="E884"/>
      <c r="BZ884" s="27" t="s">
        <v>7</v>
      </c>
      <c r="CA884" s="27" t="s">
        <v>8</v>
      </c>
      <c r="CB884" s="27" t="s">
        <v>7</v>
      </c>
      <c r="CC884" s="27" t="s">
        <v>8</v>
      </c>
      <c r="CD884" s="27" t="s">
        <v>7</v>
      </c>
      <c r="CE884" s="27" t="s">
        <v>8</v>
      </c>
      <c r="CF884" s="27" t="s">
        <v>7</v>
      </c>
      <c r="CG884" s="27" t="s">
        <v>8</v>
      </c>
      <c r="CH884" s="27" t="s">
        <v>7</v>
      </c>
      <c r="CM884" s="27" t="s">
        <v>8</v>
      </c>
      <c r="DA884" s="27" t="s">
        <v>8</v>
      </c>
      <c r="DJ884" s="27" t="s">
        <v>7</v>
      </c>
      <c r="DK884" s="27" t="s">
        <v>8</v>
      </c>
      <c r="DL884" s="27" t="s">
        <v>7</v>
      </c>
      <c r="DM884" s="27" t="s">
        <v>8</v>
      </c>
      <c r="DN884" s="27" t="s">
        <v>7</v>
      </c>
      <c r="EY884" s="27" t="s">
        <v>8</v>
      </c>
      <c r="EZ884" s="27" t="s">
        <v>7</v>
      </c>
      <c r="FA884" s="27" t="s">
        <v>8</v>
      </c>
      <c r="FB884" s="27" t="s">
        <v>7</v>
      </c>
      <c r="FC884" s="27" t="s">
        <v>8</v>
      </c>
    </row>
    <row r="885" spans="1:159" x14ac:dyDescent="0.25">
      <c r="A885" s="7">
        <v>2.7362061515774716E-3</v>
      </c>
      <c r="B885"/>
      <c r="C885"/>
      <c r="D885"/>
      <c r="E885"/>
      <c r="BZ885" s="27" t="s">
        <v>7</v>
      </c>
      <c r="CA885" s="27" t="s">
        <v>8</v>
      </c>
      <c r="CB885" s="27" t="s">
        <v>7</v>
      </c>
      <c r="CC885" s="27" t="s">
        <v>8</v>
      </c>
      <c r="CD885" s="27" t="s">
        <v>7</v>
      </c>
      <c r="CE885" s="27" t="s">
        <v>8</v>
      </c>
      <c r="CF885" s="27" t="s">
        <v>7</v>
      </c>
      <c r="CG885" s="27" t="s">
        <v>8</v>
      </c>
      <c r="CH885" s="27" t="s">
        <v>7</v>
      </c>
      <c r="CM885" s="27" t="s">
        <v>8</v>
      </c>
      <c r="CN885" s="27" t="s">
        <v>7</v>
      </c>
      <c r="CU885" s="27" t="s">
        <v>8</v>
      </c>
      <c r="DA885" s="27" t="s">
        <v>8</v>
      </c>
      <c r="DJ885" s="27" t="s">
        <v>7</v>
      </c>
      <c r="DK885" s="27" t="s">
        <v>8</v>
      </c>
      <c r="DL885" s="27" t="s">
        <v>7</v>
      </c>
      <c r="DM885" s="27" t="s">
        <v>8</v>
      </c>
      <c r="DN885" s="27" t="s">
        <v>7</v>
      </c>
      <c r="EY885" s="27" t="s">
        <v>8</v>
      </c>
      <c r="EZ885" s="27" t="s">
        <v>7</v>
      </c>
      <c r="FA885" s="27" t="s">
        <v>8</v>
      </c>
      <c r="FB885" s="27" t="s">
        <v>7</v>
      </c>
      <c r="FC885" s="27" t="s">
        <v>8</v>
      </c>
    </row>
    <row r="886" spans="1:159" x14ac:dyDescent="0.25">
      <c r="A886" s="7">
        <v>2.6825550505661486E-3</v>
      </c>
      <c r="B886"/>
      <c r="C886"/>
      <c r="D886"/>
      <c r="E886"/>
      <c r="BZ886" s="27" t="s">
        <v>7</v>
      </c>
      <c r="CA886" s="27" t="s">
        <v>8</v>
      </c>
      <c r="CB886" s="27" t="s">
        <v>7</v>
      </c>
      <c r="CC886" s="27" t="s">
        <v>8</v>
      </c>
      <c r="CD886" s="27" t="s">
        <v>7</v>
      </c>
      <c r="CE886" s="27" t="s">
        <v>8</v>
      </c>
      <c r="CF886" s="27" t="s">
        <v>7</v>
      </c>
      <c r="CG886" s="27" t="s">
        <v>8</v>
      </c>
      <c r="CH886" s="27" t="s">
        <v>7</v>
      </c>
      <c r="CI886" s="27" t="s">
        <v>8</v>
      </c>
      <c r="CK886" s="27" t="s">
        <v>8</v>
      </c>
      <c r="CM886" s="27" t="s">
        <v>8</v>
      </c>
      <c r="CN886" s="27" t="s">
        <v>7</v>
      </c>
      <c r="CS886" s="27" t="s">
        <v>8</v>
      </c>
      <c r="CU886" s="27" t="s">
        <v>8</v>
      </c>
      <c r="CV886" s="27" t="s">
        <v>7</v>
      </c>
      <c r="CW886" s="27" t="s">
        <v>8</v>
      </c>
      <c r="DA886" s="27" t="s">
        <v>8</v>
      </c>
      <c r="DJ886" s="27" t="s">
        <v>7</v>
      </c>
      <c r="DK886" s="27" t="s">
        <v>8</v>
      </c>
      <c r="DL886" s="27" t="s">
        <v>7</v>
      </c>
      <c r="DN886" s="27" t="s">
        <v>7</v>
      </c>
      <c r="EY886" s="27" t="s">
        <v>8</v>
      </c>
      <c r="EZ886" s="27" t="s">
        <v>7</v>
      </c>
      <c r="FA886" s="27" t="s">
        <v>8</v>
      </c>
      <c r="FB886" s="27" t="s">
        <v>7</v>
      </c>
      <c r="FC886" s="27" t="s">
        <v>8</v>
      </c>
    </row>
    <row r="887" spans="1:159" x14ac:dyDescent="0.25">
      <c r="A887" s="7">
        <v>2.6299559319275965E-3</v>
      </c>
      <c r="B887"/>
      <c r="C887"/>
      <c r="D887"/>
      <c r="E887"/>
      <c r="BZ887" s="27" t="s">
        <v>7</v>
      </c>
      <c r="CA887" s="27" t="s">
        <v>8</v>
      </c>
      <c r="CB887" s="27" t="s">
        <v>7</v>
      </c>
      <c r="CC887" s="27" t="s">
        <v>8</v>
      </c>
      <c r="CD887" s="27" t="s">
        <v>7</v>
      </c>
      <c r="CF887" s="27" t="s">
        <v>7</v>
      </c>
      <c r="CH887" s="27" t="s">
        <v>7</v>
      </c>
      <c r="CI887" s="27" t="s">
        <v>8</v>
      </c>
      <c r="CJ887" s="27" t="s">
        <v>7</v>
      </c>
      <c r="CK887" s="27" t="s">
        <v>8</v>
      </c>
      <c r="CL887" s="27" t="s">
        <v>7</v>
      </c>
      <c r="CM887" s="27" t="s">
        <v>8</v>
      </c>
      <c r="CN887" s="27" t="s">
        <v>7</v>
      </c>
      <c r="CO887" s="27" t="s">
        <v>8</v>
      </c>
      <c r="CS887" s="27" t="s">
        <v>8</v>
      </c>
      <c r="CT887" s="27" t="s">
        <v>7</v>
      </c>
      <c r="CU887" s="27" t="s">
        <v>8</v>
      </c>
      <c r="CV887" s="27" t="s">
        <v>7</v>
      </c>
      <c r="CW887" s="27" t="s">
        <v>8</v>
      </c>
      <c r="CX887" s="27" t="s">
        <v>7</v>
      </c>
      <c r="CY887" s="27" t="s">
        <v>8</v>
      </c>
      <c r="DA887" s="27" t="s">
        <v>8</v>
      </c>
      <c r="DJ887" s="27" t="s">
        <v>7</v>
      </c>
      <c r="DK887" s="27" t="s">
        <v>8</v>
      </c>
      <c r="DN887" s="27" t="s">
        <v>7</v>
      </c>
      <c r="EY887" s="27" t="s">
        <v>8</v>
      </c>
      <c r="EZ887" s="27" t="s">
        <v>7</v>
      </c>
      <c r="FA887" s="27" t="s">
        <v>8</v>
      </c>
      <c r="FB887" s="27" t="s">
        <v>7</v>
      </c>
      <c r="FC887" s="27" t="s">
        <v>8</v>
      </c>
    </row>
    <row r="888" spans="1:159" x14ac:dyDescent="0.25">
      <c r="A888" s="7">
        <v>2.578388168556467E-3</v>
      </c>
      <c r="B888"/>
      <c r="C888"/>
      <c r="D888"/>
      <c r="E888"/>
      <c r="BZ888" s="27" t="s">
        <v>7</v>
      </c>
      <c r="CA888" s="27" t="s">
        <v>8</v>
      </c>
      <c r="CB888" s="27" t="s">
        <v>7</v>
      </c>
      <c r="CC888" s="27" t="s">
        <v>8</v>
      </c>
      <c r="CH888" s="27" t="s">
        <v>7</v>
      </c>
      <c r="CI888" s="27" t="s">
        <v>8</v>
      </c>
      <c r="CJ888" s="27" t="s">
        <v>7</v>
      </c>
      <c r="CK888" s="27" t="s">
        <v>8</v>
      </c>
      <c r="CL888" s="27" t="s">
        <v>7</v>
      </c>
      <c r="CM888" s="27" t="s">
        <v>8</v>
      </c>
      <c r="CN888" s="27" t="s">
        <v>7</v>
      </c>
      <c r="CO888" s="27" t="s">
        <v>8</v>
      </c>
      <c r="CP888" s="27" t="s">
        <v>7</v>
      </c>
      <c r="CS888" s="27" t="s">
        <v>8</v>
      </c>
      <c r="CT888" s="27" t="s">
        <v>7</v>
      </c>
      <c r="CU888" s="27" t="s">
        <v>8</v>
      </c>
      <c r="CV888" s="27" t="s">
        <v>7</v>
      </c>
      <c r="CW888" s="27" t="s">
        <v>8</v>
      </c>
      <c r="CX888" s="27" t="s">
        <v>7</v>
      </c>
      <c r="CY888" s="27" t="s">
        <v>8</v>
      </c>
      <c r="CZ888" s="27" t="s">
        <v>7</v>
      </c>
      <c r="DA888" s="27" t="s">
        <v>8</v>
      </c>
      <c r="DJ888" s="27" t="s">
        <v>7</v>
      </c>
      <c r="DK888" s="27" t="s">
        <v>8</v>
      </c>
      <c r="DN888" s="27" t="s">
        <v>7</v>
      </c>
      <c r="DO888" s="27" t="s">
        <v>8</v>
      </c>
      <c r="EY888" s="27" t="s">
        <v>8</v>
      </c>
      <c r="EZ888" s="27" t="s">
        <v>7</v>
      </c>
      <c r="FA888" s="27" t="s">
        <v>8</v>
      </c>
      <c r="FB888" s="27" t="s">
        <v>7</v>
      </c>
      <c r="FC888" s="27" t="s">
        <v>8</v>
      </c>
    </row>
    <row r="889" spans="1:159" x14ac:dyDescent="0.25">
      <c r="A889" s="7">
        <v>2.5278315378004577E-3</v>
      </c>
      <c r="B889"/>
      <c r="C889"/>
      <c r="D889"/>
      <c r="E889"/>
      <c r="BZ889" s="27" t="s">
        <v>7</v>
      </c>
      <c r="CA889" s="27" t="s">
        <v>8</v>
      </c>
      <c r="CB889" s="27" t="s">
        <v>7</v>
      </c>
      <c r="CC889" s="27" t="s">
        <v>8</v>
      </c>
      <c r="CH889" s="27" t="s">
        <v>7</v>
      </c>
      <c r="CI889" s="27" t="s">
        <v>8</v>
      </c>
      <c r="CJ889" s="27" t="s">
        <v>7</v>
      </c>
      <c r="CK889" s="27" t="s">
        <v>8</v>
      </c>
      <c r="CL889" s="27" t="s">
        <v>7</v>
      </c>
      <c r="CM889" s="27" t="s">
        <v>8</v>
      </c>
      <c r="CN889" s="27" t="s">
        <v>7</v>
      </c>
      <c r="CO889" s="27" t="s">
        <v>8</v>
      </c>
      <c r="CP889" s="27" t="s">
        <v>7</v>
      </c>
      <c r="CS889" s="27" t="s">
        <v>8</v>
      </c>
      <c r="CT889" s="27" t="s">
        <v>7</v>
      </c>
      <c r="CU889" s="27" t="s">
        <v>8</v>
      </c>
      <c r="CV889" s="27" t="s">
        <v>7</v>
      </c>
      <c r="CW889" s="27" t="s">
        <v>8</v>
      </c>
      <c r="CX889" s="27" t="s">
        <v>7</v>
      </c>
      <c r="CY889" s="27" t="s">
        <v>8</v>
      </c>
      <c r="CZ889" s="27" t="s">
        <v>7</v>
      </c>
      <c r="DA889" s="27" t="s">
        <v>8</v>
      </c>
      <c r="DJ889" s="27" t="s">
        <v>7</v>
      </c>
      <c r="DK889" s="27" t="s">
        <v>8</v>
      </c>
      <c r="DN889" s="27" t="s">
        <v>7</v>
      </c>
      <c r="DO889" s="27" t="s">
        <v>8</v>
      </c>
      <c r="DP889" s="27" t="s">
        <v>7</v>
      </c>
      <c r="EY889" s="27" t="s">
        <v>8</v>
      </c>
      <c r="EZ889" s="27" t="s">
        <v>7</v>
      </c>
      <c r="FA889" s="27" t="s">
        <v>8</v>
      </c>
      <c r="FB889" s="27" t="s">
        <v>7</v>
      </c>
      <c r="FC889" s="27" t="s">
        <v>8</v>
      </c>
    </row>
    <row r="890" spans="1:159" x14ac:dyDescent="0.25">
      <c r="A890" s="7">
        <v>2.4782662135298603E-3</v>
      </c>
      <c r="B890"/>
      <c r="C890"/>
      <c r="D890"/>
      <c r="E890"/>
      <c r="BZ890" s="27" t="s">
        <v>7</v>
      </c>
      <c r="CB890" s="27" t="s">
        <v>7</v>
      </c>
      <c r="CH890" s="27" t="s">
        <v>7</v>
      </c>
      <c r="CJ890" s="27" t="s">
        <v>7</v>
      </c>
      <c r="CL890" s="27" t="s">
        <v>7</v>
      </c>
      <c r="CM890" s="27" t="s">
        <v>8</v>
      </c>
      <c r="CN890" s="27" t="s">
        <v>7</v>
      </c>
      <c r="CO890" s="27" t="s">
        <v>8</v>
      </c>
      <c r="CP890" s="27" t="s">
        <v>7</v>
      </c>
      <c r="CQ890" s="27" t="s">
        <v>8</v>
      </c>
      <c r="CS890" s="27" t="s">
        <v>8</v>
      </c>
      <c r="CT890" s="27" t="s">
        <v>7</v>
      </c>
      <c r="CU890" s="27" t="s">
        <v>8</v>
      </c>
      <c r="CV890" s="27" t="s">
        <v>7</v>
      </c>
      <c r="CW890" s="27" t="s">
        <v>8</v>
      </c>
      <c r="CX890" s="27" t="s">
        <v>7</v>
      </c>
      <c r="CY890" s="27" t="s">
        <v>8</v>
      </c>
      <c r="CZ890" s="27" t="s">
        <v>7</v>
      </c>
      <c r="DA890" s="27" t="s">
        <v>8</v>
      </c>
      <c r="DJ890" s="27" t="s">
        <v>7</v>
      </c>
      <c r="DK890" s="27" t="s">
        <v>8</v>
      </c>
      <c r="DN890" s="27" t="s">
        <v>7</v>
      </c>
      <c r="DO890" s="27" t="s">
        <v>8</v>
      </c>
      <c r="DP890" s="27" t="s">
        <v>7</v>
      </c>
      <c r="EY890" s="27" t="s">
        <v>8</v>
      </c>
      <c r="EZ890" s="27" t="s">
        <v>7</v>
      </c>
      <c r="FA890" s="27" t="s">
        <v>8</v>
      </c>
      <c r="FB890" s="27" t="s">
        <v>7</v>
      </c>
    </row>
    <row r="891" spans="1:159" x14ac:dyDescent="0.25">
      <c r="A891" s="7">
        <v>2.4296727583626083E-3</v>
      </c>
      <c r="B891"/>
      <c r="C891"/>
      <c r="D891"/>
      <c r="E891"/>
      <c r="CL891" s="27" t="s">
        <v>7</v>
      </c>
      <c r="CM891" s="27" t="s">
        <v>8</v>
      </c>
      <c r="CN891" s="27" t="s">
        <v>7</v>
      </c>
      <c r="CO891" s="27" t="s">
        <v>8</v>
      </c>
      <c r="CP891" s="27" t="s">
        <v>7</v>
      </c>
      <c r="CQ891" s="27" t="s">
        <v>8</v>
      </c>
      <c r="CR891" s="27" t="s">
        <v>7</v>
      </c>
      <c r="CS891" s="27" t="s">
        <v>8</v>
      </c>
      <c r="CT891" s="27" t="s">
        <v>7</v>
      </c>
      <c r="CU891" s="27" t="s">
        <v>8</v>
      </c>
      <c r="CV891" s="27" t="s">
        <v>7</v>
      </c>
      <c r="CW891" s="27" t="s">
        <v>8</v>
      </c>
      <c r="CX891" s="27" t="s">
        <v>7</v>
      </c>
      <c r="CZ891" s="27" t="s">
        <v>7</v>
      </c>
      <c r="DJ891" s="27" t="s">
        <v>7</v>
      </c>
      <c r="DK891" s="27" t="s">
        <v>8</v>
      </c>
      <c r="DN891" s="27" t="s">
        <v>7</v>
      </c>
      <c r="DO891" s="27" t="s">
        <v>8</v>
      </c>
      <c r="DP891" s="27" t="s">
        <v>7</v>
      </c>
      <c r="EY891" s="27" t="s">
        <v>8</v>
      </c>
      <c r="EZ891" s="27" t="s">
        <v>7</v>
      </c>
      <c r="FA891" s="27" t="s">
        <v>8</v>
      </c>
    </row>
    <row r="892" spans="1:159" x14ac:dyDescent="0.25">
      <c r="A892" s="7">
        <v>2.3820321160417726E-3</v>
      </c>
      <c r="B892"/>
      <c r="C892"/>
      <c r="D892"/>
      <c r="E892"/>
      <c r="CL892" s="27" t="s">
        <v>7</v>
      </c>
      <c r="CM892" s="27" t="s">
        <v>8</v>
      </c>
      <c r="CN892" s="27" t="s">
        <v>7</v>
      </c>
      <c r="CP892" s="27" t="s">
        <v>7</v>
      </c>
      <c r="CQ892" s="27" t="s">
        <v>8</v>
      </c>
      <c r="CR892" s="27" t="s">
        <v>7</v>
      </c>
      <c r="CS892" s="27" t="s">
        <v>8</v>
      </c>
      <c r="CT892" s="27" t="s">
        <v>7</v>
      </c>
      <c r="CV892" s="27" t="s">
        <v>7</v>
      </c>
      <c r="DJ892" s="27" t="s">
        <v>7</v>
      </c>
      <c r="DN892" s="27" t="s">
        <v>7</v>
      </c>
      <c r="DO892" s="27" t="s">
        <v>8</v>
      </c>
      <c r="DP892" s="27" t="s">
        <v>7</v>
      </c>
      <c r="EY892" s="27" t="s">
        <v>8</v>
      </c>
      <c r="EZ892" s="27" t="s">
        <v>7</v>
      </c>
    </row>
    <row r="893" spans="1:159" x14ac:dyDescent="0.25">
      <c r="A893" s="7">
        <v>2.3353256039625224E-3</v>
      </c>
      <c r="B893"/>
      <c r="C893"/>
      <c r="D893"/>
      <c r="E893"/>
      <c r="CL893" s="27" t="s">
        <v>7</v>
      </c>
      <c r="CP893" s="27" t="s">
        <v>7</v>
      </c>
      <c r="CQ893" s="27" t="s">
        <v>8</v>
      </c>
      <c r="CR893" s="27" t="s">
        <v>7</v>
      </c>
      <c r="CS893" s="27" t="s">
        <v>8</v>
      </c>
      <c r="DN893" s="27" t="s">
        <v>7</v>
      </c>
      <c r="DP893" s="27" t="s">
        <v>7</v>
      </c>
      <c r="EU893" s="27" t="s">
        <v>8</v>
      </c>
      <c r="EY893" s="27" t="s">
        <v>8</v>
      </c>
    </row>
    <row r="894" spans="1:159" x14ac:dyDescent="0.25">
      <c r="A894" s="7">
        <v>2.2895349058456101E-3</v>
      </c>
      <c r="B894"/>
      <c r="C894"/>
      <c r="D894"/>
      <c r="E894"/>
      <c r="CP894" s="27" t="s">
        <v>7</v>
      </c>
      <c r="CR894" s="27" t="s">
        <v>7</v>
      </c>
      <c r="DP894" s="27" t="s">
        <v>7</v>
      </c>
      <c r="EU894" s="27" t="s">
        <v>8</v>
      </c>
      <c r="EV894" s="27" t="s">
        <v>7</v>
      </c>
      <c r="EY894" s="27" t="s">
        <v>8</v>
      </c>
    </row>
    <row r="895" spans="1:159" x14ac:dyDescent="0.25">
      <c r="A895" s="7">
        <v>2.24464206455452E-3</v>
      </c>
      <c r="B895"/>
      <c r="C895"/>
      <c r="D895"/>
      <c r="E895"/>
      <c r="DP895" s="27" t="s">
        <v>7</v>
      </c>
      <c r="EU895" s="27" t="s">
        <v>8</v>
      </c>
      <c r="EV895" s="27" t="s">
        <v>7</v>
      </c>
      <c r="EY895" s="27" t="s">
        <v>8</v>
      </c>
    </row>
    <row r="896" spans="1:159" x14ac:dyDescent="0.25">
      <c r="A896" s="7">
        <v>2.200629475053451E-3</v>
      </c>
      <c r="B896"/>
      <c r="C896"/>
      <c r="D896"/>
      <c r="E896"/>
      <c r="DP896" s="27" t="s">
        <v>7</v>
      </c>
      <c r="EU896" s="27" t="s">
        <v>8</v>
      </c>
      <c r="EV896" s="27" t="s">
        <v>7</v>
      </c>
      <c r="EW896" s="27" t="s">
        <v>8</v>
      </c>
      <c r="EY896" s="27" t="s">
        <v>8</v>
      </c>
    </row>
    <row r="897" spans="1:155" x14ac:dyDescent="0.25">
      <c r="A897" s="7">
        <v>2.1574798775033832E-3</v>
      </c>
      <c r="B897"/>
      <c r="C897"/>
      <c r="D897"/>
      <c r="E897"/>
      <c r="DP897" s="27" t="s">
        <v>7</v>
      </c>
      <c r="ES897" s="27" t="s">
        <v>8</v>
      </c>
      <c r="EU897" s="27" t="s">
        <v>8</v>
      </c>
      <c r="EV897" s="27" t="s">
        <v>7</v>
      </c>
      <c r="EW897" s="27" t="s">
        <v>8</v>
      </c>
      <c r="EX897" s="27" t="s">
        <v>7</v>
      </c>
      <c r="EY897" s="27" t="s">
        <v>8</v>
      </c>
    </row>
    <row r="898" spans="1:155" x14ac:dyDescent="0.25">
      <c r="A898" s="7">
        <v>2.115176350493513E-3</v>
      </c>
      <c r="B898"/>
      <c r="C898"/>
      <c r="D898"/>
      <c r="E898"/>
      <c r="DP898" s="27" t="s">
        <v>7</v>
      </c>
      <c r="EO898" s="27" t="s">
        <v>8</v>
      </c>
      <c r="EQ898" s="27" t="s">
        <v>8</v>
      </c>
      <c r="ES898" s="27" t="s">
        <v>8</v>
      </c>
      <c r="ET898" s="27" t="s">
        <v>7</v>
      </c>
      <c r="EU898" s="27" t="s">
        <v>8</v>
      </c>
      <c r="EV898" s="27" t="s">
        <v>7</v>
      </c>
      <c r="EW898" s="27" t="s">
        <v>8</v>
      </c>
      <c r="EX898" s="27" t="s">
        <v>7</v>
      </c>
      <c r="EY898" s="27" t="s">
        <v>8</v>
      </c>
    </row>
    <row r="899" spans="1:155" x14ac:dyDescent="0.25">
      <c r="A899" s="7">
        <v>2.0737023044054047E-3</v>
      </c>
      <c r="B899"/>
      <c r="C899"/>
      <c r="D899"/>
      <c r="E899"/>
      <c r="DP899" s="27" t="s">
        <v>7</v>
      </c>
      <c r="EO899" s="27" t="s">
        <v>8</v>
      </c>
      <c r="EP899" s="27" t="s">
        <v>7</v>
      </c>
      <c r="EQ899" s="27" t="s">
        <v>8</v>
      </c>
      <c r="ER899" s="27" t="s">
        <v>7</v>
      </c>
      <c r="ES899" s="27" t="s">
        <v>8</v>
      </c>
      <c r="ET899" s="27" t="s">
        <v>7</v>
      </c>
      <c r="EU899" s="27" t="s">
        <v>8</v>
      </c>
      <c r="EV899" s="27" t="s">
        <v>7</v>
      </c>
      <c r="EW899" s="27" t="s">
        <v>8</v>
      </c>
      <c r="EX899" s="27" t="s">
        <v>7</v>
      </c>
    </row>
    <row r="900" spans="1:155" x14ac:dyDescent="0.25">
      <c r="A900" s="7">
        <v>2.0330414749072595E-3</v>
      </c>
      <c r="B900"/>
      <c r="C900"/>
      <c r="D900"/>
      <c r="E900"/>
      <c r="DP900" s="27" t="s">
        <v>7</v>
      </c>
      <c r="EO900" s="27" t="s">
        <v>8</v>
      </c>
      <c r="EP900" s="27" t="s">
        <v>7</v>
      </c>
      <c r="EQ900" s="27" t="s">
        <v>8</v>
      </c>
      <c r="ER900" s="27" t="s">
        <v>7</v>
      </c>
      <c r="ES900" s="27" t="s">
        <v>8</v>
      </c>
      <c r="ET900" s="27" t="s">
        <v>7</v>
      </c>
      <c r="EU900" s="27" t="s">
        <v>8</v>
      </c>
      <c r="EV900" s="27" t="s">
        <v>7</v>
      </c>
      <c r="EW900" s="27" t="s">
        <v>8</v>
      </c>
    </row>
    <row r="901" spans="1:155" x14ac:dyDescent="0.25">
      <c r="A901" s="7">
        <v>1.9931779165757446E-3</v>
      </c>
      <c r="B901"/>
      <c r="C901"/>
      <c r="D901"/>
      <c r="E901"/>
      <c r="DP901" s="27" t="s">
        <v>7</v>
      </c>
      <c r="EO901" s="27" t="s">
        <v>8</v>
      </c>
      <c r="EP901" s="27" t="s">
        <v>7</v>
      </c>
      <c r="EQ901" s="27" t="s">
        <v>8</v>
      </c>
      <c r="ER901" s="27" t="s">
        <v>7</v>
      </c>
      <c r="ES901" s="27" t="s">
        <v>8</v>
      </c>
      <c r="ET901" s="27" t="s">
        <v>7</v>
      </c>
      <c r="EV901" s="27" t="s">
        <v>7</v>
      </c>
      <c r="EW901" s="27" t="s">
        <v>8</v>
      </c>
    </row>
    <row r="902" spans="1:155" x14ac:dyDescent="0.25">
      <c r="A902" s="7">
        <v>1.954095996642887E-3</v>
      </c>
      <c r="B902"/>
      <c r="C902"/>
      <c r="D902"/>
      <c r="E902"/>
      <c r="DP902" s="27" t="s">
        <v>7</v>
      </c>
      <c r="EG902" s="27" t="s">
        <v>8</v>
      </c>
      <c r="EM902" s="27" t="s">
        <v>8</v>
      </c>
      <c r="EO902" s="27" t="s">
        <v>8</v>
      </c>
      <c r="EP902" s="27" t="s">
        <v>7</v>
      </c>
      <c r="ER902" s="27" t="s">
        <v>7</v>
      </c>
      <c r="ES902" s="27" t="s">
        <v>8</v>
      </c>
      <c r="EV902" s="27" t="s">
        <v>7</v>
      </c>
      <c r="EW902" s="27" t="s">
        <v>8</v>
      </c>
    </row>
    <row r="903" spans="1:155" x14ac:dyDescent="0.25">
      <c r="A903" s="7">
        <v>1.9157803888655755E-3</v>
      </c>
      <c r="B903"/>
      <c r="C903"/>
      <c r="D903"/>
      <c r="E903"/>
      <c r="DP903" s="27" t="s">
        <v>7</v>
      </c>
      <c r="EG903" s="27" t="s">
        <v>8</v>
      </c>
      <c r="EH903" s="27" t="s">
        <v>7</v>
      </c>
      <c r="EM903" s="27" t="s">
        <v>8</v>
      </c>
      <c r="EN903" s="27" t="s">
        <v>7</v>
      </c>
      <c r="EO903" s="27" t="s">
        <v>8</v>
      </c>
      <c r="ER903" s="27" t="s">
        <v>7</v>
      </c>
      <c r="EV903" s="27" t="s">
        <v>7</v>
      </c>
      <c r="EW903" s="27" t="s">
        <v>8</v>
      </c>
    </row>
    <row r="904" spans="1:155" x14ac:dyDescent="0.25">
      <c r="A904" s="7">
        <v>1.8782160675152703E-3</v>
      </c>
      <c r="B904"/>
      <c r="C904"/>
      <c r="D904"/>
      <c r="E904"/>
      <c r="DP904" s="27" t="s">
        <v>7</v>
      </c>
      <c r="DU904" s="27" t="s">
        <v>8</v>
      </c>
      <c r="EG904" s="27" t="s">
        <v>8</v>
      </c>
      <c r="EH904" s="27" t="s">
        <v>7</v>
      </c>
      <c r="EM904" s="27" t="s">
        <v>8</v>
      </c>
      <c r="EN904" s="27" t="s">
        <v>7</v>
      </c>
      <c r="EO904" s="27" t="s">
        <v>8</v>
      </c>
      <c r="EV904" s="27" t="s">
        <v>7</v>
      </c>
      <c r="EW904" s="27" t="s">
        <v>8</v>
      </c>
    </row>
    <row r="905" spans="1:155" x14ac:dyDescent="0.25">
      <c r="A905" s="7">
        <v>1.8413883014855592E-3</v>
      </c>
      <c r="B905"/>
      <c r="C905"/>
      <c r="D905"/>
      <c r="E905"/>
      <c r="DP905" s="27" t="s">
        <v>7</v>
      </c>
      <c r="DU905" s="27" t="s">
        <v>8</v>
      </c>
      <c r="DV905" s="27" t="s">
        <v>7</v>
      </c>
      <c r="DY905" s="27" t="s">
        <v>8</v>
      </c>
      <c r="EG905" s="27" t="s">
        <v>8</v>
      </c>
      <c r="EH905" s="27" t="s">
        <v>7</v>
      </c>
      <c r="EM905" s="27" t="s">
        <v>8</v>
      </c>
      <c r="EN905" s="27" t="s">
        <v>7</v>
      </c>
      <c r="EV905" s="27" t="s">
        <v>7</v>
      </c>
      <c r="EW905" s="27" t="s">
        <v>8</v>
      </c>
    </row>
    <row r="906" spans="1:155" x14ac:dyDescent="0.25">
      <c r="A906" s="7">
        <v>1.8052826485152542E-3</v>
      </c>
      <c r="B906"/>
      <c r="C906"/>
      <c r="D906"/>
      <c r="E906"/>
      <c r="DP906" s="27" t="s">
        <v>7</v>
      </c>
      <c r="DQ906" s="27" t="s">
        <v>8</v>
      </c>
      <c r="DU906" s="27" t="s">
        <v>8</v>
      </c>
      <c r="DV906" s="27" t="s">
        <v>7</v>
      </c>
      <c r="DY906" s="27" t="s">
        <v>8</v>
      </c>
      <c r="DZ906" s="27" t="s">
        <v>7</v>
      </c>
      <c r="EE906" s="27" t="s">
        <v>8</v>
      </c>
      <c r="EG906" s="27" t="s">
        <v>8</v>
      </c>
      <c r="EH906" s="27" t="s">
        <v>7</v>
      </c>
      <c r="EM906" s="27" t="s">
        <v>8</v>
      </c>
      <c r="EV906" s="27" t="s">
        <v>7</v>
      </c>
    </row>
    <row r="907" spans="1:155" x14ac:dyDescent="0.25">
      <c r="A907" s="7">
        <v>1.7698849495247592E-3</v>
      </c>
      <c r="B907"/>
      <c r="C907"/>
      <c r="D907"/>
      <c r="E907"/>
      <c r="DP907" s="27" t="s">
        <v>7</v>
      </c>
      <c r="DQ907" s="27" t="s">
        <v>8</v>
      </c>
      <c r="DR907" s="27" t="s">
        <v>7</v>
      </c>
      <c r="DU907" s="27" t="s">
        <v>8</v>
      </c>
      <c r="DV907" s="27" t="s">
        <v>7</v>
      </c>
      <c r="DY907" s="27" t="s">
        <v>8</v>
      </c>
      <c r="DZ907" s="27" t="s">
        <v>7</v>
      </c>
      <c r="EC907" s="27" t="s">
        <v>8</v>
      </c>
      <c r="EE907" s="27" t="s">
        <v>8</v>
      </c>
      <c r="EF907" s="27" t="s">
        <v>7</v>
      </c>
      <c r="EG907" s="27" t="s">
        <v>8</v>
      </c>
      <c r="EH907" s="27" t="s">
        <v>7</v>
      </c>
      <c r="EI907" s="27" t="s">
        <v>8</v>
      </c>
      <c r="EM907" s="27" t="s">
        <v>8</v>
      </c>
    </row>
    <row r="908" spans="1:155" x14ac:dyDescent="0.25">
      <c r="A908" s="7">
        <v>1.7351813230634893E-3</v>
      </c>
      <c r="B908"/>
      <c r="C908"/>
      <c r="D908"/>
      <c r="E908"/>
      <c r="DP908" s="27" t="s">
        <v>7</v>
      </c>
      <c r="DQ908" s="27" t="s">
        <v>8</v>
      </c>
      <c r="DR908" s="27" t="s">
        <v>7</v>
      </c>
      <c r="DU908" s="27" t="s">
        <v>8</v>
      </c>
      <c r="DV908" s="27" t="s">
        <v>7</v>
      </c>
      <c r="DY908" s="27" t="s">
        <v>8</v>
      </c>
      <c r="DZ908" s="27" t="s">
        <v>7</v>
      </c>
      <c r="EC908" s="27" t="s">
        <v>8</v>
      </c>
      <c r="ED908" s="27" t="s">
        <v>7</v>
      </c>
      <c r="EE908" s="27" t="s">
        <v>8</v>
      </c>
      <c r="EF908" s="27" t="s">
        <v>7</v>
      </c>
      <c r="EG908" s="27" t="s">
        <v>8</v>
      </c>
      <c r="EH908" s="27" t="s">
        <v>7</v>
      </c>
      <c r="EI908" s="27" t="s">
        <v>8</v>
      </c>
      <c r="EJ908" s="27" t="s">
        <v>7</v>
      </c>
      <c r="EK908" s="27" t="s">
        <v>8</v>
      </c>
      <c r="EM908" s="27" t="s">
        <v>8</v>
      </c>
    </row>
    <row r="909" spans="1:155" x14ac:dyDescent="0.25">
      <c r="A909" s="7">
        <v>1.701158159866166E-3</v>
      </c>
      <c r="B909"/>
      <c r="C909"/>
      <c r="D909"/>
      <c r="E909"/>
      <c r="DP909" s="27" t="s">
        <v>7</v>
      </c>
      <c r="DQ909" s="27" t="s">
        <v>8</v>
      </c>
      <c r="DR909" s="27" t="s">
        <v>7</v>
      </c>
      <c r="DU909" s="27" t="s">
        <v>8</v>
      </c>
      <c r="DV909" s="27" t="s">
        <v>7</v>
      </c>
      <c r="DW909" s="27" t="s">
        <v>8</v>
      </c>
      <c r="DY909" s="27" t="s">
        <v>8</v>
      </c>
      <c r="DZ909" s="27" t="s">
        <v>7</v>
      </c>
      <c r="EA909" s="27" t="s">
        <v>8</v>
      </c>
      <c r="EC909" s="27" t="s">
        <v>8</v>
      </c>
      <c r="ED909" s="27" t="s">
        <v>7</v>
      </c>
      <c r="EE909" s="27" t="s">
        <v>8</v>
      </c>
      <c r="EF909" s="27" t="s">
        <v>7</v>
      </c>
      <c r="EH909" s="27" t="s">
        <v>7</v>
      </c>
      <c r="EI909" s="27" t="s">
        <v>8</v>
      </c>
      <c r="EJ909" s="27" t="s">
        <v>7</v>
      </c>
      <c r="EK909" s="27" t="s">
        <v>8</v>
      </c>
      <c r="EL909" s="27" t="s">
        <v>7</v>
      </c>
      <c r="EM909" s="27" t="s">
        <v>8</v>
      </c>
    </row>
    <row r="910" spans="1:155" x14ac:dyDescent="0.25">
      <c r="A910" s="7">
        <v>1.6678021175158492E-3</v>
      </c>
      <c r="B910"/>
      <c r="C910"/>
      <c r="D910"/>
      <c r="E910"/>
      <c r="DP910" s="27" t="s">
        <v>7</v>
      </c>
      <c r="DQ910" s="27" t="s">
        <v>8</v>
      </c>
      <c r="DR910" s="27" t="s">
        <v>7</v>
      </c>
      <c r="DU910" s="27" t="s">
        <v>8</v>
      </c>
      <c r="DV910" s="27" t="s">
        <v>7</v>
      </c>
      <c r="DW910" s="27" t="s">
        <v>8</v>
      </c>
      <c r="DX910" s="27" t="s">
        <v>7</v>
      </c>
      <c r="DY910" s="27" t="s">
        <v>8</v>
      </c>
      <c r="DZ910" s="27" t="s">
        <v>7</v>
      </c>
      <c r="EA910" s="27" t="s">
        <v>8</v>
      </c>
      <c r="EB910" s="27" t="s">
        <v>7</v>
      </c>
      <c r="EC910" s="27" t="s">
        <v>8</v>
      </c>
      <c r="ED910" s="27" t="s">
        <v>7</v>
      </c>
      <c r="EE910" s="27" t="s">
        <v>8</v>
      </c>
      <c r="EH910" s="27" t="s">
        <v>7</v>
      </c>
      <c r="EJ910" s="27" t="s">
        <v>7</v>
      </c>
      <c r="EK910" s="27" t="s">
        <v>8</v>
      </c>
      <c r="EL910" s="27" t="s">
        <v>7</v>
      </c>
      <c r="EM910" s="27" t="s">
        <v>8</v>
      </c>
    </row>
    <row r="911" spans="1:155" x14ac:dyDescent="0.25">
      <c r="A911" s="7">
        <v>1.6351001152116167E-3</v>
      </c>
      <c r="B911"/>
      <c r="C911"/>
      <c r="D911"/>
      <c r="E911"/>
      <c r="DP911" s="27" t="s">
        <v>7</v>
      </c>
      <c r="DQ911" s="27" t="s">
        <v>8</v>
      </c>
      <c r="DR911" s="27" t="s">
        <v>7</v>
      </c>
      <c r="DU911" s="27" t="s">
        <v>8</v>
      </c>
      <c r="DV911" s="27" t="s">
        <v>7</v>
      </c>
      <c r="DW911" s="27" t="s">
        <v>8</v>
      </c>
      <c r="DX911" s="27" t="s">
        <v>7</v>
      </c>
      <c r="DY911" s="27" t="s">
        <v>8</v>
      </c>
      <c r="DZ911" s="27" t="s">
        <v>7</v>
      </c>
      <c r="EA911" s="27" t="s">
        <v>8</v>
      </c>
      <c r="EB911" s="27" t="s">
        <v>7</v>
      </c>
      <c r="EC911" s="27" t="s">
        <v>8</v>
      </c>
      <c r="ED911" s="27" t="s">
        <v>7</v>
      </c>
      <c r="EJ911" s="27" t="s">
        <v>7</v>
      </c>
      <c r="EK911" s="27" t="s">
        <v>8</v>
      </c>
      <c r="EL911" s="27" t="s">
        <v>7</v>
      </c>
      <c r="EM911" s="27" t="s">
        <v>8</v>
      </c>
    </row>
    <row r="912" spans="1:155" x14ac:dyDescent="0.25">
      <c r="A912" s="7">
        <v>1.60303932863884E-3</v>
      </c>
      <c r="B912"/>
      <c r="C912"/>
      <c r="D912"/>
      <c r="E912"/>
      <c r="DP912" s="27" t="s">
        <v>7</v>
      </c>
      <c r="DQ912" s="27" t="s">
        <v>8</v>
      </c>
      <c r="DR912" s="27" t="s">
        <v>7</v>
      </c>
      <c r="DS912" s="27" t="s">
        <v>8</v>
      </c>
      <c r="DU912" s="27" t="s">
        <v>8</v>
      </c>
      <c r="DV912" s="27" t="s">
        <v>7</v>
      </c>
      <c r="DW912" s="27" t="s">
        <v>8</v>
      </c>
      <c r="DX912" s="27" t="s">
        <v>7</v>
      </c>
      <c r="DZ912" s="27" t="s">
        <v>7</v>
      </c>
      <c r="EB912" s="27" t="s">
        <v>7</v>
      </c>
      <c r="EJ912" s="27" t="s">
        <v>7</v>
      </c>
      <c r="EK912" s="27" t="s">
        <v>8</v>
      </c>
      <c r="EL912" s="27" t="s">
        <v>7</v>
      </c>
    </row>
    <row r="913" spans="1:140" x14ac:dyDescent="0.25">
      <c r="A913" s="7">
        <v>1.5716071849400392E-3</v>
      </c>
      <c r="B913"/>
      <c r="C913"/>
      <c r="D913"/>
      <c r="E913"/>
      <c r="DP913" s="27" t="s">
        <v>7</v>
      </c>
      <c r="DQ913" s="27" t="s">
        <v>8</v>
      </c>
      <c r="DR913" s="27" t="s">
        <v>7</v>
      </c>
      <c r="DS913" s="27" t="s">
        <v>8</v>
      </c>
      <c r="DT913" s="27" t="s">
        <v>7</v>
      </c>
      <c r="DU913" s="27" t="s">
        <v>8</v>
      </c>
      <c r="DV913" s="27" t="s">
        <v>7</v>
      </c>
      <c r="DW913" s="27" t="s">
        <v>8</v>
      </c>
      <c r="EJ913" s="27" t="s">
        <v>7</v>
      </c>
    </row>
    <row r="914" spans="1:140" x14ac:dyDescent="0.25">
      <c r="A914" s="7">
        <v>1.5407913577843522E-3</v>
      </c>
      <c r="B914"/>
      <c r="C914"/>
      <c r="D914"/>
      <c r="E914"/>
      <c r="DP914" s="27" t="s">
        <v>7</v>
      </c>
      <c r="DQ914" s="27" t="s">
        <v>8</v>
      </c>
      <c r="DR914" s="27" t="s">
        <v>7</v>
      </c>
      <c r="DS914" s="27" t="s">
        <v>8</v>
      </c>
      <c r="DT914" s="27" t="s">
        <v>7</v>
      </c>
      <c r="DU914" s="27" t="s">
        <v>8</v>
      </c>
      <c r="DV914" s="27" t="s">
        <v>7</v>
      </c>
      <c r="DW914" s="27" t="s">
        <v>8</v>
      </c>
    </row>
    <row r="915" spans="1:140" x14ac:dyDescent="0.25">
      <c r="A915" s="7">
        <v>1.5105797625336785E-3</v>
      </c>
      <c r="B915"/>
      <c r="C915"/>
      <c r="D915"/>
      <c r="E915"/>
      <c r="DP915" s="27" t="s">
        <v>7</v>
      </c>
      <c r="DQ915" s="27" t="s">
        <v>8</v>
      </c>
      <c r="DR915" s="27" t="s">
        <v>7</v>
      </c>
      <c r="DS915" s="27" t="s">
        <v>8</v>
      </c>
      <c r="DT915" s="27" t="s">
        <v>7</v>
      </c>
      <c r="DU915" s="27" t="s">
        <v>8</v>
      </c>
      <c r="DV915" s="27" t="s">
        <v>7</v>
      </c>
    </row>
    <row r="916" spans="1:140" x14ac:dyDescent="0.25">
      <c r="A916" s="7">
        <v>1.4809605515036064E-3</v>
      </c>
      <c r="B916"/>
      <c r="C916"/>
      <c r="D916"/>
      <c r="E916"/>
      <c r="DP916" s="27" t="s">
        <v>7</v>
      </c>
      <c r="DQ916" s="27" t="s">
        <v>8</v>
      </c>
      <c r="DR916" s="27" t="s">
        <v>7</v>
      </c>
      <c r="DS916" s="27" t="s">
        <v>8</v>
      </c>
      <c r="DT916" s="27" t="s">
        <v>7</v>
      </c>
      <c r="DU916" s="27" t="s">
        <v>8</v>
      </c>
    </row>
    <row r="917" spans="1:140" x14ac:dyDescent="0.25">
      <c r="A917" s="7">
        <v>1.4519221093172612E-3</v>
      </c>
      <c r="B917"/>
      <c r="C917"/>
      <c r="D917"/>
      <c r="E917"/>
      <c r="DP917" s="27" t="s">
        <v>7</v>
      </c>
      <c r="DQ917" s="27" t="s">
        <v>8</v>
      </c>
      <c r="DR917" s="27" t="s">
        <v>7</v>
      </c>
      <c r="DS917" s="27" t="s">
        <v>8</v>
      </c>
      <c r="DT917" s="27" t="s">
        <v>7</v>
      </c>
      <c r="DU917" s="27" t="s">
        <v>8</v>
      </c>
    </row>
    <row r="918" spans="1:140" x14ac:dyDescent="0.25">
      <c r="A918" s="7">
        <v>1.423453048350256E-3</v>
      </c>
      <c r="B918"/>
      <c r="C918"/>
      <c r="D918"/>
      <c r="E918"/>
      <c r="DP918" s="27" t="s">
        <v>7</v>
      </c>
      <c r="DQ918" s="27" t="s">
        <v>8</v>
      </c>
      <c r="DR918" s="27" t="s">
        <v>7</v>
      </c>
      <c r="DS918" s="27" t="s">
        <v>8</v>
      </c>
      <c r="DT918" s="27" t="s">
        <v>7</v>
      </c>
      <c r="DU918" s="27" t="s">
        <v>8</v>
      </c>
    </row>
    <row r="919" spans="1:140" x14ac:dyDescent="0.25">
      <c r="A919" s="7">
        <v>1.3955422042649568E-3</v>
      </c>
      <c r="B919"/>
      <c r="C919"/>
      <c r="D919"/>
      <c r="E919"/>
      <c r="DP919" s="27" t="s">
        <v>7</v>
      </c>
      <c r="DQ919" s="27" t="s">
        <v>8</v>
      </c>
      <c r="DR919" s="27" t="s">
        <v>7</v>
      </c>
      <c r="DS919" s="27" t="s">
        <v>8</v>
      </c>
      <c r="DT919" s="27" t="s">
        <v>7</v>
      </c>
    </row>
    <row r="920" spans="1:140" x14ac:dyDescent="0.25">
      <c r="A920" s="7">
        <v>1.3681786316323105E-3</v>
      </c>
      <c r="B920"/>
      <c r="C920"/>
      <c r="D920"/>
      <c r="E920"/>
      <c r="DP920" s="27" t="s">
        <v>7</v>
      </c>
      <c r="DQ920" s="27" t="s">
        <v>8</v>
      </c>
      <c r="DR920" s="27" t="s">
        <v>7</v>
      </c>
      <c r="DS920" s="27" t="s">
        <v>8</v>
      </c>
    </row>
    <row r="921" spans="1:140" x14ac:dyDescent="0.25">
      <c r="A921" s="7">
        <v>1.3413515996395203E-3</v>
      </c>
      <c r="B921"/>
      <c r="C921"/>
      <c r="D921"/>
      <c r="E921"/>
      <c r="DP921" s="27" t="s">
        <v>7</v>
      </c>
      <c r="DQ921" s="27" t="s">
        <v>8</v>
      </c>
      <c r="DR921" s="27" t="s">
        <v>7</v>
      </c>
      <c r="DS921" s="27" t="s">
        <v>8</v>
      </c>
    </row>
    <row r="922" spans="1:140" x14ac:dyDescent="0.25">
      <c r="A922" s="7">
        <v>1.3150505878818826E-3</v>
      </c>
      <c r="B922"/>
      <c r="C922"/>
      <c r="D922"/>
      <c r="E922"/>
      <c r="DP922" s="27" t="s">
        <v>7</v>
      </c>
      <c r="DQ922" s="27" t="s">
        <v>8</v>
      </c>
      <c r="DR922" s="27" t="s">
        <v>7</v>
      </c>
      <c r="DS922" s="27" t="s">
        <v>8</v>
      </c>
    </row>
    <row r="923" spans="1:140" x14ac:dyDescent="0.25">
      <c r="A923" s="7">
        <v>1.2892652822371396E-3</v>
      </c>
      <c r="B923"/>
      <c r="C923"/>
      <c r="D923"/>
      <c r="E923"/>
      <c r="DP923" s="27" t="s">
        <v>7</v>
      </c>
      <c r="DQ923" s="27" t="s">
        <v>8</v>
      </c>
      <c r="DR923" s="27" t="s">
        <v>7</v>
      </c>
    </row>
    <row r="924" spans="1:140" x14ac:dyDescent="0.25">
      <c r="A924" s="7">
        <v>1.2639855708207251E-3</v>
      </c>
      <c r="B924"/>
      <c r="C924"/>
      <c r="D924"/>
      <c r="E924"/>
      <c r="DP924" s="27" t="s">
        <v>7</v>
      </c>
      <c r="DQ924" s="27" t="s">
        <v>8</v>
      </c>
    </row>
    <row r="925" spans="1:140" x14ac:dyDescent="0.25">
      <c r="A925" s="7">
        <v>1.2392015400203187E-3</v>
      </c>
      <c r="B925"/>
      <c r="C925"/>
      <c r="D925"/>
      <c r="E925"/>
      <c r="DP925" s="27" t="s">
        <v>7</v>
      </c>
      <c r="DQ925" s="27" t="s">
        <v>8</v>
      </c>
    </row>
    <row r="926" spans="1:140" x14ac:dyDescent="0.25">
      <c r="A926" s="7">
        <v>1.2149034706081556E-3</v>
      </c>
      <c r="B926"/>
      <c r="C926"/>
      <c r="D926"/>
      <c r="E926"/>
      <c r="DP926" s="27" t="s">
        <v>7</v>
      </c>
      <c r="DQ926" s="27" t="s">
        <v>8</v>
      </c>
    </row>
    <row r="927" spans="1:140" x14ac:dyDescent="0.25">
      <c r="A927" s="7">
        <v>1.1910818339295644E-3</v>
      </c>
      <c r="B927"/>
      <c r="C927"/>
      <c r="D927"/>
      <c r="E927"/>
      <c r="DP927" s="27" t="s">
        <v>7</v>
      </c>
      <c r="DQ927" s="27" t="s">
        <v>8</v>
      </c>
    </row>
    <row r="928" spans="1:140" x14ac:dyDescent="0.25">
      <c r="A928" s="7">
        <v>1.1677272881662395E-3</v>
      </c>
      <c r="B928"/>
      <c r="C928"/>
      <c r="D928"/>
      <c r="E928"/>
      <c r="DP928" s="27" t="s">
        <v>7</v>
      </c>
      <c r="DQ928" s="27" t="s">
        <v>8</v>
      </c>
    </row>
    <row r="929" spans="1:121" x14ac:dyDescent="0.25">
      <c r="A929" s="7">
        <v>1.1448306746727837E-3</v>
      </c>
      <c r="B929"/>
      <c r="C929"/>
      <c r="D929"/>
      <c r="E929"/>
      <c r="DP929" s="27" t="s">
        <v>7</v>
      </c>
      <c r="DQ929" s="27" t="s">
        <v>8</v>
      </c>
    </row>
    <row r="930" spans="1:121" x14ac:dyDescent="0.25">
      <c r="A930" s="7">
        <v>1.1223830143850821E-3</v>
      </c>
      <c r="B930"/>
      <c r="C930"/>
      <c r="D930"/>
      <c r="E930"/>
      <c r="DP930" s="27" t="s">
        <v>7</v>
      </c>
      <c r="DQ930" s="27" t="s">
        <v>8</v>
      </c>
    </row>
    <row r="931" spans="1:121" x14ac:dyDescent="0.25">
      <c r="A931" s="7">
        <v>1.1003755042991001E-3</v>
      </c>
      <c r="B931"/>
      <c r="C931"/>
      <c r="D931"/>
      <c r="E931"/>
      <c r="DP931" s="27" t="s">
        <v>7</v>
      </c>
      <c r="DQ931" s="27" t="s">
        <v>8</v>
      </c>
    </row>
    <row r="932" spans="1:121" x14ac:dyDescent="0.25">
      <c r="A932" s="7">
        <v>1.0787995140187257E-3</v>
      </c>
      <c r="B932"/>
      <c r="C932"/>
      <c r="D932"/>
      <c r="E932"/>
      <c r="DP932" s="27" t="s">
        <v>7</v>
      </c>
      <c r="DQ932" s="27" t="s">
        <v>8</v>
      </c>
    </row>
    <row r="933" spans="1:121" x14ac:dyDescent="0.25">
      <c r="A933" s="7">
        <v>1.0576465823712996E-3</v>
      </c>
      <c r="B933"/>
      <c r="C933"/>
      <c r="D933"/>
      <c r="E933"/>
      <c r="DP933" s="27" t="s">
        <v>7</v>
      </c>
      <c r="DQ933" s="27" t="s">
        <v>8</v>
      </c>
    </row>
    <row r="934" spans="1:121" x14ac:dyDescent="0.25">
      <c r="A934" s="7">
        <v>1.0369084140895094E-3</v>
      </c>
      <c r="B934"/>
      <c r="C934"/>
      <c r="D934"/>
      <c r="E934"/>
      <c r="DP934" s="27" t="s">
        <v>7</v>
      </c>
      <c r="DQ934" s="27" t="s">
        <v>8</v>
      </c>
    </row>
    <row r="935" spans="1:121" x14ac:dyDescent="0.25">
      <c r="A935" s="7">
        <v>1.0165768765583426E-3</v>
      </c>
      <c r="B935"/>
      <c r="C935"/>
      <c r="D935"/>
      <c r="E935"/>
      <c r="DP935" s="27" t="s">
        <v>7</v>
      </c>
      <c r="DQ935" s="27" t="s">
        <v>8</v>
      </c>
    </row>
    <row r="936" spans="1:121" x14ac:dyDescent="0.25">
      <c r="A936" s="7">
        <v>9.966439966258261E-4</v>
      </c>
      <c r="B936"/>
      <c r="C936"/>
      <c r="D936"/>
      <c r="E936"/>
      <c r="DP936" s="27" t="s">
        <v>7</v>
      </c>
      <c r="DQ936" s="27" t="s">
        <v>8</v>
      </c>
    </row>
    <row r="937" spans="1:121" x14ac:dyDescent="0.25">
      <c r="DP937" s="27" t="s">
        <v>7</v>
      </c>
    </row>
  </sheetData>
  <conditionalFormatting sqref="C27">
    <cfRule type="cellIs" dxfId="90" priority="1385" operator="equal">
      <formula>$U$1</formula>
    </cfRule>
    <cfRule type="cellIs" dxfId="89" priority="1386" operator="equal">
      <formula>$S$1</formula>
    </cfRule>
  </conditionalFormatting>
  <conditionalFormatting sqref="D27">
    <cfRule type="cellIs" dxfId="88" priority="1383" operator="equal">
      <formula>$S$1</formula>
    </cfRule>
    <cfRule type="cellIs" dxfId="87" priority="1384" operator="equal">
      <formula>$U$1</formula>
    </cfRule>
  </conditionalFormatting>
  <conditionalFormatting sqref="C164">
    <cfRule type="cellIs" dxfId="86" priority="1381" operator="equal">
      <formula>$U$1</formula>
    </cfRule>
    <cfRule type="cellIs" dxfId="85" priority="1382" operator="equal">
      <formula>$S$1</formula>
    </cfRule>
  </conditionalFormatting>
  <conditionalFormatting sqref="D164">
    <cfRule type="cellIs" dxfId="84" priority="1379" operator="equal">
      <formula>$S$1</formula>
    </cfRule>
    <cfRule type="cellIs" dxfId="83" priority="1380" operator="equal">
      <formula>$U$1</formula>
    </cfRule>
  </conditionalFormatting>
  <conditionalFormatting sqref="C55">
    <cfRule type="cellIs" dxfId="82" priority="1377" operator="equal">
      <formula>$U$1</formula>
    </cfRule>
    <cfRule type="cellIs" dxfId="81" priority="1378" operator="equal">
      <formula>$S$1</formula>
    </cfRule>
  </conditionalFormatting>
  <conditionalFormatting sqref="D55">
    <cfRule type="cellIs" dxfId="80" priority="1375" operator="equal">
      <formula>$S$1</formula>
    </cfRule>
    <cfRule type="cellIs" dxfId="79" priority="1376" operator="equal">
      <formula>$U$1</formula>
    </cfRule>
  </conditionalFormatting>
  <conditionalFormatting sqref="C89">
    <cfRule type="cellIs" dxfId="78" priority="1373" operator="equal">
      <formula>$U$1</formula>
    </cfRule>
    <cfRule type="cellIs" dxfId="77" priority="1374" operator="equal">
      <formula>$S$1</formula>
    </cfRule>
  </conditionalFormatting>
  <conditionalFormatting sqref="D89">
    <cfRule type="cellIs" dxfId="76" priority="1371" operator="equal">
      <formula>$S$1</formula>
    </cfRule>
    <cfRule type="cellIs" dxfId="75" priority="1372" operator="equal">
      <formula>$U$1</formula>
    </cfRule>
  </conditionalFormatting>
  <conditionalFormatting sqref="C136">
    <cfRule type="cellIs" dxfId="74" priority="1369" operator="equal">
      <formula>$U$1</formula>
    </cfRule>
    <cfRule type="cellIs" dxfId="73" priority="1370" operator="equal">
      <formula>$S$1</formula>
    </cfRule>
  </conditionalFormatting>
  <conditionalFormatting sqref="D136">
    <cfRule type="cellIs" dxfId="72" priority="1367" operator="equal">
      <formula>$S$1</formula>
    </cfRule>
    <cfRule type="cellIs" dxfId="71" priority="1368" operator="equal">
      <formula>$U$1</formula>
    </cfRule>
  </conditionalFormatting>
  <conditionalFormatting sqref="C1">
    <cfRule type="cellIs" dxfId="70" priority="1366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GD277" sqref="GD277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$A$276</v>
      </c>
      <c r="D111" s="1" t="str">
        <f>ADDRESS(C121-1,D121,1,1)</f>
        <v>$GD$276</v>
      </c>
      <c r="E111"/>
    </row>
    <row r="112" spans="1:5" x14ac:dyDescent="0.25">
      <c r="A112" s="30">
        <v>515.50191262726139</v>
      </c>
      <c r="C112" s="1" t="str">
        <f>ADDRESS(C121,1,1,1)</f>
        <v>$A$277</v>
      </c>
      <c r="D112" s="1" t="str">
        <f>ADDRESS(C121,D121-1,1,1)</f>
        <v>$GC$277</v>
      </c>
      <c r="E112"/>
    </row>
    <row r="113" spans="1:5" x14ac:dyDescent="0.25">
      <c r="A113" s="30">
        <v>490.95420250215363</v>
      </c>
      <c r="C113" s="1" t="str">
        <f>ADDRESS(C121+1,1,1,1)</f>
        <v>$A$278</v>
      </c>
      <c r="D113" s="1" t="str">
        <f>ADDRESS(C121-1,D121+1,1,1)</f>
        <v>$GE$276</v>
      </c>
    </row>
    <row r="114" spans="1:5" x14ac:dyDescent="0.25">
      <c r="A114" s="30">
        <v>467.57543095443202</v>
      </c>
      <c r="C114" s="1" t="str">
        <f>ADDRESS(C121,D121,1,1)</f>
        <v>$GD$277</v>
      </c>
      <c r="D114" s="1" t="str">
        <f>ADDRESS(C121+1,D121+1,1,1)</f>
        <v>$GE$278</v>
      </c>
    </row>
    <row r="115" spans="1:5" x14ac:dyDescent="0.25">
      <c r="A115" s="30">
        <v>445.30993424231622</v>
      </c>
      <c r="C115" s="1" t="str">
        <f>ADDRESS(C121+1,D121,1,1)</f>
        <v>$GD$278</v>
      </c>
    </row>
    <row r="116" spans="1:5" x14ac:dyDescent="0.25">
      <c r="A116" s="30">
        <v>424.10469927839637</v>
      </c>
      <c r="C116" s="1">
        <f>C117-1</f>
        <v>276</v>
      </c>
    </row>
    <row r="117" spans="1:5" x14ac:dyDescent="0.25">
      <c r="A117" s="30">
        <v>403.9092374079965</v>
      </c>
      <c r="C117" s="1">
        <f>C121</f>
        <v>277</v>
      </c>
      <c r="D117" s="1">
        <f>D121</f>
        <v>186</v>
      </c>
    </row>
    <row r="118" spans="1:5" x14ac:dyDescent="0.25">
      <c r="A118" s="30">
        <v>384.6754641980919</v>
      </c>
      <c r="C118" s="1">
        <f>C117+1</f>
        <v>278</v>
      </c>
      <c r="D118" s="1">
        <f>D117+1</f>
        <v>187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277</v>
      </c>
      <c r="D121" s="19">
        <v>186</v>
      </c>
      <c r="E121" s="19"/>
    </row>
    <row r="122" spans="1:5" x14ac:dyDescent="0.25">
      <c r="A122" s="30">
        <v>316.47345638748612</v>
      </c>
      <c r="C122" s="1" t="str">
        <f>INDEX(1:1048576,C117,D117)</f>
        <v>O</v>
      </c>
    </row>
    <row r="123" spans="1:5" x14ac:dyDescent="0.25">
      <c r="A123" s="30">
        <v>301.40329179760585</v>
      </c>
      <c r="C123" s="1" t="str">
        <f>"R"&amp;C121</f>
        <v>R277</v>
      </c>
      <c r="D123" s="1" t="str">
        <f>"C"&amp;D121</f>
        <v>C186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0.16443563297285677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O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5" x14ac:dyDescent="0.25">
      <c r="A225" s="30">
        <v>2.0789281794113688</v>
      </c>
      <c r="E225"/>
    </row>
    <row r="226" spans="1:5" x14ac:dyDescent="0.25">
      <c r="A226" s="30">
        <v>1.9799315994393987</v>
      </c>
      <c r="E226"/>
    </row>
    <row r="227" spans="1:5" x14ac:dyDescent="0.25">
      <c r="A227" s="30">
        <v>1.8856491423232367</v>
      </c>
      <c r="E227"/>
    </row>
    <row r="228" spans="1:5" x14ac:dyDescent="0.25">
      <c r="A228" s="30">
        <v>1.7958563260221301</v>
      </c>
      <c r="C228" s="7"/>
      <c r="D228"/>
      <c r="E228"/>
    </row>
    <row r="229" spans="1:5" x14ac:dyDescent="0.25">
      <c r="A229" s="30">
        <v>1.7103393581163142</v>
      </c>
      <c r="E229"/>
    </row>
    <row r="230" spans="1:5" x14ac:dyDescent="0.25">
      <c r="A230" s="30">
        <v>1.628894626777442</v>
      </c>
      <c r="E230"/>
    </row>
    <row r="231" spans="1:5" x14ac:dyDescent="0.25">
      <c r="A231" s="30">
        <v>1.5513282159785162</v>
      </c>
      <c r="C231"/>
      <c r="D231"/>
      <c r="E231"/>
    </row>
    <row r="232" spans="1:5" x14ac:dyDescent="0.25">
      <c r="A232" s="30">
        <v>1.477455443789063</v>
      </c>
      <c r="E232"/>
    </row>
    <row r="233" spans="1:5" x14ac:dyDescent="0.25">
      <c r="A233" s="30">
        <v>1.4071004226562505</v>
      </c>
      <c r="E233"/>
    </row>
    <row r="234" spans="1:5" x14ac:dyDescent="0.25">
      <c r="A234" s="30">
        <v>1.3400956406250004</v>
      </c>
      <c r="E234"/>
    </row>
    <row r="235" spans="1:5" x14ac:dyDescent="0.25">
      <c r="A235" s="30">
        <v>1.2762815625000004</v>
      </c>
      <c r="C235"/>
      <c r="E235"/>
    </row>
    <row r="236" spans="1:5" x14ac:dyDescent="0.25">
      <c r="A236" s="30">
        <v>1.2155062500000002</v>
      </c>
      <c r="E236"/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1.1025</v>
      </c>
      <c r="E238"/>
    </row>
    <row r="239" spans="1:5" x14ac:dyDescent="0.25">
      <c r="A239" s="30">
        <v>1.05</v>
      </c>
      <c r="E239"/>
    </row>
    <row r="240" spans="1:5" x14ac:dyDescent="0.25">
      <c r="A240" s="30">
        <v>1</v>
      </c>
      <c r="E240" s="29" t="s">
        <v>8</v>
      </c>
    </row>
    <row r="241" spans="1:167" x14ac:dyDescent="0.25">
      <c r="A241" s="30">
        <v>0.952380952380952</v>
      </c>
      <c r="B241"/>
      <c r="C241"/>
      <c r="D241"/>
      <c r="E241"/>
      <c r="F241" s="27" t="s">
        <v>7</v>
      </c>
    </row>
    <row r="242" spans="1:167" x14ac:dyDescent="0.25">
      <c r="A242" s="30">
        <v>0.90702947845804915</v>
      </c>
      <c r="B242"/>
      <c r="C242"/>
      <c r="D242"/>
      <c r="E242"/>
      <c r="F242" s="27" t="s">
        <v>7</v>
      </c>
    </row>
    <row r="243" spans="1:167" x14ac:dyDescent="0.25">
      <c r="A243" s="30">
        <v>0.86383759853147501</v>
      </c>
      <c r="B243"/>
      <c r="C243"/>
      <c r="D243"/>
      <c r="E243"/>
      <c r="F243" s="27" t="s">
        <v>7</v>
      </c>
    </row>
    <row r="244" spans="1:167" x14ac:dyDescent="0.25">
      <c r="A244" s="30">
        <v>0.82270247479188063</v>
      </c>
      <c r="B244"/>
      <c r="C244"/>
      <c r="D244"/>
      <c r="E244"/>
      <c r="F244" s="27" t="s">
        <v>7</v>
      </c>
    </row>
    <row r="245" spans="1:167" x14ac:dyDescent="0.25">
      <c r="A245" s="30">
        <v>0.78352616646845741</v>
      </c>
      <c r="B245"/>
      <c r="C245"/>
      <c r="D245"/>
      <c r="E245"/>
      <c r="F245" s="27" t="s">
        <v>7</v>
      </c>
    </row>
    <row r="246" spans="1:167" x14ac:dyDescent="0.25">
      <c r="A246" s="30">
        <v>0.74621539663662584</v>
      </c>
      <c r="B246"/>
      <c r="C246"/>
      <c r="D246"/>
      <c r="E246"/>
      <c r="F246" s="27" t="s">
        <v>7</v>
      </c>
    </row>
    <row r="247" spans="1:167" x14ac:dyDescent="0.25">
      <c r="A247" s="30">
        <v>0.71068133013011958</v>
      </c>
      <c r="B247"/>
      <c r="C247"/>
      <c r="D247"/>
      <c r="E247"/>
      <c r="F247" s="27" t="s">
        <v>7</v>
      </c>
    </row>
    <row r="248" spans="1:167" x14ac:dyDescent="0.25">
      <c r="A248" s="30">
        <v>0.676839362028685</v>
      </c>
      <c r="B248"/>
      <c r="C248"/>
      <c r="D248"/>
      <c r="E248"/>
      <c r="F248" s="27" t="s">
        <v>7</v>
      </c>
      <c r="EU248" s="27" t="s">
        <v>8</v>
      </c>
    </row>
    <row r="249" spans="1:167" x14ac:dyDescent="0.25">
      <c r="A249" s="30">
        <v>0.64460891621779492</v>
      </c>
      <c r="B249"/>
      <c r="C249"/>
      <c r="D249"/>
      <c r="E249"/>
      <c r="F249" s="27" t="s">
        <v>7</v>
      </c>
      <c r="EU249" s="27" t="s">
        <v>8</v>
      </c>
      <c r="EV249" s="27" t="s">
        <v>7</v>
      </c>
    </row>
    <row r="250" spans="1:167" x14ac:dyDescent="0.25">
      <c r="A250" s="30">
        <v>0.61391325354075688</v>
      </c>
      <c r="B250"/>
      <c r="C250"/>
      <c r="D250"/>
      <c r="E250"/>
      <c r="F250" s="27" t="s">
        <v>7</v>
      </c>
      <c r="EU250" s="27" t="s">
        <v>8</v>
      </c>
      <c r="EV250" s="27" t="s">
        <v>7</v>
      </c>
      <c r="EY250" s="27" t="s">
        <v>8</v>
      </c>
    </row>
    <row r="251" spans="1:167" x14ac:dyDescent="0.25">
      <c r="A251" s="30">
        <v>0.58467928908643485</v>
      </c>
      <c r="B251"/>
      <c r="C251"/>
      <c r="D251"/>
      <c r="E251"/>
      <c r="F251" s="27" t="s">
        <v>7</v>
      </c>
      <c r="EU251" s="27" t="s">
        <v>8</v>
      </c>
      <c r="EV251" s="27" t="s">
        <v>7</v>
      </c>
      <c r="EW251" s="27" t="s">
        <v>8</v>
      </c>
      <c r="EY251" s="27" t="s">
        <v>8</v>
      </c>
      <c r="EZ251" s="27" t="s">
        <v>7</v>
      </c>
    </row>
    <row r="252" spans="1:167" x14ac:dyDescent="0.25">
      <c r="A252" s="30">
        <v>0.55683741817755672</v>
      </c>
      <c r="B252"/>
      <c r="C252"/>
      <c r="D252"/>
      <c r="E252"/>
      <c r="F252" s="27" t="s">
        <v>7</v>
      </c>
      <c r="DY252" s="27" t="s">
        <v>8</v>
      </c>
      <c r="EU252" s="27" t="s">
        <v>8</v>
      </c>
      <c r="EV252" s="27" t="s">
        <v>7</v>
      </c>
      <c r="EW252" s="27" t="s">
        <v>8</v>
      </c>
      <c r="EX252" s="27" t="s">
        <v>7</v>
      </c>
      <c r="EY252" s="27" t="s">
        <v>8</v>
      </c>
      <c r="EZ252" s="27" t="s">
        <v>7</v>
      </c>
    </row>
    <row r="253" spans="1:167" x14ac:dyDescent="0.25">
      <c r="A253" s="30">
        <v>0.53032135064529184</v>
      </c>
      <c r="B253"/>
      <c r="C253"/>
      <c r="D253"/>
      <c r="E253"/>
      <c r="F253" s="27" t="s">
        <v>7</v>
      </c>
      <c r="DY253" s="27" t="s">
        <v>8</v>
      </c>
      <c r="DZ253" s="27" t="s">
        <v>7</v>
      </c>
      <c r="EU253" s="27" t="s">
        <v>8</v>
      </c>
      <c r="EV253" s="27" t="s">
        <v>7</v>
      </c>
      <c r="EW253" s="27" t="s">
        <v>8</v>
      </c>
      <c r="EX253" s="27" t="s">
        <v>7</v>
      </c>
      <c r="EY253" s="27" t="s">
        <v>8</v>
      </c>
      <c r="EZ253" s="27" t="s">
        <v>7</v>
      </c>
    </row>
    <row r="254" spans="1:167" x14ac:dyDescent="0.25">
      <c r="A254" s="30">
        <v>0.50506795299551588</v>
      </c>
      <c r="B254"/>
      <c r="C254"/>
      <c r="D254"/>
      <c r="E254"/>
      <c r="F254" s="27" t="s">
        <v>7</v>
      </c>
      <c r="DY254" s="27" t="s">
        <v>8</v>
      </c>
      <c r="DZ254" s="27" t="s">
        <v>7</v>
      </c>
      <c r="EU254" s="27" t="s">
        <v>8</v>
      </c>
      <c r="EV254" s="27" t="s">
        <v>7</v>
      </c>
      <c r="EW254" s="27" t="s">
        <v>8</v>
      </c>
      <c r="EX254" s="27" t="s">
        <v>7</v>
      </c>
      <c r="EY254" s="27" t="s">
        <v>8</v>
      </c>
      <c r="EZ254" s="27" t="s">
        <v>7</v>
      </c>
    </row>
    <row r="255" spans="1:167" x14ac:dyDescent="0.25">
      <c r="A255" s="30">
        <v>0.48101709809096732</v>
      </c>
      <c r="E255"/>
      <c r="F255" s="27" t="s">
        <v>7</v>
      </c>
      <c r="DY255" s="27" t="s">
        <v>8</v>
      </c>
      <c r="DZ255" s="27" t="s">
        <v>7</v>
      </c>
      <c r="EU255" s="27" t="s">
        <v>8</v>
      </c>
      <c r="EV255" s="27" t="s">
        <v>7</v>
      </c>
      <c r="EW255" s="27" t="s">
        <v>8</v>
      </c>
      <c r="EX255" s="27" t="s">
        <v>7</v>
      </c>
      <c r="EZ255" s="27" t="s">
        <v>7</v>
      </c>
      <c r="FA255" s="27" t="s">
        <v>8</v>
      </c>
    </row>
    <row r="256" spans="1:167" x14ac:dyDescent="0.25">
      <c r="A256" s="30">
        <v>0.45811152199139726</v>
      </c>
      <c r="E256"/>
      <c r="F256" s="27" t="s">
        <v>7</v>
      </c>
      <c r="DS256" s="27" t="s">
        <v>8</v>
      </c>
      <c r="DY256" s="27" t="s">
        <v>8</v>
      </c>
      <c r="DZ256" s="27" t="s">
        <v>7</v>
      </c>
      <c r="EA256" s="27" t="s">
        <v>8</v>
      </c>
      <c r="EU256" s="27" t="s">
        <v>8</v>
      </c>
      <c r="EV256" s="27" t="s">
        <v>7</v>
      </c>
      <c r="EW256" s="27" t="s">
        <v>8</v>
      </c>
      <c r="EZ256" s="27" t="s">
        <v>7</v>
      </c>
      <c r="FA256" s="27" t="s">
        <v>8</v>
      </c>
      <c r="FB256" s="27" t="s">
        <v>7</v>
      </c>
      <c r="FK256" s="27" t="s">
        <v>8</v>
      </c>
    </row>
    <row r="257" spans="1:180" x14ac:dyDescent="0.25">
      <c r="A257" s="30">
        <v>0.43629668761085438</v>
      </c>
      <c r="B257"/>
      <c r="C257"/>
      <c r="D257"/>
      <c r="E257"/>
      <c r="F257" s="27" t="s">
        <v>7</v>
      </c>
      <c r="DS257" s="27" t="s">
        <v>8</v>
      </c>
      <c r="DT257" s="27" t="s">
        <v>7</v>
      </c>
      <c r="DY257" s="27" t="s">
        <v>8</v>
      </c>
      <c r="DZ257" s="27" t="s">
        <v>7</v>
      </c>
      <c r="EA257" s="27" t="s">
        <v>8</v>
      </c>
      <c r="EB257" s="27" t="s">
        <v>7</v>
      </c>
      <c r="EU257" s="27" t="s">
        <v>8</v>
      </c>
      <c r="EV257" s="27" t="s">
        <v>7</v>
      </c>
      <c r="EW257" s="27" t="s">
        <v>8</v>
      </c>
      <c r="EZ257" s="27" t="s">
        <v>7</v>
      </c>
      <c r="FA257" s="27" t="s">
        <v>8</v>
      </c>
      <c r="FB257" s="27" t="s">
        <v>7</v>
      </c>
      <c r="FK257" s="27" t="s">
        <v>8</v>
      </c>
      <c r="FL257" s="27" t="s">
        <v>7</v>
      </c>
    </row>
    <row r="258" spans="1:180" x14ac:dyDescent="0.25">
      <c r="A258" s="30">
        <v>0.41552065486748019</v>
      </c>
      <c r="B258"/>
      <c r="C258"/>
      <c r="D258"/>
      <c r="E258"/>
      <c r="F258" s="27" t="s">
        <v>7</v>
      </c>
      <c r="DS258" s="27" t="s">
        <v>8</v>
      </c>
      <c r="DT258" s="27" t="s">
        <v>7</v>
      </c>
      <c r="DY258" s="27" t="s">
        <v>8</v>
      </c>
      <c r="DZ258" s="27" t="s">
        <v>7</v>
      </c>
      <c r="EA258" s="27" t="s">
        <v>8</v>
      </c>
      <c r="EB258" s="27" t="s">
        <v>7</v>
      </c>
      <c r="EC258" s="27" t="s">
        <v>8</v>
      </c>
      <c r="EK258" s="27" t="s">
        <v>8</v>
      </c>
      <c r="EU258" s="27" t="s">
        <v>8</v>
      </c>
      <c r="EV258" s="27" t="s">
        <v>7</v>
      </c>
      <c r="EZ258" s="27" t="s">
        <v>7</v>
      </c>
      <c r="FA258" s="27" t="s">
        <v>8</v>
      </c>
      <c r="FB258" s="27" t="s">
        <v>7</v>
      </c>
      <c r="FK258" s="27" t="s">
        <v>8</v>
      </c>
      <c r="FL258" s="27" t="s">
        <v>7</v>
      </c>
    </row>
    <row r="259" spans="1:180" x14ac:dyDescent="0.25">
      <c r="A259" s="30">
        <v>0.39573395701664765</v>
      </c>
      <c r="B259"/>
      <c r="C259"/>
      <c r="D259"/>
      <c r="E259"/>
      <c r="F259" s="27" t="s">
        <v>7</v>
      </c>
      <c r="DS259" s="27" t="s">
        <v>8</v>
      </c>
      <c r="DT259" s="27" t="s">
        <v>7</v>
      </c>
      <c r="DU259" s="27" t="s">
        <v>8</v>
      </c>
      <c r="DY259" s="27" t="s">
        <v>8</v>
      </c>
      <c r="DZ259" s="27" t="s">
        <v>7</v>
      </c>
      <c r="EA259" s="27" t="s">
        <v>8</v>
      </c>
      <c r="EB259" s="27" t="s">
        <v>7</v>
      </c>
      <c r="EC259" s="27" t="s">
        <v>8</v>
      </c>
      <c r="ED259" s="27" t="s">
        <v>7</v>
      </c>
      <c r="EK259" s="27" t="s">
        <v>8</v>
      </c>
      <c r="EL259" s="27" t="s">
        <v>7</v>
      </c>
      <c r="EU259" s="27" t="s">
        <v>8</v>
      </c>
      <c r="EZ259" s="27" t="s">
        <v>7</v>
      </c>
      <c r="FA259" s="27" t="s">
        <v>8</v>
      </c>
      <c r="FB259" s="27" t="s">
        <v>7</v>
      </c>
      <c r="FC259" s="27" t="s">
        <v>8</v>
      </c>
      <c r="FK259" s="27" t="s">
        <v>8</v>
      </c>
      <c r="FL259" s="27" t="s">
        <v>7</v>
      </c>
      <c r="FO259" s="27" t="s">
        <v>8</v>
      </c>
      <c r="FQ259" s="27" t="s">
        <v>8</v>
      </c>
    </row>
    <row r="260" spans="1:180" x14ac:dyDescent="0.25">
      <c r="A260" s="30">
        <v>0.37688948287299762</v>
      </c>
      <c r="B260"/>
      <c r="C260"/>
      <c r="D260"/>
      <c r="E260"/>
      <c r="F260" s="27" t="s">
        <v>7</v>
      </c>
      <c r="DS260" s="27" t="s">
        <v>8</v>
      </c>
      <c r="DT260" s="27" t="s">
        <v>7</v>
      </c>
      <c r="DU260" s="27" t="s">
        <v>8</v>
      </c>
      <c r="DV260" s="27" t="s">
        <v>7</v>
      </c>
      <c r="DY260" s="27" t="s">
        <v>8</v>
      </c>
      <c r="DZ260" s="27" t="s">
        <v>7</v>
      </c>
      <c r="EB260" s="27" t="s">
        <v>7</v>
      </c>
      <c r="EC260" s="27" t="s">
        <v>8</v>
      </c>
      <c r="ED260" s="27" t="s">
        <v>7</v>
      </c>
      <c r="EI260" s="27" t="s">
        <v>8</v>
      </c>
      <c r="EK260" s="27" t="s">
        <v>8</v>
      </c>
      <c r="EL260" s="27" t="s">
        <v>7</v>
      </c>
      <c r="EM260" s="27" t="s">
        <v>8</v>
      </c>
      <c r="EU260" s="27" t="s">
        <v>8</v>
      </c>
      <c r="EZ260" s="27" t="s">
        <v>7</v>
      </c>
      <c r="FA260" s="27" t="s">
        <v>8</v>
      </c>
      <c r="FB260" s="27" t="s">
        <v>7</v>
      </c>
      <c r="FC260" s="27" t="s">
        <v>8</v>
      </c>
      <c r="FD260" s="27" t="s">
        <v>7</v>
      </c>
      <c r="FE260" s="27" t="s">
        <v>8</v>
      </c>
      <c r="FI260" s="27" t="s">
        <v>8</v>
      </c>
      <c r="FK260" s="27" t="s">
        <v>8</v>
      </c>
      <c r="FL260" s="27" t="s">
        <v>7</v>
      </c>
      <c r="FO260" s="27" t="s">
        <v>8</v>
      </c>
      <c r="FP260" s="27" t="s">
        <v>7</v>
      </c>
      <c r="FQ260" s="27" t="s">
        <v>8</v>
      </c>
      <c r="FR260" s="27" t="s">
        <v>7</v>
      </c>
    </row>
    <row r="261" spans="1:180" x14ac:dyDescent="0.25">
      <c r="A261" s="30">
        <v>0.35894236464094997</v>
      </c>
      <c r="B261"/>
      <c r="C261"/>
      <c r="D261"/>
      <c r="E261"/>
      <c r="F261" s="27" t="s">
        <v>7</v>
      </c>
      <c r="DS261" s="27" t="s">
        <v>8</v>
      </c>
      <c r="DT261" s="27" t="s">
        <v>7</v>
      </c>
      <c r="DU261" s="27" t="s">
        <v>8</v>
      </c>
      <c r="DV261" s="27" t="s">
        <v>7</v>
      </c>
      <c r="DW261" s="27" t="s">
        <v>8</v>
      </c>
      <c r="DY261" s="27" t="s">
        <v>8</v>
      </c>
      <c r="EB261" s="27" t="s">
        <v>7</v>
      </c>
      <c r="EC261" s="27" t="s">
        <v>8</v>
      </c>
      <c r="ED261" s="27" t="s">
        <v>7</v>
      </c>
      <c r="EI261" s="27" t="s">
        <v>8</v>
      </c>
      <c r="EJ261" s="27" t="s">
        <v>7</v>
      </c>
      <c r="EK261" s="27" t="s">
        <v>8</v>
      </c>
      <c r="EL261" s="27" t="s">
        <v>7</v>
      </c>
      <c r="EM261" s="27" t="s">
        <v>8</v>
      </c>
      <c r="EN261" s="27" t="s">
        <v>7</v>
      </c>
      <c r="ES261" s="27" t="s">
        <v>8</v>
      </c>
      <c r="EU261" s="27" t="s">
        <v>8</v>
      </c>
      <c r="EZ261" s="27" t="s">
        <v>7</v>
      </c>
      <c r="FB261" s="27" t="s">
        <v>7</v>
      </c>
      <c r="FC261" s="27" t="s">
        <v>8</v>
      </c>
      <c r="FD261" s="27" t="s">
        <v>7</v>
      </c>
      <c r="FE261" s="27" t="s">
        <v>8</v>
      </c>
      <c r="FF261" s="27" t="s">
        <v>7</v>
      </c>
      <c r="FI261" s="27" t="s">
        <v>8</v>
      </c>
      <c r="FJ261" s="27" t="s">
        <v>7</v>
      </c>
      <c r="FK261" s="27" t="s">
        <v>8</v>
      </c>
      <c r="FL261" s="27" t="s">
        <v>7</v>
      </c>
      <c r="FM261" s="27" t="s">
        <v>8</v>
      </c>
      <c r="FO261" s="27" t="s">
        <v>8</v>
      </c>
      <c r="FP261" s="27" t="s">
        <v>7</v>
      </c>
      <c r="FQ261" s="27" t="s">
        <v>8</v>
      </c>
      <c r="FR261" s="27" t="s">
        <v>7</v>
      </c>
    </row>
    <row r="262" spans="1:180" x14ac:dyDescent="0.25">
      <c r="A262" s="30">
        <v>0.34184987108661891</v>
      </c>
      <c r="B262"/>
      <c r="C262"/>
      <c r="D262"/>
      <c r="E262"/>
      <c r="F262" s="27" t="s">
        <v>7</v>
      </c>
      <c r="DS262" s="27" t="s">
        <v>8</v>
      </c>
      <c r="DT262" s="27" t="s">
        <v>7</v>
      </c>
      <c r="DV262" s="27" t="s">
        <v>7</v>
      </c>
      <c r="DW262" s="27" t="s">
        <v>8</v>
      </c>
      <c r="DX262" s="27" t="s">
        <v>7</v>
      </c>
      <c r="DY262" s="27" t="s">
        <v>8</v>
      </c>
      <c r="EB262" s="27" t="s">
        <v>7</v>
      </c>
      <c r="EC262" s="27" t="s">
        <v>8</v>
      </c>
      <c r="ED262" s="27" t="s">
        <v>7</v>
      </c>
      <c r="EE262" s="27" t="s">
        <v>8</v>
      </c>
      <c r="EI262" s="27" t="s">
        <v>8</v>
      </c>
      <c r="EJ262" s="27" t="s">
        <v>7</v>
      </c>
      <c r="EK262" s="27" t="s">
        <v>8</v>
      </c>
      <c r="EL262" s="27" t="s">
        <v>7</v>
      </c>
      <c r="EM262" s="27" t="s">
        <v>8</v>
      </c>
      <c r="EN262" s="27" t="s">
        <v>7</v>
      </c>
      <c r="ES262" s="27" t="s">
        <v>8</v>
      </c>
      <c r="ET262" s="27" t="s">
        <v>7</v>
      </c>
      <c r="EU262" s="27" t="s">
        <v>8</v>
      </c>
      <c r="FB262" s="27" t="s">
        <v>7</v>
      </c>
      <c r="FD262" s="27" t="s">
        <v>7</v>
      </c>
      <c r="FE262" s="27" t="s">
        <v>8</v>
      </c>
      <c r="FF262" s="27" t="s">
        <v>7</v>
      </c>
      <c r="FI262" s="27" t="s">
        <v>8</v>
      </c>
      <c r="FJ262" s="27" t="s">
        <v>7</v>
      </c>
      <c r="FK262" s="27" t="s">
        <v>8</v>
      </c>
      <c r="FL262" s="27" t="s">
        <v>7</v>
      </c>
      <c r="FM262" s="27" t="s">
        <v>8</v>
      </c>
      <c r="FN262" s="27" t="s">
        <v>7</v>
      </c>
      <c r="FO262" s="27" t="s">
        <v>8</v>
      </c>
      <c r="FP262" s="27" t="s">
        <v>7</v>
      </c>
      <c r="FR262" s="27" t="s">
        <v>7</v>
      </c>
      <c r="FS262" s="27" t="s">
        <v>8</v>
      </c>
    </row>
    <row r="263" spans="1:180" x14ac:dyDescent="0.25">
      <c r="A263" s="30">
        <v>0.32557130579677979</v>
      </c>
      <c r="B263"/>
      <c r="C263"/>
      <c r="D263"/>
      <c r="E263"/>
      <c r="F263" s="27" t="s">
        <v>7</v>
      </c>
      <c r="DS263" s="27" t="s">
        <v>8</v>
      </c>
      <c r="DV263" s="27" t="s">
        <v>7</v>
      </c>
      <c r="DW263" s="27" t="s">
        <v>8</v>
      </c>
      <c r="DX263" s="27" t="s">
        <v>7</v>
      </c>
      <c r="DY263" s="27" t="s">
        <v>8</v>
      </c>
      <c r="EB263" s="27" t="s">
        <v>7</v>
      </c>
      <c r="ED263" s="27" t="s">
        <v>7</v>
      </c>
      <c r="EE263" s="27" t="s">
        <v>8</v>
      </c>
      <c r="EF263" s="27" t="s">
        <v>7</v>
      </c>
      <c r="EI263" s="27" t="s">
        <v>8</v>
      </c>
      <c r="EJ263" s="27" t="s">
        <v>7</v>
      </c>
      <c r="EL263" s="27" t="s">
        <v>7</v>
      </c>
      <c r="EM263" s="27" t="s">
        <v>8</v>
      </c>
      <c r="EN263" s="27" t="s">
        <v>7</v>
      </c>
      <c r="ES263" s="27" t="s">
        <v>8</v>
      </c>
      <c r="ET263" s="27" t="s">
        <v>7</v>
      </c>
      <c r="EU263" s="27" t="s">
        <v>8</v>
      </c>
      <c r="FD263" s="27" t="s">
        <v>7</v>
      </c>
      <c r="FE263" s="27" t="s">
        <v>8</v>
      </c>
      <c r="FF263" s="27" t="s">
        <v>7</v>
      </c>
      <c r="FG263" s="27" t="s">
        <v>8</v>
      </c>
      <c r="FI263" s="27" t="s">
        <v>8</v>
      </c>
      <c r="FJ263" s="27" t="s">
        <v>7</v>
      </c>
      <c r="FL263" s="27" t="s">
        <v>7</v>
      </c>
      <c r="FM263" s="27" t="s">
        <v>8</v>
      </c>
      <c r="FN263" s="27" t="s">
        <v>7</v>
      </c>
      <c r="FO263" s="27" t="s">
        <v>8</v>
      </c>
      <c r="FR263" s="27" t="s">
        <v>7</v>
      </c>
      <c r="FS263" s="27" t="s">
        <v>8</v>
      </c>
      <c r="FT263" s="27" t="s">
        <v>7</v>
      </c>
    </row>
    <row r="264" spans="1:180" x14ac:dyDescent="0.25">
      <c r="A264" s="30">
        <v>0.3100679102826473</v>
      </c>
      <c r="B264"/>
      <c r="C264"/>
      <c r="D264"/>
      <c r="E264"/>
      <c r="F264" s="27" t="s">
        <v>7</v>
      </c>
      <c r="DS264" s="27" t="s">
        <v>8</v>
      </c>
      <c r="DV264" s="27" t="s">
        <v>7</v>
      </c>
      <c r="DX264" s="27" t="s">
        <v>7</v>
      </c>
      <c r="ED264" s="27" t="s">
        <v>7</v>
      </c>
      <c r="EE264" s="27" t="s">
        <v>8</v>
      </c>
      <c r="EF264" s="27" t="s">
        <v>7</v>
      </c>
      <c r="EG264" s="27" t="s">
        <v>8</v>
      </c>
      <c r="EI264" s="27" t="s">
        <v>8</v>
      </c>
      <c r="EL264" s="27" t="s">
        <v>7</v>
      </c>
      <c r="EM264" s="27" t="s">
        <v>8</v>
      </c>
      <c r="EN264" s="27" t="s">
        <v>7</v>
      </c>
      <c r="EO264" s="27" t="s">
        <v>8</v>
      </c>
      <c r="ES264" s="27" t="s">
        <v>8</v>
      </c>
      <c r="ET264" s="27" t="s">
        <v>7</v>
      </c>
      <c r="EU264" s="27" t="s">
        <v>8</v>
      </c>
      <c r="FD264" s="27" t="s">
        <v>7</v>
      </c>
      <c r="FE264" s="27" t="s">
        <v>8</v>
      </c>
      <c r="FF264" s="27" t="s">
        <v>7</v>
      </c>
      <c r="FG264" s="27" t="s">
        <v>8</v>
      </c>
      <c r="FH264" s="27" t="s">
        <v>7</v>
      </c>
      <c r="FI264" s="27" t="s">
        <v>8</v>
      </c>
      <c r="FL264" s="27" t="s">
        <v>7</v>
      </c>
      <c r="FM264" s="27" t="s">
        <v>8</v>
      </c>
      <c r="FN264" s="27" t="s">
        <v>7</v>
      </c>
      <c r="FO264" s="27" t="s">
        <v>8</v>
      </c>
      <c r="FR264" s="27" t="s">
        <v>7</v>
      </c>
      <c r="FS264" s="27" t="s">
        <v>8</v>
      </c>
      <c r="FT264" s="27" t="s">
        <v>7</v>
      </c>
    </row>
    <row r="265" spans="1:180" x14ac:dyDescent="0.25">
      <c r="A265" s="30">
        <v>0.2953027716977592</v>
      </c>
      <c r="B265"/>
      <c r="C265"/>
      <c r="D265"/>
      <c r="E265"/>
      <c r="F265" s="27" t="s">
        <v>7</v>
      </c>
      <c r="DS265" s="27" t="s">
        <v>8</v>
      </c>
      <c r="ED265" s="27" t="s">
        <v>7</v>
      </c>
      <c r="EE265" s="27" t="s">
        <v>8</v>
      </c>
      <c r="EF265" s="27" t="s">
        <v>7</v>
      </c>
      <c r="EG265" s="27" t="s">
        <v>8</v>
      </c>
      <c r="EH265" s="27" t="s">
        <v>7</v>
      </c>
      <c r="EI265" s="27" t="s">
        <v>8</v>
      </c>
      <c r="EL265" s="27" t="s">
        <v>7</v>
      </c>
      <c r="EM265" s="27" t="s">
        <v>8</v>
      </c>
      <c r="EN265" s="27" t="s">
        <v>7</v>
      </c>
      <c r="EO265" s="27" t="s">
        <v>8</v>
      </c>
      <c r="EP265" s="27" t="s">
        <v>7</v>
      </c>
      <c r="EQ265" s="27" t="s">
        <v>8</v>
      </c>
      <c r="ES265" s="27" t="s">
        <v>8</v>
      </c>
      <c r="ET265" s="27" t="s">
        <v>7</v>
      </c>
      <c r="EU265" s="27" t="s">
        <v>8</v>
      </c>
      <c r="FD265" s="27" t="s">
        <v>7</v>
      </c>
      <c r="FE265" s="27" t="s">
        <v>8</v>
      </c>
      <c r="FF265" s="27" t="s">
        <v>7</v>
      </c>
      <c r="FG265" s="27" t="s">
        <v>8</v>
      </c>
      <c r="FH265" s="27" t="s">
        <v>7</v>
      </c>
      <c r="FI265" s="27" t="s">
        <v>8</v>
      </c>
      <c r="FL265" s="27" t="s">
        <v>7</v>
      </c>
      <c r="FM265" s="27" t="s">
        <v>8</v>
      </c>
      <c r="FN265" s="27" t="s">
        <v>7</v>
      </c>
      <c r="FR265" s="27" t="s">
        <v>7</v>
      </c>
      <c r="FT265" s="27" t="s">
        <v>7</v>
      </c>
    </row>
    <row r="266" spans="1:180" x14ac:dyDescent="0.25">
      <c r="A266" s="30">
        <v>0.28124073495024676</v>
      </c>
      <c r="B266"/>
      <c r="C266"/>
      <c r="D266"/>
      <c r="E266"/>
      <c r="F266" s="27" t="s">
        <v>7</v>
      </c>
      <c r="DS266" s="27" t="s">
        <v>8</v>
      </c>
      <c r="ED266" s="27" t="s">
        <v>7</v>
      </c>
      <c r="EF266" s="27" t="s">
        <v>7</v>
      </c>
      <c r="EG266" s="27" t="s">
        <v>8</v>
      </c>
      <c r="EH266" s="27" t="s">
        <v>7</v>
      </c>
      <c r="EI266" s="27" t="s">
        <v>8</v>
      </c>
      <c r="EL266" s="27" t="s">
        <v>7</v>
      </c>
      <c r="EM266" s="27" t="s">
        <v>8</v>
      </c>
      <c r="EN266" s="27" t="s">
        <v>7</v>
      </c>
      <c r="EO266" s="27" t="s">
        <v>8</v>
      </c>
      <c r="EP266" s="27" t="s">
        <v>7</v>
      </c>
      <c r="EQ266" s="27" t="s">
        <v>8</v>
      </c>
      <c r="ER266" s="27" t="s">
        <v>7</v>
      </c>
      <c r="ES266" s="27" t="s">
        <v>8</v>
      </c>
      <c r="ET266" s="27" t="s">
        <v>7</v>
      </c>
      <c r="EU266" s="27" t="s">
        <v>8</v>
      </c>
      <c r="FD266" s="27" t="s">
        <v>7</v>
      </c>
      <c r="FE266" s="27" t="s">
        <v>8</v>
      </c>
      <c r="FF266" s="27" t="s">
        <v>7</v>
      </c>
      <c r="FH266" s="27" t="s">
        <v>7</v>
      </c>
      <c r="FL266" s="27" t="s">
        <v>7</v>
      </c>
      <c r="FM266" s="27" t="s">
        <v>8</v>
      </c>
      <c r="FT266" s="27" t="s">
        <v>7</v>
      </c>
      <c r="FU266" s="27" t="s">
        <v>8</v>
      </c>
    </row>
    <row r="267" spans="1:180" x14ac:dyDescent="0.25">
      <c r="A267" s="30">
        <v>0.26784831900023492</v>
      </c>
      <c r="B267"/>
      <c r="C267"/>
      <c r="D267"/>
      <c r="E267"/>
      <c r="F267" s="27" t="s">
        <v>7</v>
      </c>
      <c r="DS267" s="27" t="s">
        <v>8</v>
      </c>
      <c r="EF267" s="27" t="s">
        <v>7</v>
      </c>
      <c r="EH267" s="27" t="s">
        <v>7</v>
      </c>
      <c r="EI267" s="27" t="s">
        <v>8</v>
      </c>
      <c r="EL267" s="27" t="s">
        <v>7</v>
      </c>
      <c r="EM267" s="27" t="s">
        <v>8</v>
      </c>
      <c r="EN267" s="27" t="s">
        <v>7</v>
      </c>
      <c r="EO267" s="27" t="s">
        <v>8</v>
      </c>
      <c r="EP267" s="27" t="s">
        <v>7</v>
      </c>
      <c r="EQ267" s="27" t="s">
        <v>8</v>
      </c>
      <c r="ER267" s="27" t="s">
        <v>7</v>
      </c>
      <c r="ES267" s="27" t="s">
        <v>8</v>
      </c>
      <c r="ET267" s="27" t="s">
        <v>7</v>
      </c>
      <c r="FD267" s="18" t="s">
        <v>7</v>
      </c>
      <c r="FE267" s="27" t="s">
        <v>8</v>
      </c>
      <c r="FL267" s="27" t="s">
        <v>7</v>
      </c>
      <c r="FM267" s="27" t="s">
        <v>8</v>
      </c>
      <c r="FT267" s="27" t="s">
        <v>7</v>
      </c>
      <c r="FU267" s="27" t="s">
        <v>8</v>
      </c>
      <c r="FV267" s="27" t="s">
        <v>7</v>
      </c>
    </row>
    <row r="268" spans="1:180" x14ac:dyDescent="0.25">
      <c r="A268" s="30">
        <v>0.25509363714308075</v>
      </c>
      <c r="B268"/>
      <c r="C268"/>
      <c r="D268"/>
      <c r="E268"/>
      <c r="F268" s="27" t="s">
        <v>7</v>
      </c>
      <c r="DS268" s="27" t="s">
        <v>8</v>
      </c>
      <c r="EH268" s="27" t="s">
        <v>7</v>
      </c>
      <c r="EI268" s="27" t="s">
        <v>8</v>
      </c>
      <c r="EL268" s="27" t="s">
        <v>7</v>
      </c>
      <c r="EN268" s="27" t="s">
        <v>7</v>
      </c>
      <c r="EO268" s="27" t="s">
        <v>8</v>
      </c>
      <c r="EP268" s="27" t="s">
        <v>7</v>
      </c>
      <c r="EQ268" s="27" t="s">
        <v>8</v>
      </c>
      <c r="ER268" s="27" t="s">
        <v>7</v>
      </c>
      <c r="ES268" s="27" t="s">
        <v>8</v>
      </c>
      <c r="FD268" s="27" t="s">
        <v>7</v>
      </c>
      <c r="FE268" s="27" t="s">
        <v>8</v>
      </c>
      <c r="FL268" s="27" t="s">
        <v>7</v>
      </c>
      <c r="FT268" s="27" t="s">
        <v>7</v>
      </c>
      <c r="FU268" s="27" t="s">
        <v>8</v>
      </c>
      <c r="FV268" s="27" t="s">
        <v>7</v>
      </c>
    </row>
    <row r="269" spans="1:180" x14ac:dyDescent="0.25">
      <c r="A269" s="30">
        <v>0.24294632108864825</v>
      </c>
      <c r="B269"/>
      <c r="C269"/>
      <c r="D269"/>
      <c r="E269"/>
      <c r="F269" s="27" t="s">
        <v>7</v>
      </c>
      <c r="DS269" s="27" t="s">
        <v>8</v>
      </c>
      <c r="EH269" s="27" t="s">
        <v>7</v>
      </c>
      <c r="EI269" s="27" t="s">
        <v>8</v>
      </c>
      <c r="EN269" s="27" t="s">
        <v>7</v>
      </c>
      <c r="EO269" s="27" t="s">
        <v>8</v>
      </c>
      <c r="EP269" s="27" t="s">
        <v>7</v>
      </c>
      <c r="EQ269" s="27" t="s">
        <v>8</v>
      </c>
      <c r="ER269" s="27" t="s">
        <v>7</v>
      </c>
      <c r="ES269" s="27" t="s">
        <v>8</v>
      </c>
      <c r="FD269" s="27" t="s">
        <v>7</v>
      </c>
      <c r="FE269" s="27" t="s">
        <v>8</v>
      </c>
      <c r="FT269" s="27" t="s">
        <v>7</v>
      </c>
      <c r="FU269" s="27" t="s">
        <v>8</v>
      </c>
      <c r="FV269" s="27" t="s">
        <v>7</v>
      </c>
      <c r="FW269" s="27" t="s">
        <v>8</v>
      </c>
    </row>
    <row r="270" spans="1:180" x14ac:dyDescent="0.25">
      <c r="A270" s="30">
        <v>0.23137744865585538</v>
      </c>
      <c r="B270"/>
      <c r="C270"/>
      <c r="D270"/>
      <c r="E270"/>
      <c r="F270" s="27" t="s">
        <v>7</v>
      </c>
      <c r="DS270" s="27" t="s">
        <v>8</v>
      </c>
      <c r="EH270" s="27" t="s">
        <v>7</v>
      </c>
      <c r="EI270" s="27" t="s">
        <v>8</v>
      </c>
      <c r="EN270" s="27" t="s">
        <v>7</v>
      </c>
      <c r="EO270" s="27" t="s">
        <v>8</v>
      </c>
      <c r="EP270" s="27" t="s">
        <v>7</v>
      </c>
      <c r="EQ270" s="27" t="s">
        <v>8</v>
      </c>
      <c r="ER270" s="27" t="s">
        <v>7</v>
      </c>
      <c r="ES270" s="27" t="s">
        <v>8</v>
      </c>
      <c r="FD270" s="27" t="s">
        <v>7</v>
      </c>
      <c r="FE270" s="27" t="s">
        <v>8</v>
      </c>
      <c r="FT270" s="27" t="s">
        <v>7</v>
      </c>
      <c r="FU270" s="27" t="s">
        <v>8</v>
      </c>
      <c r="FV270" s="27" t="s">
        <v>7</v>
      </c>
      <c r="FW270" s="27" t="s">
        <v>8</v>
      </c>
      <c r="FX270" s="27" t="s">
        <v>7</v>
      </c>
    </row>
    <row r="271" spans="1:180" x14ac:dyDescent="0.25">
      <c r="A271" s="30">
        <v>0.22035947491033836</v>
      </c>
      <c r="B271"/>
      <c r="C271"/>
      <c r="D271"/>
      <c r="E271"/>
      <c r="F271" s="27" t="s">
        <v>7</v>
      </c>
      <c r="DS271" s="27" t="s">
        <v>8</v>
      </c>
      <c r="EH271" s="27" t="s">
        <v>7</v>
      </c>
      <c r="EI271" s="27" t="s">
        <v>8</v>
      </c>
      <c r="EN271" s="27" t="s">
        <v>7</v>
      </c>
      <c r="EO271" s="27" t="s">
        <v>8</v>
      </c>
      <c r="EP271" s="27" t="s">
        <v>7</v>
      </c>
      <c r="EQ271" s="27" t="s">
        <v>8</v>
      </c>
      <c r="ER271" s="27" t="s">
        <v>7</v>
      </c>
      <c r="ES271" s="27" t="s">
        <v>8</v>
      </c>
      <c r="FD271" s="27" t="s">
        <v>7</v>
      </c>
      <c r="FT271" s="27" t="s">
        <v>7</v>
      </c>
      <c r="FU271" s="27" t="s">
        <v>8</v>
      </c>
      <c r="FV271" s="27" t="s">
        <v>7</v>
      </c>
      <c r="FW271" s="27" t="s">
        <v>8</v>
      </c>
      <c r="FX271" s="27" t="s">
        <v>7</v>
      </c>
    </row>
    <row r="272" spans="1:180" x14ac:dyDescent="0.25">
      <c r="A272" s="30">
        <v>0.20986616658127455</v>
      </c>
      <c r="B272"/>
      <c r="C272"/>
      <c r="D272"/>
      <c r="E272"/>
      <c r="F272" s="27" t="s">
        <v>7</v>
      </c>
      <c r="DS272" s="27" t="s">
        <v>8</v>
      </c>
      <c r="EH272" s="27" t="s">
        <v>7</v>
      </c>
      <c r="EI272" s="27" t="s">
        <v>8</v>
      </c>
      <c r="EN272" s="27" t="s">
        <v>7</v>
      </c>
      <c r="EO272" s="27" t="s">
        <v>8</v>
      </c>
      <c r="EP272" s="27" t="s">
        <v>7</v>
      </c>
      <c r="ER272" s="27" t="s">
        <v>7</v>
      </c>
      <c r="FT272" s="27" t="s">
        <v>7</v>
      </c>
      <c r="FV272" s="27" t="s">
        <v>7</v>
      </c>
      <c r="FW272" s="27" t="s">
        <v>8</v>
      </c>
      <c r="FX272" s="27" t="s">
        <v>7</v>
      </c>
    </row>
    <row r="273" spans="1:186" x14ac:dyDescent="0.25">
      <c r="A273" s="30">
        <v>0.19987253960121379</v>
      </c>
      <c r="B273"/>
      <c r="C273"/>
      <c r="D273"/>
      <c r="E273"/>
      <c r="F273" s="27" t="s">
        <v>7</v>
      </c>
      <c r="DS273" s="27" t="s">
        <v>8</v>
      </c>
      <c r="EH273" s="27" t="s">
        <v>7</v>
      </c>
      <c r="EI273" s="27" t="s">
        <v>8</v>
      </c>
      <c r="EN273" s="27" t="s">
        <v>7</v>
      </c>
      <c r="EO273" s="27" t="s">
        <v>8</v>
      </c>
      <c r="FV273" s="27" t="s">
        <v>7</v>
      </c>
      <c r="FW273" s="27" t="s">
        <v>8</v>
      </c>
      <c r="FX273" s="27" t="s">
        <v>7</v>
      </c>
      <c r="FY273" s="27" t="s">
        <v>8</v>
      </c>
    </row>
    <row r="274" spans="1:186" x14ac:dyDescent="0.25">
      <c r="A274" s="30">
        <v>0.19035479962020352</v>
      </c>
      <c r="B274"/>
      <c r="C274"/>
      <c r="D274"/>
      <c r="E274"/>
      <c r="F274" s="27" t="s">
        <v>7</v>
      </c>
      <c r="DS274" s="27" t="s">
        <v>8</v>
      </c>
      <c r="EH274" s="27" t="s">
        <v>7</v>
      </c>
      <c r="EI274" s="27" t="s">
        <v>8</v>
      </c>
      <c r="EN274" s="27" t="s">
        <v>7</v>
      </c>
      <c r="EO274" s="27" t="s">
        <v>8</v>
      </c>
      <c r="FV274" s="27" t="s">
        <v>7</v>
      </c>
      <c r="FW274" s="27" t="s">
        <v>8</v>
      </c>
      <c r="FX274" s="27" t="s">
        <v>7</v>
      </c>
      <c r="FY274" s="27" t="s">
        <v>8</v>
      </c>
      <c r="FZ274" s="27" t="s">
        <v>7</v>
      </c>
      <c r="GC274" s="27" t="s">
        <v>8</v>
      </c>
    </row>
    <row r="275" spans="1:186" x14ac:dyDescent="0.25">
      <c r="A275" s="30">
        <v>0.18129028535257471</v>
      </c>
      <c r="B275"/>
      <c r="C275"/>
      <c r="D275"/>
      <c r="E275"/>
      <c r="F275" s="27" t="s">
        <v>7</v>
      </c>
      <c r="DS275" s="27" t="s">
        <v>8</v>
      </c>
      <c r="EH275" s="27" t="s">
        <v>7</v>
      </c>
      <c r="EI275" s="27" t="s">
        <v>8</v>
      </c>
      <c r="EN275" s="27" t="s">
        <v>7</v>
      </c>
      <c r="EO275" s="27" t="s">
        <v>8</v>
      </c>
      <c r="FV275" s="27" t="s">
        <v>7</v>
      </c>
      <c r="FX275" s="27" t="s">
        <v>7</v>
      </c>
      <c r="FY275" s="27" t="s">
        <v>8</v>
      </c>
      <c r="FZ275" s="27" t="s">
        <v>7</v>
      </c>
      <c r="GC275" s="27" t="s">
        <v>8</v>
      </c>
      <c r="GD275" s="27" t="s">
        <v>7</v>
      </c>
    </row>
    <row r="276" spans="1:186" x14ac:dyDescent="0.25">
      <c r="A276" s="30">
        <v>0.17265741462149967</v>
      </c>
      <c r="B276"/>
      <c r="C276"/>
      <c r="D276"/>
      <c r="E276"/>
      <c r="F276" s="27" t="s">
        <v>7</v>
      </c>
      <c r="DS276" s="27" t="s">
        <v>8</v>
      </c>
      <c r="EH276" s="27" t="s">
        <v>7</v>
      </c>
      <c r="EN276" s="27" t="s">
        <v>7</v>
      </c>
      <c r="EO276" s="27" t="s">
        <v>8</v>
      </c>
      <c r="FX276" s="27" t="s">
        <v>7</v>
      </c>
      <c r="FY276" s="27" t="s">
        <v>8</v>
      </c>
      <c r="FZ276" s="27" t="s">
        <v>7</v>
      </c>
      <c r="GC276" s="27" t="s">
        <v>8</v>
      </c>
      <c r="GD276" s="27" t="s">
        <v>7</v>
      </c>
    </row>
    <row r="277" spans="1:186" x14ac:dyDescent="0.25">
      <c r="A277" s="30">
        <v>0.16443563297285677</v>
      </c>
      <c r="B277"/>
      <c r="C277"/>
      <c r="D277"/>
      <c r="E277"/>
      <c r="F277" s="27" t="s">
        <v>7</v>
      </c>
      <c r="DQ277" s="27" t="s">
        <v>8</v>
      </c>
      <c r="DS277" s="27" t="s">
        <v>8</v>
      </c>
      <c r="EN277" s="27" t="s">
        <v>7</v>
      </c>
      <c r="EO277" s="27" t="s">
        <v>8</v>
      </c>
      <c r="FX277" s="27" t="s">
        <v>7</v>
      </c>
      <c r="FY277" s="27" t="s">
        <v>8</v>
      </c>
      <c r="FZ277" s="27" t="s">
        <v>7</v>
      </c>
      <c r="GC277" s="27" t="s">
        <v>8</v>
      </c>
      <c r="GD277" s="27" t="s">
        <v>7</v>
      </c>
    </row>
    <row r="278" spans="1:186" x14ac:dyDescent="0.25">
      <c r="A278" s="30">
        <v>0.15660536473605399</v>
      </c>
      <c r="B278"/>
      <c r="C278"/>
      <c r="D278"/>
      <c r="E278"/>
      <c r="F278" s="27" t="s">
        <v>7</v>
      </c>
      <c r="DQ278" s="27" t="s">
        <v>8</v>
      </c>
      <c r="DR278" s="27" t="s">
        <v>7</v>
      </c>
      <c r="DS278" s="27" t="s">
        <v>8</v>
      </c>
      <c r="EN278" s="27" t="s">
        <v>7</v>
      </c>
      <c r="EO278" s="27" t="s">
        <v>8</v>
      </c>
      <c r="FX278" s="27" t="s">
        <v>7</v>
      </c>
      <c r="FZ278" s="27" t="s">
        <v>7</v>
      </c>
      <c r="GC278" s="27" t="s">
        <v>8</v>
      </c>
    </row>
    <row r="279" spans="1:186" x14ac:dyDescent="0.25">
      <c r="A279" s="30">
        <v>0.14914796641528946</v>
      </c>
      <c r="B279"/>
      <c r="C279"/>
      <c r="D279"/>
      <c r="E279"/>
      <c r="F279" s="27" t="s">
        <v>7</v>
      </c>
      <c r="DQ279" s="27" t="s">
        <v>8</v>
      </c>
      <c r="DR279" s="27" t="s">
        <v>7</v>
      </c>
      <c r="DS279" s="27" t="s">
        <v>8</v>
      </c>
      <c r="EN279" s="27" t="s">
        <v>7</v>
      </c>
      <c r="FZ279" s="27" t="s">
        <v>7</v>
      </c>
      <c r="GC279" s="27" t="s">
        <v>8</v>
      </c>
    </row>
    <row r="280" spans="1:186" x14ac:dyDescent="0.25">
      <c r="A280" s="30">
        <v>0.14204568230027562</v>
      </c>
      <c r="B280"/>
      <c r="C280"/>
      <c r="D280"/>
      <c r="E280"/>
      <c r="F280" s="27" t="s">
        <v>7</v>
      </c>
      <c r="DO280" s="27" t="s">
        <v>8</v>
      </c>
      <c r="DQ280" s="27" t="s">
        <v>8</v>
      </c>
      <c r="DR280" s="27" t="s">
        <v>7</v>
      </c>
      <c r="DS280" s="27" t="s">
        <v>8</v>
      </c>
      <c r="FZ280" s="27" t="s">
        <v>7</v>
      </c>
      <c r="GA280" s="27" t="s">
        <v>8</v>
      </c>
      <c r="GC280" s="27" t="s">
        <v>8</v>
      </c>
    </row>
    <row r="281" spans="1:186" x14ac:dyDescent="0.25">
      <c r="A281" s="30">
        <v>0.13528160219073862</v>
      </c>
      <c r="B281"/>
      <c r="C281"/>
      <c r="D281"/>
      <c r="E281"/>
      <c r="F281" s="27" t="s">
        <v>7</v>
      </c>
      <c r="DO281" s="27" t="s">
        <v>8</v>
      </c>
      <c r="DP281" s="27" t="s">
        <v>7</v>
      </c>
      <c r="DQ281" s="27" t="s">
        <v>8</v>
      </c>
      <c r="DR281" s="27" t="s">
        <v>7</v>
      </c>
      <c r="FZ281" s="27" t="s">
        <v>7</v>
      </c>
      <c r="GA281" s="27" t="s">
        <v>8</v>
      </c>
      <c r="GB281" s="27" t="s">
        <v>7</v>
      </c>
      <c r="GC281" s="27" t="s">
        <v>8</v>
      </c>
    </row>
    <row r="282" spans="1:186" x14ac:dyDescent="0.25">
      <c r="A282" s="30">
        <v>0.12883962113403674</v>
      </c>
      <c r="B282"/>
      <c r="C282"/>
      <c r="D282"/>
      <c r="E282"/>
      <c r="F282" s="27" t="s">
        <v>7</v>
      </c>
      <c r="DO282" s="27" t="s">
        <v>8</v>
      </c>
      <c r="DP282" s="27" t="s">
        <v>7</v>
      </c>
      <c r="DQ282" s="27" t="s">
        <v>8</v>
      </c>
      <c r="FZ282" s="27" t="s">
        <v>7</v>
      </c>
      <c r="GA282" s="27" t="s">
        <v>8</v>
      </c>
      <c r="GB282" s="27" t="s">
        <v>7</v>
      </c>
      <c r="GC282" s="27" t="s">
        <v>8</v>
      </c>
    </row>
    <row r="283" spans="1:186" x14ac:dyDescent="0.25">
      <c r="A283" s="30">
        <v>0.12270440108003494</v>
      </c>
      <c r="B283"/>
      <c r="C283"/>
      <c r="D283"/>
      <c r="E283"/>
      <c r="F283" s="27" t="s">
        <v>7</v>
      </c>
      <c r="DO283" s="27" t="s">
        <v>8</v>
      </c>
      <c r="DP283" s="27" t="s">
        <v>7</v>
      </c>
      <c r="FZ283" s="27" t="s">
        <v>7</v>
      </c>
      <c r="GB283" s="27" t="s">
        <v>7</v>
      </c>
      <c r="GC283" s="27" t="s">
        <v>8</v>
      </c>
    </row>
    <row r="284" spans="1:186" x14ac:dyDescent="0.25">
      <c r="A284" s="30">
        <v>0.11686133436193799</v>
      </c>
      <c r="B284"/>
      <c r="C284"/>
      <c r="D284"/>
      <c r="E284"/>
      <c r="F284" s="27" t="s">
        <v>7</v>
      </c>
      <c r="DI284" s="27" t="s">
        <v>8</v>
      </c>
      <c r="DO284" s="27" t="s">
        <v>8</v>
      </c>
      <c r="GB284" s="27" t="s">
        <v>7</v>
      </c>
    </row>
    <row r="285" spans="1:186" x14ac:dyDescent="0.25">
      <c r="A285" s="30">
        <v>0.11129650891613138</v>
      </c>
      <c r="B285"/>
      <c r="C285"/>
      <c r="D285"/>
      <c r="E285"/>
      <c r="F285" s="27" t="s">
        <v>7</v>
      </c>
      <c r="DI285" s="27" t="s">
        <v>8</v>
      </c>
      <c r="DJ285" s="27" t="s">
        <v>7</v>
      </c>
      <c r="DM285" s="27" t="s">
        <v>8</v>
      </c>
      <c r="DO285" s="27" t="s">
        <v>8</v>
      </c>
    </row>
    <row r="286" spans="1:186" x14ac:dyDescent="0.25">
      <c r="A286" s="30">
        <v>0.10599667515822032</v>
      </c>
      <c r="B286"/>
      <c r="C286"/>
      <c r="D286"/>
      <c r="E286"/>
      <c r="F286" s="27" t="s">
        <v>7</v>
      </c>
      <c r="DI286" s="27" t="s">
        <v>8</v>
      </c>
      <c r="DJ286" s="27" t="s">
        <v>7</v>
      </c>
      <c r="DM286" s="27" t="s">
        <v>8</v>
      </c>
      <c r="DN286" s="27" t="s">
        <v>7</v>
      </c>
      <c r="DO286" s="27" t="s">
        <v>8</v>
      </c>
    </row>
    <row r="287" spans="1:186" x14ac:dyDescent="0.25">
      <c r="A287" s="30">
        <v>0.10094921443640027</v>
      </c>
      <c r="B287"/>
      <c r="C287"/>
      <c r="D287"/>
      <c r="E287"/>
      <c r="F287" s="27" t="s">
        <v>7</v>
      </c>
      <c r="DI287" s="27" t="s">
        <v>8</v>
      </c>
      <c r="DJ287" s="27" t="s">
        <v>7</v>
      </c>
      <c r="DM287" s="27" t="s">
        <v>8</v>
      </c>
      <c r="DN287" s="27" t="s">
        <v>7</v>
      </c>
      <c r="DO287" s="27" t="s">
        <v>8</v>
      </c>
    </row>
    <row r="288" spans="1:186" x14ac:dyDescent="0.25">
      <c r="A288" s="30">
        <v>9.6142108987047836E-2</v>
      </c>
      <c r="B288"/>
      <c r="C288"/>
      <c r="D288"/>
      <c r="E288"/>
      <c r="F288" s="27" t="s">
        <v>7</v>
      </c>
      <c r="DI288" s="27" t="s">
        <v>8</v>
      </c>
      <c r="DJ288" s="27" t="s">
        <v>7</v>
      </c>
      <c r="DM288" s="27" t="s">
        <v>8</v>
      </c>
      <c r="DN288" s="27" t="s">
        <v>7</v>
      </c>
      <c r="DO288" s="27" t="s">
        <v>8</v>
      </c>
    </row>
    <row r="289" spans="1:119" x14ac:dyDescent="0.25">
      <c r="A289" s="30">
        <v>9.1563913320997906E-2</v>
      </c>
      <c r="B289"/>
      <c r="C289"/>
      <c r="D289"/>
      <c r="E289"/>
      <c r="F289" s="27" t="s">
        <v>7</v>
      </c>
      <c r="DI289" s="27" t="s">
        <v>8</v>
      </c>
      <c r="DJ289" s="27" t="s">
        <v>7</v>
      </c>
      <c r="DK289" s="27" t="s">
        <v>8</v>
      </c>
      <c r="DM289" s="27" t="s">
        <v>8</v>
      </c>
      <c r="DN289" s="27" t="s">
        <v>7</v>
      </c>
      <c r="DO289" s="27" t="s">
        <v>8</v>
      </c>
    </row>
    <row r="290" spans="1:119" x14ac:dyDescent="0.25">
      <c r="A290" s="30">
        <v>8.7203726972378923E-2</v>
      </c>
      <c r="B290"/>
      <c r="C290"/>
      <c r="D290"/>
      <c r="E290"/>
      <c r="F290" s="27" t="s">
        <v>7</v>
      </c>
      <c r="DI290" s="27" t="s">
        <v>8</v>
      </c>
      <c r="DJ290" s="27" t="s">
        <v>7</v>
      </c>
      <c r="DK290" s="27" t="s">
        <v>8</v>
      </c>
      <c r="DL290" s="27" t="s">
        <v>7</v>
      </c>
      <c r="DM290" s="27" t="s">
        <v>8</v>
      </c>
      <c r="DN290" s="27" t="s">
        <v>7</v>
      </c>
    </row>
    <row r="291" spans="1:119" x14ac:dyDescent="0.25">
      <c r="A291" s="30">
        <v>8.3051168545122747E-2</v>
      </c>
      <c r="B291"/>
      <c r="C291"/>
      <c r="D291"/>
      <c r="E291"/>
      <c r="F291" s="27" t="s">
        <v>7</v>
      </c>
      <c r="DI291" s="27" t="s">
        <v>8</v>
      </c>
      <c r="DJ291" s="27" t="s">
        <v>7</v>
      </c>
      <c r="DK291" s="27" t="s">
        <v>8</v>
      </c>
      <c r="DL291" s="27" t="s">
        <v>7</v>
      </c>
      <c r="DM291" s="27" t="s">
        <v>8</v>
      </c>
    </row>
    <row r="292" spans="1:119" x14ac:dyDescent="0.25">
      <c r="A292" s="30">
        <v>7.9096350995354961E-2</v>
      </c>
      <c r="B292"/>
      <c r="C292"/>
      <c r="D292"/>
      <c r="E292"/>
      <c r="F292" s="27" t="s">
        <v>7</v>
      </c>
      <c r="DI292" s="27" t="s">
        <v>8</v>
      </c>
      <c r="DJ292" s="27" t="s">
        <v>7</v>
      </c>
      <c r="DK292" s="27" t="s">
        <v>8</v>
      </c>
      <c r="DL292" s="27" t="s">
        <v>7</v>
      </c>
      <c r="DM292" s="27" t="s">
        <v>8</v>
      </c>
    </row>
    <row r="293" spans="1:119" x14ac:dyDescent="0.25">
      <c r="A293" s="30">
        <v>7.5329858090814217E-2</v>
      </c>
      <c r="B293"/>
      <c r="C293"/>
      <c r="D293"/>
      <c r="E293"/>
      <c r="F293" s="27" t="s">
        <v>7</v>
      </c>
      <c r="DI293" s="27" t="s">
        <v>8</v>
      </c>
      <c r="DJ293" s="27" t="s">
        <v>7</v>
      </c>
      <c r="DK293" s="27" t="s">
        <v>8</v>
      </c>
      <c r="DL293" s="27" t="s">
        <v>7</v>
      </c>
    </row>
    <row r="294" spans="1:119" x14ac:dyDescent="0.25">
      <c r="A294" s="30">
        <v>7.1742721991251604E-2</v>
      </c>
      <c r="B294"/>
      <c r="C294"/>
      <c r="D294"/>
      <c r="E294"/>
      <c r="F294" s="27" t="s">
        <v>7</v>
      </c>
      <c r="DI294" s="27" t="s">
        <v>8</v>
      </c>
      <c r="DJ294" s="27" t="s">
        <v>7</v>
      </c>
      <c r="DK294" s="27" t="s">
        <v>8</v>
      </c>
    </row>
    <row r="295" spans="1:119" x14ac:dyDescent="0.25">
      <c r="A295" s="30">
        <v>6.8326401896430078E-2</v>
      </c>
      <c r="B295"/>
      <c r="C295"/>
      <c r="D295"/>
      <c r="E295"/>
      <c r="F295" s="27" t="s">
        <v>7</v>
      </c>
      <c r="DI295" s="27" t="s">
        <v>8</v>
      </c>
      <c r="DJ295" s="27" t="s">
        <v>7</v>
      </c>
      <c r="DK295" s="27" t="s">
        <v>8</v>
      </c>
    </row>
    <row r="296" spans="1:119" x14ac:dyDescent="0.25">
      <c r="A296" s="30">
        <v>6.5072763710885759E-2</v>
      </c>
      <c r="B296"/>
      <c r="C296"/>
      <c r="D296"/>
      <c r="E296"/>
      <c r="F296" s="27" t="s">
        <v>7</v>
      </c>
      <c r="DI296" s="27" t="s">
        <v>8</v>
      </c>
      <c r="DJ296" s="27" t="s">
        <v>7</v>
      </c>
      <c r="DK296" s="27" t="s">
        <v>8</v>
      </c>
    </row>
    <row r="297" spans="1:119" x14ac:dyDescent="0.25">
      <c r="A297" s="30">
        <v>6.197406067703403E-2</v>
      </c>
      <c r="B297"/>
      <c r="C297"/>
      <c r="D297"/>
      <c r="E297"/>
      <c r="F297" s="27" t="s">
        <v>7</v>
      </c>
      <c r="DI297" s="27" t="s">
        <v>8</v>
      </c>
      <c r="DJ297" s="27" t="s">
        <v>7</v>
      </c>
    </row>
    <row r="298" spans="1:119" x14ac:dyDescent="0.25">
      <c r="A298" s="30">
        <v>5.9022914930508576E-2</v>
      </c>
      <c r="B298"/>
      <c r="C298"/>
      <c r="D298"/>
      <c r="E298"/>
      <c r="F298" s="27" t="s">
        <v>7</v>
      </c>
      <c r="DI298" s="27" t="s">
        <v>8</v>
      </c>
    </row>
    <row r="299" spans="1:119" x14ac:dyDescent="0.25">
      <c r="A299" s="30">
        <v>5.6212299933817669E-2</v>
      </c>
      <c r="B299"/>
      <c r="C299"/>
      <c r="D299"/>
      <c r="E299"/>
      <c r="F299" s="27" t="s">
        <v>7</v>
      </c>
      <c r="DI299" s="27" t="s">
        <v>8</v>
      </c>
    </row>
    <row r="300" spans="1:119" x14ac:dyDescent="0.25">
      <c r="A300" s="30">
        <v>5.3535523746492994E-2</v>
      </c>
      <c r="B300"/>
      <c r="C300"/>
      <c r="D300"/>
      <c r="E300"/>
      <c r="F300" s="27" t="s">
        <v>7</v>
      </c>
      <c r="DI300" s="27" t="s">
        <v>8</v>
      </c>
    </row>
    <row r="301" spans="1:119" x14ac:dyDescent="0.25">
      <c r="A301" s="30">
        <v>5.0986213091898068E-2</v>
      </c>
      <c r="B301"/>
      <c r="C301"/>
      <c r="D301"/>
      <c r="E301"/>
      <c r="F301" s="27" t="s">
        <v>7</v>
      </c>
      <c r="DI301" s="27" t="s">
        <v>8</v>
      </c>
    </row>
    <row r="302" spans="1:119" x14ac:dyDescent="0.25">
      <c r="A302" s="30">
        <v>4.8558298182760043E-2</v>
      </c>
      <c r="B302"/>
      <c r="C302"/>
      <c r="D302"/>
      <c r="E302"/>
      <c r="F302" s="27" t="s">
        <v>7</v>
      </c>
      <c r="DI302" s="27" t="s">
        <v>8</v>
      </c>
    </row>
    <row r="303" spans="1:119" x14ac:dyDescent="0.25">
      <c r="A303" s="30">
        <v>4.6245998269295263E-2</v>
      </c>
      <c r="B303"/>
      <c r="C303"/>
      <c r="D303"/>
      <c r="E303"/>
      <c r="F303" s="27" t="s">
        <v>7</v>
      </c>
      <c r="DG303" s="27" t="s">
        <v>8</v>
      </c>
      <c r="DI303" s="27" t="s">
        <v>8</v>
      </c>
    </row>
    <row r="304" spans="1:119" x14ac:dyDescent="0.25">
      <c r="A304" s="30">
        <v>4.4043807875519279E-2</v>
      </c>
      <c r="B304"/>
      <c r="C304"/>
      <c r="D304"/>
      <c r="E304"/>
      <c r="F304" s="27" t="s">
        <v>7</v>
      </c>
      <c r="DG304" s="27" t="s">
        <v>8</v>
      </c>
      <c r="DH304" s="27" t="s">
        <v>7</v>
      </c>
      <c r="DI304" s="27" t="s">
        <v>8</v>
      </c>
    </row>
    <row r="305" spans="1:113" x14ac:dyDescent="0.25">
      <c r="A305" s="30">
        <v>4.1946483690970725E-2</v>
      </c>
      <c r="B305"/>
      <c r="C305"/>
      <c r="D305"/>
      <c r="E305"/>
      <c r="F305" s="27" t="s">
        <v>7</v>
      </c>
      <c r="DG305" s="27" t="s">
        <v>8</v>
      </c>
      <c r="DH305" s="27" t="s">
        <v>7</v>
      </c>
      <c r="DI305" s="27" t="s">
        <v>8</v>
      </c>
    </row>
    <row r="306" spans="1:113" x14ac:dyDescent="0.25">
      <c r="A306" s="30">
        <v>3.9949032086638768E-2</v>
      </c>
      <c r="B306"/>
      <c r="C306"/>
      <c r="D306"/>
      <c r="E306"/>
      <c r="F306" s="27" t="s">
        <v>7</v>
      </c>
      <c r="CS306" s="27" t="s">
        <v>8</v>
      </c>
      <c r="DG306" s="27" t="s">
        <v>8</v>
      </c>
      <c r="DH306" s="27" t="s">
        <v>7</v>
      </c>
    </row>
    <row r="307" spans="1:113" x14ac:dyDescent="0.25">
      <c r="A307" s="30">
        <v>3.8046697225370241E-2</v>
      </c>
      <c r="B307"/>
      <c r="C307"/>
      <c r="D307"/>
      <c r="E307"/>
      <c r="F307" s="27" t="s">
        <v>7</v>
      </c>
      <c r="CS307" s="27" t="s">
        <v>8</v>
      </c>
      <c r="CT307" s="27" t="s">
        <v>7</v>
      </c>
      <c r="CU307" s="27" t="s">
        <v>8</v>
      </c>
      <c r="DG307" s="27" t="s">
        <v>8</v>
      </c>
    </row>
    <row r="308" spans="1:113" x14ac:dyDescent="0.25">
      <c r="A308" s="30">
        <v>3.6234949738447833E-2</v>
      </c>
      <c r="B308"/>
      <c r="C308"/>
      <c r="D308"/>
      <c r="E308"/>
      <c r="F308" s="27" t="s">
        <v>7</v>
      </c>
      <c r="CS308" s="27" t="s">
        <v>8</v>
      </c>
      <c r="CT308" s="27" t="s">
        <v>7</v>
      </c>
      <c r="CU308" s="27" t="s">
        <v>8</v>
      </c>
      <c r="CV308" s="27" t="s">
        <v>7</v>
      </c>
      <c r="DG308" s="27" t="s">
        <v>8</v>
      </c>
    </row>
    <row r="309" spans="1:113" x14ac:dyDescent="0.25">
      <c r="A309" s="30">
        <v>3.4509475941378875E-2</v>
      </c>
      <c r="B309"/>
      <c r="C309"/>
      <c r="D309"/>
      <c r="E309"/>
      <c r="F309" s="27" t="s">
        <v>7</v>
      </c>
      <c r="CS309" s="27" t="s">
        <v>8</v>
      </c>
      <c r="CT309" s="27" t="s">
        <v>7</v>
      </c>
      <c r="CU309" s="27" t="s">
        <v>8</v>
      </c>
      <c r="CV309" s="27" t="s">
        <v>7</v>
      </c>
      <c r="DE309" s="27" t="s">
        <v>8</v>
      </c>
      <c r="DG309" s="27" t="s">
        <v>8</v>
      </c>
    </row>
    <row r="310" spans="1:113" x14ac:dyDescent="0.25">
      <c r="A310" s="30">
        <v>3.286616756321796E-2</v>
      </c>
      <c r="B310"/>
      <c r="C310"/>
      <c r="D310"/>
      <c r="E310"/>
      <c r="F310" s="27" t="s">
        <v>7</v>
      </c>
      <c r="CS310" s="27" t="s">
        <v>8</v>
      </c>
      <c r="CT310" s="27" t="s">
        <v>7</v>
      </c>
      <c r="CU310" s="27" t="s">
        <v>8</v>
      </c>
      <c r="CV310" s="27" t="s">
        <v>7</v>
      </c>
      <c r="CW310" s="27" t="s">
        <v>8</v>
      </c>
      <c r="DE310" s="27" t="s">
        <v>8</v>
      </c>
      <c r="DF310" s="27" t="s">
        <v>7</v>
      </c>
      <c r="DG310" s="27" t="s">
        <v>8</v>
      </c>
    </row>
    <row r="311" spans="1:113" x14ac:dyDescent="0.25">
      <c r="A311" s="30">
        <v>3.1301111964969472E-2</v>
      </c>
      <c r="B311"/>
      <c r="C311"/>
      <c r="D311"/>
      <c r="E311"/>
      <c r="F311" s="27" t="s">
        <v>7</v>
      </c>
      <c r="CS311" s="27" t="s">
        <v>8</v>
      </c>
      <c r="CT311" s="27" t="s">
        <v>7</v>
      </c>
      <c r="CU311" s="27" t="s">
        <v>8</v>
      </c>
      <c r="CV311" s="27" t="s">
        <v>7</v>
      </c>
      <c r="CW311" s="27" t="s">
        <v>8</v>
      </c>
      <c r="CX311" s="27" t="s">
        <v>7</v>
      </c>
      <c r="DC311" s="27" t="s">
        <v>8</v>
      </c>
      <c r="DE311" s="27" t="s">
        <v>8</v>
      </c>
      <c r="DF311" s="27" t="s">
        <v>7</v>
      </c>
      <c r="DG311" s="27" t="s">
        <v>8</v>
      </c>
    </row>
    <row r="312" spans="1:113" x14ac:dyDescent="0.25">
      <c r="A312" s="30">
        <v>2.9810582823780438E-2</v>
      </c>
      <c r="B312"/>
      <c r="C312"/>
      <c r="D312"/>
      <c r="E312"/>
      <c r="F312" s="27" t="s">
        <v>7</v>
      </c>
      <c r="CS312" s="27" t="s">
        <v>8</v>
      </c>
      <c r="CT312" s="27" t="s">
        <v>7</v>
      </c>
      <c r="CU312" s="27" t="s">
        <v>8</v>
      </c>
      <c r="CV312" s="27" t="s">
        <v>7</v>
      </c>
      <c r="CW312" s="27" t="s">
        <v>8</v>
      </c>
      <c r="CX312" s="27" t="s">
        <v>7</v>
      </c>
      <c r="DA312" s="27" t="s">
        <v>8</v>
      </c>
      <c r="DC312" s="27" t="s">
        <v>8</v>
      </c>
      <c r="DD312" s="27" t="s">
        <v>7</v>
      </c>
      <c r="DE312" s="27" t="s">
        <v>8</v>
      </c>
      <c r="DF312" s="27" t="s">
        <v>7</v>
      </c>
      <c r="DG312" s="27" t="s">
        <v>8</v>
      </c>
    </row>
    <row r="313" spans="1:113" x14ac:dyDescent="0.25">
      <c r="A313" s="30">
        <v>2.8391031260743264E-2</v>
      </c>
      <c r="B313"/>
      <c r="C313"/>
      <c r="D313"/>
      <c r="E313"/>
      <c r="F313" s="27" t="s">
        <v>7</v>
      </c>
      <c r="CS313" s="27" t="s">
        <v>8</v>
      </c>
      <c r="CT313" s="27" t="s">
        <v>7</v>
      </c>
      <c r="CU313" s="27" t="s">
        <v>8</v>
      </c>
      <c r="CV313" s="27" t="s">
        <v>7</v>
      </c>
      <c r="CW313" s="27" t="s">
        <v>8</v>
      </c>
      <c r="CX313" s="27" t="s">
        <v>7</v>
      </c>
      <c r="CY313" s="27" t="s">
        <v>8</v>
      </c>
      <c r="DA313" s="27" t="s">
        <v>8</v>
      </c>
      <c r="DB313" s="27" t="s">
        <v>7</v>
      </c>
      <c r="DC313" s="27" t="s">
        <v>8</v>
      </c>
      <c r="DD313" s="27" t="s">
        <v>7</v>
      </c>
      <c r="DE313" s="27" t="s">
        <v>8</v>
      </c>
      <c r="DF313" s="27" t="s">
        <v>7</v>
      </c>
      <c r="DG313" s="27" t="s">
        <v>8</v>
      </c>
    </row>
    <row r="314" spans="1:113" x14ac:dyDescent="0.25">
      <c r="A314" s="30">
        <v>2.7039077391184052E-2</v>
      </c>
      <c r="B314"/>
      <c r="C314"/>
      <c r="D314"/>
      <c r="E314"/>
      <c r="F314" s="27" t="s">
        <v>7</v>
      </c>
      <c r="CS314" s="27" t="s">
        <v>8</v>
      </c>
      <c r="CT314" s="27" t="s">
        <v>7</v>
      </c>
      <c r="CU314" s="27" t="s">
        <v>8</v>
      </c>
      <c r="CV314" s="27" t="s">
        <v>7</v>
      </c>
      <c r="CX314" s="27" t="s">
        <v>7</v>
      </c>
      <c r="CY314" s="27" t="s">
        <v>8</v>
      </c>
      <c r="CZ314" s="27" t="s">
        <v>7</v>
      </c>
      <c r="DA314" s="27" t="s">
        <v>8</v>
      </c>
      <c r="DB314" s="27" t="s">
        <v>7</v>
      </c>
      <c r="DC314" s="27" t="s">
        <v>8</v>
      </c>
      <c r="DD314" s="27" t="s">
        <v>7</v>
      </c>
      <c r="DE314" s="27" t="s">
        <v>8</v>
      </c>
      <c r="DF314" s="27" t="s">
        <v>7</v>
      </c>
    </row>
    <row r="315" spans="1:113" x14ac:dyDescent="0.25">
      <c r="A315" s="30">
        <v>2.5751502277318133E-2</v>
      </c>
      <c r="B315"/>
      <c r="C315"/>
      <c r="D315"/>
      <c r="E315"/>
      <c r="F315" s="27" t="s">
        <v>7</v>
      </c>
      <c r="CS315" s="27" t="s">
        <v>8</v>
      </c>
      <c r="CT315" s="27" t="s">
        <v>7</v>
      </c>
      <c r="CX315" s="27" t="s">
        <v>7</v>
      </c>
      <c r="CY315" s="27" t="s">
        <v>8</v>
      </c>
      <c r="CZ315" s="27" t="s">
        <v>7</v>
      </c>
      <c r="DA315" s="27" t="s">
        <v>8</v>
      </c>
      <c r="DB315" s="27" t="s">
        <v>7</v>
      </c>
      <c r="DD315" s="27" t="s">
        <v>7</v>
      </c>
      <c r="DE315" s="27" t="s">
        <v>8</v>
      </c>
    </row>
    <row r="316" spans="1:113" x14ac:dyDescent="0.25">
      <c r="A316" s="30">
        <v>2.4525240264112496E-2</v>
      </c>
      <c r="B316"/>
      <c r="C316"/>
      <c r="D316"/>
      <c r="E316"/>
      <c r="F316" s="27" t="s">
        <v>7</v>
      </c>
      <c r="CS316" s="27" t="s">
        <v>8</v>
      </c>
      <c r="CX316" s="27" t="s">
        <v>7</v>
      </c>
      <c r="CZ316" s="27" t="s">
        <v>7</v>
      </c>
      <c r="DA316" s="27" t="s">
        <v>8</v>
      </c>
      <c r="DD316" s="27" t="s">
        <v>7</v>
      </c>
      <c r="DE316" s="27" t="s">
        <v>8</v>
      </c>
    </row>
    <row r="317" spans="1:113" x14ac:dyDescent="0.25">
      <c r="A317" s="30">
        <v>2.3357371680107129E-2</v>
      </c>
      <c r="B317"/>
      <c r="C317"/>
      <c r="D317"/>
      <c r="E317"/>
      <c r="F317" s="27" t="s">
        <v>7</v>
      </c>
      <c r="BK317" s="27" t="s">
        <v>8</v>
      </c>
      <c r="CS317" s="27" t="s">
        <v>8</v>
      </c>
      <c r="CZ317" s="27" t="s">
        <v>7</v>
      </c>
      <c r="DA317" s="27" t="s">
        <v>8</v>
      </c>
      <c r="DD317" s="27" t="s">
        <v>7</v>
      </c>
    </row>
    <row r="318" spans="1:113" x14ac:dyDescent="0.25">
      <c r="A318" s="30">
        <v>2.2245115885816305E-2</v>
      </c>
      <c r="B318"/>
      <c r="C318"/>
      <c r="D318"/>
      <c r="E318"/>
      <c r="F318" s="27" t="s">
        <v>7</v>
      </c>
      <c r="G318" s="27" t="s">
        <v>8</v>
      </c>
      <c r="BK318" s="27" t="s">
        <v>8</v>
      </c>
      <c r="BL318" s="27" t="s">
        <v>7</v>
      </c>
      <c r="CS318" s="27" t="s">
        <v>8</v>
      </c>
      <c r="CZ318" s="27" t="s">
        <v>7</v>
      </c>
      <c r="DA318" s="27" t="s">
        <v>8</v>
      </c>
    </row>
    <row r="319" spans="1:113" x14ac:dyDescent="0.25">
      <c r="A319" s="30">
        <v>2.1185824653158377E-2</v>
      </c>
      <c r="B319"/>
      <c r="C319"/>
      <c r="D319"/>
      <c r="E319"/>
      <c r="F319" s="27" t="s">
        <v>7</v>
      </c>
      <c r="G319" s="27" t="s">
        <v>8</v>
      </c>
      <c r="H319" s="27" t="s">
        <v>7</v>
      </c>
      <c r="BK319" s="27" t="s">
        <v>8</v>
      </c>
      <c r="BL319" s="27" t="s">
        <v>7</v>
      </c>
      <c r="CQ319" s="27" t="s">
        <v>8</v>
      </c>
      <c r="CS319" s="27" t="s">
        <v>8</v>
      </c>
      <c r="CZ319" s="27" t="s">
        <v>7</v>
      </c>
      <c r="DA319" s="27" t="s">
        <v>8</v>
      </c>
    </row>
    <row r="320" spans="1:113" x14ac:dyDescent="0.25">
      <c r="A320" s="30">
        <v>2.0176975860150829E-2</v>
      </c>
      <c r="B320"/>
      <c r="C320"/>
      <c r="D320"/>
      <c r="E320"/>
      <c r="F320" s="27" t="s">
        <v>7</v>
      </c>
      <c r="G320" s="27" t="s">
        <v>8</v>
      </c>
      <c r="H320" s="27" t="s">
        <v>7</v>
      </c>
      <c r="BK320" s="27" t="s">
        <v>8</v>
      </c>
      <c r="BL320" s="27" t="s">
        <v>7</v>
      </c>
      <c r="CK320" s="27" t="s">
        <v>8</v>
      </c>
      <c r="CQ320" s="27" t="s">
        <v>8</v>
      </c>
      <c r="CR320" s="27" t="s">
        <v>7</v>
      </c>
      <c r="CS320" s="27" t="s">
        <v>8</v>
      </c>
      <c r="CZ320" s="27" t="s">
        <v>7</v>
      </c>
    </row>
    <row r="321" spans="1:97" x14ac:dyDescent="0.25">
      <c r="A321" s="30">
        <v>1.9216167485857926E-2</v>
      </c>
      <c r="B321"/>
      <c r="C321"/>
      <c r="D321"/>
      <c r="E321"/>
      <c r="F321" s="27" t="s">
        <v>7</v>
      </c>
      <c r="G321" s="27" t="s">
        <v>8</v>
      </c>
      <c r="H321" s="27" t="s">
        <v>7</v>
      </c>
      <c r="BK321" s="27" t="s">
        <v>8</v>
      </c>
      <c r="BL321" s="27" t="s">
        <v>7</v>
      </c>
      <c r="CK321" s="27" t="s">
        <v>8</v>
      </c>
      <c r="CL321" s="27" t="s">
        <v>7</v>
      </c>
      <c r="CM321" s="27" t="s">
        <v>8</v>
      </c>
      <c r="CQ321" s="27" t="s">
        <v>8</v>
      </c>
      <c r="CR321" s="27" t="s">
        <v>7</v>
      </c>
      <c r="CS321" s="27" t="s">
        <v>8</v>
      </c>
    </row>
    <row r="322" spans="1:97" x14ac:dyDescent="0.25">
      <c r="A322" s="30">
        <v>1.8301111891293256E-2</v>
      </c>
      <c r="B322"/>
      <c r="C322"/>
      <c r="D322"/>
      <c r="E322"/>
      <c r="F322" s="27" t="s">
        <v>7</v>
      </c>
      <c r="G322" s="27" t="s">
        <v>8</v>
      </c>
      <c r="H322" s="27" t="s">
        <v>7</v>
      </c>
      <c r="I322" s="27" t="s">
        <v>8</v>
      </c>
      <c r="BK322" s="27" t="s">
        <v>8</v>
      </c>
      <c r="BL322" s="27" t="s">
        <v>7</v>
      </c>
      <c r="CK322" s="27" t="s">
        <v>8</v>
      </c>
      <c r="CL322" s="27" t="s">
        <v>7</v>
      </c>
      <c r="CM322" s="27" t="s">
        <v>8</v>
      </c>
      <c r="CN322" s="27" t="s">
        <v>7</v>
      </c>
      <c r="CO322" s="27" t="s">
        <v>8</v>
      </c>
      <c r="CQ322" s="27" t="s">
        <v>8</v>
      </c>
      <c r="CR322" s="27" t="s">
        <v>7</v>
      </c>
      <c r="CS322" s="27" t="s">
        <v>8</v>
      </c>
    </row>
    <row r="323" spans="1:97" x14ac:dyDescent="0.25">
      <c r="A323" s="30">
        <v>1.7429630372660238E-2</v>
      </c>
      <c r="B323"/>
      <c r="C323"/>
      <c r="D323"/>
      <c r="E323"/>
      <c r="F323" s="27" t="s">
        <v>7</v>
      </c>
      <c r="G323" s="27" t="s">
        <v>8</v>
      </c>
      <c r="H323" s="27" t="s">
        <v>7</v>
      </c>
      <c r="I323" s="27" t="s">
        <v>8</v>
      </c>
      <c r="J323" s="27" t="s">
        <v>7</v>
      </c>
      <c r="BK323" s="27" t="s">
        <v>8</v>
      </c>
      <c r="BL323" s="27" t="s">
        <v>7</v>
      </c>
      <c r="CK323" s="27" t="s">
        <v>8</v>
      </c>
      <c r="CL323" s="27" t="s">
        <v>7</v>
      </c>
      <c r="CM323" s="27" t="s">
        <v>8</v>
      </c>
      <c r="CN323" s="27" t="s">
        <v>7</v>
      </c>
      <c r="CO323" s="27" t="s">
        <v>8</v>
      </c>
      <c r="CP323" s="27" t="s">
        <v>7</v>
      </c>
      <c r="CQ323" s="27" t="s">
        <v>8</v>
      </c>
      <c r="CR323" s="27" t="s">
        <v>7</v>
      </c>
    </row>
    <row r="324" spans="1:97" x14ac:dyDescent="0.25">
      <c r="A324" s="30">
        <v>1.6599647973962125E-2</v>
      </c>
      <c r="B324"/>
      <c r="C324"/>
      <c r="D324"/>
      <c r="E324"/>
      <c r="F324" s="27" t="s">
        <v>7</v>
      </c>
      <c r="G324" s="27" t="s">
        <v>8</v>
      </c>
      <c r="H324" s="27" t="s">
        <v>7</v>
      </c>
      <c r="I324" s="27" t="s">
        <v>8</v>
      </c>
      <c r="J324" s="27" t="s">
        <v>7</v>
      </c>
      <c r="BK324" s="27" t="s">
        <v>8</v>
      </c>
      <c r="BL324" s="27" t="s">
        <v>7</v>
      </c>
      <c r="CK324" s="27" t="s">
        <v>8</v>
      </c>
      <c r="CL324" s="27" t="s">
        <v>7</v>
      </c>
      <c r="CM324" s="27" t="s">
        <v>8</v>
      </c>
      <c r="CN324" s="27" t="s">
        <v>7</v>
      </c>
      <c r="CO324" s="27" t="s">
        <v>8</v>
      </c>
      <c r="CP324" s="27" t="s">
        <v>7</v>
      </c>
      <c r="CQ324" s="27" t="s">
        <v>8</v>
      </c>
    </row>
    <row r="325" spans="1:97" x14ac:dyDescent="0.25">
      <c r="A325" s="30">
        <v>1.580918854663059E-2</v>
      </c>
      <c r="B325"/>
      <c r="C325"/>
      <c r="D325"/>
      <c r="E325"/>
      <c r="F325" s="27" t="s">
        <v>7</v>
      </c>
      <c r="G325" s="27" t="s">
        <v>8</v>
      </c>
      <c r="H325" s="27" t="s">
        <v>7</v>
      </c>
      <c r="J325" s="27" t="s">
        <v>7</v>
      </c>
      <c r="BK325" s="27" t="s">
        <v>8</v>
      </c>
      <c r="BL325" s="27" t="s">
        <v>7</v>
      </c>
      <c r="CK325" s="27" t="s">
        <v>8</v>
      </c>
      <c r="CL325" s="27" t="s">
        <v>7</v>
      </c>
      <c r="CM325" s="27" t="s">
        <v>8</v>
      </c>
      <c r="CN325" s="27" t="s">
        <v>7</v>
      </c>
      <c r="CP325" s="27" t="s">
        <v>7</v>
      </c>
      <c r="CQ325" s="27" t="s">
        <v>8</v>
      </c>
    </row>
    <row r="326" spans="1:97" x14ac:dyDescent="0.25">
      <c r="A326" s="30">
        <v>1.5056370044410079E-2</v>
      </c>
      <c r="B326"/>
      <c r="C326"/>
      <c r="D326"/>
      <c r="E326"/>
      <c r="F326" s="27" t="s">
        <v>7</v>
      </c>
      <c r="J326" s="27" t="s">
        <v>7</v>
      </c>
      <c r="K326" s="27" t="s">
        <v>8</v>
      </c>
      <c r="BK326" s="27" t="s">
        <v>8</v>
      </c>
      <c r="BL326" s="27" t="s">
        <v>7</v>
      </c>
      <c r="CC326" s="27" t="s">
        <v>8</v>
      </c>
      <c r="CK326" s="27" t="s">
        <v>8</v>
      </c>
      <c r="CL326" s="27" t="s">
        <v>7</v>
      </c>
      <c r="CM326" s="27" t="s">
        <v>8</v>
      </c>
      <c r="CP326" s="27" t="s">
        <v>7</v>
      </c>
    </row>
    <row r="327" spans="1:97" x14ac:dyDescent="0.25">
      <c r="A327" s="30">
        <v>1.4339400042295308E-2</v>
      </c>
      <c r="B327"/>
      <c r="C327"/>
      <c r="D327"/>
      <c r="E327"/>
      <c r="J327" s="27" t="s">
        <v>7</v>
      </c>
      <c r="K327" s="27" t="s">
        <v>8</v>
      </c>
      <c r="L327" s="27" t="s">
        <v>7</v>
      </c>
      <c r="BK327" s="27" t="s">
        <v>8</v>
      </c>
      <c r="BL327" s="27" t="s">
        <v>7</v>
      </c>
      <c r="CC327" s="27" t="s">
        <v>8</v>
      </c>
      <c r="CD327" s="27" t="s">
        <v>7</v>
      </c>
      <c r="CK327" s="27" t="s">
        <v>8</v>
      </c>
      <c r="CL327" s="27" t="s">
        <v>7</v>
      </c>
      <c r="CM327" s="27" t="s">
        <v>8</v>
      </c>
    </row>
    <row r="328" spans="1:97" x14ac:dyDescent="0.25">
      <c r="A328" s="30">
        <v>1.365657146885267E-2</v>
      </c>
      <c r="B328"/>
      <c r="C328"/>
      <c r="D328"/>
      <c r="E328"/>
      <c r="J328" s="27" t="s">
        <v>7</v>
      </c>
      <c r="K328" s="27" t="s">
        <v>8</v>
      </c>
      <c r="L328" s="27" t="s">
        <v>7</v>
      </c>
      <c r="BK328" s="27" t="s">
        <v>8</v>
      </c>
      <c r="BL328" s="27" t="s">
        <v>7</v>
      </c>
      <c r="CC328" s="27" t="s">
        <v>8</v>
      </c>
      <c r="CD328" s="27" t="s">
        <v>7</v>
      </c>
      <c r="CK328" s="27" t="s">
        <v>8</v>
      </c>
      <c r="CL328" s="27" t="s">
        <v>7</v>
      </c>
      <c r="CM328" s="27" t="s">
        <v>8</v>
      </c>
    </row>
    <row r="329" spans="1:97" x14ac:dyDescent="0.25">
      <c r="A329" s="30">
        <v>1.3006258541764442E-2</v>
      </c>
      <c r="B329"/>
      <c r="C329"/>
      <c r="D329"/>
      <c r="E329"/>
      <c r="J329" s="27" t="s">
        <v>7</v>
      </c>
      <c r="K329" s="27" t="s">
        <v>8</v>
      </c>
      <c r="L329" s="27" t="s">
        <v>7</v>
      </c>
      <c r="BK329" s="27" t="s">
        <v>8</v>
      </c>
      <c r="BL329" s="27" t="s">
        <v>7</v>
      </c>
      <c r="CC329" s="27" t="s">
        <v>8</v>
      </c>
      <c r="CD329" s="27" t="s">
        <v>7</v>
      </c>
      <c r="CK329" s="27" t="s">
        <v>8</v>
      </c>
      <c r="CL329" s="27" t="s">
        <v>7</v>
      </c>
    </row>
    <row r="330" spans="1:97" x14ac:dyDescent="0.25">
      <c r="A330" s="30">
        <v>1.2386912896918512E-2</v>
      </c>
      <c r="B330"/>
      <c r="C330"/>
      <c r="D330"/>
      <c r="E330"/>
      <c r="J330" s="27" t="s">
        <v>7</v>
      </c>
      <c r="L330" s="27" t="s">
        <v>7</v>
      </c>
      <c r="BK330" s="27" t="s">
        <v>8</v>
      </c>
      <c r="BL330" s="27" t="s">
        <v>7</v>
      </c>
      <c r="BQ330" s="27" t="s">
        <v>8</v>
      </c>
      <c r="CA330" s="27" t="s">
        <v>8</v>
      </c>
      <c r="CC330" s="27" t="s">
        <v>8</v>
      </c>
      <c r="CD330" s="27" t="s">
        <v>7</v>
      </c>
      <c r="CI330" s="27" t="s">
        <v>8</v>
      </c>
      <c r="CK330" s="27" t="s">
        <v>8</v>
      </c>
    </row>
    <row r="331" spans="1:97" x14ac:dyDescent="0.25">
      <c r="A331" s="30">
        <v>1.179705990182715E-2</v>
      </c>
      <c r="B331"/>
      <c r="C331"/>
      <c r="D331"/>
      <c r="E331"/>
      <c r="L331" s="27" t="s">
        <v>7</v>
      </c>
      <c r="BK331" s="27" t="s">
        <v>8</v>
      </c>
      <c r="BL331" s="27" t="s">
        <v>7</v>
      </c>
      <c r="BQ331" s="27" t="s">
        <v>8</v>
      </c>
      <c r="BR331" s="27" t="s">
        <v>7</v>
      </c>
      <c r="CA331" s="27" t="s">
        <v>8</v>
      </c>
      <c r="CB331" s="27" t="s">
        <v>7</v>
      </c>
      <c r="CC331" s="27" t="s">
        <v>8</v>
      </c>
      <c r="CD331" s="27" t="s">
        <v>7</v>
      </c>
      <c r="CG331" s="27" t="s">
        <v>8</v>
      </c>
      <c r="CI331" s="27" t="s">
        <v>8</v>
      </c>
      <c r="CJ331" s="27" t="s">
        <v>7</v>
      </c>
      <c r="CK331" s="27" t="s">
        <v>8</v>
      </c>
    </row>
    <row r="332" spans="1:97" x14ac:dyDescent="0.25">
      <c r="A332" s="30">
        <v>1.1235295144597281E-2</v>
      </c>
      <c r="B332"/>
      <c r="C332"/>
      <c r="D332"/>
      <c r="E332"/>
      <c r="L332" s="27" t="s">
        <v>7</v>
      </c>
      <c r="O332" s="27" t="s">
        <v>8</v>
      </c>
      <c r="BK332" s="27" t="s">
        <v>8</v>
      </c>
      <c r="BL332" s="27" t="s">
        <v>7</v>
      </c>
      <c r="BQ332" s="27" t="s">
        <v>8</v>
      </c>
      <c r="BR332" s="27" t="s">
        <v>7</v>
      </c>
      <c r="CA332" s="27" t="s">
        <v>8</v>
      </c>
      <c r="CB332" s="27" t="s">
        <v>7</v>
      </c>
      <c r="CC332" s="27" t="s">
        <v>8</v>
      </c>
      <c r="CD332" s="27" t="s">
        <v>7</v>
      </c>
      <c r="CG332" s="27" t="s">
        <v>8</v>
      </c>
      <c r="CH332" s="27" t="s">
        <v>7</v>
      </c>
      <c r="CI332" s="27" t="s">
        <v>8</v>
      </c>
      <c r="CJ332" s="27" t="s">
        <v>7</v>
      </c>
      <c r="CK332" s="27" t="s">
        <v>8</v>
      </c>
    </row>
    <row r="333" spans="1:97" x14ac:dyDescent="0.25">
      <c r="A333" s="30">
        <v>1.0700281090092644E-2</v>
      </c>
      <c r="B333"/>
      <c r="C333"/>
      <c r="D333"/>
      <c r="E333"/>
      <c r="L333" s="27" t="s">
        <v>7</v>
      </c>
      <c r="M333" s="27" t="s">
        <v>8</v>
      </c>
      <c r="O333" s="27" t="s">
        <v>8</v>
      </c>
      <c r="P333" s="27" t="s">
        <v>7</v>
      </c>
      <c r="BK333" s="27" t="s">
        <v>8</v>
      </c>
      <c r="BL333" s="27" t="s">
        <v>7</v>
      </c>
      <c r="BM333" s="27" t="s">
        <v>8</v>
      </c>
      <c r="BQ333" s="27" t="s">
        <v>8</v>
      </c>
      <c r="BR333" s="27" t="s">
        <v>7</v>
      </c>
      <c r="BY333" s="27" t="s">
        <v>8</v>
      </c>
      <c r="CA333" s="27" t="s">
        <v>8</v>
      </c>
      <c r="CB333" s="27" t="s">
        <v>7</v>
      </c>
      <c r="CC333" s="27" t="s">
        <v>8</v>
      </c>
      <c r="CD333" s="27" t="s">
        <v>7</v>
      </c>
      <c r="CG333" s="27" t="s">
        <v>8</v>
      </c>
      <c r="CH333" s="27" t="s">
        <v>7</v>
      </c>
      <c r="CI333" s="27" t="s">
        <v>8</v>
      </c>
      <c r="CJ333" s="27" t="s">
        <v>7</v>
      </c>
      <c r="CK333" s="27" t="s">
        <v>8</v>
      </c>
    </row>
    <row r="334" spans="1:97" x14ac:dyDescent="0.25">
      <c r="A334" s="30">
        <v>1.0190743895326324E-2</v>
      </c>
      <c r="B334"/>
      <c r="C334"/>
      <c r="D334"/>
      <c r="E334"/>
      <c r="L334" s="27" t="s">
        <v>7</v>
      </c>
      <c r="M334" s="27" t="s">
        <v>8</v>
      </c>
      <c r="N334" s="27" t="s">
        <v>7</v>
      </c>
      <c r="O334" s="27" t="s">
        <v>8</v>
      </c>
      <c r="P334" s="27" t="s">
        <v>7</v>
      </c>
      <c r="BK334" s="27" t="s">
        <v>8</v>
      </c>
      <c r="BL334" s="27" t="s">
        <v>7</v>
      </c>
      <c r="BM334" s="27" t="s">
        <v>8</v>
      </c>
      <c r="BN334" s="27" t="s">
        <v>7</v>
      </c>
      <c r="BQ334" s="27" t="s">
        <v>8</v>
      </c>
      <c r="BR334" s="27" t="s">
        <v>7</v>
      </c>
      <c r="BS334" s="27" t="s">
        <v>8</v>
      </c>
      <c r="BU334" s="27" t="s">
        <v>8</v>
      </c>
      <c r="BY334" s="27" t="s">
        <v>8</v>
      </c>
      <c r="BZ334" s="27" t="s">
        <v>7</v>
      </c>
      <c r="CA334" s="27" t="s">
        <v>8</v>
      </c>
      <c r="CB334" s="27" t="s">
        <v>7</v>
      </c>
      <c r="CD334" s="27" t="s">
        <v>7</v>
      </c>
      <c r="CG334" s="27" t="s">
        <v>8</v>
      </c>
      <c r="CH334" s="27" t="s">
        <v>7</v>
      </c>
      <c r="CI334" s="27" t="s">
        <v>8</v>
      </c>
      <c r="CJ334" s="27" t="s">
        <v>7</v>
      </c>
      <c r="CK334" s="27" t="s">
        <v>8</v>
      </c>
    </row>
    <row r="335" spans="1:97" x14ac:dyDescent="0.25">
      <c r="A335" s="30">
        <v>9.7054703765012563E-3</v>
      </c>
      <c r="B335"/>
      <c r="C335"/>
      <c r="D335"/>
      <c r="E335"/>
      <c r="L335" s="27" t="s">
        <v>7</v>
      </c>
      <c r="M335" s="27" t="s">
        <v>8</v>
      </c>
      <c r="N335" s="27" t="s">
        <v>7</v>
      </c>
      <c r="O335" s="27" t="s">
        <v>8</v>
      </c>
      <c r="P335" s="27" t="s">
        <v>7</v>
      </c>
      <c r="BK335" s="27" t="s">
        <v>8</v>
      </c>
      <c r="BL335" s="27" t="s">
        <v>7</v>
      </c>
      <c r="BM335" s="27" t="s">
        <v>8</v>
      </c>
      <c r="BN335" s="27" t="s">
        <v>7</v>
      </c>
      <c r="BO335" s="27" t="s">
        <v>8</v>
      </c>
      <c r="BQ335" s="27" t="s">
        <v>8</v>
      </c>
      <c r="BR335" s="27" t="s">
        <v>7</v>
      </c>
      <c r="BS335" s="27" t="s">
        <v>8</v>
      </c>
      <c r="BT335" s="27" t="s">
        <v>7</v>
      </c>
      <c r="BU335" s="27" t="s">
        <v>8</v>
      </c>
      <c r="BV335" s="27" t="s">
        <v>7</v>
      </c>
      <c r="BW335" s="27" t="s">
        <v>8</v>
      </c>
      <c r="BY335" s="27" t="s">
        <v>8</v>
      </c>
      <c r="BZ335" s="27" t="s">
        <v>7</v>
      </c>
      <c r="CA335" s="27" t="s">
        <v>8</v>
      </c>
      <c r="CD335" s="27" t="s">
        <v>7</v>
      </c>
      <c r="CG335" s="27" t="s">
        <v>8</v>
      </c>
      <c r="CH335" s="27" t="s">
        <v>7</v>
      </c>
      <c r="CI335" s="27" t="s">
        <v>8</v>
      </c>
      <c r="CJ335" s="27" t="s">
        <v>7</v>
      </c>
      <c r="CK335" s="27" t="s">
        <v>8</v>
      </c>
    </row>
    <row r="336" spans="1:97" x14ac:dyDescent="0.25">
      <c r="A336" s="30">
        <v>9.2433051204773835E-3</v>
      </c>
      <c r="B336"/>
      <c r="C336"/>
      <c r="D336"/>
      <c r="E336"/>
      <c r="L336" s="27" t="s">
        <v>7</v>
      </c>
      <c r="M336" s="27" t="s">
        <v>8</v>
      </c>
      <c r="N336" s="27" t="s">
        <v>7</v>
      </c>
      <c r="O336" s="27" t="s">
        <v>8</v>
      </c>
      <c r="P336" s="27" t="s">
        <v>7</v>
      </c>
      <c r="BI336" s="27" t="s">
        <v>8</v>
      </c>
      <c r="BK336" s="27" t="s">
        <v>8</v>
      </c>
      <c r="BL336" s="27" t="s">
        <v>7</v>
      </c>
      <c r="BM336" s="27" t="s">
        <v>8</v>
      </c>
      <c r="BN336" s="27" t="s">
        <v>7</v>
      </c>
      <c r="BO336" s="27" t="s">
        <v>8</v>
      </c>
      <c r="BP336" s="27" t="s">
        <v>7</v>
      </c>
      <c r="BQ336" s="27" t="s">
        <v>8</v>
      </c>
      <c r="BR336" s="27" t="s">
        <v>7</v>
      </c>
      <c r="BS336" s="27" t="s">
        <v>8</v>
      </c>
      <c r="BT336" s="27" t="s">
        <v>7</v>
      </c>
      <c r="BU336" s="27" t="s">
        <v>8</v>
      </c>
      <c r="BV336" s="27" t="s">
        <v>7</v>
      </c>
      <c r="BW336" s="27" t="s">
        <v>8</v>
      </c>
      <c r="BX336" s="27" t="s">
        <v>7</v>
      </c>
      <c r="BY336" s="27" t="s">
        <v>8</v>
      </c>
      <c r="BZ336" s="27" t="s">
        <v>7</v>
      </c>
      <c r="CD336" s="27" t="s">
        <v>7</v>
      </c>
      <c r="CE336" s="27" t="s">
        <v>8</v>
      </c>
      <c r="CG336" s="27" t="s">
        <v>8</v>
      </c>
      <c r="CH336" s="27" t="s">
        <v>7</v>
      </c>
      <c r="CI336" s="27" t="s">
        <v>8</v>
      </c>
      <c r="CJ336" s="27" t="s">
        <v>7</v>
      </c>
    </row>
    <row r="337" spans="1:87" x14ac:dyDescent="0.25">
      <c r="A337" s="30">
        <v>8.8031477337879808E-3</v>
      </c>
      <c r="B337"/>
      <c r="C337"/>
      <c r="D337"/>
      <c r="E337"/>
      <c r="L337" s="27" t="s">
        <v>7</v>
      </c>
      <c r="M337" s="27" t="s">
        <v>8</v>
      </c>
      <c r="N337" s="27" t="s">
        <v>7</v>
      </c>
      <c r="P337" s="27" t="s">
        <v>7</v>
      </c>
      <c r="Q337" s="27" t="s">
        <v>8</v>
      </c>
      <c r="BI337" s="27" t="s">
        <v>8</v>
      </c>
      <c r="BJ337" s="27" t="s">
        <v>7</v>
      </c>
      <c r="BK337" s="27" t="s">
        <v>8</v>
      </c>
      <c r="BL337" s="27" t="s">
        <v>7</v>
      </c>
      <c r="BM337" s="27" t="s">
        <v>8</v>
      </c>
      <c r="BN337" s="27" t="s">
        <v>7</v>
      </c>
      <c r="BO337" s="27" t="s">
        <v>8</v>
      </c>
      <c r="BP337" s="27" t="s">
        <v>7</v>
      </c>
      <c r="BQ337" s="27" t="s">
        <v>8</v>
      </c>
      <c r="BR337" s="27" t="s">
        <v>7</v>
      </c>
      <c r="BT337" s="27" t="s">
        <v>7</v>
      </c>
      <c r="BV337" s="27" t="s">
        <v>7</v>
      </c>
      <c r="BW337" s="27" t="s">
        <v>8</v>
      </c>
      <c r="BX337" s="27" t="s">
        <v>7</v>
      </c>
      <c r="BY337" s="27" t="s">
        <v>8</v>
      </c>
      <c r="CD337" s="27" t="s">
        <v>7</v>
      </c>
      <c r="CE337" s="27" t="s">
        <v>8</v>
      </c>
      <c r="CF337" s="27" t="s">
        <v>7</v>
      </c>
      <c r="CG337" s="27" t="s">
        <v>8</v>
      </c>
      <c r="CH337" s="27" t="s">
        <v>7</v>
      </c>
      <c r="CI337" s="27" t="s">
        <v>8</v>
      </c>
    </row>
    <row r="338" spans="1:87" x14ac:dyDescent="0.25">
      <c r="A338" s="30">
        <v>8.3839502226552166E-3</v>
      </c>
      <c r="B338"/>
      <c r="C338"/>
      <c r="D338"/>
      <c r="E338"/>
      <c r="L338" s="27" t="s">
        <v>7</v>
      </c>
      <c r="P338" s="27" t="s">
        <v>7</v>
      </c>
      <c r="Q338" s="27" t="s">
        <v>8</v>
      </c>
      <c r="R338" s="27" t="s">
        <v>7</v>
      </c>
      <c r="BI338" s="27" t="s">
        <v>8</v>
      </c>
      <c r="BJ338" s="27" t="s">
        <v>7</v>
      </c>
      <c r="BK338" s="27" t="s">
        <v>8</v>
      </c>
      <c r="BL338" s="27" t="s">
        <v>7</v>
      </c>
      <c r="BN338" s="27" t="s">
        <v>7</v>
      </c>
      <c r="BP338" s="27" t="s">
        <v>7</v>
      </c>
      <c r="BQ338" s="27" t="s">
        <v>8</v>
      </c>
      <c r="BV338" s="27" t="s">
        <v>7</v>
      </c>
      <c r="BW338" s="27" t="s">
        <v>8</v>
      </c>
      <c r="BX338" s="27" t="s">
        <v>7</v>
      </c>
      <c r="BY338" s="27" t="s">
        <v>8</v>
      </c>
      <c r="CD338" s="27" t="s">
        <v>7</v>
      </c>
      <c r="CE338" s="27" t="s">
        <v>8</v>
      </c>
      <c r="CF338" s="27" t="s">
        <v>7</v>
      </c>
      <c r="CG338" s="27" t="s">
        <v>8</v>
      </c>
      <c r="CH338" s="27" t="s">
        <v>7</v>
      </c>
    </row>
    <row r="339" spans="1:87" x14ac:dyDescent="0.25">
      <c r="A339" s="30">
        <v>7.9847144977668698E-3</v>
      </c>
      <c r="B339"/>
      <c r="C339"/>
      <c r="D339"/>
      <c r="E339"/>
      <c r="P339" s="27" t="s">
        <v>7</v>
      </c>
      <c r="Q339" s="27" t="s">
        <v>8</v>
      </c>
      <c r="R339" s="27" t="s">
        <v>7</v>
      </c>
      <c r="S339" s="27" t="s">
        <v>8</v>
      </c>
      <c r="BI339" s="27" t="s">
        <v>8</v>
      </c>
      <c r="BJ339" s="27" t="s">
        <v>7</v>
      </c>
      <c r="BK339" s="27" t="s">
        <v>8</v>
      </c>
      <c r="BP339" s="27" t="s">
        <v>7</v>
      </c>
      <c r="BQ339" s="27" t="s">
        <v>8</v>
      </c>
      <c r="BV339" s="27" t="s">
        <v>7</v>
      </c>
      <c r="BX339" s="27" t="s">
        <v>7</v>
      </c>
      <c r="BY339" s="27" t="s">
        <v>8</v>
      </c>
      <c r="CD339" s="27" t="s">
        <v>7</v>
      </c>
      <c r="CF339" s="27" t="s">
        <v>7</v>
      </c>
    </row>
    <row r="340" spans="1:87" x14ac:dyDescent="0.25">
      <c r="A340" s="30">
        <v>7.6044899978732058E-3</v>
      </c>
      <c r="B340"/>
      <c r="C340"/>
      <c r="D340"/>
      <c r="E340"/>
      <c r="P340" s="27" t="s">
        <v>7</v>
      </c>
      <c r="R340" s="27" t="s">
        <v>7</v>
      </c>
      <c r="S340" s="27" t="s">
        <v>8</v>
      </c>
      <c r="T340" s="27" t="s">
        <v>7</v>
      </c>
      <c r="BI340" s="27" t="s">
        <v>8</v>
      </c>
      <c r="BJ340" s="27" t="s">
        <v>7</v>
      </c>
      <c r="BK340" s="27" t="s">
        <v>8</v>
      </c>
      <c r="BP340" s="27" t="s">
        <v>7</v>
      </c>
      <c r="BQ340" s="27" t="s">
        <v>8</v>
      </c>
      <c r="BX340" s="27" t="s">
        <v>7</v>
      </c>
    </row>
    <row r="341" spans="1:87" x14ac:dyDescent="0.25">
      <c r="A341" s="30">
        <v>7.2423714265459072E-3</v>
      </c>
      <c r="B341"/>
      <c r="C341"/>
      <c r="D341"/>
      <c r="E341"/>
      <c r="R341" s="27" t="s">
        <v>7</v>
      </c>
      <c r="S341" s="27" t="s">
        <v>8</v>
      </c>
      <c r="T341" s="27" t="s">
        <v>7</v>
      </c>
      <c r="U341" s="27" t="s">
        <v>8</v>
      </c>
      <c r="BI341" s="27" t="s">
        <v>8</v>
      </c>
      <c r="BJ341" s="27" t="s">
        <v>7</v>
      </c>
      <c r="BK341" s="27" t="s">
        <v>8</v>
      </c>
      <c r="BP341" s="27" t="s">
        <v>7</v>
      </c>
      <c r="BQ341" s="27" t="s">
        <v>8</v>
      </c>
    </row>
    <row r="342" spans="1:87" x14ac:dyDescent="0.25">
      <c r="A342" s="30">
        <v>6.8974965967103846E-3</v>
      </c>
      <c r="B342"/>
      <c r="C342"/>
      <c r="D342"/>
      <c r="E342"/>
      <c r="R342" s="27" t="s">
        <v>7</v>
      </c>
      <c r="S342" s="27" t="s">
        <v>8</v>
      </c>
      <c r="T342" s="27" t="s">
        <v>7</v>
      </c>
      <c r="U342" s="27" t="s">
        <v>8</v>
      </c>
      <c r="V342" s="27" t="s">
        <v>7</v>
      </c>
      <c r="W342" s="27" t="s">
        <v>8</v>
      </c>
      <c r="BI342" s="27" t="s">
        <v>8</v>
      </c>
      <c r="BJ342" s="27" t="s">
        <v>7</v>
      </c>
      <c r="BK342" s="27" t="s">
        <v>8</v>
      </c>
      <c r="BP342" s="27" t="s">
        <v>7</v>
      </c>
      <c r="BQ342" s="27" t="s">
        <v>8</v>
      </c>
    </row>
    <row r="343" spans="1:87" x14ac:dyDescent="0.25">
      <c r="A343" s="30">
        <v>6.5690443778194116E-3</v>
      </c>
      <c r="B343"/>
      <c r="C343"/>
      <c r="D343"/>
      <c r="E343"/>
      <c r="R343" s="27" t="s">
        <v>7</v>
      </c>
      <c r="S343" s="27" t="s">
        <v>8</v>
      </c>
      <c r="T343" s="27" t="s">
        <v>7</v>
      </c>
      <c r="U343" s="27" t="s">
        <v>8</v>
      </c>
      <c r="V343" s="27" t="s">
        <v>7</v>
      </c>
      <c r="W343" s="27" t="s">
        <v>8</v>
      </c>
      <c r="X343" s="27" t="s">
        <v>7</v>
      </c>
      <c r="BI343" s="27" t="s">
        <v>8</v>
      </c>
      <c r="BJ343" s="27" t="s">
        <v>7</v>
      </c>
      <c r="BK343" s="27" t="s">
        <v>8</v>
      </c>
      <c r="BP343" s="27" t="s">
        <v>7</v>
      </c>
      <c r="BQ343" s="27" t="s">
        <v>8</v>
      </c>
    </row>
    <row r="344" spans="1:87" x14ac:dyDescent="0.25">
      <c r="A344" s="30">
        <v>6.2562327407803897E-3</v>
      </c>
      <c r="B344"/>
      <c r="C344"/>
      <c r="D344"/>
      <c r="E344"/>
      <c r="R344" s="27" t="s">
        <v>7</v>
      </c>
      <c r="T344" s="27" t="s">
        <v>7</v>
      </c>
      <c r="V344" s="27" t="s">
        <v>7</v>
      </c>
      <c r="W344" s="27" t="s">
        <v>8</v>
      </c>
      <c r="X344" s="27" t="s">
        <v>7</v>
      </c>
      <c r="BI344" s="27" t="s">
        <v>8</v>
      </c>
      <c r="BJ344" s="27" t="s">
        <v>7</v>
      </c>
      <c r="BP344" s="27" t="s">
        <v>7</v>
      </c>
    </row>
    <row r="345" spans="1:87" x14ac:dyDescent="0.25">
      <c r="A345" s="30">
        <v>5.9583168959813212E-3</v>
      </c>
      <c r="B345"/>
      <c r="C345"/>
      <c r="D345"/>
      <c r="E345"/>
      <c r="V345" s="27" t="s">
        <v>7</v>
      </c>
      <c r="W345" s="27" t="s">
        <v>8</v>
      </c>
      <c r="X345" s="27" t="s">
        <v>7</v>
      </c>
      <c r="BI345" s="27" t="s">
        <v>8</v>
      </c>
    </row>
    <row r="346" spans="1:87" x14ac:dyDescent="0.25">
      <c r="A346" s="30">
        <v>5.6745875199822084E-3</v>
      </c>
      <c r="B346"/>
      <c r="C346"/>
      <c r="D346"/>
      <c r="E346"/>
      <c r="V346" s="27" t="s">
        <v>7</v>
      </c>
      <c r="W346" s="27" t="s">
        <v>8</v>
      </c>
      <c r="X346" s="27" t="s">
        <v>7</v>
      </c>
      <c r="BI346" s="27" t="s">
        <v>8</v>
      </c>
    </row>
    <row r="347" spans="1:87" x14ac:dyDescent="0.25">
      <c r="A347" s="30">
        <v>5.4043690666497205E-3</v>
      </c>
      <c r="B347"/>
      <c r="C347"/>
      <c r="D347"/>
      <c r="E347"/>
      <c r="V347" s="27" t="s">
        <v>7</v>
      </c>
      <c r="X347" s="27" t="s">
        <v>7</v>
      </c>
      <c r="BI347" s="27" t="s">
        <v>8</v>
      </c>
    </row>
    <row r="348" spans="1:87" x14ac:dyDescent="0.25">
      <c r="A348" s="30">
        <v>5.1470181587140174E-3</v>
      </c>
      <c r="B348"/>
      <c r="C348"/>
      <c r="D348"/>
      <c r="E348"/>
      <c r="X348" s="27" t="s">
        <v>7</v>
      </c>
      <c r="AE348" s="27" t="s">
        <v>8</v>
      </c>
      <c r="BI348" s="27" t="s">
        <v>8</v>
      </c>
    </row>
    <row r="349" spans="1:87" x14ac:dyDescent="0.25">
      <c r="A349" s="30">
        <v>4.9019220559181099E-3</v>
      </c>
      <c r="B349"/>
      <c r="C349"/>
      <c r="D349"/>
      <c r="E349"/>
      <c r="X349" s="27" t="s">
        <v>7</v>
      </c>
      <c r="Y349" s="27" t="s">
        <v>8</v>
      </c>
      <c r="AE349" s="27" t="s">
        <v>8</v>
      </c>
      <c r="AF349" s="27" t="s">
        <v>7</v>
      </c>
      <c r="BI349" s="27" t="s">
        <v>8</v>
      </c>
    </row>
    <row r="350" spans="1:87" x14ac:dyDescent="0.25">
      <c r="A350" s="30">
        <v>4.6684971961124836E-3</v>
      </c>
      <c r="B350"/>
      <c r="C350"/>
      <c r="D350"/>
      <c r="E350"/>
      <c r="X350" s="27" t="s">
        <v>7</v>
      </c>
      <c r="Y350" s="27" t="s">
        <v>8</v>
      </c>
      <c r="Z350" s="27" t="s">
        <v>7</v>
      </c>
      <c r="AE350" s="27" t="s">
        <v>8</v>
      </c>
      <c r="AF350" s="27" t="s">
        <v>7</v>
      </c>
      <c r="BI350" s="27" t="s">
        <v>8</v>
      </c>
    </row>
    <row r="351" spans="1:87" x14ac:dyDescent="0.25">
      <c r="A351" s="30">
        <v>4.4461878058214112E-3</v>
      </c>
      <c r="B351"/>
      <c r="C351"/>
      <c r="D351"/>
      <c r="E351"/>
      <c r="X351" s="27" t="s">
        <v>7</v>
      </c>
      <c r="Y351" s="27" t="s">
        <v>8</v>
      </c>
      <c r="Z351" s="27" t="s">
        <v>7</v>
      </c>
      <c r="AE351" s="27" t="s">
        <v>8</v>
      </c>
      <c r="AF351" s="27" t="s">
        <v>7</v>
      </c>
      <c r="BI351" s="27" t="s">
        <v>8</v>
      </c>
    </row>
    <row r="352" spans="1:87" x14ac:dyDescent="0.25">
      <c r="A352" s="30">
        <v>4.2344645769727711E-3</v>
      </c>
      <c r="B352"/>
      <c r="C352"/>
      <c r="D352"/>
      <c r="E352"/>
      <c r="X352" s="27" t="s">
        <v>7</v>
      </c>
      <c r="Y352" s="27" t="s">
        <v>8</v>
      </c>
      <c r="Z352" s="27" t="s">
        <v>7</v>
      </c>
      <c r="AA352" s="27" t="s">
        <v>8</v>
      </c>
      <c r="AE352" s="27" t="s">
        <v>8</v>
      </c>
      <c r="AF352" s="27" t="s">
        <v>7</v>
      </c>
      <c r="AO352" s="27" t="s">
        <v>8</v>
      </c>
      <c r="BI352" s="27" t="s">
        <v>8</v>
      </c>
    </row>
    <row r="353" spans="1:61" x14ac:dyDescent="0.25">
      <c r="A353" s="30">
        <v>4.0328234066407329E-3</v>
      </c>
      <c r="B353"/>
      <c r="C353"/>
      <c r="D353"/>
      <c r="E353"/>
      <c r="X353" s="27" t="s">
        <v>7</v>
      </c>
      <c r="Z353" s="27" t="s">
        <v>7</v>
      </c>
      <c r="AA353" s="27" t="s">
        <v>8</v>
      </c>
      <c r="AB353" s="27" t="s">
        <v>7</v>
      </c>
      <c r="AE353" s="27" t="s">
        <v>8</v>
      </c>
      <c r="AF353" s="27" t="s">
        <v>7</v>
      </c>
      <c r="AO353" s="27" t="s">
        <v>8</v>
      </c>
      <c r="AP353" s="27" t="s">
        <v>7</v>
      </c>
      <c r="BI353" s="27" t="s">
        <v>8</v>
      </c>
    </row>
    <row r="354" spans="1:61" x14ac:dyDescent="0.25">
      <c r="A354" s="30">
        <v>3.8407841968006963E-3</v>
      </c>
      <c r="B354"/>
      <c r="C354"/>
      <c r="D354"/>
      <c r="E354"/>
      <c r="Z354" s="27" t="s">
        <v>7</v>
      </c>
      <c r="AA354" s="27" t="s">
        <v>8</v>
      </c>
      <c r="AB354" s="27" t="s">
        <v>7</v>
      </c>
      <c r="AE354" s="27" t="s">
        <v>8</v>
      </c>
      <c r="AF354" s="27" t="s">
        <v>7</v>
      </c>
      <c r="AO354" s="27" t="s">
        <v>8</v>
      </c>
      <c r="AP354" s="27" t="s">
        <v>7</v>
      </c>
      <c r="BI354" s="27" t="s">
        <v>8</v>
      </c>
    </row>
    <row r="355" spans="1:61" x14ac:dyDescent="0.25">
      <c r="A355" s="30">
        <v>3.6578897112387568E-3</v>
      </c>
      <c r="B355"/>
      <c r="C355"/>
      <c r="D355"/>
      <c r="E355"/>
      <c r="Z355" s="27" t="s">
        <v>7</v>
      </c>
      <c r="AA355" s="27" t="s">
        <v>8</v>
      </c>
      <c r="AB355" s="27" t="s">
        <v>7</v>
      </c>
      <c r="AC355" s="27" t="s">
        <v>8</v>
      </c>
      <c r="AE355" s="27" t="s">
        <v>8</v>
      </c>
      <c r="AF355" s="27" t="s">
        <v>7</v>
      </c>
      <c r="AG355" s="27" t="s">
        <v>8</v>
      </c>
      <c r="AO355" s="27" t="s">
        <v>8</v>
      </c>
      <c r="AP355" s="27" t="s">
        <v>7</v>
      </c>
      <c r="BI355" s="27" t="s">
        <v>8</v>
      </c>
    </row>
    <row r="356" spans="1:61" x14ac:dyDescent="0.25">
      <c r="A356" s="30">
        <v>3.4837044868940526E-3</v>
      </c>
      <c r="B356"/>
      <c r="C356"/>
      <c r="D356"/>
      <c r="E356"/>
      <c r="Z356" s="27" t="s">
        <v>7</v>
      </c>
      <c r="AA356" s="27" t="s">
        <v>8</v>
      </c>
      <c r="AB356" s="27" t="s">
        <v>7</v>
      </c>
      <c r="AC356" s="27" t="s">
        <v>8</v>
      </c>
      <c r="AD356" s="27" t="s">
        <v>7</v>
      </c>
      <c r="AE356" s="27" t="s">
        <v>8</v>
      </c>
      <c r="AF356" s="27" t="s">
        <v>7</v>
      </c>
      <c r="AG356" s="27" t="s">
        <v>8</v>
      </c>
      <c r="AH356" s="27" t="s">
        <v>7</v>
      </c>
      <c r="AO356" s="27" t="s">
        <v>8</v>
      </c>
      <c r="AP356" s="27" t="s">
        <v>7</v>
      </c>
      <c r="AQ356" s="27" t="s">
        <v>8</v>
      </c>
      <c r="BI356" s="27" t="s">
        <v>8</v>
      </c>
    </row>
    <row r="357" spans="1:61" x14ac:dyDescent="0.25">
      <c r="A357" s="30">
        <v>3.3178137970419535E-3</v>
      </c>
      <c r="B357"/>
      <c r="C357"/>
      <c r="D357"/>
      <c r="E357"/>
      <c r="Z357" s="27" t="s">
        <v>7</v>
      </c>
      <c r="AA357" s="27" t="s">
        <v>8</v>
      </c>
      <c r="AB357" s="27" t="s">
        <v>7</v>
      </c>
      <c r="AC357" s="27" t="s">
        <v>8</v>
      </c>
      <c r="AD357" s="27" t="s">
        <v>7</v>
      </c>
      <c r="AE357" s="27" t="s">
        <v>8</v>
      </c>
      <c r="AF357" s="27" t="s">
        <v>7</v>
      </c>
      <c r="AG357" s="27" t="s">
        <v>8</v>
      </c>
      <c r="AH357" s="27" t="s">
        <v>7</v>
      </c>
      <c r="AO357" s="27" t="s">
        <v>8</v>
      </c>
      <c r="AP357" s="27" t="s">
        <v>7</v>
      </c>
      <c r="AQ357" s="27" t="s">
        <v>8</v>
      </c>
      <c r="AR357" s="27" t="s">
        <v>7</v>
      </c>
      <c r="BI357" s="27" t="s">
        <v>8</v>
      </c>
    </row>
    <row r="358" spans="1:61" x14ac:dyDescent="0.25">
      <c r="A358" s="30">
        <v>3.1598226638494781E-3</v>
      </c>
      <c r="B358"/>
      <c r="C358"/>
      <c r="D358"/>
      <c r="E358"/>
      <c r="Z358" s="27" t="s">
        <v>7</v>
      </c>
      <c r="AB358" s="27" t="s">
        <v>7</v>
      </c>
      <c r="AC358" s="27" t="s">
        <v>8</v>
      </c>
      <c r="AD358" s="27" t="s">
        <v>7</v>
      </c>
      <c r="AF358" s="27" t="s">
        <v>7</v>
      </c>
      <c r="AG358" s="27" t="s">
        <v>8</v>
      </c>
      <c r="AH358" s="27" t="s">
        <v>7</v>
      </c>
      <c r="AO358" s="27" t="s">
        <v>8</v>
      </c>
      <c r="AP358" s="27" t="s">
        <v>7</v>
      </c>
      <c r="AQ358" s="27" t="s">
        <v>8</v>
      </c>
      <c r="AR358" s="27" t="s">
        <v>7</v>
      </c>
      <c r="BI358" s="27" t="s">
        <v>8</v>
      </c>
    </row>
    <row r="359" spans="1:61" x14ac:dyDescent="0.25">
      <c r="A359" s="30">
        <v>3.0093549179518826E-3</v>
      </c>
      <c r="B359"/>
      <c r="C359"/>
      <c r="D359"/>
      <c r="E359"/>
      <c r="AB359" s="27" t="s">
        <v>7</v>
      </c>
      <c r="AF359" s="27" t="s">
        <v>7</v>
      </c>
      <c r="AH359" s="27" t="s">
        <v>7</v>
      </c>
      <c r="AO359" s="27" t="s">
        <v>8</v>
      </c>
      <c r="AP359" s="27" t="s">
        <v>7</v>
      </c>
      <c r="AR359" s="27" t="s">
        <v>7</v>
      </c>
      <c r="AS359" s="27" t="s">
        <v>8</v>
      </c>
      <c r="BI359" s="27" t="s">
        <v>8</v>
      </c>
    </row>
    <row r="360" spans="1:61" x14ac:dyDescent="0.25">
      <c r="A360" s="30">
        <v>2.8660523028113155E-3</v>
      </c>
      <c r="B360"/>
      <c r="C360"/>
      <c r="D360"/>
      <c r="E360"/>
      <c r="AH360" s="27" t="s">
        <v>7</v>
      </c>
      <c r="AI360" s="27" t="s">
        <v>8</v>
      </c>
      <c r="AK360" s="27" t="s">
        <v>8</v>
      </c>
      <c r="AO360" s="27" t="s">
        <v>8</v>
      </c>
      <c r="AR360" s="27" t="s">
        <v>7</v>
      </c>
      <c r="AS360" s="27" t="s">
        <v>8</v>
      </c>
      <c r="AT360" s="27" t="s">
        <v>7</v>
      </c>
      <c r="BE360" s="27" t="s">
        <v>8</v>
      </c>
      <c r="BG360" s="27" t="s">
        <v>8</v>
      </c>
      <c r="BI360" s="27" t="s">
        <v>8</v>
      </c>
    </row>
    <row r="361" spans="1:61" x14ac:dyDescent="0.25">
      <c r="A361" s="30">
        <v>2.7295736217250611E-3</v>
      </c>
      <c r="B361"/>
      <c r="C361"/>
      <c r="D361"/>
      <c r="E361"/>
      <c r="AH361" s="27" t="s">
        <v>7</v>
      </c>
      <c r="AI361" s="27" t="s">
        <v>8</v>
      </c>
      <c r="AJ361" s="27" t="s">
        <v>7</v>
      </c>
      <c r="AK361" s="27" t="s">
        <v>8</v>
      </c>
      <c r="AL361" s="27" t="s">
        <v>7</v>
      </c>
      <c r="AM361" s="27" t="s">
        <v>8</v>
      </c>
      <c r="AO361" s="27" t="s">
        <v>8</v>
      </c>
      <c r="AR361" s="27" t="s">
        <v>7</v>
      </c>
      <c r="AS361" s="27" t="s">
        <v>8</v>
      </c>
      <c r="AT361" s="27" t="s">
        <v>7</v>
      </c>
      <c r="BE361" s="27" t="s">
        <v>8</v>
      </c>
      <c r="BF361" s="27" t="s">
        <v>7</v>
      </c>
      <c r="BG361" s="27" t="s">
        <v>8</v>
      </c>
      <c r="BH361" s="27" t="s">
        <v>7</v>
      </c>
      <c r="BI361" s="27" t="s">
        <v>8</v>
      </c>
    </row>
    <row r="362" spans="1:61" x14ac:dyDescent="0.25">
      <c r="A362" s="30">
        <v>2.5995939254524381E-3</v>
      </c>
      <c r="B362"/>
      <c r="C362"/>
      <c r="D362"/>
      <c r="E362"/>
      <c r="AH362" s="27" t="s">
        <v>7</v>
      </c>
      <c r="AI362" s="27" t="s">
        <v>8</v>
      </c>
      <c r="AJ362" s="27" t="s">
        <v>7</v>
      </c>
      <c r="AK362" s="27" t="s">
        <v>8</v>
      </c>
      <c r="AL362" s="27" t="s">
        <v>7</v>
      </c>
      <c r="AM362" s="27" t="s">
        <v>8</v>
      </c>
      <c r="AN362" s="27" t="s">
        <v>7</v>
      </c>
      <c r="AO362" s="27" t="s">
        <v>8</v>
      </c>
      <c r="AR362" s="27" t="s">
        <v>7</v>
      </c>
      <c r="AS362" s="27" t="s">
        <v>8</v>
      </c>
      <c r="AT362" s="27" t="s">
        <v>7</v>
      </c>
      <c r="BE362" s="27" t="s">
        <v>8</v>
      </c>
      <c r="BF362" s="27" t="s">
        <v>7</v>
      </c>
      <c r="BG362" s="27" t="s">
        <v>8</v>
      </c>
      <c r="BH362" s="27" t="s">
        <v>7</v>
      </c>
      <c r="BI362" s="27" t="s">
        <v>8</v>
      </c>
    </row>
    <row r="363" spans="1:61" x14ac:dyDescent="0.25">
      <c r="A363" s="30">
        <v>2.4758037385261304E-3</v>
      </c>
      <c r="B363"/>
      <c r="C363"/>
      <c r="D363"/>
      <c r="E363"/>
      <c r="AH363" s="27" t="s">
        <v>7</v>
      </c>
      <c r="AJ363" s="27" t="s">
        <v>7</v>
      </c>
      <c r="AL363" s="27" t="s">
        <v>7</v>
      </c>
      <c r="AM363" s="27" t="s">
        <v>8</v>
      </c>
      <c r="AN363" s="27" t="s">
        <v>7</v>
      </c>
      <c r="AO363" s="27" t="s">
        <v>8</v>
      </c>
      <c r="AR363" s="27" t="s">
        <v>7</v>
      </c>
      <c r="AS363" s="27" t="s">
        <v>8</v>
      </c>
      <c r="AT363" s="27" t="s">
        <v>7</v>
      </c>
      <c r="BE363" s="27" t="s">
        <v>8</v>
      </c>
      <c r="BF363" s="27" t="s">
        <v>7</v>
      </c>
      <c r="BG363" s="27" t="s">
        <v>8</v>
      </c>
      <c r="BH363" s="27" t="s">
        <v>7</v>
      </c>
    </row>
    <row r="364" spans="1:61" x14ac:dyDescent="0.25">
      <c r="A364" s="30">
        <v>2.3579083224058374E-3</v>
      </c>
      <c r="B364"/>
      <c r="C364"/>
      <c r="D364"/>
      <c r="E364"/>
      <c r="AL364" s="27" t="s">
        <v>7</v>
      </c>
      <c r="AN364" s="27" t="s">
        <v>7</v>
      </c>
      <c r="AR364" s="27" t="s">
        <v>7</v>
      </c>
      <c r="AT364" s="27" t="s">
        <v>7</v>
      </c>
      <c r="BE364" s="27" t="s">
        <v>8</v>
      </c>
      <c r="BF364" s="27" t="s">
        <v>7</v>
      </c>
    </row>
    <row r="365" spans="1:61" x14ac:dyDescent="0.25">
      <c r="A365" s="30">
        <v>2.245626973719844E-3</v>
      </c>
      <c r="B365"/>
      <c r="C365"/>
      <c r="D365"/>
      <c r="E365"/>
      <c r="AT365" s="27" t="s">
        <v>7</v>
      </c>
      <c r="BC365" s="27" t="s">
        <v>8</v>
      </c>
      <c r="BE365" s="27" t="s">
        <v>8</v>
      </c>
    </row>
    <row r="366" spans="1:61" x14ac:dyDescent="0.25">
      <c r="A366" s="30">
        <v>2.1386923559236601E-3</v>
      </c>
      <c r="B366"/>
      <c r="C366"/>
      <c r="D366"/>
      <c r="E366"/>
      <c r="AT366" s="27" t="s">
        <v>7</v>
      </c>
      <c r="BC366" s="27" t="s">
        <v>8</v>
      </c>
      <c r="BD366" s="27" t="s">
        <v>7</v>
      </c>
      <c r="BE366" s="27" t="s">
        <v>8</v>
      </c>
    </row>
    <row r="367" spans="1:61" x14ac:dyDescent="0.25">
      <c r="A367" s="30">
        <v>2.0368498627844375E-3</v>
      </c>
      <c r="B367"/>
      <c r="C367"/>
      <c r="D367"/>
      <c r="E367"/>
      <c r="AT367" s="27" t="s">
        <v>7</v>
      </c>
      <c r="BC367" s="27" t="s">
        <v>8</v>
      </c>
      <c r="BD367" s="27" t="s">
        <v>7</v>
      </c>
      <c r="BE367" s="27" t="s">
        <v>8</v>
      </c>
    </row>
    <row r="368" spans="1:61" x14ac:dyDescent="0.25">
      <c r="A368" s="30">
        <v>1.9398570121756541E-3</v>
      </c>
      <c r="B368"/>
      <c r="C368"/>
      <c r="D368"/>
      <c r="E368"/>
      <c r="AT368" s="27" t="s">
        <v>7</v>
      </c>
      <c r="BA368" s="27" t="s">
        <v>8</v>
      </c>
      <c r="BC368" s="27" t="s">
        <v>8</v>
      </c>
      <c r="BD368" s="27" t="s">
        <v>7</v>
      </c>
      <c r="BE368" s="27" t="s">
        <v>8</v>
      </c>
    </row>
    <row r="369" spans="1:56" x14ac:dyDescent="0.25">
      <c r="A369" s="30">
        <v>1.8474828687387174E-3</v>
      </c>
      <c r="B369"/>
      <c r="C369"/>
      <c r="D369"/>
      <c r="E369"/>
      <c r="AT369" s="27" t="s">
        <v>7</v>
      </c>
      <c r="AW369" s="27" t="s">
        <v>8</v>
      </c>
      <c r="AY369" s="27" t="s">
        <v>8</v>
      </c>
      <c r="BA369" s="27" t="s">
        <v>8</v>
      </c>
      <c r="BB369" s="27" t="s">
        <v>7</v>
      </c>
      <c r="BC369" s="27" t="s">
        <v>8</v>
      </c>
      <c r="BD369" s="27" t="s">
        <v>7</v>
      </c>
    </row>
    <row r="370" spans="1:56" x14ac:dyDescent="0.25">
      <c r="A370" s="30">
        <v>1.759507494036873E-3</v>
      </c>
      <c r="B370"/>
      <c r="C370"/>
      <c r="D370"/>
      <c r="E370"/>
      <c r="AT370" s="27" t="s">
        <v>7</v>
      </c>
      <c r="AU370" s="27" t="s">
        <v>8</v>
      </c>
      <c r="AW370" s="27" t="s">
        <v>8</v>
      </c>
      <c r="AX370" s="27" t="s">
        <v>7</v>
      </c>
      <c r="AY370" s="27" t="s">
        <v>8</v>
      </c>
      <c r="AZ370" s="27" t="s">
        <v>7</v>
      </c>
      <c r="BA370" s="27" t="s">
        <v>8</v>
      </c>
      <c r="BB370" s="27" t="s">
        <v>7</v>
      </c>
      <c r="BC370" s="27" t="s">
        <v>8</v>
      </c>
    </row>
    <row r="371" spans="1:56" x14ac:dyDescent="0.25">
      <c r="A371" s="30">
        <v>1.6757214228922594E-3</v>
      </c>
      <c r="B371"/>
      <c r="C371"/>
      <c r="D371"/>
      <c r="E371"/>
      <c r="AT371" s="27" t="s">
        <v>7</v>
      </c>
      <c r="AU371" s="27" t="s">
        <v>8</v>
      </c>
      <c r="AV371" s="27" t="s">
        <v>7</v>
      </c>
      <c r="AW371" s="27" t="s">
        <v>8</v>
      </c>
      <c r="AX371" s="27" t="s">
        <v>7</v>
      </c>
      <c r="AY371" s="27" t="s">
        <v>8</v>
      </c>
      <c r="AZ371" s="27" t="s">
        <v>7</v>
      </c>
      <c r="BA371" s="27" t="s">
        <v>8</v>
      </c>
      <c r="BB371" s="27" t="s">
        <v>7</v>
      </c>
      <c r="BC371" s="27" t="s">
        <v>8</v>
      </c>
    </row>
    <row r="372" spans="1:56" x14ac:dyDescent="0.25">
      <c r="A372" s="30">
        <v>1.595925164659294E-3</v>
      </c>
      <c r="B372"/>
      <c r="C372"/>
      <c r="D372"/>
      <c r="E372"/>
      <c r="AT372" s="27" t="s">
        <v>7</v>
      </c>
      <c r="AU372" s="27" t="s">
        <v>8</v>
      </c>
      <c r="AV372" s="27" t="s">
        <v>7</v>
      </c>
      <c r="AW372" s="27" t="s">
        <v>8</v>
      </c>
      <c r="AX372" s="27" t="s">
        <v>7</v>
      </c>
      <c r="AY372" s="27" t="s">
        <v>8</v>
      </c>
      <c r="AZ372" s="27" t="s">
        <v>7</v>
      </c>
      <c r="BB372" s="27" t="s">
        <v>7</v>
      </c>
    </row>
    <row r="373" spans="1:56" x14ac:dyDescent="0.25">
      <c r="A373" s="30">
        <v>1.5199287282469461E-3</v>
      </c>
      <c r="B373"/>
      <c r="C373"/>
      <c r="D373"/>
      <c r="E373"/>
      <c r="AT373" s="27" t="s">
        <v>7</v>
      </c>
      <c r="AU373" s="27" t="s">
        <v>8</v>
      </c>
      <c r="AV373" s="27" t="s">
        <v>7</v>
      </c>
      <c r="AW373" s="27" t="s">
        <v>8</v>
      </c>
      <c r="AX373" s="27" t="s">
        <v>7</v>
      </c>
    </row>
    <row r="374" spans="1:56" x14ac:dyDescent="0.25">
      <c r="A374" s="30">
        <v>1.4475511697589958E-3</v>
      </c>
      <c r="B374"/>
      <c r="C374"/>
      <c r="D374"/>
      <c r="E374"/>
      <c r="AT374" s="27" t="s">
        <v>7</v>
      </c>
      <c r="AU374" s="27" t="s">
        <v>8</v>
      </c>
      <c r="AV374" s="27" t="s">
        <v>7</v>
      </c>
      <c r="AW374" s="27" t="s">
        <v>8</v>
      </c>
    </row>
    <row r="375" spans="1:56" x14ac:dyDescent="0.25">
      <c r="A375" s="30">
        <v>1.3786201616752334E-3</v>
      </c>
      <c r="B375"/>
      <c r="C375"/>
      <c r="D375"/>
      <c r="E375"/>
      <c r="AT375" s="27" t="s">
        <v>7</v>
      </c>
      <c r="AU375" s="27" t="s">
        <v>8</v>
      </c>
      <c r="AV375" s="27" t="s">
        <v>7</v>
      </c>
      <c r="AW375" s="27" t="s">
        <v>8</v>
      </c>
    </row>
    <row r="376" spans="1:56" x14ac:dyDescent="0.25">
      <c r="A376" s="30">
        <v>1.3129715825478407E-3</v>
      </c>
      <c r="B376"/>
      <c r="C376"/>
      <c r="D376"/>
      <c r="E376"/>
      <c r="AT376" s="27" t="s">
        <v>7</v>
      </c>
      <c r="AU376" s="27" t="s">
        <v>8</v>
      </c>
      <c r="AV376" s="27" t="s">
        <v>7</v>
      </c>
    </row>
    <row r="377" spans="1:56" x14ac:dyDescent="0.25">
      <c r="A377" s="30">
        <v>1.2504491262360382E-3</v>
      </c>
      <c r="B377"/>
      <c r="C377"/>
      <c r="D377"/>
      <c r="E377"/>
      <c r="AT377" s="27" t="s">
        <v>7</v>
      </c>
      <c r="AU377" s="27" t="s">
        <v>8</v>
      </c>
    </row>
    <row r="378" spans="1:56" x14ac:dyDescent="0.25">
      <c r="A378" s="30">
        <v>1.1909039297486072E-3</v>
      </c>
      <c r="B378"/>
      <c r="C378"/>
      <c r="D378"/>
      <c r="E378"/>
      <c r="AT378" s="27" t="s">
        <v>7</v>
      </c>
      <c r="AU378" s="27" t="s">
        <v>8</v>
      </c>
    </row>
    <row r="379" spans="1:56" x14ac:dyDescent="0.25">
      <c r="A379" s="30">
        <v>1.1341942188081969E-3</v>
      </c>
      <c r="B379"/>
      <c r="C379"/>
      <c r="D379"/>
      <c r="E379"/>
      <c r="AT379" s="27" t="s">
        <v>7</v>
      </c>
      <c r="AU379" s="27" t="s">
        <v>8</v>
      </c>
    </row>
    <row r="380" spans="1:56" x14ac:dyDescent="0.25">
      <c r="A380" s="30">
        <v>1.0801849702935203E-3</v>
      </c>
      <c r="B380"/>
      <c r="C380"/>
      <c r="D380"/>
      <c r="E380"/>
      <c r="AT380" s="27" t="s">
        <v>7</v>
      </c>
      <c r="AU380" s="27" t="s">
        <v>8</v>
      </c>
    </row>
    <row r="381" spans="1:56" x14ac:dyDescent="0.25">
      <c r="A381" s="30">
        <v>1.0287475907557332E-3</v>
      </c>
      <c r="B381"/>
      <c r="C381"/>
      <c r="D381"/>
      <c r="E381"/>
      <c r="AT381" s="27" t="s">
        <v>7</v>
      </c>
      <c r="AU381" s="27" t="s">
        <v>8</v>
      </c>
    </row>
    <row r="382" spans="1:56" x14ac:dyDescent="0.25">
      <c r="A382" s="30">
        <v>9.7731021121794646E-4</v>
      </c>
      <c r="AT382" s="27" t="s">
        <v>7</v>
      </c>
      <c r="AU382" s="27" t="s">
        <v>8</v>
      </c>
    </row>
    <row r="383" spans="1:56" x14ac:dyDescent="0.25">
      <c r="A383" s="30">
        <v>9.2844470065704904E-4</v>
      </c>
      <c r="AT383" s="27" t="s">
        <v>7</v>
      </c>
      <c r="AU383" s="27" t="s">
        <v>8</v>
      </c>
    </row>
    <row r="384" spans="1:56" x14ac:dyDescent="0.25">
      <c r="A384" s="30">
        <v>8.8202246562419653E-4</v>
      </c>
      <c r="AT384" s="27" t="s">
        <v>7</v>
      </c>
      <c r="AU384" s="27" t="s">
        <v>8</v>
      </c>
    </row>
    <row r="385" spans="1:47" x14ac:dyDescent="0.25">
      <c r="A385" s="30">
        <v>8.3792134234298668E-4</v>
      </c>
      <c r="AT385" s="27" t="s">
        <v>7</v>
      </c>
      <c r="AU385" s="27" t="s">
        <v>8</v>
      </c>
    </row>
    <row r="386" spans="1:47" x14ac:dyDescent="0.25">
      <c r="A386" s="30">
        <v>7.9602527522583736E-4</v>
      </c>
      <c r="AT386" s="27" t="s">
        <v>7</v>
      </c>
    </row>
    <row r="387" spans="1:47" x14ac:dyDescent="0.25">
      <c r="A387" s="30">
        <v>7.5622401146454546E-4</v>
      </c>
    </row>
    <row r="388" spans="1:47" x14ac:dyDescent="0.25">
      <c r="A388" s="30">
        <v>7.1841281089131816E-4</v>
      </c>
    </row>
    <row r="389" spans="1:47" x14ac:dyDescent="0.25">
      <c r="A389" s="30">
        <v>6.8249217034675226E-4</v>
      </c>
    </row>
    <row r="390" spans="1:47" x14ac:dyDescent="0.25">
      <c r="A390" s="30">
        <v>6.4836756182941465E-4</v>
      </c>
    </row>
    <row r="391" spans="1:47" x14ac:dyDescent="0.25">
      <c r="A391" s="30">
        <v>6.1594918373794388E-4</v>
      </c>
    </row>
    <row r="392" spans="1:47" x14ac:dyDescent="0.25">
      <c r="A392" s="30">
        <v>5.8515172455104666E-4</v>
      </c>
    </row>
    <row r="393" spans="1:47" x14ac:dyDescent="0.25">
      <c r="A393" s="30">
        <v>5.5589413832349429E-4</v>
      </c>
    </row>
    <row r="394" spans="1:47" x14ac:dyDescent="0.25">
      <c r="A394" s="30">
        <v>5.2809943140731956E-4</v>
      </c>
    </row>
    <row r="395" spans="1:47" x14ac:dyDescent="0.25">
      <c r="A395" s="30">
        <v>5.0169445983695357E-4</v>
      </c>
    </row>
    <row r="396" spans="1:47" x14ac:dyDescent="0.25">
      <c r="A396" s="30">
        <v>4.7660973684510589E-4</v>
      </c>
    </row>
    <row r="397" spans="1:47" x14ac:dyDescent="0.25">
      <c r="A397" s="30">
        <v>4.5277925000285056E-4</v>
      </c>
    </row>
    <row r="398" spans="1:47" x14ac:dyDescent="0.25">
      <c r="A398" s="30">
        <v>4.3014028750270803E-4</v>
      </c>
    </row>
    <row r="399" spans="1:47" x14ac:dyDescent="0.25">
      <c r="A399" s="30">
        <v>4.0863327312757263E-4</v>
      </c>
    </row>
    <row r="400" spans="1:47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400" operator="equal">
      <formula>$U$1</formula>
    </cfRule>
    <cfRule type="cellIs" dxfId="67" priority="1401" operator="equal">
      <formula>$S$1</formula>
    </cfRule>
  </conditionalFormatting>
  <conditionalFormatting sqref="D136">
    <cfRule type="cellIs" dxfId="66" priority="1398" operator="equal">
      <formula>$S$1</formula>
    </cfRule>
    <cfRule type="cellIs" dxfId="65" priority="1399" operator="equal">
      <formula>$U$1</formula>
    </cfRule>
  </conditionalFormatting>
  <conditionalFormatting sqref="C162">
    <cfRule type="cellIs" dxfId="64" priority="1396" operator="equal">
      <formula>$U$1</formula>
    </cfRule>
    <cfRule type="cellIs" dxfId="63" priority="1397" operator="equal">
      <formula>$S$1</formula>
    </cfRule>
  </conditionalFormatting>
  <conditionalFormatting sqref="D162">
    <cfRule type="cellIs" dxfId="62" priority="1394" operator="equal">
      <formula>$S$1</formula>
    </cfRule>
    <cfRule type="cellIs" dxfId="61" priority="1395" operator="equal">
      <formula>$U$1</formula>
    </cfRule>
  </conditionalFormatting>
  <conditionalFormatting sqref="C187">
    <cfRule type="cellIs" dxfId="60" priority="1392" operator="equal">
      <formula>$U$1</formula>
    </cfRule>
    <cfRule type="cellIs" dxfId="59" priority="1393" operator="equal">
      <formula>$S$1</formula>
    </cfRule>
  </conditionalFormatting>
  <conditionalFormatting sqref="D187">
    <cfRule type="cellIs" dxfId="58" priority="1390" operator="equal">
      <formula>$S$1</formula>
    </cfRule>
    <cfRule type="cellIs" dxfId="57" priority="1391" operator="equal">
      <formula>$U$1</formula>
    </cfRule>
  </conditionalFormatting>
  <conditionalFormatting sqref="C212">
    <cfRule type="cellIs" dxfId="56" priority="1388" operator="equal">
      <formula>$U$1</formula>
    </cfRule>
    <cfRule type="cellIs" dxfId="55" priority="1389" operator="equal">
      <formula>$S$1</formula>
    </cfRule>
  </conditionalFormatting>
  <conditionalFormatting sqref="D212">
    <cfRule type="cellIs" dxfId="54" priority="1386" operator="equal">
      <formula>$S$1</formula>
    </cfRule>
    <cfRule type="cellIs" dxfId="53" priority="1387" operator="equal">
      <formula>$U$1</formula>
    </cfRule>
  </conditionalFormatting>
  <conditionalFormatting sqref="C237">
    <cfRule type="cellIs" dxfId="52" priority="1384" operator="equal">
      <formula>$U$1</formula>
    </cfRule>
    <cfRule type="cellIs" dxfId="51" priority="1385" operator="equal">
      <formula>$S$1</formula>
    </cfRule>
  </conditionalFormatting>
  <conditionalFormatting sqref="D237">
    <cfRule type="cellIs" dxfId="50" priority="1382" operator="equal">
      <formula>$S$1</formula>
    </cfRule>
    <cfRule type="cellIs" dxfId="49" priority="1383" operator="equal">
      <formula>$U$1</formula>
    </cfRule>
  </conditionalFormatting>
  <conditionalFormatting sqref="C106">
    <cfRule type="cellIs" dxfId="48" priority="1380" operator="equal">
      <formula>$U$1</formula>
    </cfRule>
    <cfRule type="cellIs" dxfId="47" priority="1381" operator="equal">
      <formula>$S$1</formula>
    </cfRule>
  </conditionalFormatting>
  <conditionalFormatting sqref="D106">
    <cfRule type="cellIs" dxfId="46" priority="1378" operator="equal">
      <formula>$S$1</formula>
    </cfRule>
    <cfRule type="cellIs" dxfId="45" priority="1379" operator="equal">
      <formula>$U$1</formula>
    </cfRule>
  </conditionalFormatting>
  <conditionalFormatting sqref="C81">
    <cfRule type="cellIs" dxfId="44" priority="1376" operator="equal">
      <formula>$U$1</formula>
    </cfRule>
    <cfRule type="cellIs" dxfId="43" priority="1377" operator="equal">
      <formula>$S$1</formula>
    </cfRule>
  </conditionalFormatting>
  <conditionalFormatting sqref="D81">
    <cfRule type="cellIs" dxfId="42" priority="1374" operator="equal">
      <formula>$S$1</formula>
    </cfRule>
    <cfRule type="cellIs" dxfId="41" priority="1375" operator="equal">
      <formula>$U$1</formula>
    </cfRule>
  </conditionalFormatting>
  <conditionalFormatting sqref="C56">
    <cfRule type="cellIs" dxfId="40" priority="1372" operator="equal">
      <formula>$U$1</formula>
    </cfRule>
    <cfRule type="cellIs" dxfId="39" priority="1373" operator="equal">
      <formula>$S$1</formula>
    </cfRule>
  </conditionalFormatting>
  <conditionalFormatting sqref="D56">
    <cfRule type="cellIs" dxfId="38" priority="1370" operator="equal">
      <formula>$S$1</formula>
    </cfRule>
    <cfRule type="cellIs" dxfId="37" priority="1371" operator="equal">
      <formula>$U$1</formula>
    </cfRule>
  </conditionalFormatting>
  <conditionalFormatting sqref="C31">
    <cfRule type="cellIs" dxfId="36" priority="1368" operator="equal">
      <formula>$U$1</formula>
    </cfRule>
    <cfRule type="cellIs" dxfId="35" priority="1369" operator="equal">
      <formula>$S$1</formula>
    </cfRule>
  </conditionalFormatting>
  <conditionalFormatting sqref="D31">
    <cfRule type="cellIs" dxfId="34" priority="1366" operator="equal">
      <formula>$S$1</formula>
    </cfRule>
    <cfRule type="cellIs" dxfId="33" priority="1367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BK139" sqref="BK139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$A$138</v>
      </c>
      <c r="D111" s="1" t="str">
        <f>ADDRESS(C121-1,D121,1,1)</f>
        <v>$BK$138</v>
      </c>
      <c r="E111"/>
    </row>
    <row r="112" spans="1:5" x14ac:dyDescent="0.25">
      <c r="A112" s="30">
        <v>2.3579476910000019</v>
      </c>
      <c r="C112" s="1" t="str">
        <f>ADDRESS(C121,1,1,1)</f>
        <v>$A$139</v>
      </c>
      <c r="D112" s="1" t="str">
        <f>ADDRESS(C121,D121-1,1,1)</f>
        <v>$BJ$139</v>
      </c>
      <c r="E112"/>
    </row>
    <row r="113" spans="1:52" x14ac:dyDescent="0.25">
      <c r="A113" s="30">
        <v>2.1435888100000016</v>
      </c>
      <c r="C113" s="1" t="str">
        <f>ADDRESS(C121+1,1,1,1)</f>
        <v>$A$140</v>
      </c>
      <c r="D113" s="1" t="str">
        <f>ADDRESS(C121-1,D121+1,1,1)</f>
        <v>$BL$138</v>
      </c>
    </row>
    <row r="114" spans="1:52" x14ac:dyDescent="0.25">
      <c r="A114" s="30">
        <v>1.9487171000000014</v>
      </c>
      <c r="C114" s="1" t="str">
        <f>ADDRESS(C121,D121,1,1)</f>
        <v>$BK$139</v>
      </c>
      <c r="D114" s="1" t="str">
        <f>ADDRESS(C121+1,D121+1,1,1)</f>
        <v>$BL$140</v>
      </c>
    </row>
    <row r="115" spans="1:52" x14ac:dyDescent="0.25">
      <c r="A115" s="30">
        <v>1.7715610000000011</v>
      </c>
      <c r="C115" s="1" t="str">
        <f>ADDRESS(C121+1,D121,1,1)</f>
        <v>$BK$140</v>
      </c>
    </row>
    <row r="116" spans="1:52" x14ac:dyDescent="0.25">
      <c r="A116" s="30">
        <v>1.6105100000000008</v>
      </c>
      <c r="C116" s="1">
        <f>C117-1</f>
        <v>138</v>
      </c>
    </row>
    <row r="117" spans="1:52" x14ac:dyDescent="0.25">
      <c r="A117" s="30">
        <v>1.4641000000000006</v>
      </c>
      <c r="C117" s="1">
        <f>C121</f>
        <v>139</v>
      </c>
      <c r="D117" s="1">
        <f>D121</f>
        <v>63</v>
      </c>
    </row>
    <row r="118" spans="1:52" x14ac:dyDescent="0.25">
      <c r="A118" s="30">
        <v>1.3310000000000004</v>
      </c>
      <c r="C118" s="1">
        <f>C117+1</f>
        <v>140</v>
      </c>
      <c r="D118" s="1">
        <f>D117+1</f>
        <v>64</v>
      </c>
    </row>
    <row r="119" spans="1:52" x14ac:dyDescent="0.25">
      <c r="A119" s="30">
        <v>1.2100000000000002</v>
      </c>
    </row>
    <row r="120" spans="1:52" x14ac:dyDescent="0.25">
      <c r="A120" s="30">
        <v>1.1000000000000001</v>
      </c>
      <c r="C120" s="1" t="s">
        <v>9</v>
      </c>
    </row>
    <row r="121" spans="1:52" x14ac:dyDescent="0.25">
      <c r="A121" s="30">
        <v>1</v>
      </c>
      <c r="C121" s="18">
        <v>139</v>
      </c>
      <c r="D121" s="19">
        <v>63</v>
      </c>
      <c r="E121" s="18" t="s">
        <v>8</v>
      </c>
    </row>
    <row r="122" spans="1:52" x14ac:dyDescent="0.25">
      <c r="A122" s="30">
        <v>0.90909090909090895</v>
      </c>
      <c r="C122" s="1" t="str">
        <f>INDEX(1:1048576,C117,D117)</f>
        <v>X</v>
      </c>
      <c r="F122" s="27" t="s">
        <v>7</v>
      </c>
    </row>
    <row r="123" spans="1:52" x14ac:dyDescent="0.25">
      <c r="A123" s="30">
        <v>0.82644628099173523</v>
      </c>
      <c r="C123" s="1" t="str">
        <f>"R"&amp;C121</f>
        <v>R139</v>
      </c>
      <c r="D123" s="1" t="str">
        <f>"C"&amp;D121</f>
        <v>C63</v>
      </c>
      <c r="F123" s="27" t="s">
        <v>7</v>
      </c>
    </row>
    <row r="124" spans="1:52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</row>
    <row r="125" spans="1:52" x14ac:dyDescent="0.25">
      <c r="A125" s="30">
        <v>0.68301345536507019</v>
      </c>
      <c r="F125" s="27" t="s">
        <v>7</v>
      </c>
    </row>
    <row r="126" spans="1:52" x14ac:dyDescent="0.25">
      <c r="A126" s="30">
        <v>0.6209213230591546</v>
      </c>
      <c r="C126" s="1" t="s">
        <v>10</v>
      </c>
      <c r="F126" s="27" t="s">
        <v>7</v>
      </c>
      <c r="AW126" s="27" t="s">
        <v>8</v>
      </c>
      <c r="AY126" s="27" t="s">
        <v>8</v>
      </c>
    </row>
    <row r="127" spans="1:52" x14ac:dyDescent="0.25">
      <c r="A127" s="30">
        <v>0.56447393005377677</v>
      </c>
      <c r="C127" s="30">
        <v>0.17985878990921333</v>
      </c>
      <c r="D127"/>
      <c r="F127" s="27" t="s">
        <v>7</v>
      </c>
      <c r="AM127" s="27" t="s">
        <v>8</v>
      </c>
      <c r="AW127" s="27" t="s">
        <v>8</v>
      </c>
      <c r="AX127" s="27" t="s">
        <v>7</v>
      </c>
      <c r="AY127" s="27" t="s">
        <v>8</v>
      </c>
      <c r="AZ127" s="27" t="s">
        <v>7</v>
      </c>
    </row>
    <row r="128" spans="1:52" x14ac:dyDescent="0.25">
      <c r="A128" s="30">
        <v>0.51315811823070612</v>
      </c>
      <c r="F128" s="27" t="s">
        <v>7</v>
      </c>
      <c r="AM128" s="27" t="s">
        <v>8</v>
      </c>
      <c r="AN128" s="27" t="s">
        <v>7</v>
      </c>
      <c r="AW128" s="27" t="s">
        <v>8</v>
      </c>
      <c r="AX128" s="27" t="s">
        <v>7</v>
      </c>
      <c r="AY128" s="27" t="s">
        <v>8</v>
      </c>
      <c r="AZ128" s="27" t="s">
        <v>7</v>
      </c>
    </row>
    <row r="129" spans="1:63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AM129" s="27" t="s">
        <v>8</v>
      </c>
      <c r="AN129" s="27" t="s">
        <v>7</v>
      </c>
      <c r="AW129" s="27" t="s">
        <v>8</v>
      </c>
      <c r="AX129" s="27" t="s">
        <v>7</v>
      </c>
      <c r="AY129" s="27" t="s">
        <v>8</v>
      </c>
      <c r="AZ129" s="27" t="s">
        <v>7</v>
      </c>
      <c r="BA129" s="27" t="s">
        <v>8</v>
      </c>
    </row>
    <row r="130" spans="1:63" x14ac:dyDescent="0.25">
      <c r="A130" s="30">
        <v>0.42409761837248428</v>
      </c>
      <c r="C130" s="6"/>
      <c r="D130" s="6"/>
      <c r="E130"/>
      <c r="F130" s="27" t="s">
        <v>7</v>
      </c>
      <c r="AK130" s="27" t="s">
        <v>8</v>
      </c>
      <c r="AM130" s="27" t="s">
        <v>8</v>
      </c>
      <c r="AN130" s="27" t="s">
        <v>7</v>
      </c>
      <c r="AW130" s="27" t="s">
        <v>8</v>
      </c>
      <c r="AX130" s="27" t="s">
        <v>7</v>
      </c>
      <c r="AZ130" s="27" t="s">
        <v>7</v>
      </c>
      <c r="BA130" s="27" t="s">
        <v>8</v>
      </c>
      <c r="BB130" s="27" t="s">
        <v>7</v>
      </c>
      <c r="BE130" s="27" t="s">
        <v>8</v>
      </c>
    </row>
    <row r="131" spans="1:63" x14ac:dyDescent="0.25">
      <c r="A131" s="30">
        <v>0.38554328942953109</v>
      </c>
      <c r="E131"/>
      <c r="F131" s="27" t="s">
        <v>7</v>
      </c>
      <c r="AK131" s="27" t="s">
        <v>8</v>
      </c>
      <c r="AL131" s="27" t="s">
        <v>7</v>
      </c>
      <c r="AM131" s="27" t="s">
        <v>8</v>
      </c>
      <c r="AN131" s="27" t="s">
        <v>7</v>
      </c>
      <c r="AO131" s="27" t="s">
        <v>8</v>
      </c>
      <c r="AW131" s="27" t="s">
        <v>8</v>
      </c>
      <c r="AZ131" s="27" t="s">
        <v>7</v>
      </c>
      <c r="BA131" s="27" t="s">
        <v>8</v>
      </c>
      <c r="BB131" s="27" t="s">
        <v>7</v>
      </c>
      <c r="BC131" s="27" t="s">
        <v>8</v>
      </c>
      <c r="BE131" s="27" t="s">
        <v>8</v>
      </c>
      <c r="BF131" s="27" t="s">
        <v>7</v>
      </c>
      <c r="BG131" s="27" t="s">
        <v>8</v>
      </c>
    </row>
    <row r="132" spans="1:63" x14ac:dyDescent="0.25">
      <c r="A132" s="30">
        <v>0.35049389948139187</v>
      </c>
      <c r="C132" s="1" t="s">
        <v>13</v>
      </c>
      <c r="E132"/>
      <c r="F132" s="27" t="s">
        <v>7</v>
      </c>
      <c r="AK132" s="27" t="s">
        <v>8</v>
      </c>
      <c r="AL132" s="27" t="s">
        <v>7</v>
      </c>
      <c r="AM132" s="27" t="s">
        <v>8</v>
      </c>
      <c r="AN132" s="27" t="s">
        <v>7</v>
      </c>
      <c r="AO132" s="27" t="s">
        <v>8</v>
      </c>
      <c r="AP132" s="27" t="s">
        <v>7</v>
      </c>
      <c r="AQ132" s="27" t="s">
        <v>8</v>
      </c>
      <c r="AW132" s="27" t="s">
        <v>8</v>
      </c>
      <c r="AZ132" s="27" t="s">
        <v>7</v>
      </c>
      <c r="BB132" s="27" t="s">
        <v>7</v>
      </c>
      <c r="BC132" s="27" t="s">
        <v>8</v>
      </c>
      <c r="BD132" s="27" t="s">
        <v>7</v>
      </c>
      <c r="BE132" s="27" t="s">
        <v>8</v>
      </c>
      <c r="BF132" s="27" t="s">
        <v>7</v>
      </c>
      <c r="BG132" s="27" t="s">
        <v>8</v>
      </c>
      <c r="BH132" s="27" t="s">
        <v>7</v>
      </c>
    </row>
    <row r="133" spans="1:63" x14ac:dyDescent="0.25">
      <c r="A133" s="30">
        <v>0.31863081771035617</v>
      </c>
      <c r="C133" s="1" t="str">
        <f>C122</f>
        <v>X</v>
      </c>
      <c r="E133"/>
      <c r="F133" s="27" t="s">
        <v>7</v>
      </c>
      <c r="AK133" s="27" t="s">
        <v>8</v>
      </c>
      <c r="AL133" s="27" t="s">
        <v>7</v>
      </c>
      <c r="AN133" s="27" t="s">
        <v>7</v>
      </c>
      <c r="AO133" s="27" t="s">
        <v>8</v>
      </c>
      <c r="AP133" s="27" t="s">
        <v>7</v>
      </c>
      <c r="AQ133" s="27" t="s">
        <v>8</v>
      </c>
      <c r="AR133" s="27" t="s">
        <v>7</v>
      </c>
      <c r="AS133" s="27" t="s">
        <v>8</v>
      </c>
      <c r="AW133" s="27" t="s">
        <v>8</v>
      </c>
      <c r="BB133" s="27" t="s">
        <v>7</v>
      </c>
      <c r="BC133" s="27" t="s">
        <v>8</v>
      </c>
      <c r="BD133" s="27" t="s">
        <v>7</v>
      </c>
      <c r="BE133" s="27" t="s">
        <v>8</v>
      </c>
      <c r="BF133" s="27" t="s">
        <v>7</v>
      </c>
      <c r="BG133" s="27" t="s">
        <v>8</v>
      </c>
      <c r="BH133" s="27" t="s">
        <v>7</v>
      </c>
    </row>
    <row r="134" spans="1:63" x14ac:dyDescent="0.25">
      <c r="A134" s="30">
        <v>0.28966437973668741</v>
      </c>
      <c r="C134"/>
      <c r="D134"/>
      <c r="E134"/>
      <c r="F134" s="27" t="s">
        <v>7</v>
      </c>
      <c r="AK134" s="27" t="s">
        <v>8</v>
      </c>
      <c r="AN134" s="27" t="s">
        <v>7</v>
      </c>
      <c r="AO134" s="27" t="s">
        <v>8</v>
      </c>
      <c r="AP134" s="27" t="s">
        <v>7</v>
      </c>
      <c r="AQ134" s="27" t="s">
        <v>8</v>
      </c>
      <c r="AR134" s="27" t="s">
        <v>7</v>
      </c>
      <c r="AS134" s="27" t="s">
        <v>8</v>
      </c>
      <c r="AT134" s="27" t="s">
        <v>7</v>
      </c>
      <c r="AU134" s="27" t="s">
        <v>8</v>
      </c>
      <c r="AW134" s="27" t="s">
        <v>8</v>
      </c>
      <c r="BB134" s="27" t="s">
        <v>7</v>
      </c>
      <c r="BC134" s="27" t="s">
        <v>8</v>
      </c>
      <c r="BD134" s="27" t="s">
        <v>7</v>
      </c>
      <c r="BF134" s="27" t="s">
        <v>7</v>
      </c>
      <c r="BG134" s="27" t="s">
        <v>8</v>
      </c>
      <c r="BH134" s="27" t="s">
        <v>7</v>
      </c>
    </row>
    <row r="135" spans="1:63" x14ac:dyDescent="0.25">
      <c r="A135" s="30">
        <v>0.2633312543060794</v>
      </c>
      <c r="C135" s="1" t="s">
        <v>14</v>
      </c>
      <c r="E135"/>
      <c r="F135" s="27" t="s">
        <v>7</v>
      </c>
      <c r="AK135" s="27" t="s">
        <v>8</v>
      </c>
      <c r="AN135" s="27" t="s">
        <v>7</v>
      </c>
      <c r="AO135" s="27" t="s">
        <v>8</v>
      </c>
      <c r="AP135" s="27" t="s">
        <v>7</v>
      </c>
      <c r="AR135" s="27" t="s">
        <v>7</v>
      </c>
      <c r="AS135" s="27" t="s">
        <v>8</v>
      </c>
      <c r="AT135" s="27" t="s">
        <v>7</v>
      </c>
      <c r="AU135" s="27" t="s">
        <v>8</v>
      </c>
      <c r="AV135" s="27" t="s">
        <v>7</v>
      </c>
      <c r="AW135" s="27" t="s">
        <v>8</v>
      </c>
      <c r="BB135" s="18" t="s">
        <v>7</v>
      </c>
      <c r="BC135" s="27" t="s">
        <v>8</v>
      </c>
      <c r="BF135" s="27" t="s">
        <v>7</v>
      </c>
      <c r="BH135" s="27" t="s">
        <v>7</v>
      </c>
    </row>
    <row r="136" spans="1:63" x14ac:dyDescent="0.25">
      <c r="A136" s="30">
        <v>0.23939204936916306</v>
      </c>
      <c r="C136" s="1" t="str">
        <f>IF(C133=$S$1,IF(D130&lt;(C127*0.909090909090909),$S$1,IF(C130&gt;(C127*1.331),$U$1,"")),"")</f>
        <v/>
      </c>
      <c r="D136" s="1" t="str">
        <f>IF(C133=$U$1,IF(C130&gt;(C127*1.1),$U$1,IF(D130&lt;(C127*0.751314800901578),$S$1,"")),"")</f>
        <v>O</v>
      </c>
      <c r="E136"/>
      <c r="F136" s="27" t="s">
        <v>7</v>
      </c>
      <c r="AK136" s="27" t="s">
        <v>8</v>
      </c>
      <c r="AN136" s="27" t="s">
        <v>7</v>
      </c>
      <c r="AO136" s="27" t="s">
        <v>8</v>
      </c>
      <c r="AR136" s="27" t="s">
        <v>7</v>
      </c>
      <c r="AS136" s="27" t="s">
        <v>8</v>
      </c>
      <c r="AT136" s="27" t="s">
        <v>7</v>
      </c>
      <c r="AU136" s="27" t="s">
        <v>8</v>
      </c>
      <c r="AV136" s="27" t="s">
        <v>7</v>
      </c>
      <c r="AW136" s="27" t="s">
        <v>8</v>
      </c>
      <c r="BB136" s="27" t="s">
        <v>7</v>
      </c>
      <c r="BC136" s="27" t="s">
        <v>8</v>
      </c>
      <c r="BH136" s="27" t="s">
        <v>7</v>
      </c>
      <c r="BI136" s="27" t="s">
        <v>8</v>
      </c>
    </row>
    <row r="137" spans="1:63" x14ac:dyDescent="0.25">
      <c r="A137" s="30">
        <v>0.2176291357901482</v>
      </c>
      <c r="E137"/>
      <c r="F137" s="27" t="s">
        <v>7</v>
      </c>
      <c r="AK137" s="27" t="s">
        <v>8</v>
      </c>
      <c r="AN137" s="27" t="s">
        <v>7</v>
      </c>
      <c r="AO137" s="27" t="s">
        <v>8</v>
      </c>
      <c r="AR137" s="27" t="s">
        <v>7</v>
      </c>
      <c r="AS137" s="27" t="s">
        <v>8</v>
      </c>
      <c r="AT137" s="27" t="s">
        <v>7</v>
      </c>
      <c r="AV137" s="27" t="s">
        <v>7</v>
      </c>
      <c r="BB137" s="27" t="s">
        <v>7</v>
      </c>
      <c r="BH137" s="27" t="s">
        <v>7</v>
      </c>
      <c r="BI137" s="27" t="s">
        <v>8</v>
      </c>
      <c r="BJ137" s="27" t="s">
        <v>7</v>
      </c>
    </row>
    <row r="138" spans="1:63" x14ac:dyDescent="0.25">
      <c r="A138" s="30">
        <v>0.19784466890013469</v>
      </c>
      <c r="C138" s="1">
        <f>IF(AND(C136="",D136=""),0,IF(AND(C133="X",D136="X"),1,IF(AND(C133="O",C136="O"),2,(IF(AND(C133="X",D136="O"),3,4)))))</f>
        <v>3</v>
      </c>
      <c r="E138"/>
      <c r="F138" s="27" t="s">
        <v>7</v>
      </c>
      <c r="AK138" s="27" t="s">
        <v>8</v>
      </c>
      <c r="AN138" s="27" t="s">
        <v>7</v>
      </c>
      <c r="AO138" s="27" t="s">
        <v>8</v>
      </c>
      <c r="AR138" s="27" t="s">
        <v>7</v>
      </c>
      <c r="AS138" s="27" t="s">
        <v>8</v>
      </c>
      <c r="BH138" s="27" t="s">
        <v>7</v>
      </c>
      <c r="BI138" s="27" t="s">
        <v>8</v>
      </c>
      <c r="BJ138" s="27" t="s">
        <v>7</v>
      </c>
    </row>
    <row r="139" spans="1:63" x14ac:dyDescent="0.25">
      <c r="A139" s="30">
        <v>0.17985878990921333</v>
      </c>
      <c r="E139"/>
      <c r="F139" s="27" t="s">
        <v>7</v>
      </c>
      <c r="AK139" s="27" t="s">
        <v>8</v>
      </c>
      <c r="AN139" s="27" t="s">
        <v>7</v>
      </c>
      <c r="AR139" s="27" t="s">
        <v>7</v>
      </c>
      <c r="AS139" s="27" t="s">
        <v>8</v>
      </c>
      <c r="BH139" s="27" t="s">
        <v>7</v>
      </c>
      <c r="BJ139" s="27" t="s">
        <v>7</v>
      </c>
      <c r="BK139" s="27" t="s">
        <v>8</v>
      </c>
    </row>
    <row r="140" spans="1:63" x14ac:dyDescent="0.25">
      <c r="A140" s="30">
        <v>0.16350799082655756</v>
      </c>
      <c r="C140" s="1">
        <v>0</v>
      </c>
      <c r="E140"/>
      <c r="F140" s="27" t="s">
        <v>7</v>
      </c>
      <c r="AK140" s="27" t="s">
        <v>8</v>
      </c>
      <c r="AR140" s="27" t="s">
        <v>7</v>
      </c>
      <c r="AS140" s="27" t="s">
        <v>8</v>
      </c>
      <c r="BJ140" s="27" t="s">
        <v>7</v>
      </c>
      <c r="BK140" s="27" t="s">
        <v>8</v>
      </c>
    </row>
    <row r="141" spans="1:63" x14ac:dyDescent="0.25">
      <c r="A141" s="30">
        <v>0.14864362802414322</v>
      </c>
      <c r="C141" s="1">
        <v>1</v>
      </c>
      <c r="E141"/>
      <c r="F141" s="27" t="s">
        <v>7</v>
      </c>
      <c r="AK141" s="27" t="s">
        <v>8</v>
      </c>
      <c r="AR141" s="27" t="s">
        <v>7</v>
      </c>
      <c r="BJ141" s="27" t="s">
        <v>7</v>
      </c>
      <c r="BK141" s="27" t="s">
        <v>8</v>
      </c>
    </row>
    <row r="142" spans="1:63" x14ac:dyDescent="0.25">
      <c r="A142" s="30">
        <v>0.13513057093103928</v>
      </c>
      <c r="C142" s="1">
        <v>2</v>
      </c>
      <c r="E142"/>
      <c r="F142" s="27" t="s">
        <v>7</v>
      </c>
      <c r="AK142" s="27" t="s">
        <v>8</v>
      </c>
      <c r="BJ142" s="27" t="s">
        <v>7</v>
      </c>
      <c r="BK142" s="27" t="s">
        <v>8</v>
      </c>
    </row>
    <row r="143" spans="1:63" x14ac:dyDescent="0.25">
      <c r="A143" s="30">
        <v>0.12284597357367205</v>
      </c>
      <c r="C143" s="1">
        <v>3</v>
      </c>
      <c r="E143"/>
      <c r="F143" s="27" t="s">
        <v>7</v>
      </c>
      <c r="AK143" s="27" t="s">
        <v>8</v>
      </c>
      <c r="BJ143" s="27" t="s">
        <v>7</v>
      </c>
    </row>
    <row r="144" spans="1:63" x14ac:dyDescent="0.25">
      <c r="A144" s="30">
        <v>0.11167815779424731</v>
      </c>
      <c r="C144" s="1">
        <v>4</v>
      </c>
      <c r="E144"/>
      <c r="F144" s="27" t="s">
        <v>7</v>
      </c>
      <c r="AI144" s="27" t="s">
        <v>8</v>
      </c>
      <c r="AK144" s="27" t="s">
        <v>8</v>
      </c>
    </row>
    <row r="145" spans="1:37" x14ac:dyDescent="0.25">
      <c r="A145" s="30">
        <v>0.10152559799477026</v>
      </c>
      <c r="B145"/>
      <c r="C145"/>
      <c r="D145"/>
      <c r="E145"/>
      <c r="F145" s="27" t="s">
        <v>7</v>
      </c>
      <c r="AI145" s="27" t="s">
        <v>8</v>
      </c>
      <c r="AJ145" s="27" t="s">
        <v>7</v>
      </c>
      <c r="AK145" s="27" t="s">
        <v>8</v>
      </c>
    </row>
    <row r="146" spans="1:37" x14ac:dyDescent="0.25">
      <c r="A146" s="30">
        <v>9.2295998177063854E-2</v>
      </c>
      <c r="B146"/>
      <c r="C146"/>
      <c r="D146"/>
      <c r="E146"/>
      <c r="F146" s="27" t="s">
        <v>7</v>
      </c>
      <c r="AI146" s="27" t="s">
        <v>8</v>
      </c>
      <c r="AJ146" s="27" t="s">
        <v>7</v>
      </c>
      <c r="AK146" s="27" t="s">
        <v>8</v>
      </c>
    </row>
    <row r="147" spans="1:37" x14ac:dyDescent="0.25">
      <c r="A147" s="30">
        <v>8.3905452888239848E-2</v>
      </c>
      <c r="B147"/>
      <c r="C147"/>
      <c r="D147"/>
      <c r="E147"/>
      <c r="F147" s="27" t="s">
        <v>7</v>
      </c>
      <c r="AI147" s="27" t="s">
        <v>8</v>
      </c>
      <c r="AJ147" s="27" t="s">
        <v>7</v>
      </c>
      <c r="AK147" s="27" t="s">
        <v>8</v>
      </c>
    </row>
    <row r="148" spans="1:37" x14ac:dyDescent="0.25">
      <c r="A148" s="30">
        <v>7.6277684443854396E-2</v>
      </c>
      <c r="B148"/>
      <c r="C148"/>
      <c r="D148"/>
      <c r="E148"/>
      <c r="F148" s="27" t="s">
        <v>7</v>
      </c>
      <c r="AI148" s="27" t="s">
        <v>8</v>
      </c>
      <c r="AJ148" s="27" t="s">
        <v>7</v>
      </c>
      <c r="AK148" s="27" t="s">
        <v>8</v>
      </c>
    </row>
    <row r="149" spans="1:37" x14ac:dyDescent="0.25">
      <c r="A149" s="30">
        <v>6.9343349494413078E-2</v>
      </c>
      <c r="B149"/>
      <c r="C149"/>
      <c r="D149"/>
      <c r="E149"/>
      <c r="F149" s="27" t="s">
        <v>7</v>
      </c>
      <c r="AI149" s="27" t="s">
        <v>8</v>
      </c>
      <c r="AJ149" s="27" t="s">
        <v>7</v>
      </c>
      <c r="AK149" s="27" t="s">
        <v>8</v>
      </c>
    </row>
    <row r="150" spans="1:37" x14ac:dyDescent="0.25">
      <c r="A150" s="30">
        <v>6.3039408631284613E-2</v>
      </c>
      <c r="B150"/>
      <c r="C150"/>
      <c r="D150"/>
      <c r="E150"/>
      <c r="F150" s="27" t="s">
        <v>7</v>
      </c>
      <c r="AI150" s="27" t="s">
        <v>8</v>
      </c>
      <c r="AJ150" s="27" t="s">
        <v>7</v>
      </c>
    </row>
    <row r="151" spans="1:37" x14ac:dyDescent="0.25">
      <c r="A151" s="30">
        <v>5.7308553301167818E-2</v>
      </c>
      <c r="B151"/>
      <c r="C151"/>
      <c r="D151"/>
      <c r="E151"/>
      <c r="F151" s="27" t="s">
        <v>7</v>
      </c>
      <c r="AI151" s="27" t="s">
        <v>8</v>
      </c>
    </row>
    <row r="152" spans="1:37" x14ac:dyDescent="0.25">
      <c r="A152" s="30">
        <v>5.2098684819243464E-2</v>
      </c>
      <c r="B152"/>
      <c r="C152"/>
      <c r="D152"/>
      <c r="E152"/>
      <c r="F152" s="27" t="s">
        <v>7</v>
      </c>
      <c r="AI152" s="27" t="s">
        <v>8</v>
      </c>
    </row>
    <row r="153" spans="1:37" x14ac:dyDescent="0.25">
      <c r="A153" s="30">
        <v>4.7362440744766775E-2</v>
      </c>
      <c r="B153"/>
      <c r="C153"/>
      <c r="D153"/>
      <c r="E153"/>
      <c r="F153" s="27" t="s">
        <v>7</v>
      </c>
      <c r="AI153" s="27" t="s">
        <v>8</v>
      </c>
    </row>
    <row r="154" spans="1:37" x14ac:dyDescent="0.25">
      <c r="A154" s="30">
        <v>4.3056764313424332E-2</v>
      </c>
      <c r="B154"/>
      <c r="C154"/>
      <c r="D154"/>
      <c r="E154"/>
      <c r="F154" s="27" t="s">
        <v>7</v>
      </c>
      <c r="AI154" s="27" t="s">
        <v>8</v>
      </c>
    </row>
    <row r="155" spans="1:37" x14ac:dyDescent="0.25">
      <c r="A155" s="30">
        <v>3.9142513012203929E-2</v>
      </c>
      <c r="B155"/>
      <c r="C155"/>
      <c r="D155"/>
      <c r="E155"/>
      <c r="F155" s="27" t="s">
        <v>7</v>
      </c>
      <c r="AE155" s="27" t="s">
        <v>8</v>
      </c>
      <c r="AG155" s="27" t="s">
        <v>8</v>
      </c>
      <c r="AI155" s="27" t="s">
        <v>8</v>
      </c>
    </row>
    <row r="156" spans="1:37" x14ac:dyDescent="0.25">
      <c r="A156" s="30">
        <v>3.55841027383672E-2</v>
      </c>
      <c r="B156"/>
      <c r="C156"/>
      <c r="D156"/>
      <c r="E156"/>
      <c r="F156" s="27" t="s">
        <v>7</v>
      </c>
      <c r="AE156" s="27" t="s">
        <v>8</v>
      </c>
      <c r="AF156" s="27" t="s">
        <v>7</v>
      </c>
      <c r="AG156" s="27" t="s">
        <v>8</v>
      </c>
      <c r="AH156" s="27" t="s">
        <v>7</v>
      </c>
      <c r="AI156" s="27" t="s">
        <v>8</v>
      </c>
    </row>
    <row r="157" spans="1:37" x14ac:dyDescent="0.25">
      <c r="A157" s="30">
        <v>3.2349184307606541E-2</v>
      </c>
      <c r="B157"/>
      <c r="C157"/>
      <c r="D157"/>
      <c r="E157"/>
      <c r="F157" s="27" t="s">
        <v>7</v>
      </c>
      <c r="AE157" s="27" t="s">
        <v>8</v>
      </c>
      <c r="AF157" s="27" t="s">
        <v>7</v>
      </c>
      <c r="AG157" s="27" t="s">
        <v>8</v>
      </c>
      <c r="AH157" s="27" t="s">
        <v>7</v>
      </c>
      <c r="AI157" s="27" t="s">
        <v>8</v>
      </c>
    </row>
    <row r="158" spans="1:37" x14ac:dyDescent="0.25">
      <c r="A158" s="30">
        <v>2.9408349370551395E-2</v>
      </c>
      <c r="B158"/>
      <c r="C158"/>
      <c r="D158"/>
      <c r="E158"/>
      <c r="F158" s="27" t="s">
        <v>7</v>
      </c>
      <c r="AE158" s="27" t="s">
        <v>8</v>
      </c>
      <c r="AF158" s="27" t="s">
        <v>7</v>
      </c>
      <c r="AG158" s="27" t="s">
        <v>8</v>
      </c>
      <c r="AH158" s="27" t="s">
        <v>7</v>
      </c>
      <c r="AI158" s="27" t="s">
        <v>8</v>
      </c>
    </row>
    <row r="159" spans="1:37" x14ac:dyDescent="0.25">
      <c r="A159" s="30">
        <v>2.6734863064137627E-2</v>
      </c>
      <c r="B159"/>
      <c r="C159"/>
      <c r="D159"/>
      <c r="E159"/>
      <c r="F159" s="27" t="s">
        <v>7</v>
      </c>
      <c r="AE159" s="27" t="s">
        <v>8</v>
      </c>
      <c r="AF159" s="27" t="s">
        <v>7</v>
      </c>
      <c r="AH159" s="27" t="s">
        <v>7</v>
      </c>
      <c r="AI159" s="27" t="s">
        <v>8</v>
      </c>
    </row>
    <row r="160" spans="1:37" x14ac:dyDescent="0.25">
      <c r="A160" s="30">
        <v>2.4304420967397839E-2</v>
      </c>
      <c r="B160"/>
      <c r="C160"/>
      <c r="D160"/>
      <c r="E160"/>
      <c r="F160" s="27" t="s">
        <v>7</v>
      </c>
      <c r="Q160" s="27" t="s">
        <v>8</v>
      </c>
      <c r="AE160" s="27" t="s">
        <v>8</v>
      </c>
      <c r="AH160" s="27" t="s">
        <v>7</v>
      </c>
      <c r="AI160" s="27" t="s">
        <v>8</v>
      </c>
    </row>
    <row r="161" spans="1:35" x14ac:dyDescent="0.25">
      <c r="A161" s="30">
        <v>2.2094928152179852E-2</v>
      </c>
      <c r="B161"/>
      <c r="C161"/>
      <c r="D161"/>
      <c r="E161"/>
      <c r="F161" s="27" t="s">
        <v>7</v>
      </c>
      <c r="G161" s="27" t="s">
        <v>8</v>
      </c>
      <c r="Q161" s="27" t="s">
        <v>8</v>
      </c>
      <c r="R161" s="27" t="s">
        <v>7</v>
      </c>
      <c r="AE161" s="27" t="s">
        <v>8</v>
      </c>
      <c r="AH161" s="27" t="s">
        <v>7</v>
      </c>
      <c r="AI161" s="27" t="s">
        <v>8</v>
      </c>
    </row>
    <row r="162" spans="1:35" x14ac:dyDescent="0.25">
      <c r="A162" s="30">
        <v>2.0086298320163499E-2</v>
      </c>
      <c r="B162"/>
      <c r="C162"/>
      <c r="D162"/>
      <c r="E162"/>
      <c r="F162" s="27" t="s">
        <v>7</v>
      </c>
      <c r="G162" s="27" t="s">
        <v>8</v>
      </c>
      <c r="H162" s="27" t="s">
        <v>7</v>
      </c>
      <c r="Q162" s="27" t="s">
        <v>8</v>
      </c>
      <c r="R162" s="27" t="s">
        <v>7</v>
      </c>
      <c r="AC162" s="27" t="s">
        <v>8</v>
      </c>
      <c r="AE162" s="27" t="s">
        <v>8</v>
      </c>
      <c r="AH162" s="27" t="s">
        <v>7</v>
      </c>
    </row>
    <row r="163" spans="1:35" x14ac:dyDescent="0.25">
      <c r="A163" s="30">
        <v>1.8260271200148632E-2</v>
      </c>
      <c r="B163"/>
      <c r="C163"/>
      <c r="D163"/>
      <c r="E163"/>
      <c r="F163" s="27" t="s">
        <v>7</v>
      </c>
      <c r="G163" s="27" t="s">
        <v>8</v>
      </c>
      <c r="H163" s="27" t="s">
        <v>7</v>
      </c>
      <c r="Q163" s="27" t="s">
        <v>8</v>
      </c>
      <c r="R163" s="27" t="s">
        <v>7</v>
      </c>
      <c r="AC163" s="27" t="s">
        <v>8</v>
      </c>
      <c r="AD163" s="27" t="s">
        <v>7</v>
      </c>
      <c r="AE163" s="27" t="s">
        <v>8</v>
      </c>
    </row>
    <row r="164" spans="1:35" x14ac:dyDescent="0.25">
      <c r="A164" s="30">
        <v>1.6600246545589663E-2</v>
      </c>
      <c r="B164"/>
      <c r="C164"/>
      <c r="D164"/>
      <c r="E164"/>
      <c r="F164" s="27" t="s">
        <v>7</v>
      </c>
      <c r="G164" s="27" t="s">
        <v>8</v>
      </c>
      <c r="H164" s="27" t="s">
        <v>7</v>
      </c>
      <c r="Q164" s="27" t="s">
        <v>8</v>
      </c>
      <c r="R164" s="27" t="s">
        <v>7</v>
      </c>
      <c r="AC164" s="27" t="s">
        <v>8</v>
      </c>
      <c r="AD164" s="27" t="s">
        <v>7</v>
      </c>
      <c r="AE164" s="27" t="s">
        <v>8</v>
      </c>
    </row>
    <row r="165" spans="1:35" x14ac:dyDescent="0.25">
      <c r="A165" s="30">
        <v>1.5091133223263328E-2</v>
      </c>
      <c r="B165"/>
      <c r="C165"/>
      <c r="D165"/>
      <c r="E165"/>
      <c r="F165" s="27" t="s">
        <v>7</v>
      </c>
      <c r="H165" s="27" t="s">
        <v>7</v>
      </c>
      <c r="Q165" s="27" t="s">
        <v>8</v>
      </c>
      <c r="R165" s="27" t="s">
        <v>7</v>
      </c>
      <c r="W165" s="27" t="s">
        <v>8</v>
      </c>
      <c r="AC165" s="27" t="s">
        <v>8</v>
      </c>
      <c r="AD165" s="27" t="s">
        <v>7</v>
      </c>
      <c r="AE165" s="27" t="s">
        <v>8</v>
      </c>
    </row>
    <row r="166" spans="1:35" x14ac:dyDescent="0.25">
      <c r="A166" s="30">
        <v>1.3719212021148477E-2</v>
      </c>
      <c r="B166"/>
      <c r="C166"/>
      <c r="D166"/>
      <c r="E166"/>
      <c r="H166" s="27" t="s">
        <v>7</v>
      </c>
      <c r="Q166" s="27" t="s">
        <v>8</v>
      </c>
      <c r="R166" s="27" t="s">
        <v>7</v>
      </c>
      <c r="W166" s="27" t="s">
        <v>8</v>
      </c>
      <c r="X166" s="27" t="s">
        <v>7</v>
      </c>
      <c r="AC166" s="27" t="s">
        <v>8</v>
      </c>
      <c r="AD166" s="27" t="s">
        <v>7</v>
      </c>
    </row>
    <row r="167" spans="1:35" x14ac:dyDescent="0.25">
      <c r="A167" s="30">
        <v>1.2472010928316795E-2</v>
      </c>
      <c r="B167"/>
      <c r="C167"/>
      <c r="D167"/>
      <c r="E167"/>
      <c r="H167" s="27" t="s">
        <v>7</v>
      </c>
      <c r="Q167" s="27" t="s">
        <v>8</v>
      </c>
      <c r="R167" s="27" t="s">
        <v>7</v>
      </c>
      <c r="U167" s="27" t="s">
        <v>8</v>
      </c>
      <c r="W167" s="27" t="s">
        <v>8</v>
      </c>
      <c r="X167" s="27" t="s">
        <v>7</v>
      </c>
      <c r="AA167" s="27" t="s">
        <v>8</v>
      </c>
      <c r="AC167" s="27" t="s">
        <v>8</v>
      </c>
    </row>
    <row r="168" spans="1:35" x14ac:dyDescent="0.25">
      <c r="A168" s="30">
        <v>1.1338191753015267E-2</v>
      </c>
      <c r="B168"/>
      <c r="C168"/>
      <c r="D168"/>
      <c r="E168"/>
      <c r="H168" s="27" t="s">
        <v>7</v>
      </c>
      <c r="I168" s="27" t="s">
        <v>8</v>
      </c>
      <c r="Q168" s="27" t="s">
        <v>8</v>
      </c>
      <c r="R168" s="27" t="s">
        <v>7</v>
      </c>
      <c r="S168" s="27" t="s">
        <v>8</v>
      </c>
      <c r="U168" s="27" t="s">
        <v>8</v>
      </c>
      <c r="V168" s="27" t="s">
        <v>7</v>
      </c>
      <c r="W168" s="27" t="s">
        <v>8</v>
      </c>
      <c r="X168" s="27" t="s">
        <v>7</v>
      </c>
      <c r="Y168" s="27" t="s">
        <v>8</v>
      </c>
      <c r="AA168" s="27" t="s">
        <v>8</v>
      </c>
      <c r="AB168" s="27" t="s">
        <v>7</v>
      </c>
      <c r="AC168" s="27" t="s">
        <v>8</v>
      </c>
    </row>
    <row r="169" spans="1:35" x14ac:dyDescent="0.25">
      <c r="A169" s="30">
        <v>1.0307447048195697E-2</v>
      </c>
      <c r="B169"/>
      <c r="C169"/>
      <c r="D169"/>
      <c r="E169"/>
      <c r="H169" s="27" t="s">
        <v>7</v>
      </c>
      <c r="I169" s="27" t="s">
        <v>8</v>
      </c>
      <c r="J169" s="27" t="s">
        <v>7</v>
      </c>
      <c r="Q169" s="27" t="s">
        <v>8</v>
      </c>
      <c r="R169" s="27" t="s">
        <v>7</v>
      </c>
      <c r="S169" s="27" t="s">
        <v>8</v>
      </c>
      <c r="T169" s="27" t="s">
        <v>7</v>
      </c>
      <c r="U169" s="27" t="s">
        <v>8</v>
      </c>
      <c r="V169" s="27" t="s">
        <v>7</v>
      </c>
      <c r="W169" s="27" t="s">
        <v>8</v>
      </c>
      <c r="X169" s="27" t="s">
        <v>7</v>
      </c>
      <c r="Y169" s="27" t="s">
        <v>8</v>
      </c>
      <c r="Z169" s="27" t="s">
        <v>7</v>
      </c>
      <c r="AA169" s="27" t="s">
        <v>8</v>
      </c>
      <c r="AB169" s="27" t="s">
        <v>7</v>
      </c>
      <c r="AC169" s="27" t="s">
        <v>8</v>
      </c>
    </row>
    <row r="170" spans="1:35" x14ac:dyDescent="0.25">
      <c r="A170" s="30">
        <v>9.3704064074506318E-3</v>
      </c>
      <c r="B170"/>
      <c r="C170"/>
      <c r="D170"/>
      <c r="E170"/>
      <c r="H170" s="27" t="s">
        <v>7</v>
      </c>
      <c r="I170" s="27" t="s">
        <v>8</v>
      </c>
      <c r="J170" s="27" t="s">
        <v>7</v>
      </c>
      <c r="O170" s="27" t="s">
        <v>8</v>
      </c>
      <c r="Q170" s="27" t="s">
        <v>8</v>
      </c>
      <c r="R170" s="27" t="s">
        <v>7</v>
      </c>
      <c r="S170" s="27" t="s">
        <v>8</v>
      </c>
      <c r="T170" s="27" t="s">
        <v>7</v>
      </c>
      <c r="U170" s="27" t="s">
        <v>8</v>
      </c>
      <c r="V170" s="27" t="s">
        <v>7</v>
      </c>
      <c r="W170" s="27" t="s">
        <v>8</v>
      </c>
      <c r="X170" s="27" t="s">
        <v>7</v>
      </c>
      <c r="Y170" s="27" t="s">
        <v>8</v>
      </c>
      <c r="Z170" s="27" t="s">
        <v>7</v>
      </c>
      <c r="AA170" s="27" t="s">
        <v>8</v>
      </c>
      <c r="AB170" s="27" t="s">
        <v>7</v>
      </c>
    </row>
    <row r="171" spans="1:35" x14ac:dyDescent="0.25">
      <c r="A171" s="30">
        <v>8.5185512795005747E-3</v>
      </c>
      <c r="H171" s="27" t="s">
        <v>7</v>
      </c>
      <c r="J171" s="27" t="s">
        <v>7</v>
      </c>
      <c r="O171" s="27" t="s">
        <v>8</v>
      </c>
      <c r="P171" s="27" t="s">
        <v>7</v>
      </c>
      <c r="Q171" s="27" t="s">
        <v>8</v>
      </c>
      <c r="R171" s="27" t="s">
        <v>7</v>
      </c>
      <c r="T171" s="27" t="s">
        <v>7</v>
      </c>
      <c r="U171" s="27" t="s">
        <v>8</v>
      </c>
      <c r="V171" s="27" t="s">
        <v>7</v>
      </c>
      <c r="W171" s="27" t="s">
        <v>8</v>
      </c>
      <c r="X171" s="27" t="s">
        <v>7</v>
      </c>
      <c r="Z171" s="27" t="s">
        <v>7</v>
      </c>
    </row>
    <row r="172" spans="1:35" x14ac:dyDescent="0.25">
      <c r="A172" s="30">
        <v>7.744137526818704E-3</v>
      </c>
      <c r="J172" s="27" t="s">
        <v>7</v>
      </c>
      <c r="O172" s="27" t="s">
        <v>8</v>
      </c>
      <c r="P172" s="27" t="s">
        <v>7</v>
      </c>
      <c r="Q172" s="27" t="s">
        <v>8</v>
      </c>
      <c r="T172" s="27" t="s">
        <v>7</v>
      </c>
      <c r="U172" s="27" t="s">
        <v>8</v>
      </c>
      <c r="V172" s="27" t="s">
        <v>7</v>
      </c>
    </row>
    <row r="173" spans="1:35" x14ac:dyDescent="0.25">
      <c r="A173" s="30">
        <v>7.0401250243806394E-3</v>
      </c>
      <c r="J173" s="27" t="s">
        <v>7</v>
      </c>
      <c r="O173" s="27" t="s">
        <v>8</v>
      </c>
      <c r="P173" s="27" t="s">
        <v>7</v>
      </c>
      <c r="Q173" s="27" t="s">
        <v>8</v>
      </c>
      <c r="T173" s="27" t="s">
        <v>7</v>
      </c>
      <c r="U173" s="27" t="s">
        <v>8</v>
      </c>
    </row>
    <row r="174" spans="1:35" x14ac:dyDescent="0.25">
      <c r="A174" s="30">
        <v>6.4001136585278536E-3</v>
      </c>
      <c r="J174" s="27" t="s">
        <v>7</v>
      </c>
      <c r="O174" s="27" t="s">
        <v>8</v>
      </c>
      <c r="P174" s="27" t="s">
        <v>7</v>
      </c>
      <c r="T174" s="27" t="s">
        <v>7</v>
      </c>
    </row>
    <row r="175" spans="1:35" x14ac:dyDescent="0.25">
      <c r="A175" s="30">
        <v>5.8182851441162305E-3</v>
      </c>
      <c r="J175" s="27" t="s">
        <v>7</v>
      </c>
      <c r="O175" s="27" t="s">
        <v>8</v>
      </c>
    </row>
    <row r="176" spans="1:35" x14ac:dyDescent="0.25">
      <c r="A176" s="30">
        <v>5.2893501310147546E-3</v>
      </c>
      <c r="J176" s="27" t="s">
        <v>7</v>
      </c>
      <c r="O176" s="27" t="s">
        <v>8</v>
      </c>
    </row>
    <row r="177" spans="1:15" x14ac:dyDescent="0.25">
      <c r="A177" s="30">
        <v>4.8085001191043222E-3</v>
      </c>
      <c r="J177" s="27" t="s">
        <v>7</v>
      </c>
      <c r="K177" s="27" t="s">
        <v>8</v>
      </c>
      <c r="O177" s="27" t="s">
        <v>8</v>
      </c>
    </row>
    <row r="178" spans="1:15" x14ac:dyDescent="0.25">
      <c r="A178" s="30">
        <v>4.3713637446402926E-3</v>
      </c>
      <c r="J178" s="27" t="s">
        <v>7</v>
      </c>
      <c r="K178" s="27" t="s">
        <v>8</v>
      </c>
      <c r="L178" s="27" t="s">
        <v>7</v>
      </c>
      <c r="M178" s="27" t="s">
        <v>8</v>
      </c>
      <c r="O178" s="27" t="s">
        <v>8</v>
      </c>
    </row>
    <row r="179" spans="1:15" x14ac:dyDescent="0.25">
      <c r="A179" s="30">
        <v>3.9739670405820838E-3</v>
      </c>
      <c r="J179" s="27" t="s">
        <v>7</v>
      </c>
      <c r="K179" s="27" t="s">
        <v>8</v>
      </c>
      <c r="L179" s="27" t="s">
        <v>7</v>
      </c>
      <c r="M179" s="27" t="s">
        <v>8</v>
      </c>
      <c r="N179" s="27" t="s">
        <v>7</v>
      </c>
      <c r="O179" s="27" t="s">
        <v>8</v>
      </c>
    </row>
    <row r="180" spans="1:15" x14ac:dyDescent="0.25">
      <c r="A180" s="30">
        <v>3.6126973096200759E-3</v>
      </c>
      <c r="J180" s="27" t="s">
        <v>7</v>
      </c>
      <c r="K180" s="27" t="s">
        <v>8</v>
      </c>
      <c r="L180" s="27" t="s">
        <v>7</v>
      </c>
      <c r="M180" s="27" t="s">
        <v>8</v>
      </c>
      <c r="N180" s="27" t="s">
        <v>7</v>
      </c>
      <c r="O180" s="27" t="s">
        <v>8</v>
      </c>
    </row>
    <row r="181" spans="1:15" x14ac:dyDescent="0.25">
      <c r="A181" s="30">
        <v>3.2842702814727962E-3</v>
      </c>
      <c r="J181" s="27" t="s">
        <v>7</v>
      </c>
      <c r="L181" s="27" t="s">
        <v>7</v>
      </c>
      <c r="M181" s="27" t="s">
        <v>8</v>
      </c>
      <c r="N181" s="27" t="s">
        <v>7</v>
      </c>
      <c r="O181" s="27" t="s">
        <v>8</v>
      </c>
    </row>
    <row r="182" spans="1:15" x14ac:dyDescent="0.25">
      <c r="A182" s="30">
        <v>2.9857002558843601E-3</v>
      </c>
      <c r="L182" s="27" t="s">
        <v>7</v>
      </c>
      <c r="M182" s="27" t="s">
        <v>8</v>
      </c>
      <c r="N182" s="27" t="s">
        <v>7</v>
      </c>
      <c r="O182" s="27" t="s">
        <v>8</v>
      </c>
    </row>
    <row r="183" spans="1:15" x14ac:dyDescent="0.25">
      <c r="A183" s="30">
        <v>2.7142729598948726E-3</v>
      </c>
      <c r="L183" s="27" t="s">
        <v>7</v>
      </c>
      <c r="M183" s="27" t="s">
        <v>8</v>
      </c>
      <c r="N183" s="27" t="s">
        <v>7</v>
      </c>
      <c r="O183" s="27" t="s">
        <v>8</v>
      </c>
    </row>
    <row r="184" spans="1:15" x14ac:dyDescent="0.25">
      <c r="A184" s="30">
        <v>2.4675208726317021E-3</v>
      </c>
      <c r="L184" s="27" t="s">
        <v>7</v>
      </c>
      <c r="N184" s="27" t="s">
        <v>7</v>
      </c>
      <c r="O184" s="27" t="s">
        <v>8</v>
      </c>
    </row>
    <row r="185" spans="1:15" x14ac:dyDescent="0.25">
      <c r="A185" s="30">
        <v>2.2432007933015472E-3</v>
      </c>
      <c r="N185" s="27" t="s">
        <v>7</v>
      </c>
      <c r="O185" s="27" t="s">
        <v>8</v>
      </c>
    </row>
    <row r="186" spans="1:15" x14ac:dyDescent="0.25">
      <c r="A186" s="30">
        <v>2.0392734484559519E-3</v>
      </c>
      <c r="N186" s="27" t="s">
        <v>7</v>
      </c>
      <c r="O186" s="27" t="s">
        <v>8</v>
      </c>
    </row>
    <row r="187" spans="1:15" x14ac:dyDescent="0.25">
      <c r="A187" s="30">
        <v>1.8538849531417744E-3</v>
      </c>
      <c r="N187" s="27" t="s">
        <v>7</v>
      </c>
      <c r="O187" s="27" t="s">
        <v>8</v>
      </c>
    </row>
    <row r="188" spans="1:15" x14ac:dyDescent="0.25">
      <c r="A188" s="30">
        <v>1.6853499574016129E-3</v>
      </c>
      <c r="N188" s="27" t="s">
        <v>7</v>
      </c>
      <c r="O188" s="27" t="s">
        <v>8</v>
      </c>
    </row>
    <row r="189" spans="1:15" x14ac:dyDescent="0.25">
      <c r="A189" s="30">
        <v>1.5321363249105571E-3</v>
      </c>
      <c r="N189" s="27" t="s">
        <v>7</v>
      </c>
      <c r="O189" s="27" t="s">
        <v>8</v>
      </c>
    </row>
    <row r="190" spans="1:15" x14ac:dyDescent="0.25">
      <c r="A190" s="30">
        <v>1.3928512044641427E-3</v>
      </c>
      <c r="N190" s="27" t="s">
        <v>7</v>
      </c>
      <c r="O190" s="27" t="s">
        <v>8</v>
      </c>
    </row>
    <row r="191" spans="1:15" x14ac:dyDescent="0.25">
      <c r="A191" s="30">
        <v>1.2662283676946752E-3</v>
      </c>
      <c r="N191" s="27" t="s">
        <v>7</v>
      </c>
      <c r="O191" s="27" t="s">
        <v>8</v>
      </c>
    </row>
    <row r="192" spans="1:15" x14ac:dyDescent="0.25">
      <c r="A192" s="30">
        <v>1.15111669790425E-3</v>
      </c>
      <c r="N192" s="27" t="s">
        <v>7</v>
      </c>
      <c r="O192" s="27" t="s">
        <v>8</v>
      </c>
    </row>
    <row r="193" spans="1:15" x14ac:dyDescent="0.25">
      <c r="A193" s="30">
        <v>1.0464697253675E-3</v>
      </c>
      <c r="N193" s="27" t="s">
        <v>7</v>
      </c>
      <c r="O193" s="27" t="s">
        <v>8</v>
      </c>
    </row>
    <row r="194" spans="1:15" x14ac:dyDescent="0.25">
      <c r="A194" s="30">
        <v>9.5133611397045449E-4</v>
      </c>
      <c r="N194" s="27" t="s">
        <v>7</v>
      </c>
      <c r="O194" s="27" t="s">
        <v>8</v>
      </c>
    </row>
    <row r="195" spans="1:15" x14ac:dyDescent="0.25">
      <c r="A195" s="30">
        <v>8.6485101270041313E-4</v>
      </c>
      <c r="N195" s="27" t="s">
        <v>7</v>
      </c>
      <c r="O195" s="27" t="s">
        <v>8</v>
      </c>
    </row>
    <row r="196" spans="1:15" x14ac:dyDescent="0.25">
      <c r="A196" s="30">
        <v>7.862281933640119E-4</v>
      </c>
      <c r="N196" s="27" t="s">
        <v>7</v>
      </c>
    </row>
    <row r="197" spans="1:15" x14ac:dyDescent="0.25">
      <c r="A197" s="30">
        <v>7.0760537402761068E-4</v>
      </c>
    </row>
    <row r="198" spans="1:15" x14ac:dyDescent="0.25">
      <c r="A198" s="30">
        <v>6.368448366248496E-4</v>
      </c>
    </row>
    <row r="199" spans="1:15" x14ac:dyDescent="0.25">
      <c r="A199" s="30">
        <v>5.7316035296236471E-4</v>
      </c>
    </row>
    <row r="200" spans="1:15" x14ac:dyDescent="0.25">
      <c r="A200" s="30">
        <v>5.1584431766612821E-4</v>
      </c>
    </row>
    <row r="201" spans="1:15" x14ac:dyDescent="0.25">
      <c r="A201" s="30">
        <v>4.6425988589951538E-4</v>
      </c>
    </row>
    <row r="202" spans="1:15" x14ac:dyDescent="0.25">
      <c r="A202" s="30">
        <v>4.1783389730956383E-4</v>
      </c>
    </row>
    <row r="203" spans="1:15" x14ac:dyDescent="0.25">
      <c r="A203" s="30">
        <v>3.7605050757860746E-4</v>
      </c>
    </row>
    <row r="204" spans="1:15" x14ac:dyDescent="0.25">
      <c r="A204" s="30">
        <v>3.3844545682074675E-4</v>
      </c>
    </row>
    <row r="205" spans="1:15" x14ac:dyDescent="0.25">
      <c r="A205" s="30">
        <v>3.0460091113867208E-4</v>
      </c>
    </row>
    <row r="206" spans="1:15" x14ac:dyDescent="0.25">
      <c r="A206" s="30">
        <v>2.7414082002480487E-4</v>
      </c>
    </row>
    <row r="207" spans="1:15" x14ac:dyDescent="0.25">
      <c r="A207" s="30">
        <v>2.4672673802232442E-4</v>
      </c>
    </row>
    <row r="208" spans="1:15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384" operator="equal">
      <formula>$U$1</formula>
    </cfRule>
    <cfRule type="cellIs" dxfId="30" priority="1385" operator="equal">
      <formula>$S$1</formula>
    </cfRule>
  </conditionalFormatting>
  <conditionalFormatting sqref="D136">
    <cfRule type="cellIs" dxfId="29" priority="1382" operator="equal">
      <formula>$S$1</formula>
    </cfRule>
    <cfRule type="cellIs" dxfId="28" priority="1383" operator="equal">
      <formula>$U$1</formula>
    </cfRule>
  </conditionalFormatting>
  <conditionalFormatting sqref="C102">
    <cfRule type="cellIs" dxfId="27" priority="1380" operator="equal">
      <formula>$U$1</formula>
    </cfRule>
    <cfRule type="cellIs" dxfId="26" priority="1381" operator="equal">
      <formula>$S$1</formula>
    </cfRule>
  </conditionalFormatting>
  <conditionalFormatting sqref="D102">
    <cfRule type="cellIs" dxfId="25" priority="1378" operator="equal">
      <formula>$S$1</formula>
    </cfRule>
    <cfRule type="cellIs" dxfId="24" priority="1379" operator="equal">
      <formula>$U$1</formula>
    </cfRule>
  </conditionalFormatting>
  <conditionalFormatting sqref="C77">
    <cfRule type="cellIs" dxfId="23" priority="1376" operator="equal">
      <formula>$U$1</formula>
    </cfRule>
    <cfRule type="cellIs" dxfId="22" priority="1377" operator="equal">
      <formula>$S$1</formula>
    </cfRule>
  </conditionalFormatting>
  <conditionalFormatting sqref="D77">
    <cfRule type="cellIs" dxfId="21" priority="1374" operator="equal">
      <formula>$S$1</formula>
    </cfRule>
    <cfRule type="cellIs" dxfId="20" priority="1375" operator="equal">
      <formula>$U$1</formula>
    </cfRule>
  </conditionalFormatting>
  <conditionalFormatting sqref="C52">
    <cfRule type="cellIs" dxfId="19" priority="1372" operator="equal">
      <formula>$U$1</formula>
    </cfRule>
    <cfRule type="cellIs" dxfId="18" priority="1373" operator="equal">
      <formula>$S$1</formula>
    </cfRule>
  </conditionalFormatting>
  <conditionalFormatting sqref="D52">
    <cfRule type="cellIs" dxfId="17" priority="1370" operator="equal">
      <formula>$S$1</formula>
    </cfRule>
    <cfRule type="cellIs" dxfId="16" priority="1371" operator="equal">
      <formula>$U$1</formula>
    </cfRule>
  </conditionalFormatting>
  <conditionalFormatting sqref="C26">
    <cfRule type="cellIs" dxfId="15" priority="1368" operator="equal">
      <formula>$U$1</formula>
    </cfRule>
    <cfRule type="cellIs" dxfId="14" priority="1369" operator="equal">
      <formula>$S$1</formula>
    </cfRule>
  </conditionalFormatting>
  <conditionalFormatting sqref="D26">
    <cfRule type="cellIs" dxfId="13" priority="1366" operator="equal">
      <formula>$S$1</formula>
    </cfRule>
    <cfRule type="cellIs" dxfId="12" priority="1367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2022-01-28T01:21:59Z</dcterms:modified>
</cp:coreProperties>
</file>