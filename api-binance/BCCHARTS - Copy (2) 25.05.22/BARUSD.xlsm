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28DE2D0-CB75-4528-8511-138E11FE68D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4"/>
  <c r="C122" i="4"/>
  <c r="C133" i="4" s="1"/>
  <c r="C136" i="4" s="1"/>
  <c r="C116" i="3"/>
  <c r="C122" i="3"/>
  <c r="C133" i="3" s="1"/>
  <c r="C136" i="3" s="1"/>
  <c r="R765" i="1"/>
  <c r="C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S740" i="1" l="1"/>
  <c r="T740" i="1" s="1"/>
  <c r="R739" i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S628" i="1" l="1"/>
  <c r="T628" i="1" s="1"/>
  <c r="R627" i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<sst xmlns="http://schemas.openxmlformats.org/spreadsheetml/2006/main" count="3007" uniqueCount="34">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</sst>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5.49</c:v>
                </c:pt>
                <c:pt idx="1">
                  <c:v>5.62</c:v>
                </c:pt>
                <c:pt idx="2">
                  <c:v>5.59</c:v>
                </c:pt>
                <c:pt idx="3">
                  <c:v>5.5</c:v>
                </c:pt>
                <c:pt idx="4">
                  <c:v>5.92</c:v>
                </c:pt>
                <c:pt idx="5">
                  <c:v>5.63</c:v>
                </c:pt>
                <c:pt idx="6">
                  <c:v>6.31</c:v>
                </c:pt>
                <c:pt idx="7">
                  <c:v>7.38</c:v>
                </c:pt>
                <c:pt idx="8">
                  <c:v>7.67</c:v>
                </c:pt>
                <c:pt idx="9">
                  <c:v>7.79</c:v>
                </c:pt>
                <c:pt idx="10">
                  <c:v>7.77</c:v>
                </c:pt>
                <c:pt idx="11">
                  <c:v>7.97</c:v>
                </c:pt>
                <c:pt idx="12">
                  <c:v>8.02</c:v>
                </c:pt>
                <c:pt idx="13">
                  <c:v>7.91</c:v>
                </c:pt>
                <c:pt idx="14">
                  <c:v>7.92</c:v>
                </c:pt>
                <c:pt idx="15">
                  <c:v>8.19</c:v>
                </c:pt>
                <c:pt idx="16">
                  <c:v>8</c:v>
                </c:pt>
                <c:pt idx="17">
                  <c:v>7.57</c:v>
                </c:pt>
                <c:pt idx="18">
                  <c:v>7.84</c:v>
                </c:pt>
                <c:pt idx="19">
                  <c:v>7.85</c:v>
                </c:pt>
                <c:pt idx="20">
                  <c:v>8.18</c:v>
                </c:pt>
                <c:pt idx="21">
                  <c:v>8.2100000000000009</c:v>
                </c:pt>
                <c:pt idx="22">
                  <c:v>8.19</c:v>
                </c:pt>
                <c:pt idx="23">
                  <c:v>8.76</c:v>
                </c:pt>
                <c:pt idx="24">
                  <c:v>8.89</c:v>
                </c:pt>
                <c:pt idx="25">
                  <c:v>8.85</c:v>
                </c:pt>
                <c:pt idx="26">
                  <c:v>8.94</c:v>
                </c:pt>
                <c:pt idx="27">
                  <c:v>8.8000000000000007</c:v>
                </c:pt>
                <c:pt idx="28">
                  <c:v>8.8699999999999992</c:v>
                </c:pt>
                <c:pt idx="29">
                  <c:v>9.02</c:v>
                </c:pt>
                <c:pt idx="30">
                  <c:v>9.6999999999999993</c:v>
                </c:pt>
                <c:pt idx="31">
                  <c:v>9.4499999999999993</c:v>
                </c:pt>
                <c:pt idx="32">
                  <c:v>9.64</c:v>
                </c:pt>
                <c:pt idx="33">
                  <c:v>9.9499999999999993</c:v>
                </c:pt>
                <c:pt idx="34">
                  <c:v>9.0500000000000007</c:v>
                </c:pt>
                <c:pt idx="35">
                  <c:v>9.2799999999999994</c:v>
                </c:pt>
                <c:pt idx="36">
                  <c:v>8.7899999999999991</c:v>
                </c:pt>
                <c:pt idx="37">
                  <c:v>8.4700000000000006</c:v>
                </c:pt>
                <c:pt idx="38">
                  <c:v>8.4600000000000009</c:v>
                </c:pt>
                <c:pt idx="39">
                  <c:v>7.96</c:v>
                </c:pt>
                <c:pt idx="40">
                  <c:v>8.11</c:v>
                </c:pt>
                <c:pt idx="41">
                  <c:v>8.02</c:v>
                </c:pt>
                <c:pt idx="42">
                  <c:v>8.42</c:v>
                </c:pt>
                <c:pt idx="43">
                  <c:v>8.74</c:v>
                </c:pt>
                <c:pt idx="44">
                  <c:v>8.75</c:v>
                </c:pt>
                <c:pt idx="45">
                  <c:v>8.73</c:v>
                </c:pt>
                <c:pt idx="46">
                  <c:v>9.41</c:v>
                </c:pt>
                <c:pt idx="47">
                  <c:v>9</c:v>
                </c:pt>
                <c:pt idx="48">
                  <c:v>8.85</c:v>
                </c:pt>
                <c:pt idx="49">
                  <c:v>9.2200000000000006</c:v>
                </c:pt>
                <c:pt idx="50">
                  <c:v>9.7200000000000006</c:v>
                </c:pt>
                <c:pt idx="51">
                  <c:v>9.8800000000000008</c:v>
                </c:pt>
                <c:pt idx="52">
                  <c:v>9.76</c:v>
                </c:pt>
                <c:pt idx="53">
                  <c:v>9.73</c:v>
                </c:pt>
                <c:pt idx="54">
                  <c:v>9.1999999999999993</c:v>
                </c:pt>
                <c:pt idx="55">
                  <c:v>10.199999999999999</c:v>
                </c:pt>
                <c:pt idx="56">
                  <c:v>10.46</c:v>
                </c:pt>
                <c:pt idx="57">
                  <c:v>10.79</c:v>
                </c:pt>
                <c:pt idx="58">
                  <c:v>11.12</c:v>
                </c:pt>
                <c:pt idx="59">
                  <c:v>11.33</c:v>
                </c:pt>
                <c:pt idx="60">
                  <c:v>11.23</c:v>
                </c:pt>
                <c:pt idx="61">
                  <c:v>11.23</c:v>
                </c:pt>
                <c:pt idx="62">
                  <c:v>11.14</c:v>
                </c:pt>
                <c:pt idx="63">
                  <c:v>12.17</c:v>
                </c:pt>
                <c:pt idx="64">
                  <c:v>12.08</c:v>
                </c:pt>
                <c:pt idx="65">
                  <c:v>12.32</c:v>
                </c:pt>
                <c:pt idx="66">
                  <c:v>13.1</c:v>
                </c:pt>
                <c:pt idx="67">
                  <c:v>13.07</c:v>
                </c:pt>
                <c:pt idx="68">
                  <c:v>13.32</c:v>
                </c:pt>
                <c:pt idx="69">
                  <c:v>13.19</c:v>
                </c:pt>
                <c:pt idx="70">
                  <c:v>12.79</c:v>
                </c:pt>
                <c:pt idx="71">
                  <c:v>13.66</c:v>
                </c:pt>
                <c:pt idx="72">
                  <c:v>13.88</c:v>
                </c:pt>
                <c:pt idx="73">
                  <c:v>14.79</c:v>
                </c:pt>
                <c:pt idx="74">
                  <c:v>14.4</c:v>
                </c:pt>
                <c:pt idx="75">
                  <c:v>14.46</c:v>
                </c:pt>
                <c:pt idx="76">
                  <c:v>14.47</c:v>
                </c:pt>
                <c:pt idx="77">
                  <c:v>14.51</c:v>
                </c:pt>
                <c:pt idx="78">
                  <c:v>14.27</c:v>
                </c:pt>
                <c:pt idx="79">
                  <c:v>14.56</c:v>
                </c:pt>
                <c:pt idx="80">
                  <c:v>14.68</c:v>
                </c:pt>
                <c:pt idx="81">
                  <c:v>15.04</c:v>
                </c:pt>
                <c:pt idx="82">
                  <c:v>14.7</c:v>
                </c:pt>
                <c:pt idx="83">
                  <c:v>14.59</c:v>
                </c:pt>
                <c:pt idx="84">
                  <c:v>14.44</c:v>
                </c:pt>
                <c:pt idx="85">
                  <c:v>14.61</c:v>
                </c:pt>
                <c:pt idx="86">
                  <c:v>14.81</c:v>
                </c:pt>
                <c:pt idx="87">
                  <c:v>14.79</c:v>
                </c:pt>
                <c:pt idx="88">
                  <c:v>14.67</c:v>
                </c:pt>
                <c:pt idx="89">
                  <c:v>15.09</c:v>
                </c:pt>
                <c:pt idx="90">
                  <c:v>15.08</c:v>
                </c:pt>
                <c:pt idx="91">
                  <c:v>14.8</c:v>
                </c:pt>
                <c:pt idx="92">
                  <c:v>14.91</c:v>
                </c:pt>
                <c:pt idx="93">
                  <c:v>15.81</c:v>
                </c:pt>
                <c:pt idx="94">
                  <c:v>16.13</c:v>
                </c:pt>
                <c:pt idx="95">
                  <c:v>15.9</c:v>
                </c:pt>
                <c:pt idx="96">
                  <c:v>16.489999999999998</c:v>
                </c:pt>
                <c:pt idx="97">
                  <c:v>16.38</c:v>
                </c:pt>
                <c:pt idx="98">
                  <c:v>16.559999999999999</c:v>
                </c:pt>
                <c:pt idx="99">
                  <c:v>17.079999999999998</c:v>
                </c:pt>
                <c:pt idx="100">
                  <c:v>16.62</c:v>
                </c:pt>
                <c:pt idx="101">
                  <c:v>17.05</c:v>
                </c:pt>
                <c:pt idx="102">
                  <c:v>16.78</c:v>
                </c:pt>
                <c:pt idx="103">
                  <c:v>17.23</c:v>
                </c:pt>
                <c:pt idx="104">
                  <c:v>17.52</c:v>
                </c:pt>
                <c:pt idx="105">
                  <c:v>18.02</c:v>
                </c:pt>
                <c:pt idx="106">
                  <c:v>17.809999999999999</c:v>
                </c:pt>
                <c:pt idx="107">
                  <c:v>17.16</c:v>
                </c:pt>
                <c:pt idx="108">
                  <c:v>17.36</c:v>
                </c:pt>
                <c:pt idx="109">
                  <c:v>17.07</c:v>
                </c:pt>
                <c:pt idx="110">
                  <c:v>17.57</c:v>
                </c:pt>
                <c:pt idx="111">
                  <c:v>17.440000000000001</c:v>
                </c:pt>
                <c:pt idx="112">
                  <c:v>18.05</c:v>
                </c:pt>
                <c:pt idx="113">
                  <c:v>17.13</c:v>
                </c:pt>
                <c:pt idx="114">
                  <c:v>16.23</c:v>
                </c:pt>
                <c:pt idx="115">
                  <c:v>16.11</c:v>
                </c:pt>
                <c:pt idx="116">
                  <c:v>16.489999999999998</c:v>
                </c:pt>
                <c:pt idx="117">
                  <c:v>16.52</c:v>
                </c:pt>
                <c:pt idx="118">
                  <c:v>16.75</c:v>
                </c:pt>
                <c:pt idx="119">
                  <c:v>16.03</c:v>
                </c:pt>
                <c:pt idx="120">
                  <c:v>15.47</c:v>
                </c:pt>
                <c:pt idx="121">
                  <c:v>15.92</c:v>
                </c:pt>
                <c:pt idx="122">
                  <c:v>16.52</c:v>
                </c:pt>
                <c:pt idx="123">
                  <c:v>16.739999999999998</c:v>
                </c:pt>
                <c:pt idx="124">
                  <c:v>16.989999999999998</c:v>
                </c:pt>
                <c:pt idx="125">
                  <c:v>17.600000000000001</c:v>
                </c:pt>
                <c:pt idx="126">
                  <c:v>18.61</c:v>
                </c:pt>
                <c:pt idx="127">
                  <c:v>16.399999999999999</c:v>
                </c:pt>
                <c:pt idx="128">
                  <c:v>15.25</c:v>
                </c:pt>
                <c:pt idx="129">
                  <c:v>17</c:v>
                </c:pt>
                <c:pt idx="130">
                  <c:v>17.98</c:v>
                </c:pt>
                <c:pt idx="131">
                  <c:v>18.149999999999999</c:v>
                </c:pt>
                <c:pt idx="132">
                  <c:v>18.32</c:v>
                </c:pt>
                <c:pt idx="133">
                  <c:v>18.63</c:v>
                </c:pt>
                <c:pt idx="134">
                  <c:v>18.86</c:v>
                </c:pt>
                <c:pt idx="135">
                  <c:v>18.61</c:v>
                </c:pt>
                <c:pt idx="136">
                  <c:v>18.440000000000001</c:v>
                </c:pt>
                <c:pt idx="137">
                  <c:v>19.38</c:v>
                </c:pt>
                <c:pt idx="138">
                  <c:v>18.829999999999998</c:v>
                </c:pt>
                <c:pt idx="139">
                  <c:v>19.489999999999998</c:v>
                </c:pt>
                <c:pt idx="140">
                  <c:v>17.690000000000001</c:v>
                </c:pt>
                <c:pt idx="141">
                  <c:v>17.38</c:v>
                </c:pt>
                <c:pt idx="142">
                  <c:v>17.170000000000002</c:v>
                </c:pt>
                <c:pt idx="143">
                  <c:v>20.41</c:v>
                </c:pt>
                <c:pt idx="144">
                  <c:v>20.76</c:v>
                </c:pt>
                <c:pt idx="145">
                  <c:v>20.440000000000001</c:v>
                </c:pt>
                <c:pt idx="146">
                  <c:v>20.66</c:v>
                </c:pt>
                <c:pt idx="147">
                  <c:v>20.010000000000002</c:v>
                </c:pt>
                <c:pt idx="148">
                  <c:v>19.84</c:v>
                </c:pt>
                <c:pt idx="149">
                  <c:v>19.100000000000001</c:v>
                </c:pt>
                <c:pt idx="150">
                  <c:v>19.7</c:v>
                </c:pt>
                <c:pt idx="151">
                  <c:v>20.59</c:v>
                </c:pt>
                <c:pt idx="152">
                  <c:v>20.91</c:v>
                </c:pt>
                <c:pt idx="153">
                  <c:v>21.03</c:v>
                </c:pt>
                <c:pt idx="154">
                  <c:v>20.37</c:v>
                </c:pt>
                <c:pt idx="155">
                  <c:v>21.492999999999999</c:v>
                </c:pt>
                <c:pt idx="156">
                  <c:v>21.530999999999999</c:v>
                </c:pt>
                <c:pt idx="157">
                  <c:v>21.582000000000001</c:v>
                </c:pt>
                <c:pt idx="158">
                  <c:v>21.779</c:v>
                </c:pt>
                <c:pt idx="159">
                  <c:v>21.492999999999999</c:v>
                </c:pt>
                <c:pt idx="160">
                  <c:v>22.492000000000001</c:v>
                </c:pt>
                <c:pt idx="161">
                  <c:v>22.331</c:v>
                </c:pt>
                <c:pt idx="162">
                  <c:v>22.068000000000001</c:v>
                </c:pt>
                <c:pt idx="163">
                  <c:v>22.625</c:v>
                </c:pt>
                <c:pt idx="164">
                  <c:v>22.071999999999999</c:v>
                </c:pt>
                <c:pt idx="165">
                  <c:v>23.414000000000001</c:v>
                </c:pt>
                <c:pt idx="166">
                  <c:v>23.817</c:v>
                </c:pt>
                <c:pt idx="167">
                  <c:v>24.241</c:v>
                </c:pt>
                <c:pt idx="168">
                  <c:v>24.241</c:v>
                </c:pt>
                <c:pt idx="169">
                  <c:v>23.47</c:v>
                </c:pt>
                <c:pt idx="170">
                  <c:v>25.146999999999998</c:v>
                </c:pt>
                <c:pt idx="171">
                  <c:v>25.93</c:v>
                </c:pt>
                <c:pt idx="172">
                  <c:v>22.91</c:v>
                </c:pt>
                <c:pt idx="173">
                  <c:v>23.305</c:v>
                </c:pt>
                <c:pt idx="174">
                  <c:v>22.15</c:v>
                </c:pt>
                <c:pt idx="175">
                  <c:v>21.411999999999999</c:v>
                </c:pt>
                <c:pt idx="176">
                  <c:v>21.863</c:v>
                </c:pt>
                <c:pt idx="177">
                  <c:v>21.625</c:v>
                </c:pt>
                <c:pt idx="178">
                  <c:v>22.143999999999998</c:v>
                </c:pt>
                <c:pt idx="179">
                  <c:v>21.4</c:v>
                </c:pt>
                <c:pt idx="180">
                  <c:v>22.004999999999999</c:v>
                </c:pt>
                <c:pt idx="181">
                  <c:v>22.06</c:v>
                </c:pt>
                <c:pt idx="182">
                  <c:v>22.198</c:v>
                </c:pt>
                <c:pt idx="183">
                  <c:v>21.042999999999999</c:v>
                </c:pt>
                <c:pt idx="184">
                  <c:v>21.120999999999999</c:v>
                </c:pt>
                <c:pt idx="185">
                  <c:v>21.068000000000001</c:v>
                </c:pt>
                <c:pt idx="186">
                  <c:v>21.797999999999998</c:v>
                </c:pt>
                <c:pt idx="187">
                  <c:v>21.332999999999998</c:v>
                </c:pt>
                <c:pt idx="188">
                  <c:v>22.152000000000001</c:v>
                </c:pt>
                <c:pt idx="189">
                  <c:v>22.702999999999999</c:v>
                </c:pt>
                <c:pt idx="190">
                  <c:v>21.140999999999998</c:v>
                </c:pt>
                <c:pt idx="191">
                  <c:v>17.317</c:v>
                </c:pt>
                <c:pt idx="192">
                  <c:v>17.125</c:v>
                </c:pt>
                <c:pt idx="193">
                  <c:v>15.856</c:v>
                </c:pt>
                <c:pt idx="194">
                  <c:v>15.455</c:v>
                </c:pt>
                <c:pt idx="195">
                  <c:v>15.564</c:v>
                </c:pt>
                <c:pt idx="196">
                  <c:v>15.968999999999999</c:v>
                </c:pt>
                <c:pt idx="197">
                  <c:v>16.68</c:v>
                </c:pt>
                <c:pt idx="198">
                  <c:v>15.827999999999999</c:v>
                </c:pt>
                <c:pt idx="199">
                  <c:v>15.191000000000001</c:v>
                </c:pt>
                <c:pt idx="200">
                  <c:v>14.635999999999999</c:v>
                </c:pt>
                <c:pt idx="201">
                  <c:v>14.427</c:v>
                </c:pt>
                <c:pt idx="202">
                  <c:v>14.035</c:v>
                </c:pt>
                <c:pt idx="203">
                  <c:v>13.961</c:v>
                </c:pt>
                <c:pt idx="204">
                  <c:v>14.464</c:v>
                </c:pt>
                <c:pt idx="205">
                  <c:v>14.31</c:v>
                </c:pt>
                <c:pt idx="206">
                  <c:v>14.452999999999999</c:v>
                </c:pt>
                <c:pt idx="207">
                  <c:v>14.3</c:v>
                </c:pt>
                <c:pt idx="208">
                  <c:v>14.205</c:v>
                </c:pt>
                <c:pt idx="209">
                  <c:v>14.098000000000001</c:v>
                </c:pt>
                <c:pt idx="210">
                  <c:v>14.201000000000001</c:v>
                </c:pt>
                <c:pt idx="211">
                  <c:v>14.38</c:v>
                </c:pt>
                <c:pt idx="212">
                  <c:v>14.122999999999999</c:v>
                </c:pt>
                <c:pt idx="213">
                  <c:v>13.961</c:v>
                </c:pt>
                <c:pt idx="214">
                  <c:v>14.065</c:v>
                </c:pt>
                <c:pt idx="215">
                  <c:v>13.731999999999999</c:v>
                </c:pt>
                <c:pt idx="216">
                  <c:v>13.587</c:v>
                </c:pt>
                <c:pt idx="217">
                  <c:v>14.375999999999999</c:v>
                </c:pt>
                <c:pt idx="218">
                  <c:v>14.414</c:v>
                </c:pt>
                <c:pt idx="219">
                  <c:v>13.324999999999999</c:v>
                </c:pt>
                <c:pt idx="220">
                  <c:v>13.747999999999999</c:v>
                </c:pt>
                <c:pt idx="221">
                  <c:v>16.347000000000001</c:v>
                </c:pt>
                <c:pt idx="222">
                  <c:v>16.356999999999999</c:v>
                </c:pt>
                <c:pt idx="223">
                  <c:v>16.379000000000001</c:v>
                </c:pt>
                <c:pt idx="224">
                  <c:v>17.178000000000001</c:v>
                </c:pt>
                <c:pt idx="225">
                  <c:v>16.584</c:v>
                </c:pt>
                <c:pt idx="226">
                  <c:v>17.501999999999999</c:v>
                </c:pt>
                <c:pt idx="227">
                  <c:v>17.18</c:v>
                </c:pt>
                <c:pt idx="228">
                  <c:v>16.818000000000001</c:v>
                </c:pt>
                <c:pt idx="229">
                  <c:v>16.132000000000001</c:v>
                </c:pt>
                <c:pt idx="230">
                  <c:v>16.908000000000001</c:v>
                </c:pt>
                <c:pt idx="231">
                  <c:v>18.571000000000002</c:v>
                </c:pt>
                <c:pt idx="232">
                  <c:v>16.036000000000001</c:v>
                </c:pt>
                <c:pt idx="233">
                  <c:v>15.603</c:v>
                </c:pt>
                <c:pt idx="234">
                  <c:v>15.754</c:v>
                </c:pt>
                <c:pt idx="235">
                  <c:v>17.084</c:v>
                </c:pt>
                <c:pt idx="236">
                  <c:v>17.399999999999999</c:v>
                </c:pt>
                <c:pt idx="237">
                  <c:v>16.640999999999998</c:v>
                </c:pt>
                <c:pt idx="238">
                  <c:v>17.111000000000001</c:v>
                </c:pt>
                <c:pt idx="239">
                  <c:v>16.428000000000001</c:v>
                </c:pt>
                <c:pt idx="240">
                  <c:v>16.2</c:v>
                </c:pt>
                <c:pt idx="241">
                  <c:v>17.100000000000001</c:v>
                </c:pt>
                <c:pt idx="242">
                  <c:v>16.539000000000001</c:v>
                </c:pt>
                <c:pt idx="243">
                  <c:v>16.488</c:v>
                </c:pt>
                <c:pt idx="244">
                  <c:v>17.97</c:v>
                </c:pt>
                <c:pt idx="245">
                  <c:v>22.170999999999999</c:v>
                </c:pt>
                <c:pt idx="246">
                  <c:v>15.879</c:v>
                </c:pt>
                <c:pt idx="247">
                  <c:v>15.047000000000001</c:v>
                </c:pt>
                <c:pt idx="248">
                  <c:v>16.117999999999999</c:v>
                </c:pt>
                <c:pt idx="249">
                  <c:v>14.882</c:v>
                </c:pt>
                <c:pt idx="250">
                  <c:v>18.95</c:v>
                </c:pt>
                <c:pt idx="251">
                  <c:v>22.849</c:v>
                </c:pt>
                <c:pt idx="252">
                  <c:v>22.416</c:v>
                </c:pt>
                <c:pt idx="253">
                  <c:v>20.042999999999999</c:v>
                </c:pt>
                <c:pt idx="254">
                  <c:v>30.071000000000002</c:v>
                </c:pt>
                <c:pt idx="255">
                  <c:v>28.068999999999999</c:v>
                </c:pt>
                <c:pt idx="256">
                  <c:v>28.690999999999999</c:v>
                </c:pt>
                <c:pt idx="257">
                  <c:v>33.299999999999997</c:v>
                </c:pt>
                <c:pt idx="258">
                  <c:v>30.673999999999999</c:v>
                </c:pt>
                <c:pt idx="259">
                  <c:v>29.001000000000001</c:v>
                </c:pt>
                <c:pt idx="260">
                  <c:v>26.797999999999998</c:v>
                </c:pt>
                <c:pt idx="261">
                  <c:v>29.718</c:v>
                </c:pt>
                <c:pt idx="262">
                  <c:v>30.364999999999998</c:v>
                </c:pt>
                <c:pt idx="263">
                  <c:v>33.604999999999997</c:v>
                </c:pt>
                <c:pt idx="264">
                  <c:v>35.444000000000003</c:v>
                </c:pt>
                <c:pt idx="265">
                  <c:v>36.503</c:v>
                </c:pt>
                <c:pt idx="266">
                  <c:v>36.652999999999999</c:v>
                </c:pt>
                <c:pt idx="267">
                  <c:v>37.552</c:v>
                </c:pt>
                <c:pt idx="268">
                  <c:v>35.405000000000001</c:v>
                </c:pt>
                <c:pt idx="269">
                  <c:v>38.281999999999996</c:v>
                </c:pt>
                <c:pt idx="270">
                  <c:v>41.151000000000003</c:v>
                </c:pt>
                <c:pt idx="271">
                  <c:v>40.133000000000003</c:v>
                </c:pt>
                <c:pt idx="272">
                  <c:v>40.485999999999997</c:v>
                </c:pt>
                <c:pt idx="273">
                  <c:v>40.073999999999998</c:v>
                </c:pt>
                <c:pt idx="274">
                  <c:v>42.405999999999999</c:v>
                </c:pt>
                <c:pt idx="275">
                  <c:v>41.101999999999997</c:v>
                </c:pt>
                <c:pt idx="276">
                  <c:v>41.854999999999997</c:v>
                </c:pt>
                <c:pt idx="277">
                  <c:v>40.097000000000001</c:v>
                </c:pt>
                <c:pt idx="278">
                  <c:v>37.154000000000003</c:v>
                </c:pt>
                <c:pt idx="279">
                  <c:v>35.186</c:v>
                </c:pt>
                <c:pt idx="280">
                  <c:v>37.862000000000002</c:v>
                </c:pt>
                <c:pt idx="281">
                  <c:v>46.887999999999998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E6-4361-AE4C-DBEA0D64997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-0.16757687057840379</c:v>
                </c:pt>
                <c:pt idx="1">
                  <c:v>-0.16755814067840383</c:v>
                </c:pt>
                <c:pt idx="2">
                  <c:v>-0.16729485251255014</c:v>
                </c:pt>
                <c:pt idx="3">
                  <c:v>-0.16744333398662423</c:v>
                </c:pt>
                <c:pt idx="4">
                  <c:v>-0.1674234277134535</c:v>
                </c:pt>
                <c:pt idx="5">
                  <c:v>-0.16761879472913979</c:v>
                </c:pt>
                <c:pt idx="6">
                  <c:v>-0.16701915447643145</c:v>
                </c:pt>
                <c:pt idx="7">
                  <c:v>-0.16637714120143143</c:v>
                </c:pt>
                <c:pt idx="8">
                  <c:v>-0.16601007617534447</c:v>
                </c:pt>
                <c:pt idx="9">
                  <c:v>-0.1658967404917624</c:v>
                </c:pt>
                <c:pt idx="10">
                  <c:v>-0.16626834972676238</c:v>
                </c:pt>
                <c:pt idx="11">
                  <c:v>-0.16511469495016665</c:v>
                </c:pt>
                <c:pt idx="12">
                  <c:v>-0.16507025799302377</c:v>
                </c:pt>
                <c:pt idx="13">
                  <c:v>-0.16521262809828693</c:v>
                </c:pt>
                <c:pt idx="14">
                  <c:v>-0.16516758410473856</c:v>
                </c:pt>
                <c:pt idx="15">
                  <c:v>-0.16461029058894908</c:v>
                </c:pt>
                <c:pt idx="16">
                  <c:v>-0.16469486720323478</c:v>
                </c:pt>
                <c:pt idx="17">
                  <c:v>-0.16423166685708093</c:v>
                </c:pt>
                <c:pt idx="18">
                  <c:v>-0.16404862935708095</c:v>
                </c:pt>
                <c:pt idx="19">
                  <c:v>-0.16391344085708096</c:v>
                </c:pt>
                <c:pt idx="20">
                  <c:v>-0.16341295384145596</c:v>
                </c:pt>
                <c:pt idx="21">
                  <c:v>-0.16363845117963777</c:v>
                </c:pt>
                <c:pt idx="22">
                  <c:v>-0.16341581659008553</c:v>
                </c:pt>
                <c:pt idx="23">
                  <c:v>-0.16278176206619174</c:v>
                </c:pt>
                <c:pt idx="24">
                  <c:v>-0.16263532473285838</c:v>
                </c:pt>
                <c:pt idx="25">
                  <c:v>-0.1627277810703584</c:v>
                </c:pt>
                <c:pt idx="26">
                  <c:v>-0.16257478303035841</c:v>
                </c:pt>
                <c:pt idx="27">
                  <c:v>-0.16258991743470622</c:v>
                </c:pt>
                <c:pt idx="28">
                  <c:v>-0.16238186495470622</c:v>
                </c:pt>
                <c:pt idx="29">
                  <c:v>-0.16165625025905406</c:v>
                </c:pt>
                <c:pt idx="30">
                  <c:v>-0.16075275168213096</c:v>
                </c:pt>
                <c:pt idx="31">
                  <c:v>-0.16004411069132637</c:v>
                </c:pt>
                <c:pt idx="32">
                  <c:v>-0.15877446569132639</c:v>
                </c:pt>
                <c:pt idx="33">
                  <c:v>-0.15864416808080006</c:v>
                </c:pt>
                <c:pt idx="34">
                  <c:v>-0.15836177514311162</c:v>
                </c:pt>
                <c:pt idx="35">
                  <c:v>-0.15806667262882593</c:v>
                </c:pt>
                <c:pt idx="36">
                  <c:v>-0.15850471501574181</c:v>
                </c:pt>
                <c:pt idx="37">
                  <c:v>-0.15871888572162415</c:v>
                </c:pt>
                <c:pt idx="38">
                  <c:v>-0.15731496304280063</c:v>
                </c:pt>
                <c:pt idx="39">
                  <c:v>-0.15809893463206237</c:v>
                </c:pt>
                <c:pt idx="40">
                  <c:v>-0.15655140525048342</c:v>
                </c:pt>
                <c:pt idx="41">
                  <c:v>-0.15669767528496617</c:v>
                </c:pt>
                <c:pt idx="42">
                  <c:v>-0.1563898598182995</c:v>
                </c:pt>
                <c:pt idx="43">
                  <c:v>-0.15579207892941063</c:v>
                </c:pt>
                <c:pt idx="44">
                  <c:v>-0.15619861245199126</c:v>
                </c:pt>
                <c:pt idx="45">
                  <c:v>-0.15622442185199126</c:v>
                </c:pt>
                <c:pt idx="46">
                  <c:v>-0.15418513802220402</c:v>
                </c:pt>
                <c:pt idx="47">
                  <c:v>-0.15428987816664846</c:v>
                </c:pt>
                <c:pt idx="48">
                  <c:v>-0.15430449307379132</c:v>
                </c:pt>
                <c:pt idx="49">
                  <c:v>-0.15368432923176231</c:v>
                </c:pt>
                <c:pt idx="50">
                  <c:v>-0.15273545431324381</c:v>
                </c:pt>
                <c:pt idx="51">
                  <c:v>-0.15300169152193949</c:v>
                </c:pt>
                <c:pt idx="52">
                  <c:v>-0.15324215279373432</c:v>
                </c:pt>
                <c:pt idx="53">
                  <c:v>-0.15279994039577516</c:v>
                </c:pt>
                <c:pt idx="54">
                  <c:v>-0.14571606407773802</c:v>
                </c:pt>
                <c:pt idx="55">
                  <c:v>-0.14580922737503532</c:v>
                </c:pt>
                <c:pt idx="56">
                  <c:v>-0.14501347658109592</c:v>
                </c:pt>
                <c:pt idx="57">
                  <c:v>-0.14438889167340363</c:v>
                </c:pt>
                <c:pt idx="58">
                  <c:v>-0.14389472411784809</c:v>
                </c:pt>
                <c:pt idx="59">
                  <c:v>-0.14344199469465968</c:v>
                </c:pt>
                <c:pt idx="60">
                  <c:v>-0.14376480269209557</c:v>
                </c:pt>
                <c:pt idx="61">
                  <c:v>-0.14421065033209554</c:v>
                </c:pt>
                <c:pt idx="62">
                  <c:v>-0.14378448899209556</c:v>
                </c:pt>
                <c:pt idx="63">
                  <c:v>-0.14289493478185936</c:v>
                </c:pt>
                <c:pt idx="64">
                  <c:v>-0.14292224916023771</c:v>
                </c:pt>
                <c:pt idx="65">
                  <c:v>-0.14274600349223771</c:v>
                </c:pt>
                <c:pt idx="66">
                  <c:v>-0.14142358411680914</c:v>
                </c:pt>
                <c:pt idx="67">
                  <c:v>-0.14090778717135458</c:v>
                </c:pt>
                <c:pt idx="68">
                  <c:v>-0.14030939699357681</c:v>
                </c:pt>
                <c:pt idx="69">
                  <c:v>-0.14034084726131874</c:v>
                </c:pt>
                <c:pt idx="70">
                  <c:v>-0.14081426550131873</c:v>
                </c:pt>
                <c:pt idx="71">
                  <c:v>-0.13891267445253824</c:v>
                </c:pt>
                <c:pt idx="72">
                  <c:v>-0.13877537771060275</c:v>
                </c:pt>
                <c:pt idx="73">
                  <c:v>-0.13787793763441228</c:v>
                </c:pt>
                <c:pt idx="74">
                  <c:v>-0.13796578857597075</c:v>
                </c:pt>
                <c:pt idx="75">
                  <c:v>-0.13775375834341258</c:v>
                </c:pt>
                <c:pt idx="76">
                  <c:v>-0.13798926575393891</c:v>
                </c:pt>
                <c:pt idx="77">
                  <c:v>-0.13820825551709681</c:v>
                </c:pt>
                <c:pt idx="78">
                  <c:v>-0.13830618025827326</c:v>
                </c:pt>
                <c:pt idx="79">
                  <c:v>-0.13705177436827326</c:v>
                </c:pt>
                <c:pt idx="80">
                  <c:v>-0.13692340576827325</c:v>
                </c:pt>
                <c:pt idx="81">
                  <c:v>-0.13639374876827326</c:v>
                </c:pt>
                <c:pt idx="82">
                  <c:v>-0.13359345387050375</c:v>
                </c:pt>
                <c:pt idx="83">
                  <c:v>-0.13349909065568893</c:v>
                </c:pt>
                <c:pt idx="84">
                  <c:v>-0.13294991039742807</c:v>
                </c:pt>
                <c:pt idx="85">
                  <c:v>-0.13304726503671377</c:v>
                </c:pt>
                <c:pt idx="86">
                  <c:v>-0.13152019859055994</c:v>
                </c:pt>
                <c:pt idx="87">
                  <c:v>-0.13120890896328721</c:v>
                </c:pt>
                <c:pt idx="88">
                  <c:v>-0.13182358450811479</c:v>
                </c:pt>
                <c:pt idx="89">
                  <c:v>-0.13152786026898436</c:v>
                </c:pt>
                <c:pt idx="90">
                  <c:v>-0.13233165798129204</c:v>
                </c:pt>
                <c:pt idx="91">
                  <c:v>-0.1327435896741492</c:v>
                </c:pt>
                <c:pt idx="92">
                  <c:v>-0.13267553562414922</c:v>
                </c:pt>
                <c:pt idx="93">
                  <c:v>-0.13219776686402723</c:v>
                </c:pt>
                <c:pt idx="94">
                  <c:v>-0.13158209031230311</c:v>
                </c:pt>
                <c:pt idx="95">
                  <c:v>-0.13209010855060097</c:v>
                </c:pt>
                <c:pt idx="96">
                  <c:v>-0.1315293159148867</c:v>
                </c:pt>
                <c:pt idx="97">
                  <c:v>-0.13194744632688671</c:v>
                </c:pt>
                <c:pt idx="98">
                  <c:v>-0.13173524396974384</c:v>
                </c:pt>
                <c:pt idx="99">
                  <c:v>-0.1304148863596663</c:v>
                </c:pt>
                <c:pt idx="100">
                  <c:v>-0.13069654541739828</c:v>
                </c:pt>
                <c:pt idx="101">
                  <c:v>-0.13028289586804764</c:v>
                </c:pt>
                <c:pt idx="102">
                  <c:v>-0.13074887923004763</c:v>
                </c:pt>
                <c:pt idx="103">
                  <c:v>-0.13055641768604764</c:v>
                </c:pt>
                <c:pt idx="104">
                  <c:v>-0.12988724470271429</c:v>
                </c:pt>
                <c:pt idx="105">
                  <c:v>-0.12941302260271428</c:v>
                </c:pt>
                <c:pt idx="106">
                  <c:v>-0.12996860700271426</c:v>
                </c:pt>
                <c:pt idx="107">
                  <c:v>-0.13055912685338095</c:v>
                </c:pt>
                <c:pt idx="108">
                  <c:v>-0.1303704754563221</c:v>
                </c:pt>
                <c:pt idx="109">
                  <c:v>-0.12988149780524297</c:v>
                </c:pt>
                <c:pt idx="110">
                  <c:v>-0.12931545651910434</c:v>
                </c:pt>
                <c:pt idx="111">
                  <c:v>-0.12886783870972934</c:v>
                </c:pt>
                <c:pt idx="112">
                  <c:v>-0.12708676065146166</c:v>
                </c:pt>
                <c:pt idx="113">
                  <c:v>-0.12653182172793223</c:v>
                </c:pt>
                <c:pt idx="114">
                  <c:v>-0.12227496835581683</c:v>
                </c:pt>
                <c:pt idx="115">
                  <c:v>-0.12300719932210898</c:v>
                </c:pt>
                <c:pt idx="116">
                  <c:v>-0.12271579402509405</c:v>
                </c:pt>
                <c:pt idx="117">
                  <c:v>-0.12234719003648646</c:v>
                </c:pt>
                <c:pt idx="118">
                  <c:v>-0.11921480671148646</c:v>
                </c:pt>
                <c:pt idx="119">
                  <c:v>-0.11937079588878709</c:v>
                </c:pt>
                <c:pt idx="120">
                  <c:v>-0.11975118187060525</c:v>
                </c:pt>
                <c:pt idx="121">
                  <c:v>-0.11891542438623026</c:v>
                </c:pt>
                <c:pt idx="122">
                  <c:v>-0.11745660638436689</c:v>
                </c:pt>
                <c:pt idx="123">
                  <c:v>-0.11617598612148029</c:v>
                </c:pt>
                <c:pt idx="124">
                  <c:v>-0.11668117118148029</c:v>
                </c:pt>
                <c:pt idx="125">
                  <c:v>-0.11597952658652232</c:v>
                </c:pt>
                <c:pt idx="126">
                  <c:v>-0.11511855664464199</c:v>
                </c:pt>
                <c:pt idx="127">
                  <c:v>-0.10623448556124127</c:v>
                </c:pt>
                <c:pt idx="128">
                  <c:v>-0.10738739065689344</c:v>
                </c:pt>
                <c:pt idx="129">
                  <c:v>-0.10612915414590442</c:v>
                </c:pt>
                <c:pt idx="130">
                  <c:v>-0.1059259430296882</c:v>
                </c:pt>
                <c:pt idx="131">
                  <c:v>-0.1047245164143036</c:v>
                </c:pt>
                <c:pt idx="132">
                  <c:v>-0.10453885477793995</c:v>
                </c:pt>
                <c:pt idx="133">
                  <c:v>-0.10426410552993995</c:v>
                </c:pt>
                <c:pt idx="134">
                  <c:v>-0.10274102245676923</c:v>
                </c:pt>
                <c:pt idx="135">
                  <c:v>-0.10221364661825992</c:v>
                </c:pt>
                <c:pt idx="136">
                  <c:v>-0.10126875971984721</c:v>
                </c:pt>
                <c:pt idx="137">
                  <c:v>-0.10068051732962982</c:v>
                </c:pt>
                <c:pt idx="138">
                  <c:v>-0.10081018954545716</c:v>
                </c:pt>
                <c:pt idx="139">
                  <c:v>-9.9474024565789104E-2</c:v>
                </c:pt>
                <c:pt idx="140">
                  <c:v>-9.9591273013688253E-2</c:v>
                </c:pt>
                <c:pt idx="141">
                  <c:v>-9.9696613898951417E-2</c:v>
                </c:pt>
                <c:pt idx="142">
                  <c:v>-9.9541081754416103E-2</c:v>
                </c:pt>
                <c:pt idx="143">
                  <c:v>-9.8764627810643019E-2</c:v>
                </c:pt>
                <c:pt idx="144">
                  <c:v>-9.8512316290643012E-2</c:v>
                </c:pt>
                <c:pt idx="145">
                  <c:v>-9.8673824848762678E-2</c:v>
                </c:pt>
                <c:pt idx="146">
                  <c:v>-9.8542820304576617E-2</c:v>
                </c:pt>
                <c:pt idx="147">
                  <c:v>-9.8648562348326641E-2</c:v>
                </c:pt>
                <c:pt idx="148">
                  <c:v>-9.849721656956556E-2</c:v>
                </c:pt>
                <c:pt idx="149">
                  <c:v>-9.8849894697912027E-2</c:v>
                </c:pt>
                <c:pt idx="150">
                  <c:v>-9.8224896681732232E-2</c:v>
                </c:pt>
                <c:pt idx="151">
                  <c:v>-9.7620255877077053E-2</c:v>
                </c:pt>
                <c:pt idx="152">
                  <c:v>-9.7025685205877052E-2</c:v>
                </c:pt>
                <c:pt idx="153">
                  <c:v>-9.69755026681412E-2</c:v>
                </c:pt>
                <c:pt idx="154">
                  <c:v>-9.7478269280596011E-2</c:v>
                </c:pt>
                <c:pt idx="155">
                  <c:v>-9.6424822628718959E-2</c:v>
                </c:pt>
                <c:pt idx="156">
                  <c:v>-9.6414220642358939E-2</c:v>
                </c:pt>
                <c:pt idx="157">
                  <c:v>-9.5596586612904821E-2</c:v>
                </c:pt>
                <c:pt idx="158">
                  <c:v>-9.5431835658604303E-2</c:v>
                </c:pt>
                <c:pt idx="159">
                  <c:v>-9.5513767856004836E-2</c:v>
                </c:pt>
                <c:pt idx="160">
                  <c:v>-9.4379340056004832E-2</c:v>
                </c:pt>
                <c:pt idx="161">
                  <c:v>-9.4517628034854848E-2</c:v>
                </c:pt>
                <c:pt idx="162">
                  <c:v>-9.5207026675704853E-2</c:v>
                </c:pt>
                <c:pt idx="163">
                  <c:v>-9.3505709559104852E-2</c:v>
                </c:pt>
                <c:pt idx="164">
                  <c:v>-9.2350058962164638E-2</c:v>
                </c:pt>
                <c:pt idx="165">
                  <c:v>-9.094646737772992E-2</c:v>
                </c:pt>
                <c:pt idx="166">
                  <c:v>-9.0683229108829408E-2</c:v>
                </c:pt>
                <c:pt idx="167">
                  <c:v>-9.0297600738683328E-2</c:v>
                </c:pt>
                <c:pt idx="168">
                  <c:v>-9.0203130055131933E-2</c:v>
                </c:pt>
                <c:pt idx="169">
                  <c:v>-9.0465923576774424E-2</c:v>
                </c:pt>
                <c:pt idx="170">
                  <c:v>-8.8000052656412628E-2</c:v>
                </c:pt>
                <c:pt idx="171">
                  <c:v>-8.4225447775081438E-2</c:v>
                </c:pt>
                <c:pt idx="172">
                  <c:v>-8.4045521311266996E-2</c:v>
                </c:pt>
                <c:pt idx="173">
                  <c:v>-8.0810059130894119E-2</c:v>
                </c:pt>
                <c:pt idx="174">
                  <c:v>-8.0061849848873073E-2</c:v>
                </c:pt>
                <c:pt idx="175">
                  <c:v>-7.9871721532313061E-2</c:v>
                </c:pt>
                <c:pt idx="176">
                  <c:v>-7.9193322274945924E-2</c:v>
                </c:pt>
                <c:pt idx="177">
                  <c:v>-7.9137945651978903E-2</c:v>
                </c:pt>
                <c:pt idx="178">
                  <c:v>-7.8753986151099228E-2</c:v>
                </c:pt>
                <c:pt idx="179">
                  <c:v>-7.8805420210483826E-2</c:v>
                </c:pt>
                <c:pt idx="180">
                  <c:v>-7.8155239607308621E-2</c:v>
                </c:pt>
                <c:pt idx="181">
                  <c:v>-7.7947149096896956E-2</c:v>
                </c:pt>
                <c:pt idx="182">
                  <c:v>-7.7559391122475896E-2</c:v>
                </c:pt>
                <c:pt idx="183">
                  <c:v>-7.8803629421515906E-2</c:v>
                </c:pt>
                <c:pt idx="184">
                  <c:v>-7.8962839651453592E-2</c:v>
                </c:pt>
                <c:pt idx="185">
                  <c:v>-7.6872908249173907E-2</c:v>
                </c:pt>
                <c:pt idx="186">
                  <c:v>-7.6180118443849032E-2</c:v>
                </c:pt>
                <c:pt idx="187">
                  <c:v>-7.7200246013317098E-2</c:v>
                </c:pt>
                <c:pt idx="188">
                  <c:v>-7.4675558400755904E-2</c:v>
                </c:pt>
                <c:pt idx="189">
                  <c:v>-7.4981499741138824E-2</c:v>
                </c:pt>
                <c:pt idx="190">
                  <c:v>-7.4464102179226596E-2</c:v>
                </c:pt>
                <c:pt idx="191">
                  <c:v>-7.6848106532458799E-2</c:v>
                </c:pt>
                <c:pt idx="192">
                  <c:v>-7.6105832901587248E-2</c:v>
                </c:pt>
                <c:pt idx="193">
                  <c:v>-7.6894362915963077E-2</c:v>
                </c:pt>
                <c:pt idx="194">
                  <c:v>-7.7046935986508511E-2</c:v>
                </c:pt>
                <c:pt idx="195">
                  <c:v>-7.6888143209756399E-2</c:v>
                </c:pt>
                <c:pt idx="196">
                  <c:v>-7.6571376121140997E-2</c:v>
                </c:pt>
                <c:pt idx="197">
                  <c:v>-7.6287391063169785E-2</c:v>
                </c:pt>
                <c:pt idx="198">
                  <c:v>-7.7821995542010761E-2</c:v>
                </c:pt>
                <c:pt idx="199">
                  <c:v>-7.8577122185434056E-2</c:v>
                </c:pt>
                <c:pt idx="200">
                  <c:v>-7.8981632318532224E-2</c:v>
                </c:pt>
                <c:pt idx="201">
                  <c:v>-7.8323378888932205E-2</c:v>
                </c:pt>
                <c:pt idx="202">
                  <c:v>-7.8574339551520447E-2</c:v>
                </c:pt>
                <c:pt idx="203">
                  <c:v>-7.8728177872616337E-2</c:v>
                </c:pt>
                <c:pt idx="204">
                  <c:v>-7.8247328321315521E-2</c:v>
                </c:pt>
                <c:pt idx="205">
                  <c:v>-7.8164044254063619E-2</c:v>
                </c:pt>
                <c:pt idx="206">
                  <c:v>-7.8025415805670045E-2</c:v>
                </c:pt>
                <c:pt idx="207">
                  <c:v>-7.8090231244590289E-2</c:v>
                </c:pt>
                <c:pt idx="208">
                  <c:v>-7.786979241714348E-2</c:v>
                </c:pt>
                <c:pt idx="209">
                  <c:v>-7.8048176466450639E-2</c:v>
                </c:pt>
                <c:pt idx="210">
                  <c:v>-7.722412753631458E-2</c:v>
                </c:pt>
                <c:pt idx="211">
                  <c:v>-7.6050307648905746E-2</c:v>
                </c:pt>
                <c:pt idx="212">
                  <c:v>-7.6748197528905743E-2</c:v>
                </c:pt>
                <c:pt idx="213">
                  <c:v>-7.6508115383451203E-2</c:v>
                </c:pt>
                <c:pt idx="214">
                  <c:v>-7.6154177508504256E-2</c:v>
                </c:pt>
                <c:pt idx="215">
                  <c:v>-7.6331559370021507E-2</c:v>
                </c:pt>
                <c:pt idx="216">
                  <c:v>-7.6481894302467948E-2</c:v>
                </c:pt>
                <c:pt idx="217">
                  <c:v>-7.576684077546457E-2</c:v>
                </c:pt>
                <c:pt idx="218">
                  <c:v>-7.571017007324235E-2</c:v>
                </c:pt>
                <c:pt idx="219">
                  <c:v>-7.5788733556773749E-2</c:v>
                </c:pt>
                <c:pt idx="220">
                  <c:v>-7.5193514514370674E-2</c:v>
                </c:pt>
                <c:pt idx="221">
                  <c:v>-7.4307783872859787E-2</c:v>
                </c:pt>
                <c:pt idx="222">
                  <c:v>-7.4810785497026452E-2</c:v>
                </c:pt>
                <c:pt idx="223">
                  <c:v>-7.4113921516822598E-2</c:v>
                </c:pt>
                <c:pt idx="224">
                  <c:v>-7.3372819369363976E-2</c:v>
                </c:pt>
                <c:pt idx="225">
                  <c:v>-7.2650322539842146E-2</c:v>
                </c:pt>
                <c:pt idx="226">
                  <c:v>-7.1347295723963769E-2</c:v>
                </c:pt>
                <c:pt idx="227">
                  <c:v>-7.1034351464410686E-2</c:v>
                </c:pt>
                <c:pt idx="228">
                  <c:v>-6.9882401962817892E-2</c:v>
                </c:pt>
                <c:pt idx="229">
                  <c:v>-7.0540629079307748E-2</c:v>
                </c:pt>
                <c:pt idx="230">
                  <c:v>-7.0093895864783748E-2</c:v>
                </c:pt>
                <c:pt idx="231">
                  <c:v>-6.2678669247986415E-2</c:v>
                </c:pt>
                <c:pt idx="232">
                  <c:v>-6.3969047954701347E-2</c:v>
                </c:pt>
                <c:pt idx="233">
                  <c:v>-6.4211799360582703E-2</c:v>
                </c:pt>
                <c:pt idx="234">
                  <c:v>-6.4894587791350877E-2</c:v>
                </c:pt>
                <c:pt idx="235">
                  <c:v>-6.357842908718829E-2</c:v>
                </c:pt>
                <c:pt idx="236">
                  <c:v>-6.26969874894555E-2</c:v>
                </c:pt>
                <c:pt idx="237">
                  <c:v>-6.0145558377679521E-2</c:v>
                </c:pt>
                <c:pt idx="238">
                  <c:v>-5.9705638219553603E-2</c:v>
                </c:pt>
                <c:pt idx="239">
                  <c:v>-5.7956438337138302E-2</c:v>
                </c:pt>
                <c:pt idx="240">
                  <c:v>-5.7378042428383062E-2</c:v>
                </c:pt>
                <c:pt idx="241">
                  <c:v>-5.6692013256126966E-2</c:v>
                </c:pt>
                <c:pt idx="242">
                  <c:v>-5.7412307967129109E-2</c:v>
                </c:pt>
                <c:pt idx="243">
                  <c:v>-5.6656172093601832E-2</c:v>
                </c:pt>
                <c:pt idx="244">
                  <c:v>-5.6026550462912487E-2</c:v>
                </c:pt>
                <c:pt idx="245">
                  <c:v>-5.0012529023241235E-2</c:v>
                </c:pt>
                <c:pt idx="246">
                  <c:v>-5.5779611915927521E-2</c:v>
                </c:pt>
                <c:pt idx="247">
                  <c:v>-5.6725945959381054E-2</c:v>
                </c:pt>
                <c:pt idx="248">
                  <c:v>-5.6523455986270031E-2</c:v>
                </c:pt>
                <c:pt idx="249">
                  <c:v>-5.7227050384135003E-2</c:v>
                </c:pt>
                <c:pt idx="250">
                  <c:v>-5.7014374563375096E-2</c:v>
                </c:pt>
                <c:pt idx="251">
                  <c:v>-5.5860401044704286E-2</c:v>
                </c:pt>
                <c:pt idx="252">
                  <c:v>-5.6129004200136424E-2</c:v>
                </c:pt>
                <c:pt idx="253">
                  <c:v>-5.6830581663179898E-2</c:v>
                </c:pt>
                <c:pt idx="254">
                  <c:v>-5.5615990080451934E-2</c:v>
                </c:pt>
                <c:pt idx="255">
                  <c:v>-5.4496618265184565E-2</c:v>
                </c:pt>
                <c:pt idx="256">
                  <c:v>-5.4938841430730335E-2</c:v>
                </c:pt>
                <c:pt idx="257">
                  <c:v>-4.9269597093607523E-2</c:v>
                </c:pt>
                <c:pt idx="258">
                  <c:v>-4.3886517327716042E-2</c:v>
                </c:pt>
                <c:pt idx="259">
                  <c:v>-4.4452859290252701E-2</c:v>
                </c:pt>
                <c:pt idx="260">
                  <c:v>-4.2981061953054706E-2</c:v>
                </c:pt>
                <c:pt idx="261">
                  <c:v>-3.8195509210760675E-2</c:v>
                </c:pt>
                <c:pt idx="262">
                  <c:v>-3.6762650281569352E-2</c:v>
                </c:pt>
                <c:pt idx="263">
                  <c:v>-3.6580784539055194E-2</c:v>
                </c:pt>
                <c:pt idx="264">
                  <c:v>-3.6519493334719932E-2</c:v>
                </c:pt>
                <c:pt idx="265">
                  <c:v>-3.4558892498839935E-2</c:v>
                </c:pt>
                <c:pt idx="266">
                  <c:v>-3.4469808826281631E-2</c:v>
                </c:pt>
                <c:pt idx="267">
                  <c:v>-3.3983490091192906E-2</c:v>
                </c:pt>
                <c:pt idx="268">
                  <c:v>-3.4268055103339946E-2</c:v>
                </c:pt>
                <c:pt idx="269">
                  <c:v>-3.3053607688925186E-2</c:v>
                </c:pt>
                <c:pt idx="270">
                  <c:v>-3.2080742236270783E-2</c:v>
                </c:pt>
                <c:pt idx="271">
                  <c:v>-3.2697483495505102E-2</c:v>
                </c:pt>
                <c:pt idx="272">
                  <c:v>-3.3287581175001378E-2</c:v>
                </c:pt>
                <c:pt idx="273">
                  <c:v>-3.2906943168973725E-2</c:v>
                </c:pt>
                <c:pt idx="274">
                  <c:v>-3.0400048692972546E-2</c:v>
                </c:pt>
                <c:pt idx="275">
                  <c:v>-3.165474543876421E-2</c:v>
                </c:pt>
                <c:pt idx="276">
                  <c:v>-3.1319394205722731E-2</c:v>
                </c:pt>
                <c:pt idx="277">
                  <c:v>-3.0753011628407649E-2</c:v>
                </c:pt>
                <c:pt idx="278">
                  <c:v>-2.7244175432093641E-2</c:v>
                </c:pt>
                <c:pt idx="279">
                  <c:v>-2.7590839870145708E-2</c:v>
                </c:pt>
                <c:pt idx="280">
                  <c:v>-2.8180343352835858E-2</c:v>
                </c:pt>
                <c:pt idx="281">
                  <c:v>-1.9468040835743893E-2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E6-4361-AE4C-DBEA0D64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011119"/>
        <c:axId val="789011951"/>
      </c:lineChart>
      <c:dateAx>
        <c:axId val="7890111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011951"/>
        <c:crosses val="autoZero"/>
        <c:auto val="1"/>
        <c:lblOffset val="100"/>
        <c:baseTimeUnit val="days"/>
      </c:dateAx>
      <c:valAx>
        <c:axId val="78901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01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4177FA-64CF-4FE4-8652-58C2642E7814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FB3AD7-3894-4891-9BD3-12D68FF19F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73.8</v>
      </c>
      <c r="D2" s="4">
        <f>MIN(D3:D1912)</f>
        <v>5.0999999999999996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5.62</v>
      </c>
      <c r="C5">
        <v>5.64</v>
      </c>
      <c r="D5">
        <v>5.48</v>
      </c>
      <c r="E5">
        <v>5.49</v>
      </c>
      <c r="F5">
        <v>2140.56</v>
      </c>
      <c r="G5">
        <v>5.49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-0.87500000000000211</v>
      </c>
      <c r="Q5">
        <f t="shared" ref="Q5" si="1">F5*P5</f>
        <v>-1872.9900000000046</v>
      </c>
      <c r="R5">
        <f t="shared" ref="R5" si="2">R6+Q5</f>
        <v>-16757687.057840381</v>
      </c>
      <c r="S5">
        <f t="shared" ref="S5" si="3">R5/100000</f>
        <v>-167.5768705784038</v>
      </c>
      <c r="T5">
        <f t="shared" ref="T5" si="4">S5/1000</f>
        <v>-0.16757687057840379</v>
      </c>
    </row>
    <row r="6" spans="1:20" x14ac:dyDescent="0.25">
      <c r="A6" s="5">
        <v>44587</v>
      </c>
      <c r="B6">
        <v>5.57</v>
      </c>
      <c r="C6">
        <v>5.93</v>
      </c>
      <c r="D6">
        <v>5.52</v>
      </c>
      <c r="E6">
        <v>5.62</v>
      </c>
      <c r="F6">
        <v>51403.88</v>
      </c>
      <c r="G6">
        <v>5.62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-0.51219512195121708</v>
      </c>
      <c r="Q6">
        <f t="shared" ref="Q6" si="6">F6*P6</f>
        <v>-26328.816585365726</v>
      </c>
      <c r="R6">
        <f t="shared" ref="R6" si="7">R7+Q6</f>
        <v>-16755814.067840381</v>
      </c>
      <c r="S6">
        <f t="shared" ref="S6" si="8">R6/100000</f>
        <v>-167.55814067840382</v>
      </c>
      <c r="T6">
        <f t="shared" ref="T6" si="9">S6/1000</f>
        <v>-0.16755814067840383</v>
      </c>
    </row>
    <row r="7" spans="1:20" x14ac:dyDescent="0.25">
      <c r="A7" s="5">
        <v>44586</v>
      </c>
      <c r="B7">
        <v>5.53</v>
      </c>
      <c r="C7">
        <v>5.66</v>
      </c>
      <c r="D7">
        <v>5.39</v>
      </c>
      <c r="E7">
        <v>5.59</v>
      </c>
      <c r="F7">
        <v>30838.46</v>
      </c>
      <c r="G7">
        <v>5.59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0.48148148148148029</v>
      </c>
      <c r="Q7">
        <f t="shared" ref="Q7" si="11">F7*P7</f>
        <v>14848.14740740737</v>
      </c>
      <c r="R7">
        <f t="shared" ref="R7" si="12">R8+Q7</f>
        <v>-16729485.251255015</v>
      </c>
      <c r="S7">
        <f t="shared" ref="S7" si="13">R7/100000</f>
        <v>-167.29485251255014</v>
      </c>
      <c r="T7">
        <f t="shared" ref="T7" si="14">S7/1000</f>
        <v>-0.16729485251255014</v>
      </c>
    </row>
    <row r="8" spans="1:20" x14ac:dyDescent="0.25">
      <c r="A8" s="5">
        <v>44585</v>
      </c>
      <c r="B8">
        <v>5.92</v>
      </c>
      <c r="C8">
        <v>5.92</v>
      </c>
      <c r="D8">
        <v>5.0999999999999996</v>
      </c>
      <c r="E8">
        <v>5.5</v>
      </c>
      <c r="F8">
        <v>81615.72</v>
      </c>
      <c r="G8">
        <v>5.5</v>
      </c>
      <c r="L8" t="s">
        <v>7</v>
      </c>
      <c r="M8" t="s">
        <v>7</v>
      </c>
      <c r="N8" t="s">
        <v>7</v>
      </c>
      <c r="P8">
        <f t="shared" ref="P8" si="15">IF(C8=D8,0,((E8-D8)-(C8-E8))/(C8-D8))</f>
        <v>-2.4390243902438494E-2</v>
      </c>
      <c r="Q8">
        <f t="shared" ref="Q8" si="16">F8*P8</f>
        <v>-1990.6273170731274</v>
      </c>
      <c r="R8">
        <f t="shared" ref="R8" si="17">R9+Q8</f>
        <v>-16744333.398662422</v>
      </c>
      <c r="S8">
        <f t="shared" ref="S8" si="18">R8/100000</f>
        <v>-167.44333398662422</v>
      </c>
      <c r="T8">
        <f t="shared" ref="T8" si="19">S8/1000</f>
        <v>-0.16744333398662423</v>
      </c>
    </row>
    <row r="9" spans="1:20" x14ac:dyDescent="0.25">
      <c r="A9" s="5">
        <v>44584</v>
      </c>
      <c r="B9">
        <v>5.64</v>
      </c>
      <c r="C9">
        <v>6.08</v>
      </c>
      <c r="D9">
        <v>5.57</v>
      </c>
      <c r="E9">
        <v>5.92</v>
      </c>
      <c r="F9">
        <v>52440.62</v>
      </c>
      <c r="G9">
        <v>5.92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0.37254901960784231</v>
      </c>
      <c r="Q9">
        <f t="shared" ref="Q9" si="21">F9*P9</f>
        <v>19536.70156862741</v>
      </c>
      <c r="R9">
        <f t="shared" ref="R9" si="22">R10+Q9</f>
        <v>-16742342.771345349</v>
      </c>
      <c r="S9">
        <f t="shared" ref="S9" si="23">R9/100000</f>
        <v>-167.42342771345349</v>
      </c>
      <c r="T9">
        <f t="shared" ref="T9" si="24">S9/1000</f>
        <v>-0.1674234277134535</v>
      </c>
    </row>
    <row r="10" spans="1:20" x14ac:dyDescent="0.25">
      <c r="A10" s="5">
        <v>44583</v>
      </c>
      <c r="B10">
        <v>6.3</v>
      </c>
      <c r="C10">
        <v>6.42</v>
      </c>
      <c r="D10">
        <v>5.46</v>
      </c>
      <c r="E10">
        <v>5.63</v>
      </c>
      <c r="F10">
        <v>92847.523000000001</v>
      </c>
      <c r="G10">
        <v>5.63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-0.64583333333333348</v>
      </c>
      <c r="Q10">
        <f t="shared" ref="Q10" si="26">F10*P10</f>
        <v>-59964.02527083335</v>
      </c>
      <c r="R10">
        <f t="shared" ref="R10" si="27">R11+Q10</f>
        <v>-16761879.472913977</v>
      </c>
      <c r="S10">
        <f t="shared" ref="S10" si="28">R10/100000</f>
        <v>-167.61879472913978</v>
      </c>
      <c r="T10">
        <f t="shared" ref="T10" si="29">S10/1000</f>
        <v>-0.16761879472913979</v>
      </c>
    </row>
    <row r="11" spans="1:20" x14ac:dyDescent="0.25">
      <c r="A11" s="5">
        <v>44582</v>
      </c>
      <c r="B11">
        <v>7.41</v>
      </c>
      <c r="C11">
        <v>7.43</v>
      </c>
      <c r="D11">
        <v>6.15</v>
      </c>
      <c r="E11">
        <v>6.31</v>
      </c>
      <c r="F11">
        <v>85601.77</v>
      </c>
      <c r="G11">
        <v>6.31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-0.750000000000001</v>
      </c>
      <c r="Q11">
        <f t="shared" ref="Q11" si="31">F11*P11</f>
        <v>-64201.327500000087</v>
      </c>
      <c r="R11">
        <f t="shared" ref="R11" si="32">R12+Q11</f>
        <v>-16701915.447643144</v>
      </c>
      <c r="S11">
        <f t="shared" ref="S11" si="33">R11/100000</f>
        <v>-167.01915447643145</v>
      </c>
      <c r="T11">
        <f t="shared" ref="T11" si="34">S11/1000</f>
        <v>-0.16701915447643145</v>
      </c>
    </row>
    <row r="12" spans="1:20" x14ac:dyDescent="0.25">
      <c r="A12" s="5">
        <v>44581</v>
      </c>
      <c r="B12">
        <v>7.67</v>
      </c>
      <c r="C12">
        <v>7.82</v>
      </c>
      <c r="D12">
        <v>7.36</v>
      </c>
      <c r="E12">
        <v>7.38</v>
      </c>
      <c r="F12">
        <v>40202.36</v>
      </c>
      <c r="G12">
        <v>7.38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-0.9130434782608714</v>
      </c>
      <c r="Q12">
        <f t="shared" ref="Q12" si="36">F12*P12</f>
        <v>-36706.50260869573</v>
      </c>
      <c r="R12">
        <f t="shared" ref="R12" si="37">R13+Q12</f>
        <v>-16637714.120143143</v>
      </c>
      <c r="S12">
        <f t="shared" ref="S12" si="38">R12/100000</f>
        <v>-166.37714120143144</v>
      </c>
      <c r="T12">
        <f t="shared" ref="T12" si="39">S12/1000</f>
        <v>-0.16637714120143143</v>
      </c>
    </row>
    <row r="13" spans="1:20" x14ac:dyDescent="0.25">
      <c r="A13" s="5">
        <v>44580</v>
      </c>
      <c r="B13">
        <v>7.8</v>
      </c>
      <c r="C13">
        <v>8.0500000000000007</v>
      </c>
      <c r="D13">
        <v>7.38</v>
      </c>
      <c r="E13">
        <v>7.67</v>
      </c>
      <c r="F13">
        <v>84372.12</v>
      </c>
      <c r="G13">
        <v>7.67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-0.13432835820895617</v>
      </c>
      <c r="Q13">
        <f t="shared" ref="Q13" si="41">F13*P13</f>
        <v>-11333.568358209033</v>
      </c>
      <c r="R13">
        <f t="shared" ref="R13" si="42">R14+Q13</f>
        <v>-16601007.617534447</v>
      </c>
      <c r="S13">
        <f t="shared" ref="S13" si="43">R13/100000</f>
        <v>-166.01007617534447</v>
      </c>
      <c r="T13">
        <f t="shared" ref="T13" si="44">S13/1000</f>
        <v>-0.16601007617534447</v>
      </c>
    </row>
    <row r="14" spans="1:20" x14ac:dyDescent="0.25">
      <c r="A14" s="5">
        <v>44579</v>
      </c>
      <c r="B14">
        <v>7.77</v>
      </c>
      <c r="C14">
        <v>7.9</v>
      </c>
      <c r="D14">
        <v>7.5</v>
      </c>
      <c r="E14">
        <v>7.79</v>
      </c>
      <c r="F14">
        <v>82579.83</v>
      </c>
      <c r="G14">
        <v>7.79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0.4499999999999989</v>
      </c>
      <c r="Q14">
        <f t="shared" ref="Q14" si="46">F14*P14</f>
        <v>37160.92349999991</v>
      </c>
      <c r="R14">
        <f t="shared" ref="R14" si="47">R15+Q14</f>
        <v>-16589674.049176238</v>
      </c>
      <c r="S14">
        <f t="shared" ref="S14" si="48">R14/100000</f>
        <v>-165.89674049176239</v>
      </c>
      <c r="T14">
        <f t="shared" ref="T14" si="49">S14/1000</f>
        <v>-0.1658967404917624</v>
      </c>
    </row>
    <row r="15" spans="1:20" x14ac:dyDescent="0.25">
      <c r="A15" s="5">
        <v>44578</v>
      </c>
      <c r="B15">
        <v>7.97</v>
      </c>
      <c r="C15">
        <v>8.16</v>
      </c>
      <c r="D15">
        <v>7.69</v>
      </c>
      <c r="E15">
        <v>7.77</v>
      </c>
      <c r="F15">
        <v>174908.95</v>
      </c>
      <c r="G15">
        <v>7.77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-0.65957446808510967</v>
      </c>
      <c r="Q15">
        <f t="shared" ref="Q15" si="51">F15*P15</f>
        <v>-115365.47765957504</v>
      </c>
      <c r="R15">
        <f t="shared" ref="R15" si="52">R16+Q15</f>
        <v>-16626834.972676238</v>
      </c>
      <c r="S15">
        <f t="shared" ref="S15" si="53">R15/100000</f>
        <v>-166.26834972676238</v>
      </c>
      <c r="T15">
        <f t="shared" ref="T15" si="54">S15/1000</f>
        <v>-0.16626834972676238</v>
      </c>
    </row>
    <row r="16" spans="1:20" x14ac:dyDescent="0.25">
      <c r="A16" s="5">
        <v>44577</v>
      </c>
      <c r="B16">
        <v>8.02</v>
      </c>
      <c r="C16">
        <v>8.09</v>
      </c>
      <c r="D16">
        <v>7.88</v>
      </c>
      <c r="E16">
        <v>7.97</v>
      </c>
      <c r="F16">
        <v>31105.87</v>
      </c>
      <c r="G16">
        <v>7.97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-0.14285714285714407</v>
      </c>
      <c r="Q16">
        <f t="shared" ref="Q16" si="56">F16*P16</f>
        <v>-4443.6957142857518</v>
      </c>
      <c r="R16">
        <f t="shared" ref="R16" si="57">R17+Q16</f>
        <v>-16511469.495016662</v>
      </c>
      <c r="S16">
        <f t="shared" ref="S16" si="58">R16/100000</f>
        <v>-165.11469495016664</v>
      </c>
      <c r="T16">
        <f t="shared" ref="T16" si="59">S16/1000</f>
        <v>-0.16511469495016665</v>
      </c>
    </row>
    <row r="17" spans="1:20" x14ac:dyDescent="0.25">
      <c r="A17" s="5">
        <v>44576</v>
      </c>
      <c r="B17">
        <v>7.92</v>
      </c>
      <c r="C17">
        <v>8.09</v>
      </c>
      <c r="D17">
        <v>7.9</v>
      </c>
      <c r="E17">
        <v>8.02</v>
      </c>
      <c r="F17">
        <v>54100.639999999999</v>
      </c>
      <c r="G17">
        <v>8.02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0.26315789473683721</v>
      </c>
      <c r="Q17">
        <f t="shared" ref="Q17" si="61">F17*P17</f>
        <v>14237.010526315524</v>
      </c>
      <c r="R17">
        <f t="shared" ref="R17" si="62">R18+Q17</f>
        <v>-16507025.799302377</v>
      </c>
      <c r="S17">
        <f t="shared" ref="S17" si="63">R17/100000</f>
        <v>-165.07025799302377</v>
      </c>
      <c r="T17">
        <f t="shared" ref="T17" si="64">S17/1000</f>
        <v>-0.16507025799302377</v>
      </c>
    </row>
    <row r="18" spans="1:20" x14ac:dyDescent="0.25">
      <c r="A18" s="5">
        <v>44575</v>
      </c>
      <c r="B18">
        <v>7.9</v>
      </c>
      <c r="C18">
        <v>8.08</v>
      </c>
      <c r="D18">
        <v>7.77</v>
      </c>
      <c r="E18">
        <v>7.91</v>
      </c>
      <c r="F18">
        <v>46545.46</v>
      </c>
      <c r="G18">
        <v>7.91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-9.6774193548384874E-2</v>
      </c>
      <c r="Q18">
        <f t="shared" ref="Q18" si="66">F18*P18</f>
        <v>-4504.3993548386061</v>
      </c>
      <c r="R18">
        <f t="shared" ref="R18" si="67">R19+Q18</f>
        <v>-16521262.809828693</v>
      </c>
      <c r="S18">
        <f t="shared" ref="S18" si="68">R18/100000</f>
        <v>-165.21262809828693</v>
      </c>
      <c r="T18">
        <f t="shared" ref="T18" si="69">S18/1000</f>
        <v>-0.16521262809828693</v>
      </c>
    </row>
    <row r="19" spans="1:20" x14ac:dyDescent="0.25">
      <c r="A19" s="5">
        <v>44574</v>
      </c>
      <c r="B19">
        <v>8.18</v>
      </c>
      <c r="C19">
        <v>8.23</v>
      </c>
      <c r="D19">
        <v>7.85</v>
      </c>
      <c r="E19">
        <v>7.92</v>
      </c>
      <c r="F19">
        <v>88238.14</v>
      </c>
      <c r="G19">
        <v>7.92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-0.63157894736842035</v>
      </c>
      <c r="Q19">
        <f t="shared" ref="Q19" si="71">F19*P19</f>
        <v>-55729.351578947309</v>
      </c>
      <c r="R19">
        <f t="shared" ref="R19" si="72">R20+Q19</f>
        <v>-16516758.410473855</v>
      </c>
      <c r="S19">
        <f t="shared" ref="S19" si="73">R19/100000</f>
        <v>-165.16758410473855</v>
      </c>
      <c r="T19">
        <f t="shared" ref="T19" si="74">S19/1000</f>
        <v>-0.16516758410473856</v>
      </c>
    </row>
    <row r="20" spans="1:20" x14ac:dyDescent="0.25">
      <c r="A20" s="5">
        <v>44573</v>
      </c>
      <c r="B20">
        <v>8</v>
      </c>
      <c r="C20">
        <v>8.34</v>
      </c>
      <c r="D20">
        <v>7.99</v>
      </c>
      <c r="E20">
        <v>8.19</v>
      </c>
      <c r="F20">
        <v>59203.63</v>
      </c>
      <c r="G20">
        <v>8.19</v>
      </c>
      <c r="L20" t="s">
        <v>7</v>
      </c>
      <c r="M20" t="s">
        <v>8</v>
      </c>
      <c r="N20" t="s">
        <v>7</v>
      </c>
      <c r="P20">
        <f t="shared" ref="P20" si="75">IF(C20=D20,0,((E20-D20)-(C20-E20))/(C20-D20))</f>
        <v>0.14285714285713996</v>
      </c>
      <c r="Q20">
        <f t="shared" ref="Q20" si="76">F20*P20</f>
        <v>8457.6614285712567</v>
      </c>
      <c r="R20">
        <f t="shared" ref="R20" si="77">R21+Q20</f>
        <v>-16461029.058894908</v>
      </c>
      <c r="S20">
        <f t="shared" ref="S20" si="78">R20/100000</f>
        <v>-164.61029058894908</v>
      </c>
      <c r="T20">
        <f t="shared" ref="T20" si="79">S20/1000</f>
        <v>-0.16461029058894908</v>
      </c>
    </row>
    <row r="21" spans="1:20" x14ac:dyDescent="0.25">
      <c r="A21" s="5">
        <v>44572</v>
      </c>
      <c r="B21">
        <v>7.57</v>
      </c>
      <c r="C21">
        <v>8.8000000000000007</v>
      </c>
      <c r="D21">
        <v>7.5</v>
      </c>
      <c r="E21">
        <v>8</v>
      </c>
      <c r="F21">
        <v>200720.15</v>
      </c>
      <c r="G21">
        <v>8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-0.2307692307692312</v>
      </c>
      <c r="Q21">
        <f t="shared" ref="Q21" si="81">F21*P21</f>
        <v>-46320.034615384699</v>
      </c>
      <c r="R21">
        <f t="shared" ref="R21" si="82">R22+Q21</f>
        <v>-16469486.720323479</v>
      </c>
      <c r="S21">
        <f t="shared" ref="S21" si="83">R21/100000</f>
        <v>-164.69486720323479</v>
      </c>
      <c r="T21">
        <f t="shared" ref="T21" si="84">S21/1000</f>
        <v>-0.16469486720323478</v>
      </c>
    </row>
    <row r="22" spans="1:20" x14ac:dyDescent="0.25">
      <c r="A22" s="5">
        <v>44571</v>
      </c>
      <c r="B22">
        <v>7.84</v>
      </c>
      <c r="C22">
        <v>7.99</v>
      </c>
      <c r="D22">
        <v>7.3</v>
      </c>
      <c r="E22">
        <v>7.57</v>
      </c>
      <c r="F22">
        <v>84197.25</v>
      </c>
      <c r="G22">
        <v>7.57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-0.21739130434782519</v>
      </c>
      <c r="Q22">
        <f t="shared" ref="Q22" si="86">F22*P22</f>
        <v>-18303.749999999924</v>
      </c>
      <c r="R22">
        <f t="shared" ref="R22" si="87">R23+Q22</f>
        <v>-16423166.685708094</v>
      </c>
      <c r="S22">
        <f t="shared" ref="S22" si="88">R22/100000</f>
        <v>-164.23166685708094</v>
      </c>
      <c r="T22">
        <f t="shared" ref="T22" si="89">S22/1000</f>
        <v>-0.16423166685708093</v>
      </c>
    </row>
    <row r="23" spans="1:20" x14ac:dyDescent="0.25">
      <c r="A23" s="5">
        <v>44570</v>
      </c>
      <c r="B23">
        <v>7.84</v>
      </c>
      <c r="C23">
        <v>8</v>
      </c>
      <c r="D23">
        <v>7.76</v>
      </c>
      <c r="E23">
        <v>7.84</v>
      </c>
      <c r="F23">
        <v>40556.550000000003</v>
      </c>
      <c r="G23">
        <v>7.84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-0.33333333333333331</v>
      </c>
      <c r="Q23">
        <f t="shared" ref="Q23" si="91">F23*P23</f>
        <v>-13518.85</v>
      </c>
      <c r="R23">
        <f t="shared" ref="R23" si="92">R24+Q23</f>
        <v>-16404862.935708094</v>
      </c>
      <c r="S23">
        <f t="shared" ref="S23" si="93">R23/100000</f>
        <v>-164.04862935708096</v>
      </c>
      <c r="T23">
        <f t="shared" ref="T23" si="94">S23/1000</f>
        <v>-0.16404862935708095</v>
      </c>
    </row>
    <row r="24" spans="1:20" x14ac:dyDescent="0.25">
      <c r="A24" s="5">
        <v>44569</v>
      </c>
      <c r="B24">
        <v>8.1999999999999993</v>
      </c>
      <c r="C24">
        <v>8.36</v>
      </c>
      <c r="D24">
        <v>7.72</v>
      </c>
      <c r="E24">
        <v>7.85</v>
      </c>
      <c r="F24">
        <v>84292.55</v>
      </c>
      <c r="G24">
        <v>7.85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-0.59375000000000011</v>
      </c>
      <c r="Q24">
        <f t="shared" ref="Q24" si="96">F24*P24</f>
        <v>-50048.701562500013</v>
      </c>
      <c r="R24">
        <f t="shared" ref="R24" si="97">R25+Q24</f>
        <v>-16391344.085708095</v>
      </c>
      <c r="S24">
        <f t="shared" ref="S24" si="98">R24/100000</f>
        <v>-163.91344085708096</v>
      </c>
      <c r="T24">
        <f t="shared" ref="T24" si="99">S24/1000</f>
        <v>-0.16391344085708096</v>
      </c>
    </row>
    <row r="25" spans="1:20" x14ac:dyDescent="0.25">
      <c r="A25" s="5">
        <v>44568</v>
      </c>
      <c r="B25">
        <v>8.2100000000000009</v>
      </c>
      <c r="C25">
        <v>8.39</v>
      </c>
      <c r="D25">
        <v>7.84</v>
      </c>
      <c r="E25">
        <v>8.18</v>
      </c>
      <c r="F25">
        <v>95402.72</v>
      </c>
      <c r="G25">
        <v>8.18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0.23636363636363425</v>
      </c>
      <c r="Q25">
        <f t="shared" ref="Q25" si="101">F25*P25</f>
        <v>22549.733818181616</v>
      </c>
      <c r="R25">
        <f t="shared" ref="R25" si="102">R26+Q25</f>
        <v>-16341295.384145595</v>
      </c>
      <c r="S25">
        <f t="shared" ref="S25" si="103">R25/100000</f>
        <v>-163.41295384145596</v>
      </c>
      <c r="T25">
        <f t="shared" ref="T25" si="104">S25/1000</f>
        <v>-0.16341295384145596</v>
      </c>
    </row>
    <row r="26" spans="1:20" x14ac:dyDescent="0.25">
      <c r="A26" s="5">
        <v>44567</v>
      </c>
      <c r="B26">
        <v>8.19</v>
      </c>
      <c r="C26">
        <v>8.6199999999999992</v>
      </c>
      <c r="D26">
        <v>7.95</v>
      </c>
      <c r="E26">
        <v>8.2100000000000009</v>
      </c>
      <c r="F26">
        <v>99443.45</v>
      </c>
      <c r="G26">
        <v>8.2100000000000009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-0.22388059701492224</v>
      </c>
      <c r="Q26">
        <f t="shared" ref="Q26" si="106">F26*P26</f>
        <v>-22263.45895522357</v>
      </c>
      <c r="R26">
        <f t="shared" ref="R26" si="107">R27+Q26</f>
        <v>-16363845.117963776</v>
      </c>
      <c r="S26">
        <f t="shared" ref="S26" si="108">R26/100000</f>
        <v>-163.63845117963777</v>
      </c>
      <c r="T26">
        <f t="shared" ref="T26" si="109">S26/1000</f>
        <v>-0.16363845117963777</v>
      </c>
    </row>
    <row r="27" spans="1:20" x14ac:dyDescent="0.25">
      <c r="A27" s="5">
        <v>44566</v>
      </c>
      <c r="B27">
        <v>8.76</v>
      </c>
      <c r="C27">
        <v>9.07</v>
      </c>
      <c r="D27">
        <v>7.94</v>
      </c>
      <c r="E27">
        <v>8.19</v>
      </c>
      <c r="F27">
        <v>113727.24</v>
      </c>
      <c r="G27">
        <v>8.19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-0.55752212389380684</v>
      </c>
      <c r="Q27">
        <f t="shared" ref="Q27" si="111">F27*P27</f>
        <v>-63405.452389380705</v>
      </c>
      <c r="R27">
        <f t="shared" ref="R27" si="112">R28+Q27</f>
        <v>-16341581.659008553</v>
      </c>
      <c r="S27">
        <f t="shared" ref="S27" si="113">R27/100000</f>
        <v>-163.41581659008554</v>
      </c>
      <c r="T27">
        <f t="shared" ref="T27" si="114">S27/1000</f>
        <v>-0.16341581659008553</v>
      </c>
    </row>
    <row r="28" spans="1:20" x14ac:dyDescent="0.25">
      <c r="A28" s="5">
        <v>44565</v>
      </c>
      <c r="B28">
        <v>8.91</v>
      </c>
      <c r="C28">
        <v>8.99</v>
      </c>
      <c r="D28">
        <v>8.6300000000000008</v>
      </c>
      <c r="E28">
        <v>8.76</v>
      </c>
      <c r="F28">
        <v>52717.440000000002</v>
      </c>
      <c r="G28">
        <v>8.76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-0.27777777777778218</v>
      </c>
      <c r="Q28">
        <f t="shared" ref="Q28" si="116">F28*P28</f>
        <v>-14643.733333333566</v>
      </c>
      <c r="R28">
        <f t="shared" ref="R28" si="117">R29+Q28</f>
        <v>-16278176.206619173</v>
      </c>
      <c r="S28">
        <f t="shared" ref="S28" si="118">R28/100000</f>
        <v>-162.78176206619173</v>
      </c>
      <c r="T28">
        <f t="shared" ref="T28" si="119">S28/1000</f>
        <v>-0.16278176206619174</v>
      </c>
    </row>
    <row r="29" spans="1:20" x14ac:dyDescent="0.25">
      <c r="A29" s="5">
        <v>44564</v>
      </c>
      <c r="B29">
        <v>8.85</v>
      </c>
      <c r="C29">
        <v>9.1</v>
      </c>
      <c r="D29">
        <v>8.6199999999999992</v>
      </c>
      <c r="E29">
        <v>8.89</v>
      </c>
      <c r="F29">
        <v>73965.070000000007</v>
      </c>
      <c r="G29">
        <v>8.89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0.12500000000000464</v>
      </c>
      <c r="Q29">
        <f t="shared" ref="Q29" si="121">F29*P29</f>
        <v>9245.6337500003428</v>
      </c>
      <c r="R29">
        <f t="shared" ref="R29" si="122">R30+Q29</f>
        <v>-16263532.473285839</v>
      </c>
      <c r="S29">
        <f t="shared" ref="S29" si="123">R29/100000</f>
        <v>-162.63532473285838</v>
      </c>
      <c r="T29">
        <f t="shared" ref="T29" si="124">S29/1000</f>
        <v>-0.16263532473285838</v>
      </c>
    </row>
    <row r="30" spans="1:20" x14ac:dyDescent="0.25">
      <c r="A30" s="5">
        <v>44563</v>
      </c>
      <c r="B30">
        <v>8.94</v>
      </c>
      <c r="C30">
        <v>8.99</v>
      </c>
      <c r="D30">
        <v>8.7899999999999991</v>
      </c>
      <c r="E30">
        <v>8.85</v>
      </c>
      <c r="F30">
        <v>38249.51</v>
      </c>
      <c r="G30">
        <v>8.85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-0.39999999999999825</v>
      </c>
      <c r="Q30">
        <f t="shared" ref="Q30" si="126">F30*P30</f>
        <v>-15299.803999999935</v>
      </c>
      <c r="R30">
        <f t="shared" ref="R30" si="127">R31+Q30</f>
        <v>-16272778.10703584</v>
      </c>
      <c r="S30">
        <f t="shared" ref="S30" si="128">R30/100000</f>
        <v>-162.72778107035839</v>
      </c>
      <c r="T30">
        <f t="shared" ref="T30" si="129">S30/1000</f>
        <v>-0.1627277810703584</v>
      </c>
    </row>
    <row r="31" spans="1:20" x14ac:dyDescent="0.25">
      <c r="A31" s="5">
        <v>44562</v>
      </c>
      <c r="B31">
        <v>8.82</v>
      </c>
      <c r="C31">
        <v>9.0500000000000007</v>
      </c>
      <c r="D31">
        <v>8.82</v>
      </c>
      <c r="E31">
        <v>8.94</v>
      </c>
      <c r="F31">
        <v>34809.129999999997</v>
      </c>
      <c r="G31">
        <v>8.94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4.3478260869556487E-2</v>
      </c>
      <c r="Q31">
        <f t="shared" ref="Q31" si="131">F31*P31</f>
        <v>1513.4404347823047</v>
      </c>
      <c r="R31">
        <f t="shared" ref="R31" si="132">R32+Q31</f>
        <v>-16257478.30303584</v>
      </c>
      <c r="S31">
        <f t="shared" ref="S31" si="133">R31/100000</f>
        <v>-162.57478303035842</v>
      </c>
      <c r="T31">
        <f t="shared" ref="T31" si="134">S31/1000</f>
        <v>-0.16257478303035841</v>
      </c>
    </row>
    <row r="32" spans="1:20" x14ac:dyDescent="0.25">
      <c r="A32" s="5">
        <v>44561</v>
      </c>
      <c r="B32">
        <v>8.89</v>
      </c>
      <c r="C32">
        <v>9.15</v>
      </c>
      <c r="D32">
        <v>8.65</v>
      </c>
      <c r="E32">
        <v>8.8000000000000007</v>
      </c>
      <c r="F32">
        <v>52013.120000000003</v>
      </c>
      <c r="G32">
        <v>8.8000000000000007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-0.39999999999999858</v>
      </c>
      <c r="Q32">
        <f t="shared" ref="Q32" si="136">F32*P32</f>
        <v>-20805.247999999927</v>
      </c>
      <c r="R32">
        <f t="shared" ref="R32" si="137">R33+Q32</f>
        <v>-16258991.743470622</v>
      </c>
      <c r="S32">
        <f t="shared" ref="S32" si="138">R32/100000</f>
        <v>-162.58991743470622</v>
      </c>
      <c r="T32">
        <f t="shared" ref="T32" si="139">S32/1000</f>
        <v>-0.16258991743470622</v>
      </c>
    </row>
    <row r="33" spans="1:20" x14ac:dyDescent="0.25">
      <c r="A33" s="5">
        <v>44560</v>
      </c>
      <c r="B33">
        <v>9.0399999999999991</v>
      </c>
      <c r="C33">
        <v>9.3000000000000007</v>
      </c>
      <c r="D33">
        <v>8.84</v>
      </c>
      <c r="E33">
        <v>8.8699999999999992</v>
      </c>
      <c r="F33">
        <v>83445.69</v>
      </c>
      <c r="G33">
        <v>8.8699999999999992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-0.86956521739130732</v>
      </c>
      <c r="Q33">
        <f t="shared" ref="Q33" si="141">F33*P33</f>
        <v>-72561.469565217645</v>
      </c>
      <c r="R33">
        <f t="shared" ref="R33" si="142">R34+Q33</f>
        <v>-16238186.495470623</v>
      </c>
      <c r="S33">
        <f t="shared" ref="S33" si="143">R33/100000</f>
        <v>-162.38186495470623</v>
      </c>
      <c r="T33">
        <f t="shared" ref="T33" si="144">S33/1000</f>
        <v>-0.16238186495470622</v>
      </c>
    </row>
    <row r="34" spans="1:20" x14ac:dyDescent="0.25">
      <c r="A34" s="5">
        <v>44559</v>
      </c>
      <c r="B34">
        <v>9.75</v>
      </c>
      <c r="C34">
        <v>9.99</v>
      </c>
      <c r="D34">
        <v>8.9499999999999993</v>
      </c>
      <c r="E34">
        <v>9.02</v>
      </c>
      <c r="F34">
        <v>104404.28</v>
      </c>
      <c r="G34">
        <v>9.02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-0.86538461538461497</v>
      </c>
      <c r="Q34">
        <f t="shared" ref="Q34" si="146">F34*P34</f>
        <v>-90349.857692307647</v>
      </c>
      <c r="R34">
        <f t="shared" ref="R34" si="147">R35+Q34</f>
        <v>-16165625.025905404</v>
      </c>
      <c r="S34">
        <f t="shared" ref="S34" si="148">R34/100000</f>
        <v>-161.65625025905405</v>
      </c>
      <c r="T34">
        <f t="shared" ref="T34" si="149">S34/1000</f>
        <v>-0.16165625025905406</v>
      </c>
    </row>
    <row r="35" spans="1:20" x14ac:dyDescent="0.25">
      <c r="A35" s="5">
        <v>44558</v>
      </c>
      <c r="B35">
        <v>9.4499999999999993</v>
      </c>
      <c r="C35">
        <v>10.76</v>
      </c>
      <c r="D35">
        <v>9.02</v>
      </c>
      <c r="E35">
        <v>9.6999999999999993</v>
      </c>
      <c r="F35">
        <v>324482.98</v>
      </c>
      <c r="G35">
        <v>9.6999999999999993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-0.21839080459770158</v>
      </c>
      <c r="Q35">
        <f t="shared" ref="Q35" si="151">F35*P35</f>
        <v>-70864.099080459899</v>
      </c>
      <c r="R35">
        <f t="shared" ref="R35" si="152">R36+Q35</f>
        <v>-16075275.168213097</v>
      </c>
      <c r="S35">
        <f t="shared" ref="S35" si="153">R35/100000</f>
        <v>-160.75275168213096</v>
      </c>
      <c r="T35">
        <f t="shared" ref="T35" si="154">S35/1000</f>
        <v>-0.16075275168213096</v>
      </c>
    </row>
    <row r="36" spans="1:20" x14ac:dyDescent="0.25">
      <c r="A36" s="5">
        <v>44557</v>
      </c>
      <c r="B36">
        <v>9.6300000000000008</v>
      </c>
      <c r="C36">
        <v>10.59</v>
      </c>
      <c r="D36">
        <v>9.4499999999999993</v>
      </c>
      <c r="E36">
        <v>9.4499999999999993</v>
      </c>
      <c r="F36">
        <v>126964.5</v>
      </c>
      <c r="G36">
        <v>9.4499999999999993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-1</v>
      </c>
      <c r="Q36">
        <f t="shared" ref="Q36" si="156">F36*P36</f>
        <v>-126964.5</v>
      </c>
      <c r="R36">
        <f t="shared" ref="R36" si="157">R37+Q36</f>
        <v>-16004411.069132637</v>
      </c>
      <c r="S36">
        <f t="shared" ref="S36" si="158">R36/100000</f>
        <v>-160.04411069132638</v>
      </c>
      <c r="T36">
        <f t="shared" ref="T36" si="159">S36/1000</f>
        <v>-0.16004411069132637</v>
      </c>
    </row>
    <row r="37" spans="1:20" x14ac:dyDescent="0.25">
      <c r="A37" s="5">
        <v>44556</v>
      </c>
      <c r="B37">
        <v>9.9700000000000006</v>
      </c>
      <c r="C37">
        <v>9.9700000000000006</v>
      </c>
      <c r="D37">
        <v>9.4</v>
      </c>
      <c r="E37">
        <v>9.64</v>
      </c>
      <c r="F37">
        <v>82521.820000000007</v>
      </c>
      <c r="G37">
        <v>9.64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-0.15789473684210492</v>
      </c>
      <c r="Q37">
        <f t="shared" ref="Q37" si="161">F37*P37</f>
        <v>-13029.761052631551</v>
      </c>
      <c r="R37">
        <f t="shared" ref="R37" si="162">R38+Q37</f>
        <v>-15877446.569132637</v>
      </c>
      <c r="S37">
        <f t="shared" ref="S37" si="163">R37/100000</f>
        <v>-158.77446569132638</v>
      </c>
      <c r="T37">
        <f t="shared" ref="T37" si="164">S37/1000</f>
        <v>-0.15877446569132639</v>
      </c>
    </row>
    <row r="38" spans="1:20" x14ac:dyDescent="0.25">
      <c r="A38" s="5">
        <v>44555</v>
      </c>
      <c r="B38">
        <v>9.0399999999999991</v>
      </c>
      <c r="C38">
        <v>11.01</v>
      </c>
      <c r="D38">
        <v>9.02</v>
      </c>
      <c r="E38">
        <v>9.9499999999999993</v>
      </c>
      <c r="F38">
        <v>432278.42</v>
      </c>
      <c r="G38">
        <v>9.9499999999999993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-6.5326633165829526E-2</v>
      </c>
      <c r="Q38">
        <f t="shared" ref="Q38" si="166">F38*P38</f>
        <v>-28239.293768844385</v>
      </c>
      <c r="R38">
        <f t="shared" ref="R38" si="167">R39+Q38</f>
        <v>-15864416.808080006</v>
      </c>
      <c r="S38">
        <f t="shared" ref="S38" si="168">R38/100000</f>
        <v>-158.64416808080006</v>
      </c>
      <c r="T38">
        <f t="shared" ref="T38" si="169">S38/1000</f>
        <v>-0.15864416808080006</v>
      </c>
    </row>
    <row r="39" spans="1:20" x14ac:dyDescent="0.25">
      <c r="A39" s="5">
        <v>44554</v>
      </c>
      <c r="B39">
        <v>9.2799999999999994</v>
      </c>
      <c r="C39">
        <v>9.3800000000000008</v>
      </c>
      <c r="D39">
        <v>8.9600000000000009</v>
      </c>
      <c r="E39">
        <v>9.0500000000000007</v>
      </c>
      <c r="F39">
        <v>51642.94</v>
      </c>
      <c r="G39">
        <v>9.0500000000000007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-0.57142857142857206</v>
      </c>
      <c r="Q39">
        <f t="shared" ref="Q39" si="171">F39*P39</f>
        <v>-29510.251428571464</v>
      </c>
      <c r="R39">
        <f t="shared" ref="R39" si="172">R40+Q39</f>
        <v>-15836177.514311163</v>
      </c>
      <c r="S39">
        <f t="shared" ref="S39" si="173">R39/100000</f>
        <v>-158.36177514311163</v>
      </c>
      <c r="T39">
        <f t="shared" ref="T39" si="174">S39/1000</f>
        <v>-0.15836177514311162</v>
      </c>
    </row>
    <row r="40" spans="1:20" x14ac:dyDescent="0.25">
      <c r="A40" s="5">
        <v>44553</v>
      </c>
      <c r="B40">
        <v>8.7899999999999991</v>
      </c>
      <c r="C40">
        <v>9.6199999999999992</v>
      </c>
      <c r="D40">
        <v>8.5500000000000007</v>
      </c>
      <c r="E40">
        <v>9.2799999999999994</v>
      </c>
      <c r="F40">
        <v>120180.86</v>
      </c>
      <c r="G40">
        <v>9.2799999999999994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0.36448598130841059</v>
      </c>
      <c r="Q40">
        <f t="shared" ref="Q40" si="176">F40*P40</f>
        <v>43804.238691588711</v>
      </c>
      <c r="R40">
        <f t="shared" ref="R40" si="177">R41+Q40</f>
        <v>-15806667.262882592</v>
      </c>
      <c r="S40">
        <f t="shared" ref="S40" si="178">R40/100000</f>
        <v>-158.06667262882593</v>
      </c>
      <c r="T40">
        <f t="shared" ref="T40" si="179">S40/1000</f>
        <v>-0.15806667262882593</v>
      </c>
    </row>
    <row r="41" spans="1:20" x14ac:dyDescent="0.25">
      <c r="A41" s="5">
        <v>44552</v>
      </c>
      <c r="B41">
        <v>8.4700000000000006</v>
      </c>
      <c r="C41">
        <v>8.9700000000000006</v>
      </c>
      <c r="D41">
        <v>8.4600000000000009</v>
      </c>
      <c r="E41">
        <v>8.7899999999999991</v>
      </c>
      <c r="F41">
        <v>72818.039999999994</v>
      </c>
      <c r="G41">
        <v>8.7899999999999991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0.29411764705881738</v>
      </c>
      <c r="Q41">
        <f t="shared" ref="Q41" si="181">F41*P41</f>
        <v>21417.070588234845</v>
      </c>
      <c r="R41">
        <f t="shared" ref="R41" si="182">R42+Q41</f>
        <v>-15850471.501574181</v>
      </c>
      <c r="S41">
        <f t="shared" ref="S41" si="183">R41/100000</f>
        <v>-158.50471501574182</v>
      </c>
      <c r="T41">
        <f t="shared" ref="T41" si="184">S41/1000</f>
        <v>-0.15850471501574181</v>
      </c>
    </row>
    <row r="42" spans="1:20" x14ac:dyDescent="0.25">
      <c r="A42" s="5">
        <v>44551</v>
      </c>
      <c r="B42">
        <v>8.4600000000000009</v>
      </c>
      <c r="C42">
        <v>9.1999999999999993</v>
      </c>
      <c r="D42">
        <v>8.35</v>
      </c>
      <c r="E42">
        <v>8.4700000000000006</v>
      </c>
      <c r="F42">
        <v>195628.57</v>
      </c>
      <c r="G42">
        <v>8.4700000000000006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-0.71764705882352697</v>
      </c>
      <c r="Q42">
        <f t="shared" ref="Q42" si="186">F42*P42</f>
        <v>-140392.26788235246</v>
      </c>
      <c r="R42">
        <f t="shared" ref="R42" si="187">R43+Q42</f>
        <v>-15871888.572162416</v>
      </c>
      <c r="S42">
        <f t="shared" ref="S42" si="188">R42/100000</f>
        <v>-158.71888572162416</v>
      </c>
      <c r="T42">
        <f t="shared" ref="T42" si="189">S42/1000</f>
        <v>-0.15871888572162415</v>
      </c>
    </row>
    <row r="43" spans="1:20" x14ac:dyDescent="0.25">
      <c r="A43" s="5">
        <v>44550</v>
      </c>
      <c r="B43">
        <v>7.96</v>
      </c>
      <c r="C43">
        <v>8.9499999999999993</v>
      </c>
      <c r="D43">
        <v>7.46</v>
      </c>
      <c r="E43">
        <v>8.4600000000000009</v>
      </c>
      <c r="F43">
        <v>229042.68</v>
      </c>
      <c r="G43">
        <v>8.4600000000000009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0.34228187919463265</v>
      </c>
      <c r="Q43">
        <f t="shared" ref="Q43" si="191">F43*P43</f>
        <v>78397.158926174903</v>
      </c>
      <c r="R43">
        <f t="shared" ref="R43" si="192">R44+Q43</f>
        <v>-15731496.304280063</v>
      </c>
      <c r="S43">
        <f t="shared" ref="S43" si="193">R43/100000</f>
        <v>-157.31496304280063</v>
      </c>
      <c r="T43">
        <f t="shared" ref="T43" si="194">S43/1000</f>
        <v>-0.15731496304280063</v>
      </c>
    </row>
    <row r="44" spans="1:20" x14ac:dyDescent="0.25">
      <c r="A44" s="5">
        <v>44549</v>
      </c>
      <c r="B44">
        <v>8.11</v>
      </c>
      <c r="C44">
        <v>8.7100000000000009</v>
      </c>
      <c r="D44">
        <v>7.95</v>
      </c>
      <c r="E44">
        <v>7.96</v>
      </c>
      <c r="F44">
        <v>158935.45000000001</v>
      </c>
      <c r="G44">
        <v>7.96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-0.97368421052631637</v>
      </c>
      <c r="Q44">
        <f t="shared" ref="Q44" si="196">F44*P44</f>
        <v>-154752.93815789485</v>
      </c>
      <c r="R44">
        <f t="shared" ref="R44" si="197">R45+Q44</f>
        <v>-15809893.463206237</v>
      </c>
      <c r="S44">
        <f t="shared" ref="S44" si="198">R44/100000</f>
        <v>-158.09893463206237</v>
      </c>
      <c r="T44">
        <f t="shared" ref="T44" si="199">S44/1000</f>
        <v>-0.15809893463206237</v>
      </c>
    </row>
    <row r="45" spans="1:20" x14ac:dyDescent="0.25">
      <c r="A45" s="5">
        <v>44548</v>
      </c>
      <c r="B45">
        <v>8.0399999999999991</v>
      </c>
      <c r="C45">
        <v>8.1999999999999993</v>
      </c>
      <c r="D45">
        <v>7.91</v>
      </c>
      <c r="E45">
        <v>8.11</v>
      </c>
      <c r="F45">
        <v>38562.1</v>
      </c>
      <c r="G45">
        <v>8.11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0.37931034482758536</v>
      </c>
      <c r="Q45">
        <f t="shared" ref="Q45" si="201">F45*P45</f>
        <v>14627.003448275829</v>
      </c>
      <c r="R45">
        <f t="shared" ref="R45" si="202">R46+Q45</f>
        <v>-15655140.525048342</v>
      </c>
      <c r="S45">
        <f t="shared" ref="S45" si="203">R45/100000</f>
        <v>-156.55140525048341</v>
      </c>
      <c r="T45">
        <f t="shared" ref="T45" si="204">S45/1000</f>
        <v>-0.15655140525048342</v>
      </c>
    </row>
    <row r="46" spans="1:20" x14ac:dyDescent="0.25">
      <c r="A46" s="5">
        <v>44547</v>
      </c>
      <c r="B46">
        <v>8.43</v>
      </c>
      <c r="C46">
        <v>8.6</v>
      </c>
      <c r="D46">
        <v>7.76</v>
      </c>
      <c r="E46">
        <v>8.02</v>
      </c>
      <c r="F46">
        <v>80801.56</v>
      </c>
      <c r="G46">
        <v>8.02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-0.38095238095238138</v>
      </c>
      <c r="Q46">
        <f t="shared" ref="Q46" si="206">F46*P46</f>
        <v>-30781.546666666702</v>
      </c>
      <c r="R46">
        <f t="shared" ref="R46" si="207">R47+Q46</f>
        <v>-15669767.528496617</v>
      </c>
      <c r="S46">
        <f t="shared" ref="S46" si="208">R46/100000</f>
        <v>-156.69767528496618</v>
      </c>
      <c r="T46">
        <f t="shared" ref="T46" si="209">S46/1000</f>
        <v>-0.15669767528496617</v>
      </c>
    </row>
    <row r="47" spans="1:20" x14ac:dyDescent="0.25">
      <c r="A47" s="5">
        <v>44546</v>
      </c>
      <c r="B47">
        <v>8.75</v>
      </c>
      <c r="C47">
        <v>8.93</v>
      </c>
      <c r="D47">
        <v>8.39</v>
      </c>
      <c r="E47">
        <v>8.42</v>
      </c>
      <c r="F47">
        <v>67250.350000000006</v>
      </c>
      <c r="G47">
        <v>8.42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-0.88888888888889106</v>
      </c>
      <c r="Q47">
        <f t="shared" ref="Q47" si="211">F47*P47</f>
        <v>-59778.08888888904</v>
      </c>
      <c r="R47">
        <f t="shared" ref="R47" si="212">R48+Q47</f>
        <v>-15638985.981829951</v>
      </c>
      <c r="S47">
        <f t="shared" ref="S47" si="213">R47/100000</f>
        <v>-156.3898598182995</v>
      </c>
      <c r="T47">
        <f t="shared" ref="T47" si="214">S47/1000</f>
        <v>-0.1563898598182995</v>
      </c>
    </row>
    <row r="48" spans="1:20" x14ac:dyDescent="0.25">
      <c r="A48" s="5">
        <v>44545</v>
      </c>
      <c r="B48">
        <v>8.74</v>
      </c>
      <c r="C48">
        <v>8.89</v>
      </c>
      <c r="D48">
        <v>8.27</v>
      </c>
      <c r="E48">
        <v>8.74</v>
      </c>
      <c r="F48">
        <v>78765.87</v>
      </c>
      <c r="G48">
        <v>8.74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0.51612903225806417</v>
      </c>
      <c r="Q48">
        <f t="shared" ref="Q48" si="216">F48*P48</f>
        <v>40653.352258064486</v>
      </c>
      <c r="R48">
        <f t="shared" ref="R48" si="217">R49+Q48</f>
        <v>-15579207.892941061</v>
      </c>
      <c r="S48">
        <f t="shared" ref="S48" si="218">R48/100000</f>
        <v>-155.79207892941062</v>
      </c>
      <c r="T48">
        <f t="shared" ref="T48" si="219">S48/1000</f>
        <v>-0.15579207892941063</v>
      </c>
    </row>
    <row r="49" spans="1:20" x14ac:dyDescent="0.25">
      <c r="A49" s="5">
        <v>44544</v>
      </c>
      <c r="B49">
        <v>8.6999999999999993</v>
      </c>
      <c r="C49">
        <v>8.9700000000000006</v>
      </c>
      <c r="D49">
        <v>8.51</v>
      </c>
      <c r="E49">
        <v>8.75</v>
      </c>
      <c r="F49">
        <v>59361.62</v>
      </c>
      <c r="G49">
        <v>8.75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4.347826086956421E-2</v>
      </c>
      <c r="Q49">
        <f t="shared" ref="Q49" si="221">F49*P49</f>
        <v>2580.9399999999405</v>
      </c>
      <c r="R49">
        <f t="shared" ref="R49" si="222">R50+Q49</f>
        <v>-15619861.245199125</v>
      </c>
      <c r="S49">
        <f t="shared" ref="S49" si="223">R49/100000</f>
        <v>-156.19861245199127</v>
      </c>
      <c r="T49">
        <f t="shared" ref="T49" si="224">S49/1000</f>
        <v>-0.15619861245199126</v>
      </c>
    </row>
    <row r="50" spans="1:20" x14ac:dyDescent="0.25">
      <c r="A50" s="5">
        <v>44543</v>
      </c>
      <c r="B50">
        <v>9.41</v>
      </c>
      <c r="C50">
        <v>9.6</v>
      </c>
      <c r="D50">
        <v>8.66</v>
      </c>
      <c r="E50">
        <v>8.73</v>
      </c>
      <c r="F50">
        <v>239615.85</v>
      </c>
      <c r="G50">
        <v>8.73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-0.85106382978723338</v>
      </c>
      <c r="Q50">
        <f t="shared" ref="Q50" si="226">F50*P50</f>
        <v>-203928.38297872324</v>
      </c>
      <c r="R50">
        <f t="shared" ref="R50" si="227">R51+Q50</f>
        <v>-15622442.185199125</v>
      </c>
      <c r="S50">
        <f t="shared" ref="S50" si="228">R50/100000</f>
        <v>-156.22442185199125</v>
      </c>
      <c r="T50">
        <f t="shared" ref="T50" si="229">S50/1000</f>
        <v>-0.15622442185199126</v>
      </c>
    </row>
    <row r="51" spans="1:20" x14ac:dyDescent="0.25">
      <c r="A51" s="5">
        <v>44542</v>
      </c>
      <c r="B51">
        <v>9.25</v>
      </c>
      <c r="C51">
        <v>9.61</v>
      </c>
      <c r="D51">
        <v>9.16</v>
      </c>
      <c r="E51">
        <v>9.41</v>
      </c>
      <c r="F51">
        <v>94266.13</v>
      </c>
      <c r="G51">
        <v>9.41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0.11111111111111287</v>
      </c>
      <c r="Q51">
        <f t="shared" ref="Q51" si="231">F51*P51</f>
        <v>10474.01444444461</v>
      </c>
      <c r="R51">
        <f t="shared" ref="R51" si="232">R52+Q51</f>
        <v>-15418513.802220402</v>
      </c>
      <c r="S51">
        <f t="shared" ref="S51" si="233">R51/100000</f>
        <v>-154.18513802220403</v>
      </c>
      <c r="T51">
        <f t="shared" ref="T51" si="234">S51/1000</f>
        <v>-0.15418513802220402</v>
      </c>
    </row>
    <row r="52" spans="1:20" x14ac:dyDescent="0.25">
      <c r="A52" s="5">
        <v>44541</v>
      </c>
      <c r="B52">
        <v>8.85</v>
      </c>
      <c r="C52">
        <v>9.0500000000000007</v>
      </c>
      <c r="D52">
        <v>8.77</v>
      </c>
      <c r="E52">
        <v>9</v>
      </c>
      <c r="F52">
        <v>2273.4299999999998</v>
      </c>
      <c r="G52">
        <v>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0.64285714285713924</v>
      </c>
      <c r="Q52">
        <f t="shared" ref="Q52" si="236">F52*P52</f>
        <v>1461.490714285706</v>
      </c>
      <c r="R52">
        <f t="shared" ref="R52" si="237">R53+Q52</f>
        <v>-15428987.816664847</v>
      </c>
      <c r="S52">
        <f t="shared" ref="S52" si="238">R52/100000</f>
        <v>-154.28987816664846</v>
      </c>
      <c r="T52">
        <f t="shared" ref="T52" si="239">S52/1000</f>
        <v>-0.15428987816664846</v>
      </c>
    </row>
    <row r="53" spans="1:20" x14ac:dyDescent="0.25">
      <c r="A53" s="5">
        <v>44540</v>
      </c>
      <c r="B53">
        <v>9.23</v>
      </c>
      <c r="C53">
        <v>9.43</v>
      </c>
      <c r="D53">
        <v>8.74</v>
      </c>
      <c r="E53">
        <v>8.85</v>
      </c>
      <c r="F53">
        <v>91045.33</v>
      </c>
      <c r="G53">
        <v>8.85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-0.68115942028985654</v>
      </c>
      <c r="Q53">
        <f t="shared" ref="Q53" si="241">F53*P53</f>
        <v>-62016.384202898684</v>
      </c>
      <c r="R53">
        <f t="shared" ref="R53" si="242">R54+Q53</f>
        <v>-15430449.307379132</v>
      </c>
      <c r="S53">
        <f t="shared" ref="S53" si="243">R53/100000</f>
        <v>-154.30449307379132</v>
      </c>
      <c r="T53">
        <f t="shared" ref="T53" si="244">S53/1000</f>
        <v>-0.15430449307379132</v>
      </c>
    </row>
    <row r="54" spans="1:20" x14ac:dyDescent="0.25">
      <c r="A54" s="5">
        <v>44539</v>
      </c>
      <c r="B54">
        <v>9.69</v>
      </c>
      <c r="C54">
        <v>10.14</v>
      </c>
      <c r="D54">
        <v>9.06</v>
      </c>
      <c r="E54">
        <v>9.2200000000000006</v>
      </c>
      <c r="F54">
        <v>134840.12</v>
      </c>
      <c r="G54">
        <v>9.2200000000000006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-0.7037037037037035</v>
      </c>
      <c r="Q54">
        <f t="shared" ref="Q54" si="246">F54*P54</f>
        <v>-94887.491851851824</v>
      </c>
      <c r="R54">
        <f t="shared" ref="R54" si="247">R55+Q54</f>
        <v>-15368432.923176233</v>
      </c>
      <c r="S54">
        <f t="shared" ref="S54" si="248">R54/100000</f>
        <v>-153.68432923176232</v>
      </c>
      <c r="T54">
        <f t="shared" ref="T54" si="249">S54/1000</f>
        <v>-0.15368432923176231</v>
      </c>
    </row>
    <row r="55" spans="1:20" x14ac:dyDescent="0.25">
      <c r="A55" s="5">
        <v>44538</v>
      </c>
      <c r="B55">
        <v>9.8800000000000008</v>
      </c>
      <c r="C55">
        <v>9.8800000000000008</v>
      </c>
      <c r="D55">
        <v>9.42</v>
      </c>
      <c r="E55">
        <v>9.7200000000000006</v>
      </c>
      <c r="F55">
        <v>87477.94</v>
      </c>
      <c r="G55">
        <v>9.7200000000000006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0.30434782608695721</v>
      </c>
      <c r="Q55">
        <f t="shared" ref="Q55" si="251">F55*P55</f>
        <v>26623.720869565277</v>
      </c>
      <c r="R55">
        <f t="shared" ref="R55" si="252">R56+Q55</f>
        <v>-15273545.431324381</v>
      </c>
      <c r="S55">
        <f t="shared" ref="S55" si="253">R55/100000</f>
        <v>-152.73545431324382</v>
      </c>
      <c r="T55">
        <f t="shared" ref="T55" si="254">S55/1000</f>
        <v>-0.15273545431324381</v>
      </c>
    </row>
    <row r="56" spans="1:20" x14ac:dyDescent="0.25">
      <c r="A56" s="5">
        <v>44537</v>
      </c>
      <c r="B56">
        <v>9.76</v>
      </c>
      <c r="C56">
        <v>10.199999999999999</v>
      </c>
      <c r="D56">
        <v>9.42</v>
      </c>
      <c r="E56">
        <v>9.8800000000000008</v>
      </c>
      <c r="F56">
        <v>133971.28</v>
      </c>
      <c r="G56">
        <v>9.8800000000000008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0.17948717948718265</v>
      </c>
      <c r="Q56">
        <f t="shared" ref="Q56" si="256">F56*P56</f>
        <v>24046.127179487605</v>
      </c>
      <c r="R56">
        <f t="shared" ref="R56" si="257">R57+Q56</f>
        <v>-15300169.152193947</v>
      </c>
      <c r="S56">
        <f t="shared" ref="S56" si="258">R56/100000</f>
        <v>-153.00169152193948</v>
      </c>
      <c r="T56">
        <f t="shared" ref="T56" si="259">S56/1000</f>
        <v>-0.15300169152193949</v>
      </c>
    </row>
    <row r="57" spans="1:20" x14ac:dyDescent="0.25">
      <c r="A57" s="5">
        <v>44536</v>
      </c>
      <c r="B57">
        <v>9.7100000000000009</v>
      </c>
      <c r="C57">
        <v>10.59</v>
      </c>
      <c r="D57">
        <v>9.1199999999999992</v>
      </c>
      <c r="E57">
        <v>9.76</v>
      </c>
      <c r="F57">
        <v>342132.75</v>
      </c>
      <c r="G57">
        <v>9.76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-0.12925170068027172</v>
      </c>
      <c r="Q57">
        <f t="shared" ref="Q57" si="261">F57*P57</f>
        <v>-44221.239795918234</v>
      </c>
      <c r="R57">
        <f t="shared" ref="R57" si="262">R58+Q57</f>
        <v>-15324215.279373433</v>
      </c>
      <c r="S57">
        <f t="shared" ref="S57" si="263">R57/100000</f>
        <v>-153.24215279373433</v>
      </c>
      <c r="T57">
        <f t="shared" ref="T57" si="264">S57/1000</f>
        <v>-0.15324215279373432</v>
      </c>
    </row>
    <row r="58" spans="1:20" x14ac:dyDescent="0.25">
      <c r="A58" s="5">
        <v>44535</v>
      </c>
      <c r="B58">
        <v>9.26</v>
      </c>
      <c r="C58">
        <v>12.78</v>
      </c>
      <c r="D58">
        <v>9.01</v>
      </c>
      <c r="E58">
        <v>9.73</v>
      </c>
      <c r="F58">
        <v>1146189.43</v>
      </c>
      <c r="G58">
        <v>9.73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-0.61803713527851423</v>
      </c>
      <c r="Q58">
        <f t="shared" ref="Q58" si="266">F58*P58</f>
        <v>-708387.63180371304</v>
      </c>
      <c r="R58">
        <f t="shared" ref="R58" si="267">R59+Q58</f>
        <v>-15279994.039577516</v>
      </c>
      <c r="S58">
        <f t="shared" ref="S58" si="268">R58/100000</f>
        <v>-152.79994039577517</v>
      </c>
      <c r="T58">
        <f t="shared" ref="T58" si="269">S58/1000</f>
        <v>-0.15279994039577516</v>
      </c>
    </row>
    <row r="59" spans="1:20" x14ac:dyDescent="0.25">
      <c r="A59" s="5">
        <v>44534</v>
      </c>
      <c r="B59">
        <v>10.19</v>
      </c>
      <c r="C59">
        <v>10.220000000000001</v>
      </c>
      <c r="D59">
        <v>8</v>
      </c>
      <c r="E59">
        <v>9.1999999999999993</v>
      </c>
      <c r="F59">
        <v>114901.4</v>
      </c>
      <c r="G59">
        <v>9.1999999999999993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8.1081081081080128E-2</v>
      </c>
      <c r="Q59">
        <f t="shared" ref="Q59" si="271">F59*P59</f>
        <v>9316.3297297296194</v>
      </c>
      <c r="R59">
        <f t="shared" ref="R59" si="272">R60+Q59</f>
        <v>-14571606.407773802</v>
      </c>
      <c r="S59">
        <f t="shared" ref="S59" si="273">R59/100000</f>
        <v>-145.71606407773803</v>
      </c>
      <c r="T59">
        <f t="shared" ref="T59" si="274">S59/1000</f>
        <v>-0.14571606407773802</v>
      </c>
    </row>
    <row r="60" spans="1:20" x14ac:dyDescent="0.25">
      <c r="A60" s="5">
        <v>44533</v>
      </c>
      <c r="B60">
        <v>10.46</v>
      </c>
      <c r="C60">
        <v>11.04</v>
      </c>
      <c r="D60">
        <v>10.050000000000001</v>
      </c>
      <c r="E60">
        <v>10.199999999999999</v>
      </c>
      <c r="F60">
        <v>114172.94</v>
      </c>
      <c r="G60">
        <v>10.199999999999999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-0.69696969696969935</v>
      </c>
      <c r="Q60">
        <f t="shared" ref="Q60" si="276">F60*P60</f>
        <v>-79575.079393939668</v>
      </c>
      <c r="R60">
        <f t="shared" ref="R60" si="277">R61+Q60</f>
        <v>-14580922.737503532</v>
      </c>
      <c r="S60">
        <f t="shared" ref="S60" si="278">R60/100000</f>
        <v>-145.80922737503533</v>
      </c>
      <c r="T60">
        <f t="shared" ref="T60" si="279">S60/1000</f>
        <v>-0.14580922737503532</v>
      </c>
    </row>
    <row r="61" spans="1:20" x14ac:dyDescent="0.25">
      <c r="A61" s="5">
        <v>44532</v>
      </c>
      <c r="B61">
        <v>10.79</v>
      </c>
      <c r="C61">
        <v>10.79</v>
      </c>
      <c r="D61">
        <v>10.4</v>
      </c>
      <c r="E61">
        <v>10.46</v>
      </c>
      <c r="F61">
        <v>90217.82</v>
      </c>
      <c r="G61">
        <v>10.46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-0.69230769230768885</v>
      </c>
      <c r="Q61">
        <f t="shared" ref="Q61" si="281">F61*P61</f>
        <v>-62458.490769230462</v>
      </c>
      <c r="R61">
        <f t="shared" ref="R61" si="282">R62+Q61</f>
        <v>-14501347.658109592</v>
      </c>
      <c r="S61">
        <f t="shared" ref="S61" si="283">R61/100000</f>
        <v>-145.01347658109592</v>
      </c>
      <c r="T61">
        <f t="shared" ref="T61" si="284">S61/1000</f>
        <v>-0.14501347658109592</v>
      </c>
    </row>
    <row r="62" spans="1:20" x14ac:dyDescent="0.25">
      <c r="A62" s="5">
        <v>44531</v>
      </c>
      <c r="B62">
        <v>11.11</v>
      </c>
      <c r="C62">
        <v>11.21</v>
      </c>
      <c r="D62">
        <v>10.67</v>
      </c>
      <c r="E62">
        <v>10.79</v>
      </c>
      <c r="F62">
        <v>88950.16</v>
      </c>
      <c r="G62">
        <v>10.79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-0.55555555555555924</v>
      </c>
      <c r="Q62">
        <f t="shared" ref="Q62" si="286">F62*P62</f>
        <v>-49416.755555555887</v>
      </c>
      <c r="R62">
        <f t="shared" ref="R62" si="287">R63+Q62</f>
        <v>-14438889.167340362</v>
      </c>
      <c r="S62">
        <f t="shared" ref="S62" si="288">R62/100000</f>
        <v>-144.38889167340363</v>
      </c>
      <c r="T62">
        <f t="shared" ref="T62" si="289">S62/1000</f>
        <v>-0.14438889167340363</v>
      </c>
    </row>
    <row r="63" spans="1:20" x14ac:dyDescent="0.25">
      <c r="A63" s="5">
        <v>44530</v>
      </c>
      <c r="B63">
        <v>11.33</v>
      </c>
      <c r="C63">
        <v>11.61</v>
      </c>
      <c r="D63">
        <v>10.92</v>
      </c>
      <c r="E63">
        <v>11.12</v>
      </c>
      <c r="F63">
        <v>107718.38</v>
      </c>
      <c r="G63">
        <v>11.12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-0.42028985507246541</v>
      </c>
      <c r="Q63">
        <f t="shared" ref="Q63" si="291">F63*P63</f>
        <v>-45272.94231884076</v>
      </c>
      <c r="R63">
        <f t="shared" ref="R63" si="292">R64+Q63</f>
        <v>-14389472.411784807</v>
      </c>
      <c r="S63">
        <f t="shared" ref="S63" si="293">R63/100000</f>
        <v>-143.89472411784809</v>
      </c>
      <c r="T63">
        <f t="shared" ref="T63" si="294">S63/1000</f>
        <v>-0.14389472411784809</v>
      </c>
    </row>
    <row r="64" spans="1:20" x14ac:dyDescent="0.25">
      <c r="A64" s="5">
        <v>44529</v>
      </c>
      <c r="B64">
        <v>11.21</v>
      </c>
      <c r="C64">
        <v>11.38</v>
      </c>
      <c r="D64">
        <v>10.99</v>
      </c>
      <c r="E64">
        <v>11.33</v>
      </c>
      <c r="F64">
        <v>43412.11</v>
      </c>
      <c r="G64">
        <v>11.33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0.74358974358974028</v>
      </c>
      <c r="Q64">
        <f t="shared" ref="Q64" si="296">F64*P64</f>
        <v>32280.7997435896</v>
      </c>
      <c r="R64">
        <f t="shared" ref="R64" si="297">R65+Q64</f>
        <v>-14344199.469465967</v>
      </c>
      <c r="S64">
        <f t="shared" ref="S64" si="298">R64/100000</f>
        <v>-143.44199469465968</v>
      </c>
      <c r="T64">
        <f t="shared" ref="T64" si="299">S64/1000</f>
        <v>-0.14344199469465968</v>
      </c>
    </row>
    <row r="65" spans="1:20" x14ac:dyDescent="0.25">
      <c r="A65" s="5">
        <v>44528</v>
      </c>
      <c r="B65">
        <v>11.23</v>
      </c>
      <c r="C65">
        <v>11.27</v>
      </c>
      <c r="D65">
        <v>10.72</v>
      </c>
      <c r="E65">
        <v>11.23</v>
      </c>
      <c r="F65">
        <v>52173.66</v>
      </c>
      <c r="G65">
        <v>11.23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0.85454545454545738</v>
      </c>
      <c r="Q65">
        <f t="shared" ref="Q65" si="301">F65*P65</f>
        <v>44584.764000000148</v>
      </c>
      <c r="R65">
        <f t="shared" ref="R65" si="302">R66+Q65</f>
        <v>-14376480.269209556</v>
      </c>
      <c r="S65">
        <f t="shared" ref="S65" si="303">R65/100000</f>
        <v>-143.76480269209557</v>
      </c>
      <c r="T65">
        <f t="shared" ref="T65" si="304">S65/1000</f>
        <v>-0.14376480269209557</v>
      </c>
    </row>
    <row r="66" spans="1:20" x14ac:dyDescent="0.25">
      <c r="A66" s="5">
        <v>44527</v>
      </c>
      <c r="B66">
        <v>11.16</v>
      </c>
      <c r="C66">
        <v>11.87</v>
      </c>
      <c r="D66">
        <v>11.07</v>
      </c>
      <c r="E66">
        <v>11.23</v>
      </c>
      <c r="F66">
        <v>71026.89</v>
      </c>
      <c r="G66">
        <v>11.23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-0.59999999999999909</v>
      </c>
      <c r="Q66">
        <f t="shared" ref="Q66" si="306">F66*P66</f>
        <v>-42616.133999999933</v>
      </c>
      <c r="R66">
        <f t="shared" ref="R66" si="307">R67+Q66</f>
        <v>-14421065.033209557</v>
      </c>
      <c r="S66">
        <f t="shared" ref="S66" si="308">R66/100000</f>
        <v>-144.21065033209555</v>
      </c>
      <c r="T66">
        <f t="shared" ref="T66" si="309">S66/1000</f>
        <v>-0.14421065033209554</v>
      </c>
    </row>
    <row r="67" spans="1:20" x14ac:dyDescent="0.25">
      <c r="A67" s="5">
        <v>44526</v>
      </c>
      <c r="B67">
        <v>12.17</v>
      </c>
      <c r="C67">
        <v>12.27</v>
      </c>
      <c r="D67">
        <v>11</v>
      </c>
      <c r="E67">
        <v>11.14</v>
      </c>
      <c r="F67">
        <v>114114.53</v>
      </c>
      <c r="G67">
        <v>11.14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-0.77952755905511717</v>
      </c>
      <c r="Q67">
        <f t="shared" ref="Q67" si="311">F67*P67</f>
        <v>-88955.421023621937</v>
      </c>
      <c r="R67">
        <f t="shared" ref="R67" si="312">R68+Q67</f>
        <v>-14378448.899209557</v>
      </c>
      <c r="S67">
        <f t="shared" ref="S67" si="313">R67/100000</f>
        <v>-143.78448899209556</v>
      </c>
      <c r="T67">
        <f t="shared" ref="T67" si="314">S67/1000</f>
        <v>-0.14378448899209556</v>
      </c>
    </row>
    <row r="68" spans="1:20" x14ac:dyDescent="0.25">
      <c r="A68" s="5">
        <v>44525</v>
      </c>
      <c r="B68">
        <v>11.93</v>
      </c>
      <c r="C68">
        <v>12.53</v>
      </c>
      <c r="D68">
        <v>11.79</v>
      </c>
      <c r="E68">
        <v>12.17</v>
      </c>
      <c r="F68">
        <v>101063.2</v>
      </c>
      <c r="G68">
        <v>12.17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2.7027027027028843E-2</v>
      </c>
      <c r="Q68">
        <f t="shared" ref="Q68" si="316">F68*P68</f>
        <v>2731.4378378380211</v>
      </c>
      <c r="R68">
        <f t="shared" ref="R68" si="317">R69+Q68</f>
        <v>-14289493.478185935</v>
      </c>
      <c r="S68">
        <f t="shared" ref="S68" si="318">R68/100000</f>
        <v>-142.89493478185935</v>
      </c>
      <c r="T68">
        <f t="shared" ref="T68" si="319">S68/1000</f>
        <v>-0.14289493478185936</v>
      </c>
    </row>
    <row r="69" spans="1:20" x14ac:dyDescent="0.25">
      <c r="A69" s="5">
        <v>44524</v>
      </c>
      <c r="B69">
        <v>12.31</v>
      </c>
      <c r="C69">
        <v>12.42</v>
      </c>
      <c r="D69">
        <v>11.92</v>
      </c>
      <c r="E69">
        <v>12.08</v>
      </c>
      <c r="F69">
        <v>48957.13</v>
      </c>
      <c r="G69">
        <v>12.08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-0.35999999999999943</v>
      </c>
      <c r="Q69">
        <f t="shared" ref="Q69" si="321">F69*P69</f>
        <v>-17624.566799999971</v>
      </c>
      <c r="R69">
        <f t="shared" ref="R69" si="322">R70+Q69</f>
        <v>-14292224.916023772</v>
      </c>
      <c r="S69">
        <f t="shared" ref="S69" si="323">R69/100000</f>
        <v>-142.92224916023773</v>
      </c>
      <c r="T69">
        <f t="shared" ref="T69" si="324">S69/1000</f>
        <v>-0.14292224916023771</v>
      </c>
    </row>
    <row r="70" spans="1:20" x14ac:dyDescent="0.25">
      <c r="A70" s="5">
        <v>44523</v>
      </c>
      <c r="B70">
        <v>13.08</v>
      </c>
      <c r="C70">
        <v>13.7</v>
      </c>
      <c r="D70">
        <v>11.95</v>
      </c>
      <c r="E70">
        <v>12.32</v>
      </c>
      <c r="F70">
        <v>229132.07</v>
      </c>
      <c r="G70">
        <v>12.32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-0.57714285714285596</v>
      </c>
      <c r="Q70">
        <f t="shared" ref="Q70" si="326">F70*P70</f>
        <v>-132241.93754285687</v>
      </c>
      <c r="R70">
        <f t="shared" ref="R70" si="327">R71+Q70</f>
        <v>-14274600.349223772</v>
      </c>
      <c r="S70">
        <f t="shared" ref="S70" si="328">R70/100000</f>
        <v>-142.74600349223772</v>
      </c>
      <c r="T70">
        <f t="shared" ref="T70" si="329">S70/1000</f>
        <v>-0.14274600349223771</v>
      </c>
    </row>
    <row r="71" spans="1:20" x14ac:dyDescent="0.25">
      <c r="A71" s="5">
        <v>44522</v>
      </c>
      <c r="B71">
        <v>13.08</v>
      </c>
      <c r="C71">
        <v>14</v>
      </c>
      <c r="D71">
        <v>12.68</v>
      </c>
      <c r="E71">
        <v>13.1</v>
      </c>
      <c r="F71">
        <v>141844.16</v>
      </c>
      <c r="G71">
        <v>13.1</v>
      </c>
      <c r="L71" t="s">
        <v>8</v>
      </c>
      <c r="M71" t="s">
        <v>7</v>
      </c>
      <c r="N71" t="s">
        <v>7</v>
      </c>
      <c r="P71">
        <f t="shared" ref="P71" si="330">IF(C71=D71,0,((E71-D71)-(C71-E71))/(C71-D71))</f>
        <v>-0.36363636363636387</v>
      </c>
      <c r="Q71">
        <f t="shared" ref="Q71" si="331">F71*P71</f>
        <v>-51579.694545454578</v>
      </c>
      <c r="R71">
        <f t="shared" ref="R71" si="332">R72+Q71</f>
        <v>-14142358.411680914</v>
      </c>
      <c r="S71">
        <f t="shared" ref="S71" si="333">R71/100000</f>
        <v>-141.42358411680914</v>
      </c>
      <c r="T71">
        <f t="shared" ref="T71" si="334">S71/1000</f>
        <v>-0.14142358411680914</v>
      </c>
    </row>
    <row r="72" spans="1:20" x14ac:dyDescent="0.25">
      <c r="A72" s="5">
        <v>44521</v>
      </c>
      <c r="B72">
        <v>13.32</v>
      </c>
      <c r="C72">
        <v>13.39</v>
      </c>
      <c r="D72">
        <v>13.03</v>
      </c>
      <c r="E72">
        <v>13.07</v>
      </c>
      <c r="F72">
        <v>76935.88</v>
      </c>
      <c r="G72">
        <v>13.07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-0.77777777777777335</v>
      </c>
      <c r="Q72">
        <f t="shared" ref="Q72" si="336">F72*P72</f>
        <v>-59839.017777777444</v>
      </c>
      <c r="R72">
        <f t="shared" ref="R72" si="337">R73+Q72</f>
        <v>-14090778.717135459</v>
      </c>
      <c r="S72">
        <f t="shared" ref="S72" si="338">R72/100000</f>
        <v>-140.90778717135458</v>
      </c>
      <c r="T72">
        <f t="shared" ref="T72" si="339">S72/1000</f>
        <v>-0.14090778717135458</v>
      </c>
    </row>
    <row r="73" spans="1:20" x14ac:dyDescent="0.25">
      <c r="A73" s="5">
        <v>44520</v>
      </c>
      <c r="B73">
        <v>13.19</v>
      </c>
      <c r="C73">
        <v>13.62</v>
      </c>
      <c r="D73">
        <v>13</v>
      </c>
      <c r="E73">
        <v>13.32</v>
      </c>
      <c r="F73">
        <v>97495.83</v>
      </c>
      <c r="G73">
        <v>13.32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3.2258064516131252E-2</v>
      </c>
      <c r="Q73">
        <f t="shared" ref="Q73" si="341">F73*P73</f>
        <v>3145.026774193765</v>
      </c>
      <c r="R73">
        <f t="shared" ref="R73" si="342">R74+Q73</f>
        <v>-14030939.699357681</v>
      </c>
      <c r="S73">
        <f t="shared" ref="S73" si="343">R73/100000</f>
        <v>-140.3093969935768</v>
      </c>
      <c r="T73">
        <f t="shared" ref="T73" si="344">S73/1000</f>
        <v>-0.14030939699357681</v>
      </c>
    </row>
    <row r="74" spans="1:20" x14ac:dyDescent="0.25">
      <c r="A74" s="5">
        <v>44519</v>
      </c>
      <c r="B74">
        <v>12.83</v>
      </c>
      <c r="C74">
        <v>13.42</v>
      </c>
      <c r="D74">
        <v>12.72</v>
      </c>
      <c r="E74">
        <v>13.19</v>
      </c>
      <c r="F74">
        <v>138080.32000000001</v>
      </c>
      <c r="G74">
        <v>13.19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0.34285714285714097</v>
      </c>
      <c r="Q74">
        <f t="shared" ref="Q74" si="346">F74*P74</f>
        <v>47341.823999999739</v>
      </c>
      <c r="R74">
        <f t="shared" ref="R74" si="347">R75+Q74</f>
        <v>-14034084.726131875</v>
      </c>
      <c r="S74">
        <f t="shared" ref="S74" si="348">R74/100000</f>
        <v>-140.34084726131874</v>
      </c>
      <c r="T74">
        <f t="shared" ref="T74" si="349">S74/1000</f>
        <v>-0.14034084726131874</v>
      </c>
    </row>
    <row r="75" spans="1:20" x14ac:dyDescent="0.25">
      <c r="A75" s="5">
        <v>44518</v>
      </c>
      <c r="B75">
        <v>13.67</v>
      </c>
      <c r="C75">
        <v>13.91</v>
      </c>
      <c r="D75">
        <v>12.68</v>
      </c>
      <c r="E75">
        <v>12.79</v>
      </c>
      <c r="F75">
        <v>231579.9</v>
      </c>
      <c r="G75">
        <v>12.79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-0.82113821138211485</v>
      </c>
      <c r="Q75">
        <f t="shared" ref="Q75" si="351">F75*P75</f>
        <v>-190159.10487804902</v>
      </c>
      <c r="R75">
        <f t="shared" ref="R75" si="352">R76+Q75</f>
        <v>-14081426.550131874</v>
      </c>
      <c r="S75">
        <f t="shared" ref="S75" si="353">R75/100000</f>
        <v>-140.81426550131874</v>
      </c>
      <c r="T75">
        <f t="shared" ref="T75" si="354">S75/1000</f>
        <v>-0.14081426550131873</v>
      </c>
    </row>
    <row r="76" spans="1:20" x14ac:dyDescent="0.25">
      <c r="A76" s="5">
        <v>44517</v>
      </c>
      <c r="B76">
        <v>13.87</v>
      </c>
      <c r="C76">
        <v>14.03</v>
      </c>
      <c r="D76">
        <v>13.41</v>
      </c>
      <c r="E76">
        <v>13.66</v>
      </c>
      <c r="F76">
        <v>70936.649999999994</v>
      </c>
      <c r="G76">
        <v>13.66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-0.19354838709677319</v>
      </c>
      <c r="Q76">
        <f t="shared" ref="Q76" si="356">F76*P76</f>
        <v>-13729.674193548315</v>
      </c>
      <c r="R76">
        <f t="shared" ref="R76" si="357">R77+Q76</f>
        <v>-13891267.445253825</v>
      </c>
      <c r="S76">
        <f t="shared" ref="S76" si="358">R76/100000</f>
        <v>-138.91267445253825</v>
      </c>
      <c r="T76">
        <f t="shared" ref="T76" si="359">S76/1000</f>
        <v>-0.13891267445253824</v>
      </c>
    </row>
    <row r="77" spans="1:20" x14ac:dyDescent="0.25">
      <c r="A77" s="5">
        <v>44516</v>
      </c>
      <c r="B77">
        <v>14.82</v>
      </c>
      <c r="C77">
        <v>14.99</v>
      </c>
      <c r="D77">
        <v>13.73</v>
      </c>
      <c r="E77">
        <v>13.88</v>
      </c>
      <c r="F77">
        <v>117789.01</v>
      </c>
      <c r="G77">
        <v>13.88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-0.76190476190476131</v>
      </c>
      <c r="Q77">
        <f t="shared" ref="Q77" si="361">F77*P77</f>
        <v>-89744.007619047537</v>
      </c>
      <c r="R77">
        <f t="shared" ref="R77" si="362">R78+Q77</f>
        <v>-13877537.771060277</v>
      </c>
      <c r="S77">
        <f t="shared" ref="S77" si="363">R77/100000</f>
        <v>-138.77537771060275</v>
      </c>
      <c r="T77">
        <f t="shared" ref="T77" si="364">S77/1000</f>
        <v>-0.13877537771060275</v>
      </c>
    </row>
    <row r="78" spans="1:20" x14ac:dyDescent="0.25">
      <c r="A78" s="5">
        <v>44515</v>
      </c>
      <c r="B78">
        <v>14.43</v>
      </c>
      <c r="C78">
        <v>15.15</v>
      </c>
      <c r="D78">
        <v>14.38</v>
      </c>
      <c r="E78">
        <v>14.79</v>
      </c>
      <c r="F78">
        <v>135290.45000000001</v>
      </c>
      <c r="G78">
        <v>14.79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6.4935064935061279E-2</v>
      </c>
      <c r="Q78">
        <f t="shared" ref="Q78" si="366">F78*P78</f>
        <v>8785.0941558436625</v>
      </c>
      <c r="R78">
        <f t="shared" ref="R78" si="367">R79+Q78</f>
        <v>-13787793.763441229</v>
      </c>
      <c r="S78">
        <f t="shared" ref="S78" si="368">R78/100000</f>
        <v>-137.87793763441229</v>
      </c>
      <c r="T78">
        <f t="shared" ref="T78" si="369">S78/1000</f>
        <v>-0.13787793763441228</v>
      </c>
    </row>
    <row r="79" spans="1:20" x14ac:dyDescent="0.25">
      <c r="A79" s="5">
        <v>44514</v>
      </c>
      <c r="B79">
        <v>14.46</v>
      </c>
      <c r="C79">
        <v>14.69</v>
      </c>
      <c r="D79">
        <v>14.26</v>
      </c>
      <c r="E79">
        <v>14.4</v>
      </c>
      <c r="F79">
        <v>60782</v>
      </c>
      <c r="G79">
        <v>14.4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-0.34883720930232248</v>
      </c>
      <c r="Q79">
        <f t="shared" ref="Q79" si="371">F79*P79</f>
        <v>-21203.023255813765</v>
      </c>
      <c r="R79">
        <f t="shared" ref="R79" si="372">R80+Q79</f>
        <v>-13796578.857597074</v>
      </c>
      <c r="S79">
        <f t="shared" ref="S79" si="373">R79/100000</f>
        <v>-137.96578857597075</v>
      </c>
      <c r="T79">
        <f t="shared" ref="T79" si="374">S79/1000</f>
        <v>-0.13796578857597075</v>
      </c>
    </row>
    <row r="80" spans="1:20" x14ac:dyDescent="0.25">
      <c r="A80" s="5">
        <v>44513</v>
      </c>
      <c r="B80">
        <v>14.46</v>
      </c>
      <c r="C80">
        <v>14.58</v>
      </c>
      <c r="D80">
        <v>14.2</v>
      </c>
      <c r="E80">
        <v>14.46</v>
      </c>
      <c r="F80">
        <v>63923.44</v>
      </c>
      <c r="G80">
        <v>14.46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0.36842105263158437</v>
      </c>
      <c r="Q80">
        <f t="shared" ref="Q80" si="376">F80*P80</f>
        <v>23550.741052631925</v>
      </c>
      <c r="R80">
        <f t="shared" ref="R80" si="377">R81+Q80</f>
        <v>-13775375.83434126</v>
      </c>
      <c r="S80">
        <f t="shared" ref="S80" si="378">R80/100000</f>
        <v>-137.75375834341258</v>
      </c>
      <c r="T80">
        <f t="shared" ref="T80" si="379">S80/1000</f>
        <v>-0.13775375834341258</v>
      </c>
    </row>
    <row r="81" spans="1:20" x14ac:dyDescent="0.25">
      <c r="A81" s="5">
        <v>44512</v>
      </c>
      <c r="B81">
        <v>14.47</v>
      </c>
      <c r="C81">
        <v>14.68</v>
      </c>
      <c r="D81">
        <v>14.11</v>
      </c>
      <c r="E81">
        <v>14.47</v>
      </c>
      <c r="F81">
        <v>83216.11</v>
      </c>
      <c r="G81">
        <v>14.47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0.2631578947368457</v>
      </c>
      <c r="Q81">
        <f t="shared" ref="Q81" si="381">F81*P81</f>
        <v>21898.976315789772</v>
      </c>
      <c r="R81">
        <f t="shared" ref="R81" si="382">R82+Q81</f>
        <v>-13798926.575393891</v>
      </c>
      <c r="S81">
        <f t="shared" ref="S81" si="383">R81/100000</f>
        <v>-137.98926575393892</v>
      </c>
      <c r="T81">
        <f t="shared" ref="T81" si="384">S81/1000</f>
        <v>-0.13798926575393891</v>
      </c>
    </row>
    <row r="82" spans="1:20" x14ac:dyDescent="0.25">
      <c r="A82" s="5">
        <v>44511</v>
      </c>
      <c r="B82">
        <v>14.32</v>
      </c>
      <c r="C82">
        <v>14.81</v>
      </c>
      <c r="D82">
        <v>14.13</v>
      </c>
      <c r="E82">
        <v>14.51</v>
      </c>
      <c r="F82">
        <v>83236.03</v>
      </c>
      <c r="G82">
        <v>14.51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0.11764705882352695</v>
      </c>
      <c r="Q82">
        <f t="shared" ref="Q82" si="386">F82*P82</f>
        <v>9792.4741176468542</v>
      </c>
      <c r="R82">
        <f t="shared" ref="R82" si="387">R83+Q82</f>
        <v>-13820825.55170968</v>
      </c>
      <c r="S82">
        <f t="shared" ref="S82" si="388">R82/100000</f>
        <v>-138.2082555170968</v>
      </c>
      <c r="T82">
        <f t="shared" ref="T82" si="389">S82/1000</f>
        <v>-0.13820825551709681</v>
      </c>
    </row>
    <row r="83" spans="1:20" x14ac:dyDescent="0.25">
      <c r="A83" s="5">
        <v>44510</v>
      </c>
      <c r="B83">
        <v>14.58</v>
      </c>
      <c r="C83">
        <v>15.4</v>
      </c>
      <c r="D83">
        <v>14</v>
      </c>
      <c r="E83">
        <v>14.27</v>
      </c>
      <c r="F83">
        <v>204205.61</v>
      </c>
      <c r="G83">
        <v>14.27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-0.61428571428571499</v>
      </c>
      <c r="Q83">
        <f t="shared" ref="Q83" si="391">F83*P83</f>
        <v>-125440.58900000014</v>
      </c>
      <c r="R83">
        <f t="shared" ref="R83" si="392">R84+Q83</f>
        <v>-13830618.025827326</v>
      </c>
      <c r="S83">
        <f t="shared" ref="S83" si="393">R83/100000</f>
        <v>-138.30618025827326</v>
      </c>
      <c r="T83">
        <f t="shared" ref="T83" si="394">S83/1000</f>
        <v>-0.13830618025827326</v>
      </c>
    </row>
    <row r="84" spans="1:20" x14ac:dyDescent="0.25">
      <c r="A84" s="5">
        <v>44509</v>
      </c>
      <c r="B84">
        <v>14.69</v>
      </c>
      <c r="C84">
        <v>14.71</v>
      </c>
      <c r="D84">
        <v>14.45</v>
      </c>
      <c r="E84">
        <v>14.56</v>
      </c>
      <c r="F84">
        <v>83439.59</v>
      </c>
      <c r="G84">
        <v>14.56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-0.15384615384614964</v>
      </c>
      <c r="Q84">
        <f t="shared" ref="Q84" si="396">F84*P84</f>
        <v>-12836.859999999648</v>
      </c>
      <c r="R84">
        <f t="shared" ref="R84" si="397">R85+Q84</f>
        <v>-13705177.436827326</v>
      </c>
      <c r="S84">
        <f t="shared" ref="S84" si="398">R84/100000</f>
        <v>-137.05177436827327</v>
      </c>
      <c r="T84">
        <f t="shared" ref="T84" si="399">S84/1000</f>
        <v>-0.13705177436827326</v>
      </c>
    </row>
    <row r="85" spans="1:20" x14ac:dyDescent="0.25">
      <c r="A85" s="5">
        <v>44508</v>
      </c>
      <c r="B85">
        <v>15.01</v>
      </c>
      <c r="C85">
        <v>15.11</v>
      </c>
      <c r="D85">
        <v>14.45</v>
      </c>
      <c r="E85">
        <v>14.68</v>
      </c>
      <c r="F85">
        <v>174786.81</v>
      </c>
      <c r="G85">
        <v>14.68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-0.30303030303030187</v>
      </c>
      <c r="Q85">
        <f t="shared" ref="Q85" si="401">F85*P85</f>
        <v>-52965.699999999801</v>
      </c>
      <c r="R85">
        <f t="shared" ref="R85" si="402">R86+Q85</f>
        <v>-13692340.576827327</v>
      </c>
      <c r="S85">
        <f t="shared" ref="S85" si="403">R85/100000</f>
        <v>-136.92340576827326</v>
      </c>
      <c r="T85">
        <f t="shared" ref="T85" si="404">S85/1000</f>
        <v>-0.13692340576827325</v>
      </c>
    </row>
    <row r="86" spans="1:20" x14ac:dyDescent="0.25">
      <c r="A86" s="5">
        <v>44507</v>
      </c>
      <c r="B86">
        <v>14.71</v>
      </c>
      <c r="C86">
        <v>17.260000000000002</v>
      </c>
      <c r="D86">
        <v>14.57</v>
      </c>
      <c r="E86">
        <v>15.04</v>
      </c>
      <c r="F86">
        <v>430445.33</v>
      </c>
      <c r="G86">
        <v>15.04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-0.65055762081784485</v>
      </c>
      <c r="Q86">
        <f t="shared" ref="Q86" si="406">F86*P86</f>
        <v>-280029.48977695213</v>
      </c>
      <c r="R86">
        <f t="shared" ref="R86" si="407">R87+Q86</f>
        <v>-13639374.876827328</v>
      </c>
      <c r="S86">
        <f t="shared" ref="S86" si="408">R86/100000</f>
        <v>-136.39374876827327</v>
      </c>
      <c r="T86">
        <f t="shared" ref="T86" si="409">S86/1000</f>
        <v>-0.13639374876827326</v>
      </c>
    </row>
    <row r="87" spans="1:20" x14ac:dyDescent="0.25">
      <c r="A87" s="5">
        <v>44506</v>
      </c>
      <c r="B87">
        <v>14.57</v>
      </c>
      <c r="C87">
        <v>15.14</v>
      </c>
      <c r="D87">
        <v>14.33</v>
      </c>
      <c r="E87">
        <v>14.7</v>
      </c>
      <c r="F87">
        <v>109191.72</v>
      </c>
      <c r="G87">
        <v>14.7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-8.6419753086422246E-2</v>
      </c>
      <c r="Q87">
        <f t="shared" ref="Q87" si="411">F87*P87</f>
        <v>-9436.3214814817529</v>
      </c>
      <c r="R87">
        <f t="shared" ref="R87" si="412">R88+Q87</f>
        <v>-13359345.387050375</v>
      </c>
      <c r="S87">
        <f t="shared" ref="S87" si="413">R87/100000</f>
        <v>-133.59345387050377</v>
      </c>
      <c r="T87">
        <f t="shared" ref="T87" si="414">S87/1000</f>
        <v>-0.13359345387050375</v>
      </c>
    </row>
    <row r="88" spans="1:20" x14ac:dyDescent="0.25">
      <c r="A88" s="5">
        <v>44505</v>
      </c>
      <c r="B88">
        <v>14.44</v>
      </c>
      <c r="C88">
        <v>15.38</v>
      </c>
      <c r="D88">
        <v>14.23</v>
      </c>
      <c r="E88">
        <v>14.59</v>
      </c>
      <c r="F88">
        <v>146873.79</v>
      </c>
      <c r="G88">
        <v>14.59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-0.37391304347826204</v>
      </c>
      <c r="Q88">
        <f t="shared" ref="Q88" si="416">F88*P88</f>
        <v>-54918.025826087134</v>
      </c>
      <c r="R88">
        <f t="shared" ref="R88" si="417">R89+Q88</f>
        <v>-13349909.065568894</v>
      </c>
      <c r="S88">
        <f t="shared" ref="S88" si="418">R88/100000</f>
        <v>-133.49909065568895</v>
      </c>
      <c r="T88">
        <f t="shared" ref="T88" si="419">S88/1000</f>
        <v>-0.13349909065568893</v>
      </c>
    </row>
    <row r="89" spans="1:20" x14ac:dyDescent="0.25">
      <c r="A89" s="5">
        <v>44504</v>
      </c>
      <c r="B89">
        <v>14.61</v>
      </c>
      <c r="C89">
        <v>14.69</v>
      </c>
      <c r="D89">
        <v>14.13</v>
      </c>
      <c r="E89">
        <v>14.44</v>
      </c>
      <c r="F89">
        <v>90864.33</v>
      </c>
      <c r="G89">
        <v>14.44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0.1071428571428551</v>
      </c>
      <c r="Q89">
        <f t="shared" ref="Q89" si="421">F89*P89</f>
        <v>9735.4639285712437</v>
      </c>
      <c r="R89">
        <f t="shared" ref="R89" si="422">R90+Q89</f>
        <v>-13294991.039742807</v>
      </c>
      <c r="S89">
        <f t="shared" ref="S89" si="423">R89/100000</f>
        <v>-132.94991039742806</v>
      </c>
      <c r="T89">
        <f t="shared" ref="T89" si="424">S89/1000</f>
        <v>-0.13294991039742807</v>
      </c>
    </row>
    <row r="90" spans="1:20" x14ac:dyDescent="0.25">
      <c r="A90" s="5">
        <v>44503</v>
      </c>
      <c r="B90">
        <v>14.83</v>
      </c>
      <c r="C90">
        <v>16.2</v>
      </c>
      <c r="D90">
        <v>14.25</v>
      </c>
      <c r="E90">
        <v>14.61</v>
      </c>
      <c r="F90">
        <v>242095.9</v>
      </c>
      <c r="G90">
        <v>14.61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-0.63076923076923119</v>
      </c>
      <c r="Q90">
        <f t="shared" ref="Q90" si="426">F90*P90</f>
        <v>-152706.64461538472</v>
      </c>
      <c r="R90">
        <f t="shared" ref="R90" si="427">R91+Q90</f>
        <v>-13304726.503671378</v>
      </c>
      <c r="S90">
        <f t="shared" ref="S90" si="428">R90/100000</f>
        <v>-133.04726503671378</v>
      </c>
      <c r="T90">
        <f t="shared" ref="T90" si="429">S90/1000</f>
        <v>-0.13304726503671377</v>
      </c>
    </row>
    <row r="91" spans="1:20" x14ac:dyDescent="0.25">
      <c r="A91" s="5">
        <v>44502</v>
      </c>
      <c r="B91">
        <v>14.79</v>
      </c>
      <c r="C91">
        <v>15.17</v>
      </c>
      <c r="D91">
        <v>14.62</v>
      </c>
      <c r="E91">
        <v>14.81</v>
      </c>
      <c r="F91">
        <v>100711.35</v>
      </c>
      <c r="G91">
        <v>14.81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-0.30909090909090531</v>
      </c>
      <c r="Q91">
        <f t="shared" ref="Q91" si="431">F91*P91</f>
        <v>-31128.962727272348</v>
      </c>
      <c r="R91">
        <f t="shared" ref="R91" si="432">R92+Q91</f>
        <v>-13152019.859055994</v>
      </c>
      <c r="S91">
        <f t="shared" ref="S91" si="433">R91/100000</f>
        <v>-131.52019859055994</v>
      </c>
      <c r="T91">
        <f t="shared" ref="T91" si="434">S91/1000</f>
        <v>-0.13152019859055994</v>
      </c>
    </row>
    <row r="92" spans="1:20" x14ac:dyDescent="0.25">
      <c r="A92" s="5">
        <v>44501</v>
      </c>
      <c r="B92">
        <v>14.68</v>
      </c>
      <c r="C92">
        <v>14.9</v>
      </c>
      <c r="D92">
        <v>14.32</v>
      </c>
      <c r="E92">
        <v>14.79</v>
      </c>
      <c r="F92">
        <v>99031.06</v>
      </c>
      <c r="G92">
        <v>14.79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0.6206896551724097</v>
      </c>
      <c r="Q92">
        <f t="shared" ref="Q92" si="436">F92*P92</f>
        <v>61467.554482758213</v>
      </c>
      <c r="R92">
        <f t="shared" ref="R92" si="437">R93+Q92</f>
        <v>-13120890.896328721</v>
      </c>
      <c r="S92">
        <f t="shared" ref="S92" si="438">R92/100000</f>
        <v>-131.2089089632872</v>
      </c>
      <c r="T92">
        <f t="shared" ref="T92" si="439">S92/1000</f>
        <v>-0.13120890896328721</v>
      </c>
    </row>
    <row r="93" spans="1:20" x14ac:dyDescent="0.25">
      <c r="A93" s="5">
        <v>44500</v>
      </c>
      <c r="B93">
        <v>15.05</v>
      </c>
      <c r="C93">
        <v>15.1</v>
      </c>
      <c r="D93">
        <v>14.41</v>
      </c>
      <c r="E93">
        <v>14.67</v>
      </c>
      <c r="F93">
        <v>120029.25</v>
      </c>
      <c r="G93">
        <v>14.67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-0.24637681159420297</v>
      </c>
      <c r="Q93">
        <f t="shared" ref="Q93" si="441">F93*P93</f>
        <v>-29572.423913043487</v>
      </c>
      <c r="R93">
        <f t="shared" ref="R93" si="442">R94+Q93</f>
        <v>-13182358.450811479</v>
      </c>
      <c r="S93">
        <f t="shared" ref="S93" si="443">R93/100000</f>
        <v>-131.82358450811481</v>
      </c>
      <c r="T93">
        <f t="shared" ref="T93" si="444">S93/1000</f>
        <v>-0.13182358450811479</v>
      </c>
    </row>
    <row r="94" spans="1:20" x14ac:dyDescent="0.25">
      <c r="A94" s="5">
        <v>44499</v>
      </c>
      <c r="B94">
        <v>15.1</v>
      </c>
      <c r="C94">
        <v>15.26</v>
      </c>
      <c r="D94">
        <v>14.61</v>
      </c>
      <c r="E94">
        <v>15.09</v>
      </c>
      <c r="F94">
        <v>168538.23</v>
      </c>
      <c r="G94">
        <v>15.09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0.47692307692307745</v>
      </c>
      <c r="Q94">
        <f t="shared" ref="Q94" si="446">F94*P94</f>
        <v>80379.771230769329</v>
      </c>
      <c r="R94">
        <f t="shared" ref="R94" si="447">R95+Q94</f>
        <v>-13152786.026898436</v>
      </c>
      <c r="S94">
        <f t="shared" ref="S94" si="448">R94/100000</f>
        <v>-131.52786026898437</v>
      </c>
      <c r="T94">
        <f t="shared" ref="T94" si="449">S94/1000</f>
        <v>-0.13152786026898436</v>
      </c>
    </row>
    <row r="95" spans="1:20" x14ac:dyDescent="0.25">
      <c r="A95" s="5">
        <v>44498</v>
      </c>
      <c r="B95">
        <v>14.75</v>
      </c>
      <c r="C95">
        <v>15.25</v>
      </c>
      <c r="D95">
        <v>14.69</v>
      </c>
      <c r="E95">
        <v>15.08</v>
      </c>
      <c r="F95">
        <v>104855.34</v>
      </c>
      <c r="G95">
        <v>15.08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0.39285714285714363</v>
      </c>
      <c r="Q95">
        <f t="shared" ref="Q95" si="451">F95*P95</f>
        <v>41193.169285714364</v>
      </c>
      <c r="R95">
        <f t="shared" ref="R95" si="452">R96+Q95</f>
        <v>-13233165.798129205</v>
      </c>
      <c r="S95">
        <f t="shared" ref="S95" si="453">R95/100000</f>
        <v>-132.33165798129204</v>
      </c>
      <c r="T95">
        <f t="shared" ref="T95" si="454">S95/1000</f>
        <v>-0.13233165798129204</v>
      </c>
    </row>
    <row r="96" spans="1:20" x14ac:dyDescent="0.25">
      <c r="A96" s="5">
        <v>44497</v>
      </c>
      <c r="B96">
        <v>14.87</v>
      </c>
      <c r="C96">
        <v>15.14</v>
      </c>
      <c r="D96">
        <v>14.5</v>
      </c>
      <c r="E96">
        <v>14.8</v>
      </c>
      <c r="F96">
        <v>108886.48</v>
      </c>
      <c r="G96">
        <v>14.8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-6.2499999999998612E-2</v>
      </c>
      <c r="Q96">
        <f t="shared" ref="Q96" si="456">F96*P96</f>
        <v>-6805.4049999998488</v>
      </c>
      <c r="R96">
        <f t="shared" ref="R96" si="457">R97+Q96</f>
        <v>-13274358.967414919</v>
      </c>
      <c r="S96">
        <f t="shared" ref="S96" si="458">R96/100000</f>
        <v>-132.74358967414921</v>
      </c>
      <c r="T96">
        <f t="shared" ref="T96" si="459">S96/1000</f>
        <v>-0.1327435896741492</v>
      </c>
    </row>
    <row r="97" spans="1:20" x14ac:dyDescent="0.25">
      <c r="A97" s="5">
        <v>44496</v>
      </c>
      <c r="B97">
        <v>15.79</v>
      </c>
      <c r="C97">
        <v>16.04</v>
      </c>
      <c r="D97">
        <v>14.4</v>
      </c>
      <c r="E97">
        <v>14.91</v>
      </c>
      <c r="F97">
        <v>126377.54300000001</v>
      </c>
      <c r="G97">
        <v>14.91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-0.37804878048780466</v>
      </c>
      <c r="Q97">
        <f t="shared" ref="Q97" si="461">F97*P97</f>
        <v>-47776.876012195098</v>
      </c>
      <c r="R97">
        <f t="shared" ref="R97" si="462">R98+Q97</f>
        <v>-13267553.56241492</v>
      </c>
      <c r="S97">
        <f t="shared" ref="S97" si="463">R97/100000</f>
        <v>-132.67553562414921</v>
      </c>
      <c r="T97">
        <f t="shared" ref="T97" si="464">S97/1000</f>
        <v>-0.13267553562414922</v>
      </c>
    </row>
    <row r="98" spans="1:20" x14ac:dyDescent="0.25">
      <c r="A98" s="5">
        <v>44495</v>
      </c>
      <c r="B98">
        <v>16.11</v>
      </c>
      <c r="C98">
        <v>16.3</v>
      </c>
      <c r="D98">
        <v>15.72</v>
      </c>
      <c r="E98">
        <v>15.81</v>
      </c>
      <c r="F98">
        <v>89273.1</v>
      </c>
      <c r="G98">
        <v>15.81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-0.68965517241379359</v>
      </c>
      <c r="Q98">
        <f t="shared" ref="Q98" si="466">F98*P98</f>
        <v>-61567.655172413841</v>
      </c>
      <c r="R98">
        <f t="shared" ref="R98" si="467">R99+Q98</f>
        <v>-13219776.686402725</v>
      </c>
      <c r="S98">
        <f t="shared" ref="S98" si="468">R98/100000</f>
        <v>-132.19776686402724</v>
      </c>
      <c r="T98">
        <f t="shared" ref="T98" si="469">S98/1000</f>
        <v>-0.13219776686402723</v>
      </c>
    </row>
    <row r="99" spans="1:20" x14ac:dyDescent="0.25">
      <c r="A99" s="5">
        <v>44494</v>
      </c>
      <c r="B99">
        <v>15.92</v>
      </c>
      <c r="C99">
        <v>16.21</v>
      </c>
      <c r="D99">
        <v>15.74</v>
      </c>
      <c r="E99">
        <v>16.13</v>
      </c>
      <c r="F99">
        <v>77022.12</v>
      </c>
      <c r="G99">
        <v>16.13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0.65957446808509901</v>
      </c>
      <c r="Q99">
        <f t="shared" ref="Q99" si="471">F99*P99</f>
        <v>50801.823829786663</v>
      </c>
      <c r="R99">
        <f t="shared" ref="R99" si="472">R100+Q99</f>
        <v>-13158209.031230312</v>
      </c>
      <c r="S99">
        <f t="shared" ref="S99" si="473">R99/100000</f>
        <v>-131.58209031230311</v>
      </c>
      <c r="T99">
        <f t="shared" ref="T99" si="474">S99/1000</f>
        <v>-0.13158209031230311</v>
      </c>
    </row>
    <row r="100" spans="1:20" x14ac:dyDescent="0.25">
      <c r="A100" s="5">
        <v>44493</v>
      </c>
      <c r="B100">
        <v>16.48</v>
      </c>
      <c r="C100">
        <v>16.59</v>
      </c>
      <c r="D100">
        <v>15.75</v>
      </c>
      <c r="E100">
        <v>15.9</v>
      </c>
      <c r="F100">
        <v>87234.41</v>
      </c>
      <c r="G100">
        <v>15.9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-0.64285714285714191</v>
      </c>
      <c r="Q100">
        <f t="shared" ref="Q100" si="476">F100*P100</f>
        <v>-56079.263571428492</v>
      </c>
      <c r="R100">
        <f t="shared" ref="R100" si="477">R101+Q100</f>
        <v>-13209010.855060099</v>
      </c>
      <c r="S100">
        <f t="shared" ref="S100" si="478">R100/100000</f>
        <v>-132.09010855060097</v>
      </c>
      <c r="T100">
        <f t="shared" ref="T100" si="479">S100/1000</f>
        <v>-0.13209010855060097</v>
      </c>
    </row>
    <row r="101" spans="1:20" x14ac:dyDescent="0.25">
      <c r="A101" s="5">
        <v>44492</v>
      </c>
      <c r="B101">
        <v>16.38</v>
      </c>
      <c r="C101">
        <v>16.510000000000002</v>
      </c>
      <c r="D101">
        <v>16.260000000000002</v>
      </c>
      <c r="E101">
        <v>16.489999999999998</v>
      </c>
      <c r="F101">
        <v>49777.43</v>
      </c>
      <c r="G101">
        <v>16.489999999999998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0.83999999999997499</v>
      </c>
      <c r="Q101">
        <f t="shared" ref="Q101" si="481">F101*P101</f>
        <v>41813.041199998755</v>
      </c>
      <c r="R101">
        <f t="shared" ref="R101" si="482">R102+Q101</f>
        <v>-13152931.591488671</v>
      </c>
      <c r="S101">
        <f t="shared" ref="S101" si="483">R101/100000</f>
        <v>-131.52931591488669</v>
      </c>
      <c r="T101">
        <f t="shared" ref="T101" si="484">S101/1000</f>
        <v>-0.1315293159148867</v>
      </c>
    </row>
    <row r="102" spans="1:20" x14ac:dyDescent="0.25">
      <c r="A102" s="5">
        <v>44491</v>
      </c>
      <c r="B102">
        <v>16.59</v>
      </c>
      <c r="C102">
        <v>16.899999999999999</v>
      </c>
      <c r="D102">
        <v>16.059999999999999</v>
      </c>
      <c r="E102">
        <v>16.38</v>
      </c>
      <c r="F102">
        <v>89124.99</v>
      </c>
      <c r="G102">
        <v>16.38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-0.23809523809523728</v>
      </c>
      <c r="Q102">
        <f t="shared" ref="Q102" si="486">F102*P102</f>
        <v>-21220.235714285642</v>
      </c>
      <c r="R102">
        <f t="shared" ref="R102" si="487">R103+Q102</f>
        <v>-13194744.632688669</v>
      </c>
      <c r="S102">
        <f t="shared" ref="S102" si="488">R102/100000</f>
        <v>-131.94744632688671</v>
      </c>
      <c r="T102">
        <f t="shared" ref="T102" si="489">S102/1000</f>
        <v>-0.13194744632688671</v>
      </c>
    </row>
    <row r="103" spans="1:20" x14ac:dyDescent="0.25">
      <c r="A103" s="5">
        <v>44490</v>
      </c>
      <c r="B103">
        <v>17.11</v>
      </c>
      <c r="C103">
        <v>17.77</v>
      </c>
      <c r="D103">
        <v>16.48</v>
      </c>
      <c r="E103">
        <v>16.559999999999999</v>
      </c>
      <c r="F103">
        <v>150731.09</v>
      </c>
      <c r="G103">
        <v>16.559999999999999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-0.87596899224806457</v>
      </c>
      <c r="Q103">
        <f t="shared" ref="Q103" si="491">F103*P103</f>
        <v>-132035.76100775233</v>
      </c>
      <c r="R103">
        <f t="shared" ref="R103" si="492">R104+Q103</f>
        <v>-13173524.396974383</v>
      </c>
      <c r="S103">
        <f t="shared" ref="S103" si="493">R103/100000</f>
        <v>-131.73524396974383</v>
      </c>
      <c r="T103">
        <f t="shared" ref="T103" si="494">S103/1000</f>
        <v>-0.13173524396974384</v>
      </c>
    </row>
    <row r="104" spans="1:20" x14ac:dyDescent="0.25">
      <c r="A104" s="5">
        <v>44489</v>
      </c>
      <c r="B104">
        <v>16.649999999999999</v>
      </c>
      <c r="C104">
        <v>17.46</v>
      </c>
      <c r="D104">
        <v>16.489999999999998</v>
      </c>
      <c r="E104">
        <v>17.079999999999998</v>
      </c>
      <c r="F104">
        <v>130099.66</v>
      </c>
      <c r="G104">
        <v>17.079999999999998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0.21649484536082142</v>
      </c>
      <c r="Q104">
        <f t="shared" ref="Q104" si="496">F104*P104</f>
        <v>28165.905773195445</v>
      </c>
      <c r="R104">
        <f t="shared" ref="R104" si="497">R105+Q104</f>
        <v>-13041488.635966631</v>
      </c>
      <c r="S104">
        <f t="shared" ref="S104" si="498">R104/100000</f>
        <v>-130.4148863596663</v>
      </c>
      <c r="T104">
        <f t="shared" ref="T104" si="499">S104/1000</f>
        <v>-0.1304148863596663</v>
      </c>
    </row>
    <row r="105" spans="1:20" x14ac:dyDescent="0.25">
      <c r="A105" s="5">
        <v>44488</v>
      </c>
      <c r="B105">
        <v>17.05</v>
      </c>
      <c r="C105">
        <v>17.2</v>
      </c>
      <c r="D105">
        <v>16.43</v>
      </c>
      <c r="E105">
        <v>16.62</v>
      </c>
      <c r="F105">
        <v>81669.27</v>
      </c>
      <c r="G105">
        <v>16.62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-0.50649350649350289</v>
      </c>
      <c r="Q105">
        <f t="shared" ref="Q105" si="501">F105*P105</f>
        <v>-41364.954935064641</v>
      </c>
      <c r="R105">
        <f t="shared" ref="R105" si="502">R106+Q105</f>
        <v>-13069654.541739827</v>
      </c>
      <c r="S105">
        <f t="shared" ref="S105" si="503">R105/100000</f>
        <v>-130.69654541739828</v>
      </c>
      <c r="T105">
        <f t="shared" ref="T105" si="504">S105/1000</f>
        <v>-0.13069654541739828</v>
      </c>
    </row>
    <row r="106" spans="1:20" x14ac:dyDescent="0.25">
      <c r="A106" s="5">
        <v>44487</v>
      </c>
      <c r="B106">
        <v>16.809999999999999</v>
      </c>
      <c r="C106">
        <v>17.38</v>
      </c>
      <c r="D106">
        <v>16.38</v>
      </c>
      <c r="E106">
        <v>17.05</v>
      </c>
      <c r="F106">
        <v>137053.93</v>
      </c>
      <c r="G106">
        <v>17.05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0.34000000000000341</v>
      </c>
      <c r="Q106">
        <f t="shared" ref="Q106" si="506">F106*P106</f>
        <v>46598.336200000464</v>
      </c>
      <c r="R106">
        <f t="shared" ref="R106" si="507">R107+Q106</f>
        <v>-13028289.586804762</v>
      </c>
      <c r="S106">
        <f t="shared" ref="S106" si="508">R106/100000</f>
        <v>-130.28289586804763</v>
      </c>
      <c r="T106">
        <f t="shared" ref="T106" si="509">S106/1000</f>
        <v>-0.13028289586804764</v>
      </c>
    </row>
    <row r="107" spans="1:20" x14ac:dyDescent="0.25">
      <c r="A107" s="5">
        <v>44486</v>
      </c>
      <c r="B107">
        <v>17.23</v>
      </c>
      <c r="C107">
        <v>17.399999999999999</v>
      </c>
      <c r="D107">
        <v>16.399999999999999</v>
      </c>
      <c r="E107">
        <v>16.78</v>
      </c>
      <c r="F107">
        <v>80192.31</v>
      </c>
      <c r="G107">
        <v>16.78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-0.23999999999999488</v>
      </c>
      <c r="Q107">
        <f t="shared" ref="Q107" si="511">F107*P107</f>
        <v>-19246.154399999588</v>
      </c>
      <c r="R107">
        <f t="shared" ref="R107" si="512">R108+Q107</f>
        <v>-13074887.923004763</v>
      </c>
      <c r="S107">
        <f t="shared" ref="S107" si="513">R107/100000</f>
        <v>-130.74887923004763</v>
      </c>
      <c r="T107">
        <f t="shared" ref="T107" si="514">S107/1000</f>
        <v>-0.13074887923004763</v>
      </c>
    </row>
    <row r="108" spans="1:20" x14ac:dyDescent="0.25">
      <c r="A108" s="5">
        <v>44485</v>
      </c>
      <c r="B108">
        <v>17.489999999999998</v>
      </c>
      <c r="C108">
        <v>17.64</v>
      </c>
      <c r="D108">
        <v>17.16</v>
      </c>
      <c r="E108">
        <v>17.23</v>
      </c>
      <c r="F108">
        <v>94471.48</v>
      </c>
      <c r="G108">
        <v>17.23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-0.70833333333333237</v>
      </c>
      <c r="Q108">
        <f t="shared" ref="Q108" si="516">F108*P108</f>
        <v>-66917.298333333238</v>
      </c>
      <c r="R108">
        <f t="shared" ref="R108" si="517">R109+Q108</f>
        <v>-13055641.768604763</v>
      </c>
      <c r="S108">
        <f t="shared" ref="S108" si="518">R108/100000</f>
        <v>-130.55641768604764</v>
      </c>
      <c r="T108">
        <f t="shared" ref="T108" si="519">S108/1000</f>
        <v>-0.13055641768604764</v>
      </c>
    </row>
    <row r="109" spans="1:20" x14ac:dyDescent="0.25">
      <c r="A109" s="5">
        <v>44484</v>
      </c>
      <c r="B109">
        <v>18.03</v>
      </c>
      <c r="C109">
        <v>18.12</v>
      </c>
      <c r="D109">
        <v>17.22</v>
      </c>
      <c r="E109">
        <v>17.52</v>
      </c>
      <c r="F109">
        <v>142266.63</v>
      </c>
      <c r="G109">
        <v>17.52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-0.33333333333333331</v>
      </c>
      <c r="Q109">
        <f t="shared" ref="Q109" si="521">F109*P109</f>
        <v>-47422.21</v>
      </c>
      <c r="R109">
        <f t="shared" ref="R109" si="522">R110+Q109</f>
        <v>-12988724.470271429</v>
      </c>
      <c r="S109">
        <f t="shared" ref="S109" si="523">R109/100000</f>
        <v>-129.8872447027143</v>
      </c>
      <c r="T109">
        <f t="shared" ref="T109" si="524">S109/1000</f>
        <v>-0.12988724470271429</v>
      </c>
    </row>
    <row r="110" spans="1:20" x14ac:dyDescent="0.25">
      <c r="A110" s="5">
        <v>44483</v>
      </c>
      <c r="B110">
        <v>17.84</v>
      </c>
      <c r="C110">
        <v>18.2</v>
      </c>
      <c r="D110">
        <v>17.600000000000001</v>
      </c>
      <c r="E110">
        <v>18.02</v>
      </c>
      <c r="F110">
        <v>138896.1</v>
      </c>
      <c r="G110">
        <v>18.02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0.3999999999999988</v>
      </c>
      <c r="Q110">
        <f t="shared" ref="Q110" si="526">F110*P110</f>
        <v>55558.439999999835</v>
      </c>
      <c r="R110">
        <f t="shared" ref="R110" si="527">R111+Q110</f>
        <v>-12941302.260271428</v>
      </c>
      <c r="S110">
        <f t="shared" ref="S110" si="528">R110/100000</f>
        <v>-129.41302260271428</v>
      </c>
      <c r="T110">
        <f t="shared" ref="T110" si="529">S110/1000</f>
        <v>-0.12941302260271428</v>
      </c>
    </row>
    <row r="111" spans="1:20" x14ac:dyDescent="0.25">
      <c r="A111" s="5">
        <v>44482</v>
      </c>
      <c r="B111">
        <v>17.18</v>
      </c>
      <c r="C111">
        <v>18.399999999999999</v>
      </c>
      <c r="D111">
        <v>16.899999999999999</v>
      </c>
      <c r="E111">
        <v>17.809999999999999</v>
      </c>
      <c r="F111">
        <v>276806.18</v>
      </c>
      <c r="G111">
        <v>17.809999999999999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0.21333333333333351</v>
      </c>
      <c r="Q111">
        <f t="shared" ref="Q111" si="531">F111*P111</f>
        <v>59051.985066666712</v>
      </c>
      <c r="R111">
        <f t="shared" ref="R111" si="532">R112+Q111</f>
        <v>-12996860.700271428</v>
      </c>
      <c r="S111">
        <f t="shared" ref="S111" si="533">R111/100000</f>
        <v>-129.96860700271426</v>
      </c>
      <c r="T111">
        <f t="shared" ref="T111" si="534">S111/1000</f>
        <v>-0.12996860700271426</v>
      </c>
    </row>
    <row r="112" spans="1:20" x14ac:dyDescent="0.25">
      <c r="A112" s="5">
        <v>44481</v>
      </c>
      <c r="B112">
        <v>17.32</v>
      </c>
      <c r="C112">
        <v>17.55</v>
      </c>
      <c r="D112">
        <v>16.87</v>
      </c>
      <c r="E112">
        <v>17.16</v>
      </c>
      <c r="F112">
        <v>128282.95</v>
      </c>
      <c r="G112">
        <v>17.16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-0.14705882352941391</v>
      </c>
      <c r="Q112">
        <f t="shared" ref="Q112" si="536">F112*P112</f>
        <v>-18865.139705882626</v>
      </c>
      <c r="R112">
        <f t="shared" ref="R112" si="537">R113+Q112</f>
        <v>-13055912.685338095</v>
      </c>
      <c r="S112">
        <f t="shared" ref="S112" si="538">R112/100000</f>
        <v>-130.55912685338095</v>
      </c>
      <c r="T112">
        <f t="shared" ref="T112" si="539">S112/1000</f>
        <v>-0.13055912685338095</v>
      </c>
    </row>
    <row r="113" spans="1:20" x14ac:dyDescent="0.25">
      <c r="A113" s="5">
        <v>44480</v>
      </c>
      <c r="B113">
        <v>17.04</v>
      </c>
      <c r="C113">
        <v>18.260000000000002</v>
      </c>
      <c r="D113">
        <v>16.87</v>
      </c>
      <c r="E113">
        <v>17.36</v>
      </c>
      <c r="F113">
        <v>165775.35</v>
      </c>
      <c r="G113">
        <v>17.36</v>
      </c>
      <c r="L113" t="s">
        <v>8</v>
      </c>
      <c r="M113" t="s">
        <v>7</v>
      </c>
      <c r="N113" t="s">
        <v>7</v>
      </c>
      <c r="P113">
        <f t="shared" ref="P113" si="540">IF(C113=D113,0,((E113-D113)-(C113-E113))/(C113-D113))</f>
        <v>-0.29496402877698097</v>
      </c>
      <c r="Q113">
        <f t="shared" ref="Q113" si="541">F113*P113</f>
        <v>-48897.765107914092</v>
      </c>
      <c r="R113">
        <f t="shared" ref="R113" si="542">R114+Q113</f>
        <v>-13037047.545632211</v>
      </c>
      <c r="S113">
        <f t="shared" ref="S113" si="543">R113/100000</f>
        <v>-130.37047545632211</v>
      </c>
      <c r="T113">
        <f t="shared" ref="T113" si="544">S113/1000</f>
        <v>-0.1303704754563221</v>
      </c>
    </row>
    <row r="114" spans="1:20" x14ac:dyDescent="0.25">
      <c r="A114" s="5">
        <v>44479</v>
      </c>
      <c r="B114">
        <v>17.579999999999998</v>
      </c>
      <c r="C114">
        <v>17.88</v>
      </c>
      <c r="D114">
        <v>16.87</v>
      </c>
      <c r="E114">
        <v>17.07</v>
      </c>
      <c r="F114">
        <v>93721.59</v>
      </c>
      <c r="G114">
        <v>17.07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-0.60396039603960461</v>
      </c>
      <c r="Q114">
        <f t="shared" ref="Q114" si="546">F114*P114</f>
        <v>-56604.128613861445</v>
      </c>
      <c r="R114">
        <f t="shared" ref="R114" si="547">R115+Q114</f>
        <v>-12988149.780524297</v>
      </c>
      <c r="S114">
        <f t="shared" ref="S114" si="548">R114/100000</f>
        <v>-129.88149780524296</v>
      </c>
      <c r="T114">
        <f t="shared" ref="T114" si="549">S114/1000</f>
        <v>-0.12988149780524297</v>
      </c>
    </row>
    <row r="115" spans="1:20" x14ac:dyDescent="0.25">
      <c r="A115" s="5">
        <v>44478</v>
      </c>
      <c r="B115">
        <v>17.37</v>
      </c>
      <c r="C115">
        <v>18.43</v>
      </c>
      <c r="D115">
        <v>17.149999999999999</v>
      </c>
      <c r="E115">
        <v>17.57</v>
      </c>
      <c r="F115">
        <v>130216.09</v>
      </c>
      <c r="G115">
        <v>17.57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-0.34374999999999789</v>
      </c>
      <c r="Q115">
        <f t="shared" ref="Q115" si="551">F115*P115</f>
        <v>-44761.780937499723</v>
      </c>
      <c r="R115">
        <f t="shared" ref="R115" si="552">R116+Q115</f>
        <v>-12931545.651910435</v>
      </c>
      <c r="S115">
        <f t="shared" ref="S115" si="553">R115/100000</f>
        <v>-129.31545651910434</v>
      </c>
      <c r="T115">
        <f t="shared" ref="T115" si="554">S115/1000</f>
        <v>-0.12931545651910434</v>
      </c>
    </row>
    <row r="116" spans="1:20" x14ac:dyDescent="0.25">
      <c r="A116" s="5">
        <v>44477</v>
      </c>
      <c r="B116">
        <v>18.05</v>
      </c>
      <c r="C116">
        <v>18.579999999999998</v>
      </c>
      <c r="D116">
        <v>17.309999999999999</v>
      </c>
      <c r="E116">
        <v>17.440000000000001</v>
      </c>
      <c r="F116">
        <v>223957.34</v>
      </c>
      <c r="G116">
        <v>17.440000000000001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-0.79527559055117703</v>
      </c>
      <c r="Q116">
        <f t="shared" ref="Q116" si="556">F116*P116</f>
        <v>-178107.80582677072</v>
      </c>
      <c r="R116">
        <f t="shared" ref="R116" si="557">R117+Q116</f>
        <v>-12886783.870972935</v>
      </c>
      <c r="S116">
        <f t="shared" ref="S116" si="558">R116/100000</f>
        <v>-128.86783870972934</v>
      </c>
      <c r="T116">
        <f t="shared" ref="T116" si="559">S116/1000</f>
        <v>-0.12886783870972934</v>
      </c>
    </row>
    <row r="117" spans="1:20" x14ac:dyDescent="0.25">
      <c r="A117" s="5">
        <v>44476</v>
      </c>
      <c r="B117">
        <v>17.13</v>
      </c>
      <c r="C117">
        <v>19.399999999999999</v>
      </c>
      <c r="D117">
        <v>16.850000000000001</v>
      </c>
      <c r="E117">
        <v>18.05</v>
      </c>
      <c r="F117">
        <v>943396.17</v>
      </c>
      <c r="G117">
        <v>18.05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-5.8823529411764212E-2</v>
      </c>
      <c r="Q117">
        <f t="shared" ref="Q117" si="561">F117*P117</f>
        <v>-55493.892352940711</v>
      </c>
      <c r="R117">
        <f t="shared" ref="R117" si="562">R118+Q117</f>
        <v>-12708676.065146165</v>
      </c>
      <c r="S117">
        <f t="shared" ref="S117" si="563">R117/100000</f>
        <v>-127.08676065146165</v>
      </c>
      <c r="T117">
        <f t="shared" ref="T117" si="564">S117/1000</f>
        <v>-0.12708676065146166</v>
      </c>
    </row>
    <row r="118" spans="1:20" x14ac:dyDescent="0.25">
      <c r="A118" s="5">
        <v>44475</v>
      </c>
      <c r="B118">
        <v>16.23</v>
      </c>
      <c r="C118">
        <v>19.87</v>
      </c>
      <c r="D118">
        <v>15.71</v>
      </c>
      <c r="E118">
        <v>17.13</v>
      </c>
      <c r="F118">
        <v>1341553.79</v>
      </c>
      <c r="G118">
        <v>17.13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-0.31730769230769323</v>
      </c>
      <c r="Q118">
        <f t="shared" ref="Q118" si="566">F118*P118</f>
        <v>-425685.33721153974</v>
      </c>
      <c r="R118">
        <f t="shared" ref="R118" si="567">R119+Q118</f>
        <v>-12653182.172793224</v>
      </c>
      <c r="S118">
        <f t="shared" ref="S118" si="568">R118/100000</f>
        <v>-126.53182172793224</v>
      </c>
      <c r="T118">
        <f t="shared" ref="T118" si="569">S118/1000</f>
        <v>-0.12653182172793223</v>
      </c>
    </row>
    <row r="119" spans="1:20" x14ac:dyDescent="0.25">
      <c r="A119" s="5">
        <v>44474</v>
      </c>
      <c r="B119">
        <v>16.16</v>
      </c>
      <c r="C119">
        <v>16.39</v>
      </c>
      <c r="D119">
        <v>15.5</v>
      </c>
      <c r="E119">
        <v>16.23</v>
      </c>
      <c r="F119">
        <v>114330.8</v>
      </c>
      <c r="G119">
        <v>16.23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0.64044943820224709</v>
      </c>
      <c r="Q119">
        <f t="shared" ref="Q119" si="571">F119*P119</f>
        <v>73223.096629213469</v>
      </c>
      <c r="R119">
        <f t="shared" ref="R119" si="572">R120+Q119</f>
        <v>-12227496.835581684</v>
      </c>
      <c r="S119">
        <f t="shared" ref="S119" si="573">R119/100000</f>
        <v>-122.27496835581684</v>
      </c>
      <c r="T119">
        <f t="shared" ref="T119" si="574">S119/1000</f>
        <v>-0.12227496835581683</v>
      </c>
    </row>
    <row r="120" spans="1:20" x14ac:dyDescent="0.25">
      <c r="A120" s="5">
        <v>44473</v>
      </c>
      <c r="B120">
        <v>16.489999999999998</v>
      </c>
      <c r="C120">
        <v>16.54</v>
      </c>
      <c r="D120">
        <v>15.87</v>
      </c>
      <c r="E120">
        <v>16.11</v>
      </c>
      <c r="F120">
        <v>102758.71</v>
      </c>
      <c r="G120">
        <v>16.11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-0.28358208955223807</v>
      </c>
      <c r="Q120">
        <f t="shared" ref="Q120" si="576">F120*P120</f>
        <v>-29140.529701492462</v>
      </c>
      <c r="R120">
        <f t="shared" ref="R120" si="577">R121+Q120</f>
        <v>-12300719.932210898</v>
      </c>
      <c r="S120">
        <f t="shared" ref="S120" si="578">R120/100000</f>
        <v>-123.00719932210897</v>
      </c>
      <c r="T120">
        <f t="shared" ref="T120" si="579">S120/1000</f>
        <v>-0.12300719932210898</v>
      </c>
    </row>
    <row r="121" spans="1:20" x14ac:dyDescent="0.25">
      <c r="A121" s="5">
        <v>44472</v>
      </c>
      <c r="B121">
        <v>16.489999999999998</v>
      </c>
      <c r="C121">
        <v>16.989999999999998</v>
      </c>
      <c r="D121">
        <v>16.2</v>
      </c>
      <c r="E121">
        <v>16.489999999999998</v>
      </c>
      <c r="F121">
        <v>138665.31</v>
      </c>
      <c r="G121">
        <v>16.489999999999998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-0.26582278481012794</v>
      </c>
      <c r="Q121">
        <f t="shared" ref="Q121" si="581">F121*P121</f>
        <v>-36860.398860759684</v>
      </c>
      <c r="R121">
        <f t="shared" ref="R121" si="582">R122+Q121</f>
        <v>-12271579.402509406</v>
      </c>
      <c r="S121">
        <f t="shared" ref="S121" si="583">R121/100000</f>
        <v>-122.71579402509406</v>
      </c>
      <c r="T121">
        <f t="shared" ref="T121" si="584">S121/1000</f>
        <v>-0.12271579402509405</v>
      </c>
    </row>
    <row r="122" spans="1:20" x14ac:dyDescent="0.25">
      <c r="A122" s="5">
        <v>44471</v>
      </c>
      <c r="B122">
        <v>16.739999999999998</v>
      </c>
      <c r="C122">
        <v>17.5</v>
      </c>
      <c r="D122">
        <v>16.38</v>
      </c>
      <c r="E122">
        <v>16.52</v>
      </c>
      <c r="F122">
        <v>417651.11</v>
      </c>
      <c r="G122">
        <v>16.52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-0.74999999999999922</v>
      </c>
      <c r="Q122">
        <f t="shared" ref="Q122" si="586">F122*P122</f>
        <v>-313238.33249999967</v>
      </c>
      <c r="R122">
        <f t="shared" ref="R122" si="587">R123+Q122</f>
        <v>-12234719.003648646</v>
      </c>
      <c r="S122">
        <f t="shared" ref="S122" si="588">R122/100000</f>
        <v>-122.34719003648647</v>
      </c>
      <c r="T122">
        <f t="shared" ref="T122" si="589">S122/1000</f>
        <v>-0.12234719003648646</v>
      </c>
    </row>
    <row r="123" spans="1:20" x14ac:dyDescent="0.25">
      <c r="A123" s="5">
        <v>44470</v>
      </c>
      <c r="B123">
        <v>16.02</v>
      </c>
      <c r="C123">
        <v>17.5</v>
      </c>
      <c r="D123">
        <v>15.87</v>
      </c>
      <c r="E123">
        <v>16.75</v>
      </c>
      <c r="F123">
        <v>195586.43</v>
      </c>
      <c r="G123">
        <v>16.75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7.9754601226994307E-2</v>
      </c>
      <c r="Q123">
        <f t="shared" ref="Q123" si="591">F123*P123</f>
        <v>15598.917730061436</v>
      </c>
      <c r="R123">
        <f t="shared" ref="R123" si="592">R124+Q123</f>
        <v>-11921480.671148647</v>
      </c>
      <c r="S123">
        <f t="shared" ref="S123" si="593">R123/100000</f>
        <v>-119.21480671148646</v>
      </c>
      <c r="T123">
        <f t="shared" ref="T123" si="594">S123/1000</f>
        <v>-0.11921480671148646</v>
      </c>
    </row>
    <row r="124" spans="1:20" x14ac:dyDescent="0.25">
      <c r="A124" s="5">
        <v>44469</v>
      </c>
      <c r="B124">
        <v>15.5</v>
      </c>
      <c r="C124">
        <v>16.260000000000002</v>
      </c>
      <c r="D124">
        <v>15.38</v>
      </c>
      <c r="E124">
        <v>16.03</v>
      </c>
      <c r="F124">
        <v>79699.92</v>
      </c>
      <c r="G124">
        <v>16.03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0.47727272727272679</v>
      </c>
      <c r="Q124">
        <f t="shared" ref="Q124" si="596">F124*P124</f>
        <v>38038.598181818146</v>
      </c>
      <c r="R124">
        <f t="shared" ref="R124" si="597">R125+Q124</f>
        <v>-11937079.588878708</v>
      </c>
      <c r="S124">
        <f t="shared" ref="S124" si="598">R124/100000</f>
        <v>-119.37079588878709</v>
      </c>
      <c r="T124">
        <f t="shared" ref="T124" si="599">S124/1000</f>
        <v>-0.11937079588878709</v>
      </c>
    </row>
    <row r="125" spans="1:20" x14ac:dyDescent="0.25">
      <c r="A125" s="5">
        <v>44468</v>
      </c>
      <c r="B125">
        <v>15.96</v>
      </c>
      <c r="C125">
        <v>16.66</v>
      </c>
      <c r="D125">
        <v>15.38</v>
      </c>
      <c r="E125">
        <v>15.47</v>
      </c>
      <c r="F125">
        <v>97251.78</v>
      </c>
      <c r="G125">
        <v>15.47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-0.85937500000000011</v>
      </c>
      <c r="Q125">
        <f t="shared" ref="Q125" si="601">F125*P125</f>
        <v>-83575.748437500006</v>
      </c>
      <c r="R125">
        <f t="shared" ref="R125" si="602">R126+Q125</f>
        <v>-11975118.187060526</v>
      </c>
      <c r="S125">
        <f t="shared" ref="S125" si="603">R125/100000</f>
        <v>-119.75118187060525</v>
      </c>
      <c r="T125">
        <f t="shared" ref="T125" si="604">S125/1000</f>
        <v>-0.11975118187060525</v>
      </c>
    </row>
    <row r="126" spans="1:20" x14ac:dyDescent="0.25">
      <c r="A126" s="5">
        <v>44467</v>
      </c>
      <c r="B126">
        <v>16.510000000000002</v>
      </c>
      <c r="C126">
        <v>17.47</v>
      </c>
      <c r="D126">
        <v>15.86</v>
      </c>
      <c r="E126">
        <v>15.92</v>
      </c>
      <c r="F126">
        <v>157630.67000000001</v>
      </c>
      <c r="G126">
        <v>15.92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-0.92546583850931607</v>
      </c>
      <c r="Q126">
        <f t="shared" ref="Q126" si="606">F126*P126</f>
        <v>-145881.80018633531</v>
      </c>
      <c r="R126">
        <f t="shared" ref="R126" si="607">R127+Q126</f>
        <v>-11891542.438623026</v>
      </c>
      <c r="S126">
        <f t="shared" ref="S126" si="608">R126/100000</f>
        <v>-118.91542438623026</v>
      </c>
      <c r="T126">
        <f t="shared" ref="T126" si="609">S126/1000</f>
        <v>-0.11891542438623026</v>
      </c>
    </row>
    <row r="127" spans="1:20" x14ac:dyDescent="0.25">
      <c r="A127" s="5">
        <v>44466</v>
      </c>
      <c r="B127">
        <v>16.670000000000002</v>
      </c>
      <c r="C127">
        <v>17.420000000000002</v>
      </c>
      <c r="D127">
        <v>16.45</v>
      </c>
      <c r="E127">
        <v>16.52</v>
      </c>
      <c r="F127">
        <v>149662.85</v>
      </c>
      <c r="G127">
        <v>16.52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-0.85567010309278324</v>
      </c>
      <c r="Q127">
        <f t="shared" ref="Q127" si="611">F127*P127</f>
        <v>-128062.02628865976</v>
      </c>
      <c r="R127">
        <f t="shared" ref="R127" si="612">R128+Q127</f>
        <v>-11745660.63843669</v>
      </c>
      <c r="S127">
        <f t="shared" ref="S127" si="613">R127/100000</f>
        <v>-117.45660638436689</v>
      </c>
      <c r="T127">
        <f t="shared" ref="T127" si="614">S127/1000</f>
        <v>-0.11745660638436689</v>
      </c>
    </row>
    <row r="128" spans="1:20" x14ac:dyDescent="0.25">
      <c r="A128" s="5">
        <v>44465</v>
      </c>
      <c r="B128">
        <v>16.98</v>
      </c>
      <c r="C128">
        <v>17.16</v>
      </c>
      <c r="D128">
        <v>15.96</v>
      </c>
      <c r="E128">
        <v>16.739999999999998</v>
      </c>
      <c r="F128">
        <v>168395.02</v>
      </c>
      <c r="G128">
        <v>16.739999999999998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0.29999999999999677</v>
      </c>
      <c r="Q128">
        <f t="shared" ref="Q128" si="616">F128*P128</f>
        <v>50518.505999999456</v>
      </c>
      <c r="R128">
        <f t="shared" ref="R128" si="617">R129+Q128</f>
        <v>-11617598.61214803</v>
      </c>
      <c r="S128">
        <f t="shared" ref="S128" si="618">R128/100000</f>
        <v>-116.17598612148029</v>
      </c>
      <c r="T128">
        <f t="shared" ref="T128" si="619">S128/1000</f>
        <v>-0.11617598612148029</v>
      </c>
    </row>
    <row r="129" spans="1:20" x14ac:dyDescent="0.25">
      <c r="A129" s="5">
        <v>44464</v>
      </c>
      <c r="B129">
        <v>17.61</v>
      </c>
      <c r="C129">
        <v>17.82</v>
      </c>
      <c r="D129">
        <v>16.63</v>
      </c>
      <c r="E129">
        <v>16.989999999999998</v>
      </c>
      <c r="F129">
        <v>177650.44</v>
      </c>
      <c r="G129">
        <v>16.989999999999998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-0.39495798319327891</v>
      </c>
      <c r="Q129">
        <f t="shared" ref="Q129" si="621">F129*P129</f>
        <v>-70164.459495798597</v>
      </c>
      <c r="R129">
        <f t="shared" ref="R129" si="622">R130+Q129</f>
        <v>-11668117.118148029</v>
      </c>
      <c r="S129">
        <f t="shared" ref="S129" si="623">R129/100000</f>
        <v>-116.68117118148029</v>
      </c>
      <c r="T129">
        <f t="shared" ref="T129" si="624">S129/1000</f>
        <v>-0.11668117118148029</v>
      </c>
    </row>
    <row r="130" spans="1:20" x14ac:dyDescent="0.25">
      <c r="A130" s="5">
        <v>44463</v>
      </c>
      <c r="B130">
        <v>18.59</v>
      </c>
      <c r="C130">
        <v>18.93</v>
      </c>
      <c r="D130">
        <v>16.59</v>
      </c>
      <c r="E130">
        <v>17.600000000000001</v>
      </c>
      <c r="F130">
        <v>629584.27</v>
      </c>
      <c r="G130">
        <v>17.600000000000001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-0.13675213675213535</v>
      </c>
      <c r="Q130">
        <f t="shared" ref="Q130" si="626">F130*P130</f>
        <v>-86096.994188033306</v>
      </c>
      <c r="R130">
        <f t="shared" ref="R130" si="627">R131+Q130</f>
        <v>-11597952.658652231</v>
      </c>
      <c r="S130">
        <f t="shared" ref="S130" si="628">R130/100000</f>
        <v>-115.97952658652231</v>
      </c>
      <c r="T130">
        <f t="shared" ref="T130" si="629">S130/1000</f>
        <v>-0.11597952658652232</v>
      </c>
    </row>
    <row r="131" spans="1:20" x14ac:dyDescent="0.25">
      <c r="A131" s="5">
        <v>44462</v>
      </c>
      <c r="B131">
        <v>16.38</v>
      </c>
      <c r="C131">
        <v>24.6</v>
      </c>
      <c r="D131">
        <v>16.190000000000001</v>
      </c>
      <c r="E131">
        <v>18.61</v>
      </c>
      <c r="F131">
        <v>2092858.202</v>
      </c>
      <c r="G131">
        <v>18.61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-0.42449464922711105</v>
      </c>
      <c r="Q131">
        <f t="shared" ref="Q131" si="631">F131*P131</f>
        <v>-888407.10834007233</v>
      </c>
      <c r="R131">
        <f t="shared" ref="R131" si="632">R132+Q131</f>
        <v>-11511855.664464198</v>
      </c>
      <c r="S131">
        <f t="shared" ref="S131" si="633">R131/100000</f>
        <v>-115.11855664464198</v>
      </c>
      <c r="T131">
        <f t="shared" ref="T131" si="634">S131/1000</f>
        <v>-0.11511855664464199</v>
      </c>
    </row>
    <row r="132" spans="1:20" x14ac:dyDescent="0.25">
      <c r="A132" s="5">
        <v>44461</v>
      </c>
      <c r="B132">
        <v>15.18</v>
      </c>
      <c r="C132">
        <v>16.47</v>
      </c>
      <c r="D132">
        <v>15.09</v>
      </c>
      <c r="E132">
        <v>16.399999999999999</v>
      </c>
      <c r="F132">
        <v>128307.18</v>
      </c>
      <c r="G132">
        <v>16.399999999999999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0.89855072463768071</v>
      </c>
      <c r="Q132">
        <f t="shared" ref="Q132" si="636">F132*P132</f>
        <v>115290.50956521733</v>
      </c>
      <c r="R132">
        <f t="shared" ref="R132" si="637">R133+Q132</f>
        <v>-10623448.556124127</v>
      </c>
      <c r="S132">
        <f t="shared" ref="S132" si="638">R132/100000</f>
        <v>-106.23448556124127</v>
      </c>
      <c r="T132">
        <f t="shared" ref="T132" si="639">S132/1000</f>
        <v>-0.10623448556124127</v>
      </c>
    </row>
    <row r="133" spans="1:20" x14ac:dyDescent="0.25">
      <c r="A133" s="5">
        <v>44460</v>
      </c>
      <c r="B133">
        <v>15.8</v>
      </c>
      <c r="C133">
        <v>17.739999999999998</v>
      </c>
      <c r="D133">
        <v>15.01</v>
      </c>
      <c r="E133">
        <v>15.25</v>
      </c>
      <c r="F133">
        <v>152666.03</v>
      </c>
      <c r="G133">
        <v>15.25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-0.82417582417582391</v>
      </c>
      <c r="Q133">
        <f t="shared" ref="Q133" si="641">F133*P133</f>
        <v>-125823.65109890106</v>
      </c>
      <c r="R133">
        <f t="shared" ref="R133" si="642">R134+Q133</f>
        <v>-10738739.065689344</v>
      </c>
      <c r="S133">
        <f t="shared" ref="S133" si="643">R133/100000</f>
        <v>-107.38739065689344</v>
      </c>
      <c r="T133">
        <f t="shared" ref="T133" si="644">S133/1000</f>
        <v>-0.10738739065689344</v>
      </c>
    </row>
    <row r="134" spans="1:20" x14ac:dyDescent="0.25">
      <c r="A134" s="5">
        <v>44459</v>
      </c>
      <c r="B134">
        <v>17.95</v>
      </c>
      <c r="C134">
        <v>18.2</v>
      </c>
      <c r="D134">
        <v>16.350000000000001</v>
      </c>
      <c r="E134">
        <v>17</v>
      </c>
      <c r="F134">
        <v>68352.83</v>
      </c>
      <c r="G134">
        <v>17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-0.29729729729729804</v>
      </c>
      <c r="Q134">
        <f t="shared" ref="Q134" si="646">F134*P134</f>
        <v>-20321.111621621672</v>
      </c>
      <c r="R134">
        <f t="shared" ref="R134" si="647">R135+Q134</f>
        <v>-10612915.414590443</v>
      </c>
      <c r="S134">
        <f t="shared" ref="S134" si="648">R134/100000</f>
        <v>-106.12915414590442</v>
      </c>
      <c r="T134">
        <f t="shared" ref="T134" si="649">S134/1000</f>
        <v>-0.10612915414590442</v>
      </c>
    </row>
    <row r="135" spans="1:20" x14ac:dyDescent="0.25">
      <c r="A135" s="5">
        <v>44458</v>
      </c>
      <c r="B135">
        <v>18.12</v>
      </c>
      <c r="C135">
        <v>18.989999999999998</v>
      </c>
      <c r="D135">
        <v>17.82</v>
      </c>
      <c r="E135">
        <v>17.98</v>
      </c>
      <c r="F135">
        <v>165372.84</v>
      </c>
      <c r="G135">
        <v>17.98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-0.7264957264957258</v>
      </c>
      <c r="Q135">
        <f t="shared" ref="Q135" si="651">F135*P135</f>
        <v>-120142.66153846143</v>
      </c>
      <c r="R135">
        <f t="shared" ref="R135" si="652">R136+Q135</f>
        <v>-10592594.302968821</v>
      </c>
      <c r="S135">
        <f t="shared" ref="S135" si="653">R135/100000</f>
        <v>-105.9259430296882</v>
      </c>
      <c r="T135">
        <f t="shared" ref="T135" si="654">S135/1000</f>
        <v>-0.1059259430296882</v>
      </c>
    </row>
    <row r="136" spans="1:20" x14ac:dyDescent="0.25">
      <c r="A136" s="5">
        <v>44457</v>
      </c>
      <c r="B136">
        <v>18.28</v>
      </c>
      <c r="C136">
        <v>18.55</v>
      </c>
      <c r="D136">
        <v>18</v>
      </c>
      <c r="E136">
        <v>18.149999999999999</v>
      </c>
      <c r="F136">
        <v>40845.56</v>
      </c>
      <c r="G136">
        <v>18.149999999999999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-0.45454545454546041</v>
      </c>
      <c r="Q136">
        <f t="shared" ref="Q136" si="656">F136*P136</f>
        <v>-18566.163636363875</v>
      </c>
      <c r="R136">
        <f t="shared" ref="R136" si="657">R137+Q136</f>
        <v>-10472451.641430359</v>
      </c>
      <c r="S136">
        <f t="shared" ref="S136" si="658">R136/100000</f>
        <v>-104.72451641430359</v>
      </c>
      <c r="T136">
        <f t="shared" ref="T136" si="659">S136/1000</f>
        <v>-0.1047245164143036</v>
      </c>
    </row>
    <row r="137" spans="1:20" x14ac:dyDescent="0.25">
      <c r="A137" s="5">
        <v>44456</v>
      </c>
      <c r="B137">
        <v>18.62</v>
      </c>
      <c r="C137">
        <v>18.98</v>
      </c>
      <c r="D137">
        <v>17.98</v>
      </c>
      <c r="E137">
        <v>18.32</v>
      </c>
      <c r="F137">
        <v>85859.14</v>
      </c>
      <c r="G137">
        <v>18.32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-0.32000000000000028</v>
      </c>
      <c r="Q137">
        <f t="shared" ref="Q137" si="661">F137*P137</f>
        <v>-27474.924800000023</v>
      </c>
      <c r="R137">
        <f t="shared" ref="R137" si="662">R138+Q137</f>
        <v>-10453885.477793995</v>
      </c>
      <c r="S137">
        <f t="shared" ref="S137" si="663">R137/100000</f>
        <v>-104.53885477793995</v>
      </c>
      <c r="T137">
        <f t="shared" ref="T137" si="664">S137/1000</f>
        <v>-0.10453885477793995</v>
      </c>
    </row>
    <row r="138" spans="1:20" x14ac:dyDescent="0.25">
      <c r="A138" s="5">
        <v>44455</v>
      </c>
      <c r="B138">
        <v>18.82</v>
      </c>
      <c r="C138">
        <v>20</v>
      </c>
      <c r="D138">
        <v>18.36</v>
      </c>
      <c r="E138">
        <v>18.63</v>
      </c>
      <c r="F138">
        <v>227077.84</v>
      </c>
      <c r="G138">
        <v>18.63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-0.67073170731707377</v>
      </c>
      <c r="Q138">
        <f t="shared" ref="Q138" si="666">F138*P138</f>
        <v>-152308.30731707331</v>
      </c>
      <c r="R138">
        <f t="shared" ref="R138" si="667">R139+Q138</f>
        <v>-10426410.552993996</v>
      </c>
      <c r="S138">
        <f t="shared" ref="S138" si="668">R138/100000</f>
        <v>-104.26410552993995</v>
      </c>
      <c r="T138">
        <f t="shared" ref="T138" si="669">S138/1000</f>
        <v>-0.10426410552993995</v>
      </c>
    </row>
    <row r="139" spans="1:20" x14ac:dyDescent="0.25">
      <c r="A139" s="5">
        <v>44454</v>
      </c>
      <c r="B139">
        <v>18.600000000000001</v>
      </c>
      <c r="C139">
        <v>19.79</v>
      </c>
      <c r="D139">
        <v>18.18</v>
      </c>
      <c r="E139">
        <v>18.86</v>
      </c>
      <c r="F139">
        <v>339630.04</v>
      </c>
      <c r="G139">
        <v>18.86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-0.15527950310559011</v>
      </c>
      <c r="Q139">
        <f t="shared" ref="Q139" si="671">F139*P139</f>
        <v>-52737.583850931689</v>
      </c>
      <c r="R139">
        <f t="shared" ref="R139" si="672">R140+Q139</f>
        <v>-10274102.245676924</v>
      </c>
      <c r="S139">
        <f t="shared" ref="S139" si="673">R139/100000</f>
        <v>-102.74102245676923</v>
      </c>
      <c r="T139">
        <f t="shared" ref="T139" si="674">S139/1000</f>
        <v>-0.10274102245676923</v>
      </c>
    </row>
    <row r="140" spans="1:20" x14ac:dyDescent="0.25">
      <c r="A140" s="5">
        <v>44453</v>
      </c>
      <c r="B140">
        <v>18.440000000000001</v>
      </c>
      <c r="C140">
        <v>19.95</v>
      </c>
      <c r="D140">
        <v>18.059999999999999</v>
      </c>
      <c r="E140">
        <v>18.61</v>
      </c>
      <c r="F140">
        <v>226055.22</v>
      </c>
      <c r="G140">
        <v>18.61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-0.41798941798941741</v>
      </c>
      <c r="Q140">
        <f t="shared" ref="Q140" si="676">F140*P140</f>
        <v>-94488.689841269705</v>
      </c>
      <c r="R140">
        <f t="shared" ref="R140" si="677">R141+Q140</f>
        <v>-10221364.661825992</v>
      </c>
      <c r="S140">
        <f t="shared" ref="S140" si="678">R140/100000</f>
        <v>-102.21364661825992</v>
      </c>
      <c r="T140">
        <f t="shared" ref="T140" si="679">S140/1000</f>
        <v>-0.10221364661825992</v>
      </c>
    </row>
    <row r="141" spans="1:20" x14ac:dyDescent="0.25">
      <c r="A141" s="5">
        <v>44452</v>
      </c>
      <c r="B141">
        <v>19.38</v>
      </c>
      <c r="C141">
        <v>19.850000000000001</v>
      </c>
      <c r="D141">
        <v>18.010000000000002</v>
      </c>
      <c r="E141">
        <v>18.440000000000001</v>
      </c>
      <c r="F141">
        <v>110445.51</v>
      </c>
      <c r="G141">
        <v>18.440000000000001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-0.53260869565217417</v>
      </c>
      <c r="Q141">
        <f t="shared" ref="Q141" si="681">F141*P141</f>
        <v>-58824.239021739158</v>
      </c>
      <c r="R141">
        <f t="shared" ref="R141" si="682">R142+Q141</f>
        <v>-10126875.971984722</v>
      </c>
      <c r="S141">
        <f t="shared" ref="S141" si="683">R141/100000</f>
        <v>-101.26875971984721</v>
      </c>
      <c r="T141">
        <f t="shared" ref="T141" si="684">S141/1000</f>
        <v>-0.10126875971984721</v>
      </c>
    </row>
    <row r="142" spans="1:20" x14ac:dyDescent="0.25">
      <c r="A142" s="5">
        <v>44451</v>
      </c>
      <c r="B142">
        <v>18.829999999999998</v>
      </c>
      <c r="C142">
        <v>20</v>
      </c>
      <c r="D142">
        <v>18.61</v>
      </c>
      <c r="E142">
        <v>19.38</v>
      </c>
      <c r="F142">
        <v>120162.92</v>
      </c>
      <c r="G142">
        <v>19.38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0.10791366906474713</v>
      </c>
      <c r="Q142">
        <f t="shared" ref="Q142" si="686">F142*P142</f>
        <v>12967.221582733684</v>
      </c>
      <c r="R142">
        <f t="shared" ref="R142" si="687">R143+Q142</f>
        <v>-10068051.732962983</v>
      </c>
      <c r="S142">
        <f t="shared" ref="S142" si="688">R142/100000</f>
        <v>-100.68051732962982</v>
      </c>
      <c r="T142">
        <f t="shared" ref="T142" si="689">S142/1000</f>
        <v>-0.10068051732962982</v>
      </c>
    </row>
    <row r="143" spans="1:20" x14ac:dyDescent="0.25">
      <c r="A143" s="5">
        <v>44450</v>
      </c>
      <c r="B143">
        <v>19.489999999999998</v>
      </c>
      <c r="C143">
        <v>20.89</v>
      </c>
      <c r="D143">
        <v>18.48</v>
      </c>
      <c r="E143">
        <v>18.829999999999998</v>
      </c>
      <c r="F143">
        <v>188313.31</v>
      </c>
      <c r="G143">
        <v>18.829999999999998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-0.7095435684647321</v>
      </c>
      <c r="Q143">
        <f t="shared" ref="Q143" si="691">F143*P143</f>
        <v>-133616.49796680533</v>
      </c>
      <c r="R143">
        <f t="shared" ref="R143" si="692">R144+Q143</f>
        <v>-10081018.954545716</v>
      </c>
      <c r="S143">
        <f t="shared" ref="S143" si="693">R143/100000</f>
        <v>-100.81018954545716</v>
      </c>
      <c r="T143">
        <f t="shared" ref="T143" si="694">S143/1000</f>
        <v>-0.10081018954545716</v>
      </c>
    </row>
    <row r="144" spans="1:20" x14ac:dyDescent="0.25">
      <c r="A144" s="5">
        <v>44449</v>
      </c>
      <c r="B144">
        <v>17.73</v>
      </c>
      <c r="C144">
        <v>21.23</v>
      </c>
      <c r="D144">
        <v>17.66</v>
      </c>
      <c r="E144">
        <v>19.489999999999998</v>
      </c>
      <c r="F144">
        <v>465085.51</v>
      </c>
      <c r="G144">
        <v>19.489999999999998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2.5210084033612409E-2</v>
      </c>
      <c r="Q144">
        <f t="shared" ref="Q144" si="696">F144*P144</f>
        <v>11724.844789915485</v>
      </c>
      <c r="R144">
        <f t="shared" ref="R144" si="697">R145+Q144</f>
        <v>-9947402.4565789104</v>
      </c>
      <c r="S144">
        <f t="shared" ref="S144" si="698">R144/100000</f>
        <v>-99.474024565789108</v>
      </c>
      <c r="T144">
        <f t="shared" ref="T144" si="699">S144/1000</f>
        <v>-9.9474024565789104E-2</v>
      </c>
    </row>
    <row r="145" spans="1:20" x14ac:dyDescent="0.25">
      <c r="A145" s="5">
        <v>44448</v>
      </c>
      <c r="B145">
        <v>17.440000000000001</v>
      </c>
      <c r="C145">
        <v>18.059999999999999</v>
      </c>
      <c r="D145">
        <v>17.11</v>
      </c>
      <c r="E145">
        <v>17.690000000000001</v>
      </c>
      <c r="F145">
        <v>47654.21</v>
      </c>
      <c r="G145">
        <v>17.690000000000001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0.22105263157895216</v>
      </c>
      <c r="Q145">
        <f t="shared" ref="Q145" si="701">F145*P145</f>
        <v>10534.088526316018</v>
      </c>
      <c r="R145">
        <f t="shared" ref="R145" si="702">R146+Q145</f>
        <v>-9959127.3013688251</v>
      </c>
      <c r="S145">
        <f t="shared" ref="S145" si="703">R145/100000</f>
        <v>-99.591273013688252</v>
      </c>
      <c r="T145">
        <f t="shared" ref="T145" si="704">S145/1000</f>
        <v>-9.9591273013688253E-2</v>
      </c>
    </row>
    <row r="146" spans="1:20" x14ac:dyDescent="0.25">
      <c r="A146" s="5">
        <v>44447</v>
      </c>
      <c r="B146">
        <v>17.190000000000001</v>
      </c>
      <c r="C146">
        <v>18.87</v>
      </c>
      <c r="D146">
        <v>16.18</v>
      </c>
      <c r="E146">
        <v>17.38</v>
      </c>
      <c r="F146">
        <v>144269.47200000001</v>
      </c>
      <c r="G146">
        <v>17.38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-0.10780669144981508</v>
      </c>
      <c r="Q146">
        <f t="shared" ref="Q146" si="706">F146*P146</f>
        <v>-15553.214453531738</v>
      </c>
      <c r="R146">
        <f t="shared" ref="R146" si="707">R147+Q146</f>
        <v>-9969661.3898951411</v>
      </c>
      <c r="S146">
        <f t="shared" ref="S146" si="708">R146/100000</f>
        <v>-99.696613898951412</v>
      </c>
      <c r="T146">
        <f t="shared" ref="T146" si="709">S146/1000</f>
        <v>-9.9696613898951417E-2</v>
      </c>
    </row>
    <row r="147" spans="1:20" x14ac:dyDescent="0.25">
      <c r="A147" s="5">
        <v>44446</v>
      </c>
      <c r="B147">
        <v>20.43</v>
      </c>
      <c r="C147">
        <v>20.51</v>
      </c>
      <c r="D147">
        <v>16.72</v>
      </c>
      <c r="E147">
        <v>17.170000000000002</v>
      </c>
      <c r="F147">
        <v>101825.621</v>
      </c>
      <c r="G147">
        <v>17.170000000000002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-0.76253298153034166</v>
      </c>
      <c r="Q147">
        <f t="shared" ref="Q147" si="711">F147*P147</f>
        <v>-77645.394377308563</v>
      </c>
      <c r="R147">
        <f t="shared" ref="R147" si="712">R148+Q147</f>
        <v>-9954108.1754416097</v>
      </c>
      <c r="S147">
        <f t="shared" ref="S147" si="713">R147/100000</f>
        <v>-99.541081754416098</v>
      </c>
      <c r="T147">
        <f t="shared" ref="T147" si="714">S147/1000</f>
        <v>-9.9541081754416103E-2</v>
      </c>
    </row>
    <row r="148" spans="1:20" x14ac:dyDescent="0.25">
      <c r="A148" s="5">
        <v>44445</v>
      </c>
      <c r="B148">
        <v>20.8</v>
      </c>
      <c r="C148">
        <v>21.18</v>
      </c>
      <c r="D148">
        <v>20.079999999999998</v>
      </c>
      <c r="E148">
        <v>20.41</v>
      </c>
      <c r="F148">
        <v>63077.88</v>
      </c>
      <c r="G148">
        <v>20.41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-0.39999999999999741</v>
      </c>
      <c r="Q148">
        <f t="shared" ref="Q148" si="716">F148*P148</f>
        <v>-25231.151999999835</v>
      </c>
      <c r="R148">
        <f t="shared" ref="R148" si="717">R149+Q148</f>
        <v>-9876462.7810643017</v>
      </c>
      <c r="S148">
        <f t="shared" ref="S148" si="718">R148/100000</f>
        <v>-98.76462781064302</v>
      </c>
      <c r="T148">
        <f t="shared" ref="T148" si="719">S148/1000</f>
        <v>-9.8764627810643019E-2</v>
      </c>
    </row>
    <row r="149" spans="1:20" x14ac:dyDescent="0.25">
      <c r="A149" s="5">
        <v>44444</v>
      </c>
      <c r="B149">
        <v>20.440000000000001</v>
      </c>
      <c r="C149">
        <v>21.25</v>
      </c>
      <c r="D149">
        <v>20.079999999999998</v>
      </c>
      <c r="E149">
        <v>20.76</v>
      </c>
      <c r="F149">
        <v>99455.27</v>
      </c>
      <c r="G149">
        <v>20.76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0.16239316239316628</v>
      </c>
      <c r="Q149">
        <f t="shared" ref="Q149" si="721">F149*P149</f>
        <v>16150.855811966199</v>
      </c>
      <c r="R149">
        <f t="shared" ref="R149" si="722">R150+Q149</f>
        <v>-9851231.629064301</v>
      </c>
      <c r="S149">
        <f t="shared" ref="S149" si="723">R149/100000</f>
        <v>-98.512316290643014</v>
      </c>
      <c r="T149">
        <f t="shared" ref="T149" si="724">S149/1000</f>
        <v>-9.8512316290643012E-2</v>
      </c>
    </row>
    <row r="150" spans="1:20" x14ac:dyDescent="0.25">
      <c r="A150" s="5">
        <v>44443</v>
      </c>
      <c r="B150">
        <v>20.66</v>
      </c>
      <c r="C150">
        <v>20.94</v>
      </c>
      <c r="D150">
        <v>20.079999999999998</v>
      </c>
      <c r="E150">
        <v>20.440000000000001</v>
      </c>
      <c r="F150">
        <v>80474.22</v>
      </c>
      <c r="G150">
        <v>20.440000000000001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-0.16279069767441456</v>
      </c>
      <c r="Q150">
        <f t="shared" ref="Q150" si="726">F150*P150</f>
        <v>-13100.454418604326</v>
      </c>
      <c r="R150">
        <f t="shared" ref="R150" si="727">R151+Q150</f>
        <v>-9867382.4848762676</v>
      </c>
      <c r="S150">
        <f t="shared" ref="S150" si="728">R150/100000</f>
        <v>-98.673824848762678</v>
      </c>
      <c r="T150">
        <f t="shared" ref="T150" si="729">S150/1000</f>
        <v>-9.8673824848762678E-2</v>
      </c>
    </row>
    <row r="151" spans="1:20" x14ac:dyDescent="0.25">
      <c r="A151" s="5">
        <v>44442</v>
      </c>
      <c r="B151">
        <v>20</v>
      </c>
      <c r="C151">
        <v>21.55</v>
      </c>
      <c r="D151">
        <v>19.63</v>
      </c>
      <c r="E151">
        <v>20.66</v>
      </c>
      <c r="F151">
        <v>145017.66</v>
      </c>
      <c r="G151">
        <v>20.66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7.2916666666666893E-2</v>
      </c>
      <c r="Q151">
        <f t="shared" ref="Q151" si="731">F151*P151</f>
        <v>10574.204375000034</v>
      </c>
      <c r="R151">
        <f t="shared" ref="R151" si="732">R152+Q151</f>
        <v>-9854282.0304576624</v>
      </c>
      <c r="S151">
        <f t="shared" ref="S151" si="733">R151/100000</f>
        <v>-98.542820304576622</v>
      </c>
      <c r="T151">
        <f t="shared" ref="T151" si="734">S151/1000</f>
        <v>-9.8542820304576617E-2</v>
      </c>
    </row>
    <row r="152" spans="1:20" x14ac:dyDescent="0.25">
      <c r="A152" s="5">
        <v>44441</v>
      </c>
      <c r="B152">
        <v>19.84</v>
      </c>
      <c r="C152">
        <v>20.65</v>
      </c>
      <c r="D152">
        <v>19.52</v>
      </c>
      <c r="E152">
        <v>20.010000000000002</v>
      </c>
      <c r="F152">
        <v>114013.82</v>
      </c>
      <c r="G152">
        <v>20.010000000000002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-0.13274336283185412</v>
      </c>
      <c r="Q152">
        <f t="shared" ref="Q152" si="736">F152*P152</f>
        <v>-15134.577876105706</v>
      </c>
      <c r="R152">
        <f t="shared" ref="R152" si="737">R153+Q152</f>
        <v>-9864856.2348326631</v>
      </c>
      <c r="S152">
        <f t="shared" ref="S152" si="738">R152/100000</f>
        <v>-98.648562348326635</v>
      </c>
      <c r="T152">
        <f t="shared" ref="T152" si="739">S152/1000</f>
        <v>-9.8648562348326641E-2</v>
      </c>
    </row>
    <row r="153" spans="1:20" x14ac:dyDescent="0.25">
      <c r="A153" s="5">
        <v>44440</v>
      </c>
      <c r="B153">
        <v>19.059999999999999</v>
      </c>
      <c r="C153">
        <v>20.170000000000002</v>
      </c>
      <c r="D153">
        <v>18.899999999999999</v>
      </c>
      <c r="E153">
        <v>19.84</v>
      </c>
      <c r="F153">
        <v>73426.429999999993</v>
      </c>
      <c r="G153">
        <v>19.84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0.48031496062991963</v>
      </c>
      <c r="Q153">
        <f t="shared" ref="Q153" si="741">F153*P153</f>
        <v>35267.812834645549</v>
      </c>
      <c r="R153">
        <f t="shared" ref="R153" si="742">R154+Q153</f>
        <v>-9849721.6569565572</v>
      </c>
      <c r="S153">
        <f t="shared" ref="S153" si="743">R153/100000</f>
        <v>-98.497216569565566</v>
      </c>
      <c r="T153">
        <f t="shared" ref="T153" si="744">S153/1000</f>
        <v>-9.849721656956556E-2</v>
      </c>
    </row>
    <row r="154" spans="1:20" x14ac:dyDescent="0.25">
      <c r="A154" s="5">
        <v>44439</v>
      </c>
      <c r="B154">
        <v>19.71</v>
      </c>
      <c r="C154">
        <v>20.57</v>
      </c>
      <c r="D154">
        <v>18.79</v>
      </c>
      <c r="E154">
        <v>19.100000000000001</v>
      </c>
      <c r="F154">
        <v>95904.868000000002</v>
      </c>
      <c r="G154">
        <v>19.100000000000001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-0.65168539325842467</v>
      </c>
      <c r="Q154">
        <f t="shared" ref="Q154" si="746">F154*P154</f>
        <v>-62499.801617977311</v>
      </c>
      <c r="R154">
        <f t="shared" ref="R154" si="747">R155+Q154</f>
        <v>-9884989.4697912019</v>
      </c>
      <c r="S154">
        <f t="shared" ref="S154" si="748">R154/100000</f>
        <v>-98.849894697912021</v>
      </c>
      <c r="T154">
        <f t="shared" ref="T154" si="749">S154/1000</f>
        <v>-9.8849894697912027E-2</v>
      </c>
    </row>
    <row r="155" spans="1:20" x14ac:dyDescent="0.25">
      <c r="A155" s="5">
        <v>44438</v>
      </c>
      <c r="B155">
        <v>20.58</v>
      </c>
      <c r="C155">
        <v>20.81</v>
      </c>
      <c r="D155">
        <v>19.649999999999999</v>
      </c>
      <c r="E155">
        <v>19.7</v>
      </c>
      <c r="F155">
        <v>66168.239000000001</v>
      </c>
      <c r="G155">
        <v>19.7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-0.91379310344827469</v>
      </c>
      <c r="Q155">
        <f t="shared" ref="Q155" si="751">F155*P155</f>
        <v>-60464.080465517167</v>
      </c>
      <c r="R155">
        <f t="shared" ref="R155" si="752">R156+Q155</f>
        <v>-9822489.6681732237</v>
      </c>
      <c r="S155">
        <f t="shared" ref="S155" si="753">R155/100000</f>
        <v>-98.224896681732233</v>
      </c>
      <c r="T155">
        <f t="shared" ref="T155" si="754">S155/1000</f>
        <v>-9.8224896681732232E-2</v>
      </c>
    </row>
    <row r="156" spans="1:20" x14ac:dyDescent="0.25">
      <c r="A156" s="5">
        <v>44437</v>
      </c>
      <c r="B156">
        <v>20.91</v>
      </c>
      <c r="C156">
        <v>21.76</v>
      </c>
      <c r="D156">
        <v>20.51</v>
      </c>
      <c r="E156">
        <v>20.59</v>
      </c>
      <c r="F156">
        <v>68184.710000000006</v>
      </c>
      <c r="G156">
        <v>20.59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-0.87200000000000277</v>
      </c>
      <c r="Q156">
        <f t="shared" ref="Q156" si="756">F156*P156</f>
        <v>-59457.067120000196</v>
      </c>
      <c r="R156">
        <f t="shared" ref="R156" si="757">R157+Q156</f>
        <v>-9762025.5877077058</v>
      </c>
      <c r="S156">
        <f t="shared" ref="S156" si="758">R156/100000</f>
        <v>-97.620255877077057</v>
      </c>
      <c r="T156">
        <f t="shared" ref="T156" si="759">S156/1000</f>
        <v>-9.7620255877077053E-2</v>
      </c>
    </row>
    <row r="157" spans="1:20" x14ac:dyDescent="0.25">
      <c r="A157" s="5">
        <v>44436</v>
      </c>
      <c r="B157">
        <v>21.05</v>
      </c>
      <c r="C157">
        <v>21.21</v>
      </c>
      <c r="D157">
        <v>20.68</v>
      </c>
      <c r="E157">
        <v>20.91</v>
      </c>
      <c r="F157">
        <v>37995.35</v>
      </c>
      <c r="G157">
        <v>20.91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-0.13207547169811346</v>
      </c>
      <c r="Q157">
        <f t="shared" ref="Q157" si="761">F157*P157</f>
        <v>-5018.2537735849146</v>
      </c>
      <c r="R157">
        <f t="shared" ref="R157" si="762">R158+Q157</f>
        <v>-9702568.5205877051</v>
      </c>
      <c r="S157">
        <f t="shared" ref="S157" si="763">R157/100000</f>
        <v>-97.025685205877053</v>
      </c>
      <c r="T157">
        <f t="shared" ref="T157" si="764">S157/1000</f>
        <v>-9.7025685205877052E-2</v>
      </c>
    </row>
    <row r="158" spans="1:20" x14ac:dyDescent="0.25">
      <c r="A158" s="5">
        <v>44435</v>
      </c>
      <c r="B158">
        <v>20.38</v>
      </c>
      <c r="C158">
        <v>21.23</v>
      </c>
      <c r="D158">
        <v>20.178999999999998</v>
      </c>
      <c r="E158">
        <v>21.03</v>
      </c>
      <c r="F158">
        <v>81168.619000000006</v>
      </c>
      <c r="G158">
        <v>21.03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0.61941008563273281</v>
      </c>
      <c r="Q158">
        <f t="shared" ref="Q158" si="766">F158*P158</f>
        <v>50276.661245480667</v>
      </c>
      <c r="R158">
        <f t="shared" ref="R158" si="767">R159+Q158</f>
        <v>-9697550.2668141201</v>
      </c>
      <c r="S158">
        <f t="shared" ref="S158" si="768">R158/100000</f>
        <v>-96.975502668141203</v>
      </c>
      <c r="T158">
        <f t="shared" ref="T158" si="769">S158/1000</f>
        <v>-9.69755026681412E-2</v>
      </c>
    </row>
    <row r="159" spans="1:20" x14ac:dyDescent="0.25">
      <c r="A159" s="5">
        <v>44434</v>
      </c>
      <c r="B159">
        <v>21.497</v>
      </c>
      <c r="C159">
        <v>21.8</v>
      </c>
      <c r="D159">
        <v>20.286999999999999</v>
      </c>
      <c r="E159">
        <v>20.37</v>
      </c>
      <c r="F159">
        <v>118327.007</v>
      </c>
      <c r="G159">
        <v>20.37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-0.89028420356906557</v>
      </c>
      <c r="Q159">
        <f t="shared" ref="Q159" si="771">F159*P159</f>
        <v>-105344.66518770624</v>
      </c>
      <c r="R159">
        <f t="shared" ref="R159" si="772">R160+Q159</f>
        <v>-9747826.9280596003</v>
      </c>
      <c r="S159">
        <f t="shared" ref="S159" si="773">R159/100000</f>
        <v>-97.47826928059601</v>
      </c>
      <c r="T159">
        <f t="shared" ref="T159" si="774">S159/1000</f>
        <v>-9.7478269280596011E-2</v>
      </c>
    </row>
    <row r="160" spans="1:20" x14ac:dyDescent="0.25">
      <c r="A160" s="5">
        <v>44433</v>
      </c>
      <c r="B160">
        <v>21.443000000000001</v>
      </c>
      <c r="C160">
        <v>22</v>
      </c>
      <c r="D160">
        <v>21</v>
      </c>
      <c r="E160">
        <v>21.492999999999999</v>
      </c>
      <c r="F160">
        <v>75728.474000000002</v>
      </c>
      <c r="G160">
        <v>21.492999999999999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-1.4000000000002899E-2</v>
      </c>
      <c r="Q160">
        <f t="shared" ref="Q160" si="776">F160*P160</f>
        <v>-1060.1986360002195</v>
      </c>
      <c r="R160">
        <f t="shared" ref="R160" si="777">R161+Q160</f>
        <v>-9642482.262871895</v>
      </c>
      <c r="S160">
        <f t="shared" ref="S160" si="778">R160/100000</f>
        <v>-96.424822628718957</v>
      </c>
      <c r="T160">
        <f t="shared" ref="T160" si="779">S160/1000</f>
        <v>-9.6424822628718959E-2</v>
      </c>
    </row>
    <row r="161" spans="1:20" x14ac:dyDescent="0.25">
      <c r="A161" s="5">
        <v>44432</v>
      </c>
      <c r="B161">
        <v>21.584</v>
      </c>
      <c r="C161">
        <v>23.08</v>
      </c>
      <c r="D161">
        <v>20.954999999999998</v>
      </c>
      <c r="E161">
        <v>21.530999999999999</v>
      </c>
      <c r="F161">
        <v>178568.58300000001</v>
      </c>
      <c r="G161">
        <v>21.530999999999999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-0.45788235294117596</v>
      </c>
      <c r="Q161">
        <f t="shared" ref="Q161" si="781">F161*P161</f>
        <v>-81763.402945411683</v>
      </c>
      <c r="R161">
        <f t="shared" ref="R161" si="782">R162+Q161</f>
        <v>-9641422.064235894</v>
      </c>
      <c r="S161">
        <f t="shared" ref="S161" si="783">R161/100000</f>
        <v>-96.414220642358941</v>
      </c>
      <c r="T161">
        <f t="shared" ref="T161" si="784">S161/1000</f>
        <v>-9.6414220642358939E-2</v>
      </c>
    </row>
    <row r="162" spans="1:20" x14ac:dyDescent="0.25">
      <c r="A162" s="5">
        <v>44431</v>
      </c>
      <c r="B162">
        <v>21.388000000000002</v>
      </c>
      <c r="C162">
        <v>21.933</v>
      </c>
      <c r="D162">
        <v>21.353999999999999</v>
      </c>
      <c r="E162">
        <v>21.582000000000001</v>
      </c>
      <c r="F162">
        <v>77553.498000000007</v>
      </c>
      <c r="G162">
        <v>21.582000000000001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-0.2124352331606173</v>
      </c>
      <c r="Q162">
        <f t="shared" ref="Q162" si="786">F162*P162</f>
        <v>-16475.095430051468</v>
      </c>
      <c r="R162">
        <f t="shared" ref="R162" si="787">R163+Q162</f>
        <v>-9559658.6612904817</v>
      </c>
      <c r="S162">
        <f t="shared" ref="S162" si="788">R162/100000</f>
        <v>-95.596586612904815</v>
      </c>
      <c r="T162">
        <f t="shared" ref="T162" si="789">S162/1000</f>
        <v>-9.5596586612904821E-2</v>
      </c>
    </row>
    <row r="163" spans="1:20" x14ac:dyDescent="0.25">
      <c r="A163" s="5">
        <v>44430</v>
      </c>
      <c r="B163">
        <v>21.492999999999999</v>
      </c>
      <c r="C163">
        <v>21.838000000000001</v>
      </c>
      <c r="D163">
        <v>21.460999999999999</v>
      </c>
      <c r="E163">
        <v>21.779</v>
      </c>
      <c r="F163">
        <v>11926.038</v>
      </c>
      <c r="G163">
        <v>21.779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0.68700265251989034</v>
      </c>
      <c r="Q163">
        <f t="shared" ref="Q163" si="791">F163*P163</f>
        <v>8193.2197400530076</v>
      </c>
      <c r="R163">
        <f t="shared" ref="R163" si="792">R164+Q163</f>
        <v>-9543183.5658604298</v>
      </c>
      <c r="S163">
        <f t="shared" ref="S163" si="793">R163/100000</f>
        <v>-95.4318356586043</v>
      </c>
      <c r="T163">
        <f t="shared" ref="T163" si="794">S163/1000</f>
        <v>-9.5431835658604303E-2</v>
      </c>
    </row>
    <row r="164" spans="1:20" x14ac:dyDescent="0.25">
      <c r="A164" s="5">
        <v>44429</v>
      </c>
      <c r="B164">
        <v>22.492000000000001</v>
      </c>
      <c r="C164">
        <v>22.896000000000001</v>
      </c>
      <c r="D164">
        <v>21.492999999999999</v>
      </c>
      <c r="E164">
        <v>21.492999999999999</v>
      </c>
      <c r="F164">
        <v>113442.78</v>
      </c>
      <c r="G164">
        <v>21.492999999999999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-1</v>
      </c>
      <c r="Q164">
        <f t="shared" ref="Q164" si="796">F164*P164</f>
        <v>-113442.78</v>
      </c>
      <c r="R164">
        <f t="shared" ref="R164" si="797">R165+Q164</f>
        <v>-9551376.7856004834</v>
      </c>
      <c r="S164">
        <f t="shared" ref="S164" si="798">R164/100000</f>
        <v>-95.513767856004833</v>
      </c>
      <c r="T164">
        <f t="shared" ref="T164" si="799">S164/1000</f>
        <v>-9.5513767856004836E-2</v>
      </c>
    </row>
    <row r="165" spans="1:20" x14ac:dyDescent="0.25">
      <c r="A165" s="5">
        <v>44428</v>
      </c>
      <c r="B165">
        <v>22.309000000000001</v>
      </c>
      <c r="C165">
        <v>22.85</v>
      </c>
      <c r="D165">
        <v>22.05</v>
      </c>
      <c r="E165">
        <v>22.492000000000001</v>
      </c>
      <c r="F165">
        <v>131702.837</v>
      </c>
      <c r="G165">
        <v>22.492000000000001</v>
      </c>
      <c r="L165" t="s">
        <v>7</v>
      </c>
      <c r="M165" t="s">
        <v>7</v>
      </c>
      <c r="N165" t="s">
        <v>8</v>
      </c>
      <c r="P165">
        <f t="shared" ref="P165" si="800">IF(C165=D165,0,((E165-D165)-(C165-E165))/(C165-D165))</f>
        <v>0.10499999999999944</v>
      </c>
      <c r="Q165">
        <f t="shared" ref="Q165" si="801">F165*P165</f>
        <v>13828.797884999927</v>
      </c>
      <c r="R165">
        <f t="shared" ref="R165" si="802">R166+Q165</f>
        <v>-9437934.0056004841</v>
      </c>
      <c r="S165">
        <f t="shared" ref="S165" si="803">R165/100000</f>
        <v>-94.379340056004835</v>
      </c>
      <c r="T165">
        <f t="shared" ref="T165" si="804">S165/1000</f>
        <v>-9.4379340056004832E-2</v>
      </c>
    </row>
    <row r="166" spans="1:20" x14ac:dyDescent="0.25">
      <c r="A166" s="5">
        <v>44427</v>
      </c>
      <c r="B166">
        <v>22.065999999999999</v>
      </c>
      <c r="C166">
        <v>22.4</v>
      </c>
      <c r="D166">
        <v>21.6</v>
      </c>
      <c r="E166">
        <v>22.331</v>
      </c>
      <c r="F166">
        <v>83311.013999999996</v>
      </c>
      <c r="G166">
        <v>22.331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0.82750000000000168</v>
      </c>
      <c r="Q166">
        <f t="shared" ref="Q166" si="806">F166*P166</f>
        <v>68939.864085000139</v>
      </c>
      <c r="R166">
        <f t="shared" ref="R166" si="807">R167+Q166</f>
        <v>-9451762.8034854848</v>
      </c>
      <c r="S166">
        <f t="shared" ref="S166" si="808">R166/100000</f>
        <v>-94.517628034854852</v>
      </c>
      <c r="T166">
        <f t="shared" ref="T166" si="809">S166/1000</f>
        <v>-9.4517628034854848E-2</v>
      </c>
    </row>
    <row r="167" spans="1:20" x14ac:dyDescent="0.25">
      <c r="A167" s="5">
        <v>44426</v>
      </c>
      <c r="B167">
        <v>22.597000000000001</v>
      </c>
      <c r="C167">
        <v>24</v>
      </c>
      <c r="D167">
        <v>22</v>
      </c>
      <c r="E167">
        <v>22.068000000000001</v>
      </c>
      <c r="F167">
        <v>182544.755</v>
      </c>
      <c r="G167">
        <v>22.068000000000001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-0.93199999999999861</v>
      </c>
      <c r="Q167">
        <f t="shared" ref="Q167" si="811">F167*P167</f>
        <v>-170131.71165999974</v>
      </c>
      <c r="R167">
        <f t="shared" ref="R167" si="812">R168+Q167</f>
        <v>-9520702.6675704848</v>
      </c>
      <c r="S167">
        <f t="shared" ref="S167" si="813">R167/100000</f>
        <v>-95.207026675704853</v>
      </c>
      <c r="T167">
        <f t="shared" ref="T167" si="814">S167/1000</f>
        <v>-9.5207026675704853E-2</v>
      </c>
    </row>
    <row r="168" spans="1:20" x14ac:dyDescent="0.25">
      <c r="A168" s="5">
        <v>44425</v>
      </c>
      <c r="B168">
        <v>22.120999999999999</v>
      </c>
      <c r="C168">
        <v>25.26</v>
      </c>
      <c r="D168">
        <v>21.312000000000001</v>
      </c>
      <c r="E168">
        <v>22.625</v>
      </c>
      <c r="F168">
        <v>345121.67599999998</v>
      </c>
      <c r="G168">
        <v>22.625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-0.33485309017223974</v>
      </c>
      <c r="Q168">
        <f t="shared" ref="Q168" si="816">F168*P168</f>
        <v>-115565.05969402251</v>
      </c>
      <c r="R168">
        <f t="shared" ref="R168" si="817">R169+Q168</f>
        <v>-9350570.9559104852</v>
      </c>
      <c r="S168">
        <f t="shared" ref="S168" si="818">R168/100000</f>
        <v>-93.505709559104858</v>
      </c>
      <c r="T168">
        <f t="shared" ref="T168" si="819">S168/1000</f>
        <v>-9.3505709559104852E-2</v>
      </c>
    </row>
    <row r="169" spans="1:20" x14ac:dyDescent="0.25">
      <c r="A169" s="5">
        <v>44424</v>
      </c>
      <c r="B169">
        <v>23.414000000000001</v>
      </c>
      <c r="C169">
        <v>24.6</v>
      </c>
      <c r="D169">
        <v>21.972999999999999</v>
      </c>
      <c r="E169">
        <v>22.071999999999999</v>
      </c>
      <c r="F169">
        <v>151800.53899999999</v>
      </c>
      <c r="G169">
        <v>22.071999999999999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-0.92462885420631891</v>
      </c>
      <c r="Q169">
        <f t="shared" ref="Q169" si="821">F169*P169</f>
        <v>-140359.15844347162</v>
      </c>
      <c r="R169">
        <f t="shared" ref="R169" si="822">R170+Q169</f>
        <v>-9235005.8962164633</v>
      </c>
      <c r="S169">
        <f t="shared" ref="S169" si="823">R169/100000</f>
        <v>-92.350058962164638</v>
      </c>
      <c r="T169">
        <f t="shared" ref="T169" si="824">S169/1000</f>
        <v>-9.2350058962164638E-2</v>
      </c>
    </row>
    <row r="170" spans="1:20" x14ac:dyDescent="0.25">
      <c r="A170" s="5">
        <v>44423</v>
      </c>
      <c r="B170">
        <v>23.844000000000001</v>
      </c>
      <c r="C170">
        <v>24.146000000000001</v>
      </c>
      <c r="D170">
        <v>23</v>
      </c>
      <c r="E170">
        <v>23.414000000000001</v>
      </c>
      <c r="F170">
        <v>94865.111999999994</v>
      </c>
      <c r="G170">
        <v>23.414000000000001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-0.2774869109947623</v>
      </c>
      <c r="Q170">
        <f t="shared" ref="Q170" si="826">F170*P170</f>
        <v>-26323.826890052154</v>
      </c>
      <c r="R170">
        <f t="shared" ref="R170" si="827">R171+Q170</f>
        <v>-9094646.7377729919</v>
      </c>
      <c r="S170">
        <f t="shared" ref="S170" si="828">R170/100000</f>
        <v>-90.946467377729917</v>
      </c>
      <c r="T170">
        <f t="shared" ref="T170" si="829">S170/1000</f>
        <v>-9.094646737772992E-2</v>
      </c>
    </row>
    <row r="171" spans="1:20" x14ac:dyDescent="0.25">
      <c r="A171" s="5">
        <v>44422</v>
      </c>
      <c r="B171">
        <v>24.221</v>
      </c>
      <c r="C171">
        <v>24.908000000000001</v>
      </c>
      <c r="D171">
        <v>23.265000000000001</v>
      </c>
      <c r="E171">
        <v>23.817</v>
      </c>
      <c r="F171">
        <v>117548.685</v>
      </c>
      <c r="G171">
        <v>23.817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-0.32805842970176585</v>
      </c>
      <c r="Q171">
        <f t="shared" ref="Q171" si="831">F171*P171</f>
        <v>-38562.837014607518</v>
      </c>
      <c r="R171">
        <f t="shared" ref="R171" si="832">R172+Q171</f>
        <v>-9068322.9108829405</v>
      </c>
      <c r="S171">
        <f t="shared" ref="S171" si="833">R171/100000</f>
        <v>-90.683229108829408</v>
      </c>
      <c r="T171">
        <f t="shared" ref="T171" si="834">S171/1000</f>
        <v>-9.0683229108829408E-2</v>
      </c>
    </row>
    <row r="172" spans="1:20" x14ac:dyDescent="0.25">
      <c r="A172" s="5">
        <v>44421</v>
      </c>
      <c r="B172">
        <v>24.236999999999998</v>
      </c>
      <c r="C172">
        <v>24.646999999999998</v>
      </c>
      <c r="D172">
        <v>23.898</v>
      </c>
      <c r="E172">
        <v>24.241</v>
      </c>
      <c r="F172">
        <v>112315.14599999999</v>
      </c>
      <c r="G172">
        <v>24.241</v>
      </c>
      <c r="L172" t="s">
        <v>7</v>
      </c>
      <c r="M172" t="s">
        <v>7</v>
      </c>
      <c r="N172" t="s">
        <v>8</v>
      </c>
      <c r="P172">
        <f t="shared" ref="P172" si="835">IF(C172=D172,0,((E172-D172)-(C172-E172))/(C172-D172))</f>
        <v>-8.411214953270886E-2</v>
      </c>
      <c r="Q172">
        <f t="shared" ref="Q172" si="836">F172*P172</f>
        <v>-9447.0683551400271</v>
      </c>
      <c r="R172">
        <f t="shared" ref="R172" si="837">R173+Q172</f>
        <v>-9029760.0738683324</v>
      </c>
      <c r="S172">
        <f t="shared" ref="S172" si="838">R172/100000</f>
        <v>-90.297600738683329</v>
      </c>
      <c r="T172">
        <f t="shared" ref="T172" si="839">S172/1000</f>
        <v>-9.0297600738683328E-2</v>
      </c>
    </row>
    <row r="173" spans="1:20" x14ac:dyDescent="0.25">
      <c r="A173" s="5">
        <v>44420</v>
      </c>
      <c r="B173">
        <v>23.527999999999999</v>
      </c>
      <c r="C173">
        <v>24.92</v>
      </c>
      <c r="D173">
        <v>23.471</v>
      </c>
      <c r="E173">
        <v>24.241</v>
      </c>
      <c r="F173">
        <v>418448.14600000001</v>
      </c>
      <c r="G173">
        <v>24.241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6.2801932367147983E-2</v>
      </c>
      <c r="Q173">
        <f t="shared" ref="Q173" si="841">F173*P173</f>
        <v>26279.352164250464</v>
      </c>
      <c r="R173">
        <f t="shared" ref="R173" si="842">R174+Q173</f>
        <v>-9020313.0055131931</v>
      </c>
      <c r="S173">
        <f t="shared" ref="S173" si="843">R173/100000</f>
        <v>-90.203130055131936</v>
      </c>
      <c r="T173">
        <f t="shared" ref="T173" si="844">S173/1000</f>
        <v>-9.0203130055131933E-2</v>
      </c>
    </row>
    <row r="174" spans="1:20" x14ac:dyDescent="0.25">
      <c r="A174" s="5">
        <v>44419</v>
      </c>
      <c r="B174">
        <v>25.117999999999999</v>
      </c>
      <c r="C174">
        <v>25.507000000000001</v>
      </c>
      <c r="D174">
        <v>23.434000000000001</v>
      </c>
      <c r="E174">
        <v>23.47</v>
      </c>
      <c r="F174">
        <v>255459.791</v>
      </c>
      <c r="G174">
        <v>23.47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-0.96526772793053761</v>
      </c>
      <c r="Q174">
        <f t="shared" ref="Q174" si="846">F174*P174</f>
        <v>-246587.09203617999</v>
      </c>
      <c r="R174">
        <f t="shared" ref="R174" si="847">R175+Q174</f>
        <v>-9046592.357677443</v>
      </c>
      <c r="S174">
        <f t="shared" ref="S174" si="848">R174/100000</f>
        <v>-90.465923576774429</v>
      </c>
      <c r="T174">
        <f t="shared" ref="T174" si="849">S174/1000</f>
        <v>-9.0465923576774424E-2</v>
      </c>
    </row>
    <row r="175" spans="1:20" x14ac:dyDescent="0.25">
      <c r="A175" s="5">
        <v>44418</v>
      </c>
      <c r="B175">
        <v>25.928999999999998</v>
      </c>
      <c r="C175">
        <v>29.25</v>
      </c>
      <c r="D175">
        <v>24.893000000000001</v>
      </c>
      <c r="E175">
        <v>25.146999999999998</v>
      </c>
      <c r="F175">
        <v>427278.60399999999</v>
      </c>
      <c r="G175">
        <v>25.146999999999998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-0.88340601331191282</v>
      </c>
      <c r="Q175">
        <f t="shared" ref="Q175" si="851">F175*P175</f>
        <v>-377460.48813311954</v>
      </c>
      <c r="R175">
        <f t="shared" ref="R175" si="852">R176+Q175</f>
        <v>-8800005.2656412628</v>
      </c>
      <c r="S175">
        <f t="shared" ref="S175" si="853">R175/100000</f>
        <v>-88.000052656412635</v>
      </c>
      <c r="T175">
        <f t="shared" ref="T175" si="854">S175/1000</f>
        <v>-8.8000052656412628E-2</v>
      </c>
    </row>
    <row r="176" spans="1:20" x14ac:dyDescent="0.25">
      <c r="A176" s="5">
        <v>44417</v>
      </c>
      <c r="B176">
        <v>22.925000000000001</v>
      </c>
      <c r="C176">
        <v>29.39</v>
      </c>
      <c r="D176">
        <v>22.6</v>
      </c>
      <c r="E176">
        <v>25.93</v>
      </c>
      <c r="F176">
        <v>939769.76100000006</v>
      </c>
      <c r="G176">
        <v>25.93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-1.914580265095767E-2</v>
      </c>
      <c r="Q176">
        <f t="shared" ref="Q176" si="856">F176*P176</f>
        <v>-17992.646381443657</v>
      </c>
      <c r="R176">
        <f t="shared" ref="R176" si="857">R177+Q176</f>
        <v>-8422544.7775081433</v>
      </c>
      <c r="S176">
        <f t="shared" ref="S176" si="858">R176/100000</f>
        <v>-84.225447775081435</v>
      </c>
      <c r="T176">
        <f t="shared" ref="T176" si="859">S176/1000</f>
        <v>-8.4225447775081438E-2</v>
      </c>
    </row>
    <row r="177" spans="1:20" x14ac:dyDescent="0.25">
      <c r="A177" s="5">
        <v>44416</v>
      </c>
      <c r="B177">
        <v>23.305</v>
      </c>
      <c r="C177">
        <v>25.45</v>
      </c>
      <c r="D177">
        <v>22.5</v>
      </c>
      <c r="E177">
        <v>22.91</v>
      </c>
      <c r="F177">
        <v>448103.91700000002</v>
      </c>
      <c r="G177">
        <v>22.91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-0.72203389830508458</v>
      </c>
      <c r="Q177">
        <f t="shared" ref="Q177" si="861">F177*P177</f>
        <v>-323546.21803728805</v>
      </c>
      <c r="R177">
        <f t="shared" ref="R177" si="862">R178+Q177</f>
        <v>-8404552.1311267</v>
      </c>
      <c r="S177">
        <f t="shared" ref="S177" si="863">R177/100000</f>
        <v>-84.045521311266995</v>
      </c>
      <c r="T177">
        <f t="shared" ref="T177" si="864">S177/1000</f>
        <v>-8.4045521311266996E-2</v>
      </c>
    </row>
    <row r="178" spans="1:20" x14ac:dyDescent="0.25">
      <c r="A178" s="5">
        <v>44415</v>
      </c>
      <c r="B178">
        <v>22.183</v>
      </c>
      <c r="C178">
        <v>25.65</v>
      </c>
      <c r="D178">
        <v>21.661999999999999</v>
      </c>
      <c r="E178">
        <v>23.305</v>
      </c>
      <c r="F178">
        <v>425051.08500000002</v>
      </c>
      <c r="G178">
        <v>23.305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-0.17602808425275784</v>
      </c>
      <c r="Q178">
        <f t="shared" ref="Q178" si="866">F178*P178</f>
        <v>-74820.928202106137</v>
      </c>
      <c r="R178">
        <f t="shared" ref="R178" si="867">R179+Q178</f>
        <v>-8081005.9130894123</v>
      </c>
      <c r="S178">
        <f t="shared" ref="S178" si="868">R178/100000</f>
        <v>-80.810059130894118</v>
      </c>
      <c r="T178">
        <f t="shared" ref="T178" si="869">S178/1000</f>
        <v>-8.0810059130894119E-2</v>
      </c>
    </row>
    <row r="179" spans="1:20" x14ac:dyDescent="0.25">
      <c r="A179" s="5">
        <v>44414</v>
      </c>
      <c r="B179">
        <v>21.486999999999998</v>
      </c>
      <c r="C179">
        <v>23.8</v>
      </c>
      <c r="D179">
        <v>20.675000000000001</v>
      </c>
      <c r="E179">
        <v>22.15</v>
      </c>
      <c r="F179">
        <v>339514.85100000002</v>
      </c>
      <c r="G179">
        <v>22.15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-5.6000000000001361E-2</v>
      </c>
      <c r="Q179">
        <f t="shared" ref="Q179" si="871">F179*P179</f>
        <v>-19012.831656000464</v>
      </c>
      <c r="R179">
        <f t="shared" ref="R179" si="872">R180+Q179</f>
        <v>-8006184.9848873066</v>
      </c>
      <c r="S179">
        <f t="shared" ref="S179" si="873">R179/100000</f>
        <v>-80.061849848873067</v>
      </c>
      <c r="T179">
        <f t="shared" ref="T179" si="874">S179/1000</f>
        <v>-8.0061849848873073E-2</v>
      </c>
    </row>
    <row r="180" spans="1:20" x14ac:dyDescent="0.25">
      <c r="A180" s="5">
        <v>44413</v>
      </c>
      <c r="B180">
        <v>21.824999999999999</v>
      </c>
      <c r="C180">
        <v>22.222999999999999</v>
      </c>
      <c r="D180">
        <v>21</v>
      </c>
      <c r="E180">
        <v>21.411999999999999</v>
      </c>
      <c r="F180">
        <v>207940.424</v>
      </c>
      <c r="G180">
        <v>21.411999999999999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-0.32624693376942049</v>
      </c>
      <c r="Q180">
        <f t="shared" ref="Q180" si="876">F180*P180</f>
        <v>-67839.925736713209</v>
      </c>
      <c r="R180">
        <f t="shared" ref="R180" si="877">R181+Q180</f>
        <v>-7987172.153231306</v>
      </c>
      <c r="S180">
        <f t="shared" ref="S180" si="878">R180/100000</f>
        <v>-79.87172153231306</v>
      </c>
      <c r="T180">
        <f t="shared" ref="T180" si="879">S180/1000</f>
        <v>-7.9871721532313061E-2</v>
      </c>
    </row>
    <row r="181" spans="1:20" x14ac:dyDescent="0.25">
      <c r="A181" s="5">
        <v>44412</v>
      </c>
      <c r="B181">
        <v>21.63</v>
      </c>
      <c r="C181">
        <v>22.45</v>
      </c>
      <c r="D181">
        <v>21.358000000000001</v>
      </c>
      <c r="E181">
        <v>21.863</v>
      </c>
      <c r="F181">
        <v>73745.453999999998</v>
      </c>
      <c r="G181">
        <v>21.863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-7.5091575091575852E-2</v>
      </c>
      <c r="Q181">
        <f t="shared" ref="Q181" si="881">F181*P181</f>
        <v>-5537.6622967033527</v>
      </c>
      <c r="R181">
        <f t="shared" ref="R181" si="882">R182+Q181</f>
        <v>-7919332.2274945928</v>
      </c>
      <c r="S181">
        <f t="shared" ref="S181" si="883">R181/100000</f>
        <v>-79.193322274945928</v>
      </c>
      <c r="T181">
        <f t="shared" ref="T181" si="884">S181/1000</f>
        <v>-7.9193322274945924E-2</v>
      </c>
    </row>
    <row r="182" spans="1:20" x14ac:dyDescent="0.25">
      <c r="A182" s="5">
        <v>44411</v>
      </c>
      <c r="B182">
        <v>22.1</v>
      </c>
      <c r="C182">
        <v>22.4</v>
      </c>
      <c r="D182">
        <v>21.411000000000001</v>
      </c>
      <c r="E182">
        <v>21.625</v>
      </c>
      <c r="F182">
        <v>67689.116999999998</v>
      </c>
      <c r="G182">
        <v>21.625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-0.56723963599595706</v>
      </c>
      <c r="Q182">
        <f t="shared" ref="Q182" si="886">F182*P182</f>
        <v>-38395.950087967751</v>
      </c>
      <c r="R182">
        <f t="shared" ref="R182" si="887">R183+Q182</f>
        <v>-7913794.5651978897</v>
      </c>
      <c r="S182">
        <f t="shared" ref="S182" si="888">R182/100000</f>
        <v>-79.137945651978896</v>
      </c>
      <c r="T182">
        <f t="shared" ref="T182" si="889">S182/1000</f>
        <v>-7.9137945651978903E-2</v>
      </c>
    </row>
    <row r="183" spans="1:20" x14ac:dyDescent="0.25">
      <c r="A183" s="5">
        <v>44410</v>
      </c>
      <c r="B183">
        <v>21.399000000000001</v>
      </c>
      <c r="C183">
        <v>22.95</v>
      </c>
      <c r="D183">
        <v>21.26</v>
      </c>
      <c r="E183">
        <v>22.143999999999998</v>
      </c>
      <c r="F183">
        <v>111440.462</v>
      </c>
      <c r="G183">
        <v>22.143999999999998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4.6153846153843762E-2</v>
      </c>
      <c r="Q183">
        <f t="shared" ref="Q183" si="891">F183*P183</f>
        <v>5143.4059384612719</v>
      </c>
      <c r="R183">
        <f t="shared" ref="R183" si="892">R184+Q183</f>
        <v>-7875398.6151099224</v>
      </c>
      <c r="S183">
        <f t="shared" ref="S183" si="893">R183/100000</f>
        <v>-78.753986151099227</v>
      </c>
      <c r="T183">
        <f t="shared" ref="T183" si="894">S183/1000</f>
        <v>-7.8753986151099228E-2</v>
      </c>
    </row>
    <row r="184" spans="1:20" x14ac:dyDescent="0.25">
      <c r="A184" s="5">
        <v>44409</v>
      </c>
      <c r="B184">
        <v>22.004999999999999</v>
      </c>
      <c r="C184">
        <v>22.402999999999999</v>
      </c>
      <c r="D184">
        <v>21.37</v>
      </c>
      <c r="E184">
        <v>21.4</v>
      </c>
      <c r="F184">
        <v>69027.395999999993</v>
      </c>
      <c r="G184">
        <v>21.4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-0.94191674733785546</v>
      </c>
      <c r="Q184">
        <f t="shared" ref="Q184" si="896">F184*P184</f>
        <v>-65018.060317522089</v>
      </c>
      <c r="R184">
        <f t="shared" ref="R184" si="897">R185+Q184</f>
        <v>-7880542.0210483838</v>
      </c>
      <c r="S184">
        <f t="shared" ref="S184" si="898">R184/100000</f>
        <v>-78.805420210483831</v>
      </c>
      <c r="T184">
        <f t="shared" ref="T184" si="899">S184/1000</f>
        <v>-7.8805420210483826E-2</v>
      </c>
    </row>
    <row r="185" spans="1:20" x14ac:dyDescent="0.25">
      <c r="A185" s="5">
        <v>44408</v>
      </c>
      <c r="B185">
        <v>22.08</v>
      </c>
      <c r="C185">
        <v>22.38</v>
      </c>
      <c r="D185">
        <v>21.797000000000001</v>
      </c>
      <c r="E185">
        <v>22.004999999999999</v>
      </c>
      <c r="F185">
        <v>72644.770999999993</v>
      </c>
      <c r="G185">
        <v>22.004999999999999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-0.28644939965695032</v>
      </c>
      <c r="Q185">
        <f t="shared" ref="Q185" si="901">F185*P185</f>
        <v>-20809.051041166633</v>
      </c>
      <c r="R185">
        <f t="shared" ref="R185" si="902">R186+Q185</f>
        <v>-7815523.9607308619</v>
      </c>
      <c r="S185">
        <f t="shared" ref="S185" si="903">R185/100000</f>
        <v>-78.155239607308616</v>
      </c>
      <c r="T185">
        <f t="shared" ref="T185" si="904">S185/1000</f>
        <v>-7.8155239607308621E-2</v>
      </c>
    </row>
    <row r="186" spans="1:20" x14ac:dyDescent="0.25">
      <c r="A186" s="5">
        <v>44407</v>
      </c>
      <c r="B186">
        <v>22.216000000000001</v>
      </c>
      <c r="C186">
        <v>22.925000000000001</v>
      </c>
      <c r="D186">
        <v>21.5</v>
      </c>
      <c r="E186">
        <v>22.06</v>
      </c>
      <c r="F186">
        <v>181165.611</v>
      </c>
      <c r="G186">
        <v>22.06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-0.21403508771930044</v>
      </c>
      <c r="Q186">
        <f t="shared" ref="Q186" si="906">F186*P186</f>
        <v>-38775.797442105664</v>
      </c>
      <c r="R186">
        <f t="shared" ref="R186" si="907">R187+Q186</f>
        <v>-7794714.9096896956</v>
      </c>
      <c r="S186">
        <f t="shared" ref="S186" si="908">R186/100000</f>
        <v>-77.94714909689695</v>
      </c>
      <c r="T186">
        <f t="shared" ref="T186" si="909">S186/1000</f>
        <v>-7.7947149096896956E-2</v>
      </c>
    </row>
    <row r="187" spans="1:20" x14ac:dyDescent="0.25">
      <c r="A187" s="5">
        <v>44406</v>
      </c>
      <c r="B187">
        <v>21.084</v>
      </c>
      <c r="C187">
        <v>22.7</v>
      </c>
      <c r="D187">
        <v>20.7</v>
      </c>
      <c r="E187">
        <v>22.198</v>
      </c>
      <c r="F187">
        <v>249847.04800000001</v>
      </c>
      <c r="G187">
        <v>22.198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0.49800000000000111</v>
      </c>
      <c r="Q187">
        <f t="shared" ref="Q187" si="911">F187*P187</f>
        <v>124423.82990400027</v>
      </c>
      <c r="R187">
        <f t="shared" ref="R187" si="912">R188+Q187</f>
        <v>-7755939.11224759</v>
      </c>
      <c r="S187">
        <f t="shared" ref="S187" si="913">R187/100000</f>
        <v>-77.559391122475901</v>
      </c>
      <c r="T187">
        <f t="shared" ref="T187" si="914">S187/1000</f>
        <v>-7.7559391122475896E-2</v>
      </c>
    </row>
    <row r="188" spans="1:20" x14ac:dyDescent="0.25">
      <c r="A188" s="5">
        <v>44405</v>
      </c>
      <c r="B188">
        <v>21.119</v>
      </c>
      <c r="C188">
        <v>21.494</v>
      </c>
      <c r="D188">
        <v>20.530999999999999</v>
      </c>
      <c r="E188">
        <v>21.042999999999999</v>
      </c>
      <c r="F188">
        <v>251343.36300000001</v>
      </c>
      <c r="G188">
        <v>21.042999999999999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6.3343717549324899E-2</v>
      </c>
      <c r="Q188">
        <f t="shared" ref="Q188" si="916">F188*P188</f>
        <v>15921.022993769438</v>
      </c>
      <c r="R188">
        <f t="shared" ref="R188" si="917">R189+Q188</f>
        <v>-7880362.9421515903</v>
      </c>
      <c r="S188">
        <f t="shared" ref="S188" si="918">R188/100000</f>
        <v>-78.803629421515907</v>
      </c>
      <c r="T188">
        <f t="shared" ref="T188" si="919">S188/1000</f>
        <v>-7.8803629421515906E-2</v>
      </c>
    </row>
    <row r="189" spans="1:20" x14ac:dyDescent="0.25">
      <c r="A189" s="5">
        <v>44404</v>
      </c>
      <c r="B189">
        <v>21.055</v>
      </c>
      <c r="C189">
        <v>22.838000000000001</v>
      </c>
      <c r="D189">
        <v>20.75</v>
      </c>
      <c r="E189">
        <v>21.120999999999999</v>
      </c>
      <c r="F189">
        <v>324203.326</v>
      </c>
      <c r="G189">
        <v>21.120999999999999</v>
      </c>
      <c r="L189" t="s">
        <v>8</v>
      </c>
      <c r="M189" t="s">
        <v>7</v>
      </c>
      <c r="N189" t="s">
        <v>8</v>
      </c>
      <c r="P189">
        <f t="shared" ref="P189" si="920">IF(C189=D189,0,((E189-D189)-(C189-E189))/(C189-D189))</f>
        <v>-0.64463601532567194</v>
      </c>
      <c r="Q189">
        <f t="shared" ref="Q189" si="921">F189*P189</f>
        <v>-208993.14022796982</v>
      </c>
      <c r="R189">
        <f t="shared" ref="R189" si="922">R190+Q189</f>
        <v>-7896283.9651453597</v>
      </c>
      <c r="S189">
        <f t="shared" ref="S189" si="923">R189/100000</f>
        <v>-78.962839651453592</v>
      </c>
      <c r="T189">
        <f t="shared" ref="T189" si="924">S189/1000</f>
        <v>-7.8962839651453592E-2</v>
      </c>
    </row>
    <row r="190" spans="1:20" x14ac:dyDescent="0.25">
      <c r="A190" s="5">
        <v>44403</v>
      </c>
      <c r="B190">
        <v>21.797999999999998</v>
      </c>
      <c r="C190">
        <v>21.92</v>
      </c>
      <c r="D190">
        <v>20.658000000000001</v>
      </c>
      <c r="E190">
        <v>21.068000000000001</v>
      </c>
      <c r="F190">
        <v>197805.59599999999</v>
      </c>
      <c r="G190">
        <v>21.068000000000001</v>
      </c>
      <c r="L190" t="s">
        <v>8</v>
      </c>
      <c r="M190" t="s">
        <v>7</v>
      </c>
      <c r="N190" t="s">
        <v>8</v>
      </c>
      <c r="P190">
        <f t="shared" ref="P190" si="925">IF(C190=D190,0,((E190-D190)-(C190-E190))/(C190-D190))</f>
        <v>-0.35023771790808239</v>
      </c>
      <c r="Q190">
        <f t="shared" ref="Q190" si="926">F190*P190</f>
        <v>-69278.980532488102</v>
      </c>
      <c r="R190">
        <f t="shared" ref="R190" si="927">R191+Q190</f>
        <v>-7687290.82491739</v>
      </c>
      <c r="S190">
        <f t="shared" ref="S190" si="928">R190/100000</f>
        <v>-76.872908249173904</v>
      </c>
      <c r="T190">
        <f t="shared" ref="T190" si="929">S190/1000</f>
        <v>-7.6872908249173907E-2</v>
      </c>
    </row>
    <row r="191" spans="1:20" x14ac:dyDescent="0.25">
      <c r="A191" s="5">
        <v>44402</v>
      </c>
      <c r="B191">
        <v>21.297999999999998</v>
      </c>
      <c r="C191">
        <v>22.5</v>
      </c>
      <c r="D191">
        <v>20.244</v>
      </c>
      <c r="E191">
        <v>21.797999999999998</v>
      </c>
      <c r="F191">
        <v>270118.28600000002</v>
      </c>
      <c r="G191">
        <v>21.797999999999998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0.37765957446808363</v>
      </c>
      <c r="Q191">
        <f t="shared" ref="Q191" si="931">F191*P191</f>
        <v>102012.75694680812</v>
      </c>
      <c r="R191">
        <f t="shared" ref="R191" si="932">R192+Q191</f>
        <v>-7618011.8443849022</v>
      </c>
      <c r="S191">
        <f t="shared" ref="S191" si="933">R191/100000</f>
        <v>-76.180118443849025</v>
      </c>
      <c r="T191">
        <f t="shared" ref="T191:T197" si="934">S191/1000</f>
        <v>-7.6180118443849032E-2</v>
      </c>
    </row>
    <row r="192" spans="1:20" x14ac:dyDescent="0.25">
      <c r="A192" s="5">
        <v>44401</v>
      </c>
      <c r="B192">
        <v>22.102</v>
      </c>
      <c r="C192">
        <v>23.75</v>
      </c>
      <c r="D192">
        <v>20.399999999999999</v>
      </c>
      <c r="E192">
        <v>21.332999999999998</v>
      </c>
      <c r="F192">
        <v>569926.11199999996</v>
      </c>
      <c r="G192">
        <v>21.332999999999998</v>
      </c>
      <c r="L192" t="s">
        <v>8</v>
      </c>
      <c r="M192" t="s">
        <v>7</v>
      </c>
      <c r="N192" t="s">
        <v>8</v>
      </c>
      <c r="P192">
        <f t="shared" ref="P192" si="935">IF(C192=D192,0,((E192-D192)-(C192-E192))/(C192-D192))</f>
        <v>-0.44298507462686598</v>
      </c>
      <c r="Q192">
        <f t="shared" ref="Q192" si="936">F192*P192</f>
        <v>-252468.76125611956</v>
      </c>
      <c r="R192">
        <f t="shared" ref="R192" si="937">R193+Q192</f>
        <v>-7720024.6013317099</v>
      </c>
      <c r="S192">
        <f t="shared" ref="S192" si="938">R192/100000</f>
        <v>-77.200246013317098</v>
      </c>
      <c r="T192">
        <f t="shared" si="934"/>
        <v>-7.7200246013317098E-2</v>
      </c>
    </row>
    <row r="193" spans="1:20" x14ac:dyDescent="0.25">
      <c r="A193" s="5">
        <v>44400</v>
      </c>
      <c r="B193">
        <v>22.690999999999999</v>
      </c>
      <c r="C193">
        <v>23.2</v>
      </c>
      <c r="D193">
        <v>20.954000000000001</v>
      </c>
      <c r="E193">
        <v>22.152000000000001</v>
      </c>
      <c r="F193">
        <v>458096.16700000002</v>
      </c>
      <c r="G193">
        <v>22.152000000000001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6.6785396260018795E-2</v>
      </c>
      <c r="Q193">
        <f t="shared" ref="Q193" si="940">F193*P193</f>
        <v>30594.134038290747</v>
      </c>
      <c r="R193">
        <f t="shared" ref="R193" si="941">R194+Q193</f>
        <v>-7467555.8400755906</v>
      </c>
      <c r="S193">
        <f t="shared" ref="S193" si="942">R193/100000</f>
        <v>-74.675558400755904</v>
      </c>
      <c r="T193">
        <f t="shared" si="934"/>
        <v>-7.4675558400755904E-2</v>
      </c>
    </row>
    <row r="194" spans="1:20" x14ac:dyDescent="0.25">
      <c r="A194" s="5">
        <v>44399</v>
      </c>
      <c r="B194">
        <v>21.120999999999999</v>
      </c>
      <c r="C194">
        <v>24.645</v>
      </c>
      <c r="D194">
        <v>21</v>
      </c>
      <c r="E194">
        <v>22.702999999999999</v>
      </c>
      <c r="F194">
        <v>789085.40300000005</v>
      </c>
      <c r="G194">
        <v>22.702999999999999</v>
      </c>
      <c r="L194" t="s">
        <v>7</v>
      </c>
      <c r="M194" t="s">
        <v>8</v>
      </c>
      <c r="N194" t="s">
        <v>8</v>
      </c>
      <c r="P194">
        <f t="shared" ref="P194" si="943">IF(C194=D194,0,((E194-D194)-(C194-E194))/(C194-D194))</f>
        <v>-6.5569272976680595E-2</v>
      </c>
      <c r="Q194">
        <f t="shared" ref="Q194" si="944">F194*P194</f>
        <v>-51739.756191221022</v>
      </c>
      <c r="R194">
        <f t="shared" ref="R194" si="945">R195+Q194</f>
        <v>-7498149.9741138816</v>
      </c>
      <c r="S194">
        <f t="shared" ref="S194" si="946">R194/100000</f>
        <v>-74.981499741138819</v>
      </c>
      <c r="T194">
        <f t="shared" si="934"/>
        <v>-7.4981499741138824E-2</v>
      </c>
    </row>
    <row r="195" spans="1:20" x14ac:dyDescent="0.25">
      <c r="A195" s="5">
        <v>44398</v>
      </c>
      <c r="B195">
        <v>17.318000000000001</v>
      </c>
      <c r="C195">
        <v>24.4</v>
      </c>
      <c r="D195">
        <v>16.885000000000002</v>
      </c>
      <c r="E195">
        <v>21.140999999999998</v>
      </c>
      <c r="F195">
        <v>1796970.182</v>
      </c>
      <c r="G195">
        <v>21.140999999999998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0.13266799733865559</v>
      </c>
      <c r="Q195">
        <f t="shared" ref="Q195" si="948">F195*P195</f>
        <v>238400.43532321946</v>
      </c>
      <c r="R195">
        <f t="shared" ref="R195" si="949">R196+Q195</f>
        <v>-7446410.2179226605</v>
      </c>
      <c r="S195">
        <f t="shared" ref="S195" si="950">R195/100000</f>
        <v>-74.4641021792266</v>
      </c>
      <c r="T195">
        <f t="shared" si="934"/>
        <v>-7.4464102179226596E-2</v>
      </c>
    </row>
    <row r="196" spans="1:20" x14ac:dyDescent="0.25">
      <c r="A196" s="5">
        <v>44397</v>
      </c>
      <c r="B196">
        <v>17.152999999999999</v>
      </c>
      <c r="C196">
        <v>20.231999999999999</v>
      </c>
      <c r="D196">
        <v>15</v>
      </c>
      <c r="E196">
        <v>17.317</v>
      </c>
      <c r="F196">
        <v>649427.36399999994</v>
      </c>
      <c r="G196">
        <v>17.317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-0.11429663608562673</v>
      </c>
      <c r="Q196">
        <f t="shared" ref="Q196" si="952">F196*P196</f>
        <v>-74227.363087155842</v>
      </c>
      <c r="R196">
        <f t="shared" ref="R196" si="953">R197+Q196</f>
        <v>-7684810.6532458803</v>
      </c>
      <c r="S196">
        <f t="shared" ref="S196" si="954">R196/100000</f>
        <v>-76.8481065324588</v>
      </c>
      <c r="T196">
        <f t="shared" si="934"/>
        <v>-7.6848106532458799E-2</v>
      </c>
    </row>
    <row r="197" spans="1:20" x14ac:dyDescent="0.25">
      <c r="A197" s="5">
        <v>44396</v>
      </c>
      <c r="B197">
        <v>15.846</v>
      </c>
      <c r="C197">
        <v>17.899999999999999</v>
      </c>
      <c r="D197">
        <v>15.601000000000001</v>
      </c>
      <c r="E197">
        <v>17.125</v>
      </c>
      <c r="F197">
        <v>242033.44500000001</v>
      </c>
      <c r="G197">
        <v>0</v>
      </c>
      <c r="L197" t="s">
        <v>8</v>
      </c>
      <c r="M197" t="s">
        <v>8</v>
      </c>
      <c r="N197" t="s">
        <v>8</v>
      </c>
      <c r="P197">
        <f t="shared" ref="P197" si="955">IF(C197=D197,0,((E197-D197)-(C197-E197))/(C197-D197))</f>
        <v>0.32579382340147944</v>
      </c>
      <c r="Q197">
        <f t="shared" ref="Q197" si="956">F197*P197</f>
        <v>78853.001437581697</v>
      </c>
      <c r="R197">
        <f t="shared" ref="R197" si="957">R198+Q197</f>
        <v>-7610583.2901587244</v>
      </c>
      <c r="S197">
        <f t="shared" ref="S197" si="958">R197/100000</f>
        <v>-76.105832901587249</v>
      </c>
      <c r="T197">
        <f t="shared" si="934"/>
        <v>-7.6105832901587248E-2</v>
      </c>
    </row>
    <row r="198" spans="1:20" x14ac:dyDescent="0.25">
      <c r="A198" s="5">
        <v>44395</v>
      </c>
      <c r="B198">
        <v>15.441000000000001</v>
      </c>
      <c r="C198">
        <v>16.18</v>
      </c>
      <c r="D198">
        <v>15.3</v>
      </c>
      <c r="E198">
        <v>15.856</v>
      </c>
      <c r="F198">
        <v>57872.544000000002</v>
      </c>
      <c r="G198">
        <v>0</v>
      </c>
      <c r="L198" t="s">
        <v>7</v>
      </c>
      <c r="M198" t="s">
        <v>8</v>
      </c>
      <c r="N198" t="s">
        <v>7</v>
      </c>
      <c r="P198">
        <f t="shared" ref="P198:P261" si="959">IF(C198=D198,0,((E198-D198)-(C198-E198))/(C198-D198))</f>
        <v>0.26363636363636317</v>
      </c>
      <c r="Q198">
        <f t="shared" ref="Q198:Q261" si="960">F198*P198</f>
        <v>15257.307054545428</v>
      </c>
      <c r="R198">
        <f t="shared" ref="R198:R261" si="961">R199+Q198</f>
        <v>-7689436.2915963065</v>
      </c>
      <c r="S198">
        <f t="shared" ref="S198:S261" si="962">R198/100000</f>
        <v>-76.894362915963072</v>
      </c>
      <c r="T198">
        <f t="shared" ref="T198:T261" si="963">S198/1000</f>
        <v>-7.6894362915963077E-2</v>
      </c>
    </row>
    <row r="199" spans="1:20" x14ac:dyDescent="0.25">
      <c r="A199" s="5">
        <v>44394</v>
      </c>
      <c r="B199">
        <v>15.583</v>
      </c>
      <c r="C199">
        <v>15.901999999999999</v>
      </c>
      <c r="D199">
        <v>15.2</v>
      </c>
      <c r="E199">
        <v>15.455</v>
      </c>
      <c r="F199">
        <v>58058.608999999997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-0.27350427350427126</v>
      </c>
      <c r="Q199">
        <f t="shared" si="960"/>
        <v>-15879.277675213543</v>
      </c>
      <c r="R199">
        <f t="shared" si="961"/>
        <v>-7704693.5986508522</v>
      </c>
      <c r="S199">
        <f t="shared" si="962"/>
        <v>-77.046935986508515</v>
      </c>
      <c r="T199">
        <f t="shared" si="963"/>
        <v>-7.7046935986508511E-2</v>
      </c>
    </row>
    <row r="200" spans="1:20" x14ac:dyDescent="0.25">
      <c r="A200" s="5">
        <v>44393</v>
      </c>
      <c r="B200">
        <v>15.968999999999999</v>
      </c>
      <c r="C200">
        <v>16.573</v>
      </c>
      <c r="D200">
        <v>15.143000000000001</v>
      </c>
      <c r="E200">
        <v>15.564</v>
      </c>
      <c r="F200">
        <v>77036.894</v>
      </c>
      <c r="G200">
        <v>0</v>
      </c>
      <c r="L200" t="s">
        <v>7</v>
      </c>
      <c r="M200" t="s">
        <v>8</v>
      </c>
      <c r="N200" t="s">
        <v>7</v>
      </c>
      <c r="P200">
        <f t="shared" si="959"/>
        <v>-0.41118881118881195</v>
      </c>
      <c r="Q200">
        <f t="shared" si="960"/>
        <v>-31676.708861538522</v>
      </c>
      <c r="R200">
        <f t="shared" si="961"/>
        <v>-7688814.3209756389</v>
      </c>
      <c r="S200">
        <f t="shared" si="962"/>
        <v>-76.888143209756393</v>
      </c>
      <c r="T200">
        <f t="shared" si="963"/>
        <v>-7.6888143209756399E-2</v>
      </c>
    </row>
    <row r="201" spans="1:20" x14ac:dyDescent="0.25">
      <c r="A201" s="5">
        <v>44392</v>
      </c>
      <c r="B201">
        <v>16.68</v>
      </c>
      <c r="C201">
        <v>16.789000000000001</v>
      </c>
      <c r="D201">
        <v>15.468</v>
      </c>
      <c r="E201">
        <v>15.968999999999999</v>
      </c>
      <c r="F201">
        <v>117600.08199999999</v>
      </c>
      <c r="G201">
        <v>0</v>
      </c>
      <c r="L201" t="s">
        <v>7</v>
      </c>
      <c r="M201" t="s">
        <v>8</v>
      </c>
      <c r="N201" t="s">
        <v>7</v>
      </c>
      <c r="P201">
        <f t="shared" si="959"/>
        <v>-0.24148372445117505</v>
      </c>
      <c r="Q201">
        <f t="shared" si="960"/>
        <v>-28398.505797123591</v>
      </c>
      <c r="R201">
        <f t="shared" si="961"/>
        <v>-7657137.6121141007</v>
      </c>
      <c r="S201">
        <f t="shared" si="962"/>
        <v>-76.571376121141</v>
      </c>
      <c r="T201">
        <f t="shared" si="963"/>
        <v>-7.6571376121140997E-2</v>
      </c>
    </row>
    <row r="202" spans="1:20" x14ac:dyDescent="0.25">
      <c r="A202" s="5">
        <v>44391</v>
      </c>
      <c r="B202">
        <v>15.781000000000001</v>
      </c>
      <c r="C202">
        <v>16.954999999999998</v>
      </c>
      <c r="D202">
        <v>15.1</v>
      </c>
      <c r="E202">
        <v>16.68</v>
      </c>
      <c r="F202">
        <v>218137.26500000001</v>
      </c>
      <c r="G202">
        <v>0</v>
      </c>
      <c r="L202" t="s">
        <v>8</v>
      </c>
      <c r="M202" t="s">
        <v>8</v>
      </c>
      <c r="N202" t="s">
        <v>7</v>
      </c>
      <c r="P202">
        <f t="shared" si="959"/>
        <v>0.70350404312668591</v>
      </c>
      <c r="Q202">
        <f t="shared" si="960"/>
        <v>153460.44788409732</v>
      </c>
      <c r="R202">
        <f t="shared" si="961"/>
        <v>-7628739.1063169772</v>
      </c>
      <c r="S202">
        <f t="shared" si="962"/>
        <v>-76.287391063169778</v>
      </c>
      <c r="T202">
        <f t="shared" si="963"/>
        <v>-7.6287391063169785E-2</v>
      </c>
    </row>
    <row r="203" spans="1:20" x14ac:dyDescent="0.25">
      <c r="A203" s="5">
        <v>44390</v>
      </c>
      <c r="B203">
        <v>15.156000000000001</v>
      </c>
      <c r="C203">
        <v>16.28</v>
      </c>
      <c r="D203">
        <v>14.65</v>
      </c>
      <c r="E203">
        <v>15.827999999999999</v>
      </c>
      <c r="F203">
        <v>169539.45300000001</v>
      </c>
      <c r="G203">
        <v>0</v>
      </c>
      <c r="L203" t="s">
        <v>8</v>
      </c>
      <c r="M203" t="s">
        <v>8</v>
      </c>
      <c r="N203" t="s">
        <v>7</v>
      </c>
      <c r="P203">
        <f t="shared" si="959"/>
        <v>0.44539877300613312</v>
      </c>
      <c r="Q203">
        <f t="shared" si="960"/>
        <v>75512.664342330972</v>
      </c>
      <c r="R203">
        <f t="shared" si="961"/>
        <v>-7782199.5542010749</v>
      </c>
      <c r="S203">
        <f t="shared" si="962"/>
        <v>-77.821995542010754</v>
      </c>
      <c r="T203">
        <f t="shared" si="963"/>
        <v>-7.7821995542010761E-2</v>
      </c>
    </row>
    <row r="204" spans="1:20" x14ac:dyDescent="0.25">
      <c r="A204" s="5">
        <v>44389</v>
      </c>
      <c r="B204">
        <v>14.61</v>
      </c>
      <c r="C204">
        <v>15.605</v>
      </c>
      <c r="D204">
        <v>14.301</v>
      </c>
      <c r="E204">
        <v>15.191000000000001</v>
      </c>
      <c r="F204">
        <v>110815.38099999999</v>
      </c>
      <c r="G204">
        <v>0</v>
      </c>
      <c r="L204" t="s">
        <v>7</v>
      </c>
      <c r="M204" t="s">
        <v>8</v>
      </c>
      <c r="N204" t="s">
        <v>7</v>
      </c>
      <c r="P204">
        <f t="shared" si="959"/>
        <v>0.36503067484662638</v>
      </c>
      <c r="Q204">
        <f t="shared" si="960"/>
        <v>40451.013309816015</v>
      </c>
      <c r="R204">
        <f t="shared" si="961"/>
        <v>-7857712.2185434056</v>
      </c>
      <c r="S204">
        <f t="shared" si="962"/>
        <v>-78.57712218543405</v>
      </c>
      <c r="T204">
        <f t="shared" si="963"/>
        <v>-7.8577122185434056E-2</v>
      </c>
    </row>
    <row r="205" spans="1:20" x14ac:dyDescent="0.25">
      <c r="A205" s="5">
        <v>44388</v>
      </c>
      <c r="B205">
        <v>14.427</v>
      </c>
      <c r="C205">
        <v>15.59</v>
      </c>
      <c r="D205">
        <v>14.24</v>
      </c>
      <c r="E205">
        <v>14.635999999999999</v>
      </c>
      <c r="F205">
        <v>159254.86199999999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-0.41333333333333461</v>
      </c>
      <c r="Q205">
        <f t="shared" si="960"/>
        <v>-65825.342960000198</v>
      </c>
      <c r="R205">
        <f t="shared" si="961"/>
        <v>-7898163.2318532215</v>
      </c>
      <c r="S205">
        <f t="shared" si="962"/>
        <v>-78.98163231853222</v>
      </c>
      <c r="T205">
        <f t="shared" si="963"/>
        <v>-7.8981632318532224E-2</v>
      </c>
    </row>
    <row r="206" spans="1:20" x14ac:dyDescent="0.25">
      <c r="A206" s="5">
        <v>44387</v>
      </c>
      <c r="B206">
        <v>14.048</v>
      </c>
      <c r="C206">
        <v>14.638999999999999</v>
      </c>
      <c r="D206">
        <v>13.959</v>
      </c>
      <c r="E206">
        <v>14.427</v>
      </c>
      <c r="F206">
        <v>66661.426000000007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0.37647058823529461</v>
      </c>
      <c r="Q206">
        <f t="shared" si="960"/>
        <v>25096.066258823565</v>
      </c>
      <c r="R206">
        <f t="shared" si="961"/>
        <v>-7832337.8888932215</v>
      </c>
      <c r="S206">
        <f t="shared" si="962"/>
        <v>-78.323378888932211</v>
      </c>
      <c r="T206">
        <f t="shared" si="963"/>
        <v>-7.8323378888932205E-2</v>
      </c>
    </row>
    <row r="207" spans="1:20" x14ac:dyDescent="0.25">
      <c r="A207" s="5">
        <v>44386</v>
      </c>
      <c r="B207">
        <v>13.923</v>
      </c>
      <c r="C207">
        <v>14.215</v>
      </c>
      <c r="D207">
        <v>13.631</v>
      </c>
      <c r="E207">
        <v>14.035</v>
      </c>
      <c r="F207">
        <v>40107.847999999998</v>
      </c>
      <c r="G207">
        <v>0</v>
      </c>
      <c r="L207" t="s">
        <v>7</v>
      </c>
      <c r="M207" t="s">
        <v>8</v>
      </c>
      <c r="N207" t="s">
        <v>7</v>
      </c>
      <c r="P207">
        <f t="shared" si="959"/>
        <v>0.38356164383561703</v>
      </c>
      <c r="Q207">
        <f t="shared" si="960"/>
        <v>15383.832109589064</v>
      </c>
      <c r="R207">
        <f t="shared" si="961"/>
        <v>-7857433.955152045</v>
      </c>
      <c r="S207">
        <f t="shared" si="962"/>
        <v>-78.574339551520453</v>
      </c>
      <c r="T207">
        <f t="shared" si="963"/>
        <v>-7.8574339551520447E-2</v>
      </c>
    </row>
    <row r="208" spans="1:20" x14ac:dyDescent="0.25">
      <c r="A208" s="5">
        <v>44385</v>
      </c>
      <c r="B208">
        <v>14.455</v>
      </c>
      <c r="C208">
        <v>14.8</v>
      </c>
      <c r="D208">
        <v>13.816000000000001</v>
      </c>
      <c r="E208">
        <v>13.961</v>
      </c>
      <c r="F208">
        <v>68178.092000000004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-0.70528455284552927</v>
      </c>
      <c r="Q208">
        <f t="shared" si="960"/>
        <v>-48084.955130081362</v>
      </c>
      <c r="R208">
        <f t="shared" si="961"/>
        <v>-7872817.7872616341</v>
      </c>
      <c r="S208">
        <f t="shared" si="962"/>
        <v>-78.728177872616342</v>
      </c>
      <c r="T208">
        <f t="shared" si="963"/>
        <v>-7.8728177872616337E-2</v>
      </c>
    </row>
    <row r="209" spans="1:20" x14ac:dyDescent="0.25">
      <c r="A209" s="5">
        <v>44384</v>
      </c>
      <c r="B209">
        <v>14.254</v>
      </c>
      <c r="C209">
        <v>14.827999999999999</v>
      </c>
      <c r="D209">
        <v>14.173</v>
      </c>
      <c r="E209">
        <v>14.464</v>
      </c>
      <c r="F209">
        <v>74727.485000000001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-0.11145038167938731</v>
      </c>
      <c r="Q209">
        <f t="shared" si="960"/>
        <v>-8328.4067251906908</v>
      </c>
      <c r="R209">
        <f t="shared" si="961"/>
        <v>-7824732.8321315525</v>
      </c>
      <c r="S209">
        <f t="shared" si="962"/>
        <v>-78.247328321315521</v>
      </c>
      <c r="T209">
        <f t="shared" si="963"/>
        <v>-7.8247328321315521E-2</v>
      </c>
    </row>
    <row r="210" spans="1:20" x14ac:dyDescent="0.25">
      <c r="A210" s="5">
        <v>44383</v>
      </c>
      <c r="B210">
        <v>14.449</v>
      </c>
      <c r="C210">
        <v>14.608000000000001</v>
      </c>
      <c r="D210">
        <v>14.11</v>
      </c>
      <c r="E210">
        <v>14.31</v>
      </c>
      <c r="F210">
        <v>70445.884999999995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-0.19678714859437502</v>
      </c>
      <c r="Q210">
        <f t="shared" si="960"/>
        <v>-13862.844839357253</v>
      </c>
      <c r="R210">
        <f t="shared" si="961"/>
        <v>-7816404.4254063619</v>
      </c>
      <c r="S210">
        <f t="shared" si="962"/>
        <v>-78.164044254063626</v>
      </c>
      <c r="T210">
        <f t="shared" si="963"/>
        <v>-7.8164044254063619E-2</v>
      </c>
    </row>
    <row r="211" spans="1:20" x14ac:dyDescent="0.25">
      <c r="A211" s="5">
        <v>44382</v>
      </c>
      <c r="B211">
        <v>14.27</v>
      </c>
      <c r="C211">
        <v>14.834</v>
      </c>
      <c r="D211">
        <v>14.019</v>
      </c>
      <c r="E211">
        <v>14.452999999999999</v>
      </c>
      <c r="F211">
        <v>99669.024000000005</v>
      </c>
      <c r="G211">
        <v>0</v>
      </c>
      <c r="L211" t="s">
        <v>8</v>
      </c>
      <c r="M211" t="s">
        <v>8</v>
      </c>
      <c r="N211" t="s">
        <v>7</v>
      </c>
      <c r="P211">
        <f t="shared" si="959"/>
        <v>6.5030674846624642E-2</v>
      </c>
      <c r="Q211">
        <f t="shared" si="960"/>
        <v>6481.5438920244278</v>
      </c>
      <c r="R211">
        <f t="shared" si="961"/>
        <v>-7802541.5805670051</v>
      </c>
      <c r="S211">
        <f t="shared" si="962"/>
        <v>-78.02541580567005</v>
      </c>
      <c r="T211">
        <f t="shared" si="963"/>
        <v>-7.8025415805670045E-2</v>
      </c>
    </row>
    <row r="212" spans="1:20" x14ac:dyDescent="0.25">
      <c r="A212" s="5">
        <v>44381</v>
      </c>
      <c r="B212">
        <v>14.233000000000001</v>
      </c>
      <c r="C212">
        <v>14.8</v>
      </c>
      <c r="D212">
        <v>13.954000000000001</v>
      </c>
      <c r="E212">
        <v>14.3</v>
      </c>
      <c r="F212">
        <v>121098.213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-0.18203309692671382</v>
      </c>
      <c r="Q212">
        <f t="shared" si="960"/>
        <v>-22043.882744680835</v>
      </c>
      <c r="R212">
        <f t="shared" si="961"/>
        <v>-7809023.1244590292</v>
      </c>
      <c r="S212">
        <f t="shared" si="962"/>
        <v>-78.090231244590285</v>
      </c>
      <c r="T212">
        <f t="shared" si="963"/>
        <v>-7.8090231244590289E-2</v>
      </c>
    </row>
    <row r="213" spans="1:20" x14ac:dyDescent="0.25">
      <c r="A213" s="5">
        <v>44380</v>
      </c>
      <c r="B213">
        <v>14.112</v>
      </c>
      <c r="C213">
        <v>14.339</v>
      </c>
      <c r="D213">
        <v>13.906000000000001</v>
      </c>
      <c r="E213">
        <v>14.205</v>
      </c>
      <c r="F213">
        <v>46812.298999999999</v>
      </c>
      <c r="G213">
        <v>0</v>
      </c>
      <c r="L213" t="s">
        <v>7</v>
      </c>
      <c r="M213" t="s">
        <v>8</v>
      </c>
      <c r="N213" t="s">
        <v>7</v>
      </c>
      <c r="P213">
        <f t="shared" si="959"/>
        <v>0.38106235565819679</v>
      </c>
      <c r="Q213">
        <f t="shared" si="960"/>
        <v>17838.404930715849</v>
      </c>
      <c r="R213">
        <f t="shared" si="961"/>
        <v>-7786979.2417143481</v>
      </c>
      <c r="S213">
        <f t="shared" si="962"/>
        <v>-77.869792417143486</v>
      </c>
      <c r="T213">
        <f t="shared" si="963"/>
        <v>-7.786979241714348E-2</v>
      </c>
    </row>
    <row r="214" spans="1:20" x14ac:dyDescent="0.25">
      <c r="A214" s="5">
        <v>44379</v>
      </c>
      <c r="B214">
        <v>14.138</v>
      </c>
      <c r="C214">
        <v>14.888999999999999</v>
      </c>
      <c r="D214">
        <v>13.86</v>
      </c>
      <c r="E214">
        <v>14.098000000000001</v>
      </c>
      <c r="F214">
        <v>153335.68700000001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-0.53741496598639193</v>
      </c>
      <c r="Q214">
        <f t="shared" si="960"/>
        <v>-82404.893013605048</v>
      </c>
      <c r="R214">
        <f t="shared" si="961"/>
        <v>-7804817.6466450635</v>
      </c>
      <c r="S214">
        <f t="shared" si="962"/>
        <v>-78.048176466450641</v>
      </c>
      <c r="T214">
        <f t="shared" si="963"/>
        <v>-7.8048176466450639E-2</v>
      </c>
    </row>
    <row r="215" spans="1:20" x14ac:dyDescent="0.25">
      <c r="A215" s="5">
        <v>44378</v>
      </c>
      <c r="B215">
        <v>14.378</v>
      </c>
      <c r="C215">
        <v>15.933999999999999</v>
      </c>
      <c r="D215">
        <v>13.603</v>
      </c>
      <c r="E215">
        <v>14.201000000000001</v>
      </c>
      <c r="F215">
        <v>241072.61300000001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-0.48691548691548614</v>
      </c>
      <c r="Q215">
        <f t="shared" si="960"/>
        <v>-117381.98874088356</v>
      </c>
      <c r="R215">
        <f t="shared" si="961"/>
        <v>-7722412.7536314586</v>
      </c>
      <c r="S215">
        <f t="shared" si="962"/>
        <v>-77.224127536314583</v>
      </c>
      <c r="T215">
        <f t="shared" si="963"/>
        <v>-7.722412753631458E-2</v>
      </c>
    </row>
    <row r="216" spans="1:20" x14ac:dyDescent="0.25">
      <c r="A216" s="5">
        <v>44377</v>
      </c>
      <c r="B216">
        <v>14.177</v>
      </c>
      <c r="C216">
        <v>14.38</v>
      </c>
      <c r="D216">
        <v>13.42</v>
      </c>
      <c r="E216">
        <v>14.38</v>
      </c>
      <c r="F216">
        <v>69788.987999999998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1</v>
      </c>
      <c r="Q216">
        <f t="shared" si="960"/>
        <v>69788.987999999998</v>
      </c>
      <c r="R216">
        <f t="shared" si="961"/>
        <v>-7605030.7648905749</v>
      </c>
      <c r="S216">
        <f t="shared" si="962"/>
        <v>-76.050307648905743</v>
      </c>
      <c r="T216">
        <f t="shared" si="963"/>
        <v>-7.6050307648905746E-2</v>
      </c>
    </row>
    <row r="217" spans="1:20" x14ac:dyDescent="0.25">
      <c r="A217" s="5">
        <v>44376</v>
      </c>
      <c r="B217">
        <v>13.961</v>
      </c>
      <c r="C217">
        <v>14.445</v>
      </c>
      <c r="D217">
        <v>13.961</v>
      </c>
      <c r="E217">
        <v>14.122999999999999</v>
      </c>
      <c r="F217">
        <v>72624.849000000002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-0.33057851239669817</v>
      </c>
      <c r="Q217">
        <f t="shared" si="960"/>
        <v>-24008.214545454834</v>
      </c>
      <c r="R217">
        <f t="shared" si="961"/>
        <v>-7674819.7528905747</v>
      </c>
      <c r="S217">
        <f t="shared" si="962"/>
        <v>-76.748197528905749</v>
      </c>
      <c r="T217">
        <f t="shared" si="963"/>
        <v>-7.6748197528905743E-2</v>
      </c>
    </row>
    <row r="218" spans="1:20" x14ac:dyDescent="0.25">
      <c r="A218" s="5">
        <v>44375</v>
      </c>
      <c r="B218">
        <v>14.074999999999999</v>
      </c>
      <c r="C218">
        <v>14.8</v>
      </c>
      <c r="D218">
        <v>13.574999999999999</v>
      </c>
      <c r="E218">
        <v>13.961</v>
      </c>
      <c r="F218">
        <v>95711.676999999996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-0.36979591836734604</v>
      </c>
      <c r="Q218">
        <f t="shared" si="960"/>
        <v>-35393.787494693788</v>
      </c>
      <c r="R218">
        <f t="shared" si="961"/>
        <v>-7650811.5383451199</v>
      </c>
      <c r="S218">
        <f t="shared" si="962"/>
        <v>-76.508115383451198</v>
      </c>
      <c r="T218">
        <f t="shared" si="963"/>
        <v>-7.6508115383451203E-2</v>
      </c>
    </row>
    <row r="219" spans="1:20" x14ac:dyDescent="0.25">
      <c r="A219" s="5">
        <v>44374</v>
      </c>
      <c r="B219">
        <v>13.753</v>
      </c>
      <c r="C219">
        <v>14.6</v>
      </c>
      <c r="D219">
        <v>13.15</v>
      </c>
      <c r="E219">
        <v>14.065</v>
      </c>
      <c r="F219">
        <v>67685.183999999994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0.26206896551724085</v>
      </c>
      <c r="Q219">
        <f t="shared" si="960"/>
        <v>17738.186151724101</v>
      </c>
      <c r="R219">
        <f t="shared" si="961"/>
        <v>-7615417.750850426</v>
      </c>
      <c r="S219">
        <f t="shared" si="962"/>
        <v>-76.154177508504262</v>
      </c>
      <c r="T219">
        <f t="shared" si="963"/>
        <v>-7.6154177508504256E-2</v>
      </c>
    </row>
    <row r="220" spans="1:20" x14ac:dyDescent="0.25">
      <c r="A220" s="5">
        <v>44373</v>
      </c>
      <c r="B220">
        <v>13.563000000000001</v>
      </c>
      <c r="C220">
        <v>14.337999999999999</v>
      </c>
      <c r="D220">
        <v>12.891</v>
      </c>
      <c r="E220">
        <v>13.731999999999999</v>
      </c>
      <c r="F220">
        <v>92567.934999999998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0.16240497581202457</v>
      </c>
      <c r="Q220">
        <f t="shared" si="960"/>
        <v>15033.493244644062</v>
      </c>
      <c r="R220">
        <f t="shared" si="961"/>
        <v>-7633155.9370021503</v>
      </c>
      <c r="S220">
        <f t="shared" si="962"/>
        <v>-76.331559370021509</v>
      </c>
      <c r="T220">
        <f t="shared" si="963"/>
        <v>-7.6331559370021507E-2</v>
      </c>
    </row>
    <row r="221" spans="1:20" x14ac:dyDescent="0.25">
      <c r="A221" s="5">
        <v>44372</v>
      </c>
      <c r="B221">
        <v>14.419</v>
      </c>
      <c r="C221">
        <v>15.14</v>
      </c>
      <c r="D221">
        <v>13.358000000000001</v>
      </c>
      <c r="E221">
        <v>13.587</v>
      </c>
      <c r="F221">
        <v>96240.588000000003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-0.74298540965207727</v>
      </c>
      <c r="Q221">
        <f t="shared" si="960"/>
        <v>-71505.352700336793</v>
      </c>
      <c r="R221">
        <f t="shared" si="961"/>
        <v>-7648189.4302467946</v>
      </c>
      <c r="S221">
        <f t="shared" si="962"/>
        <v>-76.48189430246795</v>
      </c>
      <c r="T221">
        <f t="shared" si="963"/>
        <v>-7.6481894302467948E-2</v>
      </c>
    </row>
    <row r="222" spans="1:20" x14ac:dyDescent="0.25">
      <c r="A222" s="5">
        <v>44371</v>
      </c>
      <c r="B222">
        <v>14.423999999999999</v>
      </c>
      <c r="C222">
        <v>14.746</v>
      </c>
      <c r="D222">
        <v>14.08</v>
      </c>
      <c r="E222">
        <v>14.375999999999999</v>
      </c>
      <c r="F222">
        <v>51003.631999999998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-0.11111111111111348</v>
      </c>
      <c r="Q222">
        <f t="shared" si="960"/>
        <v>-5667.0702222223426</v>
      </c>
      <c r="R222">
        <f t="shared" si="961"/>
        <v>-7576684.0775464578</v>
      </c>
      <c r="S222">
        <f t="shared" si="962"/>
        <v>-75.766840775464573</v>
      </c>
      <c r="T222">
        <f t="shared" si="963"/>
        <v>-7.576684077546457E-2</v>
      </c>
    </row>
    <row r="223" spans="1:20" x14ac:dyDescent="0.25">
      <c r="A223" s="5">
        <v>44370</v>
      </c>
      <c r="B223">
        <v>13.323</v>
      </c>
      <c r="C223">
        <v>15.938000000000001</v>
      </c>
      <c r="D223">
        <v>12.673</v>
      </c>
      <c r="E223">
        <v>14.414</v>
      </c>
      <c r="F223">
        <v>118207.269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6.6462480857579997E-2</v>
      </c>
      <c r="Q223">
        <f t="shared" si="960"/>
        <v>7856.3483531393094</v>
      </c>
      <c r="R223">
        <f t="shared" si="961"/>
        <v>-7571017.0073242355</v>
      </c>
      <c r="S223">
        <f t="shared" si="962"/>
        <v>-75.710170073242352</v>
      </c>
      <c r="T223">
        <f t="shared" si="963"/>
        <v>-7.571017007324235E-2</v>
      </c>
    </row>
    <row r="224" spans="1:20" x14ac:dyDescent="0.25">
      <c r="A224" s="5">
        <v>44369</v>
      </c>
      <c r="B224">
        <v>13.763</v>
      </c>
      <c r="C224">
        <v>14.667999999999999</v>
      </c>
      <c r="D224">
        <v>12.579000000000001</v>
      </c>
      <c r="E224">
        <v>13.324999999999999</v>
      </c>
      <c r="F224">
        <v>208276.81400000001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-0.28578267113451494</v>
      </c>
      <c r="Q224">
        <f t="shared" si="960"/>
        <v>-59521.90424030654</v>
      </c>
      <c r="R224">
        <f t="shared" si="961"/>
        <v>-7578873.3556773746</v>
      </c>
      <c r="S224">
        <f t="shared" si="962"/>
        <v>-75.788733556773749</v>
      </c>
      <c r="T224">
        <f t="shared" si="963"/>
        <v>-7.5788733556773749E-2</v>
      </c>
    </row>
    <row r="225" spans="1:20" x14ac:dyDescent="0.25">
      <c r="A225" s="5">
        <v>44368</v>
      </c>
      <c r="B225">
        <v>16.347000000000001</v>
      </c>
      <c r="C225">
        <v>16.388000000000002</v>
      </c>
      <c r="D225">
        <v>13.542</v>
      </c>
      <c r="E225">
        <v>13.747999999999999</v>
      </c>
      <c r="F225">
        <v>103565.711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-0.85523541813071025</v>
      </c>
      <c r="Q225">
        <f t="shared" si="960"/>
        <v>-88573.064151089289</v>
      </c>
      <c r="R225">
        <f t="shared" si="961"/>
        <v>-7519351.4514370682</v>
      </c>
      <c r="S225">
        <f t="shared" si="962"/>
        <v>-75.193514514370676</v>
      </c>
      <c r="T225">
        <f t="shared" si="963"/>
        <v>-7.5193514514370674E-2</v>
      </c>
    </row>
    <row r="226" spans="1:20" x14ac:dyDescent="0.25">
      <c r="A226" s="5">
        <v>44367</v>
      </c>
      <c r="B226">
        <v>16.358000000000001</v>
      </c>
      <c r="C226">
        <v>16.7</v>
      </c>
      <c r="D226">
        <v>15.212</v>
      </c>
      <c r="E226">
        <v>16.347000000000001</v>
      </c>
      <c r="F226">
        <v>95711.817999999999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0.52553763440860468</v>
      </c>
      <c r="Q226">
        <f t="shared" si="960"/>
        <v>50300.162416666906</v>
      </c>
      <c r="R226">
        <f t="shared" si="961"/>
        <v>-7430778.3872859785</v>
      </c>
      <c r="S226">
        <f t="shared" si="962"/>
        <v>-74.307783872859787</v>
      </c>
      <c r="T226">
        <f t="shared" si="963"/>
        <v>-7.4307783872859787E-2</v>
      </c>
    </row>
    <row r="227" spans="1:20" x14ac:dyDescent="0.25">
      <c r="A227" s="5">
        <v>44366</v>
      </c>
      <c r="B227">
        <v>16.425999999999998</v>
      </c>
      <c r="C227">
        <v>17.622</v>
      </c>
      <c r="D227">
        <v>15.856</v>
      </c>
      <c r="E227">
        <v>16.356999999999999</v>
      </c>
      <c r="F227">
        <v>161081.386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-0.43261608154020448</v>
      </c>
      <c r="Q227">
        <f t="shared" si="960"/>
        <v>-69686.398020385153</v>
      </c>
      <c r="R227">
        <f t="shared" si="961"/>
        <v>-7481078.5497026453</v>
      </c>
      <c r="S227">
        <f t="shared" si="962"/>
        <v>-74.810785497026458</v>
      </c>
      <c r="T227">
        <f t="shared" si="963"/>
        <v>-7.4810785497026452E-2</v>
      </c>
    </row>
    <row r="228" spans="1:20" x14ac:dyDescent="0.25">
      <c r="A228" s="5">
        <v>44365</v>
      </c>
      <c r="B228">
        <v>17.206</v>
      </c>
      <c r="C228">
        <v>17.7</v>
      </c>
      <c r="D228">
        <v>16.007999999999999</v>
      </c>
      <c r="E228">
        <v>16.379000000000001</v>
      </c>
      <c r="F228">
        <v>131994.193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-0.56146572104018655</v>
      </c>
      <c r="Q228">
        <f t="shared" si="960"/>
        <v>-74110.21474586254</v>
      </c>
      <c r="R228">
        <f t="shared" si="961"/>
        <v>-7411392.1516822604</v>
      </c>
      <c r="S228">
        <f t="shared" si="962"/>
        <v>-74.1139215168226</v>
      </c>
      <c r="T228">
        <f t="shared" si="963"/>
        <v>-7.4113921516822598E-2</v>
      </c>
    </row>
    <row r="229" spans="1:20" x14ac:dyDescent="0.25">
      <c r="A229" s="5">
        <v>44364</v>
      </c>
      <c r="B229">
        <v>16.574999999999999</v>
      </c>
      <c r="C229">
        <v>18.498999999999999</v>
      </c>
      <c r="D229">
        <v>16.574999999999999</v>
      </c>
      <c r="E229">
        <v>17.178000000000001</v>
      </c>
      <c r="F229">
        <v>193605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-0.3731808731808714</v>
      </c>
      <c r="Q229">
        <f t="shared" si="960"/>
        <v>-72249.6829521826</v>
      </c>
      <c r="R229">
        <f t="shared" si="961"/>
        <v>-7337281.936936398</v>
      </c>
      <c r="S229">
        <f t="shared" si="962"/>
        <v>-73.372819369363981</v>
      </c>
      <c r="T229">
        <f t="shared" si="963"/>
        <v>-7.3372819369363976E-2</v>
      </c>
    </row>
    <row r="230" spans="1:20" x14ac:dyDescent="0.25">
      <c r="A230" s="5">
        <v>44363</v>
      </c>
      <c r="B230">
        <v>17.559999999999999</v>
      </c>
      <c r="C230">
        <v>17.949000000000002</v>
      </c>
      <c r="D230">
        <v>16.469000000000001</v>
      </c>
      <c r="E230">
        <v>16.584</v>
      </c>
      <c r="F230">
        <v>154278.375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-0.84459459459459674</v>
      </c>
      <c r="Q230">
        <f t="shared" si="960"/>
        <v>-130302.68158783817</v>
      </c>
      <c r="R230">
        <f t="shared" si="961"/>
        <v>-7265032.2539842157</v>
      </c>
      <c r="S230">
        <f t="shared" si="962"/>
        <v>-72.650322539842151</v>
      </c>
      <c r="T230">
        <f t="shared" si="963"/>
        <v>-7.2650322539842146E-2</v>
      </c>
    </row>
    <row r="231" spans="1:20" x14ac:dyDescent="0.25">
      <c r="A231" s="5">
        <v>44362</v>
      </c>
      <c r="B231">
        <v>17.18</v>
      </c>
      <c r="C231">
        <v>18.332000000000001</v>
      </c>
      <c r="D231">
        <v>16.899999999999999</v>
      </c>
      <c r="E231">
        <v>17.501999999999999</v>
      </c>
      <c r="F231">
        <v>196550.95600000001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-0.1592178770949729</v>
      </c>
      <c r="Q231">
        <f t="shared" si="960"/>
        <v>-31294.425955307426</v>
      </c>
      <c r="R231">
        <f t="shared" si="961"/>
        <v>-7134729.5723963771</v>
      </c>
      <c r="S231">
        <f t="shared" si="962"/>
        <v>-71.347295723963768</v>
      </c>
      <c r="T231">
        <f t="shared" si="963"/>
        <v>-7.1347295723963769E-2</v>
      </c>
    </row>
    <row r="232" spans="1:20" x14ac:dyDescent="0.25">
      <c r="A232" s="5">
        <v>44361</v>
      </c>
      <c r="B232">
        <v>16.818000000000001</v>
      </c>
      <c r="C232">
        <v>18.88</v>
      </c>
      <c r="D232">
        <v>16.600999999999999</v>
      </c>
      <c r="E232">
        <v>17.18</v>
      </c>
      <c r="F232">
        <v>234192.05300000001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-0.49188240456340443</v>
      </c>
      <c r="Q232">
        <f t="shared" si="960"/>
        <v>-115194.95015928026</v>
      </c>
      <c r="R232">
        <f t="shared" si="961"/>
        <v>-7103435.1464410694</v>
      </c>
      <c r="S232">
        <f t="shared" si="962"/>
        <v>-71.03435146441069</v>
      </c>
      <c r="T232">
        <f t="shared" si="963"/>
        <v>-7.1034351464410686E-2</v>
      </c>
    </row>
    <row r="233" spans="1:20" x14ac:dyDescent="0.25">
      <c r="A233" s="5">
        <v>44360</v>
      </c>
      <c r="B233">
        <v>16.13</v>
      </c>
      <c r="C233">
        <v>16.882000000000001</v>
      </c>
      <c r="D233">
        <v>15.6</v>
      </c>
      <c r="E233">
        <v>16.818000000000001</v>
      </c>
      <c r="F233">
        <v>73123.671000000002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0.90015600624024961</v>
      </c>
      <c r="Q233">
        <f t="shared" si="960"/>
        <v>65822.711648985962</v>
      </c>
      <c r="R233">
        <f t="shared" si="961"/>
        <v>-6988240.1962817889</v>
      </c>
      <c r="S233">
        <f t="shared" si="962"/>
        <v>-69.882401962817895</v>
      </c>
      <c r="T233">
        <f t="shared" si="963"/>
        <v>-6.9882401962817892E-2</v>
      </c>
    </row>
    <row r="234" spans="1:20" x14ac:dyDescent="0.25">
      <c r="A234" s="5">
        <v>44359</v>
      </c>
      <c r="B234">
        <v>16.925000000000001</v>
      </c>
      <c r="C234">
        <v>16.928999999999998</v>
      </c>
      <c r="D234">
        <v>15.7</v>
      </c>
      <c r="E234">
        <v>16.132000000000001</v>
      </c>
      <c r="F234">
        <v>150420.58100000001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-0.29698942229454445</v>
      </c>
      <c r="Q234">
        <f t="shared" si="960"/>
        <v>-44673.32145239973</v>
      </c>
      <c r="R234">
        <f t="shared" si="961"/>
        <v>-7054062.9079307746</v>
      </c>
      <c r="S234">
        <f t="shared" si="962"/>
        <v>-70.540629079307749</v>
      </c>
      <c r="T234">
        <f t="shared" si="963"/>
        <v>-7.0540629079307748E-2</v>
      </c>
    </row>
    <row r="235" spans="1:20" x14ac:dyDescent="0.25">
      <c r="A235" s="5">
        <v>44358</v>
      </c>
      <c r="B235">
        <v>18.527999999999999</v>
      </c>
      <c r="C235">
        <v>21.437999999999999</v>
      </c>
      <c r="D235">
        <v>16.489000000000001</v>
      </c>
      <c r="E235">
        <v>16.908000000000001</v>
      </c>
      <c r="F235">
        <v>892677.12300000002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-0.83067286320468758</v>
      </c>
      <c r="Q235">
        <f t="shared" si="960"/>
        <v>-741522.66167973308</v>
      </c>
      <c r="R235">
        <f t="shared" si="961"/>
        <v>-7009389.5864783749</v>
      </c>
      <c r="S235">
        <f t="shared" si="962"/>
        <v>-70.093895864783747</v>
      </c>
      <c r="T235">
        <f t="shared" si="963"/>
        <v>-7.0093895864783748E-2</v>
      </c>
    </row>
    <row r="236" spans="1:20" x14ac:dyDescent="0.25">
      <c r="A236" s="5">
        <v>44357</v>
      </c>
      <c r="B236">
        <v>16.042999999999999</v>
      </c>
      <c r="C236">
        <v>19.289000000000001</v>
      </c>
      <c r="D236">
        <v>15.696999999999999</v>
      </c>
      <c r="E236">
        <v>18.571000000000002</v>
      </c>
      <c r="F236">
        <v>214983.31700000001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0.60022271714922071</v>
      </c>
      <c r="Q236">
        <f t="shared" si="960"/>
        <v>129037.87067149226</v>
      </c>
      <c r="R236">
        <f t="shared" si="961"/>
        <v>-6267866.9247986423</v>
      </c>
      <c r="S236">
        <f t="shared" si="962"/>
        <v>-62.67866924798642</v>
      </c>
      <c r="T236">
        <f t="shared" si="963"/>
        <v>-6.2678669247986415E-2</v>
      </c>
    </row>
    <row r="237" spans="1:20" x14ac:dyDescent="0.25">
      <c r="A237" s="5">
        <v>44356</v>
      </c>
      <c r="B237">
        <v>15.638</v>
      </c>
      <c r="C237">
        <v>16.433</v>
      </c>
      <c r="D237">
        <v>15.253</v>
      </c>
      <c r="E237">
        <v>16.036000000000001</v>
      </c>
      <c r="F237">
        <v>74208.979000000007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0.32711864406779906</v>
      </c>
      <c r="Q237">
        <f t="shared" si="960"/>
        <v>24275.140588135779</v>
      </c>
      <c r="R237">
        <f t="shared" si="961"/>
        <v>-6396904.7954701344</v>
      </c>
      <c r="S237">
        <f t="shared" si="962"/>
        <v>-63.969047954701345</v>
      </c>
      <c r="T237">
        <f t="shared" si="963"/>
        <v>-6.3969047954701347E-2</v>
      </c>
    </row>
    <row r="238" spans="1:20" x14ac:dyDescent="0.25">
      <c r="A238" s="5">
        <v>44355</v>
      </c>
      <c r="B238">
        <v>15.792999999999999</v>
      </c>
      <c r="C238">
        <v>16.248000000000001</v>
      </c>
      <c r="D238">
        <v>14.061</v>
      </c>
      <c r="E238">
        <v>15.603</v>
      </c>
      <c r="F238">
        <v>166472.497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0.41015089163237217</v>
      </c>
      <c r="Q238">
        <f t="shared" si="960"/>
        <v>68278.8430768174</v>
      </c>
      <c r="R238">
        <f t="shared" si="961"/>
        <v>-6421179.9360582698</v>
      </c>
      <c r="S238">
        <f t="shared" si="962"/>
        <v>-64.211799360582702</v>
      </c>
      <c r="T238">
        <f t="shared" si="963"/>
        <v>-6.4211799360582703E-2</v>
      </c>
    </row>
    <row r="239" spans="1:20" x14ac:dyDescent="0.25">
      <c r="A239" s="5">
        <v>44354</v>
      </c>
      <c r="B239">
        <v>17.059999999999999</v>
      </c>
      <c r="C239">
        <v>18.669</v>
      </c>
      <c r="D239">
        <v>15.2</v>
      </c>
      <c r="E239">
        <v>15.754</v>
      </c>
      <c r="F239">
        <v>193382.234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-0.68059959642548284</v>
      </c>
      <c r="Q239">
        <f t="shared" si="960"/>
        <v>-131615.87041625829</v>
      </c>
      <c r="R239">
        <f t="shared" si="961"/>
        <v>-6489458.7791350875</v>
      </c>
      <c r="S239">
        <f t="shared" si="962"/>
        <v>-64.894587791350872</v>
      </c>
      <c r="T239">
        <f t="shared" si="963"/>
        <v>-6.4894587791350877E-2</v>
      </c>
    </row>
    <row r="240" spans="1:20" x14ac:dyDescent="0.25">
      <c r="A240" s="5">
        <v>44353</v>
      </c>
      <c r="B240">
        <v>17.367999999999999</v>
      </c>
      <c r="C240">
        <v>18.297000000000001</v>
      </c>
      <c r="D240">
        <v>16.815000000000001</v>
      </c>
      <c r="E240">
        <v>17.084</v>
      </c>
      <c r="F240">
        <v>138378.861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-0.63697705802969162</v>
      </c>
      <c r="Q240">
        <f t="shared" si="960"/>
        <v>-88144.159773279636</v>
      </c>
      <c r="R240">
        <f t="shared" si="961"/>
        <v>-6357842.908718829</v>
      </c>
      <c r="S240">
        <f t="shared" si="962"/>
        <v>-63.57842908718829</v>
      </c>
      <c r="T240">
        <f t="shared" si="963"/>
        <v>-6.357842908718829E-2</v>
      </c>
    </row>
    <row r="241" spans="1:20" x14ac:dyDescent="0.25">
      <c r="A241" s="5">
        <v>44352</v>
      </c>
      <c r="B241">
        <v>16.641999999999999</v>
      </c>
      <c r="C241">
        <v>22</v>
      </c>
      <c r="D241">
        <v>16.358000000000001</v>
      </c>
      <c r="E241">
        <v>17.399999999999999</v>
      </c>
      <c r="F241">
        <v>404585.80800000002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-0.63062743707905067</v>
      </c>
      <c r="Q241">
        <f t="shared" si="960"/>
        <v>-255142.91117759689</v>
      </c>
      <c r="R241">
        <f t="shared" si="961"/>
        <v>-6269698.7489455491</v>
      </c>
      <c r="S241">
        <f t="shared" si="962"/>
        <v>-62.696987489455495</v>
      </c>
      <c r="T241">
        <f t="shared" si="963"/>
        <v>-6.26969874894555E-2</v>
      </c>
    </row>
    <row r="242" spans="1:20" x14ac:dyDescent="0.25">
      <c r="A242" s="5">
        <v>44351</v>
      </c>
      <c r="B242">
        <v>17.111000000000001</v>
      </c>
      <c r="C242">
        <v>18.292000000000002</v>
      </c>
      <c r="D242">
        <v>15.56</v>
      </c>
      <c r="E242">
        <v>16.640999999999998</v>
      </c>
      <c r="F242">
        <v>210852.96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-0.20863836017569742</v>
      </c>
      <c r="Q242">
        <f t="shared" si="960"/>
        <v>-43992.015812591919</v>
      </c>
      <c r="R242">
        <f t="shared" si="961"/>
        <v>-6014555.8377679521</v>
      </c>
      <c r="S242">
        <f t="shared" si="962"/>
        <v>-60.145558377679521</v>
      </c>
      <c r="T242">
        <f t="shared" si="963"/>
        <v>-6.0145558377679521E-2</v>
      </c>
    </row>
    <row r="243" spans="1:20" x14ac:dyDescent="0.25">
      <c r="A243" s="5">
        <v>44350</v>
      </c>
      <c r="B243">
        <v>16.422999999999998</v>
      </c>
      <c r="C243">
        <v>19.86</v>
      </c>
      <c r="D243">
        <v>16.2</v>
      </c>
      <c r="E243">
        <v>17.111000000000001</v>
      </c>
      <c r="F243">
        <v>348317.27799999999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-0.50218579234972605</v>
      </c>
      <c r="Q243">
        <f t="shared" si="960"/>
        <v>-174919.98824152979</v>
      </c>
      <c r="R243">
        <f t="shared" si="961"/>
        <v>-5970563.8219553605</v>
      </c>
      <c r="S243">
        <f t="shared" si="962"/>
        <v>-59.705638219553606</v>
      </c>
      <c r="T243">
        <f t="shared" si="963"/>
        <v>-5.9705638219553603E-2</v>
      </c>
    </row>
    <row r="244" spans="1:20" x14ac:dyDescent="0.25">
      <c r="A244" s="5">
        <v>44349</v>
      </c>
      <c r="B244">
        <v>16.331</v>
      </c>
      <c r="C244">
        <v>17.395</v>
      </c>
      <c r="D244">
        <v>15.965</v>
      </c>
      <c r="E244">
        <v>16.428000000000001</v>
      </c>
      <c r="F244">
        <v>164108.36300000001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-0.35244755244755099</v>
      </c>
      <c r="Q244">
        <f t="shared" si="960"/>
        <v>-57839.590875524242</v>
      </c>
      <c r="R244">
        <f t="shared" si="961"/>
        <v>-5795643.8337138304</v>
      </c>
      <c r="S244">
        <f t="shared" si="962"/>
        <v>-57.956438337138302</v>
      </c>
      <c r="T244">
        <f t="shared" si="963"/>
        <v>-5.7956438337138302E-2</v>
      </c>
    </row>
    <row r="245" spans="1:20" x14ac:dyDescent="0.25">
      <c r="A245" s="5">
        <v>44348</v>
      </c>
      <c r="B245">
        <v>17.097999999999999</v>
      </c>
      <c r="C245">
        <v>17.436</v>
      </c>
      <c r="D245">
        <v>16.123999999999999</v>
      </c>
      <c r="E245">
        <v>16.2</v>
      </c>
      <c r="F245">
        <v>77592.264999999999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-0.88414634146341398</v>
      </c>
      <c r="Q245">
        <f t="shared" si="960"/>
        <v>-68602.917225609708</v>
      </c>
      <c r="R245">
        <f t="shared" si="961"/>
        <v>-5737804.2428383064</v>
      </c>
      <c r="S245">
        <f t="shared" si="962"/>
        <v>-57.378042428383061</v>
      </c>
      <c r="T245">
        <f t="shared" si="963"/>
        <v>-5.7378042428383062E-2</v>
      </c>
    </row>
    <row r="246" spans="1:20" x14ac:dyDescent="0.25">
      <c r="A246" s="5">
        <v>44347</v>
      </c>
      <c r="B246">
        <v>16.542000000000002</v>
      </c>
      <c r="C246">
        <v>17.417999999999999</v>
      </c>
      <c r="D246">
        <v>16.010999999999999</v>
      </c>
      <c r="E246">
        <v>17.100000000000001</v>
      </c>
      <c r="F246">
        <v>131446.77799999999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0.54797441364605848</v>
      </c>
      <c r="Q246">
        <f t="shared" si="960"/>
        <v>72029.471100213617</v>
      </c>
      <c r="R246">
        <f t="shared" si="961"/>
        <v>-5669201.3256126968</v>
      </c>
      <c r="S246">
        <f t="shared" si="962"/>
        <v>-56.69201325612697</v>
      </c>
      <c r="T246">
        <f t="shared" si="963"/>
        <v>-5.6692013256126966E-2</v>
      </c>
    </row>
    <row r="247" spans="1:20" x14ac:dyDescent="0.25">
      <c r="A247" s="5">
        <v>44346</v>
      </c>
      <c r="B247">
        <v>16.488</v>
      </c>
      <c r="C247">
        <v>18.8</v>
      </c>
      <c r="D247">
        <v>15.5</v>
      </c>
      <c r="E247">
        <v>16.539000000000001</v>
      </c>
      <c r="F247">
        <v>204193.81200000001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-0.37030303030302952</v>
      </c>
      <c r="Q247">
        <f t="shared" si="960"/>
        <v>-75613.587352727118</v>
      </c>
      <c r="R247">
        <f t="shared" si="961"/>
        <v>-5741230.7967129108</v>
      </c>
      <c r="S247">
        <f t="shared" si="962"/>
        <v>-57.412307967129109</v>
      </c>
      <c r="T247">
        <f t="shared" si="963"/>
        <v>-5.7412307967129109E-2</v>
      </c>
    </row>
    <row r="248" spans="1:20" x14ac:dyDescent="0.25">
      <c r="A248" s="5">
        <v>44345</v>
      </c>
      <c r="B248">
        <v>17.911000000000001</v>
      </c>
      <c r="C248">
        <v>18.643999999999998</v>
      </c>
      <c r="D248">
        <v>15.292999999999999</v>
      </c>
      <c r="E248">
        <v>16.488</v>
      </c>
      <c r="F248">
        <v>219548.60399999999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-0.28678006565204378</v>
      </c>
      <c r="Q248">
        <f t="shared" si="960"/>
        <v>-62962.163068934562</v>
      </c>
      <c r="R248">
        <f t="shared" si="961"/>
        <v>-5665617.2093601832</v>
      </c>
      <c r="S248">
        <f t="shared" si="962"/>
        <v>-56.656172093601832</v>
      </c>
      <c r="T248">
        <f t="shared" si="963"/>
        <v>-5.6656172093601832E-2</v>
      </c>
    </row>
    <row r="249" spans="1:20" x14ac:dyDescent="0.25">
      <c r="A249" s="5">
        <v>44344</v>
      </c>
      <c r="B249">
        <v>22.111000000000001</v>
      </c>
      <c r="C249">
        <v>23</v>
      </c>
      <c r="D249">
        <v>17.038</v>
      </c>
      <c r="E249">
        <v>17.97</v>
      </c>
      <c r="F249">
        <v>874953.53399999999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-0.68735323716873575</v>
      </c>
      <c r="Q249">
        <f t="shared" si="960"/>
        <v>-601402.14396712545</v>
      </c>
      <c r="R249">
        <f t="shared" si="961"/>
        <v>-5602655.0462912489</v>
      </c>
      <c r="S249">
        <f t="shared" si="962"/>
        <v>-56.026550462912489</v>
      </c>
      <c r="T249">
        <f t="shared" si="963"/>
        <v>-5.6026550462912487E-2</v>
      </c>
    </row>
    <row r="250" spans="1:20" x14ac:dyDescent="0.25">
      <c r="A250" s="5">
        <v>44343</v>
      </c>
      <c r="B250">
        <v>15.879</v>
      </c>
      <c r="C250">
        <v>24.8</v>
      </c>
      <c r="D250">
        <v>15.218</v>
      </c>
      <c r="E250">
        <v>22.170999999999999</v>
      </c>
      <c r="F250">
        <v>1277987.703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0.45126278438739281</v>
      </c>
      <c r="Q250">
        <f t="shared" si="960"/>
        <v>576708.28926862834</v>
      </c>
      <c r="R250">
        <f t="shared" si="961"/>
        <v>-5001252.9023241233</v>
      </c>
      <c r="S250">
        <f t="shared" si="962"/>
        <v>-50.012529023241235</v>
      </c>
      <c r="T250">
        <f t="shared" si="963"/>
        <v>-5.0012529023241235E-2</v>
      </c>
    </row>
    <row r="251" spans="1:20" x14ac:dyDescent="0.25">
      <c r="A251" s="5">
        <v>44342</v>
      </c>
      <c r="B251">
        <v>15.067</v>
      </c>
      <c r="C251">
        <v>16.199000000000002</v>
      </c>
      <c r="D251">
        <v>14.757</v>
      </c>
      <c r="E251">
        <v>15.879</v>
      </c>
      <c r="F251">
        <v>170151.33300000001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0.55617198335644713</v>
      </c>
      <c r="Q251">
        <f t="shared" si="960"/>
        <v>94633.404345353294</v>
      </c>
      <c r="R251">
        <f t="shared" si="961"/>
        <v>-5577961.191592752</v>
      </c>
      <c r="S251">
        <f t="shared" si="962"/>
        <v>-55.779611915927518</v>
      </c>
      <c r="T251">
        <f t="shared" si="963"/>
        <v>-5.5779611915927521E-2</v>
      </c>
    </row>
    <row r="252" spans="1:20" x14ac:dyDescent="0.25">
      <c r="A252" s="5">
        <v>44341</v>
      </c>
      <c r="B252">
        <v>16.117999999999999</v>
      </c>
      <c r="C252">
        <v>16.64</v>
      </c>
      <c r="D252">
        <v>14.000999999999999</v>
      </c>
      <c r="E252">
        <v>15.047000000000001</v>
      </c>
      <c r="F252">
        <v>97691.232000000004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-0.20727548313755156</v>
      </c>
      <c r="Q252">
        <f t="shared" si="960"/>
        <v>-20248.997311102637</v>
      </c>
      <c r="R252">
        <f t="shared" si="961"/>
        <v>-5672594.5959381051</v>
      </c>
      <c r="S252">
        <f t="shared" si="962"/>
        <v>-56.72594595938105</v>
      </c>
      <c r="T252">
        <f t="shared" si="963"/>
        <v>-5.6725945959381054E-2</v>
      </c>
    </row>
    <row r="253" spans="1:20" x14ac:dyDescent="0.25">
      <c r="A253" s="5">
        <v>44340</v>
      </c>
      <c r="B253">
        <v>14.856</v>
      </c>
      <c r="C253">
        <v>16.733000000000001</v>
      </c>
      <c r="D253">
        <v>13.266999999999999</v>
      </c>
      <c r="E253">
        <v>16.117999999999999</v>
      </c>
      <c r="F253">
        <v>109063.425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0.64512406231967578</v>
      </c>
      <c r="Q253">
        <f t="shared" si="960"/>
        <v>70359.439786497285</v>
      </c>
      <c r="R253">
        <f t="shared" si="961"/>
        <v>-5652345.5986270029</v>
      </c>
      <c r="S253">
        <f t="shared" si="962"/>
        <v>-56.523455986270029</v>
      </c>
      <c r="T253">
        <f t="shared" si="963"/>
        <v>-5.6523455986270031E-2</v>
      </c>
    </row>
    <row r="254" spans="1:20" x14ac:dyDescent="0.25">
      <c r="A254" s="5">
        <v>44339</v>
      </c>
      <c r="B254">
        <v>18.95</v>
      </c>
      <c r="C254">
        <v>18.963999999999999</v>
      </c>
      <c r="D254">
        <v>11.7</v>
      </c>
      <c r="E254">
        <v>14.882</v>
      </c>
      <c r="F254">
        <v>171653.01800000001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-0.12389867841409673</v>
      </c>
      <c r="Q254">
        <f t="shared" si="960"/>
        <v>-21267.582075991158</v>
      </c>
      <c r="R254">
        <f t="shared" si="961"/>
        <v>-5722705.0384135004</v>
      </c>
      <c r="S254">
        <f t="shared" si="962"/>
        <v>-57.227050384135005</v>
      </c>
      <c r="T254">
        <f t="shared" si="963"/>
        <v>-5.7227050384135003E-2</v>
      </c>
    </row>
    <row r="255" spans="1:20" x14ac:dyDescent="0.25">
      <c r="A255" s="5">
        <v>44338</v>
      </c>
      <c r="B255">
        <v>22.856999999999999</v>
      </c>
      <c r="C255">
        <v>22.992000000000001</v>
      </c>
      <c r="D255">
        <v>18.335000000000001</v>
      </c>
      <c r="E255">
        <v>18.95</v>
      </c>
      <c r="F255">
        <v>156815.13500000001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-0.73588146875671101</v>
      </c>
      <c r="Q255">
        <f t="shared" si="960"/>
        <v>-115397.35186708193</v>
      </c>
      <c r="R255">
        <f t="shared" si="961"/>
        <v>-5701437.4563375097</v>
      </c>
      <c r="S255">
        <f t="shared" si="962"/>
        <v>-57.0143745633751</v>
      </c>
      <c r="T255">
        <f t="shared" si="963"/>
        <v>-5.7014374563375096E-2</v>
      </c>
    </row>
    <row r="256" spans="1:20" x14ac:dyDescent="0.25">
      <c r="A256" s="5">
        <v>44337</v>
      </c>
      <c r="B256">
        <v>22.437999999999999</v>
      </c>
      <c r="C256">
        <v>26.966000000000001</v>
      </c>
      <c r="D256">
        <v>17.998999999999999</v>
      </c>
      <c r="E256">
        <v>22.849</v>
      </c>
      <c r="F256">
        <v>328589.97200000001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8.1744173079067728E-2</v>
      </c>
      <c r="Q256">
        <f t="shared" si="960"/>
        <v>26860.315543214019</v>
      </c>
      <c r="R256">
        <f t="shared" si="961"/>
        <v>-5586040.1044704281</v>
      </c>
      <c r="S256">
        <f t="shared" si="962"/>
        <v>-55.860401044704282</v>
      </c>
      <c r="T256">
        <f t="shared" si="963"/>
        <v>-5.5860401044704286E-2</v>
      </c>
    </row>
    <row r="257" spans="1:20" x14ac:dyDescent="0.25">
      <c r="A257" s="5">
        <v>44336</v>
      </c>
      <c r="B257">
        <v>20.05</v>
      </c>
      <c r="C257">
        <v>24</v>
      </c>
      <c r="D257">
        <v>17.100000000000001</v>
      </c>
      <c r="E257">
        <v>22.416</v>
      </c>
      <c r="F257">
        <v>129712.875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0.54086956521739127</v>
      </c>
      <c r="Q257">
        <f t="shared" si="960"/>
        <v>70157.74630434782</v>
      </c>
      <c r="R257">
        <f t="shared" si="961"/>
        <v>-5612900.4200136419</v>
      </c>
      <c r="S257">
        <f t="shared" si="962"/>
        <v>-56.129004200136421</v>
      </c>
      <c r="T257">
        <f t="shared" si="963"/>
        <v>-5.6129004200136424E-2</v>
      </c>
    </row>
    <row r="258" spans="1:20" x14ac:dyDescent="0.25">
      <c r="A258" s="5">
        <v>44335</v>
      </c>
      <c r="B258">
        <v>30.149000000000001</v>
      </c>
      <c r="C258">
        <v>30.84</v>
      </c>
      <c r="D258">
        <v>16.440999999999999</v>
      </c>
      <c r="E258">
        <v>20.042999999999999</v>
      </c>
      <c r="F258">
        <v>243070.24600000001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-0.49968747829710397</v>
      </c>
      <c r="Q258">
        <f t="shared" si="960"/>
        <v>-121459.15827279673</v>
      </c>
      <c r="R258">
        <f t="shared" si="961"/>
        <v>-5683058.16631799</v>
      </c>
      <c r="S258">
        <f t="shared" si="962"/>
        <v>-56.830581663179899</v>
      </c>
      <c r="T258">
        <f t="shared" si="963"/>
        <v>-5.6830581663179898E-2</v>
      </c>
    </row>
    <row r="259" spans="1:20" x14ac:dyDescent="0.25">
      <c r="A259" s="5">
        <v>44334</v>
      </c>
      <c r="B259">
        <v>28.071000000000002</v>
      </c>
      <c r="C259">
        <v>33.9</v>
      </c>
      <c r="D259">
        <v>27.785</v>
      </c>
      <c r="E259">
        <v>30.071000000000002</v>
      </c>
      <c r="F259">
        <v>443613.652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-0.25233033524120951</v>
      </c>
      <c r="Q259">
        <f t="shared" si="960"/>
        <v>-111937.18152673726</v>
      </c>
      <c r="R259">
        <f t="shared" si="961"/>
        <v>-5561599.0080451937</v>
      </c>
      <c r="S259">
        <f t="shared" si="962"/>
        <v>-55.615990080451937</v>
      </c>
      <c r="T259">
        <f t="shared" si="963"/>
        <v>-5.5615990080451934E-2</v>
      </c>
    </row>
    <row r="260" spans="1:20" x14ac:dyDescent="0.25">
      <c r="A260" s="5">
        <v>44333</v>
      </c>
      <c r="B260">
        <v>28.687999999999999</v>
      </c>
      <c r="C260">
        <v>29.44</v>
      </c>
      <c r="D260">
        <v>26.032</v>
      </c>
      <c r="E260">
        <v>28.068999999999999</v>
      </c>
      <c r="F260">
        <v>226290.77299999999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0.1954225352112666</v>
      </c>
      <c r="Q260">
        <f t="shared" si="960"/>
        <v>44222.316554577235</v>
      </c>
      <c r="R260">
        <f t="shared" si="961"/>
        <v>-5449661.8265184565</v>
      </c>
      <c r="S260">
        <f t="shared" si="962"/>
        <v>-54.496618265184566</v>
      </c>
      <c r="T260">
        <f t="shared" si="963"/>
        <v>-5.4496618265184565E-2</v>
      </c>
    </row>
    <row r="261" spans="1:20" x14ac:dyDescent="0.25">
      <c r="A261" s="5">
        <v>44332</v>
      </c>
      <c r="B261">
        <v>33.427</v>
      </c>
      <c r="C261">
        <v>37.950000000000003</v>
      </c>
      <c r="D261">
        <v>28.26</v>
      </c>
      <c r="E261">
        <v>28.690999999999999</v>
      </c>
      <c r="F261">
        <v>622281.12399999995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-0.91104231166150729</v>
      </c>
      <c r="Q261">
        <f t="shared" si="960"/>
        <v>-566924.43371228105</v>
      </c>
      <c r="R261">
        <f t="shared" si="961"/>
        <v>-5493884.1430730335</v>
      </c>
      <c r="S261">
        <f t="shared" si="962"/>
        <v>-54.938841430730335</v>
      </c>
      <c r="T261">
        <f t="shared" si="963"/>
        <v>-5.4938841430730335E-2</v>
      </c>
    </row>
    <row r="262" spans="1:20" x14ac:dyDescent="0.25">
      <c r="A262" s="5">
        <v>44331</v>
      </c>
      <c r="B262">
        <v>30.568000000000001</v>
      </c>
      <c r="C262">
        <v>43</v>
      </c>
      <c r="D262">
        <v>30.1</v>
      </c>
      <c r="E262">
        <v>33.299999999999997</v>
      </c>
      <c r="F262">
        <v>1068334.2919999999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-0.50387596899224862</v>
      </c>
      <c r="Q262">
        <f t="shared" ref="Q262:Q325" si="965">F262*P262</f>
        <v>-538307.97658914782</v>
      </c>
      <c r="R262">
        <f t="shared" ref="R262:R325" si="966">R263+Q262</f>
        <v>-4926959.7093607523</v>
      </c>
      <c r="S262">
        <f t="shared" ref="S262:S325" si="967">R262/100000</f>
        <v>-49.269597093607523</v>
      </c>
      <c r="T262">
        <f t="shared" ref="T262:T325" si="968">S262/1000</f>
        <v>-4.9269597093607523E-2</v>
      </c>
    </row>
    <row r="263" spans="1:20" x14ac:dyDescent="0.25">
      <c r="A263" s="5">
        <v>44330</v>
      </c>
      <c r="B263">
        <v>29.138999999999999</v>
      </c>
      <c r="C263">
        <v>31.901</v>
      </c>
      <c r="D263">
        <v>27.809000000000001</v>
      </c>
      <c r="E263">
        <v>30.673999999999999</v>
      </c>
      <c r="F263">
        <v>141481.76500000001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0.40029325513196445</v>
      </c>
      <c r="Q263">
        <f t="shared" si="965"/>
        <v>56634.196253665643</v>
      </c>
      <c r="R263">
        <f t="shared" si="966"/>
        <v>-4388651.7327716043</v>
      </c>
      <c r="S263">
        <f t="shared" si="967"/>
        <v>-43.886517327716042</v>
      </c>
      <c r="T263">
        <f t="shared" si="968"/>
        <v>-4.3886517327716042E-2</v>
      </c>
    </row>
    <row r="264" spans="1:20" x14ac:dyDescent="0.25">
      <c r="A264" s="5">
        <v>44329</v>
      </c>
      <c r="B264">
        <v>26.797999999999998</v>
      </c>
      <c r="C264">
        <v>36</v>
      </c>
      <c r="D264">
        <v>26</v>
      </c>
      <c r="E264">
        <v>29.001000000000001</v>
      </c>
      <c r="F264">
        <v>368133.40100000001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-0.39979999999999977</v>
      </c>
      <c r="Q264">
        <f t="shared" si="965"/>
        <v>-147179.73371979993</v>
      </c>
      <c r="R264">
        <f t="shared" si="966"/>
        <v>-4445285.92902527</v>
      </c>
      <c r="S264">
        <f t="shared" si="967"/>
        <v>-44.452859290252704</v>
      </c>
      <c r="T264">
        <f t="shared" si="968"/>
        <v>-4.4452859290252701E-2</v>
      </c>
    </row>
    <row r="265" spans="1:20" x14ac:dyDescent="0.25">
      <c r="A265" s="5">
        <v>44328</v>
      </c>
      <c r="B265">
        <v>29.776</v>
      </c>
      <c r="C265">
        <v>38.880000000000003</v>
      </c>
      <c r="D265">
        <v>26.5</v>
      </c>
      <c r="E265">
        <v>26.797999999999998</v>
      </c>
      <c r="F265">
        <v>502759.19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-0.95185783521809397</v>
      </c>
      <c r="Q265">
        <f t="shared" si="965"/>
        <v>-478555.27422940242</v>
      </c>
      <c r="R265">
        <f t="shared" si="966"/>
        <v>-4298106.1953054704</v>
      </c>
      <c r="S265">
        <f t="shared" si="967"/>
        <v>-42.981061953054706</v>
      </c>
      <c r="T265">
        <f t="shared" si="968"/>
        <v>-4.2981061953054706E-2</v>
      </c>
    </row>
    <row r="266" spans="1:20" x14ac:dyDescent="0.25">
      <c r="A266" s="5">
        <v>44327</v>
      </c>
      <c r="B266">
        <v>30.282</v>
      </c>
      <c r="C266">
        <v>35.555999999999997</v>
      </c>
      <c r="D266">
        <v>28.359000000000002</v>
      </c>
      <c r="E266">
        <v>29.718</v>
      </c>
      <c r="F266">
        <v>230236.34099999999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-0.62234264276782014</v>
      </c>
      <c r="Q266">
        <f t="shared" si="965"/>
        <v>-143285.89291913301</v>
      </c>
      <c r="R266">
        <f t="shared" si="966"/>
        <v>-3819550.9210760677</v>
      </c>
      <c r="S266">
        <f t="shared" si="967"/>
        <v>-38.195509210760676</v>
      </c>
      <c r="T266">
        <f t="shared" si="968"/>
        <v>-3.8195509210760675E-2</v>
      </c>
    </row>
    <row r="267" spans="1:20" x14ac:dyDescent="0.25">
      <c r="A267" s="5">
        <v>44326</v>
      </c>
      <c r="B267">
        <v>33.588000000000001</v>
      </c>
      <c r="C267">
        <v>34.287999999999997</v>
      </c>
      <c r="D267">
        <v>27.574000000000002</v>
      </c>
      <c r="E267">
        <v>30.364999999999998</v>
      </c>
      <c r="F267">
        <v>107866.307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-0.1686029192731609</v>
      </c>
      <c r="Q267">
        <f t="shared" si="965"/>
        <v>-18186.57425141499</v>
      </c>
      <c r="R267">
        <f t="shared" si="966"/>
        <v>-3676265.0281569348</v>
      </c>
      <c r="S267">
        <f t="shared" si="967"/>
        <v>-36.76265028156935</v>
      </c>
      <c r="T267">
        <f t="shared" si="968"/>
        <v>-3.6762650281569352E-2</v>
      </c>
    </row>
    <row r="268" spans="1:20" x14ac:dyDescent="0.25">
      <c r="A268" s="5">
        <v>44325</v>
      </c>
      <c r="B268">
        <v>35.54</v>
      </c>
      <c r="C268">
        <v>35.622999999999998</v>
      </c>
      <c r="D268">
        <v>31.817</v>
      </c>
      <c r="E268">
        <v>33.604999999999997</v>
      </c>
      <c r="F268">
        <v>101423.61900000001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-6.0430898581188684E-2</v>
      </c>
      <c r="Q268">
        <f t="shared" si="965"/>
        <v>-6129.1204335261218</v>
      </c>
      <c r="R268">
        <f t="shared" si="966"/>
        <v>-3658078.4539055196</v>
      </c>
      <c r="S268">
        <f t="shared" si="967"/>
        <v>-36.580784539055195</v>
      </c>
      <c r="T268">
        <f t="shared" si="968"/>
        <v>-3.6580784539055194E-2</v>
      </c>
    </row>
    <row r="269" spans="1:20" x14ac:dyDescent="0.25">
      <c r="A269" s="5">
        <v>44324</v>
      </c>
      <c r="B269">
        <v>36.506999999999998</v>
      </c>
      <c r="C269">
        <v>41</v>
      </c>
      <c r="D269">
        <v>35</v>
      </c>
      <c r="E269">
        <v>35.444000000000003</v>
      </c>
      <c r="F269">
        <v>230117.46900000001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-0.85199999999999909</v>
      </c>
      <c r="Q269">
        <f t="shared" si="965"/>
        <v>-196060.0835879998</v>
      </c>
      <c r="R269">
        <f t="shared" si="966"/>
        <v>-3651949.3334719935</v>
      </c>
      <c r="S269">
        <f t="shared" si="967"/>
        <v>-36.519493334719932</v>
      </c>
      <c r="T269">
        <f t="shared" si="968"/>
        <v>-3.6519493334719932E-2</v>
      </c>
    </row>
    <row r="270" spans="1:20" x14ac:dyDescent="0.25">
      <c r="A270" s="5">
        <v>44323</v>
      </c>
      <c r="B270">
        <v>36.652000000000001</v>
      </c>
      <c r="C270">
        <v>38</v>
      </c>
      <c r="D270">
        <v>35.256</v>
      </c>
      <c r="E270">
        <v>36.503</v>
      </c>
      <c r="F270">
        <v>97778.239000000001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-9.1107871720116626E-2</v>
      </c>
      <c r="Q270">
        <f t="shared" si="965"/>
        <v>-8908.3672558309045</v>
      </c>
      <c r="R270">
        <f t="shared" si="966"/>
        <v>-3455889.2498839935</v>
      </c>
      <c r="S270">
        <f t="shared" si="967"/>
        <v>-34.558892498839938</v>
      </c>
      <c r="T270">
        <f t="shared" si="968"/>
        <v>-3.4558892498839935E-2</v>
      </c>
    </row>
    <row r="271" spans="1:20" x14ac:dyDescent="0.25">
      <c r="A271" s="5">
        <v>44322</v>
      </c>
      <c r="B271">
        <v>37.552</v>
      </c>
      <c r="C271">
        <v>39.094999999999999</v>
      </c>
      <c r="D271">
        <v>35.600999999999999</v>
      </c>
      <c r="E271">
        <v>36.652999999999999</v>
      </c>
      <c r="F271">
        <v>122244.436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-0.39782484258729267</v>
      </c>
      <c r="Q271">
        <f t="shared" si="965"/>
        <v>-48631.873508872377</v>
      </c>
      <c r="R271">
        <f t="shared" si="966"/>
        <v>-3446980.8826281629</v>
      </c>
      <c r="S271">
        <f t="shared" si="967"/>
        <v>-34.469808826281628</v>
      </c>
      <c r="T271">
        <f t="shared" si="968"/>
        <v>-3.4469808826281631E-2</v>
      </c>
    </row>
    <row r="272" spans="1:20" x14ac:dyDescent="0.25">
      <c r="A272" s="5">
        <v>44321</v>
      </c>
      <c r="B272">
        <v>35.405999999999999</v>
      </c>
      <c r="C272">
        <v>40</v>
      </c>
      <c r="D272">
        <v>34.369</v>
      </c>
      <c r="E272">
        <v>37.552</v>
      </c>
      <c r="F272">
        <v>218011.644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0.13052743740010644</v>
      </c>
      <c r="Q272">
        <f t="shared" si="965"/>
        <v>28456.501214704291</v>
      </c>
      <c r="R272">
        <f t="shared" si="966"/>
        <v>-3398349.0091192904</v>
      </c>
      <c r="S272">
        <f t="shared" si="967"/>
        <v>-33.983490091192905</v>
      </c>
      <c r="T272">
        <f t="shared" si="968"/>
        <v>-3.3983490091192906E-2</v>
      </c>
    </row>
    <row r="273" spans="1:20" x14ac:dyDescent="0.25">
      <c r="A273" s="5">
        <v>44320</v>
      </c>
      <c r="B273">
        <v>38.353999999999999</v>
      </c>
      <c r="C273">
        <v>40</v>
      </c>
      <c r="D273">
        <v>34.609000000000002</v>
      </c>
      <c r="E273">
        <v>35.405000000000001</v>
      </c>
      <c r="F273">
        <v>172337.08900000001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-0.70469300686329084</v>
      </c>
      <c r="Q273">
        <f t="shared" si="965"/>
        <v>-121444.74144147657</v>
      </c>
      <c r="R273">
        <f t="shared" si="966"/>
        <v>-3426805.5103339949</v>
      </c>
      <c r="S273">
        <f t="shared" si="967"/>
        <v>-34.268055103339947</v>
      </c>
      <c r="T273">
        <f t="shared" si="968"/>
        <v>-3.4268055103339946E-2</v>
      </c>
    </row>
    <row r="274" spans="1:20" x14ac:dyDescent="0.25">
      <c r="A274" s="5">
        <v>44319</v>
      </c>
      <c r="B274">
        <v>41.142000000000003</v>
      </c>
      <c r="C274">
        <v>41.142000000000003</v>
      </c>
      <c r="D274">
        <v>38.097999999999999</v>
      </c>
      <c r="E274">
        <v>38.281999999999996</v>
      </c>
      <c r="F274">
        <v>110665.26300000001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-0.879106438896191</v>
      </c>
      <c r="Q274">
        <f t="shared" si="965"/>
        <v>-97286.545265440407</v>
      </c>
      <c r="R274">
        <f t="shared" si="966"/>
        <v>-3305360.7688925182</v>
      </c>
      <c r="S274">
        <f t="shared" si="967"/>
        <v>-33.053607688925183</v>
      </c>
      <c r="T274">
        <f t="shared" si="968"/>
        <v>-3.3053607688925186E-2</v>
      </c>
    </row>
    <row r="275" spans="1:20" x14ac:dyDescent="0.25">
      <c r="A275" s="5">
        <v>44318</v>
      </c>
      <c r="B275">
        <v>40.140999999999998</v>
      </c>
      <c r="C275">
        <v>41.798999999999999</v>
      </c>
      <c r="D275">
        <v>39.200000000000003</v>
      </c>
      <c r="E275">
        <v>41.151000000000003</v>
      </c>
      <c r="F275">
        <v>123016.925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0.50134667179684722</v>
      </c>
      <c r="Q275">
        <f t="shared" si="965"/>
        <v>61674.125923432373</v>
      </c>
      <c r="R275">
        <f t="shared" si="966"/>
        <v>-3208074.2236270779</v>
      </c>
      <c r="S275">
        <f t="shared" si="967"/>
        <v>-32.08074223627078</v>
      </c>
      <c r="T275">
        <f t="shared" si="968"/>
        <v>-3.2080742236270783E-2</v>
      </c>
    </row>
    <row r="276" spans="1:20" x14ac:dyDescent="0.25">
      <c r="A276" s="5">
        <v>44317</v>
      </c>
      <c r="B276">
        <v>40.485999999999997</v>
      </c>
      <c r="C276">
        <v>41.777000000000001</v>
      </c>
      <c r="D276">
        <v>36.139000000000003</v>
      </c>
      <c r="E276">
        <v>40.133000000000003</v>
      </c>
      <c r="F276">
        <v>141573.22200000001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0.41681447321745341</v>
      </c>
      <c r="Q276">
        <f t="shared" si="965"/>
        <v>59009.767949627589</v>
      </c>
      <c r="R276">
        <f t="shared" si="966"/>
        <v>-3269748.3495505103</v>
      </c>
      <c r="S276">
        <f t="shared" si="967"/>
        <v>-32.697483495505104</v>
      </c>
      <c r="T276">
        <f t="shared" si="968"/>
        <v>-3.2697483495505102E-2</v>
      </c>
    </row>
    <row r="277" spans="1:20" x14ac:dyDescent="0.25">
      <c r="A277" s="5">
        <v>44316</v>
      </c>
      <c r="B277">
        <v>40.1</v>
      </c>
      <c r="C277">
        <v>41.5</v>
      </c>
      <c r="D277">
        <v>39.908999999999999</v>
      </c>
      <c r="E277">
        <v>40.485999999999997</v>
      </c>
      <c r="F277">
        <v>138580.10699999999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-0.27467001885606812</v>
      </c>
      <c r="Q277">
        <f t="shared" si="965"/>
        <v>-38063.800602765936</v>
      </c>
      <c r="R277">
        <f t="shared" si="966"/>
        <v>-3328758.117500138</v>
      </c>
      <c r="S277">
        <f t="shared" si="967"/>
        <v>-33.287581175001378</v>
      </c>
      <c r="T277">
        <f t="shared" si="968"/>
        <v>-3.3287581175001378E-2</v>
      </c>
    </row>
    <row r="278" spans="1:20" x14ac:dyDescent="0.25">
      <c r="A278" s="5">
        <v>44315</v>
      </c>
      <c r="B278">
        <v>42.406999999999996</v>
      </c>
      <c r="C278">
        <v>45.9</v>
      </c>
      <c r="D278">
        <v>39.082999999999998</v>
      </c>
      <c r="E278">
        <v>40.073999999999998</v>
      </c>
      <c r="F278">
        <v>353453.97399999999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-0.70925627108698852</v>
      </c>
      <c r="Q278">
        <f t="shared" si="965"/>
        <v>-250689.44760011739</v>
      </c>
      <c r="R278">
        <f t="shared" si="966"/>
        <v>-3290694.3168973722</v>
      </c>
      <c r="S278">
        <f t="shared" si="967"/>
        <v>-32.906943168973726</v>
      </c>
      <c r="T278">
        <f t="shared" si="968"/>
        <v>-3.2906943168973725E-2</v>
      </c>
    </row>
    <row r="279" spans="1:20" x14ac:dyDescent="0.25">
      <c r="A279" s="5">
        <v>44314</v>
      </c>
      <c r="B279">
        <v>41.177</v>
      </c>
      <c r="C279">
        <v>43.823</v>
      </c>
      <c r="D279">
        <v>38.542999999999999</v>
      </c>
      <c r="E279">
        <v>42.405999999999999</v>
      </c>
      <c r="F279">
        <v>270842.14299999998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0.46325757575757526</v>
      </c>
      <c r="Q279">
        <f t="shared" si="965"/>
        <v>125469.67457916652</v>
      </c>
      <c r="R279">
        <f t="shared" si="966"/>
        <v>-3040004.8692972548</v>
      </c>
      <c r="S279">
        <f t="shared" si="967"/>
        <v>-30.400048692972547</v>
      </c>
      <c r="T279">
        <f t="shared" si="968"/>
        <v>-3.0400048692972546E-2</v>
      </c>
    </row>
    <row r="280" spans="1:20" x14ac:dyDescent="0.25">
      <c r="A280" s="5">
        <v>44313</v>
      </c>
      <c r="B280">
        <v>41.828000000000003</v>
      </c>
      <c r="C280">
        <v>42.701000000000001</v>
      </c>
      <c r="D280">
        <v>39.880000000000003</v>
      </c>
      <c r="E280">
        <v>41.101999999999997</v>
      </c>
      <c r="F280">
        <v>250935.23300000001</v>
      </c>
      <c r="G280">
        <v>0</v>
      </c>
      <c r="L280" t="s">
        <v>7</v>
      </c>
      <c r="M280" t="s">
        <v>7</v>
      </c>
      <c r="N280" t="s">
        <v>8</v>
      </c>
      <c r="P280">
        <f t="shared" si="964"/>
        <v>-0.13364055299539518</v>
      </c>
      <c r="Q280">
        <f t="shared" si="965"/>
        <v>-33535.123304148336</v>
      </c>
      <c r="R280">
        <f t="shared" si="966"/>
        <v>-3165474.5438764212</v>
      </c>
      <c r="S280">
        <f t="shared" si="967"/>
        <v>-31.654745438764213</v>
      </c>
      <c r="T280">
        <f t="shared" si="968"/>
        <v>-3.165474543876421E-2</v>
      </c>
    </row>
    <row r="281" spans="1:20" x14ac:dyDescent="0.25">
      <c r="A281" s="5">
        <v>44312</v>
      </c>
      <c r="B281">
        <v>40.095999999999997</v>
      </c>
      <c r="C281">
        <v>44.26</v>
      </c>
      <c r="D281">
        <v>40.095999999999997</v>
      </c>
      <c r="E281">
        <v>41.854999999999997</v>
      </c>
      <c r="F281">
        <v>365080.03899999999</v>
      </c>
      <c r="G281">
        <v>0</v>
      </c>
      <c r="L281" t="s">
        <v>7</v>
      </c>
      <c r="M281" t="s">
        <v>7</v>
      </c>
      <c r="N281" t="s">
        <v>8</v>
      </c>
      <c r="P281">
        <f t="shared" si="964"/>
        <v>-0.15513928914505298</v>
      </c>
      <c r="Q281">
        <f t="shared" si="965"/>
        <v>-56638.257731508216</v>
      </c>
      <c r="R281">
        <f t="shared" si="966"/>
        <v>-3131939.420572273</v>
      </c>
      <c r="S281">
        <f t="shared" si="967"/>
        <v>-31.31939420572273</v>
      </c>
      <c r="T281">
        <f t="shared" si="968"/>
        <v>-3.1319394205722731E-2</v>
      </c>
    </row>
    <row r="282" spans="1:20" x14ac:dyDescent="0.25">
      <c r="A282" s="5">
        <v>44311</v>
      </c>
      <c r="B282">
        <v>37.140999999999998</v>
      </c>
      <c r="C282">
        <v>49.3</v>
      </c>
      <c r="D282">
        <v>36.274999999999999</v>
      </c>
      <c r="E282">
        <v>40.097000000000001</v>
      </c>
      <c r="F282">
        <v>849332.679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-0.41312859884836806</v>
      </c>
      <c r="Q282">
        <f t="shared" si="965"/>
        <v>-350883.61963140074</v>
      </c>
      <c r="R282">
        <f t="shared" si="966"/>
        <v>-3075301.162840765</v>
      </c>
      <c r="S282">
        <f t="shared" si="967"/>
        <v>-30.753011628407648</v>
      </c>
      <c r="T282">
        <f t="shared" si="968"/>
        <v>-3.0753011628407649E-2</v>
      </c>
    </row>
    <row r="283" spans="1:20" x14ac:dyDescent="0.25">
      <c r="A283" s="5">
        <v>44310</v>
      </c>
      <c r="B283">
        <v>35.148000000000003</v>
      </c>
      <c r="C283">
        <v>39.753</v>
      </c>
      <c r="D283">
        <v>33.951999999999998</v>
      </c>
      <c r="E283">
        <v>37.154000000000003</v>
      </c>
      <c r="F283">
        <v>333499.23800000001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0.10394759524220108</v>
      </c>
      <c r="Q283">
        <f t="shared" si="965"/>
        <v>34666.443805206487</v>
      </c>
      <c r="R283">
        <f t="shared" si="966"/>
        <v>-2724417.5432093642</v>
      </c>
      <c r="S283">
        <f t="shared" si="967"/>
        <v>-27.244175432093641</v>
      </c>
      <c r="T283">
        <f t="shared" si="968"/>
        <v>-2.7244175432093641E-2</v>
      </c>
    </row>
    <row r="284" spans="1:20" x14ac:dyDescent="0.25">
      <c r="A284" s="5">
        <v>44309</v>
      </c>
      <c r="B284">
        <v>37.844999999999999</v>
      </c>
      <c r="C284">
        <v>39.609000000000002</v>
      </c>
      <c r="D284">
        <v>29.617000000000001</v>
      </c>
      <c r="E284">
        <v>35.186</v>
      </c>
      <c r="F284">
        <v>513989.424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0.11469175340272189</v>
      </c>
      <c r="Q284">
        <f t="shared" si="965"/>
        <v>58950.348269015063</v>
      </c>
      <c r="R284">
        <f t="shared" si="966"/>
        <v>-2759083.9870145707</v>
      </c>
      <c r="S284">
        <f t="shared" si="967"/>
        <v>-27.590839870145707</v>
      </c>
      <c r="T284">
        <f t="shared" si="968"/>
        <v>-2.7590839870145708E-2</v>
      </c>
    </row>
    <row r="285" spans="1:20" x14ac:dyDescent="0.25">
      <c r="A285" s="5">
        <v>44308</v>
      </c>
      <c r="B285">
        <v>46.871000000000002</v>
      </c>
      <c r="C285">
        <v>51</v>
      </c>
      <c r="D285">
        <v>37.299999999999997</v>
      </c>
      <c r="E285">
        <v>37.862000000000002</v>
      </c>
      <c r="F285">
        <v>949097.84100000001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-0.91795620437956138</v>
      </c>
      <c r="Q285">
        <f t="shared" si="965"/>
        <v>-871230.25170919648</v>
      </c>
      <c r="R285">
        <f t="shared" si="966"/>
        <v>-2818034.3352835858</v>
      </c>
      <c r="S285">
        <f t="shared" si="967"/>
        <v>-28.180343352835859</v>
      </c>
      <c r="T285">
        <f t="shared" si="968"/>
        <v>-2.8180343352835858E-2</v>
      </c>
    </row>
    <row r="286" spans="1:20" x14ac:dyDescent="0.25">
      <c r="A286" s="5">
        <v>44307</v>
      </c>
      <c r="B286">
        <v>38.19</v>
      </c>
      <c r="C286">
        <v>73.8</v>
      </c>
      <c r="D286">
        <v>38.19</v>
      </c>
      <c r="E286">
        <v>46.887999999999998</v>
      </c>
      <c r="F286">
        <v>3806176.2059999998</v>
      </c>
      <c r="G286">
        <v>0</v>
      </c>
      <c r="P286">
        <f t="shared" si="964"/>
        <v>-0.51148553777028927</v>
      </c>
      <c r="Q286">
        <f t="shared" si="965"/>
        <v>-1946804.0835743891</v>
      </c>
      <c r="R286">
        <f t="shared" si="966"/>
        <v>-1946804.0835743891</v>
      </c>
      <c r="S286">
        <f t="shared" si="967"/>
        <v>-19.468040835743892</v>
      </c>
      <c r="T286">
        <f t="shared" si="968"/>
        <v>-1.9468040835743893E-2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H501" sqref="EH50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$A$500</v>
      </c>
      <c r="D111" s="1" t="str">
        <f>ADDRESS(C121-1,D121,1,1)</f>
        <v>$EH$500</v>
      </c>
      <c r="E111"/>
    </row>
    <row r="112" spans="1:5" x14ac:dyDescent="0.25">
      <c r="A112" s="7">
        <v>12164.144957890772</v>
      </c>
      <c r="C112" s="1" t="str">
        <f>ADDRESS(C121,1,1,1)</f>
        <v>$A$501</v>
      </c>
      <c r="D112" s="1" t="str">
        <f>ADDRESS(C121,D121-1,1,1)</f>
        <v>$EG$501</v>
      </c>
      <c r="E112"/>
    </row>
    <row r="113" spans="1:5" x14ac:dyDescent="0.25">
      <c r="A113" s="7">
        <v>11925.63231165762</v>
      </c>
      <c r="C113" s="1" t="str">
        <f>ADDRESS(C121+1,1,1,1)</f>
        <v>$A$502</v>
      </c>
      <c r="D113" s="1" t="str">
        <f>ADDRESS(C121-1,D121+1,1,1)</f>
        <v>$EI$500</v>
      </c>
    </row>
    <row r="114" spans="1:5" x14ac:dyDescent="0.25">
      <c r="A114" s="7">
        <v>11691.796383978059</v>
      </c>
      <c r="C114" s="1" t="str">
        <f>ADDRESS(C121,D121,1,1)</f>
        <v>$EH$501</v>
      </c>
      <c r="D114" s="1" t="str">
        <f>ADDRESS(C121+1,D121+1,1,1)</f>
        <v>$EI$502</v>
      </c>
    </row>
    <row r="115" spans="1:5" x14ac:dyDescent="0.25">
      <c r="A115" s="7">
        <v>11462.545474488292</v>
      </c>
      <c r="C115" s="1" t="str">
        <f>ADDRESS(C121+1,D121,1,1)</f>
        <v>$EH$502</v>
      </c>
    </row>
    <row r="116" spans="1:5" x14ac:dyDescent="0.25">
      <c r="A116" s="7">
        <v>11237.789680870874</v>
      </c>
      <c r="C116" s="1">
        <f>C117-1</f>
        <v>500</v>
      </c>
    </row>
    <row r="117" spans="1:5" x14ac:dyDescent="0.25">
      <c r="A117" s="7">
        <v>11017.440863598895</v>
      </c>
      <c r="C117" s="1">
        <f>C121</f>
        <v>501</v>
      </c>
      <c r="D117" s="1">
        <f>D121</f>
        <v>138</v>
      </c>
    </row>
    <row r="118" spans="1:5" x14ac:dyDescent="0.25">
      <c r="A118" s="7">
        <v>10801.412611371465</v>
      </c>
      <c r="C118" s="1">
        <f>C117+1</f>
        <v>502</v>
      </c>
      <c r="D118" s="1">
        <f>D117+1</f>
        <v>139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501</v>
      </c>
      <c r="D121" s="19">
        <v>138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R501</v>
      </c>
      <c r="D123" s="1" t="str">
        <f>"C"&amp;D121</f>
        <v>C138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5.4905363550039512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20" x14ac:dyDescent="0.25">
      <c r="A385" s="7">
        <v>54.605287232808607</v>
      </c>
      <c r="B385"/>
      <c r="C385"/>
      <c r="D385"/>
      <c r="E385"/>
    </row>
    <row r="386" spans="1:20" x14ac:dyDescent="0.25">
      <c r="A386" s="7">
        <v>53.534595326282947</v>
      </c>
      <c r="B386"/>
      <c r="C386"/>
      <c r="D386"/>
      <c r="E386"/>
    </row>
    <row r="387" spans="1:20" x14ac:dyDescent="0.25">
      <c r="A387" s="7">
        <v>52.484897378708773</v>
      </c>
      <c r="B387"/>
      <c r="C387"/>
      <c r="D387"/>
      <c r="E387"/>
    </row>
    <row r="388" spans="1:20" x14ac:dyDescent="0.25">
      <c r="A388" s="7">
        <v>51.455781743832127</v>
      </c>
      <c r="B388"/>
      <c r="C388"/>
      <c r="D388"/>
      <c r="E388"/>
    </row>
    <row r="389" spans="1:20" x14ac:dyDescent="0.25">
      <c r="A389" s="7">
        <v>50.446844846894244</v>
      </c>
      <c r="B389"/>
      <c r="C389"/>
      <c r="D389"/>
      <c r="E389" t="s">
        <v>8</v>
      </c>
    </row>
    <row r="390" spans="1:20" x14ac:dyDescent="0.25">
      <c r="A390" s="7">
        <v>49.457691026366902</v>
      </c>
      <c r="B390"/>
      <c r="C390"/>
      <c r="D390"/>
      <c r="E390" t="s">
        <v>8</v>
      </c>
      <c r="F390" s="27" t="s">
        <v>7</v>
      </c>
    </row>
    <row r="391" spans="1:20" x14ac:dyDescent="0.25">
      <c r="A391" s="7">
        <v>48.487932378791079</v>
      </c>
      <c r="B391"/>
      <c r="C391"/>
      <c r="D391"/>
      <c r="E391" t="s">
        <v>8</v>
      </c>
      <c r="F391" s="27" t="s">
        <v>7</v>
      </c>
      <c r="G391" s="27" t="s">
        <v>8</v>
      </c>
    </row>
    <row r="392" spans="1:20" x14ac:dyDescent="0.25">
      <c r="A392" s="7">
        <v>47.537188606657921</v>
      </c>
      <c r="B392"/>
      <c r="C392"/>
      <c r="D392"/>
      <c r="E392" t="s">
        <v>8</v>
      </c>
      <c r="F392" s="27" t="s">
        <v>7</v>
      </c>
      <c r="G392" s="27" t="s">
        <v>8</v>
      </c>
      <c r="H392" s="27" t="s">
        <v>7</v>
      </c>
    </row>
    <row r="393" spans="1:20" x14ac:dyDescent="0.25">
      <c r="A393" s="7">
        <v>46.605086869272469</v>
      </c>
      <c r="B393"/>
      <c r="C393"/>
      <c r="D393"/>
      <c r="E393" t="s">
        <v>8</v>
      </c>
      <c r="F393" s="27" t="s">
        <v>7</v>
      </c>
      <c r="G393" s="27" t="s">
        <v>8</v>
      </c>
      <c r="H393" s="27" t="s">
        <v>7</v>
      </c>
    </row>
    <row r="394" spans="1:20" x14ac:dyDescent="0.25">
      <c r="A394" s="7">
        <v>45.691261636541633</v>
      </c>
      <c r="B394"/>
      <c r="C394"/>
      <c r="D394"/>
      <c r="E394" t="s">
        <v>8</v>
      </c>
      <c r="F394" s="27" t="s">
        <v>7</v>
      </c>
      <c r="G394" s="27" t="s">
        <v>8</v>
      </c>
      <c r="H394" s="27" t="s">
        <v>7</v>
      </c>
      <c r="I394" s="27" t="s">
        <v>8</v>
      </c>
    </row>
    <row r="395" spans="1:20" x14ac:dyDescent="0.25">
      <c r="A395" s="7">
        <v>44.795354545629053</v>
      </c>
      <c r="B395"/>
      <c r="C395"/>
      <c r="D395"/>
      <c r="E395" t="s">
        <v>8</v>
      </c>
      <c r="F395" s="27" t="s">
        <v>7</v>
      </c>
      <c r="G395" s="27" t="s">
        <v>8</v>
      </c>
      <c r="H395" s="27" t="s">
        <v>7</v>
      </c>
      <c r="I395" s="27" t="s">
        <v>8</v>
      </c>
      <c r="J395" s="27" t="s">
        <v>7</v>
      </c>
    </row>
    <row r="396" spans="1:20" x14ac:dyDescent="0.25">
      <c r="A396" s="7">
        <v>43.917014260420636</v>
      </c>
      <c r="B396"/>
      <c r="C396"/>
      <c r="D396"/>
      <c r="E396" t="s">
        <v>8</v>
      </c>
      <c r="F396" s="27" t="s">
        <v>7</v>
      </c>
      <c r="G396" s="27" t="s">
        <v>8</v>
      </c>
      <c r="H396" s="27" t="s">
        <v>7</v>
      </c>
      <c r="I396" s="27" t="s">
        <v>8</v>
      </c>
      <c r="J396" s="27" t="s">
        <v>7</v>
      </c>
    </row>
    <row r="397" spans="1:20" x14ac:dyDescent="0.25">
      <c r="A397" s="7">
        <v>43.055896333745721</v>
      </c>
      <c r="B397"/>
      <c r="C397"/>
      <c r="D397"/>
      <c r="E397" t="s">
        <v>8</v>
      </c>
      <c r="F397" s="27" t="s">
        <v>7</v>
      </c>
      <c r="G397" s="27" t="s">
        <v>8</v>
      </c>
      <c r="H397" s="27" t="s">
        <v>7</v>
      </c>
      <c r="I397" s="27" t="s">
        <v>8</v>
      </c>
      <c r="J397" s="27" t="s">
        <v>7</v>
      </c>
    </row>
    <row r="398" spans="1:20" x14ac:dyDescent="0.25">
      <c r="A398" s="7">
        <v>42.211663072299729</v>
      </c>
      <c r="B398"/>
      <c r="C398"/>
      <c r="D398"/>
      <c r="E398" t="s">
        <v>8</v>
      </c>
      <c r="F398" s="27" t="s">
        <v>7</v>
      </c>
      <c r="G398" s="27" t="s">
        <v>8</v>
      </c>
      <c r="H398" s="27" t="s">
        <v>7</v>
      </c>
      <c r="I398" s="27" t="s">
        <v>8</v>
      </c>
      <c r="J398" s="27" t="s">
        <v>7</v>
      </c>
      <c r="S398" s="27" t="s">
        <v>8</v>
      </c>
    </row>
    <row r="399" spans="1:20" x14ac:dyDescent="0.25">
      <c r="A399" s="7">
        <v>41.383983404215421</v>
      </c>
      <c r="B399"/>
      <c r="C399"/>
      <c r="D399"/>
      <c r="E399" t="s">
        <v>8</v>
      </c>
      <c r="F399" s="27" t="s">
        <v>7</v>
      </c>
      <c r="G399" s="27" t="s">
        <v>8</v>
      </c>
      <c r="H399" s="27" t="s">
        <v>7</v>
      </c>
      <c r="I399" s="27" t="s">
        <v>8</v>
      </c>
      <c r="J399" s="27" t="s">
        <v>7</v>
      </c>
      <c r="K399" s="27" t="s">
        <v>8</v>
      </c>
      <c r="S399" s="27" t="s">
        <v>8</v>
      </c>
      <c r="T399" s="27" t="s">
        <v>7</v>
      </c>
    </row>
    <row r="400" spans="1:20" x14ac:dyDescent="0.25">
      <c r="A400" s="7">
        <v>40.572532749230803</v>
      </c>
      <c r="B400"/>
      <c r="C400"/>
      <c r="D400"/>
      <c r="E400" t="s">
        <v>8</v>
      </c>
      <c r="F400" s="27" t="s">
        <v>7</v>
      </c>
      <c r="G400" s="27" t="s">
        <v>8</v>
      </c>
      <c r="H400" s="27" t="s">
        <v>7</v>
      </c>
      <c r="I400" s="27" t="s">
        <v>8</v>
      </c>
      <c r="J400" s="27" t="s">
        <v>7</v>
      </c>
      <c r="K400" s="27" t="s">
        <v>8</v>
      </c>
      <c r="L400" s="27" t="s">
        <v>7</v>
      </c>
      <c r="O400" s="27" t="s">
        <v>8</v>
      </c>
      <c r="S400" s="27" t="s">
        <v>8</v>
      </c>
      <c r="T400" s="27" t="s">
        <v>7</v>
      </c>
    </row>
    <row r="401" spans="1:22" x14ac:dyDescent="0.25">
      <c r="A401" s="7">
        <v>39.776992891402749</v>
      </c>
      <c r="B401"/>
      <c r="C401"/>
      <c r="D401"/>
      <c r="E401" t="s">
        <v>8</v>
      </c>
      <c r="F401" s="27" t="s">
        <v>7</v>
      </c>
      <c r="G401" s="27" t="s">
        <v>8</v>
      </c>
      <c r="H401" s="27" t="s">
        <v>7</v>
      </c>
      <c r="I401" s="27" t="s">
        <v>8</v>
      </c>
      <c r="J401" s="27" t="s">
        <v>7</v>
      </c>
      <c r="K401" s="27" t="s">
        <v>8</v>
      </c>
      <c r="L401" s="27" t="s">
        <v>7</v>
      </c>
      <c r="M401" s="27" t="s">
        <v>8</v>
      </c>
      <c r="O401" s="27" t="s">
        <v>8</v>
      </c>
      <c r="P401" s="27" t="s">
        <v>7</v>
      </c>
      <c r="S401" s="27" t="s">
        <v>8</v>
      </c>
      <c r="T401" s="27" t="s">
        <v>7</v>
      </c>
    </row>
    <row r="402" spans="1:22" x14ac:dyDescent="0.25">
      <c r="A402" s="7">
        <v>38.997051854316418</v>
      </c>
      <c r="B402"/>
      <c r="C402"/>
      <c r="D402"/>
      <c r="E402" t="s">
        <v>8</v>
      </c>
      <c r="F402" s="27" t="s">
        <v>7</v>
      </c>
      <c r="G402" s="27" t="s">
        <v>8</v>
      </c>
      <c r="H402" s="27" t="s">
        <v>7</v>
      </c>
      <c r="J402" s="27" t="s">
        <v>7</v>
      </c>
      <c r="K402" s="27" t="s">
        <v>8</v>
      </c>
      <c r="L402" s="27" t="s">
        <v>7</v>
      </c>
      <c r="M402" s="27" t="s">
        <v>8</v>
      </c>
      <c r="N402" s="27" t="s">
        <v>7</v>
      </c>
      <c r="O402" s="27" t="s">
        <v>8</v>
      </c>
      <c r="P402" s="27" t="s">
        <v>7</v>
      </c>
      <c r="S402" s="27" t="s">
        <v>8</v>
      </c>
      <c r="T402" s="27" t="s">
        <v>7</v>
      </c>
    </row>
    <row r="403" spans="1:22" x14ac:dyDescent="0.25">
      <c r="A403" s="7">
        <v>38.232403778741585</v>
      </c>
      <c r="B403"/>
      <c r="C403"/>
      <c r="D403"/>
      <c r="E403" t="s">
        <v>8</v>
      </c>
      <c r="F403" s="27" t="s">
        <v>7</v>
      </c>
      <c r="G403" s="27" t="s">
        <v>8</v>
      </c>
      <c r="J403" s="27" t="s">
        <v>7</v>
      </c>
      <c r="K403" s="27" t="s">
        <v>8</v>
      </c>
      <c r="L403" s="27" t="s">
        <v>7</v>
      </c>
      <c r="M403" s="27" t="s">
        <v>8</v>
      </c>
      <c r="N403" s="27" t="s">
        <v>7</v>
      </c>
      <c r="O403" s="27" t="s">
        <v>8</v>
      </c>
      <c r="P403" s="27" t="s">
        <v>7</v>
      </c>
      <c r="Q403" s="27" t="s">
        <v>8</v>
      </c>
      <c r="S403" s="27" t="s">
        <v>8</v>
      </c>
      <c r="T403" s="27" t="s">
        <v>7</v>
      </c>
    </row>
    <row r="404" spans="1:22" x14ac:dyDescent="0.25">
      <c r="A404" s="7">
        <v>37.48274880268783</v>
      </c>
      <c r="B404"/>
      <c r="C404"/>
      <c r="D404"/>
      <c r="E404" t="s">
        <v>8</v>
      </c>
      <c r="F404" s="27" t="s">
        <v>7</v>
      </c>
      <c r="G404" s="27" t="s">
        <v>8</v>
      </c>
      <c r="J404" s="27" t="s">
        <v>7</v>
      </c>
      <c r="K404" s="27" t="s">
        <v>8</v>
      </c>
      <c r="L404" s="27" t="s">
        <v>7</v>
      </c>
      <c r="M404" s="27" t="s">
        <v>8</v>
      </c>
      <c r="N404" s="27" t="s">
        <v>7</v>
      </c>
      <c r="O404" s="27" t="s">
        <v>8</v>
      </c>
      <c r="P404" s="27" t="s">
        <v>7</v>
      </c>
      <c r="Q404" s="27" t="s">
        <v>8</v>
      </c>
      <c r="R404" s="27" t="s">
        <v>7</v>
      </c>
      <c r="S404" s="27" t="s">
        <v>8</v>
      </c>
      <c r="T404" s="27" t="s">
        <v>7</v>
      </c>
    </row>
    <row r="405" spans="1:22" x14ac:dyDescent="0.25">
      <c r="A405" s="7">
        <v>36.747792943811596</v>
      </c>
      <c r="B405"/>
      <c r="C405"/>
      <c r="D405"/>
      <c r="E405" t="s">
        <v>8</v>
      </c>
      <c r="F405" s="27" t="s">
        <v>7</v>
      </c>
      <c r="G405" s="27" t="s">
        <v>8</v>
      </c>
      <c r="J405" s="27" t="s">
        <v>7</v>
      </c>
      <c r="L405" s="27" t="s">
        <v>7</v>
      </c>
      <c r="M405" s="27" t="s">
        <v>8</v>
      </c>
      <c r="N405" s="27" t="s">
        <v>7</v>
      </c>
      <c r="O405" s="27" t="s">
        <v>8</v>
      </c>
      <c r="P405" s="27" t="s">
        <v>7</v>
      </c>
      <c r="Q405" s="27" t="s">
        <v>8</v>
      </c>
      <c r="R405" s="27" t="s">
        <v>7</v>
      </c>
      <c r="S405" s="27" t="s">
        <v>8</v>
      </c>
      <c r="T405" s="27" t="s">
        <v>7</v>
      </c>
    </row>
    <row r="406" spans="1:22" x14ac:dyDescent="0.25">
      <c r="A406" s="7">
        <v>36.027247984129012</v>
      </c>
      <c r="B406"/>
      <c r="C406"/>
      <c r="D406"/>
      <c r="E406" t="s">
        <v>8</v>
      </c>
      <c r="F406" s="27" t="s">
        <v>7</v>
      </c>
      <c r="G406" s="27" t="s">
        <v>8</v>
      </c>
      <c r="L406" s="27" t="s">
        <v>7</v>
      </c>
      <c r="M406" s="27" t="s">
        <v>8</v>
      </c>
      <c r="N406" s="27" t="s">
        <v>7</v>
      </c>
      <c r="O406" s="27" t="s">
        <v>8</v>
      </c>
      <c r="P406" s="27" t="s">
        <v>7</v>
      </c>
      <c r="Q406" s="27" t="s">
        <v>8</v>
      </c>
      <c r="R406" s="27" t="s">
        <v>7</v>
      </c>
      <c r="S406" s="27" t="s">
        <v>8</v>
      </c>
      <c r="T406" s="27" t="s">
        <v>7</v>
      </c>
    </row>
    <row r="407" spans="1:22" x14ac:dyDescent="0.25">
      <c r="A407" s="7">
        <v>35.320831356989224</v>
      </c>
      <c r="B407"/>
      <c r="C407"/>
      <c r="D407"/>
      <c r="E407" t="s">
        <v>8</v>
      </c>
      <c r="F407" s="27" t="s">
        <v>7</v>
      </c>
      <c r="G407" s="27" t="s">
        <v>8</v>
      </c>
      <c r="L407" s="27" t="s">
        <v>7</v>
      </c>
      <c r="M407" s="27" t="s">
        <v>8</v>
      </c>
      <c r="N407" s="27" t="s">
        <v>7</v>
      </c>
      <c r="P407" s="27" t="s">
        <v>7</v>
      </c>
      <c r="Q407" s="27" t="s">
        <v>8</v>
      </c>
      <c r="R407" s="27" t="s">
        <v>7</v>
      </c>
      <c r="S407" s="27" t="s">
        <v>8</v>
      </c>
      <c r="T407" s="27" t="s">
        <v>7</v>
      </c>
    </row>
    <row r="408" spans="1:22" x14ac:dyDescent="0.25">
      <c r="A408" s="7">
        <v>34.628266036263945</v>
      </c>
      <c r="B408"/>
      <c r="C408"/>
      <c r="D408"/>
      <c r="E408" t="s">
        <v>8</v>
      </c>
      <c r="F408" s="27" t="s">
        <v>7</v>
      </c>
      <c r="G408" s="27" t="s">
        <v>8</v>
      </c>
      <c r="L408" s="27" t="s">
        <v>7</v>
      </c>
      <c r="P408" s="27" t="s">
        <v>7</v>
      </c>
      <c r="Q408" s="27" t="s">
        <v>8</v>
      </c>
      <c r="R408" s="27" t="s">
        <v>7</v>
      </c>
      <c r="S408" s="27" t="s">
        <v>8</v>
      </c>
      <c r="T408" s="27" t="s">
        <v>7</v>
      </c>
    </row>
    <row r="409" spans="1:22" x14ac:dyDescent="0.25">
      <c r="A409" s="7">
        <v>33.949280427709752</v>
      </c>
      <c r="B409"/>
      <c r="C409"/>
      <c r="D409"/>
      <c r="E409" t="s">
        <v>8</v>
      </c>
      <c r="F409" s="27" t="s">
        <v>7</v>
      </c>
      <c r="G409" s="27" t="s">
        <v>8</v>
      </c>
      <c r="P409" s="27" t="s">
        <v>7</v>
      </c>
      <c r="Q409" s="27" t="s">
        <v>8</v>
      </c>
      <c r="R409" s="27" t="s">
        <v>7</v>
      </c>
      <c r="S409" s="27" t="s">
        <v>8</v>
      </c>
      <c r="T409" s="27" t="s">
        <v>7</v>
      </c>
    </row>
    <row r="410" spans="1:22" x14ac:dyDescent="0.25">
      <c r="A410" s="7">
        <v>33.28360826246054</v>
      </c>
      <c r="B410"/>
      <c r="C410"/>
      <c r="D410"/>
      <c r="E410" t="s">
        <v>8</v>
      </c>
      <c r="F410" s="27" t="s">
        <v>7</v>
      </c>
      <c r="G410" s="27" t="s">
        <v>8</v>
      </c>
      <c r="P410" s="27" t="s">
        <v>7</v>
      </c>
      <c r="Q410" s="27" t="s">
        <v>8</v>
      </c>
      <c r="R410" s="27" t="s">
        <v>7</v>
      </c>
      <c r="S410" s="27" t="s">
        <v>8</v>
      </c>
      <c r="T410" s="27" t="s">
        <v>7</v>
      </c>
      <c r="U410" s="27" t="s">
        <v>8</v>
      </c>
    </row>
    <row r="411" spans="1:22" x14ac:dyDescent="0.25">
      <c r="A411" s="7">
        <v>32.630988492608374</v>
      </c>
      <c r="B411"/>
      <c r="C411"/>
      <c r="D411"/>
      <c r="E411" t="s">
        <v>8</v>
      </c>
      <c r="F411" s="27" t="s">
        <v>7</v>
      </c>
      <c r="G411" s="27" t="s">
        <v>8</v>
      </c>
      <c r="P411" s="27" t="s">
        <v>7</v>
      </c>
      <c r="Q411" s="27" t="s">
        <v>8</v>
      </c>
      <c r="R411" s="27" t="s">
        <v>7</v>
      </c>
      <c r="S411" s="27" t="s">
        <v>8</v>
      </c>
      <c r="T411" s="27" t="s">
        <v>7</v>
      </c>
      <c r="U411" s="27" t="s">
        <v>8</v>
      </c>
      <c r="V411" s="27" t="s">
        <v>7</v>
      </c>
    </row>
    <row r="412" spans="1:22" x14ac:dyDescent="0.25">
      <c r="A412" s="7">
        <v>31.99116518883174</v>
      </c>
      <c r="B412"/>
      <c r="C412"/>
      <c r="D412"/>
      <c r="E412" t="s">
        <v>8</v>
      </c>
      <c r="F412" s="27" t="s">
        <v>7</v>
      </c>
      <c r="G412" s="27" t="s">
        <v>8</v>
      </c>
      <c r="P412" s="27" t="s">
        <v>7</v>
      </c>
      <c r="Q412" s="27" t="s">
        <v>8</v>
      </c>
      <c r="R412" s="27" t="s">
        <v>7</v>
      </c>
      <c r="S412" s="27" t="s">
        <v>8</v>
      </c>
      <c r="T412" s="27" t="s">
        <v>7</v>
      </c>
      <c r="U412" s="27" t="s">
        <v>8</v>
      </c>
      <c r="V412" s="27" t="s">
        <v>7</v>
      </c>
    </row>
    <row r="413" spans="1:22" x14ac:dyDescent="0.25">
      <c r="A413" s="7">
        <v>31.363887440031117</v>
      </c>
      <c r="B413"/>
      <c r="C413"/>
      <c r="D413"/>
      <c r="E413" t="s">
        <v>8</v>
      </c>
      <c r="F413" s="27" t="s">
        <v>7</v>
      </c>
      <c r="G413" s="27" t="s">
        <v>8</v>
      </c>
      <c r="P413" s="27" t="s">
        <v>7</v>
      </c>
      <c r="Q413" s="27" t="s">
        <v>8</v>
      </c>
      <c r="R413" s="27" t="s">
        <v>7</v>
      </c>
      <c r="S413" s="27" t="s">
        <v>8</v>
      </c>
      <c r="T413" s="27" t="s">
        <v>7</v>
      </c>
      <c r="U413" s="27" t="s">
        <v>8</v>
      </c>
      <c r="V413" s="27" t="s">
        <v>7</v>
      </c>
    </row>
    <row r="414" spans="1:22" x14ac:dyDescent="0.25">
      <c r="A414" s="7">
        <v>30.748909254932467</v>
      </c>
      <c r="B414"/>
      <c r="C414"/>
      <c r="D414"/>
      <c r="E414" t="s">
        <v>8</v>
      </c>
      <c r="F414" s="27" t="s">
        <v>7</v>
      </c>
      <c r="G414" s="27" t="s">
        <v>8</v>
      </c>
      <c r="P414" s="27" t="s">
        <v>7</v>
      </c>
      <c r="Q414" s="27" t="s">
        <v>8</v>
      </c>
      <c r="R414" s="27" t="s">
        <v>7</v>
      </c>
      <c r="S414" s="27" t="s">
        <v>8</v>
      </c>
      <c r="T414" s="27" t="s">
        <v>7</v>
      </c>
      <c r="U414" s="27" t="s">
        <v>8</v>
      </c>
      <c r="V414" s="27" t="s">
        <v>7</v>
      </c>
    </row>
    <row r="415" spans="1:22" x14ac:dyDescent="0.25">
      <c r="A415" s="7">
        <v>30.145989465620065</v>
      </c>
      <c r="B415"/>
      <c r="C415"/>
      <c r="D415"/>
      <c r="E415" t="s">
        <v>8</v>
      </c>
      <c r="F415" s="27" t="s">
        <v>7</v>
      </c>
      <c r="P415" s="27" t="s">
        <v>7</v>
      </c>
      <c r="Q415" s="27" t="s">
        <v>8</v>
      </c>
      <c r="R415" s="27" t="s">
        <v>7</v>
      </c>
      <c r="S415" s="27" t="s">
        <v>8</v>
      </c>
      <c r="T415" s="27" t="s">
        <v>7</v>
      </c>
      <c r="U415" s="27" t="s">
        <v>8</v>
      </c>
      <c r="V415" s="27" t="s">
        <v>7</v>
      </c>
    </row>
    <row r="416" spans="1:22" x14ac:dyDescent="0.25">
      <c r="A416" s="7">
        <v>29.55489163296085</v>
      </c>
      <c r="B416"/>
      <c r="C416"/>
      <c r="D416"/>
      <c r="E416" t="s">
        <v>8</v>
      </c>
      <c r="P416" s="27" t="s">
        <v>7</v>
      </c>
      <c r="Q416" s="27" t="s">
        <v>8</v>
      </c>
      <c r="R416" s="27" t="s">
        <v>7</v>
      </c>
      <c r="S416" s="27" t="s">
        <v>8</v>
      </c>
      <c r="T416" s="27" t="s">
        <v>7</v>
      </c>
      <c r="U416" s="27" t="s">
        <v>8</v>
      </c>
      <c r="V416" s="27" t="s">
        <v>7</v>
      </c>
    </row>
    <row r="417" spans="1:84" x14ac:dyDescent="0.25">
      <c r="A417" s="7">
        <v>28.975383953883185</v>
      </c>
      <c r="B417"/>
      <c r="C417"/>
      <c r="D417"/>
      <c r="E417" t="s">
        <v>8</v>
      </c>
      <c r="P417" s="27" t="s">
        <v>7</v>
      </c>
      <c r="Q417" s="27" t="s">
        <v>8</v>
      </c>
      <c r="R417" s="27" t="s">
        <v>7</v>
      </c>
      <c r="S417" s="27" t="s">
        <v>8</v>
      </c>
      <c r="T417" s="27" t="s">
        <v>7</v>
      </c>
      <c r="U417" s="27" t="s">
        <v>8</v>
      </c>
      <c r="V417" s="27" t="s">
        <v>7</v>
      </c>
      <c r="BO417" s="27" t="s">
        <v>8</v>
      </c>
    </row>
    <row r="418" spans="1:84" x14ac:dyDescent="0.25">
      <c r="A418" s="7">
        <v>28.407239170473709</v>
      </c>
      <c r="B418"/>
      <c r="C418"/>
      <c r="D418"/>
      <c r="E418" t="s">
        <v>8</v>
      </c>
      <c r="P418" s="27" t="s">
        <v>7</v>
      </c>
      <c r="Q418" s="27" t="s">
        <v>8</v>
      </c>
      <c r="R418" s="27" t="s">
        <v>7</v>
      </c>
      <c r="S418" s="27" t="s">
        <v>8</v>
      </c>
      <c r="T418" s="27" t="s">
        <v>7</v>
      </c>
      <c r="U418" s="27" t="s">
        <v>8</v>
      </c>
      <c r="V418" s="27" t="s">
        <v>7</v>
      </c>
      <c r="BO418" s="27" t="s">
        <v>8</v>
      </c>
      <c r="BP418" s="27" t="s">
        <v>7</v>
      </c>
    </row>
    <row r="419" spans="1:84" x14ac:dyDescent="0.25">
      <c r="A419" s="7">
        <v>27.850234480856578</v>
      </c>
      <c r="B419"/>
      <c r="C419"/>
      <c r="D419"/>
      <c r="E419" t="s">
        <v>8</v>
      </c>
      <c r="P419" s="27" t="s">
        <v>7</v>
      </c>
      <c r="R419" s="27" t="s">
        <v>7</v>
      </c>
      <c r="S419" s="27" t="s">
        <v>8</v>
      </c>
      <c r="T419" s="27" t="s">
        <v>7</v>
      </c>
      <c r="U419" s="27" t="s">
        <v>8</v>
      </c>
      <c r="V419" s="27" t="s">
        <v>7</v>
      </c>
      <c r="BO419" s="27" t="s">
        <v>8</v>
      </c>
      <c r="BP419" s="27" t="s">
        <v>7</v>
      </c>
    </row>
    <row r="420" spans="1:84" x14ac:dyDescent="0.25">
      <c r="A420" s="7">
        <v>27.304151451820175</v>
      </c>
      <c r="B420"/>
      <c r="C420"/>
      <c r="D420"/>
      <c r="E420" t="s">
        <v>8</v>
      </c>
      <c r="R420" s="27" t="s">
        <v>7</v>
      </c>
      <c r="S420" s="27" t="s">
        <v>8</v>
      </c>
      <c r="T420" s="27" t="s">
        <v>7</v>
      </c>
      <c r="U420" s="27" t="s">
        <v>8</v>
      </c>
      <c r="V420" s="27" t="s">
        <v>7</v>
      </c>
      <c r="BO420" s="27" t="s">
        <v>8</v>
      </c>
      <c r="BP420" s="27" t="s">
        <v>7</v>
      </c>
    </row>
    <row r="421" spans="1:84" x14ac:dyDescent="0.25">
      <c r="A421" s="7">
        <v>26.768775933157034</v>
      </c>
      <c r="B421"/>
      <c r="C421"/>
      <c r="D421"/>
      <c r="E421" t="s">
        <v>8</v>
      </c>
      <c r="R421" s="27" t="s">
        <v>7</v>
      </c>
      <c r="S421" s="27" t="s">
        <v>8</v>
      </c>
      <c r="T421" s="27" t="s">
        <v>7</v>
      </c>
      <c r="U421" s="27" t="s">
        <v>8</v>
      </c>
      <c r="V421" s="27" t="s">
        <v>7</v>
      </c>
      <c r="W421" s="27" t="s">
        <v>8</v>
      </c>
      <c r="BO421" s="27" t="s">
        <v>8</v>
      </c>
      <c r="BP421" s="27" t="s">
        <v>7</v>
      </c>
    </row>
    <row r="422" spans="1:84" x14ac:dyDescent="0.25">
      <c r="A422" s="7">
        <v>26.243897973683367</v>
      </c>
      <c r="B422"/>
      <c r="C422"/>
      <c r="D422"/>
      <c r="E422" t="s">
        <v>8</v>
      </c>
      <c r="R422" s="27" t="s">
        <v>7</v>
      </c>
      <c r="T422" s="27" t="s">
        <v>7</v>
      </c>
      <c r="V422" s="27" t="s">
        <v>7</v>
      </c>
      <c r="W422" s="27" t="s">
        <v>8</v>
      </c>
      <c r="X422" s="27" t="s">
        <v>7</v>
      </c>
      <c r="BO422" s="27" t="s">
        <v>8</v>
      </c>
      <c r="BP422" s="27" t="s">
        <v>7</v>
      </c>
    </row>
    <row r="423" spans="1:84" x14ac:dyDescent="0.25">
      <c r="A423" s="7">
        <v>25.729311738905263</v>
      </c>
      <c r="B423"/>
      <c r="C423"/>
      <c r="D423"/>
      <c r="E423" t="s">
        <v>8</v>
      </c>
      <c r="V423" s="27" t="s">
        <v>7</v>
      </c>
      <c r="W423" s="27" t="s">
        <v>8</v>
      </c>
      <c r="X423" s="27" t="s">
        <v>7</v>
      </c>
      <c r="BO423" s="27" t="s">
        <v>8</v>
      </c>
      <c r="BP423" s="27" t="s">
        <v>7</v>
      </c>
    </row>
    <row r="424" spans="1:84" x14ac:dyDescent="0.25">
      <c r="A424" s="7">
        <v>25.224815430299277</v>
      </c>
      <c r="B424"/>
      <c r="C424"/>
      <c r="D424"/>
      <c r="E424" t="s">
        <v>8</v>
      </c>
      <c r="V424" s="27" t="s">
        <v>7</v>
      </c>
      <c r="W424" s="27" t="s">
        <v>8</v>
      </c>
      <c r="X424" s="27" t="s">
        <v>7</v>
      </c>
      <c r="BM424" s="27" t="s">
        <v>8</v>
      </c>
      <c r="BO424" s="27" t="s">
        <v>8</v>
      </c>
      <c r="BP424" s="27" t="s">
        <v>7</v>
      </c>
    </row>
    <row r="425" spans="1:84" x14ac:dyDescent="0.25">
      <c r="A425" s="7">
        <v>24.73021120617576</v>
      </c>
      <c r="B425"/>
      <c r="C425"/>
      <c r="D425"/>
      <c r="E425" t="s">
        <v>8</v>
      </c>
      <c r="V425" s="27" t="s">
        <v>7</v>
      </c>
      <c r="W425" s="27" t="s">
        <v>8</v>
      </c>
      <c r="X425" s="27" t="s">
        <v>7</v>
      </c>
      <c r="AA425" s="27" t="s">
        <v>8</v>
      </c>
      <c r="BM425" s="27" t="s">
        <v>8</v>
      </c>
      <c r="BN425" s="27" t="s">
        <v>7</v>
      </c>
      <c r="BO425" s="27" t="s">
        <v>8</v>
      </c>
      <c r="BP425" s="27" t="s">
        <v>7</v>
      </c>
    </row>
    <row r="426" spans="1:84" x14ac:dyDescent="0.25">
      <c r="A426" s="7">
        <v>24.24530510409388</v>
      </c>
      <c r="B426"/>
      <c r="C426"/>
      <c r="D426"/>
      <c r="E426" t="s">
        <v>8</v>
      </c>
      <c r="V426" s="27" t="s">
        <v>7</v>
      </c>
      <c r="W426" s="27" t="s">
        <v>8</v>
      </c>
      <c r="X426" s="27" t="s">
        <v>7</v>
      </c>
      <c r="AA426" s="27" t="s">
        <v>8</v>
      </c>
      <c r="AB426" s="27" t="s">
        <v>7</v>
      </c>
      <c r="BC426" s="27" t="s">
        <v>8</v>
      </c>
      <c r="BM426" s="27" t="s">
        <v>8</v>
      </c>
      <c r="BN426" s="27" t="s">
        <v>7</v>
      </c>
      <c r="BO426" s="27" t="s">
        <v>8</v>
      </c>
      <c r="BP426" s="27" t="s">
        <v>7</v>
      </c>
      <c r="CE426" s="27" t="s">
        <v>8</v>
      </c>
    </row>
    <row r="427" spans="1:84" x14ac:dyDescent="0.25">
      <c r="A427" s="7">
        <v>23.769906964797922</v>
      </c>
      <c r="B427"/>
      <c r="C427"/>
      <c r="D427"/>
      <c r="E427" t="s">
        <v>8</v>
      </c>
      <c r="V427" s="27" t="s">
        <v>7</v>
      </c>
      <c r="W427" s="27" t="s">
        <v>8</v>
      </c>
      <c r="X427" s="27" t="s">
        <v>7</v>
      </c>
      <c r="AA427" s="27" t="s">
        <v>8</v>
      </c>
      <c r="AB427" s="27" t="s">
        <v>7</v>
      </c>
      <c r="BC427" s="27" t="s">
        <v>8</v>
      </c>
      <c r="BD427" s="27" t="s">
        <v>7</v>
      </c>
      <c r="BM427" s="27" t="s">
        <v>8</v>
      </c>
      <c r="BN427" s="27" t="s">
        <v>7</v>
      </c>
      <c r="BO427" s="27" t="s">
        <v>8</v>
      </c>
      <c r="BP427" s="27" t="s">
        <v>7</v>
      </c>
      <c r="BQ427" s="27" t="s">
        <v>8</v>
      </c>
      <c r="CE427" s="27" t="s">
        <v>8</v>
      </c>
      <c r="CF427" s="27" t="s">
        <v>7</v>
      </c>
    </row>
    <row r="428" spans="1:84" x14ac:dyDescent="0.25">
      <c r="A428" s="7">
        <v>23.303830357645023</v>
      </c>
      <c r="B428"/>
      <c r="C428"/>
      <c r="D428"/>
      <c r="E428" t="s">
        <v>8</v>
      </c>
      <c r="V428" s="27" t="s">
        <v>7</v>
      </c>
      <c r="W428" s="27" t="s">
        <v>8</v>
      </c>
      <c r="X428" s="27" t="s">
        <v>7</v>
      </c>
      <c r="AA428" s="27" t="s">
        <v>8</v>
      </c>
      <c r="AB428" s="27" t="s">
        <v>7</v>
      </c>
      <c r="BC428" s="27" t="s">
        <v>8</v>
      </c>
      <c r="BD428" s="27" t="s">
        <v>7</v>
      </c>
      <c r="BE428" s="27" t="s">
        <v>8</v>
      </c>
      <c r="BM428" s="27" t="s">
        <v>8</v>
      </c>
      <c r="BN428" s="27" t="s">
        <v>7</v>
      </c>
      <c r="BO428" s="27" t="s">
        <v>8</v>
      </c>
      <c r="BP428" s="27" t="s">
        <v>7</v>
      </c>
      <c r="BQ428" s="27" t="s">
        <v>8</v>
      </c>
      <c r="BR428" s="27" t="s">
        <v>7</v>
      </c>
      <c r="CE428" s="27" t="s">
        <v>8</v>
      </c>
      <c r="CF428" s="27" t="s">
        <v>7</v>
      </c>
    </row>
    <row r="429" spans="1:84" x14ac:dyDescent="0.25">
      <c r="A429" s="7">
        <v>22.84689250749512</v>
      </c>
      <c r="B429"/>
      <c r="C429"/>
      <c r="D429"/>
      <c r="E429" t="s">
        <v>8</v>
      </c>
      <c r="V429" s="27" t="s">
        <v>7</v>
      </c>
      <c r="W429" s="27" t="s">
        <v>8</v>
      </c>
      <c r="X429" s="27" t="s">
        <v>7</v>
      </c>
      <c r="AA429" s="27" t="s">
        <v>8</v>
      </c>
      <c r="AB429" s="27" t="s">
        <v>7</v>
      </c>
      <c r="BC429" s="27" t="s">
        <v>8</v>
      </c>
      <c r="BD429" s="27" t="s">
        <v>7</v>
      </c>
      <c r="BE429" s="27" t="s">
        <v>8</v>
      </c>
      <c r="BF429" s="27" t="s">
        <v>7</v>
      </c>
      <c r="BI429" s="27" t="s">
        <v>8</v>
      </c>
      <c r="BK429" s="27" t="s">
        <v>8</v>
      </c>
      <c r="BM429" s="27" t="s">
        <v>8</v>
      </c>
      <c r="BN429" s="27" t="s">
        <v>7</v>
      </c>
      <c r="BP429" s="27" t="s">
        <v>7</v>
      </c>
      <c r="BQ429" s="27" t="s">
        <v>8</v>
      </c>
      <c r="BR429" s="27" t="s">
        <v>7</v>
      </c>
      <c r="CE429" s="27" t="s">
        <v>8</v>
      </c>
      <c r="CF429" s="27" t="s">
        <v>7</v>
      </c>
    </row>
    <row r="430" spans="1:84" x14ac:dyDescent="0.25">
      <c r="A430" s="7">
        <v>22.398914223034431</v>
      </c>
      <c r="B430"/>
      <c r="C430"/>
      <c r="D430"/>
      <c r="E430" t="s">
        <v>8</v>
      </c>
      <c r="V430" s="27" t="s">
        <v>7</v>
      </c>
      <c r="W430" s="27" t="s">
        <v>8</v>
      </c>
      <c r="X430" s="27" t="s">
        <v>7</v>
      </c>
      <c r="AA430" s="27" t="s">
        <v>8</v>
      </c>
      <c r="AB430" s="27" t="s">
        <v>7</v>
      </c>
      <c r="BC430" s="27" t="s">
        <v>8</v>
      </c>
      <c r="BD430" s="27" t="s">
        <v>7</v>
      </c>
      <c r="BE430" s="27" t="s">
        <v>8</v>
      </c>
      <c r="BF430" s="27" t="s">
        <v>7</v>
      </c>
      <c r="BG430" s="27" t="s">
        <v>8</v>
      </c>
      <c r="BI430" s="27" t="s">
        <v>8</v>
      </c>
      <c r="BJ430" s="27" t="s">
        <v>7</v>
      </c>
      <c r="BK430" s="27" t="s">
        <v>8</v>
      </c>
      <c r="BL430" s="27" t="s">
        <v>7</v>
      </c>
      <c r="BM430" s="27" t="s">
        <v>8</v>
      </c>
      <c r="BP430" s="27" t="s">
        <v>7</v>
      </c>
      <c r="BQ430" s="27" t="s">
        <v>8</v>
      </c>
      <c r="BR430" s="27" t="s">
        <v>7</v>
      </c>
      <c r="CE430" s="27" t="s">
        <v>8</v>
      </c>
      <c r="CF430" s="27" t="s">
        <v>7</v>
      </c>
    </row>
    <row r="431" spans="1:84" x14ac:dyDescent="0.25">
      <c r="A431" s="7">
        <v>21.959719826504344</v>
      </c>
      <c r="B431"/>
      <c r="C431"/>
      <c r="D431"/>
      <c r="E431" t="s">
        <v>8</v>
      </c>
      <c r="V431" s="27" t="s">
        <v>7</v>
      </c>
      <c r="W431" s="27" t="s">
        <v>8</v>
      </c>
      <c r="X431" s="27" t="s">
        <v>7</v>
      </c>
      <c r="AA431" s="27" t="s">
        <v>8</v>
      </c>
      <c r="AB431" s="27" t="s">
        <v>7</v>
      </c>
      <c r="AI431" s="27" t="s">
        <v>8</v>
      </c>
      <c r="BC431" s="27" t="s">
        <v>8</v>
      </c>
      <c r="BD431" s="27" t="s">
        <v>7</v>
      </c>
      <c r="BE431" s="27" t="s">
        <v>8</v>
      </c>
      <c r="BF431" s="27" t="s">
        <v>7</v>
      </c>
      <c r="BG431" s="27" t="s">
        <v>8</v>
      </c>
      <c r="BH431" s="27" t="s">
        <v>7</v>
      </c>
      <c r="BI431" s="27" t="s">
        <v>8</v>
      </c>
      <c r="BJ431" s="27" t="s">
        <v>7</v>
      </c>
      <c r="BK431" s="27" t="s">
        <v>8</v>
      </c>
      <c r="BL431" s="27" t="s">
        <v>7</v>
      </c>
      <c r="BM431" s="27" t="s">
        <v>8</v>
      </c>
      <c r="BP431" s="27" t="s">
        <v>7</v>
      </c>
      <c r="BQ431" s="27" t="s">
        <v>8</v>
      </c>
      <c r="BR431" s="27" t="s">
        <v>7</v>
      </c>
      <c r="CE431" s="27" t="s">
        <v>8</v>
      </c>
      <c r="CF431" s="27" t="s">
        <v>7</v>
      </c>
    </row>
    <row r="432" spans="1:84" x14ac:dyDescent="0.25">
      <c r="A432" s="7">
        <v>21.52913708480818</v>
      </c>
      <c r="B432"/>
      <c r="C432"/>
      <c r="D432"/>
      <c r="E432" t="s">
        <v>8</v>
      </c>
      <c r="V432" s="27" t="s">
        <v>7</v>
      </c>
      <c r="W432" s="27" t="s">
        <v>8</v>
      </c>
      <c r="X432" s="27" t="s">
        <v>7</v>
      </c>
      <c r="AA432" s="27" t="s">
        <v>8</v>
      </c>
      <c r="AB432" s="27" t="s">
        <v>7</v>
      </c>
      <c r="AI432" s="27" t="s">
        <v>8</v>
      </c>
      <c r="AJ432" s="27" t="s">
        <v>7</v>
      </c>
      <c r="BC432" s="27" t="s">
        <v>8</v>
      </c>
      <c r="BD432" s="27" t="s">
        <v>7</v>
      </c>
      <c r="BE432" s="27" t="s">
        <v>8</v>
      </c>
      <c r="BF432" s="27" t="s">
        <v>7</v>
      </c>
      <c r="BG432" s="27" t="s">
        <v>8</v>
      </c>
      <c r="BH432" s="27" t="s">
        <v>7</v>
      </c>
      <c r="BI432" s="27" t="s">
        <v>8</v>
      </c>
      <c r="BJ432" s="27" t="s">
        <v>7</v>
      </c>
      <c r="BL432" s="27" t="s">
        <v>7</v>
      </c>
      <c r="BM432" s="27" t="s">
        <v>8</v>
      </c>
      <c r="BP432" s="27" t="s">
        <v>7</v>
      </c>
      <c r="BR432" s="27" t="s">
        <v>7</v>
      </c>
      <c r="BS432" s="27" t="s">
        <v>8</v>
      </c>
      <c r="BU432" s="27" t="s">
        <v>8</v>
      </c>
      <c r="CE432" s="27" t="s">
        <v>8</v>
      </c>
      <c r="CF432" s="27" t="s">
        <v>7</v>
      </c>
    </row>
    <row r="433" spans="1:106" x14ac:dyDescent="0.25">
      <c r="A433" s="7">
        <v>21.106997141968804</v>
      </c>
      <c r="B433"/>
      <c r="C433"/>
      <c r="D433"/>
      <c r="E433" t="s">
        <v>8</v>
      </c>
      <c r="V433" s="27" t="s">
        <v>7</v>
      </c>
      <c r="W433" s="27" t="s">
        <v>8</v>
      </c>
      <c r="X433" s="27" t="s">
        <v>7</v>
      </c>
      <c r="AA433" s="27" t="s">
        <v>8</v>
      </c>
      <c r="AB433" s="27" t="s">
        <v>7</v>
      </c>
      <c r="AI433" s="27" t="s">
        <v>8</v>
      </c>
      <c r="AJ433" s="27" t="s">
        <v>7</v>
      </c>
      <c r="AK433" s="27" t="s">
        <v>8</v>
      </c>
      <c r="BC433" s="27" t="s">
        <v>8</v>
      </c>
      <c r="BD433" s="27" t="s">
        <v>7</v>
      </c>
      <c r="BF433" s="27" t="s">
        <v>7</v>
      </c>
      <c r="BG433" s="27" t="s">
        <v>8</v>
      </c>
      <c r="BH433" s="27" t="s">
        <v>7</v>
      </c>
      <c r="BI433" s="27" t="s">
        <v>8</v>
      </c>
      <c r="BL433" s="27" t="s">
        <v>7</v>
      </c>
      <c r="BM433" s="27" t="s">
        <v>8</v>
      </c>
      <c r="BR433" s="27" t="s">
        <v>7</v>
      </c>
      <c r="BS433" s="27" t="s">
        <v>8</v>
      </c>
      <c r="BT433" s="27" t="s">
        <v>7</v>
      </c>
      <c r="BU433" s="27" t="s">
        <v>8</v>
      </c>
      <c r="BV433" s="27" t="s">
        <v>7</v>
      </c>
      <c r="BW433" s="27" t="s">
        <v>8</v>
      </c>
      <c r="CE433" s="27" t="s">
        <v>8</v>
      </c>
      <c r="CF433" s="27" t="s">
        <v>7</v>
      </c>
    </row>
    <row r="434" spans="1:106" x14ac:dyDescent="0.25">
      <c r="A434" s="7">
        <v>20.693134452910591</v>
      </c>
      <c r="B434"/>
      <c r="C434"/>
      <c r="D434"/>
      <c r="E434" t="s">
        <v>8</v>
      </c>
      <c r="V434" s="27" t="s">
        <v>7</v>
      </c>
      <c r="W434" s="27" t="s">
        <v>8</v>
      </c>
      <c r="X434" s="27" t="s">
        <v>7</v>
      </c>
      <c r="AA434" s="27" t="s">
        <v>8</v>
      </c>
      <c r="AB434" s="27" t="s">
        <v>7</v>
      </c>
      <c r="AI434" s="27" t="s">
        <v>8</v>
      </c>
      <c r="AJ434" s="27" t="s">
        <v>7</v>
      </c>
      <c r="AK434" s="27" t="s">
        <v>8</v>
      </c>
      <c r="AL434" s="27" t="s">
        <v>7</v>
      </c>
      <c r="BC434" s="27" t="s">
        <v>8</v>
      </c>
      <c r="BF434" s="27" t="s">
        <v>7</v>
      </c>
      <c r="BG434" s="27" t="s">
        <v>8</v>
      </c>
      <c r="BH434" s="27" t="s">
        <v>7</v>
      </c>
      <c r="BL434" s="27" t="s">
        <v>7</v>
      </c>
      <c r="BR434" s="27" t="s">
        <v>7</v>
      </c>
      <c r="BS434" s="27" t="s">
        <v>8</v>
      </c>
      <c r="BT434" s="27" t="s">
        <v>7</v>
      </c>
      <c r="BU434" s="27" t="s">
        <v>8</v>
      </c>
      <c r="BV434" s="27" t="s">
        <v>7</v>
      </c>
      <c r="BW434" s="27" t="s">
        <v>8</v>
      </c>
      <c r="BX434" s="27" t="s">
        <v>7</v>
      </c>
      <c r="CE434" s="27" t="s">
        <v>8</v>
      </c>
      <c r="CF434" s="27" t="s">
        <v>7</v>
      </c>
    </row>
    <row r="435" spans="1:106" x14ac:dyDescent="0.25">
      <c r="A435" s="7">
        <v>20.287386718539796</v>
      </c>
      <c r="B435"/>
      <c r="C435"/>
      <c r="D435"/>
      <c r="E435" t="s">
        <v>8</v>
      </c>
      <c r="V435" s="27" t="s">
        <v>7</v>
      </c>
      <c r="W435" s="27" t="s">
        <v>8</v>
      </c>
      <c r="X435" s="27" t="s">
        <v>7</v>
      </c>
      <c r="AA435" s="27" t="s">
        <v>8</v>
      </c>
      <c r="AB435" s="27" t="s">
        <v>7</v>
      </c>
      <c r="AI435" s="27" t="s">
        <v>8</v>
      </c>
      <c r="AJ435" s="27" t="s">
        <v>7</v>
      </c>
      <c r="AK435" s="27" t="s">
        <v>8</v>
      </c>
      <c r="AL435" s="27" t="s">
        <v>7</v>
      </c>
      <c r="BC435" s="27" t="s">
        <v>8</v>
      </c>
      <c r="BF435" s="27" t="s">
        <v>7</v>
      </c>
      <c r="BR435" s="27" t="s">
        <v>7</v>
      </c>
      <c r="BT435" s="27" t="s">
        <v>7</v>
      </c>
      <c r="BU435" s="27" t="s">
        <v>8</v>
      </c>
      <c r="BV435" s="27" t="s">
        <v>7</v>
      </c>
      <c r="BW435" s="27" t="s">
        <v>8</v>
      </c>
      <c r="BX435" s="27" t="s">
        <v>7</v>
      </c>
      <c r="CE435" s="27" t="s">
        <v>8</v>
      </c>
      <c r="CF435" s="27" t="s">
        <v>7</v>
      </c>
    </row>
    <row r="436" spans="1:106" x14ac:dyDescent="0.25">
      <c r="A436" s="7">
        <v>19.889594822097838</v>
      </c>
      <c r="B436"/>
      <c r="C436"/>
      <c r="D436"/>
      <c r="E436" t="s">
        <v>8</v>
      </c>
      <c r="V436" s="27" t="s">
        <v>7</v>
      </c>
      <c r="W436" s="27" t="s">
        <v>8</v>
      </c>
      <c r="X436" s="27" t="s">
        <v>7</v>
      </c>
      <c r="AA436" s="27" t="s">
        <v>8</v>
      </c>
      <c r="AB436" s="27" t="s">
        <v>7</v>
      </c>
      <c r="AI436" s="27" t="s">
        <v>8</v>
      </c>
      <c r="AJ436" s="27" t="s">
        <v>7</v>
      </c>
      <c r="AK436" s="27" t="s">
        <v>8</v>
      </c>
      <c r="AL436" s="27" t="s">
        <v>7</v>
      </c>
      <c r="BC436" s="27" t="s">
        <v>8</v>
      </c>
      <c r="BT436" s="27" t="s">
        <v>7</v>
      </c>
      <c r="BU436" s="27" t="s">
        <v>8</v>
      </c>
      <c r="BV436" s="27" t="s">
        <v>7</v>
      </c>
      <c r="BW436" s="27" t="s">
        <v>8</v>
      </c>
      <c r="BX436" s="27" t="s">
        <v>7</v>
      </c>
      <c r="BY436" s="27" t="s">
        <v>8</v>
      </c>
      <c r="CA436" s="27" t="s">
        <v>8</v>
      </c>
      <c r="CC436" s="27" t="s">
        <v>8</v>
      </c>
      <c r="CE436" s="27" t="s">
        <v>8</v>
      </c>
      <c r="CF436" s="27" t="s">
        <v>7</v>
      </c>
    </row>
    <row r="437" spans="1:106" x14ac:dyDescent="0.25">
      <c r="A437" s="7">
        <v>19.499602766762585</v>
      </c>
      <c r="B437"/>
      <c r="C437"/>
      <c r="D437"/>
      <c r="E437" t="s">
        <v>8</v>
      </c>
      <c r="V437" s="27" t="s">
        <v>7</v>
      </c>
      <c r="W437" s="27" t="s">
        <v>8</v>
      </c>
      <c r="X437" s="27" t="s">
        <v>7</v>
      </c>
      <c r="AA437" s="27" t="s">
        <v>8</v>
      </c>
      <c r="AB437" s="27" t="s">
        <v>7</v>
      </c>
      <c r="AG437" s="27" t="s">
        <v>8</v>
      </c>
      <c r="AI437" s="27" t="s">
        <v>8</v>
      </c>
      <c r="AJ437" s="27" t="s">
        <v>7</v>
      </c>
      <c r="AK437" s="27" t="s">
        <v>8</v>
      </c>
      <c r="AL437" s="27" t="s">
        <v>7</v>
      </c>
      <c r="BC437" s="27" t="s">
        <v>8</v>
      </c>
      <c r="BT437" s="27" t="s">
        <v>7</v>
      </c>
      <c r="BU437" s="27" t="s">
        <v>8</v>
      </c>
      <c r="BV437" s="27" t="s">
        <v>7</v>
      </c>
      <c r="BW437" s="27" t="s">
        <v>8</v>
      </c>
      <c r="BX437" s="27" t="s">
        <v>7</v>
      </c>
      <c r="BY437" s="27" t="s">
        <v>8</v>
      </c>
      <c r="BZ437" s="27" t="s">
        <v>7</v>
      </c>
      <c r="CA437" s="27" t="s">
        <v>8</v>
      </c>
      <c r="CB437" s="27" t="s">
        <v>7</v>
      </c>
      <c r="CC437" s="27" t="s">
        <v>8</v>
      </c>
      <c r="CD437" s="27" t="s">
        <v>7</v>
      </c>
      <c r="CE437" s="27" t="s">
        <v>8</v>
      </c>
      <c r="CF437" s="27" t="s">
        <v>7</v>
      </c>
      <c r="CM437" s="27" t="s">
        <v>8</v>
      </c>
    </row>
    <row r="438" spans="1:106" x14ac:dyDescent="0.25">
      <c r="A438" s="7">
        <v>19.117257614473122</v>
      </c>
      <c r="B438"/>
      <c r="C438"/>
      <c r="D438"/>
      <c r="E438" t="s">
        <v>8</v>
      </c>
      <c r="V438" s="27" t="s">
        <v>7</v>
      </c>
      <c r="W438" s="27" t="s">
        <v>8</v>
      </c>
      <c r="X438" s="27" t="s">
        <v>7</v>
      </c>
      <c r="AA438" s="27" t="s">
        <v>8</v>
      </c>
      <c r="AB438" s="27" t="s">
        <v>7</v>
      </c>
      <c r="AG438" s="27" t="s">
        <v>8</v>
      </c>
      <c r="AH438" s="27" t="s">
        <v>7</v>
      </c>
      <c r="AI438" s="27" t="s">
        <v>8</v>
      </c>
      <c r="AJ438" s="27" t="s">
        <v>7</v>
      </c>
      <c r="AK438" s="27" t="s">
        <v>8</v>
      </c>
      <c r="AL438" s="27" t="s">
        <v>7</v>
      </c>
      <c r="BC438" s="27" t="s">
        <v>8</v>
      </c>
      <c r="BT438" s="27" t="s">
        <v>7</v>
      </c>
      <c r="BV438" s="27" t="s">
        <v>7</v>
      </c>
      <c r="BW438" s="27" t="s">
        <v>8</v>
      </c>
      <c r="BX438" s="27" t="s">
        <v>7</v>
      </c>
      <c r="BY438" s="27" t="s">
        <v>8</v>
      </c>
      <c r="BZ438" s="27" t="s">
        <v>7</v>
      </c>
      <c r="CA438" s="27" t="s">
        <v>8</v>
      </c>
      <c r="CB438" s="27" t="s">
        <v>7</v>
      </c>
      <c r="CC438" s="27" t="s">
        <v>8</v>
      </c>
      <c r="CD438" s="27" t="s">
        <v>7</v>
      </c>
      <c r="CE438" s="27" t="s">
        <v>8</v>
      </c>
      <c r="CF438" s="27" t="s">
        <v>7</v>
      </c>
      <c r="CM438" s="27" t="s">
        <v>8</v>
      </c>
      <c r="CN438" s="27" t="s">
        <v>7</v>
      </c>
    </row>
    <row r="439" spans="1:106" x14ac:dyDescent="0.25">
      <c r="A439" s="7">
        <v>18.74240942595404</v>
      </c>
      <c r="B439"/>
      <c r="C439"/>
      <c r="D439"/>
      <c r="E439" t="s">
        <v>8</v>
      </c>
      <c r="V439" s="27" t="s">
        <v>7</v>
      </c>
      <c r="W439" s="27" t="s">
        <v>8</v>
      </c>
      <c r="X439" s="27" t="s">
        <v>7</v>
      </c>
      <c r="AA439" s="27" t="s">
        <v>8</v>
      </c>
      <c r="AB439" s="27" t="s">
        <v>7</v>
      </c>
      <c r="AC439" s="27" t="s">
        <v>8</v>
      </c>
      <c r="AG439" s="27" t="s">
        <v>8</v>
      </c>
      <c r="AH439" s="27" t="s">
        <v>7</v>
      </c>
      <c r="AI439" s="27" t="s">
        <v>8</v>
      </c>
      <c r="AJ439" s="27" t="s">
        <v>7</v>
      </c>
      <c r="AK439" s="27" t="s">
        <v>8</v>
      </c>
      <c r="AL439" s="27" t="s">
        <v>7</v>
      </c>
      <c r="AM439" s="27" t="s">
        <v>8</v>
      </c>
      <c r="BC439" s="27" t="s">
        <v>8</v>
      </c>
      <c r="BV439" s="27" t="s">
        <v>7</v>
      </c>
      <c r="BW439" s="27" t="s">
        <v>8</v>
      </c>
      <c r="BX439" s="27" t="s">
        <v>7</v>
      </c>
      <c r="BZ439" s="27" t="s">
        <v>7</v>
      </c>
      <c r="CA439" s="27" t="s">
        <v>8</v>
      </c>
      <c r="CB439" s="27" t="s">
        <v>7</v>
      </c>
      <c r="CC439" s="27" t="s">
        <v>8</v>
      </c>
      <c r="CD439" s="27" t="s">
        <v>7</v>
      </c>
      <c r="CE439" s="27" t="s">
        <v>8</v>
      </c>
      <c r="CF439" s="27" t="s">
        <v>7</v>
      </c>
      <c r="CM439" s="27" t="s">
        <v>8</v>
      </c>
      <c r="CN439" s="27" t="s">
        <v>7</v>
      </c>
    </row>
    <row r="440" spans="1:106" x14ac:dyDescent="0.25">
      <c r="A440" s="7">
        <v>18.374911201915726</v>
      </c>
      <c r="B440"/>
      <c r="C440"/>
      <c r="D440"/>
      <c r="E440" t="s">
        <v>8</v>
      </c>
      <c r="V440" s="27" t="s">
        <v>7</v>
      </c>
      <c r="W440" s="27" t="s">
        <v>8</v>
      </c>
      <c r="X440" s="27" t="s">
        <v>7</v>
      </c>
      <c r="AA440" s="27" t="s">
        <v>8</v>
      </c>
      <c r="AB440" s="27" t="s">
        <v>7</v>
      </c>
      <c r="AC440" s="27" t="s">
        <v>8</v>
      </c>
      <c r="AD440" s="27" t="s">
        <v>7</v>
      </c>
      <c r="AG440" s="27" t="s">
        <v>8</v>
      </c>
      <c r="AH440" s="27" t="s">
        <v>7</v>
      </c>
      <c r="AI440" s="27" t="s">
        <v>8</v>
      </c>
      <c r="AJ440" s="27" t="s">
        <v>7</v>
      </c>
      <c r="AK440" s="27" t="s">
        <v>8</v>
      </c>
      <c r="AL440" s="27" t="s">
        <v>7</v>
      </c>
      <c r="AM440" s="27" t="s">
        <v>8</v>
      </c>
      <c r="AN440" s="27" t="s">
        <v>7</v>
      </c>
      <c r="AO440" s="27" t="s">
        <v>8</v>
      </c>
      <c r="BC440" s="27" t="s">
        <v>8</v>
      </c>
      <c r="BV440" s="27" t="s">
        <v>7</v>
      </c>
      <c r="BW440" s="27" t="s">
        <v>8</v>
      </c>
      <c r="BZ440" s="27" t="s">
        <v>7</v>
      </c>
      <c r="CA440" s="27" t="s">
        <v>8</v>
      </c>
      <c r="CB440" s="27" t="s">
        <v>7</v>
      </c>
      <c r="CD440" s="27" t="s">
        <v>7</v>
      </c>
      <c r="CE440" s="27" t="s">
        <v>8</v>
      </c>
      <c r="CF440" s="27" t="s">
        <v>7</v>
      </c>
      <c r="CM440" s="27" t="s">
        <v>8</v>
      </c>
      <c r="CN440" s="27" t="s">
        <v>7</v>
      </c>
      <c r="CO440" s="27" t="s">
        <v>8</v>
      </c>
      <c r="CS440" s="27" t="s">
        <v>8</v>
      </c>
    </row>
    <row r="441" spans="1:106" x14ac:dyDescent="0.25">
      <c r="A441" s="7">
        <v>18.014618825407574</v>
      </c>
      <c r="B441"/>
      <c r="C441"/>
      <c r="D441"/>
      <c r="E441" t="s">
        <v>8</v>
      </c>
      <c r="V441" s="27" t="s">
        <v>7</v>
      </c>
      <c r="W441" s="27" t="s">
        <v>8</v>
      </c>
      <c r="X441" s="27" t="s">
        <v>7</v>
      </c>
      <c r="AA441" s="27" t="s">
        <v>8</v>
      </c>
      <c r="AB441" s="27" t="s">
        <v>7</v>
      </c>
      <c r="AC441" s="27" t="s">
        <v>8</v>
      </c>
      <c r="AD441" s="27" t="s">
        <v>7</v>
      </c>
      <c r="AG441" s="27" t="s">
        <v>8</v>
      </c>
      <c r="AH441" s="27" t="s">
        <v>7</v>
      </c>
      <c r="AI441" s="27" t="s">
        <v>8</v>
      </c>
      <c r="AJ441" s="27" t="s">
        <v>7</v>
      </c>
      <c r="AK441" s="27" t="s">
        <v>8</v>
      </c>
      <c r="AL441" s="27" t="s">
        <v>7</v>
      </c>
      <c r="AM441" s="27" t="s">
        <v>8</v>
      </c>
      <c r="AN441" s="27" t="s">
        <v>7</v>
      </c>
      <c r="AO441" s="27" t="s">
        <v>8</v>
      </c>
      <c r="AP441" s="27" t="s">
        <v>7</v>
      </c>
      <c r="BC441" s="27" t="s">
        <v>8</v>
      </c>
      <c r="BV441" s="27" t="s">
        <v>7</v>
      </c>
      <c r="BW441" s="27" t="s">
        <v>8</v>
      </c>
      <c r="BZ441" s="27" t="s">
        <v>7</v>
      </c>
      <c r="CD441" s="27" t="s">
        <v>7</v>
      </c>
      <c r="CE441" s="27" t="s">
        <v>8</v>
      </c>
      <c r="CF441" s="27" t="s">
        <v>7</v>
      </c>
      <c r="CM441" s="27" t="s">
        <v>8</v>
      </c>
      <c r="CN441" s="27" t="s">
        <v>7</v>
      </c>
      <c r="CO441" s="27" t="s">
        <v>8</v>
      </c>
      <c r="CP441" s="27" t="s">
        <v>7</v>
      </c>
      <c r="CQ441" s="27" t="s">
        <v>8</v>
      </c>
      <c r="CS441" s="27" t="s">
        <v>8</v>
      </c>
      <c r="CT441" s="27" t="s">
        <v>7</v>
      </c>
    </row>
    <row r="442" spans="1:106" x14ac:dyDescent="0.25">
      <c r="A442" s="7">
        <v>17.661391005301542</v>
      </c>
      <c r="B442"/>
      <c r="C442"/>
      <c r="D442"/>
      <c r="E442" t="s">
        <v>8</v>
      </c>
      <c r="V442" s="27" t="s">
        <v>7</v>
      </c>
      <c r="W442" s="27" t="s">
        <v>8</v>
      </c>
      <c r="X442" s="27" t="s">
        <v>7</v>
      </c>
      <c r="AA442" s="27" t="s">
        <v>8</v>
      </c>
      <c r="AB442" s="27" t="s">
        <v>7</v>
      </c>
      <c r="AC442" s="27" t="s">
        <v>8</v>
      </c>
      <c r="AD442" s="27" t="s">
        <v>7</v>
      </c>
      <c r="AG442" s="27" t="s">
        <v>8</v>
      </c>
      <c r="AH442" s="27" t="s">
        <v>7</v>
      </c>
      <c r="AI442" s="27" t="s">
        <v>8</v>
      </c>
      <c r="AJ442" s="27" t="s">
        <v>7</v>
      </c>
      <c r="AK442" s="27" t="s">
        <v>8</v>
      </c>
      <c r="AL442" s="27" t="s">
        <v>7</v>
      </c>
      <c r="AM442" s="27" t="s">
        <v>8</v>
      </c>
      <c r="AN442" s="27" t="s">
        <v>7</v>
      </c>
      <c r="AO442" s="27" t="s">
        <v>8</v>
      </c>
      <c r="AP442" s="27" t="s">
        <v>7</v>
      </c>
      <c r="BC442" s="18" t="s">
        <v>8</v>
      </c>
      <c r="BV442" s="27" t="s">
        <v>7</v>
      </c>
      <c r="BW442" s="27" t="s">
        <v>8</v>
      </c>
      <c r="CD442" s="27" t="s">
        <v>7</v>
      </c>
      <c r="CE442" s="27" t="s">
        <v>8</v>
      </c>
      <c r="CF442" s="27" t="s">
        <v>7</v>
      </c>
      <c r="CG442" s="27" t="s">
        <v>8</v>
      </c>
      <c r="CM442" s="27" t="s">
        <v>8</v>
      </c>
      <c r="CN442" s="27" t="s">
        <v>7</v>
      </c>
      <c r="CO442" s="27" t="s">
        <v>8</v>
      </c>
      <c r="CP442" s="27" t="s">
        <v>7</v>
      </c>
      <c r="CQ442" s="27" t="s">
        <v>8</v>
      </c>
      <c r="CR442" s="27" t="s">
        <v>7</v>
      </c>
      <c r="CS442" s="27" t="s">
        <v>8</v>
      </c>
      <c r="CT442" s="27" t="s">
        <v>7</v>
      </c>
      <c r="CU442" s="27" t="s">
        <v>8</v>
      </c>
    </row>
    <row r="443" spans="1:106" x14ac:dyDescent="0.25">
      <c r="A443" s="7">
        <v>17.315089220883866</v>
      </c>
      <c r="B443"/>
      <c r="C443"/>
      <c r="D443"/>
      <c r="E443" t="s">
        <v>8</v>
      </c>
      <c r="V443" s="27" t="s">
        <v>7</v>
      </c>
      <c r="W443" s="27" t="s">
        <v>8</v>
      </c>
      <c r="X443" s="27" t="s">
        <v>7</v>
      </c>
      <c r="AA443" s="27" t="s">
        <v>8</v>
      </c>
      <c r="AB443" s="27" t="s">
        <v>7</v>
      </c>
      <c r="AC443" s="27" t="s">
        <v>8</v>
      </c>
      <c r="AD443" s="27" t="s">
        <v>7</v>
      </c>
      <c r="AE443" s="27" t="s">
        <v>8</v>
      </c>
      <c r="AG443" s="27" t="s">
        <v>8</v>
      </c>
      <c r="AH443" s="27" t="s">
        <v>7</v>
      </c>
      <c r="AI443" s="27" t="s">
        <v>8</v>
      </c>
      <c r="AJ443" s="27" t="s">
        <v>7</v>
      </c>
      <c r="AK443" s="27" t="s">
        <v>8</v>
      </c>
      <c r="AL443" s="27" t="s">
        <v>7</v>
      </c>
      <c r="AM443" s="27" t="s">
        <v>8</v>
      </c>
      <c r="AN443" s="27" t="s">
        <v>7</v>
      </c>
      <c r="AO443" s="27" t="s">
        <v>8</v>
      </c>
      <c r="AP443" s="27" t="s">
        <v>7</v>
      </c>
      <c r="BC443" s="27" t="s">
        <v>8</v>
      </c>
      <c r="BV443" s="27" t="s">
        <v>7</v>
      </c>
      <c r="BW443" s="27" t="s">
        <v>8</v>
      </c>
      <c r="CD443" s="27" t="s">
        <v>7</v>
      </c>
      <c r="CE443" s="27" t="s">
        <v>8</v>
      </c>
      <c r="CF443" s="27" t="s">
        <v>7</v>
      </c>
      <c r="CG443" s="27" t="s">
        <v>8</v>
      </c>
      <c r="CH443" s="27" t="s">
        <v>7</v>
      </c>
      <c r="CI443" s="27" t="s">
        <v>8</v>
      </c>
      <c r="CK443" s="27" t="s">
        <v>8</v>
      </c>
      <c r="CM443" s="27" t="s">
        <v>8</v>
      </c>
      <c r="CN443" s="27" t="s">
        <v>7</v>
      </c>
      <c r="CO443" s="27" t="s">
        <v>8</v>
      </c>
      <c r="CP443" s="27" t="s">
        <v>7</v>
      </c>
      <c r="CQ443" s="27" t="s">
        <v>8</v>
      </c>
      <c r="CR443" s="27" t="s">
        <v>7</v>
      </c>
      <c r="CS443" s="27" t="s">
        <v>8</v>
      </c>
      <c r="CT443" s="27" t="s">
        <v>7</v>
      </c>
      <c r="CU443" s="27" t="s">
        <v>8</v>
      </c>
      <c r="CV443" s="27" t="s">
        <v>7</v>
      </c>
    </row>
    <row r="444" spans="1:106" x14ac:dyDescent="0.25">
      <c r="A444" s="7">
        <v>16.975577667533202</v>
      </c>
      <c r="B444"/>
      <c r="C444"/>
      <c r="D444"/>
      <c r="E444" t="s">
        <v>8</v>
      </c>
      <c r="V444" s="27" t="s">
        <v>7</v>
      </c>
      <c r="W444" s="27" t="s">
        <v>8</v>
      </c>
      <c r="X444" s="27" t="s">
        <v>7</v>
      </c>
      <c r="AA444" s="27" t="s">
        <v>8</v>
      </c>
      <c r="AB444" s="27" t="s">
        <v>7</v>
      </c>
      <c r="AC444" s="27" t="s">
        <v>8</v>
      </c>
      <c r="AD444" s="27" t="s">
        <v>7</v>
      </c>
      <c r="AE444" s="27" t="s">
        <v>8</v>
      </c>
      <c r="AF444" s="27" t="s">
        <v>7</v>
      </c>
      <c r="AG444" s="27" t="s">
        <v>8</v>
      </c>
      <c r="AH444" s="27" t="s">
        <v>7</v>
      </c>
      <c r="AI444" s="27" t="s">
        <v>8</v>
      </c>
      <c r="AJ444" s="27" t="s">
        <v>7</v>
      </c>
      <c r="AK444" s="27" t="s">
        <v>8</v>
      </c>
      <c r="AL444" s="27" t="s">
        <v>7</v>
      </c>
      <c r="AM444" s="27" t="s">
        <v>8</v>
      </c>
      <c r="AN444" s="27" t="s">
        <v>7</v>
      </c>
      <c r="AO444" s="27" t="s">
        <v>8</v>
      </c>
      <c r="AP444" s="27" t="s">
        <v>7</v>
      </c>
      <c r="BC444" s="27" t="s">
        <v>8</v>
      </c>
      <c r="BV444" s="27" t="s">
        <v>7</v>
      </c>
      <c r="BW444" s="27" t="s">
        <v>8</v>
      </c>
      <c r="CD444" s="27" t="s">
        <v>7</v>
      </c>
      <c r="CE444" s="27" t="s">
        <v>8</v>
      </c>
      <c r="CF444" s="27" t="s">
        <v>7</v>
      </c>
      <c r="CG444" s="27" t="s">
        <v>8</v>
      </c>
      <c r="CH444" s="27" t="s">
        <v>7</v>
      </c>
      <c r="CI444" s="27" t="s">
        <v>8</v>
      </c>
      <c r="CJ444" s="27" t="s">
        <v>7</v>
      </c>
      <c r="CK444" s="27" t="s">
        <v>8</v>
      </c>
      <c r="CL444" s="27" t="s">
        <v>7</v>
      </c>
      <c r="CM444" s="27" t="s">
        <v>8</v>
      </c>
      <c r="CN444" s="27" t="s">
        <v>7</v>
      </c>
      <c r="CP444" s="27" t="s">
        <v>7</v>
      </c>
      <c r="CR444" s="27" t="s">
        <v>7</v>
      </c>
      <c r="CT444" s="27" t="s">
        <v>7</v>
      </c>
      <c r="CU444" s="27" t="s">
        <v>8</v>
      </c>
      <c r="CV444" s="27" t="s">
        <v>7</v>
      </c>
      <c r="DA444" s="27" t="s">
        <v>8</v>
      </c>
    </row>
    <row r="445" spans="1:106" x14ac:dyDescent="0.25">
      <c r="A445" s="7">
        <v>16.642723203463923</v>
      </c>
      <c r="B445"/>
      <c r="C445"/>
      <c r="D445"/>
      <c r="E445" t="s">
        <v>8</v>
      </c>
      <c r="V445" s="27" t="s">
        <v>7</v>
      </c>
      <c r="X445" s="27" t="s">
        <v>7</v>
      </c>
      <c r="Y445" s="27" t="s">
        <v>8</v>
      </c>
      <c r="AA445" s="27" t="s">
        <v>8</v>
      </c>
      <c r="AB445" s="27" t="s">
        <v>7</v>
      </c>
      <c r="AC445" s="27" t="s">
        <v>8</v>
      </c>
      <c r="AD445" s="27" t="s">
        <v>7</v>
      </c>
      <c r="AE445" s="27" t="s">
        <v>8</v>
      </c>
      <c r="AF445" s="27" t="s">
        <v>7</v>
      </c>
      <c r="AG445" s="27" t="s">
        <v>8</v>
      </c>
      <c r="AH445" s="27" t="s">
        <v>7</v>
      </c>
      <c r="AI445" s="27" t="s">
        <v>8</v>
      </c>
      <c r="AJ445" s="27" t="s">
        <v>7</v>
      </c>
      <c r="AK445" s="27" t="s">
        <v>8</v>
      </c>
      <c r="AL445" s="27" t="s">
        <v>7</v>
      </c>
      <c r="AM445" s="27" t="s">
        <v>8</v>
      </c>
      <c r="AN445" s="27" t="s">
        <v>7</v>
      </c>
      <c r="AP445" s="27" t="s">
        <v>7</v>
      </c>
      <c r="BA445" s="27" t="s">
        <v>8</v>
      </c>
      <c r="BC445" s="27" t="s">
        <v>8</v>
      </c>
      <c r="BV445" s="27" t="s">
        <v>7</v>
      </c>
      <c r="BW445" s="27" t="s">
        <v>8</v>
      </c>
      <c r="CD445" s="27" t="s">
        <v>7</v>
      </c>
      <c r="CE445" s="27" t="s">
        <v>8</v>
      </c>
      <c r="CF445" s="27" t="s">
        <v>7</v>
      </c>
      <c r="CH445" s="27" t="s">
        <v>7</v>
      </c>
      <c r="CI445" s="27" t="s">
        <v>8</v>
      </c>
      <c r="CJ445" s="27" t="s">
        <v>7</v>
      </c>
      <c r="CK445" s="27" t="s">
        <v>8</v>
      </c>
      <c r="CL445" s="27" t="s">
        <v>7</v>
      </c>
      <c r="CM445" s="27" t="s">
        <v>8</v>
      </c>
      <c r="CT445" s="27" t="s">
        <v>7</v>
      </c>
      <c r="CV445" s="27" t="s">
        <v>7</v>
      </c>
      <c r="DA445" s="27" t="s">
        <v>8</v>
      </c>
      <c r="DB445" s="27" t="s">
        <v>7</v>
      </c>
    </row>
    <row r="446" spans="1:106" x14ac:dyDescent="0.25">
      <c r="A446" s="7">
        <v>16.316395297513651</v>
      </c>
      <c r="B446"/>
      <c r="C446"/>
      <c r="D446"/>
      <c r="E446" t="s">
        <v>8</v>
      </c>
      <c r="X446" s="27" t="s">
        <v>7</v>
      </c>
      <c r="Y446" s="27" t="s">
        <v>8</v>
      </c>
      <c r="Z446" s="27" t="s">
        <v>7</v>
      </c>
      <c r="AA446" s="27" t="s">
        <v>8</v>
      </c>
      <c r="AB446" s="27" t="s">
        <v>7</v>
      </c>
      <c r="AC446" s="27" t="s">
        <v>8</v>
      </c>
      <c r="AD446" s="27" t="s">
        <v>7</v>
      </c>
      <c r="AF446" s="27" t="s">
        <v>7</v>
      </c>
      <c r="AG446" s="27" t="s">
        <v>8</v>
      </c>
      <c r="AH446" s="27" t="s">
        <v>7</v>
      </c>
      <c r="AI446" s="27" t="s">
        <v>8</v>
      </c>
      <c r="AJ446" s="27" t="s">
        <v>7</v>
      </c>
      <c r="AK446" s="27" t="s">
        <v>8</v>
      </c>
      <c r="AL446" s="27" t="s">
        <v>7</v>
      </c>
      <c r="AM446" s="27" t="s">
        <v>8</v>
      </c>
      <c r="AP446" s="27" t="s">
        <v>7</v>
      </c>
      <c r="BA446" s="27" t="s">
        <v>8</v>
      </c>
      <c r="BB446" s="27" t="s">
        <v>7</v>
      </c>
      <c r="BC446" s="27" t="s">
        <v>8</v>
      </c>
      <c r="BV446" s="27" t="s">
        <v>7</v>
      </c>
      <c r="CD446" s="27" t="s">
        <v>7</v>
      </c>
      <c r="CE446" s="27" t="s">
        <v>8</v>
      </c>
      <c r="CH446" s="27" t="s">
        <v>7</v>
      </c>
      <c r="CI446" s="27" t="s">
        <v>8</v>
      </c>
      <c r="CJ446" s="27" t="s">
        <v>7</v>
      </c>
      <c r="CK446" s="27" t="s">
        <v>8</v>
      </c>
      <c r="CL446" s="27" t="s">
        <v>7</v>
      </c>
      <c r="CM446" s="27" t="s">
        <v>8</v>
      </c>
      <c r="CV446" s="27" t="s">
        <v>7</v>
      </c>
      <c r="DA446" s="27" t="s">
        <v>8</v>
      </c>
      <c r="DB446" s="27" t="s">
        <v>7</v>
      </c>
    </row>
    <row r="447" spans="1:106" x14ac:dyDescent="0.25">
      <c r="A447" s="7">
        <v>15.996465977954561</v>
      </c>
      <c r="B447"/>
      <c r="C447"/>
      <c r="D447"/>
      <c r="E447" t="s">
        <v>8</v>
      </c>
      <c r="X447" s="27" t="s">
        <v>7</v>
      </c>
      <c r="Y447" s="27" t="s">
        <v>8</v>
      </c>
      <c r="Z447" s="27" t="s">
        <v>7</v>
      </c>
      <c r="AA447" s="27" t="s">
        <v>8</v>
      </c>
      <c r="AB447" s="27" t="s">
        <v>7</v>
      </c>
      <c r="AC447" s="27" t="s">
        <v>8</v>
      </c>
      <c r="AF447" s="27" t="s">
        <v>7</v>
      </c>
      <c r="AH447" s="27" t="s">
        <v>7</v>
      </c>
      <c r="AI447" s="27" t="s">
        <v>8</v>
      </c>
      <c r="AJ447" s="27" t="s">
        <v>7</v>
      </c>
      <c r="AK447" s="27" t="s">
        <v>8</v>
      </c>
      <c r="AL447" s="27" t="s">
        <v>7</v>
      </c>
      <c r="AM447" s="27" t="s">
        <v>8</v>
      </c>
      <c r="AP447" s="27" t="s">
        <v>7</v>
      </c>
      <c r="BA447" s="27" t="s">
        <v>8</v>
      </c>
      <c r="BB447" s="27" t="s">
        <v>7</v>
      </c>
      <c r="BC447" s="27" t="s">
        <v>8</v>
      </c>
      <c r="CD447" s="27" t="s">
        <v>7</v>
      </c>
      <c r="CE447" s="27" t="s">
        <v>8</v>
      </c>
      <c r="CH447" s="27" t="s">
        <v>7</v>
      </c>
      <c r="CJ447" s="27" t="s">
        <v>7</v>
      </c>
      <c r="CK447" s="27" t="s">
        <v>8</v>
      </c>
      <c r="CL447" s="27" t="s">
        <v>7</v>
      </c>
      <c r="CM447" s="27" t="s">
        <v>8</v>
      </c>
      <c r="CV447" s="27" t="s">
        <v>7</v>
      </c>
      <c r="CW447" s="27" t="s">
        <v>8</v>
      </c>
      <c r="DA447" s="27" t="s">
        <v>8</v>
      </c>
      <c r="DB447" s="27" t="s">
        <v>7</v>
      </c>
    </row>
    <row r="448" spans="1:106" x14ac:dyDescent="0.25">
      <c r="A448" s="7">
        <v>15.682809782308393</v>
      </c>
      <c r="B448"/>
      <c r="C448"/>
      <c r="D448"/>
      <c r="E448" t="s">
        <v>8</v>
      </c>
      <c r="X448" s="27" t="s">
        <v>7</v>
      </c>
      <c r="Y448" s="27" t="s">
        <v>8</v>
      </c>
      <c r="Z448" s="27" t="s">
        <v>7</v>
      </c>
      <c r="AA448" s="27" t="s">
        <v>8</v>
      </c>
      <c r="AB448" s="27" t="s">
        <v>7</v>
      </c>
      <c r="AC448" s="27" t="s">
        <v>8</v>
      </c>
      <c r="AH448" s="27" t="s">
        <v>7</v>
      </c>
      <c r="AJ448" s="27" t="s">
        <v>7</v>
      </c>
      <c r="AK448" s="27" t="s">
        <v>8</v>
      </c>
      <c r="AL448" s="27" t="s">
        <v>7</v>
      </c>
      <c r="AP448" s="27" t="s">
        <v>7</v>
      </c>
      <c r="AQ448" s="27" t="s">
        <v>8</v>
      </c>
      <c r="AU448" s="27" t="s">
        <v>8</v>
      </c>
      <c r="BA448" s="27" t="s">
        <v>8</v>
      </c>
      <c r="BB448" s="27" t="s">
        <v>7</v>
      </c>
      <c r="BC448" s="27" t="s">
        <v>8</v>
      </c>
      <c r="CD448" s="27" t="s">
        <v>7</v>
      </c>
      <c r="CE448" s="27" t="s">
        <v>8</v>
      </c>
      <c r="CJ448" s="27" t="s">
        <v>7</v>
      </c>
      <c r="CL448" s="27" t="s">
        <v>7</v>
      </c>
      <c r="CV448" s="27" t="s">
        <v>7</v>
      </c>
      <c r="CW448" s="27" t="s">
        <v>8</v>
      </c>
      <c r="CX448" s="27" t="s">
        <v>7</v>
      </c>
      <c r="DA448" s="27" t="s">
        <v>8</v>
      </c>
      <c r="DB448" s="27" t="s">
        <v>7</v>
      </c>
    </row>
    <row r="449" spans="1:114" x14ac:dyDescent="0.25">
      <c r="A449" s="7">
        <v>15.375303708145482</v>
      </c>
      <c r="B449"/>
      <c r="C449"/>
      <c r="D449"/>
      <c r="E449" t="s">
        <v>8</v>
      </c>
      <c r="X449" s="27" t="s">
        <v>7</v>
      </c>
      <c r="Y449" s="27" t="s">
        <v>8</v>
      </c>
      <c r="Z449" s="27" t="s">
        <v>7</v>
      </c>
      <c r="AA449" s="27" t="s">
        <v>8</v>
      </c>
      <c r="AB449" s="27" t="s">
        <v>7</v>
      </c>
      <c r="AJ449" s="27" t="s">
        <v>7</v>
      </c>
      <c r="AK449" s="27" t="s">
        <v>8</v>
      </c>
      <c r="AP449" s="27" t="s">
        <v>7</v>
      </c>
      <c r="AQ449" s="27" t="s">
        <v>8</v>
      </c>
      <c r="AR449" s="27" t="s">
        <v>7</v>
      </c>
      <c r="AU449" s="27" t="s">
        <v>8</v>
      </c>
      <c r="AV449" s="27" t="s">
        <v>7</v>
      </c>
      <c r="AY449" s="27" t="s">
        <v>8</v>
      </c>
      <c r="BA449" s="27" t="s">
        <v>8</v>
      </c>
      <c r="BB449" s="27" t="s">
        <v>7</v>
      </c>
      <c r="CD449" s="27" t="s">
        <v>7</v>
      </c>
      <c r="CE449" s="27" t="s">
        <v>8</v>
      </c>
      <c r="CV449" s="27" t="s">
        <v>7</v>
      </c>
      <c r="CW449" s="27" t="s">
        <v>8</v>
      </c>
      <c r="CX449" s="27" t="s">
        <v>7</v>
      </c>
      <c r="CY449" s="27" t="s">
        <v>8</v>
      </c>
      <c r="DA449" s="27" t="s">
        <v>8</v>
      </c>
      <c r="DB449" s="27" t="s">
        <v>7</v>
      </c>
    </row>
    <row r="450" spans="1:114" x14ac:dyDescent="0.25">
      <c r="A450" s="7">
        <v>15.073827164848511</v>
      </c>
      <c r="B450"/>
      <c r="C450"/>
      <c r="D450"/>
      <c r="E450" t="s">
        <v>8</v>
      </c>
      <c r="X450" s="27" t="s">
        <v>7</v>
      </c>
      <c r="Y450" s="27" t="s">
        <v>8</v>
      </c>
      <c r="Z450" s="27" t="s">
        <v>7</v>
      </c>
      <c r="AA450" s="27" t="s">
        <v>8</v>
      </c>
      <c r="AJ450" s="27" t="s">
        <v>7</v>
      </c>
      <c r="AK450" s="27" t="s">
        <v>8</v>
      </c>
      <c r="AP450" s="27" t="s">
        <v>7</v>
      </c>
      <c r="AQ450" s="27" t="s">
        <v>8</v>
      </c>
      <c r="AR450" s="27" t="s">
        <v>7</v>
      </c>
      <c r="AU450" s="27" t="s">
        <v>8</v>
      </c>
      <c r="AV450" s="27" t="s">
        <v>7</v>
      </c>
      <c r="AY450" s="27" t="s">
        <v>8</v>
      </c>
      <c r="AZ450" s="27" t="s">
        <v>7</v>
      </c>
      <c r="BA450" s="27" t="s">
        <v>8</v>
      </c>
      <c r="CD450" s="27" t="s">
        <v>7</v>
      </c>
      <c r="CV450" s="27" t="s">
        <v>7</v>
      </c>
      <c r="CW450" s="27" t="s">
        <v>8</v>
      </c>
      <c r="CX450" s="27" t="s">
        <v>7</v>
      </c>
      <c r="CY450" s="27" t="s">
        <v>8</v>
      </c>
      <c r="CZ450" s="27" t="s">
        <v>7</v>
      </c>
      <c r="DA450" s="27" t="s">
        <v>8</v>
      </c>
      <c r="DB450" s="27" t="s">
        <v>7</v>
      </c>
      <c r="DC450" s="27" t="s">
        <v>8</v>
      </c>
    </row>
    <row r="451" spans="1:114" x14ac:dyDescent="0.25">
      <c r="A451" s="7">
        <v>14.77826192632207</v>
      </c>
      <c r="B451"/>
      <c r="C451"/>
      <c r="D451"/>
      <c r="E451" t="s">
        <v>8</v>
      </c>
      <c r="X451" s="27" t="s">
        <v>7</v>
      </c>
      <c r="Y451" s="27" t="s">
        <v>8</v>
      </c>
      <c r="Z451" s="27" t="s">
        <v>7</v>
      </c>
      <c r="AA451" s="27" t="s">
        <v>8</v>
      </c>
      <c r="AJ451" s="27" t="s">
        <v>7</v>
      </c>
      <c r="AK451" s="27" t="s">
        <v>8</v>
      </c>
      <c r="AP451" s="27" t="s">
        <v>7</v>
      </c>
      <c r="AQ451" s="27" t="s">
        <v>8</v>
      </c>
      <c r="AR451" s="27" t="s">
        <v>7</v>
      </c>
      <c r="AS451" s="27" t="s">
        <v>8</v>
      </c>
      <c r="AU451" s="27" t="s">
        <v>8</v>
      </c>
      <c r="AV451" s="27" t="s">
        <v>7</v>
      </c>
      <c r="AW451" s="27" t="s">
        <v>8</v>
      </c>
      <c r="AY451" s="27" t="s">
        <v>8</v>
      </c>
      <c r="AZ451" s="27" t="s">
        <v>7</v>
      </c>
      <c r="BA451" s="27" t="s">
        <v>8</v>
      </c>
      <c r="CV451" s="27" t="s">
        <v>7</v>
      </c>
      <c r="CW451" s="27" t="s">
        <v>8</v>
      </c>
      <c r="CX451" s="27" t="s">
        <v>7</v>
      </c>
      <c r="CY451" s="27" t="s">
        <v>8</v>
      </c>
      <c r="CZ451" s="27" t="s">
        <v>7</v>
      </c>
      <c r="DA451" s="27" t="s">
        <v>8</v>
      </c>
      <c r="DB451" s="27" t="s">
        <v>7</v>
      </c>
      <c r="DC451" s="27" t="s">
        <v>8</v>
      </c>
      <c r="DD451" s="27" t="s">
        <v>7</v>
      </c>
    </row>
    <row r="452" spans="1:114" x14ac:dyDescent="0.25">
      <c r="A452" s="7">
        <v>14.488492084629481</v>
      </c>
      <c r="B452"/>
      <c r="C452"/>
      <c r="D452"/>
      <c r="E452" t="s">
        <v>8</v>
      </c>
      <c r="X452" s="27" t="s">
        <v>7</v>
      </c>
      <c r="Y452" s="27" t="s">
        <v>8</v>
      </c>
      <c r="Z452" s="27" t="s">
        <v>7</v>
      </c>
      <c r="AA452" s="27" t="s">
        <v>8</v>
      </c>
      <c r="AJ452" s="27" t="s">
        <v>7</v>
      </c>
      <c r="AK452" s="27" t="s">
        <v>8</v>
      </c>
      <c r="AP452" s="27" t="s">
        <v>7</v>
      </c>
      <c r="AQ452" s="27" t="s">
        <v>8</v>
      </c>
      <c r="AR452" s="27" t="s">
        <v>7</v>
      </c>
      <c r="AS452" s="27" t="s">
        <v>8</v>
      </c>
      <c r="AT452" s="27" t="s">
        <v>7</v>
      </c>
      <c r="AU452" s="27" t="s">
        <v>8</v>
      </c>
      <c r="AV452" s="27" t="s">
        <v>7</v>
      </c>
      <c r="AW452" s="27" t="s">
        <v>8</v>
      </c>
      <c r="AX452" s="27" t="s">
        <v>7</v>
      </c>
      <c r="AY452" s="27" t="s">
        <v>8</v>
      </c>
      <c r="AZ452" s="27" t="s">
        <v>7</v>
      </c>
      <c r="CV452" s="27" t="s">
        <v>7</v>
      </c>
      <c r="CX452" s="27" t="s">
        <v>7</v>
      </c>
      <c r="CY452" s="27" t="s">
        <v>8</v>
      </c>
      <c r="CZ452" s="27" t="s">
        <v>7</v>
      </c>
      <c r="DB452" s="27" t="s">
        <v>7</v>
      </c>
      <c r="DC452" s="27" t="s">
        <v>8</v>
      </c>
      <c r="DD452" s="27" t="s">
        <v>7</v>
      </c>
    </row>
    <row r="453" spans="1:114" x14ac:dyDescent="0.25">
      <c r="A453" s="7">
        <v>14.204404004538707</v>
      </c>
      <c r="B453"/>
      <c r="C453"/>
      <c r="D453"/>
      <c r="E453" t="s">
        <v>8</v>
      </c>
      <c r="X453" s="27" t="s">
        <v>7</v>
      </c>
      <c r="Y453" s="27" t="s">
        <v>8</v>
      </c>
      <c r="Z453" s="27" t="s">
        <v>7</v>
      </c>
      <c r="AJ453" s="27" t="s">
        <v>7</v>
      </c>
      <c r="AP453" s="27" t="s">
        <v>7</v>
      </c>
      <c r="AQ453" s="27" t="s">
        <v>8</v>
      </c>
      <c r="AR453" s="27" t="s">
        <v>7</v>
      </c>
      <c r="AS453" s="27" t="s">
        <v>8</v>
      </c>
      <c r="AT453" s="27" t="s">
        <v>7</v>
      </c>
      <c r="AU453" s="27" t="s">
        <v>8</v>
      </c>
      <c r="AV453" s="27" t="s">
        <v>7</v>
      </c>
      <c r="AW453" s="27" t="s">
        <v>8</v>
      </c>
      <c r="AX453" s="27" t="s">
        <v>7</v>
      </c>
      <c r="AY453" s="27" t="s">
        <v>8</v>
      </c>
      <c r="CX453" s="27" t="s">
        <v>7</v>
      </c>
      <c r="DB453" s="27" t="s">
        <v>7</v>
      </c>
      <c r="DD453" s="27" t="s">
        <v>7</v>
      </c>
    </row>
    <row r="454" spans="1:114" x14ac:dyDescent="0.25">
      <c r="A454" s="7">
        <v>13.925886278959517</v>
      </c>
      <c r="B454"/>
      <c r="C454"/>
      <c r="D454"/>
      <c r="E454" t="s">
        <v>8</v>
      </c>
      <c r="X454" s="27" t="s">
        <v>7</v>
      </c>
      <c r="Y454" s="27" t="s">
        <v>8</v>
      </c>
      <c r="AP454" s="27" t="s">
        <v>7</v>
      </c>
      <c r="AQ454" s="27" t="s">
        <v>8</v>
      </c>
      <c r="AR454" s="27" t="s">
        <v>7</v>
      </c>
      <c r="AS454" s="27" t="s">
        <v>8</v>
      </c>
      <c r="AT454" s="27" t="s">
        <v>7</v>
      </c>
      <c r="AU454" s="27" t="s">
        <v>8</v>
      </c>
      <c r="AV454" s="27" t="s">
        <v>7</v>
      </c>
      <c r="AX454" s="27" t="s">
        <v>7</v>
      </c>
      <c r="AY454" s="27" t="s">
        <v>8</v>
      </c>
      <c r="DD454" s="27" t="s">
        <v>7</v>
      </c>
      <c r="DE454" s="27" t="s">
        <v>8</v>
      </c>
    </row>
    <row r="455" spans="1:114" x14ac:dyDescent="0.25">
      <c r="A455" s="7">
        <v>13.652829685254428</v>
      </c>
      <c r="B455"/>
      <c r="C455"/>
      <c r="D455"/>
      <c r="E455" t="s">
        <v>8</v>
      </c>
      <c r="X455" s="27" t="s">
        <v>7</v>
      </c>
      <c r="Y455" s="27" t="s">
        <v>8</v>
      </c>
      <c r="AP455" s="27" t="s">
        <v>7</v>
      </c>
      <c r="AQ455" s="27" t="s">
        <v>8</v>
      </c>
      <c r="AR455" s="27" t="s">
        <v>7</v>
      </c>
      <c r="AS455" s="27" t="s">
        <v>8</v>
      </c>
      <c r="AT455" s="27" t="s">
        <v>7</v>
      </c>
      <c r="AX455" s="27" t="s">
        <v>7</v>
      </c>
      <c r="DD455" s="27" t="s">
        <v>7</v>
      </c>
      <c r="DE455" s="27" t="s">
        <v>8</v>
      </c>
      <c r="DF455" s="27" t="s">
        <v>7</v>
      </c>
    </row>
    <row r="456" spans="1:114" x14ac:dyDescent="0.25">
      <c r="A456" s="7">
        <v>13.385127142406303</v>
      </c>
      <c r="B456"/>
      <c r="C456"/>
      <c r="D456"/>
      <c r="E456" t="s">
        <v>8</v>
      </c>
      <c r="X456" s="27" t="s">
        <v>7</v>
      </c>
      <c r="Y456" s="27" t="s">
        <v>8</v>
      </c>
      <c r="AP456" s="27" t="s">
        <v>7</v>
      </c>
      <c r="AQ456" s="27" t="s">
        <v>8</v>
      </c>
      <c r="AR456" s="27" t="s">
        <v>7</v>
      </c>
      <c r="AS456" s="27" t="s">
        <v>8</v>
      </c>
      <c r="DD456" s="27" t="s">
        <v>7</v>
      </c>
      <c r="DE456" s="27" t="s">
        <v>8</v>
      </c>
      <c r="DF456" s="27" t="s">
        <v>7</v>
      </c>
    </row>
    <row r="457" spans="1:114" x14ac:dyDescent="0.25">
      <c r="A457" s="7">
        <v>13.122673669025787</v>
      </c>
      <c r="B457"/>
      <c r="C457"/>
      <c r="D457"/>
      <c r="E457" t="s">
        <v>8</v>
      </c>
      <c r="X457" s="27" t="s">
        <v>7</v>
      </c>
      <c r="Y457" s="27" t="s">
        <v>8</v>
      </c>
      <c r="AP457" s="27" t="s">
        <v>7</v>
      </c>
      <c r="AQ457" s="27" t="s">
        <v>8</v>
      </c>
      <c r="AR457" s="27" t="s">
        <v>7</v>
      </c>
      <c r="DD457" s="27" t="s">
        <v>7</v>
      </c>
      <c r="DE457" s="27" t="s">
        <v>8</v>
      </c>
      <c r="DF457" s="27" t="s">
        <v>7</v>
      </c>
    </row>
    <row r="458" spans="1:114" x14ac:dyDescent="0.25">
      <c r="A458" s="7">
        <v>12.865366342182144</v>
      </c>
      <c r="B458"/>
      <c r="C458"/>
      <c r="D458"/>
      <c r="E458" t="s">
        <v>8</v>
      </c>
      <c r="X458" s="27" t="s">
        <v>7</v>
      </c>
      <c r="Y458" s="27" t="s">
        <v>8</v>
      </c>
      <c r="AP458" s="27" t="s">
        <v>7</v>
      </c>
      <c r="AQ458" s="27" t="s">
        <v>8</v>
      </c>
      <c r="DD458" s="27" t="s">
        <v>7</v>
      </c>
      <c r="DF458" s="27" t="s">
        <v>7</v>
      </c>
    </row>
    <row r="459" spans="1:114" x14ac:dyDescent="0.25">
      <c r="A459" s="7">
        <v>12.613104257041318</v>
      </c>
      <c r="B459"/>
      <c r="C459"/>
      <c r="D459"/>
      <c r="E459" t="s">
        <v>8</v>
      </c>
      <c r="X459" s="27" t="s">
        <v>7</v>
      </c>
      <c r="Y459" s="27" t="s">
        <v>8</v>
      </c>
      <c r="AP459" s="27" t="s">
        <v>7</v>
      </c>
      <c r="DF459" s="27" t="s">
        <v>7</v>
      </c>
      <c r="DI459" s="27" t="s">
        <v>8</v>
      </c>
    </row>
    <row r="460" spans="1:114" x14ac:dyDescent="0.25">
      <c r="A460" s="7">
        <v>12.36578848729541</v>
      </c>
      <c r="B460"/>
      <c r="C460"/>
      <c r="D460"/>
      <c r="E460" t="s">
        <v>8</v>
      </c>
      <c r="X460" s="27" t="s">
        <v>7</v>
      </c>
      <c r="Y460" s="27" t="s">
        <v>8</v>
      </c>
      <c r="DF460" s="27" t="s">
        <v>7</v>
      </c>
      <c r="DI460" s="27" t="s">
        <v>8</v>
      </c>
      <c r="DJ460" s="27" t="s">
        <v>7</v>
      </c>
    </row>
    <row r="461" spans="1:114" x14ac:dyDescent="0.25">
      <c r="A461" s="7">
        <v>12.123322046368049</v>
      </c>
      <c r="B461"/>
      <c r="C461"/>
      <c r="D461"/>
      <c r="E461" t="s">
        <v>8</v>
      </c>
      <c r="X461" s="27" t="s">
        <v>7</v>
      </c>
      <c r="Y461" s="27" t="s">
        <v>8</v>
      </c>
      <c r="DF461" s="27" t="s">
        <v>7</v>
      </c>
      <c r="DI461" s="27" t="s">
        <v>8</v>
      </c>
      <c r="DJ461" s="27" t="s">
        <v>7</v>
      </c>
    </row>
    <row r="462" spans="1:114" x14ac:dyDescent="0.25">
      <c r="A462" s="7">
        <v>11.88560984938044</v>
      </c>
      <c r="B462"/>
      <c r="C462"/>
      <c r="D462"/>
      <c r="E462" t="s">
        <v>8</v>
      </c>
      <c r="X462" s="27" t="s">
        <v>7</v>
      </c>
      <c r="DF462" s="27" t="s">
        <v>7</v>
      </c>
      <c r="DI462" s="27" t="s">
        <v>8</v>
      </c>
      <c r="DJ462" s="27" t="s">
        <v>7</v>
      </c>
    </row>
    <row r="463" spans="1:114" x14ac:dyDescent="0.25">
      <c r="A463" s="7">
        <v>11.652558675863176</v>
      </c>
      <c r="B463"/>
      <c r="C463"/>
      <c r="D463"/>
      <c r="E463" t="s">
        <v>8</v>
      </c>
      <c r="DF463" s="27" t="s">
        <v>7</v>
      </c>
      <c r="DI463" s="27" t="s">
        <v>8</v>
      </c>
      <c r="DJ463" s="27" t="s">
        <v>7</v>
      </c>
    </row>
    <row r="464" spans="1:114" x14ac:dyDescent="0.25">
      <c r="A464" s="7">
        <v>11.424077133199193</v>
      </c>
      <c r="B464"/>
      <c r="C464"/>
      <c r="D464"/>
      <c r="E464" t="s">
        <v>8</v>
      </c>
      <c r="DF464" s="27" t="s">
        <v>7</v>
      </c>
      <c r="DG464" s="27" t="s">
        <v>8</v>
      </c>
      <c r="DI464" s="27" t="s">
        <v>8</v>
      </c>
      <c r="DJ464" s="27" t="s">
        <v>7</v>
      </c>
    </row>
    <row r="465" spans="1:134" x14ac:dyDescent="0.25">
      <c r="A465" s="7">
        <v>11.200075620783522</v>
      </c>
      <c r="B465"/>
      <c r="C465"/>
      <c r="D465"/>
      <c r="E465" t="s">
        <v>8</v>
      </c>
      <c r="DF465" s="27" t="s">
        <v>7</v>
      </c>
      <c r="DG465" s="27" t="s">
        <v>8</v>
      </c>
      <c r="DH465" s="27" t="s">
        <v>7</v>
      </c>
      <c r="DI465" s="27" t="s">
        <v>8</v>
      </c>
      <c r="DJ465" s="27" t="s">
        <v>7</v>
      </c>
    </row>
    <row r="466" spans="1:134" x14ac:dyDescent="0.25">
      <c r="A466" s="7">
        <v>10.980466294885806</v>
      </c>
      <c r="B466"/>
      <c r="C466"/>
      <c r="D466"/>
      <c r="E466" t="s">
        <v>8</v>
      </c>
      <c r="DF466" s="27" t="s">
        <v>7</v>
      </c>
      <c r="DG466" s="27" t="s">
        <v>8</v>
      </c>
      <c r="DH466" s="27" t="s">
        <v>7</v>
      </c>
      <c r="DI466" s="27" t="s">
        <v>8</v>
      </c>
      <c r="DJ466" s="27" t="s">
        <v>7</v>
      </c>
      <c r="DU466" s="27" t="s">
        <v>8</v>
      </c>
    </row>
    <row r="467" spans="1:134" x14ac:dyDescent="0.25">
      <c r="A467" s="7">
        <v>10.765163034201771</v>
      </c>
      <c r="B467"/>
      <c r="C467"/>
      <c r="D467"/>
      <c r="E467" t="s">
        <v>8</v>
      </c>
      <c r="DF467" s="27" t="s">
        <v>7</v>
      </c>
      <c r="DH467" s="27" t="s">
        <v>7</v>
      </c>
      <c r="DI467" s="27" t="s">
        <v>8</v>
      </c>
      <c r="DJ467" s="27" t="s">
        <v>7</v>
      </c>
      <c r="DU467" s="27" t="s">
        <v>8</v>
      </c>
      <c r="DV467" s="27" t="s">
        <v>7</v>
      </c>
    </row>
    <row r="468" spans="1:134" x14ac:dyDescent="0.25">
      <c r="A468" s="7">
        <v>10.554081406080169</v>
      </c>
      <c r="B468"/>
      <c r="C468"/>
      <c r="D468"/>
      <c r="E468" t="s">
        <v>8</v>
      </c>
      <c r="DH468" s="27" t="s">
        <v>7</v>
      </c>
      <c r="DI468" s="27" t="s">
        <v>8</v>
      </c>
      <c r="DJ468" s="27" t="s">
        <v>7</v>
      </c>
      <c r="DU468" s="27" t="s">
        <v>8</v>
      </c>
      <c r="DV468" s="27" t="s">
        <v>7</v>
      </c>
      <c r="DW468" s="27" t="s">
        <v>8</v>
      </c>
    </row>
    <row r="469" spans="1:134" x14ac:dyDescent="0.25">
      <c r="A469" s="7">
        <v>10.34713863341193</v>
      </c>
      <c r="B469"/>
      <c r="C469"/>
      <c r="D469"/>
      <c r="E469" t="s">
        <v>8</v>
      </c>
      <c r="DH469" s="27" t="s">
        <v>7</v>
      </c>
      <c r="DI469" s="27" t="s">
        <v>8</v>
      </c>
      <c r="DJ469" s="27" t="s">
        <v>7</v>
      </c>
      <c r="DU469" s="27" t="s">
        <v>8</v>
      </c>
      <c r="DV469" s="27" t="s">
        <v>7</v>
      </c>
      <c r="DW469" s="27" t="s">
        <v>8</v>
      </c>
      <c r="DX469" s="27" t="s">
        <v>7</v>
      </c>
    </row>
    <row r="470" spans="1:134" x14ac:dyDescent="0.25">
      <c r="A470" s="7">
        <v>10.14425356216856</v>
      </c>
      <c r="B470"/>
      <c r="C470"/>
      <c r="D470"/>
      <c r="E470" t="s">
        <v>8</v>
      </c>
      <c r="DH470" s="27" t="s">
        <v>7</v>
      </c>
      <c r="DI470" s="27" t="s">
        <v>8</v>
      </c>
      <c r="DJ470" s="27" t="s">
        <v>7</v>
      </c>
      <c r="DK470" s="27" t="s">
        <v>8</v>
      </c>
      <c r="DU470" s="27" t="s">
        <v>8</v>
      </c>
      <c r="DV470" s="27" t="s">
        <v>7</v>
      </c>
      <c r="DW470" s="27" t="s">
        <v>8</v>
      </c>
      <c r="DX470" s="27" t="s">
        <v>7</v>
      </c>
    </row>
    <row r="471" spans="1:134" x14ac:dyDescent="0.25">
      <c r="A471" s="7">
        <v>9.9453466295770188</v>
      </c>
      <c r="B471"/>
      <c r="C471"/>
      <c r="D471"/>
      <c r="E471" t="s">
        <v>8</v>
      </c>
      <c r="DH471" s="27" t="s">
        <v>7</v>
      </c>
      <c r="DI471" s="27" t="s">
        <v>8</v>
      </c>
      <c r="DJ471" s="27" t="s">
        <v>7</v>
      </c>
      <c r="DK471" s="27" t="s">
        <v>8</v>
      </c>
      <c r="DL471" s="27" t="s">
        <v>7</v>
      </c>
      <c r="DU471" s="27" t="s">
        <v>8</v>
      </c>
      <c r="DV471" s="27" t="s">
        <v>7</v>
      </c>
      <c r="DW471" s="27" t="s">
        <v>8</v>
      </c>
      <c r="DX471" s="27" t="s">
        <v>7</v>
      </c>
    </row>
    <row r="472" spans="1:134" x14ac:dyDescent="0.25">
      <c r="A472" s="7">
        <v>9.7503398329186464</v>
      </c>
      <c r="B472"/>
      <c r="C472"/>
      <c r="D472"/>
      <c r="E472" t="s">
        <v>8</v>
      </c>
      <c r="DH472" s="27" t="s">
        <v>7</v>
      </c>
      <c r="DI472" s="27" t="s">
        <v>8</v>
      </c>
      <c r="DJ472" s="27" t="s">
        <v>7</v>
      </c>
      <c r="DK472" s="27" t="s">
        <v>8</v>
      </c>
      <c r="DL472" s="27" t="s">
        <v>7</v>
      </c>
      <c r="DU472" s="27" t="s">
        <v>8</v>
      </c>
      <c r="DV472" s="27" t="s">
        <v>7</v>
      </c>
      <c r="DW472" s="27" t="s">
        <v>8</v>
      </c>
      <c r="DX472" s="27" t="s">
        <v>7</v>
      </c>
    </row>
    <row r="473" spans="1:134" x14ac:dyDescent="0.25">
      <c r="A473" s="7">
        <v>9.5591566989398498</v>
      </c>
      <c r="B473"/>
      <c r="C473"/>
      <c r="D473"/>
      <c r="E473" t="s">
        <v>8</v>
      </c>
      <c r="DH473" s="27" t="s">
        <v>7</v>
      </c>
      <c r="DI473" s="27" t="s">
        <v>8</v>
      </c>
      <c r="DJ473" s="27" t="s">
        <v>7</v>
      </c>
      <c r="DK473" s="27" t="s">
        <v>8</v>
      </c>
      <c r="DL473" s="27" t="s">
        <v>7</v>
      </c>
      <c r="DM473" s="27" t="s">
        <v>8</v>
      </c>
      <c r="DS473" s="27" t="s">
        <v>8</v>
      </c>
      <c r="DU473" s="27" t="s">
        <v>8</v>
      </c>
      <c r="DV473" s="27" t="s">
        <v>7</v>
      </c>
      <c r="DX473" s="27" t="s">
        <v>7</v>
      </c>
    </row>
    <row r="474" spans="1:134" x14ac:dyDescent="0.25">
      <c r="A474" s="7">
        <v>9.3717222538625968</v>
      </c>
      <c r="B474"/>
      <c r="C474"/>
      <c r="D474"/>
      <c r="E474" t="s">
        <v>8</v>
      </c>
      <c r="DH474" s="27" t="s">
        <v>7</v>
      </c>
      <c r="DI474" s="27" t="s">
        <v>8</v>
      </c>
      <c r="DJ474" s="27" t="s">
        <v>7</v>
      </c>
      <c r="DK474" s="27" t="s">
        <v>8</v>
      </c>
      <c r="DL474" s="27" t="s">
        <v>7</v>
      </c>
      <c r="DM474" s="27" t="s">
        <v>8</v>
      </c>
      <c r="DN474" s="27" t="s">
        <v>7</v>
      </c>
      <c r="DS474" s="27" t="s">
        <v>8</v>
      </c>
      <c r="DT474" s="27" t="s">
        <v>7</v>
      </c>
      <c r="DU474" s="27" t="s">
        <v>8</v>
      </c>
      <c r="DX474" s="27" t="s">
        <v>7</v>
      </c>
    </row>
    <row r="475" spans="1:134" x14ac:dyDescent="0.25">
      <c r="A475" s="7">
        <v>9.1879629939829375</v>
      </c>
      <c r="B475"/>
      <c r="C475"/>
      <c r="D475"/>
      <c r="E475" t="s">
        <v>8</v>
      </c>
      <c r="DH475" s="27" t="s">
        <v>7</v>
      </c>
      <c r="DI475" s="27" t="s">
        <v>8</v>
      </c>
      <c r="DJ475" s="27" t="s">
        <v>7</v>
      </c>
      <c r="DL475" s="27" t="s">
        <v>7</v>
      </c>
      <c r="DM475" s="27" t="s">
        <v>8</v>
      </c>
      <c r="DN475" s="27" t="s">
        <v>7</v>
      </c>
      <c r="DQ475" s="27" t="s">
        <v>8</v>
      </c>
      <c r="DS475" s="27" t="s">
        <v>8</v>
      </c>
      <c r="DT475" s="27" t="s">
        <v>7</v>
      </c>
      <c r="DU475" s="27" t="s">
        <v>8</v>
      </c>
      <c r="DX475" s="27" t="s">
        <v>7</v>
      </c>
    </row>
    <row r="476" spans="1:134" x14ac:dyDescent="0.25">
      <c r="A476" s="7">
        <v>9.0078068568460168</v>
      </c>
      <c r="B476"/>
      <c r="C476"/>
      <c r="D476"/>
      <c r="E476" t="s">
        <v>8</v>
      </c>
      <c r="DH476" s="27" t="s">
        <v>7</v>
      </c>
      <c r="DI476" s="27" t="s">
        <v>8</v>
      </c>
      <c r="DL476" s="27" t="s">
        <v>7</v>
      </c>
      <c r="DM476" s="27" t="s">
        <v>8</v>
      </c>
      <c r="DN476" s="27" t="s">
        <v>7</v>
      </c>
      <c r="DQ476" s="27" t="s">
        <v>8</v>
      </c>
      <c r="DR476" s="27" t="s">
        <v>7</v>
      </c>
      <c r="DS476" s="27" t="s">
        <v>8</v>
      </c>
      <c r="DT476" s="27" t="s">
        <v>7</v>
      </c>
      <c r="DX476" s="27" t="s">
        <v>7</v>
      </c>
    </row>
    <row r="477" spans="1:134" x14ac:dyDescent="0.25">
      <c r="A477" s="7">
        <v>8.8311831929862912</v>
      </c>
      <c r="B477"/>
      <c r="C477"/>
      <c r="D477"/>
      <c r="E477" t="s">
        <v>8</v>
      </c>
      <c r="DH477" s="27" t="s">
        <v>7</v>
      </c>
      <c r="DI477" s="27" t="s">
        <v>8</v>
      </c>
      <c r="DL477" s="27" t="s">
        <v>7</v>
      </c>
      <c r="DN477" s="27" t="s">
        <v>7</v>
      </c>
      <c r="DO477" s="27" t="s">
        <v>8</v>
      </c>
      <c r="DQ477" s="27" t="s">
        <v>8</v>
      </c>
      <c r="DR477" s="27" t="s">
        <v>7</v>
      </c>
      <c r="DS477" s="27" t="s">
        <v>8</v>
      </c>
      <c r="DX477" s="27" t="s">
        <v>7</v>
      </c>
    </row>
    <row r="478" spans="1:134" x14ac:dyDescent="0.25">
      <c r="A478" s="7">
        <v>8.6580227382218542</v>
      </c>
      <c r="B478"/>
      <c r="C478"/>
      <c r="D478"/>
      <c r="E478" t="s">
        <v>8</v>
      </c>
      <c r="DH478" s="27" t="s">
        <v>7</v>
      </c>
      <c r="DI478" s="27" t="s">
        <v>8</v>
      </c>
      <c r="DN478" s="27" t="s">
        <v>7</v>
      </c>
      <c r="DO478" s="27" t="s">
        <v>8</v>
      </c>
      <c r="DP478" s="27" t="s">
        <v>7</v>
      </c>
      <c r="DQ478" s="27" t="s">
        <v>8</v>
      </c>
      <c r="DR478" s="27" t="s">
        <v>7</v>
      </c>
      <c r="DS478" s="27" t="s">
        <v>8</v>
      </c>
      <c r="DX478" s="27" t="s">
        <v>7</v>
      </c>
      <c r="EC478" s="27" t="s">
        <v>8</v>
      </c>
    </row>
    <row r="479" spans="1:134" x14ac:dyDescent="0.25">
      <c r="A479" s="7">
        <v>8.4882575864920131</v>
      </c>
      <c r="B479"/>
      <c r="C479"/>
      <c r="D479"/>
      <c r="E479" t="s">
        <v>8</v>
      </c>
      <c r="DH479" s="27" t="s">
        <v>7</v>
      </c>
      <c r="DI479" s="27" t="s">
        <v>8</v>
      </c>
      <c r="DN479" s="27" t="s">
        <v>7</v>
      </c>
      <c r="DO479" s="27" t="s">
        <v>8</v>
      </c>
      <c r="DP479" s="27" t="s">
        <v>7</v>
      </c>
      <c r="DQ479" s="27" t="s">
        <v>8</v>
      </c>
      <c r="DR479" s="27" t="s">
        <v>7</v>
      </c>
      <c r="DX479" s="27" t="s">
        <v>7</v>
      </c>
      <c r="DY479" s="27" t="s">
        <v>8</v>
      </c>
      <c r="EC479" s="27" t="s">
        <v>8</v>
      </c>
      <c r="ED479" s="27" t="s">
        <v>7</v>
      </c>
    </row>
    <row r="480" spans="1:134" x14ac:dyDescent="0.25">
      <c r="A480" s="7">
        <v>8.3218211632274635</v>
      </c>
      <c r="B480"/>
      <c r="C480"/>
      <c r="D480"/>
      <c r="E480" t="s">
        <v>8</v>
      </c>
      <c r="DH480" s="27" t="s">
        <v>7</v>
      </c>
      <c r="DI480" s="27" t="s">
        <v>8</v>
      </c>
      <c r="DN480" s="27" t="s">
        <v>7</v>
      </c>
      <c r="DP480" s="27" t="s">
        <v>7</v>
      </c>
      <c r="DQ480" s="27" t="s">
        <v>8</v>
      </c>
      <c r="DX480" s="27" t="s">
        <v>7</v>
      </c>
      <c r="DY480" s="27" t="s">
        <v>8</v>
      </c>
      <c r="DZ480" s="27" t="s">
        <v>7</v>
      </c>
      <c r="EA480" s="27" t="s">
        <v>8</v>
      </c>
      <c r="EC480" s="27" t="s">
        <v>8</v>
      </c>
      <c r="ED480" s="27" t="s">
        <v>7</v>
      </c>
    </row>
    <row r="481" spans="1:135" x14ac:dyDescent="0.25">
      <c r="A481" s="7">
        <v>8.1586481992426112</v>
      </c>
      <c r="B481"/>
      <c r="C481"/>
      <c r="D481"/>
      <c r="E481" t="s">
        <v>8</v>
      </c>
      <c r="DH481" s="27" t="s">
        <v>7</v>
      </c>
      <c r="DP481" s="27" t="s">
        <v>7</v>
      </c>
      <c r="DQ481" s="27" t="s">
        <v>8</v>
      </c>
      <c r="DX481" s="27" t="s">
        <v>7</v>
      </c>
      <c r="DY481" s="27" t="s">
        <v>8</v>
      </c>
      <c r="DZ481" s="27" t="s">
        <v>7</v>
      </c>
      <c r="EA481" s="27" t="s">
        <v>8</v>
      </c>
      <c r="EB481" s="27" t="s">
        <v>7</v>
      </c>
      <c r="EC481" s="27" t="s">
        <v>8</v>
      </c>
      <c r="ED481" s="27" t="s">
        <v>7</v>
      </c>
    </row>
    <row r="482" spans="1:135" x14ac:dyDescent="0.25">
      <c r="A482" s="7">
        <v>7.9986747051398144</v>
      </c>
      <c r="B482"/>
      <c r="C482"/>
      <c r="D482"/>
      <c r="E482" t="s">
        <v>8</v>
      </c>
      <c r="DP482" s="27" t="s">
        <v>7</v>
      </c>
      <c r="DQ482" s="27" t="s">
        <v>8</v>
      </c>
      <c r="DX482" s="27" t="s">
        <v>7</v>
      </c>
      <c r="DZ482" s="27" t="s">
        <v>7</v>
      </c>
      <c r="EA482" s="27" t="s">
        <v>8</v>
      </c>
      <c r="EB482" s="27" t="s">
        <v>7</v>
      </c>
      <c r="EC482" s="27" t="s">
        <v>8</v>
      </c>
      <c r="ED482" s="27" t="s">
        <v>7</v>
      </c>
    </row>
    <row r="483" spans="1:135" x14ac:dyDescent="0.25">
      <c r="A483" s="7">
        <v>7.8418379462155041</v>
      </c>
      <c r="B483"/>
      <c r="C483"/>
      <c r="D483"/>
      <c r="E483" t="s">
        <v>8</v>
      </c>
      <c r="DP483" s="27" t="s">
        <v>7</v>
      </c>
      <c r="DZ483" s="27" t="s">
        <v>7</v>
      </c>
      <c r="EB483" s="27" t="s">
        <v>7</v>
      </c>
      <c r="EC483" s="27" t="s">
        <v>8</v>
      </c>
      <c r="ED483" s="27" t="s">
        <v>7</v>
      </c>
    </row>
    <row r="484" spans="1:135" x14ac:dyDescent="0.25">
      <c r="A484" s="7">
        <v>7.688076417858337</v>
      </c>
      <c r="B484"/>
      <c r="C484"/>
      <c r="D484"/>
      <c r="E484" t="s">
        <v>8</v>
      </c>
      <c r="EB484" s="27" t="s">
        <v>7</v>
      </c>
      <c r="EC484" s="27" t="s">
        <v>8</v>
      </c>
      <c r="ED484" s="27" t="s">
        <v>7</v>
      </c>
    </row>
    <row r="485" spans="1:135" x14ac:dyDescent="0.25">
      <c r="A485" s="7">
        <v>7.5373298214297417</v>
      </c>
      <c r="B485"/>
      <c r="C485"/>
      <c r="D485"/>
      <c r="E485" t="s">
        <v>8</v>
      </c>
      <c r="EB485" s="27" t="s">
        <v>7</v>
      </c>
      <c r="EC485" s="27" t="s">
        <v>8</v>
      </c>
      <c r="ED485" s="27" t="s">
        <v>7</v>
      </c>
    </row>
    <row r="486" spans="1:135" x14ac:dyDescent="0.25">
      <c r="A486" s="7">
        <v>7.389539040617394</v>
      </c>
      <c r="B486"/>
      <c r="C486"/>
      <c r="D486"/>
      <c r="E486" t="s">
        <v>8</v>
      </c>
      <c r="EB486" s="27" t="s">
        <v>7</v>
      </c>
      <c r="ED486" s="27" t="s">
        <v>7</v>
      </c>
    </row>
    <row r="487" spans="1:135" x14ac:dyDescent="0.25">
      <c r="A487" s="7">
        <v>7.2446461182523469</v>
      </c>
      <c r="B487"/>
      <c r="C487"/>
      <c r="D487"/>
      <c r="E487" t="s">
        <v>8</v>
      </c>
      <c r="ED487" s="27" t="s">
        <v>7</v>
      </c>
    </row>
    <row r="488" spans="1:135" x14ac:dyDescent="0.25">
      <c r="A488" s="7">
        <v>7.1025942335807324</v>
      </c>
      <c r="B488"/>
      <c r="C488"/>
      <c r="D488"/>
      <c r="E488" t="s">
        <v>8</v>
      </c>
      <c r="ED488" s="27" t="s">
        <v>7</v>
      </c>
    </row>
    <row r="489" spans="1:135" x14ac:dyDescent="0.25">
      <c r="A489" s="7">
        <v>6.9633276799811101</v>
      </c>
      <c r="B489"/>
      <c r="C489"/>
      <c r="D489"/>
      <c r="E489" t="s">
        <v>8</v>
      </c>
      <c r="ED489" s="27" t="s">
        <v>7</v>
      </c>
    </row>
    <row r="490" spans="1:135" x14ac:dyDescent="0.25">
      <c r="A490" s="7">
        <v>6.8267918431187349</v>
      </c>
      <c r="B490"/>
      <c r="C490"/>
      <c r="D490"/>
      <c r="E490" t="s">
        <v>8</v>
      </c>
      <c r="ED490" s="27" t="s">
        <v>7</v>
      </c>
    </row>
    <row r="491" spans="1:135" x14ac:dyDescent="0.25">
      <c r="A491" s="7">
        <v>6.692933179528171</v>
      </c>
      <c r="B491"/>
      <c r="C491"/>
      <c r="D491"/>
      <c r="E491" t="s">
        <v>8</v>
      </c>
      <c r="ED491" s="27" t="s">
        <v>7</v>
      </c>
    </row>
    <row r="492" spans="1:135" x14ac:dyDescent="0.25">
      <c r="A492" s="7">
        <v>6.5616991956158541</v>
      </c>
      <c r="B492"/>
      <c r="C492"/>
      <c r="D492"/>
      <c r="E492" t="s">
        <v>8</v>
      </c>
      <c r="ED492" s="27" t="s">
        <v>7</v>
      </c>
    </row>
    <row r="493" spans="1:135" x14ac:dyDescent="0.25">
      <c r="A493" s="7">
        <v>6.4330384270743668</v>
      </c>
      <c r="B493"/>
      <c r="C493"/>
      <c r="D493"/>
      <c r="E493" t="s">
        <v>8</v>
      </c>
      <c r="ED493" s="27" t="s">
        <v>7</v>
      </c>
    </row>
    <row r="494" spans="1:135" x14ac:dyDescent="0.25">
      <c r="A494" s="7">
        <v>6.3069004187003594</v>
      </c>
      <c r="B494"/>
      <c r="C494"/>
      <c r="D494"/>
      <c r="E494" t="s">
        <v>8</v>
      </c>
      <c r="ED494" s="27" t="s">
        <v>7</v>
      </c>
    </row>
    <row r="495" spans="1:135" x14ac:dyDescent="0.25">
      <c r="A495" s="7">
        <v>6.1832357046081956</v>
      </c>
      <c r="B495"/>
      <c r="C495"/>
      <c r="D495"/>
      <c r="E495" t="s">
        <v>8</v>
      </c>
      <c r="ED495" s="27" t="s">
        <v>7</v>
      </c>
    </row>
    <row r="496" spans="1:135" x14ac:dyDescent="0.25">
      <c r="A496" s="7">
        <v>6.0619957888315641</v>
      </c>
      <c r="B496"/>
      <c r="C496"/>
      <c r="D496"/>
      <c r="E496" t="s">
        <v>8</v>
      </c>
      <c r="ED496" s="27" t="s">
        <v>7</v>
      </c>
      <c r="EE496" s="27" t="s">
        <v>8</v>
      </c>
    </row>
    <row r="497" spans="1:138" x14ac:dyDescent="0.25">
      <c r="A497" s="7">
        <v>5.9431331263054545</v>
      </c>
      <c r="B497"/>
      <c r="C497"/>
      <c r="D497"/>
      <c r="E497" t="s">
        <v>8</v>
      </c>
      <c r="ED497" s="27" t="s">
        <v>7</v>
      </c>
      <c r="EE497" s="27" t="s">
        <v>8</v>
      </c>
      <c r="EF497" s="27" t="s">
        <v>7</v>
      </c>
    </row>
    <row r="498" spans="1:138" x14ac:dyDescent="0.25">
      <c r="A498" s="7">
        <v>5.8266011042210337</v>
      </c>
      <c r="B498"/>
      <c r="C498"/>
      <c r="D498"/>
      <c r="E498" t="s">
        <v>8</v>
      </c>
      <c r="ED498" s="27" t="s">
        <v>7</v>
      </c>
      <c r="EE498" s="27" t="s">
        <v>8</v>
      </c>
      <c r="EF498" s="27" t="s">
        <v>7</v>
      </c>
      <c r="EG498" s="27" t="s">
        <v>8</v>
      </c>
    </row>
    <row r="499" spans="1:138" x14ac:dyDescent="0.25">
      <c r="A499" s="7">
        <v>5.7123540237461112</v>
      </c>
      <c r="B499"/>
      <c r="C499"/>
      <c r="D499"/>
      <c r="E499" t="s">
        <v>8</v>
      </c>
      <c r="ED499" s="27" t="s">
        <v>7</v>
      </c>
      <c r="EE499" s="27" t="s">
        <v>8</v>
      </c>
      <c r="EF499" s="27" t="s">
        <v>7</v>
      </c>
      <c r="EG499" s="27" t="s">
        <v>8</v>
      </c>
      <c r="EH499" s="27" t="s">
        <v>7</v>
      </c>
    </row>
    <row r="500" spans="1:138" x14ac:dyDescent="0.25">
      <c r="A500" s="7">
        <v>5.6003470821040304</v>
      </c>
      <c r="B500"/>
      <c r="C500"/>
      <c r="D500"/>
      <c r="E500" t="s">
        <v>8</v>
      </c>
      <c r="ED500" s="27" t="s">
        <v>7</v>
      </c>
      <c r="EE500" s="27" t="s">
        <v>8</v>
      </c>
      <c r="EF500" s="27" t="s">
        <v>7</v>
      </c>
      <c r="EG500" s="27" t="s">
        <v>8</v>
      </c>
      <c r="EH500" s="27" t="s">
        <v>7</v>
      </c>
    </row>
    <row r="501" spans="1:138" x14ac:dyDescent="0.25">
      <c r="A501" s="7">
        <v>5.4905363550039512</v>
      </c>
      <c r="B501"/>
      <c r="C501"/>
      <c r="D501"/>
      <c r="E501" t="s">
        <v>8</v>
      </c>
      <c r="ED501" s="27" t="s">
        <v>7</v>
      </c>
      <c r="EF501" s="27" t="s">
        <v>7</v>
      </c>
      <c r="EG501" s="27" t="s">
        <v>8</v>
      </c>
      <c r="EH501" s="27" t="s">
        <v>7</v>
      </c>
    </row>
    <row r="502" spans="1:138" x14ac:dyDescent="0.25">
      <c r="A502" s="7">
        <v>5.3828787794156385</v>
      </c>
      <c r="B502"/>
      <c r="C502"/>
      <c r="D502"/>
      <c r="E502" t="s">
        <v>8</v>
      </c>
      <c r="EF502" s="27" t="s">
        <v>7</v>
      </c>
      <c r="EG502" s="27" t="s">
        <v>8</v>
      </c>
    </row>
    <row r="503" spans="1:138" x14ac:dyDescent="0.25">
      <c r="A503" s="7">
        <v>5.2773321366819985</v>
      </c>
      <c r="B503"/>
      <c r="C503"/>
      <c r="D503"/>
      <c r="E503" t="s">
        <v>8</v>
      </c>
      <c r="EF503" s="27" t="s">
        <v>7</v>
      </c>
      <c r="EG503" s="27" t="s">
        <v>8</v>
      </c>
    </row>
    <row r="504" spans="1:138" x14ac:dyDescent="0.25">
      <c r="A504" s="7">
        <v>5.1738550359627435</v>
      </c>
      <c r="B504"/>
      <c r="C504"/>
      <c r="D504"/>
      <c r="E504" t="s">
        <v>8</v>
      </c>
      <c r="EF504" s="27" t="s">
        <v>7</v>
      </c>
    </row>
    <row r="505" spans="1:138" x14ac:dyDescent="0.25">
      <c r="A505" s="7">
        <v>5.07240689800269</v>
      </c>
      <c r="B505"/>
      <c r="C505"/>
      <c r="D505"/>
      <c r="E505" t="s">
        <v>8</v>
      </c>
    </row>
    <row r="506" spans="1:138" x14ac:dyDescent="0.25">
      <c r="A506" s="7">
        <v>4.9729479392183231</v>
      </c>
      <c r="B506"/>
      <c r="C506"/>
      <c r="D506"/>
      <c r="E506" t="s">
        <v>8</v>
      </c>
    </row>
    <row r="507" spans="1:138" x14ac:dyDescent="0.25">
      <c r="A507" s="7">
        <v>4.8754391560963954</v>
      </c>
      <c r="B507"/>
      <c r="C507"/>
      <c r="D507"/>
      <c r="E507" t="s">
        <v>8</v>
      </c>
    </row>
    <row r="508" spans="1:138" x14ac:dyDescent="0.25">
      <c r="A508" s="7">
        <v>4.7798423098984264</v>
      </c>
      <c r="B508"/>
      <c r="C508"/>
      <c r="D508"/>
      <c r="E508" t="s">
        <v>8</v>
      </c>
    </row>
    <row r="509" spans="1:138" x14ac:dyDescent="0.25">
      <c r="A509" s="7">
        <v>4.6861199116651235</v>
      </c>
      <c r="B509"/>
      <c r="C509"/>
      <c r="D509"/>
      <c r="E509" t="s">
        <v>8</v>
      </c>
    </row>
    <row r="510" spans="1:138" x14ac:dyDescent="0.25">
      <c r="A510" s="7">
        <v>4.5942352075148269</v>
      </c>
      <c r="B510"/>
      <c r="C510"/>
      <c r="D510"/>
      <c r="E510" t="s">
        <v>8</v>
      </c>
    </row>
    <row r="511" spans="1:138" x14ac:dyDescent="0.25">
      <c r="A511" s="7">
        <v>4.5041521642302227</v>
      </c>
      <c r="B511"/>
      <c r="C511"/>
      <c r="D511"/>
      <c r="E511" t="s">
        <v>8</v>
      </c>
    </row>
    <row r="512" spans="1:138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87" operator="equal">
      <formula>$U$1</formula>
    </cfRule>
    <cfRule type="cellIs" dxfId="89" priority="688" operator="equal">
      <formula>$S$1</formula>
    </cfRule>
  </conditionalFormatting>
  <conditionalFormatting sqref="D27">
    <cfRule type="cellIs" dxfId="88" priority="685" operator="equal">
      <formula>$S$1</formula>
    </cfRule>
    <cfRule type="cellIs" dxfId="87" priority="686" operator="equal">
      <formula>$U$1</formula>
    </cfRule>
  </conditionalFormatting>
  <conditionalFormatting sqref="C164">
    <cfRule type="cellIs" dxfId="86" priority="683" operator="equal">
      <formula>$U$1</formula>
    </cfRule>
    <cfRule type="cellIs" dxfId="85" priority="684" operator="equal">
      <formula>$S$1</formula>
    </cfRule>
  </conditionalFormatting>
  <conditionalFormatting sqref="D164">
    <cfRule type="cellIs" dxfId="84" priority="681" operator="equal">
      <formula>$S$1</formula>
    </cfRule>
    <cfRule type="cellIs" dxfId="83" priority="682" operator="equal">
      <formula>$U$1</formula>
    </cfRule>
  </conditionalFormatting>
  <conditionalFormatting sqref="C55">
    <cfRule type="cellIs" dxfId="82" priority="679" operator="equal">
      <formula>$U$1</formula>
    </cfRule>
    <cfRule type="cellIs" dxfId="81" priority="680" operator="equal">
      <formula>$S$1</formula>
    </cfRule>
  </conditionalFormatting>
  <conditionalFormatting sqref="D55">
    <cfRule type="cellIs" dxfId="80" priority="677" operator="equal">
      <formula>$S$1</formula>
    </cfRule>
    <cfRule type="cellIs" dxfId="79" priority="678" operator="equal">
      <formula>$U$1</formula>
    </cfRule>
  </conditionalFormatting>
  <conditionalFormatting sqref="C89">
    <cfRule type="cellIs" dxfId="78" priority="675" operator="equal">
      <formula>$U$1</formula>
    </cfRule>
    <cfRule type="cellIs" dxfId="77" priority="676" operator="equal">
      <formula>$S$1</formula>
    </cfRule>
  </conditionalFormatting>
  <conditionalFormatting sqref="D89">
    <cfRule type="cellIs" dxfId="76" priority="673" operator="equal">
      <formula>$S$1</formula>
    </cfRule>
    <cfRule type="cellIs" dxfId="75" priority="674" operator="equal">
      <formula>$U$1</formula>
    </cfRule>
  </conditionalFormatting>
  <conditionalFormatting sqref="C136">
    <cfRule type="cellIs" dxfId="74" priority="671" operator="equal">
      <formula>$U$1</formula>
    </cfRule>
    <cfRule type="cellIs" dxfId="73" priority="672" operator="equal">
      <formula>$S$1</formula>
    </cfRule>
  </conditionalFormatting>
  <conditionalFormatting sqref="D136">
    <cfRule type="cellIs" dxfId="72" priority="669" operator="equal">
      <formula>$S$1</formula>
    </cfRule>
    <cfRule type="cellIs" dxfId="71" priority="670" operator="equal">
      <formula>$U$1</formula>
    </cfRule>
  </conditionalFormatting>
  <conditionalFormatting sqref="C1">
    <cfRule type="cellIs" dxfId="70" priority="66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Z206" sqref="AZ20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$A$205</v>
      </c>
      <c r="D111" s="1" t="str">
        <f>ADDRESS(C121-1,D121,1,1)</f>
        <v>$AZ$205</v>
      </c>
      <c r="E111"/>
    </row>
    <row r="112" spans="1:5" x14ac:dyDescent="0.25">
      <c r="A112" s="30">
        <v>515.50191262726139</v>
      </c>
      <c r="C112" s="1" t="str">
        <f>ADDRESS(C121,1,1,1)</f>
        <v>$A$206</v>
      </c>
      <c r="D112" s="1" t="str">
        <f>ADDRESS(C121,D121-1,1,1)</f>
        <v>$AY$206</v>
      </c>
      <c r="E112"/>
    </row>
    <row r="113" spans="1:5" x14ac:dyDescent="0.25">
      <c r="A113" s="30">
        <v>490.95420250215363</v>
      </c>
      <c r="C113" s="1" t="str">
        <f>ADDRESS(C121+1,1,1,1)</f>
        <v>$A$207</v>
      </c>
      <c r="D113" s="1" t="str">
        <f>ADDRESS(C121-1,D121+1,1,1)</f>
        <v>$BA$205</v>
      </c>
    </row>
    <row r="114" spans="1:5" x14ac:dyDescent="0.25">
      <c r="A114" s="30">
        <v>467.57543095443202</v>
      </c>
      <c r="C114" s="1" t="str">
        <f>ADDRESS(C121,D121,1,1)</f>
        <v>$AZ$206</v>
      </c>
      <c r="D114" s="1" t="str">
        <f>ADDRESS(C121+1,D121+1,1,1)</f>
        <v>$BA$207</v>
      </c>
    </row>
    <row r="115" spans="1:5" x14ac:dyDescent="0.25">
      <c r="A115" s="30">
        <v>445.30993424231622</v>
      </c>
      <c r="C115" s="1" t="str">
        <f>ADDRESS(C121+1,D121,1,1)</f>
        <v>$AZ$207</v>
      </c>
    </row>
    <row r="116" spans="1:5" x14ac:dyDescent="0.25">
      <c r="A116" s="30">
        <v>424.10469927839637</v>
      </c>
      <c r="C116" s="1">
        <f>C117-1</f>
        <v>205</v>
      </c>
    </row>
    <row r="117" spans="1:5" x14ac:dyDescent="0.25">
      <c r="A117" s="30">
        <v>403.9092374079965</v>
      </c>
      <c r="C117" s="1">
        <f>C121</f>
        <v>206</v>
      </c>
      <c r="D117" s="1">
        <f>D121</f>
        <v>52</v>
      </c>
    </row>
    <row r="118" spans="1:5" x14ac:dyDescent="0.25">
      <c r="A118" s="30">
        <v>384.6754641980919</v>
      </c>
      <c r="C118" s="1">
        <f>C117+1</f>
        <v>207</v>
      </c>
      <c r="D118" s="1">
        <f>D117+1</f>
        <v>53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206</v>
      </c>
      <c r="D121" s="19">
        <v>52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R206</v>
      </c>
      <c r="D123" s="1" t="str">
        <f>"C"&amp;D121</f>
        <v>C52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5.2533479691354827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 t="s">
        <v>8</v>
      </c>
    </row>
    <row r="161" spans="1:42" x14ac:dyDescent="0.25">
      <c r="A161" s="30">
        <v>47.201372444612005</v>
      </c>
      <c r="E161" t="s">
        <v>8</v>
      </c>
      <c r="F161" s="27" t="s">
        <v>7</v>
      </c>
      <c r="G161" s="27" t="s">
        <v>8</v>
      </c>
    </row>
    <row r="162" spans="1:42" x14ac:dyDescent="0.25">
      <c r="A162" s="30">
        <v>44.95368804248762</v>
      </c>
      <c r="E162" t="s">
        <v>8</v>
      </c>
      <c r="F162" s="27" t="s">
        <v>7</v>
      </c>
      <c r="G162" s="27" t="s">
        <v>8</v>
      </c>
      <c r="H162" s="27" t="s">
        <v>7</v>
      </c>
      <c r="I162" s="27" t="s">
        <v>8</v>
      </c>
    </row>
    <row r="163" spans="1:42" x14ac:dyDescent="0.25">
      <c r="A163" s="30">
        <v>42.81303623094059</v>
      </c>
      <c r="E163" t="s">
        <v>8</v>
      </c>
      <c r="F163" s="27" t="s">
        <v>7</v>
      </c>
      <c r="G163" s="27" t="s">
        <v>8</v>
      </c>
      <c r="H163" s="27" t="s">
        <v>7</v>
      </c>
      <c r="I163" s="27" t="s">
        <v>8</v>
      </c>
      <c r="J163" s="27" t="s">
        <v>7</v>
      </c>
      <c r="O163" s="27" t="s">
        <v>8</v>
      </c>
    </row>
    <row r="164" spans="1:42" x14ac:dyDescent="0.25">
      <c r="A164" s="30">
        <v>40.774320219943419</v>
      </c>
      <c r="E164" t="s">
        <v>8</v>
      </c>
      <c r="F164" s="27" t="s">
        <v>7</v>
      </c>
      <c r="G164" s="27" t="s">
        <v>8</v>
      </c>
      <c r="H164" s="27" t="s">
        <v>7</v>
      </c>
      <c r="I164" s="27" t="s">
        <v>8</v>
      </c>
      <c r="J164" s="27" t="s">
        <v>7</v>
      </c>
      <c r="K164" s="27" t="s">
        <v>8</v>
      </c>
      <c r="O164" s="27" t="s">
        <v>8</v>
      </c>
      <c r="P164" s="27" t="s">
        <v>7</v>
      </c>
    </row>
    <row r="165" spans="1:42" x14ac:dyDescent="0.25">
      <c r="A165" s="30">
        <v>38.832685923755633</v>
      </c>
      <c r="E165" t="s">
        <v>8</v>
      </c>
      <c r="F165" s="27" t="s">
        <v>7</v>
      </c>
      <c r="G165" s="27" t="s">
        <v>8</v>
      </c>
      <c r="H165" s="27" t="s">
        <v>7</v>
      </c>
      <c r="J165" s="27" t="s">
        <v>7</v>
      </c>
      <c r="K165" s="27" t="s">
        <v>8</v>
      </c>
      <c r="L165" s="27" t="s">
        <v>7</v>
      </c>
      <c r="M165" s="27" t="s">
        <v>8</v>
      </c>
      <c r="O165" s="27" t="s">
        <v>8</v>
      </c>
      <c r="P165" s="27" t="s">
        <v>7</v>
      </c>
    </row>
    <row r="166" spans="1:42" x14ac:dyDescent="0.25">
      <c r="A166" s="30">
        <v>36.983510403576794</v>
      </c>
      <c r="E166" t="s">
        <v>8</v>
      </c>
      <c r="F166" s="27" t="s">
        <v>7</v>
      </c>
      <c r="G166" s="27" t="s">
        <v>8</v>
      </c>
      <c r="J166" s="27" t="s">
        <v>7</v>
      </c>
      <c r="K166" s="27" t="s">
        <v>8</v>
      </c>
      <c r="L166" s="27" t="s">
        <v>7</v>
      </c>
      <c r="M166" s="27" t="s">
        <v>8</v>
      </c>
      <c r="N166" s="27" t="s">
        <v>7</v>
      </c>
      <c r="O166" s="27" t="s">
        <v>8</v>
      </c>
      <c r="P166" s="27" t="s">
        <v>7</v>
      </c>
    </row>
    <row r="167" spans="1:42" x14ac:dyDescent="0.25">
      <c r="A167" s="30">
        <v>35.222390860549325</v>
      </c>
      <c r="E167" t="s">
        <v>8</v>
      </c>
      <c r="F167" s="27" t="s">
        <v>7</v>
      </c>
      <c r="G167" s="27" t="s">
        <v>8</v>
      </c>
      <c r="J167" s="27" t="s">
        <v>7</v>
      </c>
      <c r="L167" s="27" t="s">
        <v>7</v>
      </c>
      <c r="M167" s="27" t="s">
        <v>8</v>
      </c>
      <c r="N167" s="27" t="s">
        <v>7</v>
      </c>
      <c r="O167" s="27" t="s">
        <v>8</v>
      </c>
      <c r="P167" s="27" t="s">
        <v>7</v>
      </c>
    </row>
    <row r="168" spans="1:42" x14ac:dyDescent="0.25">
      <c r="A168" s="30">
        <v>33.545134152904119</v>
      </c>
      <c r="E168" t="s">
        <v>8</v>
      </c>
      <c r="F168" s="27" t="s">
        <v>7</v>
      </c>
      <c r="G168" s="27" t="s">
        <v>8</v>
      </c>
      <c r="L168" s="27" t="s">
        <v>7</v>
      </c>
      <c r="M168" s="27" t="s">
        <v>8</v>
      </c>
      <c r="N168" s="27" t="s">
        <v>7</v>
      </c>
      <c r="O168" s="27" t="s">
        <v>8</v>
      </c>
      <c r="P168" s="27" t="s">
        <v>7</v>
      </c>
      <c r="Q168" s="27" t="s">
        <v>8</v>
      </c>
    </row>
    <row r="169" spans="1:42" x14ac:dyDescent="0.25">
      <c r="A169" s="30">
        <v>31.947746812289637</v>
      </c>
      <c r="E169" t="s">
        <v>8</v>
      </c>
      <c r="F169" s="27" t="s">
        <v>7</v>
      </c>
      <c r="G169" s="27" t="s">
        <v>8</v>
      </c>
      <c r="L169" s="27" t="s">
        <v>7</v>
      </c>
      <c r="M169" s="27" t="s">
        <v>8</v>
      </c>
      <c r="N169" s="27" t="s">
        <v>7</v>
      </c>
      <c r="O169" s="27" t="s">
        <v>8</v>
      </c>
      <c r="P169" s="27" t="s">
        <v>7</v>
      </c>
      <c r="Q169" s="27" t="s">
        <v>8</v>
      </c>
      <c r="R169" s="27" t="s">
        <v>7</v>
      </c>
    </row>
    <row r="170" spans="1:42" x14ac:dyDescent="0.25">
      <c r="A170" s="30">
        <v>30.426425535513939</v>
      </c>
      <c r="E170" t="s">
        <v>8</v>
      </c>
      <c r="F170" s="27" t="s">
        <v>7</v>
      </c>
      <c r="L170" s="27" t="s">
        <v>7</v>
      </c>
      <c r="M170" s="27" t="s">
        <v>8</v>
      </c>
      <c r="N170" s="27" t="s">
        <v>7</v>
      </c>
      <c r="O170" s="27" t="s">
        <v>8</v>
      </c>
      <c r="P170" s="27" t="s">
        <v>7</v>
      </c>
      <c r="Q170" s="27" t="s">
        <v>8</v>
      </c>
      <c r="R170" s="27" t="s">
        <v>7</v>
      </c>
    </row>
    <row r="171" spans="1:42" x14ac:dyDescent="0.25">
      <c r="A171" s="30">
        <v>28.977548129060892</v>
      </c>
      <c r="E171" t="s">
        <v>8</v>
      </c>
      <c r="L171" s="27" t="s">
        <v>7</v>
      </c>
      <c r="M171" s="27" t="s">
        <v>8</v>
      </c>
      <c r="N171" s="27" t="s">
        <v>7</v>
      </c>
      <c r="O171" s="27" t="s">
        <v>8</v>
      </c>
      <c r="P171" s="27" t="s">
        <v>7</v>
      </c>
      <c r="Q171" s="27" t="s">
        <v>8</v>
      </c>
      <c r="R171" s="27" t="s">
        <v>7</v>
      </c>
      <c r="AK171" s="27" t="s">
        <v>8</v>
      </c>
    </row>
    <row r="172" spans="1:42" x14ac:dyDescent="0.25">
      <c r="A172" s="30">
        <v>27.597664884819896</v>
      </c>
      <c r="E172" t="s">
        <v>8</v>
      </c>
      <c r="L172" s="27" t="s">
        <v>7</v>
      </c>
      <c r="N172" s="27" t="s">
        <v>7</v>
      </c>
      <c r="O172" s="27" t="s">
        <v>8</v>
      </c>
      <c r="P172" s="27" t="s">
        <v>7</v>
      </c>
      <c r="Q172" s="27" t="s">
        <v>8</v>
      </c>
      <c r="R172" s="27" t="s">
        <v>7</v>
      </c>
      <c r="AK172" s="27" t="s">
        <v>8</v>
      </c>
      <c r="AL172" s="27" t="s">
        <v>7</v>
      </c>
    </row>
    <row r="173" spans="1:42" x14ac:dyDescent="0.25">
      <c r="A173" s="30">
        <v>26.283490366495137</v>
      </c>
      <c r="E173" t="s">
        <v>8</v>
      </c>
      <c r="N173" s="27" t="s">
        <v>7</v>
      </c>
      <c r="P173" s="27" t="s">
        <v>7</v>
      </c>
      <c r="R173" s="27" t="s">
        <v>7</v>
      </c>
      <c r="S173" s="27" t="s">
        <v>8</v>
      </c>
      <c r="AK173" s="27" t="s">
        <v>8</v>
      </c>
      <c r="AL173" s="27" t="s">
        <v>7</v>
      </c>
    </row>
    <row r="174" spans="1:42" x14ac:dyDescent="0.25">
      <c r="A174" s="30">
        <v>25.031895587138223</v>
      </c>
      <c r="E174" t="s">
        <v>8</v>
      </c>
      <c r="R174" s="27" t="s">
        <v>7</v>
      </c>
      <c r="S174" s="27" t="s">
        <v>8</v>
      </c>
      <c r="T174" s="27" t="s">
        <v>7</v>
      </c>
      <c r="AK174" s="27" t="s">
        <v>8</v>
      </c>
      <c r="AL174" s="27" t="s">
        <v>7</v>
      </c>
    </row>
    <row r="175" spans="1:42" x14ac:dyDescent="0.25">
      <c r="A175" s="30">
        <v>23.839900559179259</v>
      </c>
      <c r="E175" t="s">
        <v>8</v>
      </c>
      <c r="R175" s="27" t="s">
        <v>7</v>
      </c>
      <c r="S175" s="27" t="s">
        <v>8</v>
      </c>
      <c r="T175" s="27" t="s">
        <v>7</v>
      </c>
      <c r="U175" s="27" t="s">
        <v>8</v>
      </c>
      <c r="AI175" s="27" t="s">
        <v>8</v>
      </c>
      <c r="AK175" s="27" t="s">
        <v>8</v>
      </c>
      <c r="AL175" s="27" t="s">
        <v>7</v>
      </c>
      <c r="AO175" s="27" t="s">
        <v>8</v>
      </c>
    </row>
    <row r="176" spans="1:42" x14ac:dyDescent="0.25">
      <c r="A176" s="30">
        <v>22.704667199218342</v>
      </c>
      <c r="E176" t="s">
        <v>8</v>
      </c>
      <c r="R176" s="27" t="s">
        <v>7</v>
      </c>
      <c r="S176" s="27" t="s">
        <v>8</v>
      </c>
      <c r="T176" s="27" t="s">
        <v>7</v>
      </c>
      <c r="U176" s="27" t="s">
        <v>8</v>
      </c>
      <c r="V176" s="27" t="s">
        <v>7</v>
      </c>
      <c r="AI176" s="27" t="s">
        <v>8</v>
      </c>
      <c r="AJ176" s="27" t="s">
        <v>7</v>
      </c>
      <c r="AK176" s="27" t="s">
        <v>8</v>
      </c>
      <c r="AL176" s="27" t="s">
        <v>7</v>
      </c>
      <c r="AO176" s="27" t="s">
        <v>8</v>
      </c>
      <c r="AP176" s="27" t="s">
        <v>7</v>
      </c>
    </row>
    <row r="177" spans="1:50" x14ac:dyDescent="0.25">
      <c r="A177" s="30">
        <v>21.623492570684135</v>
      </c>
      <c r="E177" t="s">
        <v>8</v>
      </c>
      <c r="R177" s="27" t="s">
        <v>7</v>
      </c>
      <c r="S177" s="27" t="s">
        <v>8</v>
      </c>
      <c r="T177" s="27" t="s">
        <v>7</v>
      </c>
      <c r="U177" s="27" t="s">
        <v>8</v>
      </c>
      <c r="V177" s="27" t="s">
        <v>7</v>
      </c>
      <c r="AA177" s="27" t="s">
        <v>8</v>
      </c>
      <c r="AI177" s="27" t="s">
        <v>8</v>
      </c>
      <c r="AJ177" s="27" t="s">
        <v>7</v>
      </c>
      <c r="AK177" s="27" t="s">
        <v>8</v>
      </c>
      <c r="AL177" s="27" t="s">
        <v>7</v>
      </c>
      <c r="AO177" s="27" t="s">
        <v>8</v>
      </c>
      <c r="AP177" s="27" t="s">
        <v>7</v>
      </c>
    </row>
    <row r="178" spans="1:50" x14ac:dyDescent="0.25">
      <c r="A178" s="30">
        <v>20.593802448270605</v>
      </c>
      <c r="C178" s="7"/>
      <c r="D178"/>
      <c r="E178" t="s">
        <v>8</v>
      </c>
      <c r="R178" s="27" t="s">
        <v>7</v>
      </c>
      <c r="S178" s="27" t="s">
        <v>8</v>
      </c>
      <c r="T178" s="27" t="s">
        <v>7</v>
      </c>
      <c r="U178" s="27" t="s">
        <v>8</v>
      </c>
      <c r="V178" s="27" t="s">
        <v>7</v>
      </c>
      <c r="AA178" s="27" t="s">
        <v>8</v>
      </c>
      <c r="AB178" s="27" t="s">
        <v>7</v>
      </c>
      <c r="AC178" s="27" t="s">
        <v>8</v>
      </c>
      <c r="AI178" s="27" t="s">
        <v>8</v>
      </c>
      <c r="AJ178" s="27" t="s">
        <v>7</v>
      </c>
      <c r="AL178" s="27" t="s">
        <v>7</v>
      </c>
      <c r="AM178" s="27" t="s">
        <v>8</v>
      </c>
      <c r="AO178" s="27" t="s">
        <v>8</v>
      </c>
      <c r="AP178" s="27" t="s">
        <v>7</v>
      </c>
    </row>
    <row r="179" spans="1:50" x14ac:dyDescent="0.25">
      <c r="A179" s="30">
        <v>19.613145188829147</v>
      </c>
      <c r="E179" t="s">
        <v>8</v>
      </c>
      <c r="R179" s="27" t="s">
        <v>7</v>
      </c>
      <c r="S179" s="27" t="s">
        <v>8</v>
      </c>
      <c r="T179" s="27" t="s">
        <v>7</v>
      </c>
      <c r="U179" s="27" t="s">
        <v>8</v>
      </c>
      <c r="V179" s="27" t="s">
        <v>7</v>
      </c>
      <c r="Y179" s="27" t="s">
        <v>8</v>
      </c>
      <c r="AA179" s="27" t="s">
        <v>8</v>
      </c>
      <c r="AB179" s="27" t="s">
        <v>7</v>
      </c>
      <c r="AC179" s="27" t="s">
        <v>8</v>
      </c>
      <c r="AD179" s="27" t="s">
        <v>7</v>
      </c>
      <c r="AI179" s="27" t="s">
        <v>8</v>
      </c>
      <c r="AL179" s="27" t="s">
        <v>7</v>
      </c>
      <c r="AM179" s="27" t="s">
        <v>8</v>
      </c>
      <c r="AN179" s="27" t="s">
        <v>7</v>
      </c>
      <c r="AO179" s="27" t="s">
        <v>8</v>
      </c>
      <c r="AP179" s="27" t="s">
        <v>7</v>
      </c>
      <c r="AQ179" s="27" t="s">
        <v>8</v>
      </c>
    </row>
    <row r="180" spans="1:50" x14ac:dyDescent="0.25">
      <c r="A180" s="30">
        <v>18.679185894122998</v>
      </c>
      <c r="E180" t="s">
        <v>8</v>
      </c>
      <c r="R180" s="27" t="s">
        <v>7</v>
      </c>
      <c r="S180" s="27" t="s">
        <v>8</v>
      </c>
      <c r="T180" s="27" t="s">
        <v>7</v>
      </c>
      <c r="U180" s="27" t="s">
        <v>8</v>
      </c>
      <c r="V180" s="27" t="s">
        <v>7</v>
      </c>
      <c r="W180" s="27" t="s">
        <v>8</v>
      </c>
      <c r="Y180" s="27" t="s">
        <v>8</v>
      </c>
      <c r="Z180" s="27" t="s">
        <v>7</v>
      </c>
      <c r="AA180" s="27" t="s">
        <v>8</v>
      </c>
      <c r="AB180" s="27" t="s">
        <v>7</v>
      </c>
      <c r="AC180" s="27" t="s">
        <v>8</v>
      </c>
      <c r="AD180" s="27" t="s">
        <v>7</v>
      </c>
      <c r="AE180" s="27" t="s">
        <v>8</v>
      </c>
      <c r="AI180" s="27" t="s">
        <v>8</v>
      </c>
      <c r="AL180" s="27" t="s">
        <v>7</v>
      </c>
      <c r="AM180" s="27" t="s">
        <v>8</v>
      </c>
      <c r="AN180" s="27" t="s">
        <v>7</v>
      </c>
      <c r="AO180" s="27" t="s">
        <v>8</v>
      </c>
      <c r="AP180" s="27" t="s">
        <v>7</v>
      </c>
      <c r="AQ180" s="27" t="s">
        <v>8</v>
      </c>
      <c r="AR180" s="27" t="s">
        <v>7</v>
      </c>
    </row>
    <row r="181" spans="1:50" x14ac:dyDescent="0.25">
      <c r="A181" s="30">
        <v>17.78970085154571</v>
      </c>
      <c r="C181"/>
      <c r="D181"/>
      <c r="E181" t="s">
        <v>8</v>
      </c>
      <c r="R181" s="27" t="s">
        <v>7</v>
      </c>
      <c r="S181" s="27" t="s">
        <v>8</v>
      </c>
      <c r="T181" s="27" t="s">
        <v>7</v>
      </c>
      <c r="U181" s="27" t="s">
        <v>8</v>
      </c>
      <c r="V181" s="27" t="s">
        <v>7</v>
      </c>
      <c r="W181" s="27" t="s">
        <v>8</v>
      </c>
      <c r="X181" s="27" t="s">
        <v>7</v>
      </c>
      <c r="Y181" s="27" t="s">
        <v>8</v>
      </c>
      <c r="Z181" s="27" t="s">
        <v>7</v>
      </c>
      <c r="AA181" s="27" t="s">
        <v>8</v>
      </c>
      <c r="AB181" s="27" t="s">
        <v>7</v>
      </c>
      <c r="AC181" s="27" t="s">
        <v>8</v>
      </c>
      <c r="AD181" s="27" t="s">
        <v>7</v>
      </c>
      <c r="AE181" s="27" t="s">
        <v>8</v>
      </c>
      <c r="AF181" s="27" t="s">
        <v>7</v>
      </c>
      <c r="AI181" s="18" t="s">
        <v>8</v>
      </c>
      <c r="AL181" s="27" t="s">
        <v>7</v>
      </c>
      <c r="AM181" s="27" t="s">
        <v>8</v>
      </c>
      <c r="AN181" s="27" t="s">
        <v>7</v>
      </c>
      <c r="AO181" s="27" t="s">
        <v>8</v>
      </c>
      <c r="AP181" s="27" t="s">
        <v>7</v>
      </c>
      <c r="AQ181" s="27" t="s">
        <v>8</v>
      </c>
      <c r="AR181" s="27" t="s">
        <v>7</v>
      </c>
    </row>
    <row r="182" spans="1:50" x14ac:dyDescent="0.25">
      <c r="A182" s="30">
        <v>16.942572239567344</v>
      </c>
      <c r="E182" t="s">
        <v>8</v>
      </c>
      <c r="R182" s="27" t="s">
        <v>7</v>
      </c>
      <c r="T182" s="27" t="s">
        <v>7</v>
      </c>
      <c r="U182" s="27" t="s">
        <v>8</v>
      </c>
      <c r="V182" s="27" t="s">
        <v>7</v>
      </c>
      <c r="W182" s="27" t="s">
        <v>8</v>
      </c>
      <c r="X182" s="27" t="s">
        <v>7</v>
      </c>
      <c r="Y182" s="27" t="s">
        <v>8</v>
      </c>
      <c r="Z182" s="27" t="s">
        <v>7</v>
      </c>
      <c r="AA182" s="27" t="s">
        <v>8</v>
      </c>
      <c r="AB182" s="27" t="s">
        <v>7</v>
      </c>
      <c r="AC182" s="27" t="s">
        <v>8</v>
      </c>
      <c r="AD182" s="27" t="s">
        <v>7</v>
      </c>
      <c r="AE182" s="27" t="s">
        <v>8</v>
      </c>
      <c r="AF182" s="27" t="s">
        <v>7</v>
      </c>
      <c r="AI182" s="27" t="s">
        <v>8</v>
      </c>
      <c r="AL182" s="27" t="s">
        <v>7</v>
      </c>
      <c r="AN182" s="27" t="s">
        <v>7</v>
      </c>
      <c r="AO182" s="27" t="s">
        <v>8</v>
      </c>
      <c r="AP182" s="27" t="s">
        <v>7</v>
      </c>
      <c r="AQ182" s="27" t="s">
        <v>8</v>
      </c>
      <c r="AR182" s="27" t="s">
        <v>7</v>
      </c>
      <c r="AS182" s="27" t="s">
        <v>8</v>
      </c>
    </row>
    <row r="183" spans="1:50" x14ac:dyDescent="0.25">
      <c r="A183" s="30">
        <v>16.135783085302233</v>
      </c>
      <c r="E183" t="s">
        <v>8</v>
      </c>
      <c r="T183" s="27" t="s">
        <v>7</v>
      </c>
      <c r="U183" s="27" t="s">
        <v>8</v>
      </c>
      <c r="V183" s="27" t="s">
        <v>7</v>
      </c>
      <c r="W183" s="27" t="s">
        <v>8</v>
      </c>
      <c r="X183" s="27" t="s">
        <v>7</v>
      </c>
      <c r="Z183" s="27" t="s">
        <v>7</v>
      </c>
      <c r="AB183" s="27" t="s">
        <v>7</v>
      </c>
      <c r="AC183" s="27" t="s">
        <v>8</v>
      </c>
      <c r="AD183" s="27" t="s">
        <v>7</v>
      </c>
      <c r="AF183" s="27" t="s">
        <v>7</v>
      </c>
      <c r="AI183" s="27" t="s">
        <v>8</v>
      </c>
      <c r="AN183" s="27" t="s">
        <v>7</v>
      </c>
      <c r="AO183" s="27" t="s">
        <v>8</v>
      </c>
      <c r="AP183" s="27" t="s">
        <v>7</v>
      </c>
      <c r="AR183" s="27" t="s">
        <v>7</v>
      </c>
      <c r="AS183" s="27" t="s">
        <v>8</v>
      </c>
      <c r="AT183" s="27" t="s">
        <v>7</v>
      </c>
    </row>
    <row r="184" spans="1:50" x14ac:dyDescent="0.25">
      <c r="A184" s="30">
        <v>15.367412462192602</v>
      </c>
      <c r="E184" t="s">
        <v>8</v>
      </c>
      <c r="T184" s="27" t="s">
        <v>7</v>
      </c>
      <c r="U184" s="27" t="s">
        <v>8</v>
      </c>
      <c r="V184" s="27" t="s">
        <v>7</v>
      </c>
      <c r="AB184" s="27" t="s">
        <v>7</v>
      </c>
      <c r="AC184" s="27" t="s">
        <v>8</v>
      </c>
      <c r="AF184" s="27" t="s">
        <v>7</v>
      </c>
      <c r="AG184" s="27" t="s">
        <v>8</v>
      </c>
      <c r="AI184" s="27" t="s">
        <v>8</v>
      </c>
      <c r="AN184" s="27" t="s">
        <v>7</v>
      </c>
      <c r="AR184" s="27" t="s">
        <v>7</v>
      </c>
      <c r="AS184" s="27" t="s">
        <v>8</v>
      </c>
      <c r="AT184" s="27" t="s">
        <v>7</v>
      </c>
    </row>
    <row r="185" spans="1:50" x14ac:dyDescent="0.25">
      <c r="A185" s="30">
        <v>14.635630916373906</v>
      </c>
      <c r="C185"/>
      <c r="E185" t="s">
        <v>8</v>
      </c>
      <c r="T185" s="27" t="s">
        <v>7</v>
      </c>
      <c r="U185" s="27" t="s">
        <v>8</v>
      </c>
      <c r="AB185" s="27" t="s">
        <v>7</v>
      </c>
      <c r="AF185" s="27" t="s">
        <v>7</v>
      </c>
      <c r="AG185" s="27" t="s">
        <v>8</v>
      </c>
      <c r="AH185" s="27" t="s">
        <v>7</v>
      </c>
      <c r="AI185" s="27" t="s">
        <v>8</v>
      </c>
      <c r="AR185" s="27" t="s">
        <v>7</v>
      </c>
      <c r="AT185" s="27" t="s">
        <v>7</v>
      </c>
    </row>
    <row r="186" spans="1:50" x14ac:dyDescent="0.25">
      <c r="A186" s="30">
        <v>13.938696110832291</v>
      </c>
      <c r="E186" t="s">
        <v>8</v>
      </c>
      <c r="T186" s="27" t="s">
        <v>7</v>
      </c>
      <c r="U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  <c r="AT186" s="27" t="s">
        <v>7</v>
      </c>
    </row>
    <row r="187" spans="1:50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T187" s="27" t="s">
        <v>7</v>
      </c>
      <c r="U187" s="27" t="s">
        <v>8</v>
      </c>
      <c r="AF187" s="27" t="s">
        <v>7</v>
      </c>
      <c r="AG187" s="27" t="s">
        <v>8</v>
      </c>
      <c r="AH187" s="27" t="s">
        <v>7</v>
      </c>
      <c r="AT187" s="27" t="s">
        <v>7</v>
      </c>
    </row>
    <row r="188" spans="1:50" x14ac:dyDescent="0.25">
      <c r="A188" s="30">
        <v>12.64280826379346</v>
      </c>
      <c r="E188" t="s">
        <v>8</v>
      </c>
      <c r="T188" s="27" t="s">
        <v>7</v>
      </c>
      <c r="U188" s="27" t="s">
        <v>8</v>
      </c>
      <c r="AF188" s="27" t="s">
        <v>7</v>
      </c>
      <c r="AT188" s="27" t="s">
        <v>7</v>
      </c>
      <c r="AU188" s="27" t="s">
        <v>8</v>
      </c>
    </row>
    <row r="189" spans="1:50" x14ac:dyDescent="0.25">
      <c r="A189" s="30">
        <v>12.04076977504139</v>
      </c>
      <c r="E189" t="s">
        <v>8</v>
      </c>
      <c r="T189" s="27" t="s">
        <v>7</v>
      </c>
      <c r="AT189" s="27" t="s">
        <v>7</v>
      </c>
      <c r="AU189" s="27" t="s">
        <v>8</v>
      </c>
      <c r="AV189" s="27" t="s">
        <v>7</v>
      </c>
    </row>
    <row r="190" spans="1:50" x14ac:dyDescent="0.25">
      <c r="A190" s="30">
        <v>11.467399785753704</v>
      </c>
      <c r="E190" t="s">
        <v>8</v>
      </c>
      <c r="AT190" s="27" t="s">
        <v>7</v>
      </c>
      <c r="AU190" s="27" t="s">
        <v>8</v>
      </c>
      <c r="AV190" s="27" t="s">
        <v>7</v>
      </c>
    </row>
    <row r="191" spans="1:50" x14ac:dyDescent="0.25">
      <c r="A191" s="30">
        <v>10.921333129289241</v>
      </c>
      <c r="E191" t="s">
        <v>8</v>
      </c>
      <c r="AT191" s="27" t="s">
        <v>7</v>
      </c>
      <c r="AU191" s="27" t="s">
        <v>8</v>
      </c>
      <c r="AV191" s="27" t="s">
        <v>7</v>
      </c>
      <c r="AW191" s="27" t="s">
        <v>8</v>
      </c>
    </row>
    <row r="192" spans="1:50" x14ac:dyDescent="0.25">
      <c r="A192" s="30">
        <v>10.401269646942135</v>
      </c>
      <c r="E192" t="s">
        <v>8</v>
      </c>
      <c r="AT192" s="27" t="s">
        <v>7</v>
      </c>
      <c r="AU192" s="27" t="s">
        <v>8</v>
      </c>
      <c r="AV192" s="27" t="s">
        <v>7</v>
      </c>
      <c r="AW192" s="27" t="s">
        <v>8</v>
      </c>
      <c r="AX192" s="27" t="s">
        <v>7</v>
      </c>
    </row>
    <row r="193" spans="1:52" x14ac:dyDescent="0.25">
      <c r="A193" s="30">
        <v>9.9059710923258422</v>
      </c>
      <c r="E193" t="s">
        <v>8</v>
      </c>
      <c r="AT193" s="27" t="s">
        <v>7</v>
      </c>
      <c r="AU193" s="27" t="s">
        <v>8</v>
      </c>
      <c r="AV193" s="27" t="s">
        <v>7</v>
      </c>
      <c r="AW193" s="27" t="s">
        <v>8</v>
      </c>
      <c r="AX193" s="27" t="s">
        <v>7</v>
      </c>
    </row>
    <row r="194" spans="1:52" x14ac:dyDescent="0.25">
      <c r="A194" s="30">
        <v>9.4342581831674686</v>
      </c>
      <c r="E194" t="s">
        <v>8</v>
      </c>
      <c r="AT194" s="27" t="s">
        <v>7</v>
      </c>
      <c r="AU194" s="27" t="s">
        <v>8</v>
      </c>
      <c r="AV194" s="27" t="s">
        <v>7</v>
      </c>
      <c r="AW194" s="27" t="s">
        <v>8</v>
      </c>
      <c r="AX194" s="27" t="s">
        <v>7</v>
      </c>
    </row>
    <row r="195" spans="1:52" x14ac:dyDescent="0.25">
      <c r="A195" s="30">
        <v>8.9850077934928265</v>
      </c>
      <c r="E195" t="s">
        <v>8</v>
      </c>
      <c r="AT195" s="27" t="s">
        <v>7</v>
      </c>
      <c r="AU195" s="27" t="s">
        <v>8</v>
      </c>
      <c r="AV195" s="27" t="s">
        <v>7</v>
      </c>
      <c r="AW195" s="27" t="s">
        <v>8</v>
      </c>
      <c r="AX195" s="27" t="s">
        <v>7</v>
      </c>
    </row>
    <row r="196" spans="1:52" x14ac:dyDescent="0.25">
      <c r="A196" s="30">
        <v>8.5571502795169767</v>
      </c>
      <c r="E196" t="s">
        <v>8</v>
      </c>
      <c r="AT196" s="27" t="s">
        <v>7</v>
      </c>
      <c r="AU196" s="27" t="s">
        <v>8</v>
      </c>
      <c r="AV196" s="27" t="s">
        <v>7</v>
      </c>
      <c r="AW196" s="27" t="s">
        <v>8</v>
      </c>
      <c r="AX196" s="27" t="s">
        <v>7</v>
      </c>
      <c r="AY196" s="27" t="s">
        <v>8</v>
      </c>
    </row>
    <row r="197" spans="1:52" x14ac:dyDescent="0.25">
      <c r="A197" s="30">
        <v>8.1496669328733109</v>
      </c>
      <c r="E197" t="s">
        <v>8</v>
      </c>
      <c r="AT197" s="27" t="s">
        <v>7</v>
      </c>
      <c r="AV197" s="27" t="s">
        <v>7</v>
      </c>
      <c r="AW197" s="27" t="s">
        <v>8</v>
      </c>
      <c r="AX197" s="27" t="s">
        <v>7</v>
      </c>
      <c r="AY197" s="27" t="s">
        <v>8</v>
      </c>
      <c r="AZ197" s="27" t="s">
        <v>7</v>
      </c>
    </row>
    <row r="198" spans="1:52" x14ac:dyDescent="0.25">
      <c r="A198" s="30">
        <v>7.7615875551174378</v>
      </c>
      <c r="E198" t="s">
        <v>8</v>
      </c>
      <c r="AV198" s="27" t="s">
        <v>7</v>
      </c>
      <c r="AX198" s="27" t="s">
        <v>7</v>
      </c>
      <c r="AY198" s="27" t="s">
        <v>8</v>
      </c>
      <c r="AZ198" s="27" t="s">
        <v>7</v>
      </c>
    </row>
    <row r="199" spans="1:52" x14ac:dyDescent="0.25">
      <c r="A199" s="30">
        <v>7.3919881477308929</v>
      </c>
      <c r="E199" t="s">
        <v>8</v>
      </c>
      <c r="AX199" s="27" t="s">
        <v>7</v>
      </c>
      <c r="AZ199" s="27" t="s">
        <v>7</v>
      </c>
    </row>
    <row r="200" spans="1:52" x14ac:dyDescent="0.25">
      <c r="A200" s="30">
        <v>7.0399887121246598</v>
      </c>
      <c r="E200" t="s">
        <v>8</v>
      </c>
      <c r="AZ200" s="27" t="s">
        <v>7</v>
      </c>
    </row>
    <row r="201" spans="1:52" x14ac:dyDescent="0.25">
      <c r="A201" s="30">
        <v>6.7047511544044376</v>
      </c>
      <c r="E201" t="s">
        <v>8</v>
      </c>
      <c r="AZ201" s="27" t="s">
        <v>7</v>
      </c>
    </row>
    <row r="202" spans="1:52" x14ac:dyDescent="0.25">
      <c r="A202" s="30">
        <v>6.3854772899089882</v>
      </c>
      <c r="E202" t="s">
        <v>8</v>
      </c>
      <c r="AZ202" s="27" t="s">
        <v>7</v>
      </c>
    </row>
    <row r="203" spans="1:52" x14ac:dyDescent="0.25">
      <c r="A203" s="30">
        <v>6.0814069427704647</v>
      </c>
      <c r="C203" s="7"/>
      <c r="D203"/>
      <c r="E203" t="s">
        <v>8</v>
      </c>
      <c r="AZ203" s="27" t="s">
        <v>7</v>
      </c>
    </row>
    <row r="204" spans="1:52" x14ac:dyDescent="0.25">
      <c r="A204" s="30">
        <v>5.7918161359718709</v>
      </c>
      <c r="E204" t="s">
        <v>8</v>
      </c>
      <c r="AZ204" s="27" t="s">
        <v>7</v>
      </c>
    </row>
    <row r="205" spans="1:52" x14ac:dyDescent="0.25">
      <c r="A205" s="30">
        <v>5.5160153675922574</v>
      </c>
      <c r="E205" t="s">
        <v>8</v>
      </c>
      <c r="AZ205" s="27" t="s">
        <v>7</v>
      </c>
    </row>
    <row r="206" spans="1:52" x14ac:dyDescent="0.25">
      <c r="A206" s="30">
        <v>5.2533479691354827</v>
      </c>
      <c r="C206"/>
      <c r="D206"/>
      <c r="E206" t="s">
        <v>8</v>
      </c>
      <c r="AZ206" s="27" t="s">
        <v>7</v>
      </c>
    </row>
    <row r="207" spans="1:52" x14ac:dyDescent="0.25">
      <c r="A207" s="30">
        <v>5.0031885420337927</v>
      </c>
      <c r="E207" t="s">
        <v>8</v>
      </c>
    </row>
    <row r="208" spans="1:52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02" operator="equal">
      <formula>$U$1</formula>
    </cfRule>
    <cfRule type="cellIs" dxfId="67" priority="703" operator="equal">
      <formula>$S$1</formula>
    </cfRule>
  </conditionalFormatting>
  <conditionalFormatting sqref="D136">
    <cfRule type="cellIs" dxfId="66" priority="700" operator="equal">
      <formula>$S$1</formula>
    </cfRule>
    <cfRule type="cellIs" dxfId="65" priority="701" operator="equal">
      <formula>$U$1</formula>
    </cfRule>
  </conditionalFormatting>
  <conditionalFormatting sqref="C162">
    <cfRule type="cellIs" dxfId="64" priority="698" operator="equal">
      <formula>$U$1</formula>
    </cfRule>
    <cfRule type="cellIs" dxfId="63" priority="699" operator="equal">
      <formula>$S$1</formula>
    </cfRule>
  </conditionalFormatting>
  <conditionalFormatting sqref="D162">
    <cfRule type="cellIs" dxfId="62" priority="696" operator="equal">
      <formula>$S$1</formula>
    </cfRule>
    <cfRule type="cellIs" dxfId="61" priority="697" operator="equal">
      <formula>$U$1</formula>
    </cfRule>
  </conditionalFormatting>
  <conditionalFormatting sqref="C187">
    <cfRule type="cellIs" dxfId="60" priority="694" operator="equal">
      <formula>$U$1</formula>
    </cfRule>
    <cfRule type="cellIs" dxfId="59" priority="695" operator="equal">
      <formula>$S$1</formula>
    </cfRule>
  </conditionalFormatting>
  <conditionalFormatting sqref="D187">
    <cfRule type="cellIs" dxfId="58" priority="692" operator="equal">
      <formula>$S$1</formula>
    </cfRule>
    <cfRule type="cellIs" dxfId="57" priority="693" operator="equal">
      <formula>$U$1</formula>
    </cfRule>
  </conditionalFormatting>
  <conditionalFormatting sqref="C212">
    <cfRule type="cellIs" dxfId="56" priority="690" operator="equal">
      <formula>$U$1</formula>
    </cfRule>
    <cfRule type="cellIs" dxfId="55" priority="691" operator="equal">
      <formula>$S$1</formula>
    </cfRule>
  </conditionalFormatting>
  <conditionalFormatting sqref="D212">
    <cfRule type="cellIs" dxfId="54" priority="688" operator="equal">
      <formula>$S$1</formula>
    </cfRule>
    <cfRule type="cellIs" dxfId="53" priority="689" operator="equal">
      <formula>$U$1</formula>
    </cfRule>
  </conditionalFormatting>
  <conditionalFormatting sqref="C237">
    <cfRule type="cellIs" dxfId="52" priority="686" operator="equal">
      <formula>$U$1</formula>
    </cfRule>
    <cfRule type="cellIs" dxfId="51" priority="687" operator="equal">
      <formula>$S$1</formula>
    </cfRule>
  </conditionalFormatting>
  <conditionalFormatting sqref="D237">
    <cfRule type="cellIs" dxfId="50" priority="684" operator="equal">
      <formula>$S$1</formula>
    </cfRule>
    <cfRule type="cellIs" dxfId="49" priority="685" operator="equal">
      <formula>$U$1</formula>
    </cfRule>
  </conditionalFormatting>
  <conditionalFormatting sqref="C106">
    <cfRule type="cellIs" dxfId="48" priority="682" operator="equal">
      <formula>$U$1</formula>
    </cfRule>
    <cfRule type="cellIs" dxfId="47" priority="683" operator="equal">
      <formula>$S$1</formula>
    </cfRule>
  </conditionalFormatting>
  <conditionalFormatting sqref="D106">
    <cfRule type="cellIs" dxfId="46" priority="680" operator="equal">
      <formula>$S$1</formula>
    </cfRule>
    <cfRule type="cellIs" dxfId="45" priority="681" operator="equal">
      <formula>$U$1</formula>
    </cfRule>
  </conditionalFormatting>
  <conditionalFormatting sqref="C81">
    <cfRule type="cellIs" dxfId="44" priority="678" operator="equal">
      <formula>$U$1</formula>
    </cfRule>
    <cfRule type="cellIs" dxfId="43" priority="679" operator="equal">
      <formula>$S$1</formula>
    </cfRule>
  </conditionalFormatting>
  <conditionalFormatting sqref="D81">
    <cfRule type="cellIs" dxfId="42" priority="676" operator="equal">
      <formula>$S$1</formula>
    </cfRule>
    <cfRule type="cellIs" dxfId="41" priority="677" operator="equal">
      <formula>$U$1</formula>
    </cfRule>
  </conditionalFormatting>
  <conditionalFormatting sqref="C56">
    <cfRule type="cellIs" dxfId="40" priority="674" operator="equal">
      <formula>$U$1</formula>
    </cfRule>
    <cfRule type="cellIs" dxfId="39" priority="675" operator="equal">
      <formula>$S$1</formula>
    </cfRule>
  </conditionalFormatting>
  <conditionalFormatting sqref="D56">
    <cfRule type="cellIs" dxfId="38" priority="672" operator="equal">
      <formula>$S$1</formula>
    </cfRule>
    <cfRule type="cellIs" dxfId="37" priority="673" operator="equal">
      <formula>$U$1</formula>
    </cfRule>
  </conditionalFormatting>
  <conditionalFormatting sqref="C31">
    <cfRule type="cellIs" dxfId="36" priority="670" operator="equal">
      <formula>$U$1</formula>
    </cfRule>
    <cfRule type="cellIs" dxfId="35" priority="671" operator="equal">
      <formula>$S$1</formula>
    </cfRule>
  </conditionalFormatting>
  <conditionalFormatting sqref="D31">
    <cfRule type="cellIs" dxfId="34" priority="668" operator="equal">
      <formula>$S$1</formula>
    </cfRule>
    <cfRule type="cellIs" dxfId="33" priority="66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B103" sqref="AB10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 t="s">
        <v>8</v>
      </c>
    </row>
    <row r="81" spans="1:27" x14ac:dyDescent="0.25">
      <c r="A81" s="30">
        <v>45.259255568176073</v>
      </c>
      <c r="E81" t="s">
        <v>8</v>
      </c>
      <c r="F81" s="27" t="s">
        <v>7</v>
      </c>
      <c r="G81" s="27" t="s">
        <v>8</v>
      </c>
    </row>
    <row r="82" spans="1:27" x14ac:dyDescent="0.25">
      <c r="A82" s="30">
        <v>41.144777789250973</v>
      </c>
      <c r="E82" t="s">
        <v>8</v>
      </c>
      <c r="F82" s="27" t="s">
        <v>7</v>
      </c>
      <c r="G82" s="27" t="s">
        <v>8</v>
      </c>
      <c r="H82" s="27" t="s">
        <v>7</v>
      </c>
      <c r="K82" s="27" t="s">
        <v>8</v>
      </c>
    </row>
    <row r="83" spans="1:27" x14ac:dyDescent="0.25">
      <c r="A83" s="30">
        <v>37.404343444773609</v>
      </c>
      <c r="E83" t="s">
        <v>8</v>
      </c>
      <c r="F83" s="27" t="s">
        <v>7</v>
      </c>
      <c r="G83" s="27" t="s">
        <v>8</v>
      </c>
      <c r="H83" s="27" t="s">
        <v>7</v>
      </c>
      <c r="I83" s="27" t="s">
        <v>8</v>
      </c>
      <c r="K83" s="27" t="s">
        <v>8</v>
      </c>
      <c r="L83" s="27" t="s">
        <v>7</v>
      </c>
    </row>
    <row r="84" spans="1:27" x14ac:dyDescent="0.25">
      <c r="A84" s="30">
        <v>34.003948586157826</v>
      </c>
      <c r="E84" t="s">
        <v>8</v>
      </c>
      <c r="F84" s="27" t="s">
        <v>7</v>
      </c>
      <c r="G84" s="27" t="s">
        <v>8</v>
      </c>
      <c r="H84" s="27" t="s">
        <v>7</v>
      </c>
      <c r="I84" s="27" t="s">
        <v>8</v>
      </c>
      <c r="J84" s="27" t="s">
        <v>7</v>
      </c>
      <c r="K84" s="27" t="s">
        <v>8</v>
      </c>
      <c r="L84" s="27" t="s">
        <v>7</v>
      </c>
    </row>
    <row r="85" spans="1:27" x14ac:dyDescent="0.25">
      <c r="A85" s="30">
        <v>30.912680532870748</v>
      </c>
      <c r="E85" t="s">
        <v>8</v>
      </c>
      <c r="F85" s="27" t="s">
        <v>7</v>
      </c>
      <c r="H85" s="27" t="s">
        <v>7</v>
      </c>
      <c r="I85" s="27" t="s">
        <v>8</v>
      </c>
      <c r="J85" s="27" t="s">
        <v>7</v>
      </c>
      <c r="K85" s="27" t="s">
        <v>8</v>
      </c>
      <c r="L85" s="27" t="s">
        <v>7</v>
      </c>
    </row>
    <row r="86" spans="1:27" x14ac:dyDescent="0.25">
      <c r="A86" s="30">
        <v>28.102436848064315</v>
      </c>
      <c r="E86" t="s">
        <v>8</v>
      </c>
      <c r="H86" s="27" t="s">
        <v>7</v>
      </c>
      <c r="J86" s="27" t="s">
        <v>7</v>
      </c>
      <c r="L86" s="27" t="s">
        <v>7</v>
      </c>
      <c r="U86" s="27" t="s">
        <v>8</v>
      </c>
    </row>
    <row r="87" spans="1:27" x14ac:dyDescent="0.25">
      <c r="A87" s="30">
        <v>25.547669861876649</v>
      </c>
      <c r="E87" t="s">
        <v>8</v>
      </c>
      <c r="L87" s="27" t="s">
        <v>7</v>
      </c>
      <c r="M87" s="27" t="s">
        <v>8</v>
      </c>
      <c r="U87" s="27" t="s">
        <v>8</v>
      </c>
      <c r="V87" s="27" t="s">
        <v>7</v>
      </c>
    </row>
    <row r="88" spans="1:27" x14ac:dyDescent="0.25">
      <c r="A88" s="30">
        <v>23.225154419887861</v>
      </c>
      <c r="E88" t="s">
        <v>8</v>
      </c>
      <c r="L88" s="27" t="s">
        <v>7</v>
      </c>
      <c r="M88" s="27" t="s">
        <v>8</v>
      </c>
      <c r="N88" s="27" t="s">
        <v>7</v>
      </c>
      <c r="O88" s="27" t="s">
        <v>8</v>
      </c>
      <c r="U88" s="27" t="s">
        <v>8</v>
      </c>
      <c r="V88" s="27" t="s">
        <v>7</v>
      </c>
      <c r="W88" s="27" t="s">
        <v>8</v>
      </c>
    </row>
    <row r="89" spans="1:27" x14ac:dyDescent="0.25">
      <c r="A89" s="30">
        <v>21.113776745352599</v>
      </c>
      <c r="E89" t="s">
        <v>8</v>
      </c>
      <c r="L89" s="27" t="s">
        <v>7</v>
      </c>
      <c r="M89" s="27" t="s">
        <v>8</v>
      </c>
      <c r="N89" s="27" t="s">
        <v>7</v>
      </c>
      <c r="O89" s="27" t="s">
        <v>8</v>
      </c>
      <c r="P89" s="27" t="s">
        <v>7</v>
      </c>
      <c r="Q89" s="27" t="s">
        <v>8</v>
      </c>
      <c r="S89" s="27" t="s">
        <v>8</v>
      </c>
      <c r="U89" s="27" t="s">
        <v>8</v>
      </c>
      <c r="V89" s="27" t="s">
        <v>7</v>
      </c>
      <c r="W89" s="27" t="s">
        <v>8</v>
      </c>
      <c r="X89" s="27" t="s">
        <v>7</v>
      </c>
    </row>
    <row r="90" spans="1:27" x14ac:dyDescent="0.25">
      <c r="A90" s="30">
        <v>19.194342495775089</v>
      </c>
      <c r="E90" t="s">
        <v>8</v>
      </c>
      <c r="L90" s="27" t="s">
        <v>7</v>
      </c>
      <c r="M90" s="27" t="s">
        <v>8</v>
      </c>
      <c r="N90" s="27" t="s">
        <v>7</v>
      </c>
      <c r="O90" s="27" t="s">
        <v>8</v>
      </c>
      <c r="P90" s="27" t="s">
        <v>7</v>
      </c>
      <c r="Q90" s="27" t="s">
        <v>8</v>
      </c>
      <c r="R90" s="27" t="s">
        <v>7</v>
      </c>
      <c r="S90" s="27" t="s">
        <v>8</v>
      </c>
      <c r="T90" s="27" t="s">
        <v>7</v>
      </c>
      <c r="U90" s="27" t="s">
        <v>8</v>
      </c>
      <c r="V90" s="27" t="s">
        <v>7</v>
      </c>
      <c r="W90" s="27" t="s">
        <v>8</v>
      </c>
      <c r="X90" s="27" t="s">
        <v>7</v>
      </c>
    </row>
    <row r="91" spans="1:27" x14ac:dyDescent="0.25">
      <c r="A91" s="30">
        <v>17.449402268886445</v>
      </c>
      <c r="E91" t="s">
        <v>8</v>
      </c>
      <c r="L91" s="27" t="s">
        <v>7</v>
      </c>
      <c r="N91" s="27" t="s">
        <v>7</v>
      </c>
      <c r="O91" s="27" t="s">
        <v>8</v>
      </c>
      <c r="P91" s="27" t="s">
        <v>7</v>
      </c>
      <c r="Q91" s="27" t="s">
        <v>8</v>
      </c>
      <c r="R91" s="27" t="s">
        <v>7</v>
      </c>
      <c r="S91" s="27" t="s">
        <v>8</v>
      </c>
      <c r="T91" s="27" t="s">
        <v>7</v>
      </c>
      <c r="U91" s="18" t="s">
        <v>8</v>
      </c>
      <c r="V91" s="27" t="s">
        <v>7</v>
      </c>
      <c r="W91" s="27" t="s">
        <v>8</v>
      </c>
      <c r="X91" s="27" t="s">
        <v>7</v>
      </c>
    </row>
    <row r="92" spans="1:27" x14ac:dyDescent="0.25">
      <c r="A92" s="30">
        <v>15.863092971714948</v>
      </c>
      <c r="C92" s="1" t="s">
        <v>15</v>
      </c>
      <c r="E92" t="s">
        <v>8</v>
      </c>
      <c r="N92" s="27" t="s">
        <v>7</v>
      </c>
      <c r="O92" s="27" t="s">
        <v>8</v>
      </c>
      <c r="P92" s="27" t="s">
        <v>7</v>
      </c>
      <c r="R92" s="27" t="s">
        <v>7</v>
      </c>
      <c r="S92" s="27" t="s">
        <v>8</v>
      </c>
      <c r="T92" s="27" t="s">
        <v>7</v>
      </c>
      <c r="U92" s="27" t="s">
        <v>8</v>
      </c>
      <c r="V92" s="27" t="s">
        <v>7</v>
      </c>
      <c r="X92" s="27" t="s">
        <v>7</v>
      </c>
    </row>
    <row r="93" spans="1:27" x14ac:dyDescent="0.25">
      <c r="A93" s="30">
        <v>14.420993610649951</v>
      </c>
      <c r="C93" s="7">
        <v>0.11167815779424731</v>
      </c>
      <c r="D93"/>
      <c r="E93" t="s">
        <v>8</v>
      </c>
      <c r="N93" s="27" t="s">
        <v>7</v>
      </c>
      <c r="O93" s="27" t="s">
        <v>8</v>
      </c>
      <c r="R93" s="27" t="s">
        <v>7</v>
      </c>
      <c r="T93" s="27" t="s">
        <v>7</v>
      </c>
      <c r="U93" s="27" t="s">
        <v>8</v>
      </c>
      <c r="X93" s="27" t="s">
        <v>7</v>
      </c>
    </row>
    <row r="94" spans="1:27" x14ac:dyDescent="0.25">
      <c r="A94" s="30">
        <v>13.109994191499954</v>
      </c>
      <c r="E94" t="s">
        <v>8</v>
      </c>
      <c r="N94" s="27" t="s">
        <v>7</v>
      </c>
      <c r="O94" s="27" t="s">
        <v>8</v>
      </c>
      <c r="T94" s="27" t="s">
        <v>7</v>
      </c>
      <c r="X94" s="27" t="s">
        <v>7</v>
      </c>
    </row>
    <row r="95" spans="1:27" x14ac:dyDescent="0.25">
      <c r="A95" s="30">
        <v>11.918176537727231</v>
      </c>
      <c r="C95" s="1" t="s">
        <v>11</v>
      </c>
      <c r="D95" s="1" t="s">
        <v>12</v>
      </c>
      <c r="E95" t="s">
        <v>8</v>
      </c>
      <c r="N95" s="27" t="s">
        <v>7</v>
      </c>
      <c r="X95" s="27" t="s">
        <v>7</v>
      </c>
      <c r="Y95" s="27" t="s">
        <v>8</v>
      </c>
    </row>
    <row r="96" spans="1:27" x14ac:dyDescent="0.25">
      <c r="A96" s="30">
        <v>10.834705943388391</v>
      </c>
      <c r="C96"/>
      <c r="D96"/>
      <c r="E96" t="s">
        <v>8</v>
      </c>
      <c r="X96" s="27" t="s">
        <v>7</v>
      </c>
      <c r="Y96" s="27" t="s">
        <v>8</v>
      </c>
      <c r="Z96" s="27" t="s">
        <v>7</v>
      </c>
      <c r="AA96" s="27" t="s">
        <v>8</v>
      </c>
    </row>
    <row r="97" spans="1:28" x14ac:dyDescent="0.25">
      <c r="A97" s="30">
        <v>9.849732675807628</v>
      </c>
      <c r="E97" t="s">
        <v>8</v>
      </c>
      <c r="X97" s="27" t="s">
        <v>7</v>
      </c>
      <c r="Y97" s="27" t="s">
        <v>8</v>
      </c>
      <c r="Z97" s="27" t="s">
        <v>7</v>
      </c>
      <c r="AA97" s="27" t="s">
        <v>8</v>
      </c>
      <c r="AB97" s="27" t="s">
        <v>7</v>
      </c>
    </row>
    <row r="98" spans="1:28" x14ac:dyDescent="0.25">
      <c r="A98" s="30">
        <v>8.9543024325523888</v>
      </c>
      <c r="C98" s="1" t="s">
        <v>13</v>
      </c>
      <c r="E98" t="s">
        <v>8</v>
      </c>
      <c r="X98" s="27" t="s">
        <v>7</v>
      </c>
      <c r="Y98" s="27" t="s">
        <v>8</v>
      </c>
      <c r="Z98" s="27" t="s">
        <v>7</v>
      </c>
      <c r="AA98" s="27" t="s">
        <v>8</v>
      </c>
      <c r="AB98" s="27" t="s">
        <v>7</v>
      </c>
    </row>
    <row r="99" spans="1:28" x14ac:dyDescent="0.25">
      <c r="A99" s="30">
        <v>8.140274938683989</v>
      </c>
      <c r="C99" s="1">
        <f>C88</f>
        <v>0</v>
      </c>
      <c r="E99" t="s">
        <v>8</v>
      </c>
      <c r="X99" s="27" t="s">
        <v>7</v>
      </c>
      <c r="Z99" s="27" t="s">
        <v>7</v>
      </c>
      <c r="AB99" s="27" t="s">
        <v>7</v>
      </c>
    </row>
    <row r="100" spans="1:28" x14ac:dyDescent="0.25">
      <c r="A100" s="30">
        <v>7.4002499442581717</v>
      </c>
      <c r="C100"/>
      <c r="D100"/>
      <c r="E100" t="s">
        <v>8</v>
      </c>
      <c r="AB100" s="27" t="s">
        <v>7</v>
      </c>
    </row>
    <row r="101" spans="1:28" x14ac:dyDescent="0.25">
      <c r="A101" s="30">
        <v>6.72749994932561</v>
      </c>
      <c r="C101" s="1" t="s">
        <v>14</v>
      </c>
      <c r="E101" t="s">
        <v>8</v>
      </c>
      <c r="AB101" s="27" t="s">
        <v>7</v>
      </c>
    </row>
    <row r="102" spans="1:2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AB102" s="27" t="s">
        <v>7</v>
      </c>
    </row>
    <row r="103" spans="1:28" x14ac:dyDescent="0.25">
      <c r="A103" s="30">
        <v>5.5599173134922388</v>
      </c>
      <c r="E103" t="s">
        <v>8</v>
      </c>
      <c r="AB103" s="27" t="s">
        <v>7</v>
      </c>
    </row>
    <row r="104" spans="1:28" x14ac:dyDescent="0.25">
      <c r="A104" s="30">
        <v>5.0544702849929442</v>
      </c>
      <c r="E104" t="s">
        <v>8</v>
      </c>
    </row>
    <row r="105" spans="1:28" x14ac:dyDescent="0.25">
      <c r="A105" s="30">
        <v>4.594972986357222</v>
      </c>
      <c r="E105" t="s">
        <v>8</v>
      </c>
    </row>
    <row r="106" spans="1:28" x14ac:dyDescent="0.25">
      <c r="A106" s="30">
        <v>4.1772481694156562</v>
      </c>
      <c r="E106" t="s">
        <v>8</v>
      </c>
    </row>
    <row r="107" spans="1:28" x14ac:dyDescent="0.25">
      <c r="A107" s="30">
        <v>3.7974983358324148</v>
      </c>
      <c r="E107" t="s">
        <v>8</v>
      </c>
    </row>
    <row r="108" spans="1:28" x14ac:dyDescent="0.25">
      <c r="A108" s="30">
        <v>3.4522712143931042</v>
      </c>
      <c r="E108" t="s">
        <v>8</v>
      </c>
    </row>
    <row r="109" spans="1:28" x14ac:dyDescent="0.25">
      <c r="A109" s="30">
        <v>3.1384283767210035</v>
      </c>
      <c r="E109" t="s">
        <v>8</v>
      </c>
    </row>
    <row r="110" spans="1:28" x14ac:dyDescent="0.25">
      <c r="A110" s="30">
        <v>2.8531167061100029</v>
      </c>
      <c r="E110" t="s">
        <v>8</v>
      </c>
    </row>
    <row r="111" spans="1:28" x14ac:dyDescent="0.25">
      <c r="A111" s="30">
        <v>2.5937424601000023</v>
      </c>
      <c r="C111" s="1" t="str">
        <f>ADDRESS(C121-1,1,1,1)</f>
        <v>$A$102</v>
      </c>
      <c r="D111" s="1" t="str">
        <f>ADDRESS(C121-1,D121,1,1)</f>
        <v>$AB$102</v>
      </c>
      <c r="E111" t="s">
        <v>8</v>
      </c>
    </row>
    <row r="112" spans="1:28" x14ac:dyDescent="0.25">
      <c r="A112" s="30">
        <v>2.3579476910000019</v>
      </c>
      <c r="C112" s="1" t="str">
        <f>ADDRESS(C121,1,1,1)</f>
        <v>$A$103</v>
      </c>
      <c r="D112" s="1" t="str">
        <f>ADDRESS(C121,D121-1,1,1)</f>
        <v>$AA$103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$A$104</v>
      </c>
      <c r="D113" s="1" t="str">
        <f>ADDRESS(C121-1,D121+1,1,1)</f>
        <v>$AC$102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$AB$103</v>
      </c>
      <c r="D114" s="1" t="str">
        <f>ADDRESS(C121+1,D121+1,1,1)</f>
        <v>$AC$104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$AB$104</v>
      </c>
      <c r="E115" s="1" t="s">
        <v>8</v>
      </c>
    </row>
    <row r="116" spans="1:5" x14ac:dyDescent="0.25">
      <c r="A116" s="30">
        <v>1.6105100000000008</v>
      </c>
      <c r="C116" s="1">
        <f>C117-1</f>
        <v>102</v>
      </c>
      <c r="E116" s="1" t="s">
        <v>8</v>
      </c>
    </row>
    <row r="117" spans="1:5" x14ac:dyDescent="0.25">
      <c r="A117" s="30">
        <v>1.4641000000000006</v>
      </c>
      <c r="C117" s="1">
        <f>C121</f>
        <v>103</v>
      </c>
      <c r="D117" s="1">
        <f>D121</f>
        <v>28</v>
      </c>
      <c r="E117" s="1" t="s">
        <v>8</v>
      </c>
    </row>
    <row r="118" spans="1:5" x14ac:dyDescent="0.25">
      <c r="A118" s="30">
        <v>1.3310000000000004</v>
      </c>
      <c r="C118" s="1">
        <f>C117+1</f>
        <v>104</v>
      </c>
      <c r="D118" s="1">
        <f>D117+1</f>
        <v>29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103</v>
      </c>
      <c r="D121" s="19">
        <v>28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R103</v>
      </c>
      <c r="D123" s="1" t="str">
        <f>"C"&amp;D121</f>
        <v>C28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5.5599173134922388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86" operator="equal">
      <formula>$U$1</formula>
    </cfRule>
    <cfRule type="cellIs" dxfId="30" priority="687" operator="equal">
      <formula>$S$1</formula>
    </cfRule>
  </conditionalFormatting>
  <conditionalFormatting sqref="D136">
    <cfRule type="cellIs" dxfId="29" priority="684" operator="equal">
      <formula>$S$1</formula>
    </cfRule>
    <cfRule type="cellIs" dxfId="28" priority="685" operator="equal">
      <formula>$U$1</formula>
    </cfRule>
  </conditionalFormatting>
  <conditionalFormatting sqref="C102">
    <cfRule type="cellIs" dxfId="27" priority="682" operator="equal">
      <formula>$U$1</formula>
    </cfRule>
    <cfRule type="cellIs" dxfId="26" priority="683" operator="equal">
      <formula>$S$1</formula>
    </cfRule>
  </conditionalFormatting>
  <conditionalFormatting sqref="D102">
    <cfRule type="cellIs" dxfId="25" priority="680" operator="equal">
      <formula>$S$1</formula>
    </cfRule>
    <cfRule type="cellIs" dxfId="24" priority="681" operator="equal">
      <formula>$U$1</formula>
    </cfRule>
  </conditionalFormatting>
  <conditionalFormatting sqref="C77">
    <cfRule type="cellIs" dxfId="23" priority="678" operator="equal">
      <formula>$U$1</formula>
    </cfRule>
    <cfRule type="cellIs" dxfId="22" priority="679" operator="equal">
      <formula>$S$1</formula>
    </cfRule>
  </conditionalFormatting>
  <conditionalFormatting sqref="D77">
    <cfRule type="cellIs" dxfId="21" priority="676" operator="equal">
      <formula>$S$1</formula>
    </cfRule>
    <cfRule type="cellIs" dxfId="20" priority="677" operator="equal">
      <formula>$U$1</formula>
    </cfRule>
  </conditionalFormatting>
  <conditionalFormatting sqref="C52">
    <cfRule type="cellIs" dxfId="19" priority="674" operator="equal">
      <formula>$U$1</formula>
    </cfRule>
    <cfRule type="cellIs" dxfId="18" priority="675" operator="equal">
      <formula>$S$1</formula>
    </cfRule>
  </conditionalFormatting>
  <conditionalFormatting sqref="D52">
    <cfRule type="cellIs" dxfId="17" priority="672" operator="equal">
      <formula>$S$1</formula>
    </cfRule>
    <cfRule type="cellIs" dxfId="16" priority="673" operator="equal">
      <formula>$U$1</formula>
    </cfRule>
  </conditionalFormatting>
  <conditionalFormatting sqref="C26">
    <cfRule type="cellIs" dxfId="15" priority="670" operator="equal">
      <formula>$U$1</formula>
    </cfRule>
    <cfRule type="cellIs" dxfId="14" priority="671" operator="equal">
      <formula>$S$1</formula>
    </cfRule>
  </conditionalFormatting>
  <conditionalFormatting sqref="D26">
    <cfRule type="cellIs" dxfId="13" priority="668" operator="equal">
      <formula>$S$1</formula>
    </cfRule>
    <cfRule type="cellIs" dxfId="12" priority="66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2022-01-28T01:14:14Z</dcterms:modified>
</cp:coreProperties>
</file>