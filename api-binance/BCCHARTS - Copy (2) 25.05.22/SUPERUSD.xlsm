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4856E6F-5AE3-4BE3-AFD0-BBA8333B7DA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8" i="5"/>
  <c r="C122" i="5"/>
  <c r="C133" i="5" s="1"/>
  <c r="C2" i="1" l="1"/>
  <c r="D2" i="1"/>
  <c r="C116" i="4"/>
  <c r="C122" i="4"/>
  <c r="C133" i="4" s="1"/>
  <c r="C136" i="4" s="1"/>
  <c r="D136" i="5"/>
  <c r="C136" i="5"/>
  <c r="C116" i="3"/>
  <c r="C122" i="3"/>
  <c r="C133" i="3" s="1"/>
  <c r="D136" i="3" s="1"/>
  <c r="R765" i="1"/>
  <c r="D136" i="4" l="1"/>
  <c r="C138" i="4" s="1"/>
  <c r="C138" i="5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<sst xmlns="http://schemas.openxmlformats.org/spreadsheetml/2006/main" count="4468" uniqueCount="34">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</sst>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0.65239999999999998</c:v>
                </c:pt>
                <c:pt idx="1">
                  <c:v>0.66859999999999997</c:v>
                </c:pt>
                <c:pt idx="2">
                  <c:v>0.67120000000000002</c:v>
                </c:pt>
                <c:pt idx="3">
                  <c:v>0.66539999999999999</c:v>
                </c:pt>
                <c:pt idx="4">
                  <c:v>0.66049999999999998</c:v>
                </c:pt>
                <c:pt idx="5">
                  <c:v>0.63119999999999998</c:v>
                </c:pt>
                <c:pt idx="6">
                  <c:v>0.73270000000000002</c:v>
                </c:pt>
                <c:pt idx="7">
                  <c:v>0.88490000000000002</c:v>
                </c:pt>
                <c:pt idx="8">
                  <c:v>0.93489999999999995</c:v>
                </c:pt>
                <c:pt idx="9">
                  <c:v>0.98550000000000004</c:v>
                </c:pt>
                <c:pt idx="10">
                  <c:v>1.0115000000000001</c:v>
                </c:pt>
                <c:pt idx="11">
                  <c:v>1.0861000000000001</c:v>
                </c:pt>
                <c:pt idx="12">
                  <c:v>1.1216999999999999</c:v>
                </c:pt>
                <c:pt idx="13">
                  <c:v>1.0900000000000001</c:v>
                </c:pt>
                <c:pt idx="14">
                  <c:v>1.0879000000000001</c:v>
                </c:pt>
                <c:pt idx="15">
                  <c:v>1.1634</c:v>
                </c:pt>
                <c:pt idx="16">
                  <c:v>0.96730000000000005</c:v>
                </c:pt>
                <c:pt idx="17">
                  <c:v>0.93789999999999996</c:v>
                </c:pt>
                <c:pt idx="18">
                  <c:v>1.0138</c:v>
                </c:pt>
                <c:pt idx="19">
                  <c:v>1.0103</c:v>
                </c:pt>
                <c:pt idx="20">
                  <c:v>1.0094000000000001</c:v>
                </c:pt>
                <c:pt idx="21">
                  <c:v>1.1162000000000001</c:v>
                </c:pt>
                <c:pt idx="22">
                  <c:v>1.1125</c:v>
                </c:pt>
                <c:pt idx="23">
                  <c:v>1.1398999999999999</c:v>
                </c:pt>
                <c:pt idx="24">
                  <c:v>1.1463000000000001</c:v>
                </c:pt>
                <c:pt idx="25">
                  <c:v>1.1609</c:v>
                </c:pt>
                <c:pt idx="26">
                  <c:v>1.1706000000000001</c:v>
                </c:pt>
                <c:pt idx="27">
                  <c:v>1.1339999999999999</c:v>
                </c:pt>
                <c:pt idx="28">
                  <c:v>1.1282000000000001</c:v>
                </c:pt>
                <c:pt idx="29">
                  <c:v>1.1287</c:v>
                </c:pt>
                <c:pt idx="30">
                  <c:v>1.1780999999999999</c:v>
                </c:pt>
                <c:pt idx="31">
                  <c:v>1.321</c:v>
                </c:pt>
                <c:pt idx="32">
                  <c:v>1.2735000000000001</c:v>
                </c:pt>
                <c:pt idx="33">
                  <c:v>1.2654000000000001</c:v>
                </c:pt>
                <c:pt idx="34">
                  <c:v>1.2219</c:v>
                </c:pt>
                <c:pt idx="35">
                  <c:v>1.2746999999999999</c:v>
                </c:pt>
                <c:pt idx="36">
                  <c:v>1.2035</c:v>
                </c:pt>
                <c:pt idx="37">
                  <c:v>1.2013</c:v>
                </c:pt>
                <c:pt idx="38">
                  <c:v>1.1969000000000001</c:v>
                </c:pt>
                <c:pt idx="39">
                  <c:v>1.1592</c:v>
                </c:pt>
                <c:pt idx="40">
                  <c:v>1.234</c:v>
                </c:pt>
                <c:pt idx="41">
                  <c:v>1.2266999999999999</c:v>
                </c:pt>
                <c:pt idx="42">
                  <c:v>1.2224999999999999</c:v>
                </c:pt>
                <c:pt idx="43">
                  <c:v>1.3212999999999999</c:v>
                </c:pt>
                <c:pt idx="44">
                  <c:v>1.2746</c:v>
                </c:pt>
                <c:pt idx="45">
                  <c:v>1.0773999999999999</c:v>
                </c:pt>
                <c:pt idx="46">
                  <c:v>1.2688999999999999</c:v>
                </c:pt>
                <c:pt idx="47">
                  <c:v>1.2226999999999999</c:v>
                </c:pt>
                <c:pt idx="48">
                  <c:v>1.2005999999999999</c:v>
                </c:pt>
                <c:pt idx="49">
                  <c:v>1.2972999999999999</c:v>
                </c:pt>
                <c:pt idx="50">
                  <c:v>1.5745</c:v>
                </c:pt>
                <c:pt idx="51">
                  <c:v>1.5387</c:v>
                </c:pt>
                <c:pt idx="52">
                  <c:v>1.6397999999999999</c:v>
                </c:pt>
                <c:pt idx="53">
                  <c:v>1.2662</c:v>
                </c:pt>
                <c:pt idx="54">
                  <c:v>1.4156</c:v>
                </c:pt>
                <c:pt idx="55">
                  <c:v>1.6215999999999999</c:v>
                </c:pt>
                <c:pt idx="56">
                  <c:v>1.7289000000000001</c:v>
                </c:pt>
                <c:pt idx="57">
                  <c:v>1.8707</c:v>
                </c:pt>
                <c:pt idx="58">
                  <c:v>1.8322000000000001</c:v>
                </c:pt>
                <c:pt idx="59">
                  <c:v>1.7842</c:v>
                </c:pt>
                <c:pt idx="60">
                  <c:v>1.7561</c:v>
                </c:pt>
                <c:pt idx="61">
                  <c:v>1.6403000000000001</c:v>
                </c:pt>
                <c:pt idx="62">
                  <c:v>1.5743</c:v>
                </c:pt>
                <c:pt idx="63">
                  <c:v>1.8326</c:v>
                </c:pt>
                <c:pt idx="64">
                  <c:v>1.8127</c:v>
                </c:pt>
                <c:pt idx="65">
                  <c:v>1.9000999999999999</c:v>
                </c:pt>
                <c:pt idx="66">
                  <c:v>1.8064</c:v>
                </c:pt>
                <c:pt idx="67">
                  <c:v>1.8323</c:v>
                </c:pt>
                <c:pt idx="68">
                  <c:v>1.7433000000000001</c:v>
                </c:pt>
                <c:pt idx="69">
                  <c:v>1.7326999999999999</c:v>
                </c:pt>
                <c:pt idx="70">
                  <c:v>1.5780000000000001</c:v>
                </c:pt>
                <c:pt idx="71">
                  <c:v>1.4866999999999999</c:v>
                </c:pt>
                <c:pt idx="72">
                  <c:v>1.4439</c:v>
                </c:pt>
                <c:pt idx="73">
                  <c:v>1.6412</c:v>
                </c:pt>
                <c:pt idx="74">
                  <c:v>1.7016</c:v>
                </c:pt>
                <c:pt idx="75">
                  <c:v>1.6315999999999999</c:v>
                </c:pt>
                <c:pt idx="76">
                  <c:v>1.6966000000000001</c:v>
                </c:pt>
                <c:pt idx="77">
                  <c:v>1.7419</c:v>
                </c:pt>
                <c:pt idx="78">
                  <c:v>1.603</c:v>
                </c:pt>
                <c:pt idx="79">
                  <c:v>1.8738999999999999</c:v>
                </c:pt>
                <c:pt idx="80">
                  <c:v>1.9924999999999999</c:v>
                </c:pt>
                <c:pt idx="81">
                  <c:v>1.7533000000000001</c:v>
                </c:pt>
                <c:pt idx="82">
                  <c:v>1.6715</c:v>
                </c:pt>
                <c:pt idx="83">
                  <c:v>1.5542</c:v>
                </c:pt>
                <c:pt idx="84">
                  <c:v>1.4340999999999999</c:v>
                </c:pt>
                <c:pt idx="85">
                  <c:v>1.355</c:v>
                </c:pt>
                <c:pt idx="86">
                  <c:v>1.3472999999999999</c:v>
                </c:pt>
                <c:pt idx="87">
                  <c:v>1.0911</c:v>
                </c:pt>
                <c:pt idx="88">
                  <c:v>0.99019999999999997</c:v>
                </c:pt>
                <c:pt idx="89">
                  <c:v>1.0165</c:v>
                </c:pt>
                <c:pt idx="90">
                  <c:v>0.86719999999999997</c:v>
                </c:pt>
                <c:pt idx="91">
                  <c:v>0.81759999999999999</c:v>
                </c:pt>
                <c:pt idx="92">
                  <c:v>0.75880000000000003</c:v>
                </c:pt>
                <c:pt idx="93">
                  <c:v>0.82599999999999996</c:v>
                </c:pt>
                <c:pt idx="94">
                  <c:v>0.8377</c:v>
                </c:pt>
                <c:pt idx="95">
                  <c:v>0.8216</c:v>
                </c:pt>
                <c:pt idx="96">
                  <c:v>0.86450000000000005</c:v>
                </c:pt>
                <c:pt idx="97">
                  <c:v>0.84930000000000005</c:v>
                </c:pt>
                <c:pt idx="98">
                  <c:v>0.80130000000000001</c:v>
                </c:pt>
                <c:pt idx="99">
                  <c:v>0.7732</c:v>
                </c:pt>
                <c:pt idx="100">
                  <c:v>0.72709999999999997</c:v>
                </c:pt>
                <c:pt idx="101">
                  <c:v>0.71760000000000002</c:v>
                </c:pt>
                <c:pt idx="102">
                  <c:v>0.73540000000000005</c:v>
                </c:pt>
                <c:pt idx="103">
                  <c:v>0.79810000000000003</c:v>
                </c:pt>
                <c:pt idx="104">
                  <c:v>0.70140000000000002</c:v>
                </c:pt>
                <c:pt idx="105">
                  <c:v>0.72199999999999998</c:v>
                </c:pt>
                <c:pt idx="106">
                  <c:v>0.69630000000000003</c:v>
                </c:pt>
                <c:pt idx="107">
                  <c:v>0.70379999999999998</c:v>
                </c:pt>
                <c:pt idx="108">
                  <c:v>0.70250000000000001</c:v>
                </c:pt>
                <c:pt idx="109">
                  <c:v>0.65700000000000003</c:v>
                </c:pt>
                <c:pt idx="110">
                  <c:v>0.67820000000000003</c:v>
                </c:pt>
                <c:pt idx="111">
                  <c:v>0.6593</c:v>
                </c:pt>
                <c:pt idx="112">
                  <c:v>0.68469999999999998</c:v>
                </c:pt>
                <c:pt idx="113">
                  <c:v>0.64449999999999996</c:v>
                </c:pt>
                <c:pt idx="114">
                  <c:v>0.65820000000000001</c:v>
                </c:pt>
                <c:pt idx="115">
                  <c:v>0.65290000000000004</c:v>
                </c:pt>
                <c:pt idx="116">
                  <c:v>0.64680000000000004</c:v>
                </c:pt>
                <c:pt idx="117">
                  <c:v>0.64670000000000005</c:v>
                </c:pt>
                <c:pt idx="118">
                  <c:v>0.72219999999999995</c:v>
                </c:pt>
                <c:pt idx="119">
                  <c:v>0.56630000000000003</c:v>
                </c:pt>
                <c:pt idx="120">
                  <c:v>0.55979999999999996</c:v>
                </c:pt>
                <c:pt idx="121">
                  <c:v>0.55469999999999997</c:v>
                </c:pt>
                <c:pt idx="122">
                  <c:v>0.57250000000000001</c:v>
                </c:pt>
                <c:pt idx="123">
                  <c:v>0.58479999999999999</c:v>
                </c:pt>
                <c:pt idx="124">
                  <c:v>0.60229999999999995</c:v>
                </c:pt>
                <c:pt idx="125">
                  <c:v>0.60119999999999996</c:v>
                </c:pt>
                <c:pt idx="126">
                  <c:v>0.66169999999999995</c:v>
                </c:pt>
                <c:pt idx="127">
                  <c:v>0.67110000000000003</c:v>
                </c:pt>
                <c:pt idx="128">
                  <c:v>0.56699999999999995</c:v>
                </c:pt>
                <c:pt idx="129">
                  <c:v>0.70689999999999997</c:v>
                </c:pt>
                <c:pt idx="130">
                  <c:v>0.79559999999999997</c:v>
                </c:pt>
                <c:pt idx="131">
                  <c:v>0.8206</c:v>
                </c:pt>
                <c:pt idx="132">
                  <c:v>0.74780000000000002</c:v>
                </c:pt>
                <c:pt idx="133">
                  <c:v>0.78149999999999997</c:v>
                </c:pt>
                <c:pt idx="134">
                  <c:v>0.8135</c:v>
                </c:pt>
                <c:pt idx="135">
                  <c:v>0.76480000000000004</c:v>
                </c:pt>
                <c:pt idx="136">
                  <c:v>0.75770000000000004</c:v>
                </c:pt>
                <c:pt idx="137">
                  <c:v>0.80169999999999997</c:v>
                </c:pt>
                <c:pt idx="138">
                  <c:v>0.80169999999999997</c:v>
                </c:pt>
                <c:pt idx="139">
                  <c:v>0.77229999999999999</c:v>
                </c:pt>
                <c:pt idx="140">
                  <c:v>0.76839999999999997</c:v>
                </c:pt>
                <c:pt idx="141">
                  <c:v>0.77790000000000004</c:v>
                </c:pt>
                <c:pt idx="142">
                  <c:v>0.83</c:v>
                </c:pt>
                <c:pt idx="143">
                  <c:v>1.1638999999999999</c:v>
                </c:pt>
                <c:pt idx="144">
                  <c:v>0.92989999999999995</c:v>
                </c:pt>
                <c:pt idx="145">
                  <c:v>0.91559999999999997</c:v>
                </c:pt>
                <c:pt idx="146">
                  <c:v>0.89710000000000001</c:v>
                </c:pt>
                <c:pt idx="147">
                  <c:v>0.90049999999999997</c:v>
                </c:pt>
                <c:pt idx="148">
                  <c:v>0.93769999999999998</c:v>
                </c:pt>
                <c:pt idx="149">
                  <c:v>0.89229999999999998</c:v>
                </c:pt>
                <c:pt idx="150">
                  <c:v>0.87419999999999998</c:v>
                </c:pt>
                <c:pt idx="151">
                  <c:v>0.89929999999999999</c:v>
                </c:pt>
                <c:pt idx="152">
                  <c:v>0.89810000000000001</c:v>
                </c:pt>
                <c:pt idx="153">
                  <c:v>0.91720000000000002</c:v>
                </c:pt>
                <c:pt idx="154">
                  <c:v>0.85780000000000001</c:v>
                </c:pt>
                <c:pt idx="155">
                  <c:v>0.95199999999999996</c:v>
                </c:pt>
                <c:pt idx="156">
                  <c:v>0.878</c:v>
                </c:pt>
                <c:pt idx="157">
                  <c:v>0.98599999999999999</c:v>
                </c:pt>
                <c:pt idx="158">
                  <c:v>1.0009999999999999</c:v>
                </c:pt>
                <c:pt idx="159">
                  <c:v>1.012</c:v>
                </c:pt>
                <c:pt idx="160">
                  <c:v>1.002</c:v>
                </c:pt>
                <c:pt idx="161">
                  <c:v>0.997</c:v>
                </c:pt>
                <c:pt idx="162">
                  <c:v>0.91400000000000003</c:v>
                </c:pt>
                <c:pt idx="163">
                  <c:v>0.95</c:v>
                </c:pt>
                <c:pt idx="164">
                  <c:v>1.042</c:v>
                </c:pt>
                <c:pt idx="165">
                  <c:v>0.94899999999999995</c:v>
                </c:pt>
                <c:pt idx="166">
                  <c:v>0.92500000000000004</c:v>
                </c:pt>
                <c:pt idx="167">
                  <c:v>0.99</c:v>
                </c:pt>
                <c:pt idx="168">
                  <c:v>0.876</c:v>
                </c:pt>
                <c:pt idx="169">
                  <c:v>0.88900000000000001</c:v>
                </c:pt>
                <c:pt idx="170">
                  <c:v>0.84899999999999998</c:v>
                </c:pt>
                <c:pt idx="171">
                  <c:v>0.755</c:v>
                </c:pt>
                <c:pt idx="172">
                  <c:v>0.73599999999999999</c:v>
                </c:pt>
                <c:pt idx="173">
                  <c:v>0.78600000000000003</c:v>
                </c:pt>
                <c:pt idx="174">
                  <c:v>0.81399999999999995</c:v>
                </c:pt>
                <c:pt idx="175">
                  <c:v>0.77</c:v>
                </c:pt>
                <c:pt idx="176">
                  <c:v>0.72199999999999998</c:v>
                </c:pt>
                <c:pt idx="177">
                  <c:v>0.67700000000000005</c:v>
                </c:pt>
                <c:pt idx="178">
                  <c:v>0.70799999999999996</c:v>
                </c:pt>
                <c:pt idx="179">
                  <c:v>0.71299999999999997</c:v>
                </c:pt>
                <c:pt idx="180">
                  <c:v>0.78200000000000003</c:v>
                </c:pt>
                <c:pt idx="181">
                  <c:v>0.83199999999999996</c:v>
                </c:pt>
                <c:pt idx="182">
                  <c:v>0.79300000000000004</c:v>
                </c:pt>
                <c:pt idx="183">
                  <c:v>0.874</c:v>
                </c:pt>
                <c:pt idx="184">
                  <c:v>0.67400000000000004</c:v>
                </c:pt>
                <c:pt idx="185">
                  <c:v>0.58599999999999997</c:v>
                </c:pt>
                <c:pt idx="186">
                  <c:v>0.72499999999999998</c:v>
                </c:pt>
                <c:pt idx="187">
                  <c:v>0.59299999999999997</c:v>
                </c:pt>
                <c:pt idx="188">
                  <c:v>0.51200000000000001</c:v>
                </c:pt>
                <c:pt idx="189">
                  <c:v>0.437</c:v>
                </c:pt>
                <c:pt idx="190">
                  <c:v>0.434</c:v>
                </c:pt>
                <c:pt idx="191">
                  <c:v>0.38800000000000001</c:v>
                </c:pt>
                <c:pt idx="192">
                  <c:v>0.42799999999999999</c:v>
                </c:pt>
                <c:pt idx="193">
                  <c:v>0.498</c:v>
                </c:pt>
                <c:pt idx="194">
                  <c:v>0.45300000000000001</c:v>
                </c:pt>
                <c:pt idx="195">
                  <c:v>0.48299999999999998</c:v>
                </c:pt>
                <c:pt idx="196">
                  <c:v>0.61899999999999999</c:v>
                </c:pt>
                <c:pt idx="197">
                  <c:v>0.64200000000000002</c:v>
                </c:pt>
                <c:pt idx="198">
                  <c:v>0.52900000000000003</c:v>
                </c:pt>
                <c:pt idx="199">
                  <c:v>0.45100000000000001</c:v>
                </c:pt>
                <c:pt idx="200">
                  <c:v>0.46400000000000002</c:v>
                </c:pt>
                <c:pt idx="201">
                  <c:v>0.43099999999999999</c:v>
                </c:pt>
                <c:pt idx="202">
                  <c:v>0.41399999999999998</c:v>
                </c:pt>
                <c:pt idx="203">
                  <c:v>0.40699999999999997</c:v>
                </c:pt>
                <c:pt idx="204">
                  <c:v>0.46700000000000003</c:v>
                </c:pt>
                <c:pt idx="205">
                  <c:v>0.42799999999999999</c:v>
                </c:pt>
                <c:pt idx="206">
                  <c:v>0.39700000000000002</c:v>
                </c:pt>
                <c:pt idx="207">
                  <c:v>0.42699999999999999</c:v>
                </c:pt>
                <c:pt idx="208">
                  <c:v>0.41899999999999998</c:v>
                </c:pt>
                <c:pt idx="209">
                  <c:v>0.41</c:v>
                </c:pt>
                <c:pt idx="210">
                  <c:v>0.41</c:v>
                </c:pt>
                <c:pt idx="211">
                  <c:v>0.45500000000000002</c:v>
                </c:pt>
                <c:pt idx="212">
                  <c:v>0.48899999999999999</c:v>
                </c:pt>
                <c:pt idx="213">
                  <c:v>0.374</c:v>
                </c:pt>
                <c:pt idx="214">
                  <c:v>0.374</c:v>
                </c:pt>
                <c:pt idx="215">
                  <c:v>0.317</c:v>
                </c:pt>
                <c:pt idx="216">
                  <c:v>0.32600000000000001</c:v>
                </c:pt>
                <c:pt idx="217">
                  <c:v>0.38200000000000001</c:v>
                </c:pt>
                <c:pt idx="218">
                  <c:v>0.36599999999999999</c:v>
                </c:pt>
                <c:pt idx="219">
                  <c:v>0.33800000000000002</c:v>
                </c:pt>
                <c:pt idx="220">
                  <c:v>0.36399999999999999</c:v>
                </c:pt>
                <c:pt idx="221">
                  <c:v>0.47899999999999998</c:v>
                </c:pt>
                <c:pt idx="222">
                  <c:v>0.49299999999999999</c:v>
                </c:pt>
                <c:pt idx="223">
                  <c:v>0.51100000000000001</c:v>
                </c:pt>
                <c:pt idx="224">
                  <c:v>0.56899999999999995</c:v>
                </c:pt>
                <c:pt idx="225">
                  <c:v>0.57499999999999996</c:v>
                </c:pt>
                <c:pt idx="226">
                  <c:v>0.62</c:v>
                </c:pt>
                <c:pt idx="227">
                  <c:v>0.63700000000000001</c:v>
                </c:pt>
                <c:pt idx="228">
                  <c:v>0.623</c:v>
                </c:pt>
                <c:pt idx="229">
                  <c:v>0.59899999999999998</c:v>
                </c:pt>
                <c:pt idx="230">
                  <c:v>0.68400000000000005</c:v>
                </c:pt>
                <c:pt idx="231">
                  <c:v>0.55400000000000005</c:v>
                </c:pt>
                <c:pt idx="232">
                  <c:v>0.61699999999999999</c:v>
                </c:pt>
                <c:pt idx="233">
                  <c:v>0.57399999999999995</c:v>
                </c:pt>
                <c:pt idx="234">
                  <c:v>0.60499999999999998</c:v>
                </c:pt>
                <c:pt idx="235">
                  <c:v>0.70099999999999996</c:v>
                </c:pt>
                <c:pt idx="236">
                  <c:v>0.69699999999999995</c:v>
                </c:pt>
                <c:pt idx="237">
                  <c:v>0.71</c:v>
                </c:pt>
                <c:pt idx="238">
                  <c:v>0.82199999999999995</c:v>
                </c:pt>
                <c:pt idx="239">
                  <c:v>0.81499999999999995</c:v>
                </c:pt>
                <c:pt idx="240">
                  <c:v>0.76800000000000002</c:v>
                </c:pt>
                <c:pt idx="241">
                  <c:v>0.82</c:v>
                </c:pt>
                <c:pt idx="242">
                  <c:v>0.69099999999999995</c:v>
                </c:pt>
                <c:pt idx="243">
                  <c:v>0.61599999999999999</c:v>
                </c:pt>
                <c:pt idx="244">
                  <c:v>0.68899999999999995</c:v>
                </c:pt>
                <c:pt idx="245">
                  <c:v>0.83899999999999997</c:v>
                </c:pt>
                <c:pt idx="246">
                  <c:v>0.94899999999999995</c:v>
                </c:pt>
                <c:pt idx="247">
                  <c:v>0.76400000000000001</c:v>
                </c:pt>
                <c:pt idx="248">
                  <c:v>0.80200000000000005</c:v>
                </c:pt>
                <c:pt idx="249">
                  <c:v>0.46200000000000002</c:v>
                </c:pt>
                <c:pt idx="250">
                  <c:v>0.65900000000000003</c:v>
                </c:pt>
                <c:pt idx="251">
                  <c:v>0.72499999999999998</c:v>
                </c:pt>
                <c:pt idx="252">
                  <c:v>0.97799999999999998</c:v>
                </c:pt>
                <c:pt idx="253">
                  <c:v>0.89</c:v>
                </c:pt>
                <c:pt idx="254">
                  <c:v>1.4350000000000001</c:v>
                </c:pt>
                <c:pt idx="255">
                  <c:v>1.5049999999999999</c:v>
                </c:pt>
                <c:pt idx="256">
                  <c:v>1.59</c:v>
                </c:pt>
                <c:pt idx="257">
                  <c:v>1.6060000000000001</c:v>
                </c:pt>
                <c:pt idx="258">
                  <c:v>1.825</c:v>
                </c:pt>
                <c:pt idx="259">
                  <c:v>1.6719999999999999</c:v>
                </c:pt>
                <c:pt idx="260">
                  <c:v>1.6479999999999999</c:v>
                </c:pt>
                <c:pt idx="261">
                  <c:v>2.02</c:v>
                </c:pt>
                <c:pt idx="262">
                  <c:v>2.0030000000000001</c:v>
                </c:pt>
                <c:pt idx="263">
                  <c:v>2.2570000000000001</c:v>
                </c:pt>
                <c:pt idx="264">
                  <c:v>2.4590000000000001</c:v>
                </c:pt>
                <c:pt idx="265">
                  <c:v>2.2170000000000001</c:v>
                </c:pt>
                <c:pt idx="266">
                  <c:v>2.286</c:v>
                </c:pt>
                <c:pt idx="267">
                  <c:v>2.5049999999999999</c:v>
                </c:pt>
                <c:pt idx="268">
                  <c:v>2.266</c:v>
                </c:pt>
                <c:pt idx="269">
                  <c:v>2.605</c:v>
                </c:pt>
                <c:pt idx="270">
                  <c:v>2.7029999999999998</c:v>
                </c:pt>
                <c:pt idx="271">
                  <c:v>2.5720000000000001</c:v>
                </c:pt>
                <c:pt idx="272">
                  <c:v>2.3610000000000002</c:v>
                </c:pt>
                <c:pt idx="273">
                  <c:v>2.4510000000000001</c:v>
                </c:pt>
                <c:pt idx="274">
                  <c:v>2.2690000000000001</c:v>
                </c:pt>
                <c:pt idx="275">
                  <c:v>2.1440000000000001</c:v>
                </c:pt>
                <c:pt idx="276">
                  <c:v>1.8779999999999999</c:v>
                </c:pt>
                <c:pt idx="277">
                  <c:v>1.575</c:v>
                </c:pt>
                <c:pt idx="278">
                  <c:v>1.5760000000000001</c:v>
                </c:pt>
                <c:pt idx="279">
                  <c:v>1.7490000000000001</c:v>
                </c:pt>
                <c:pt idx="280">
                  <c:v>1.92</c:v>
                </c:pt>
                <c:pt idx="281">
                  <c:v>2.0419999999999998</c:v>
                </c:pt>
                <c:pt idx="282">
                  <c:v>2.1150000000000002</c:v>
                </c:pt>
                <c:pt idx="283">
                  <c:v>2.1459999999999999</c:v>
                </c:pt>
                <c:pt idx="284">
                  <c:v>2.36</c:v>
                </c:pt>
                <c:pt idx="285">
                  <c:v>2.476</c:v>
                </c:pt>
                <c:pt idx="286">
                  <c:v>2.5619999999999998</c:v>
                </c:pt>
                <c:pt idx="287">
                  <c:v>2.67</c:v>
                </c:pt>
                <c:pt idx="288">
                  <c:v>2.5920000000000001</c:v>
                </c:pt>
                <c:pt idx="289">
                  <c:v>2.6480000000000001</c:v>
                </c:pt>
                <c:pt idx="290">
                  <c:v>2.827</c:v>
                </c:pt>
                <c:pt idx="291">
                  <c:v>2.9729999999999999</c:v>
                </c:pt>
                <c:pt idx="292">
                  <c:v>3.024</c:v>
                </c:pt>
                <c:pt idx="293">
                  <c:v>2.6850000000000001</c:v>
                </c:pt>
                <c:pt idx="294">
                  <c:v>2.7650000000000001</c:v>
                </c:pt>
                <c:pt idx="295">
                  <c:v>2.4340000000000002</c:v>
                </c:pt>
                <c:pt idx="296">
                  <c:v>2.5510000000000002</c:v>
                </c:pt>
                <c:pt idx="297">
                  <c:v>2.7930000000000001</c:v>
                </c:pt>
                <c:pt idx="298">
                  <c:v>3.1190000000000002</c:v>
                </c:pt>
                <c:pt idx="299">
                  <c:v>2.7250000000000001</c:v>
                </c:pt>
                <c:pt idx="300">
                  <c:v>3.1520000000000001</c:v>
                </c:pt>
                <c:pt idx="301">
                  <c:v>3.2879999999999998</c:v>
                </c:pt>
                <c:pt idx="302">
                  <c:v>3.5030000000000001</c:v>
                </c:pt>
                <c:pt idx="303">
                  <c:v>4.2069999999999999</c:v>
                </c:pt>
                <c:pt idx="304">
                  <c:v>3.6890000000000001</c:v>
                </c:pt>
                <c:pt idx="305">
                  <c:v>3.3420000000000001</c:v>
                </c:pt>
                <c:pt idx="306">
                  <c:v>3.4470000000000001</c:v>
                </c:pt>
                <c:pt idx="307">
                  <c:v>3.113</c:v>
                </c:pt>
                <c:pt idx="308">
                  <c:v>2.7280000000000002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E-4702-A7AC-1EDEDF02385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-3.7754190104664258</c:v>
                </c:pt>
                <c:pt idx="1">
                  <c:v>-3.769270479805269</c:v>
                </c:pt>
                <c:pt idx="2">
                  <c:v>-3.7210128790276924</c:v>
                </c:pt>
                <c:pt idx="3">
                  <c:v>-3.7238493995610256</c:v>
                </c:pt>
                <c:pt idx="4">
                  <c:v>-3.7443560980541761</c:v>
                </c:pt>
                <c:pt idx="5">
                  <c:v>-3.7495537837194122</c:v>
                </c:pt>
                <c:pt idx="6">
                  <c:v>-3.6774920299108307</c:v>
                </c:pt>
                <c:pt idx="7">
                  <c:v>-3.5823319030379785</c:v>
                </c:pt>
                <c:pt idx="8">
                  <c:v>-3.5375057989390686</c:v>
                </c:pt>
                <c:pt idx="9">
                  <c:v>-3.4969189640329654</c:v>
                </c:pt>
                <c:pt idx="10">
                  <c:v>-3.5012994818962135</c:v>
                </c:pt>
                <c:pt idx="11">
                  <c:v>-3.4744276571682216</c:v>
                </c:pt>
                <c:pt idx="12">
                  <c:v>-3.4626453810751321</c:v>
                </c:pt>
                <c:pt idx="13">
                  <c:v>-3.4780480891886549</c:v>
                </c:pt>
                <c:pt idx="14">
                  <c:v>-3.4688093226115408</c:v>
                </c:pt>
                <c:pt idx="15">
                  <c:v>-3.4083356016147053</c:v>
                </c:pt>
                <c:pt idx="16">
                  <c:v>-3.5309131990517759</c:v>
                </c:pt>
                <c:pt idx="17">
                  <c:v>-3.5485153238278953</c:v>
                </c:pt>
                <c:pt idx="18">
                  <c:v>-3.5232257627969674</c:v>
                </c:pt>
                <c:pt idx="19">
                  <c:v>-3.5158497864483218</c:v>
                </c:pt>
                <c:pt idx="20">
                  <c:v>-3.4886125091065496</c:v>
                </c:pt>
                <c:pt idx="21">
                  <c:v>-3.4156664840536002</c:v>
                </c:pt>
                <c:pt idx="22">
                  <c:v>-3.5255131131294619</c:v>
                </c:pt>
                <c:pt idx="23">
                  <c:v>-3.4412149668490879</c:v>
                </c:pt>
                <c:pt idx="24">
                  <c:v>-3.418713429899936</c:v>
                </c:pt>
                <c:pt idx="25">
                  <c:v>-3.3998092707098531</c:v>
                </c:pt>
                <c:pt idx="26">
                  <c:v>-3.384606293598742</c:v>
                </c:pt>
                <c:pt idx="27">
                  <c:v>-3.4002953900400232</c:v>
                </c:pt>
                <c:pt idx="28">
                  <c:v>-3.3666438303197439</c:v>
                </c:pt>
                <c:pt idx="29">
                  <c:v>-3.3505762136336976</c:v>
                </c:pt>
                <c:pt idx="30">
                  <c:v>-3.3072991654518797</c:v>
                </c:pt>
                <c:pt idx="31">
                  <c:v>-3.2307635336370422</c:v>
                </c:pt>
                <c:pt idx="32">
                  <c:v>-3.1886227456498406</c:v>
                </c:pt>
                <c:pt idx="33">
                  <c:v>-3.2167106686183562</c:v>
                </c:pt>
                <c:pt idx="34">
                  <c:v>-3.232497527676327</c:v>
                </c:pt>
                <c:pt idx="35">
                  <c:v>-3.1425299282201338</c:v>
                </c:pt>
                <c:pt idx="36">
                  <c:v>-3.2121485897035429</c:v>
                </c:pt>
                <c:pt idx="37">
                  <c:v>-3.1792822919449217</c:v>
                </c:pt>
                <c:pt idx="38">
                  <c:v>-3.0867373988301678</c:v>
                </c:pt>
                <c:pt idx="39">
                  <c:v>-3.1182580428795976</c:v>
                </c:pt>
                <c:pt idx="40">
                  <c:v>-3.0658867694381149</c:v>
                </c:pt>
                <c:pt idx="41">
                  <c:v>-3.051351831660337</c:v>
                </c:pt>
                <c:pt idx="42">
                  <c:v>-3.1016575784527891</c:v>
                </c:pt>
                <c:pt idx="43">
                  <c:v>-3.0090605207185304</c:v>
                </c:pt>
                <c:pt idx="44">
                  <c:v>-2.9706436416013449</c:v>
                </c:pt>
                <c:pt idx="45">
                  <c:v>-3.0059985854199445</c:v>
                </c:pt>
                <c:pt idx="46">
                  <c:v>-2.9235333465230182</c:v>
                </c:pt>
                <c:pt idx="47">
                  <c:v>-2.9400078472084714</c:v>
                </c:pt>
                <c:pt idx="48">
                  <c:v>-2.9465778160898277</c:v>
                </c:pt>
                <c:pt idx="49">
                  <c:v>-2.8022001635745766</c:v>
                </c:pt>
                <c:pt idx="50">
                  <c:v>-2.6627416635745762</c:v>
                </c:pt>
                <c:pt idx="51">
                  <c:v>-2.6686706124999873</c:v>
                </c:pt>
                <c:pt idx="52">
                  <c:v>-2.2705093074476004</c:v>
                </c:pt>
                <c:pt idx="53">
                  <c:v>-2.8052762786410157</c:v>
                </c:pt>
                <c:pt idx="54">
                  <c:v>-2.7632650571025543</c:v>
                </c:pt>
                <c:pt idx="55">
                  <c:v>-2.7783313294201513</c:v>
                </c:pt>
                <c:pt idx="56">
                  <c:v>-2.7231430995372468</c:v>
                </c:pt>
                <c:pt idx="57">
                  <c:v>-2.6447150046115326</c:v>
                </c:pt>
                <c:pt idx="58">
                  <c:v>-2.554340434246678</c:v>
                </c:pt>
                <c:pt idx="59">
                  <c:v>-2.5145442432019016</c:v>
                </c:pt>
                <c:pt idx="60">
                  <c:v>-2.4615295243892095</c:v>
                </c:pt>
                <c:pt idx="61">
                  <c:v>-2.5478246215615692</c:v>
                </c:pt>
                <c:pt idx="62">
                  <c:v>-2.5217767466554029</c:v>
                </c:pt>
                <c:pt idx="63">
                  <c:v>-2.448670991813473</c:v>
                </c:pt>
                <c:pt idx="64">
                  <c:v>-2.5617080069458815</c:v>
                </c:pt>
                <c:pt idx="65">
                  <c:v>-2.5487855916960678</c:v>
                </c:pt>
                <c:pt idx="66">
                  <c:v>-2.5700042547399566</c:v>
                </c:pt>
                <c:pt idx="67">
                  <c:v>-2.5695534931534807</c:v>
                </c:pt>
                <c:pt idx="68">
                  <c:v>-2.4051050409783943</c:v>
                </c:pt>
                <c:pt idx="69">
                  <c:v>-2.459695892222634</c:v>
                </c:pt>
                <c:pt idx="70">
                  <c:v>-2.5479053520744861</c:v>
                </c:pt>
                <c:pt idx="71">
                  <c:v>-2.6599096154038184</c:v>
                </c:pt>
                <c:pt idx="72">
                  <c:v>-2.7485555944587348</c:v>
                </c:pt>
                <c:pt idx="73">
                  <c:v>-2.6399523577948911</c:v>
                </c:pt>
                <c:pt idx="74">
                  <c:v>-2.5445533419335247</c:v>
                </c:pt>
                <c:pt idx="75">
                  <c:v>-2.5583114067528023</c:v>
                </c:pt>
                <c:pt idx="76">
                  <c:v>-2.5045014628305409</c:v>
                </c:pt>
                <c:pt idx="77">
                  <c:v>-2.5221399685102992</c:v>
                </c:pt>
                <c:pt idx="78">
                  <c:v>-2.5394445721401921</c:v>
                </c:pt>
                <c:pt idx="79">
                  <c:v>-2.4348096317594692</c:v>
                </c:pt>
                <c:pt idx="80">
                  <c:v>-2.4104707307107049</c:v>
                </c:pt>
                <c:pt idx="81">
                  <c:v>-2.7689547099000267</c:v>
                </c:pt>
                <c:pt idx="82">
                  <c:v>-2.7479538425173695</c:v>
                </c:pt>
                <c:pt idx="83">
                  <c:v>-2.9385018228370039</c:v>
                </c:pt>
                <c:pt idx="84">
                  <c:v>-2.6766513848170748</c:v>
                </c:pt>
                <c:pt idx="85">
                  <c:v>-2.853864410307271</c:v>
                </c:pt>
                <c:pt idx="86">
                  <c:v>-2.8207941213781926</c:v>
                </c:pt>
                <c:pt idx="87">
                  <c:v>-3.0563632661092246</c:v>
                </c:pt>
                <c:pt idx="88">
                  <c:v>-3.2011013771444432</c:v>
                </c:pt>
                <c:pt idx="89">
                  <c:v>-2.7147362668387029</c:v>
                </c:pt>
                <c:pt idx="90">
                  <c:v>-2.9937883762424358</c:v>
                </c:pt>
                <c:pt idx="91">
                  <c:v>-3.0642860310811453</c:v>
                </c:pt>
                <c:pt idx="92">
                  <c:v>-3.1919895751918177</c:v>
                </c:pt>
                <c:pt idx="93">
                  <c:v>-3.0829728749898857</c:v>
                </c:pt>
                <c:pt idx="94">
                  <c:v>-2.9957080019325604</c:v>
                </c:pt>
                <c:pt idx="95">
                  <c:v>-3.0070522690019112</c:v>
                </c:pt>
                <c:pt idx="96">
                  <c:v>-2.9358022606932432</c:v>
                </c:pt>
                <c:pt idx="97">
                  <c:v>-2.9882855833463045</c:v>
                </c:pt>
                <c:pt idx="98">
                  <c:v>-2.5649872896522363</c:v>
                </c:pt>
                <c:pt idx="99">
                  <c:v>-2.725247586326935</c:v>
                </c:pt>
                <c:pt idx="100">
                  <c:v>-2.7004916870008699</c:v>
                </c:pt>
                <c:pt idx="101">
                  <c:v>-2.7085873890397045</c:v>
                </c:pt>
                <c:pt idx="102">
                  <c:v>-2.6221086670092482</c:v>
                </c:pt>
                <c:pt idx="103">
                  <c:v>-1.9368584915940859</c:v>
                </c:pt>
                <c:pt idx="104">
                  <c:v>-2.1074925035395404</c:v>
                </c:pt>
                <c:pt idx="105">
                  <c:v>-2.0629783127932715</c:v>
                </c:pt>
                <c:pt idx="106">
                  <c:v>-2.0428116487038142</c:v>
                </c:pt>
                <c:pt idx="107">
                  <c:v>-1.980913867559349</c:v>
                </c:pt>
                <c:pt idx="108">
                  <c:v>-1.8839699961819381</c:v>
                </c:pt>
                <c:pt idx="109">
                  <c:v>-1.8198582149940925</c:v>
                </c:pt>
                <c:pt idx="110">
                  <c:v>-1.6924637316919118</c:v>
                </c:pt>
                <c:pt idx="111">
                  <c:v>-1.7582211592334405</c:v>
                </c:pt>
                <c:pt idx="112">
                  <c:v>-1.6254551897769185</c:v>
                </c:pt>
                <c:pt idx="113">
                  <c:v>-1.6110602156262159</c:v>
                </c:pt>
                <c:pt idx="114">
                  <c:v>-1.7321401618526304</c:v>
                </c:pt>
                <c:pt idx="115">
                  <c:v>-1.6122693211506438</c:v>
                </c:pt>
                <c:pt idx="116">
                  <c:v>-1.6342504983769213</c:v>
                </c:pt>
                <c:pt idx="117">
                  <c:v>-1.6417781401490734</c:v>
                </c:pt>
                <c:pt idx="118">
                  <c:v>-1.456727271427029</c:v>
                </c:pt>
                <c:pt idx="119">
                  <c:v>-1.6372665451118229</c:v>
                </c:pt>
                <c:pt idx="120">
                  <c:v>-1.6403066057743492</c:v>
                </c:pt>
                <c:pt idx="121">
                  <c:v>-1.6067704381632382</c:v>
                </c:pt>
                <c:pt idx="122">
                  <c:v>-1.5579939194885393</c:v>
                </c:pt>
                <c:pt idx="123">
                  <c:v>-1.405843194057067</c:v>
                </c:pt>
                <c:pt idx="124">
                  <c:v>-1.4077999273783572</c:v>
                </c:pt>
                <c:pt idx="125">
                  <c:v>-1.4230619773783573</c:v>
                </c:pt>
                <c:pt idx="126">
                  <c:v>-1.3901335004313737</c:v>
                </c:pt>
                <c:pt idx="127">
                  <c:v>-1.3623372052589597</c:v>
                </c:pt>
                <c:pt idx="128">
                  <c:v>-1.465347558396215</c:v>
                </c:pt>
                <c:pt idx="129">
                  <c:v>-1.3541862235427744</c:v>
                </c:pt>
                <c:pt idx="130">
                  <c:v>-1.2960964225121334</c:v>
                </c:pt>
                <c:pt idx="131">
                  <c:v>-1.2162922216242409</c:v>
                </c:pt>
                <c:pt idx="132">
                  <c:v>-1.1637195306529384</c:v>
                </c:pt>
                <c:pt idx="133">
                  <c:v>-1.1063567067871667</c:v>
                </c:pt>
                <c:pt idx="134">
                  <c:v>-1.0541677360886372</c:v>
                </c:pt>
                <c:pt idx="135">
                  <c:v>-1.1686767338664152</c:v>
                </c:pt>
                <c:pt idx="136">
                  <c:v>-1.1300844070243099</c:v>
                </c:pt>
                <c:pt idx="137">
                  <c:v>-1.1241462129881654</c:v>
                </c:pt>
                <c:pt idx="138">
                  <c:v>-1.096167171559594</c:v>
                </c:pt>
                <c:pt idx="139">
                  <c:v>-0.55525583883829754</c:v>
                </c:pt>
                <c:pt idx="140">
                  <c:v>-0.68855021568880259</c:v>
                </c:pt>
                <c:pt idx="141">
                  <c:v>-0.57372461148319465</c:v>
                </c:pt>
                <c:pt idx="142">
                  <c:v>-0.50407944339274235</c:v>
                </c:pt>
                <c:pt idx="143">
                  <c:v>-0.17596218910468087</c:v>
                </c:pt>
                <c:pt idx="144">
                  <c:v>-0.97383770254098445</c:v>
                </c:pt>
                <c:pt idx="145">
                  <c:v>-0.94736364778214144</c:v>
                </c:pt>
                <c:pt idx="146">
                  <c:v>-1.0817853261038197</c:v>
                </c:pt>
                <c:pt idx="147">
                  <c:v>-0.98929376033630867</c:v>
                </c:pt>
                <c:pt idx="148">
                  <c:v>-0.87605903118308226</c:v>
                </c:pt>
                <c:pt idx="149">
                  <c:v>-1.0478503648721069</c:v>
                </c:pt>
                <c:pt idx="150">
                  <c:v>-1.0005789822156854</c:v>
                </c:pt>
                <c:pt idx="151">
                  <c:v>-0.72849820320787295</c:v>
                </c:pt>
                <c:pt idx="152">
                  <c:v>-0.78609891604878201</c:v>
                </c:pt>
                <c:pt idx="153">
                  <c:v>-0.69967492700060419</c:v>
                </c:pt>
                <c:pt idx="154">
                  <c:v>-0.84606147846860391</c:v>
                </c:pt>
                <c:pt idx="155">
                  <c:v>-0.64861739564644305</c:v>
                </c:pt>
                <c:pt idx="156">
                  <c:v>-0.89433814756308638</c:v>
                </c:pt>
                <c:pt idx="157">
                  <c:v>-0.71836885490855518</c:v>
                </c:pt>
                <c:pt idx="158">
                  <c:v>-0.67402492419920035</c:v>
                </c:pt>
                <c:pt idx="159">
                  <c:v>-0.64199435295053331</c:v>
                </c:pt>
                <c:pt idx="160">
                  <c:v>-0.55052313575810929</c:v>
                </c:pt>
                <c:pt idx="161">
                  <c:v>-0.6018788248293292</c:v>
                </c:pt>
                <c:pt idx="162">
                  <c:v>-0.89642734479343178</c:v>
                </c:pt>
                <c:pt idx="163">
                  <c:v>-0.60430297293427715</c:v>
                </c:pt>
                <c:pt idx="164">
                  <c:v>0.10633793696084654</c:v>
                </c:pt>
                <c:pt idx="165">
                  <c:v>-6.6895433438543955E-2</c:v>
                </c:pt>
                <c:pt idx="166">
                  <c:v>-0.22925178878005642</c:v>
                </c:pt>
                <c:pt idx="167">
                  <c:v>-0.14725895055582983</c:v>
                </c:pt>
                <c:pt idx="168">
                  <c:v>-0.29268775590835983</c:v>
                </c:pt>
                <c:pt idx="169">
                  <c:v>-6.7593703780629941E-2</c:v>
                </c:pt>
                <c:pt idx="170">
                  <c:v>0.65983640284936984</c:v>
                </c:pt>
                <c:pt idx="171">
                  <c:v>0.36236615118406384</c:v>
                </c:pt>
                <c:pt idx="172">
                  <c:v>0.27412667764606385</c:v>
                </c:pt>
                <c:pt idx="173">
                  <c:v>0.4348153421799768</c:v>
                </c:pt>
                <c:pt idx="174">
                  <c:v>0.37812037384997627</c:v>
                </c:pt>
                <c:pt idx="175">
                  <c:v>0.25780714057171211</c:v>
                </c:pt>
                <c:pt idx="176">
                  <c:v>7.2906330939712258E-2</c:v>
                </c:pt>
                <c:pt idx="177">
                  <c:v>-1.953928511287574E-2</c:v>
                </c:pt>
                <c:pt idx="178">
                  <c:v>5.4168369355715534E-2</c:v>
                </c:pt>
                <c:pt idx="179">
                  <c:v>0.22122417964046126</c:v>
                </c:pt>
                <c:pt idx="180">
                  <c:v>0.46441325444258719</c:v>
                </c:pt>
                <c:pt idx="181">
                  <c:v>0.55753960721258689</c:v>
                </c:pt>
                <c:pt idx="182">
                  <c:v>0.19595702905535631</c:v>
                </c:pt>
                <c:pt idx="183">
                  <c:v>0.78497294463683753</c:v>
                </c:pt>
                <c:pt idx="184">
                  <c:v>-0.47234404616349995</c:v>
                </c:pt>
                <c:pt idx="185">
                  <c:v>-0.80000858730303526</c:v>
                </c:pt>
                <c:pt idx="186">
                  <c:v>-0.2644614876914273</c:v>
                </c:pt>
                <c:pt idx="187">
                  <c:v>-1.0097753395061813</c:v>
                </c:pt>
                <c:pt idx="188">
                  <c:v>-1.4527851786293391</c:v>
                </c:pt>
                <c:pt idx="189">
                  <c:v>-1.7360498524362207</c:v>
                </c:pt>
                <c:pt idx="190">
                  <c:v>-1.6735579102933635</c:v>
                </c:pt>
                <c:pt idx="191">
                  <c:v>-1.7959992000509244</c:v>
                </c:pt>
                <c:pt idx="192">
                  <c:v>-1.7460151888959878</c:v>
                </c:pt>
                <c:pt idx="193">
                  <c:v>-1.6213906190195961</c:v>
                </c:pt>
                <c:pt idx="194">
                  <c:v>-1.6477772611578569</c:v>
                </c:pt>
                <c:pt idx="195">
                  <c:v>-1.5388660727978569</c:v>
                </c:pt>
                <c:pt idx="196">
                  <c:v>-1.1898555015978567</c:v>
                </c:pt>
                <c:pt idx="197">
                  <c:v>-0.64083772743183554</c:v>
                </c:pt>
                <c:pt idx="198">
                  <c:v>-1.0071655341933743</c:v>
                </c:pt>
                <c:pt idx="199">
                  <c:v>-1.2262247350419242</c:v>
                </c:pt>
                <c:pt idx="200">
                  <c:v>-1.0513499493790672</c:v>
                </c:pt>
                <c:pt idx="201">
                  <c:v>-1.1261181096733535</c:v>
                </c:pt>
                <c:pt idx="202">
                  <c:v>-1.165247581184782</c:v>
                </c:pt>
                <c:pt idx="203">
                  <c:v>-1.2016915443666001</c:v>
                </c:pt>
                <c:pt idx="204">
                  <c:v>-0.99121607473106421</c:v>
                </c:pt>
                <c:pt idx="205">
                  <c:v>-1.0632279875783275</c:v>
                </c:pt>
                <c:pt idx="206">
                  <c:v>-1.11272099077938</c:v>
                </c:pt>
                <c:pt idx="207">
                  <c:v>-1.0869329882836352</c:v>
                </c:pt>
                <c:pt idx="208">
                  <c:v>-1.0819334863523853</c:v>
                </c:pt>
                <c:pt idx="209">
                  <c:v>-1.0274581861498042</c:v>
                </c:pt>
                <c:pt idx="210">
                  <c:v>-1.0618583037478042</c:v>
                </c:pt>
                <c:pt idx="211">
                  <c:v>-1.0028164041533598</c:v>
                </c:pt>
                <c:pt idx="212">
                  <c:v>-0.96824811516426901</c:v>
                </c:pt>
                <c:pt idx="213">
                  <c:v>-1.0911257952227538</c:v>
                </c:pt>
                <c:pt idx="214">
                  <c:v>-0.99582131231504889</c:v>
                </c:pt>
                <c:pt idx="215">
                  <c:v>-1.0943182564720109</c:v>
                </c:pt>
                <c:pt idx="216">
                  <c:v>-1.128824451817011</c:v>
                </c:pt>
                <c:pt idx="217">
                  <c:v>-1.0884728706131752</c:v>
                </c:pt>
                <c:pt idx="218">
                  <c:v>-1.1164437060337413</c:v>
                </c:pt>
                <c:pt idx="219">
                  <c:v>-1.1207997848090498</c:v>
                </c:pt>
                <c:pt idx="220">
                  <c:v>-1.1283733393592137</c:v>
                </c:pt>
                <c:pt idx="221">
                  <c:v>-1.0394630165814089</c:v>
                </c:pt>
                <c:pt idx="222">
                  <c:v>-1.0315314002569644</c:v>
                </c:pt>
                <c:pt idx="223">
                  <c:v>-0.99624473901773369</c:v>
                </c:pt>
                <c:pt idx="224">
                  <c:v>-0.96425668539316578</c:v>
                </c:pt>
                <c:pt idx="225">
                  <c:v>-0.92740565166384348</c:v>
                </c:pt>
                <c:pt idx="226">
                  <c:v>-0.8919336207220403</c:v>
                </c:pt>
                <c:pt idx="227">
                  <c:v>-0.87937834119168312</c:v>
                </c:pt>
                <c:pt idx="228">
                  <c:v>-0.88969180218690058</c:v>
                </c:pt>
                <c:pt idx="229">
                  <c:v>-0.95292509183817053</c:v>
                </c:pt>
                <c:pt idx="230">
                  <c:v>-0.55622418101377047</c:v>
                </c:pt>
                <c:pt idx="231">
                  <c:v>-0.51854010070513867</c:v>
                </c:pt>
                <c:pt idx="232">
                  <c:v>-0.48831768039868712</c:v>
                </c:pt>
                <c:pt idx="233">
                  <c:v>-0.5370064006586871</c:v>
                </c:pt>
                <c:pt idx="234">
                  <c:v>-0.52874275344394239</c:v>
                </c:pt>
                <c:pt idx="235">
                  <c:v>-0.49126700437859994</c:v>
                </c:pt>
                <c:pt idx="236">
                  <c:v>-0.49400230201764755</c:v>
                </c:pt>
                <c:pt idx="237">
                  <c:v>-0.48651570459050464</c:v>
                </c:pt>
                <c:pt idx="238">
                  <c:v>-0.44597243270569442</c:v>
                </c:pt>
                <c:pt idx="239">
                  <c:v>-0.42616207013513352</c:v>
                </c:pt>
                <c:pt idx="240">
                  <c:v>-0.46085865736252485</c:v>
                </c:pt>
                <c:pt idx="241">
                  <c:v>-0.42627650100023917</c:v>
                </c:pt>
                <c:pt idx="242">
                  <c:v>-0.50378439547325338</c:v>
                </c:pt>
                <c:pt idx="243">
                  <c:v>-0.53822072362633033</c:v>
                </c:pt>
                <c:pt idx="244">
                  <c:v>-0.49432865708445189</c:v>
                </c:pt>
                <c:pt idx="245">
                  <c:v>-0.44523208381462287</c:v>
                </c:pt>
                <c:pt idx="246">
                  <c:v>-0.42597905742150455</c:v>
                </c:pt>
                <c:pt idx="247">
                  <c:v>-0.5086624515746474</c:v>
                </c:pt>
                <c:pt idx="248">
                  <c:v>-0.49538378535175842</c:v>
                </c:pt>
                <c:pt idx="249">
                  <c:v>-0.57881444220492551</c:v>
                </c:pt>
                <c:pt idx="250">
                  <c:v>-0.54157079315827827</c:v>
                </c:pt>
                <c:pt idx="251">
                  <c:v>-0.50029752083676005</c:v>
                </c:pt>
                <c:pt idx="252">
                  <c:v>-0.46431690977523932</c:v>
                </c:pt>
                <c:pt idx="253">
                  <c:v>-0.49728275735805982</c:v>
                </c:pt>
                <c:pt idx="254">
                  <c:v>-0.44370243277420496</c:v>
                </c:pt>
                <c:pt idx="255">
                  <c:v>-0.40972029164006357</c:v>
                </c:pt>
                <c:pt idx="256">
                  <c:v>-0.39941008168041758</c:v>
                </c:pt>
                <c:pt idx="257">
                  <c:v>-0.38701228498227658</c:v>
                </c:pt>
                <c:pt idx="258">
                  <c:v>-0.35577666674539909</c:v>
                </c:pt>
                <c:pt idx="259">
                  <c:v>-0.37323346817124947</c:v>
                </c:pt>
                <c:pt idx="260">
                  <c:v>-0.3692024907987122</c:v>
                </c:pt>
                <c:pt idx="261">
                  <c:v>-0.32348433279371214</c:v>
                </c:pt>
                <c:pt idx="262">
                  <c:v>-0.32573277897791281</c:v>
                </c:pt>
                <c:pt idx="263">
                  <c:v>-0.3126500612687283</c:v>
                </c:pt>
                <c:pt idx="264">
                  <c:v>-0.26898536024644681</c:v>
                </c:pt>
                <c:pt idx="265">
                  <c:v>-0.28796010826635676</c:v>
                </c:pt>
                <c:pt idx="266">
                  <c:v>-0.28201345248035681</c:v>
                </c:pt>
                <c:pt idx="267">
                  <c:v>-0.25216569345633688</c:v>
                </c:pt>
                <c:pt idx="268">
                  <c:v>-0.27075968739005118</c:v>
                </c:pt>
                <c:pt idx="269">
                  <c:v>-0.22695826272083541</c:v>
                </c:pt>
                <c:pt idx="270">
                  <c:v>-0.17089090854704239</c:v>
                </c:pt>
                <c:pt idx="271">
                  <c:v>-0.18049168482830549</c:v>
                </c:pt>
                <c:pt idx="272">
                  <c:v>-0.2000689961298798</c:v>
                </c:pt>
                <c:pt idx="273">
                  <c:v>-0.18968331097603369</c:v>
                </c:pt>
                <c:pt idx="274">
                  <c:v>-0.22929045773584233</c:v>
                </c:pt>
                <c:pt idx="275">
                  <c:v>-0.27483619735847531</c:v>
                </c:pt>
                <c:pt idx="276">
                  <c:v>-0.26995737298442263</c:v>
                </c:pt>
                <c:pt idx="277">
                  <c:v>-0.28987953185026261</c:v>
                </c:pt>
                <c:pt idx="278">
                  <c:v>-0.26925834144037497</c:v>
                </c:pt>
                <c:pt idx="279">
                  <c:v>-0.25861380332242628</c:v>
                </c:pt>
                <c:pt idx="280">
                  <c:v>-0.26650001372268778</c:v>
                </c:pt>
                <c:pt idx="281">
                  <c:v>-0.24916207751753622</c:v>
                </c:pt>
                <c:pt idx="282">
                  <c:v>-0.24356887485717255</c:v>
                </c:pt>
                <c:pt idx="283">
                  <c:v>-0.24567891918717258</c:v>
                </c:pt>
                <c:pt idx="284">
                  <c:v>-0.22565760230578749</c:v>
                </c:pt>
                <c:pt idx="285">
                  <c:v>-0.24310179032245413</c:v>
                </c:pt>
                <c:pt idx="286">
                  <c:v>-0.2127161805427068</c:v>
                </c:pt>
                <c:pt idx="287">
                  <c:v>-0.20979793925800766</c:v>
                </c:pt>
                <c:pt idx="288">
                  <c:v>-0.20651916095144515</c:v>
                </c:pt>
                <c:pt idx="289">
                  <c:v>-0.17826505922618738</c:v>
                </c:pt>
                <c:pt idx="290">
                  <c:v>-0.16638709404595492</c:v>
                </c:pt>
                <c:pt idx="291">
                  <c:v>-0.14182477928093942</c:v>
                </c:pt>
                <c:pt idx="292">
                  <c:v>-1.7364809518952192E-2</c:v>
                </c:pt>
                <c:pt idx="293">
                  <c:v>-7.4060416058061074E-2</c:v>
                </c:pt>
                <c:pt idx="294">
                  <c:v>-5.5443271416719127E-2</c:v>
                </c:pt>
                <c:pt idx="295">
                  <c:v>-4.8372064767593072E-2</c:v>
                </c:pt>
                <c:pt idx="296">
                  <c:v>-7.3726423396073104E-2</c:v>
                </c:pt>
                <c:pt idx="297">
                  <c:v>-5.3149099800222664E-2</c:v>
                </c:pt>
                <c:pt idx="298">
                  <c:v>-1.538281139001349E-2</c:v>
                </c:pt>
                <c:pt idx="299">
                  <c:v>-4.6640746583413537E-2</c:v>
                </c:pt>
                <c:pt idx="300">
                  <c:v>1.6996575958443536E-2</c:v>
                </c:pt>
                <c:pt idx="301">
                  <c:v>2.3381829243776808E-2</c:v>
                </c:pt>
                <c:pt idx="302">
                  <c:v>0.10377815000461504</c:v>
                </c:pt>
                <c:pt idx="303">
                  <c:v>0.22902414305103813</c:v>
                </c:pt>
                <c:pt idx="304">
                  <c:v>0.15951385933530346</c:v>
                </c:pt>
                <c:pt idx="305">
                  <c:v>9.517712406500875E-2</c:v>
                </c:pt>
                <c:pt idx="306">
                  <c:v>0.10652452638115252</c:v>
                </c:pt>
                <c:pt idx="307">
                  <c:v>0.12719946603203405</c:v>
                </c:pt>
                <c:pt idx="308">
                  <c:v>7.2432124789207727E-2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FE-4702-A7AC-1EDEDF023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792368"/>
        <c:axId val="724794032"/>
      </c:lineChart>
      <c:dateAx>
        <c:axId val="724792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94032"/>
        <c:crosses val="autoZero"/>
        <c:auto val="1"/>
        <c:lblOffset val="100"/>
        <c:baseTimeUnit val="days"/>
      </c:dateAx>
      <c:valAx>
        <c:axId val="7247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9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DE47DA-C0B8-4934-A6A8-6C751B88CBC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0F96B1-DA20-47B6-8167-D7E98C66AD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4.7699999999999996</v>
      </c>
      <c r="D2" s="4">
        <f>MIN(D3:D1912)</f>
        <v>0.27300000000000002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0.66700000000000004</v>
      </c>
      <c r="C5">
        <v>0.68820000000000003</v>
      </c>
      <c r="D5">
        <v>0.65190000000000003</v>
      </c>
      <c r="E5">
        <v>0.65239999999999998</v>
      </c>
      <c r="F5">
        <v>632271</v>
      </c>
      <c r="G5">
        <v>0.65239999999999998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-0.97245179063361187</v>
      </c>
      <c r="Q5">
        <f t="shared" ref="Q5" si="1">F5*P5</f>
        <v>-614853.06611570437</v>
      </c>
      <c r="R5">
        <f t="shared" ref="R5" si="2">R6+Q5</f>
        <v>-377541901.0466426</v>
      </c>
      <c r="S5">
        <f t="shared" ref="S5" si="3">R5/100000</f>
        <v>-3775.4190104664258</v>
      </c>
      <c r="T5">
        <f t="shared" ref="T5" si="4">S5/1000</f>
        <v>-3.7754190104664258</v>
      </c>
    </row>
    <row r="6" spans="1:20" x14ac:dyDescent="0.25">
      <c r="A6" s="5">
        <v>44587</v>
      </c>
      <c r="B6">
        <v>0.67120000000000002</v>
      </c>
      <c r="C6">
        <v>0.75180000000000002</v>
      </c>
      <c r="D6">
        <v>0.64119999999999999</v>
      </c>
      <c r="E6">
        <v>0.66859999999999997</v>
      </c>
      <c r="F6">
        <v>9565037</v>
      </c>
      <c r="G6">
        <v>0.66859999999999997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-0.50452079566003671</v>
      </c>
      <c r="Q6">
        <f t="shared" ref="Q6" si="6">F6*P6</f>
        <v>-4825760.077757691</v>
      </c>
      <c r="R6">
        <f t="shared" ref="R6" si="7">R7+Q6</f>
        <v>-376927047.98052692</v>
      </c>
      <c r="S6">
        <f t="shared" ref="S6" si="8">R6/100000</f>
        <v>-3769.2704798052691</v>
      </c>
      <c r="T6">
        <f t="shared" ref="T6" si="9">S6/1000</f>
        <v>-3.769270479805269</v>
      </c>
    </row>
    <row r="7" spans="1:20" x14ac:dyDescent="0.25">
      <c r="A7" s="5">
        <v>44586</v>
      </c>
      <c r="B7">
        <v>0.66690000000000005</v>
      </c>
      <c r="C7">
        <v>0.71460000000000001</v>
      </c>
      <c r="D7">
        <v>0.62460000000000004</v>
      </c>
      <c r="E7">
        <v>0.67120000000000002</v>
      </c>
      <c r="F7">
        <v>7977714</v>
      </c>
      <c r="G7">
        <v>0.67120000000000002</v>
      </c>
      <c r="L7" t="s">
        <v>7</v>
      </c>
      <c r="M7" t="s">
        <v>8</v>
      </c>
      <c r="N7" t="s">
        <v>7</v>
      </c>
      <c r="P7">
        <f t="shared" ref="P7" si="10">IF(C7=D7,0,((E7-D7)-(C7-E7))/(C7-D7))</f>
        <v>3.5555555555555354E-2</v>
      </c>
      <c r="Q7">
        <f t="shared" ref="Q7" si="11">F7*P7</f>
        <v>283652.05333333171</v>
      </c>
      <c r="R7">
        <f t="shared" ref="R7" si="12">R8+Q7</f>
        <v>-372101287.90276921</v>
      </c>
      <c r="S7">
        <f t="shared" ref="S7" si="13">R7/100000</f>
        <v>-3721.0128790276922</v>
      </c>
      <c r="T7">
        <f t="shared" ref="T7" si="14">S7/1000</f>
        <v>-3.7210128790276924</v>
      </c>
    </row>
    <row r="8" spans="1:20" x14ac:dyDescent="0.25">
      <c r="A8" s="5">
        <v>44585</v>
      </c>
      <c r="B8">
        <v>0.66049999999999998</v>
      </c>
      <c r="C8">
        <v>0.7409</v>
      </c>
      <c r="D8">
        <v>0.55840000000000001</v>
      </c>
      <c r="E8">
        <v>0.66539999999999999</v>
      </c>
      <c r="F8">
        <v>11880865</v>
      </c>
      <c r="G8">
        <v>0.66539999999999999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0.17260273972602724</v>
      </c>
      <c r="Q8">
        <f t="shared" ref="Q8" si="16">F8*P8</f>
        <v>2050669.8493150666</v>
      </c>
      <c r="R8">
        <f t="shared" ref="R8" si="17">R9+Q8</f>
        <v>-372384939.95610255</v>
      </c>
      <c r="S8">
        <f t="shared" ref="S8" si="18">R8/100000</f>
        <v>-3723.8493995610256</v>
      </c>
      <c r="T8">
        <f t="shared" ref="T8" si="19">S8/1000</f>
        <v>-3.7238493995610256</v>
      </c>
    </row>
    <row r="9" spans="1:20" x14ac:dyDescent="0.25">
      <c r="A9" s="5">
        <v>44584</v>
      </c>
      <c r="B9">
        <v>0.63229999999999997</v>
      </c>
      <c r="C9">
        <v>0.69259999999999999</v>
      </c>
      <c r="D9">
        <v>0.62270000000000003</v>
      </c>
      <c r="E9">
        <v>0.66049999999999998</v>
      </c>
      <c r="F9">
        <v>6374004</v>
      </c>
      <c r="G9">
        <v>0.66049999999999998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8.1545064377681414E-2</v>
      </c>
      <c r="Q9">
        <f t="shared" ref="Q9" si="21">F9*P9</f>
        <v>519768.56652359886</v>
      </c>
      <c r="R9">
        <f t="shared" ref="R9" si="22">R10+Q9</f>
        <v>-374435609.8054176</v>
      </c>
      <c r="S9">
        <f t="shared" ref="S9" si="23">R9/100000</f>
        <v>-3744.3560980541761</v>
      </c>
      <c r="T9">
        <f t="shared" ref="T9" si="24">S9/1000</f>
        <v>-3.7443560980541761</v>
      </c>
    </row>
    <row r="10" spans="1:20" x14ac:dyDescent="0.25">
      <c r="A10" s="5">
        <v>44583</v>
      </c>
      <c r="B10">
        <v>0.73380000000000001</v>
      </c>
      <c r="C10">
        <v>0.75590000000000002</v>
      </c>
      <c r="D10">
        <v>0.60440000000000005</v>
      </c>
      <c r="E10">
        <v>0.63119999999999998</v>
      </c>
      <c r="F10">
        <v>11151538</v>
      </c>
      <c r="G10">
        <v>0.63119999999999998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-0.64620462046204696</v>
      </c>
      <c r="Q10">
        <f t="shared" ref="Q10" si="26">F10*P10</f>
        <v>-7206175.3808580944</v>
      </c>
      <c r="R10">
        <f t="shared" ref="R10" si="27">R11+Q10</f>
        <v>-374955378.37194121</v>
      </c>
      <c r="S10">
        <f t="shared" ref="S10" si="28">R10/100000</f>
        <v>-3749.553783719412</v>
      </c>
      <c r="T10">
        <f t="shared" ref="T10" si="29">S10/1000</f>
        <v>-3.7495537837194122</v>
      </c>
    </row>
    <row r="11" spans="1:20" x14ac:dyDescent="0.25">
      <c r="A11" s="5">
        <v>44582</v>
      </c>
      <c r="B11">
        <v>0.88290000000000002</v>
      </c>
      <c r="C11">
        <v>0.91200000000000003</v>
      </c>
      <c r="D11">
        <v>0.70830000000000004</v>
      </c>
      <c r="E11">
        <v>0.73270000000000002</v>
      </c>
      <c r="F11">
        <v>12513956</v>
      </c>
      <c r="G11">
        <v>0.73270000000000002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-0.76043200785468845</v>
      </c>
      <c r="Q11">
        <f t="shared" ref="Q11" si="31">F11*P11</f>
        <v>-9516012.6872852258</v>
      </c>
      <c r="R11">
        <f t="shared" ref="R11" si="32">R12+Q11</f>
        <v>-367749202.99108309</v>
      </c>
      <c r="S11">
        <f t="shared" ref="S11" si="33">R11/100000</f>
        <v>-3677.4920299108308</v>
      </c>
      <c r="T11">
        <f t="shared" ref="T11" si="34">S11/1000</f>
        <v>-3.6774920299108307</v>
      </c>
    </row>
    <row r="12" spans="1:20" x14ac:dyDescent="0.25">
      <c r="A12" s="5">
        <v>44581</v>
      </c>
      <c r="B12">
        <v>0.9355</v>
      </c>
      <c r="C12">
        <v>0.99770000000000003</v>
      </c>
      <c r="D12">
        <v>0.87839999999999996</v>
      </c>
      <c r="E12">
        <v>0.88490000000000002</v>
      </c>
      <c r="F12">
        <v>5030813</v>
      </c>
      <c r="G12">
        <v>0.88490000000000002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-0.89103101424978948</v>
      </c>
      <c r="Q12">
        <f t="shared" ref="Q12" si="36">F12*P12</f>
        <v>-4482610.4098910261</v>
      </c>
      <c r="R12">
        <f t="shared" ref="R12" si="37">R13+Q12</f>
        <v>-358233190.30379784</v>
      </c>
      <c r="S12">
        <f t="shared" ref="S12" si="38">R12/100000</f>
        <v>-3582.3319030379785</v>
      </c>
      <c r="T12">
        <f t="shared" ref="T12" si="39">S12/1000</f>
        <v>-3.5823319030379785</v>
      </c>
    </row>
    <row r="13" spans="1:20" x14ac:dyDescent="0.25">
      <c r="A13" s="5">
        <v>44580</v>
      </c>
      <c r="B13">
        <v>0.98609999999999998</v>
      </c>
      <c r="C13">
        <v>1.0087999999999999</v>
      </c>
      <c r="D13">
        <v>0.92359999999999998</v>
      </c>
      <c r="E13">
        <v>0.93489999999999995</v>
      </c>
      <c r="F13">
        <v>5523959</v>
      </c>
      <c r="G13">
        <v>0.93489999999999995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-0.73474178403755908</v>
      </c>
      <c r="Q13">
        <f t="shared" ref="Q13" si="41">F13*P13</f>
        <v>-4058683.4906103308</v>
      </c>
      <c r="R13">
        <f t="shared" ref="R13" si="42">R14+Q13</f>
        <v>-353750579.89390683</v>
      </c>
      <c r="S13">
        <f t="shared" ref="S13" si="43">R13/100000</f>
        <v>-3537.5057989390684</v>
      </c>
      <c r="T13">
        <f t="shared" ref="T13" si="44">S13/1000</f>
        <v>-3.5375057989390686</v>
      </c>
    </row>
    <row r="14" spans="1:20" x14ac:dyDescent="0.25">
      <c r="A14" s="5">
        <v>44579</v>
      </c>
      <c r="B14">
        <v>1.0109999999999999</v>
      </c>
      <c r="C14">
        <v>1.0288999999999999</v>
      </c>
      <c r="D14">
        <v>0.93530000000000002</v>
      </c>
      <c r="E14">
        <v>0.98550000000000004</v>
      </c>
      <c r="F14">
        <v>6029654</v>
      </c>
      <c r="G14">
        <v>0.98550000000000004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7.2649572649574209E-2</v>
      </c>
      <c r="Q14">
        <f t="shared" ref="Q14" si="46">F14*P14</f>
        <v>438051.78632479574</v>
      </c>
      <c r="R14">
        <f t="shared" ref="R14" si="47">R15+Q14</f>
        <v>-349691896.40329653</v>
      </c>
      <c r="S14">
        <f t="shared" ref="S14" si="48">R14/100000</f>
        <v>-3496.9189640329655</v>
      </c>
      <c r="T14">
        <f t="shared" ref="T14" si="49">S14/1000</f>
        <v>-3.4969189640329654</v>
      </c>
    </row>
    <row r="15" spans="1:20" x14ac:dyDescent="0.25">
      <c r="A15" s="5">
        <v>44578</v>
      </c>
      <c r="B15">
        <v>1.085</v>
      </c>
      <c r="C15">
        <v>1.0903</v>
      </c>
      <c r="D15">
        <v>0.98919999999999997</v>
      </c>
      <c r="E15">
        <v>1.0115000000000001</v>
      </c>
      <c r="F15">
        <v>4808392</v>
      </c>
      <c r="G15">
        <v>1.0115000000000001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-0.55885262116715961</v>
      </c>
      <c r="Q15">
        <f t="shared" ref="Q15" si="51">F15*P15</f>
        <v>-2687182.472799201</v>
      </c>
      <c r="R15">
        <f t="shared" ref="R15" si="52">R16+Q15</f>
        <v>-350129948.18962133</v>
      </c>
      <c r="S15">
        <f t="shared" ref="S15" si="53">R15/100000</f>
        <v>-3501.2994818962134</v>
      </c>
      <c r="T15">
        <f t="shared" ref="T15" si="54">S15/1000</f>
        <v>-3.5012994818962135</v>
      </c>
    </row>
    <row r="16" spans="1:20" x14ac:dyDescent="0.25">
      <c r="A16" s="5">
        <v>44577</v>
      </c>
      <c r="B16">
        <v>1.1228</v>
      </c>
      <c r="C16">
        <v>1.133</v>
      </c>
      <c r="D16">
        <v>1.0621</v>
      </c>
      <c r="E16">
        <v>1.0861000000000001</v>
      </c>
      <c r="F16">
        <v>3647875</v>
      </c>
      <c r="G16">
        <v>1.0861000000000001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-0.32299012693935025</v>
      </c>
      <c r="Q16">
        <f t="shared" ref="Q16" si="56">F16*P16</f>
        <v>-1178227.6093088824</v>
      </c>
      <c r="R16">
        <f t="shared" ref="R16" si="57">R17+Q16</f>
        <v>-347442765.71682215</v>
      </c>
      <c r="S16">
        <f t="shared" ref="S16" si="58">R16/100000</f>
        <v>-3474.4276571682217</v>
      </c>
      <c r="T16">
        <f t="shared" ref="T16" si="59">S16/1000</f>
        <v>-3.4744276571682216</v>
      </c>
    </row>
    <row r="17" spans="1:20" x14ac:dyDescent="0.25">
      <c r="A17" s="5">
        <v>44576</v>
      </c>
      <c r="B17">
        <v>1.0904</v>
      </c>
      <c r="C17">
        <v>1.1399999999999999</v>
      </c>
      <c r="D17">
        <v>1.0801000000000001</v>
      </c>
      <c r="E17">
        <v>1.1216999999999999</v>
      </c>
      <c r="F17">
        <v>3959752</v>
      </c>
      <c r="G17">
        <v>1.1216999999999999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0.38898163606009911</v>
      </c>
      <c r="Q17">
        <f t="shared" ref="Q17" si="61">F17*P17</f>
        <v>1540270.8113522495</v>
      </c>
      <c r="R17">
        <f t="shared" ref="R17" si="62">R18+Q17</f>
        <v>-346264538.10751325</v>
      </c>
      <c r="S17">
        <f t="shared" ref="S17" si="63">R17/100000</f>
        <v>-3462.6453810751323</v>
      </c>
      <c r="T17">
        <f t="shared" ref="T17" si="64">S17/1000</f>
        <v>-3.4626453810751321</v>
      </c>
    </row>
    <row r="18" spans="1:20" x14ac:dyDescent="0.25">
      <c r="A18" s="5">
        <v>44575</v>
      </c>
      <c r="B18">
        <v>1.0881000000000001</v>
      </c>
      <c r="C18">
        <v>1.1463000000000001</v>
      </c>
      <c r="D18">
        <v>1.0458000000000001</v>
      </c>
      <c r="E18">
        <v>1.0900000000000001</v>
      </c>
      <c r="F18">
        <v>7673521</v>
      </c>
      <c r="G18">
        <v>1.0900000000000001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-0.12039800995024871</v>
      </c>
      <c r="Q18">
        <f t="shared" ref="Q18" si="66">F18*P18</f>
        <v>-923876.65771144244</v>
      </c>
      <c r="R18">
        <f t="shared" ref="R18" si="67">R19+Q18</f>
        <v>-347804808.9188655</v>
      </c>
      <c r="S18">
        <f t="shared" ref="S18" si="68">R18/100000</f>
        <v>-3478.048089188655</v>
      </c>
      <c r="T18">
        <f t="shared" ref="T18" si="69">S18/1000</f>
        <v>-3.4780480891886549</v>
      </c>
    </row>
    <row r="19" spans="1:20" x14ac:dyDescent="0.25">
      <c r="A19" s="5">
        <v>44574</v>
      </c>
      <c r="B19">
        <v>1.1634</v>
      </c>
      <c r="C19">
        <v>1.18</v>
      </c>
      <c r="D19">
        <v>1.0536000000000001</v>
      </c>
      <c r="E19">
        <v>1.0879000000000001</v>
      </c>
      <c r="F19">
        <v>13224703</v>
      </c>
      <c r="G19">
        <v>1.0879000000000001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-0.45727848101265761</v>
      </c>
      <c r="Q19">
        <f t="shared" ref="Q19" si="71">F19*P19</f>
        <v>-6047372.0996835362</v>
      </c>
      <c r="R19">
        <f t="shared" ref="R19" si="72">R20+Q19</f>
        <v>-346880932.26115406</v>
      </c>
      <c r="S19">
        <f t="shared" ref="S19" si="73">R19/100000</f>
        <v>-3468.8093226115407</v>
      </c>
      <c r="T19">
        <f t="shared" ref="T19" si="74">S19/1000</f>
        <v>-3.4688093226115408</v>
      </c>
    </row>
    <row r="20" spans="1:20" x14ac:dyDescent="0.25">
      <c r="A20" s="5">
        <v>44573</v>
      </c>
      <c r="B20">
        <v>0.96799999999999997</v>
      </c>
      <c r="C20">
        <v>1.2093</v>
      </c>
      <c r="D20">
        <v>0.94710000000000005</v>
      </c>
      <c r="E20">
        <v>1.1634</v>
      </c>
      <c r="F20">
        <v>18861412</v>
      </c>
      <c r="G20">
        <v>1.1634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0.64988558352402703</v>
      </c>
      <c r="Q20">
        <f t="shared" ref="Q20" si="76">F20*P20</f>
        <v>12257759.743707085</v>
      </c>
      <c r="R20">
        <f t="shared" ref="R20" si="77">R21+Q20</f>
        <v>-340833560.16147053</v>
      </c>
      <c r="S20">
        <f t="shared" ref="S20" si="78">R20/100000</f>
        <v>-3408.3356016147054</v>
      </c>
      <c r="T20">
        <f t="shared" ref="T20" si="79">S20/1000</f>
        <v>-3.4083356016147053</v>
      </c>
    </row>
    <row r="21" spans="1:20" x14ac:dyDescent="0.25">
      <c r="A21" s="5">
        <v>44572</v>
      </c>
      <c r="B21">
        <v>0.93769999999999998</v>
      </c>
      <c r="C21">
        <v>0.99390000000000001</v>
      </c>
      <c r="D21">
        <v>0.91349999999999998</v>
      </c>
      <c r="E21">
        <v>0.96730000000000005</v>
      </c>
      <c r="F21">
        <v>5202981</v>
      </c>
      <c r="G21">
        <v>0.96730000000000005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0.33830845771144408</v>
      </c>
      <c r="Q21">
        <f t="shared" ref="Q21" si="81">F21*P21</f>
        <v>1760212.4776119471</v>
      </c>
      <c r="R21">
        <f t="shared" ref="R21" si="82">R22+Q21</f>
        <v>-353091319.90517759</v>
      </c>
      <c r="S21">
        <f t="shared" ref="S21" si="83">R21/100000</f>
        <v>-3530.9131990517758</v>
      </c>
      <c r="T21">
        <f t="shared" ref="T21" si="84">S21/1000</f>
        <v>-3.5309131990517759</v>
      </c>
    </row>
    <row r="22" spans="1:20" x14ac:dyDescent="0.25">
      <c r="A22" s="5">
        <v>44571</v>
      </c>
      <c r="B22">
        <v>1.0141</v>
      </c>
      <c r="C22">
        <v>1.0328999999999999</v>
      </c>
      <c r="D22">
        <v>0.88739999999999997</v>
      </c>
      <c r="E22">
        <v>0.93789999999999996</v>
      </c>
      <c r="F22">
        <v>8268834</v>
      </c>
      <c r="G22">
        <v>0.93789999999999996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-0.3058419243986254</v>
      </c>
      <c r="Q22">
        <f t="shared" ref="Q22" si="86">F22*P22</f>
        <v>-2528956.1030927831</v>
      </c>
      <c r="R22">
        <f t="shared" ref="R22" si="87">R23+Q22</f>
        <v>-354851532.38278955</v>
      </c>
      <c r="S22">
        <f t="shared" ref="S22" si="88">R22/100000</f>
        <v>-3548.5153238278954</v>
      </c>
      <c r="T22">
        <f t="shared" ref="T22" si="89">S22/1000</f>
        <v>-3.5485153238278953</v>
      </c>
    </row>
    <row r="23" spans="1:20" x14ac:dyDescent="0.25">
      <c r="A23" s="5">
        <v>44570</v>
      </c>
      <c r="B23">
        <v>1.0101</v>
      </c>
      <c r="C23">
        <v>1.0629</v>
      </c>
      <c r="D23">
        <v>0.97799999999999998</v>
      </c>
      <c r="E23">
        <v>1.0138</v>
      </c>
      <c r="F23">
        <v>4708424</v>
      </c>
      <c r="G23">
        <v>1.0138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-0.15665488810364983</v>
      </c>
      <c r="Q23">
        <f t="shared" ref="Q23" si="91">F23*P23</f>
        <v>-737597.63486453937</v>
      </c>
      <c r="R23">
        <f t="shared" ref="R23" si="92">R24+Q23</f>
        <v>-352322576.27969676</v>
      </c>
      <c r="S23">
        <f t="shared" ref="S23" si="93">R23/100000</f>
        <v>-3523.2257627969675</v>
      </c>
      <c r="T23">
        <f t="shared" ref="T23" si="94">S23/1000</f>
        <v>-3.5232257627969674</v>
      </c>
    </row>
    <row r="24" spans="1:20" x14ac:dyDescent="0.25">
      <c r="A24" s="5">
        <v>44569</v>
      </c>
      <c r="B24">
        <v>1.0094000000000001</v>
      </c>
      <c r="C24">
        <v>1.0900000000000001</v>
      </c>
      <c r="D24">
        <v>0.97150000000000003</v>
      </c>
      <c r="E24">
        <v>1.0103</v>
      </c>
      <c r="F24">
        <v>7891485</v>
      </c>
      <c r="G24">
        <v>1.0103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-0.34514767932489571</v>
      </c>
      <c r="Q24">
        <f t="shared" ref="Q24" si="96">F24*P24</f>
        <v>-2723727.7341772248</v>
      </c>
      <c r="R24">
        <f t="shared" ref="R24" si="97">R25+Q24</f>
        <v>-351584978.64483219</v>
      </c>
      <c r="S24">
        <f t="shared" ref="S24" si="98">R24/100000</f>
        <v>-3515.849786448322</v>
      </c>
      <c r="T24">
        <f t="shared" ref="T24" si="99">S24/1000</f>
        <v>-3.5158497864483218</v>
      </c>
    </row>
    <row r="25" spans="1:20" x14ac:dyDescent="0.25">
      <c r="A25" s="5">
        <v>44568</v>
      </c>
      <c r="B25">
        <v>1.1161000000000001</v>
      </c>
      <c r="C25">
        <v>1.1162000000000001</v>
      </c>
      <c r="D25">
        <v>0.98399999999999999</v>
      </c>
      <c r="E25">
        <v>1.0094000000000001</v>
      </c>
      <c r="F25">
        <v>11847008</v>
      </c>
      <c r="G25">
        <v>1.0094000000000001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-0.61573373676248</v>
      </c>
      <c r="Q25">
        <f t="shared" ref="Q25" si="101">F25*P25</f>
        <v>-7294602.5052949945</v>
      </c>
      <c r="R25">
        <f t="shared" ref="R25" si="102">R26+Q25</f>
        <v>-348861250.91065496</v>
      </c>
      <c r="S25">
        <f t="shared" ref="S25" si="103">R25/100000</f>
        <v>-3488.6125091065496</v>
      </c>
      <c r="T25">
        <f t="shared" ref="T25" si="104">S25/1000</f>
        <v>-3.4886125091065496</v>
      </c>
    </row>
    <row r="26" spans="1:20" x14ac:dyDescent="0.25">
      <c r="A26" s="5">
        <v>44567</v>
      </c>
      <c r="B26">
        <v>1.1108</v>
      </c>
      <c r="C26">
        <v>1.127</v>
      </c>
      <c r="D26">
        <v>0.98199999999999998</v>
      </c>
      <c r="E26">
        <v>1.1162000000000001</v>
      </c>
      <c r="F26">
        <v>12907424</v>
      </c>
      <c r="G26">
        <v>1.1162000000000001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0.85103448275862181</v>
      </c>
      <c r="Q26">
        <f t="shared" ref="Q26" si="106">F26*P26</f>
        <v>10984662.907586221</v>
      </c>
      <c r="R26">
        <f t="shared" ref="R26" si="107">R27+Q26</f>
        <v>-341566648.40535998</v>
      </c>
      <c r="S26">
        <f t="shared" ref="S26" si="108">R26/100000</f>
        <v>-3415.6664840536</v>
      </c>
      <c r="T26">
        <f t="shared" ref="T26" si="109">S26/1000</f>
        <v>-3.4156664840536002</v>
      </c>
    </row>
    <row r="27" spans="1:20" x14ac:dyDescent="0.25">
      <c r="A27" s="5">
        <v>44566</v>
      </c>
      <c r="B27">
        <v>1.1398999999999999</v>
      </c>
      <c r="C27">
        <v>1.2721</v>
      </c>
      <c r="D27">
        <v>1.0581</v>
      </c>
      <c r="E27">
        <v>1.1125</v>
      </c>
      <c r="F27">
        <v>17148102</v>
      </c>
      <c r="G27">
        <v>1.1125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-0.49158878504672887</v>
      </c>
      <c r="Q27">
        <f t="shared" ref="Q27" si="111">F27*P27</f>
        <v>-8429814.6280373819</v>
      </c>
      <c r="R27">
        <f t="shared" ref="R27" si="112">R28+Q27</f>
        <v>-352551311.3129462</v>
      </c>
      <c r="S27">
        <f t="shared" ref="S27" si="113">R27/100000</f>
        <v>-3525.513113129462</v>
      </c>
      <c r="T27">
        <f t="shared" ref="T27" si="114">S27/1000</f>
        <v>-3.5255131131294619</v>
      </c>
    </row>
    <row r="28" spans="1:20" x14ac:dyDescent="0.25">
      <c r="A28" s="5">
        <v>44565</v>
      </c>
      <c r="B28">
        <v>1.1475</v>
      </c>
      <c r="C28">
        <v>1.1654</v>
      </c>
      <c r="D28">
        <v>1.1299999999999999</v>
      </c>
      <c r="E28">
        <v>1.1398999999999999</v>
      </c>
      <c r="F28">
        <v>5106118</v>
      </c>
      <c r="G28">
        <v>1.1398999999999999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-0.44067796610169535</v>
      </c>
      <c r="Q28">
        <f t="shared" ref="Q28" si="116">F28*P28</f>
        <v>-2250153.6949152565</v>
      </c>
      <c r="R28">
        <f t="shared" ref="R28" si="117">R29+Q28</f>
        <v>-344121496.68490881</v>
      </c>
      <c r="S28">
        <f t="shared" ref="S28" si="118">R28/100000</f>
        <v>-3441.2149668490879</v>
      </c>
      <c r="T28">
        <f t="shared" ref="T28" si="119">S28/1000</f>
        <v>-3.4412149668490879</v>
      </c>
    </row>
    <row r="29" spans="1:20" x14ac:dyDescent="0.25">
      <c r="A29" s="5">
        <v>44564</v>
      </c>
      <c r="B29">
        <v>1.1606000000000001</v>
      </c>
      <c r="C29">
        <v>1.1904999999999999</v>
      </c>
      <c r="D29">
        <v>1.1299999999999999</v>
      </c>
      <c r="E29">
        <v>1.1463000000000001</v>
      </c>
      <c r="F29">
        <v>4099289</v>
      </c>
      <c r="G29">
        <v>1.1463000000000001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-0.46115702479338172</v>
      </c>
      <c r="Q29">
        <f t="shared" ref="Q29" si="121">F29*P29</f>
        <v>-1890415.9190082368</v>
      </c>
      <c r="R29">
        <f t="shared" ref="R29" si="122">R30+Q29</f>
        <v>-341871342.98999357</v>
      </c>
      <c r="S29">
        <f t="shared" ref="S29" si="123">R29/100000</f>
        <v>-3418.7134298999358</v>
      </c>
      <c r="T29">
        <f t="shared" ref="T29" si="124">S29/1000</f>
        <v>-3.418713429899936</v>
      </c>
    </row>
    <row r="30" spans="1:20" x14ac:dyDescent="0.25">
      <c r="A30" s="5">
        <v>44563</v>
      </c>
      <c r="B30">
        <v>1.1718</v>
      </c>
      <c r="C30">
        <v>1.1896</v>
      </c>
      <c r="D30">
        <v>1.1491</v>
      </c>
      <c r="E30">
        <v>1.1609</v>
      </c>
      <c r="F30">
        <v>3643317</v>
      </c>
      <c r="G30">
        <v>1.1609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-0.41728395061728207</v>
      </c>
      <c r="Q30">
        <f t="shared" ref="Q30" si="126">F30*P30</f>
        <v>-1520297.7111111043</v>
      </c>
      <c r="R30">
        <f t="shared" ref="R30" si="127">R31+Q30</f>
        <v>-339980927.07098532</v>
      </c>
      <c r="S30">
        <f t="shared" ref="S30" si="128">R30/100000</f>
        <v>-3399.8092707098531</v>
      </c>
      <c r="T30">
        <f t="shared" ref="T30" si="129">S30/1000</f>
        <v>-3.3998092707098531</v>
      </c>
    </row>
    <row r="31" spans="1:20" x14ac:dyDescent="0.25">
      <c r="A31" s="5">
        <v>44562</v>
      </c>
      <c r="B31">
        <v>1.1339999999999999</v>
      </c>
      <c r="C31">
        <v>1.1877</v>
      </c>
      <c r="D31">
        <v>1.1315</v>
      </c>
      <c r="E31">
        <v>1.1706000000000001</v>
      </c>
      <c r="F31">
        <v>4007851</v>
      </c>
      <c r="G31">
        <v>1.1706000000000001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0.39145907473310021</v>
      </c>
      <c r="Q31">
        <f t="shared" ref="Q31" si="131">F31*P31</f>
        <v>1568909.6441281305</v>
      </c>
      <c r="R31">
        <f t="shared" ref="R31" si="132">R32+Q31</f>
        <v>-338460629.35987419</v>
      </c>
      <c r="S31">
        <f t="shared" ref="S31" si="133">R31/100000</f>
        <v>-3384.606293598742</v>
      </c>
      <c r="T31">
        <f t="shared" ref="T31" si="134">S31/1000</f>
        <v>-3.384606293598742</v>
      </c>
    </row>
    <row r="32" spans="1:20" x14ac:dyDescent="0.25">
      <c r="A32" s="5">
        <v>44561</v>
      </c>
      <c r="B32">
        <v>1.1284000000000001</v>
      </c>
      <c r="C32">
        <v>1.25</v>
      </c>
      <c r="D32">
        <v>1.107</v>
      </c>
      <c r="E32">
        <v>1.1339999999999999</v>
      </c>
      <c r="F32">
        <v>5406936</v>
      </c>
      <c r="G32">
        <v>1.1339999999999999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-0.62237762237762362</v>
      </c>
      <c r="Q32">
        <f t="shared" ref="Q32" si="136">F32*P32</f>
        <v>-3365155.9720279789</v>
      </c>
      <c r="R32">
        <f t="shared" ref="R32" si="137">R33+Q32</f>
        <v>-340029539.00400233</v>
      </c>
      <c r="S32">
        <f t="shared" ref="S32" si="138">R32/100000</f>
        <v>-3400.2953900400234</v>
      </c>
      <c r="T32">
        <f t="shared" ref="T32" si="139">S32/1000</f>
        <v>-3.4002953900400232</v>
      </c>
    </row>
    <row r="33" spans="1:20" x14ac:dyDescent="0.25">
      <c r="A33" s="5">
        <v>44560</v>
      </c>
      <c r="B33">
        <v>1.1289</v>
      </c>
      <c r="C33">
        <v>1.1759999999999999</v>
      </c>
      <c r="D33">
        <v>1.1072</v>
      </c>
      <c r="E33">
        <v>1.1282000000000001</v>
      </c>
      <c r="F33">
        <v>4124821</v>
      </c>
      <c r="G33">
        <v>1.1282000000000001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-0.38953488372092621</v>
      </c>
      <c r="Q33">
        <f t="shared" ref="Q33" si="141">F33*P33</f>
        <v>-1606761.6686046345</v>
      </c>
      <c r="R33">
        <f t="shared" ref="R33" si="142">R34+Q33</f>
        <v>-336664383.03197438</v>
      </c>
      <c r="S33">
        <f t="shared" ref="S33" si="143">R33/100000</f>
        <v>-3366.6438303197438</v>
      </c>
      <c r="T33">
        <f t="shared" ref="T33" si="144">S33/1000</f>
        <v>-3.3666438303197439</v>
      </c>
    </row>
    <row r="34" spans="1:20" x14ac:dyDescent="0.25">
      <c r="A34" s="5">
        <v>44559</v>
      </c>
      <c r="B34">
        <v>1.1780999999999999</v>
      </c>
      <c r="C34">
        <v>1.2148000000000001</v>
      </c>
      <c r="D34">
        <v>1.1169</v>
      </c>
      <c r="E34">
        <v>1.1287</v>
      </c>
      <c r="F34">
        <v>5702319</v>
      </c>
      <c r="G34">
        <v>1.1287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-0.75893769152196078</v>
      </c>
      <c r="Q34">
        <f t="shared" ref="Q34" si="146">F34*P34</f>
        <v>-4327704.8181818156</v>
      </c>
      <c r="R34">
        <f t="shared" ref="R34" si="147">R35+Q34</f>
        <v>-335057621.36336976</v>
      </c>
      <c r="S34">
        <f t="shared" ref="S34" si="148">R34/100000</f>
        <v>-3350.5762136336975</v>
      </c>
      <c r="T34">
        <f t="shared" ref="T34" si="149">S34/1000</f>
        <v>-3.3505762136336976</v>
      </c>
    </row>
    <row r="35" spans="1:20" x14ac:dyDescent="0.25">
      <c r="A35" s="5">
        <v>44558</v>
      </c>
      <c r="B35">
        <v>1.3210999999999999</v>
      </c>
      <c r="C35">
        <v>1.3225</v>
      </c>
      <c r="D35">
        <v>1.1594</v>
      </c>
      <c r="E35">
        <v>1.1780999999999999</v>
      </c>
      <c r="F35">
        <v>9930757</v>
      </c>
      <c r="G35">
        <v>1.1780999999999999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-0.77069282648681869</v>
      </c>
      <c r="Q35">
        <f t="shared" ref="Q35" si="151">F35*P35</f>
        <v>-7653563.1814837605</v>
      </c>
      <c r="R35">
        <f t="shared" ref="R35" si="152">R36+Q35</f>
        <v>-330729916.54518795</v>
      </c>
      <c r="S35">
        <f t="shared" ref="S35" si="153">R35/100000</f>
        <v>-3307.2991654518796</v>
      </c>
      <c r="T35">
        <f t="shared" ref="T35" si="154">S35/1000</f>
        <v>-3.3072991654518797</v>
      </c>
    </row>
    <row r="36" spans="1:20" x14ac:dyDescent="0.25">
      <c r="A36" s="5">
        <v>44557</v>
      </c>
      <c r="B36">
        <v>1.2747999999999999</v>
      </c>
      <c r="C36">
        <v>1.44</v>
      </c>
      <c r="D36">
        <v>1.2681</v>
      </c>
      <c r="E36">
        <v>1.321</v>
      </c>
      <c r="F36">
        <v>10959155</v>
      </c>
      <c r="G36">
        <v>1.321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-0.38452588714368857</v>
      </c>
      <c r="Q36">
        <f t="shared" ref="Q36" si="156">F36*P36</f>
        <v>-4214078.7987201903</v>
      </c>
      <c r="R36">
        <f t="shared" ref="R36" si="157">R37+Q36</f>
        <v>-323076353.3637042</v>
      </c>
      <c r="S36">
        <f t="shared" ref="S36" si="158">R36/100000</f>
        <v>-3230.7635336370422</v>
      </c>
      <c r="T36">
        <f t="shared" ref="T36" si="159">S36/1000</f>
        <v>-3.2307635336370422</v>
      </c>
    </row>
    <row r="37" spans="1:20" x14ac:dyDescent="0.25">
      <c r="A37" s="5">
        <v>44556</v>
      </c>
      <c r="B37">
        <v>1.2650999999999999</v>
      </c>
      <c r="C37">
        <v>1.2879</v>
      </c>
      <c r="D37">
        <v>1.2212000000000001</v>
      </c>
      <c r="E37">
        <v>1.2735000000000001</v>
      </c>
      <c r="F37">
        <v>4943178</v>
      </c>
      <c r="G37">
        <v>1.2735000000000001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0.56821589205397383</v>
      </c>
      <c r="Q37">
        <f t="shared" ref="Q37" si="161">F37*P37</f>
        <v>2808792.2968515782</v>
      </c>
      <c r="R37">
        <f t="shared" ref="R37" si="162">R38+Q37</f>
        <v>-318862274.56498402</v>
      </c>
      <c r="S37">
        <f t="shared" ref="S37" si="163">R37/100000</f>
        <v>-3188.6227456498405</v>
      </c>
      <c r="T37">
        <f t="shared" ref="T37" si="164">S37/1000</f>
        <v>-3.1886227456498406</v>
      </c>
    </row>
    <row r="38" spans="1:20" x14ac:dyDescent="0.25">
      <c r="A38" s="5">
        <v>44555</v>
      </c>
      <c r="B38">
        <v>1.2232000000000001</v>
      </c>
      <c r="C38">
        <v>1.2948999999999999</v>
      </c>
      <c r="D38">
        <v>1.2121</v>
      </c>
      <c r="E38">
        <v>1.2654000000000001</v>
      </c>
      <c r="F38">
        <v>5492235</v>
      </c>
      <c r="G38">
        <v>1.2654000000000001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0.28743961352657332</v>
      </c>
      <c r="Q38">
        <f t="shared" ref="Q38" si="166">F38*P38</f>
        <v>1578685.9057971195</v>
      </c>
      <c r="R38">
        <f t="shared" ref="R38" si="167">R39+Q38</f>
        <v>-321671066.8618356</v>
      </c>
      <c r="S38">
        <f t="shared" ref="S38" si="168">R38/100000</f>
        <v>-3216.7106686183561</v>
      </c>
      <c r="T38">
        <f t="shared" ref="T38" si="169">S38/1000</f>
        <v>-3.2167106686183562</v>
      </c>
    </row>
    <row r="39" spans="1:20" x14ac:dyDescent="0.25">
      <c r="A39" s="5">
        <v>44554</v>
      </c>
      <c r="B39">
        <v>1.2748999999999999</v>
      </c>
      <c r="C39">
        <v>1.34</v>
      </c>
      <c r="D39">
        <v>1.2076</v>
      </c>
      <c r="E39">
        <v>1.2219</v>
      </c>
      <c r="F39">
        <v>11475636</v>
      </c>
      <c r="G39">
        <v>1.2219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-0.7839879154078554</v>
      </c>
      <c r="Q39">
        <f t="shared" ref="Q39" si="171">F39*P39</f>
        <v>-8996759.945619341</v>
      </c>
      <c r="R39">
        <f t="shared" ref="R39" si="172">R40+Q39</f>
        <v>-323249752.76763272</v>
      </c>
      <c r="S39">
        <f t="shared" ref="S39" si="173">R39/100000</f>
        <v>-3232.4975276763271</v>
      </c>
      <c r="T39">
        <f t="shared" ref="T39" si="174">S39/1000</f>
        <v>-3.232497527676327</v>
      </c>
    </row>
    <row r="40" spans="1:20" x14ac:dyDescent="0.25">
      <c r="A40" s="5">
        <v>44553</v>
      </c>
      <c r="B40">
        <v>1.2039</v>
      </c>
      <c r="C40">
        <v>1.3158000000000001</v>
      </c>
      <c r="D40">
        <v>1.1620999999999999</v>
      </c>
      <c r="E40">
        <v>1.2746999999999999</v>
      </c>
      <c r="F40">
        <v>14965578</v>
      </c>
      <c r="G40">
        <v>1.2746999999999999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0.46519193233571776</v>
      </c>
      <c r="Q40">
        <f t="shared" ref="Q40" si="176">F40*P40</f>
        <v>6961866.148340906</v>
      </c>
      <c r="R40">
        <f t="shared" ref="R40" si="177">R41+Q40</f>
        <v>-314252992.82201338</v>
      </c>
      <c r="S40">
        <f t="shared" ref="S40" si="178">R40/100000</f>
        <v>-3142.5299282201336</v>
      </c>
      <c r="T40">
        <f t="shared" ref="T40" si="179">S40/1000</f>
        <v>-3.1425299282201338</v>
      </c>
    </row>
    <row r="41" spans="1:20" x14ac:dyDescent="0.25">
      <c r="A41" s="5">
        <v>44552</v>
      </c>
      <c r="B41">
        <v>1.2029000000000001</v>
      </c>
      <c r="C41">
        <v>1.264</v>
      </c>
      <c r="D41">
        <v>1.1712</v>
      </c>
      <c r="E41">
        <v>1.2035</v>
      </c>
      <c r="F41">
        <v>10815576</v>
      </c>
      <c r="G41">
        <v>1.2035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-0.30387931034482762</v>
      </c>
      <c r="Q41">
        <f t="shared" ref="Q41" si="181">F41*P41</f>
        <v>-3286629.7758620693</v>
      </c>
      <c r="R41">
        <f t="shared" ref="R41" si="182">R42+Q41</f>
        <v>-321214858.97035426</v>
      </c>
      <c r="S41">
        <f t="shared" ref="S41" si="183">R41/100000</f>
        <v>-3212.1485897035427</v>
      </c>
      <c r="T41">
        <f t="shared" ref="T41" si="184">S41/1000</f>
        <v>-3.2121485897035429</v>
      </c>
    </row>
    <row r="42" spans="1:20" x14ac:dyDescent="0.25">
      <c r="A42" s="5">
        <v>44551</v>
      </c>
      <c r="B42">
        <v>1.1976</v>
      </c>
      <c r="C42">
        <v>1.2886</v>
      </c>
      <c r="D42">
        <v>1.1788000000000001</v>
      </c>
      <c r="E42">
        <v>1.2013</v>
      </c>
      <c r="F42">
        <v>15681218</v>
      </c>
      <c r="G42">
        <v>1.2013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-0.59016393442622972</v>
      </c>
      <c r="Q42">
        <f t="shared" ref="Q42" si="186">F42*P42</f>
        <v>-9254489.3114754129</v>
      </c>
      <c r="R42">
        <f t="shared" ref="R42" si="187">R43+Q42</f>
        <v>-317928229.19449216</v>
      </c>
      <c r="S42">
        <f t="shared" ref="S42" si="188">R42/100000</f>
        <v>-3179.2822919449218</v>
      </c>
      <c r="T42">
        <f t="shared" ref="T42" si="189">S42/1000</f>
        <v>-3.1792822919449217</v>
      </c>
    </row>
    <row r="43" spans="1:20" x14ac:dyDescent="0.25">
      <c r="A43" s="5">
        <v>44550</v>
      </c>
      <c r="B43">
        <v>1.1577999999999999</v>
      </c>
      <c r="C43">
        <v>1.2784</v>
      </c>
      <c r="D43">
        <v>1.0680000000000001</v>
      </c>
      <c r="E43">
        <v>1.1969000000000001</v>
      </c>
      <c r="F43">
        <v>13991442</v>
      </c>
      <c r="G43">
        <v>1.1969000000000001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0.22528517110266219</v>
      </c>
      <c r="Q43">
        <f t="shared" ref="Q43" si="191">F43*P43</f>
        <v>3152064.404942974</v>
      </c>
      <c r="R43">
        <f t="shared" ref="R43" si="192">R44+Q43</f>
        <v>-308673739.88301677</v>
      </c>
      <c r="S43">
        <f t="shared" ref="S43" si="193">R43/100000</f>
        <v>-3086.7373988301679</v>
      </c>
      <c r="T43">
        <f t="shared" ref="T43" si="194">S43/1000</f>
        <v>-3.0867373988301678</v>
      </c>
    </row>
    <row r="44" spans="1:20" x14ac:dyDescent="0.25">
      <c r="A44" s="5">
        <v>44549</v>
      </c>
      <c r="B44">
        <v>1.2321</v>
      </c>
      <c r="C44">
        <v>1.2423999999999999</v>
      </c>
      <c r="D44">
        <v>1.1560999999999999</v>
      </c>
      <c r="E44">
        <v>1.1592</v>
      </c>
      <c r="F44">
        <v>5642498</v>
      </c>
      <c r="G44">
        <v>1.1592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-0.92815758980301044</v>
      </c>
      <c r="Q44">
        <f t="shared" ref="Q44" si="196">F44*P44</f>
        <v>-5237127.3441483071</v>
      </c>
      <c r="R44">
        <f t="shared" ref="R44" si="197">R45+Q44</f>
        <v>-311825804.28795975</v>
      </c>
      <c r="S44">
        <f t="shared" ref="S44" si="198">R44/100000</f>
        <v>-3118.2580428795977</v>
      </c>
      <c r="T44">
        <f t="shared" ref="T44" si="199">S44/1000</f>
        <v>-3.1182580428795976</v>
      </c>
    </row>
    <row r="45" spans="1:20" x14ac:dyDescent="0.25">
      <c r="A45" s="5">
        <v>44548</v>
      </c>
      <c r="B45">
        <v>1.2250000000000001</v>
      </c>
      <c r="C45">
        <v>1.2911999999999999</v>
      </c>
      <c r="D45">
        <v>1.1976</v>
      </c>
      <c r="E45">
        <v>1.234</v>
      </c>
      <c r="F45">
        <v>6540722</v>
      </c>
      <c r="G45">
        <v>1.234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-0.22222222222222168</v>
      </c>
      <c r="Q45">
        <f t="shared" ref="Q45" si="201">F45*P45</f>
        <v>-1453493.7777777743</v>
      </c>
      <c r="R45">
        <f t="shared" ref="R45" si="202">R46+Q45</f>
        <v>-306588676.94381148</v>
      </c>
      <c r="S45">
        <f t="shared" ref="S45" si="203">R45/100000</f>
        <v>-3065.8867694381147</v>
      </c>
      <c r="T45">
        <f t="shared" ref="T45" si="204">S45/1000</f>
        <v>-3.0658867694381149</v>
      </c>
    </row>
    <row r="46" spans="1:20" x14ac:dyDescent="0.25">
      <c r="A46" s="5">
        <v>44547</v>
      </c>
      <c r="B46">
        <v>1.2222999999999999</v>
      </c>
      <c r="C46">
        <v>1.2534000000000001</v>
      </c>
      <c r="D46">
        <v>1.1474</v>
      </c>
      <c r="E46">
        <v>1.2266999999999999</v>
      </c>
      <c r="F46">
        <v>10137660</v>
      </c>
      <c r="G46">
        <v>1.2266999999999999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0.4962264150943369</v>
      </c>
      <c r="Q46">
        <f t="shared" ref="Q46" si="206">F46*P46</f>
        <v>5030574.6792452559</v>
      </c>
      <c r="R46">
        <f t="shared" ref="R46" si="207">R47+Q46</f>
        <v>-305135183.16603369</v>
      </c>
      <c r="S46">
        <f t="shared" ref="S46" si="208">R46/100000</f>
        <v>-3051.3518316603368</v>
      </c>
      <c r="T46">
        <f t="shared" ref="T46" si="209">S46/1000</f>
        <v>-3.051351831660337</v>
      </c>
    </row>
    <row r="47" spans="1:20" x14ac:dyDescent="0.25">
      <c r="A47" s="5">
        <v>44546</v>
      </c>
      <c r="B47">
        <v>1.3223</v>
      </c>
      <c r="C47">
        <v>1.4085000000000001</v>
      </c>
      <c r="D47">
        <v>1.2068000000000001</v>
      </c>
      <c r="E47">
        <v>1.2224999999999999</v>
      </c>
      <c r="F47">
        <v>10967015</v>
      </c>
      <c r="G47">
        <v>1.2224999999999999</v>
      </c>
      <c r="L47" t="s">
        <v>7</v>
      </c>
      <c r="M47" t="s">
        <v>7</v>
      </c>
      <c r="N47" t="s">
        <v>8</v>
      </c>
      <c r="P47">
        <f t="shared" ref="P47" si="210">IF(C47=D47,0,((E47-D47)-(C47-E47))/(C47-D47))</f>
        <v>-0.8443232523549844</v>
      </c>
      <c r="Q47">
        <f t="shared" ref="Q47" si="211">F47*P47</f>
        <v>-9259705.7734258994</v>
      </c>
      <c r="R47">
        <f t="shared" ref="R47" si="212">R48+Q47</f>
        <v>-310165757.84527892</v>
      </c>
      <c r="S47">
        <f t="shared" ref="S47" si="213">R47/100000</f>
        <v>-3101.657578452789</v>
      </c>
      <c r="T47">
        <f t="shared" ref="T47" si="214">S47/1000</f>
        <v>-3.1016575784527891</v>
      </c>
    </row>
    <row r="48" spans="1:20" x14ac:dyDescent="0.25">
      <c r="A48" s="5">
        <v>44545</v>
      </c>
      <c r="B48">
        <v>1.2739</v>
      </c>
      <c r="C48">
        <v>1.494</v>
      </c>
      <c r="D48">
        <v>1.1757</v>
      </c>
      <c r="E48">
        <v>1.3212999999999999</v>
      </c>
      <c r="F48">
        <v>45122113</v>
      </c>
      <c r="G48">
        <v>1.3212999999999999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-8.5139805215206157E-2</v>
      </c>
      <c r="Q48">
        <f t="shared" ref="Q48" si="216">F48*P48</f>
        <v>-3841687.9117185217</v>
      </c>
      <c r="R48">
        <f t="shared" ref="R48" si="217">R49+Q48</f>
        <v>-300906052.07185304</v>
      </c>
      <c r="S48">
        <f t="shared" ref="S48" si="218">R48/100000</f>
        <v>-3009.0605207185304</v>
      </c>
      <c r="T48">
        <f t="shared" ref="T48" si="219">S48/1000</f>
        <v>-3.0090605207185304</v>
      </c>
    </row>
    <row r="49" spans="1:20" x14ac:dyDescent="0.25">
      <c r="A49" s="5">
        <v>44544</v>
      </c>
      <c r="B49">
        <v>1.0769</v>
      </c>
      <c r="C49">
        <v>1.4644999999999999</v>
      </c>
      <c r="D49">
        <v>1.0289999999999999</v>
      </c>
      <c r="E49">
        <v>1.2746</v>
      </c>
      <c r="F49">
        <v>27642869</v>
      </c>
      <c r="G49">
        <v>1.2746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0.12789896670493706</v>
      </c>
      <c r="Q49">
        <f t="shared" ref="Q49" si="221">F49*P49</f>
        <v>3535494.3818599368</v>
      </c>
      <c r="R49">
        <f t="shared" ref="R49" si="222">R50+Q49</f>
        <v>-297064364.16013449</v>
      </c>
      <c r="S49">
        <f t="shared" ref="S49" si="223">R49/100000</f>
        <v>-2970.6436416013448</v>
      </c>
      <c r="T49">
        <f t="shared" ref="T49" si="224">S49/1000</f>
        <v>-2.9706436416013449</v>
      </c>
    </row>
    <row r="50" spans="1:20" x14ac:dyDescent="0.25">
      <c r="A50" s="5">
        <v>44543</v>
      </c>
      <c r="B50">
        <v>1.2673000000000001</v>
      </c>
      <c r="C50">
        <v>1.2802</v>
      </c>
      <c r="D50">
        <v>1.0589999999999999</v>
      </c>
      <c r="E50">
        <v>1.0773999999999999</v>
      </c>
      <c r="F50">
        <v>9892251</v>
      </c>
      <c r="G50">
        <v>1.0773999999999999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-0.83363471971066938</v>
      </c>
      <c r="Q50">
        <f t="shared" ref="Q50" si="226">F50*P50</f>
        <v>-8246523.8896925887</v>
      </c>
      <c r="R50">
        <f t="shared" ref="R50" si="227">R51+Q50</f>
        <v>-300599858.54199445</v>
      </c>
      <c r="S50">
        <f t="shared" ref="S50" si="228">R50/100000</f>
        <v>-3005.9985854199444</v>
      </c>
      <c r="T50">
        <f t="shared" ref="T50" si="229">S50/1000</f>
        <v>-3.0059985854199445</v>
      </c>
    </row>
    <row r="51" spans="1:20" x14ac:dyDescent="0.25">
      <c r="A51" s="5">
        <v>44542</v>
      </c>
      <c r="B51">
        <v>1.2297</v>
      </c>
      <c r="C51">
        <v>1.32</v>
      </c>
      <c r="D51">
        <v>1.1887000000000001</v>
      </c>
      <c r="E51">
        <v>1.2688999999999999</v>
      </c>
      <c r="F51">
        <v>7433340</v>
      </c>
      <c r="G51">
        <v>1.2688999999999999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0.22162985529321924</v>
      </c>
      <c r="Q51">
        <f t="shared" ref="Q51" si="231">F51*P51</f>
        <v>1647450.0685452984</v>
      </c>
      <c r="R51">
        <f t="shared" ref="R51" si="232">R52+Q51</f>
        <v>-292353334.65230185</v>
      </c>
      <c r="S51">
        <f t="shared" ref="S51" si="233">R51/100000</f>
        <v>-2923.5333465230183</v>
      </c>
      <c r="T51">
        <f t="shared" ref="T51" si="234">S51/1000</f>
        <v>-2.9235333465230182</v>
      </c>
    </row>
    <row r="52" spans="1:20" x14ac:dyDescent="0.25">
      <c r="A52" s="5">
        <v>44541</v>
      </c>
      <c r="B52">
        <v>1.2020999999999999</v>
      </c>
      <c r="C52">
        <v>1.2291000000000001</v>
      </c>
      <c r="D52">
        <v>1.1700999999999999</v>
      </c>
      <c r="E52">
        <v>1.2226999999999999</v>
      </c>
      <c r="F52">
        <v>839022</v>
      </c>
      <c r="G52">
        <v>1.2226999999999999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0.78305084745762155</v>
      </c>
      <c r="Q52">
        <f t="shared" ref="Q52" si="236">F52*P52</f>
        <v>656996.8881355885</v>
      </c>
      <c r="R52">
        <f t="shared" ref="R52" si="237">R53+Q52</f>
        <v>-294000784.72084713</v>
      </c>
      <c r="S52">
        <f t="shared" ref="S52" si="238">R52/100000</f>
        <v>-2940.0078472084715</v>
      </c>
      <c r="T52">
        <f t="shared" ref="T52" si="239">S52/1000</f>
        <v>-2.9400078472084714</v>
      </c>
    </row>
    <row r="53" spans="1:20" x14ac:dyDescent="0.25">
      <c r="A53" s="5">
        <v>44540</v>
      </c>
      <c r="B53">
        <v>1.2972999999999999</v>
      </c>
      <c r="C53">
        <v>1.4072</v>
      </c>
      <c r="D53">
        <v>1.1940999999999999</v>
      </c>
      <c r="E53">
        <v>1.2005999999999999</v>
      </c>
      <c r="F53">
        <v>15375751</v>
      </c>
      <c r="G53">
        <v>1.2005999999999999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-0.93899577663069034</v>
      </c>
      <c r="Q53">
        <f t="shared" ref="Q53" si="241">F53*P53</f>
        <v>-14437765.251525113</v>
      </c>
      <c r="R53">
        <f t="shared" ref="R53" si="242">R54+Q53</f>
        <v>-294657781.60898274</v>
      </c>
      <c r="S53">
        <f t="shared" ref="S53" si="243">R53/100000</f>
        <v>-2946.5778160898276</v>
      </c>
      <c r="T53">
        <f t="shared" ref="T53" si="244">S53/1000</f>
        <v>-2.9465778160898277</v>
      </c>
    </row>
    <row r="54" spans="1:20" x14ac:dyDescent="0.25">
      <c r="A54" s="5">
        <v>44539</v>
      </c>
      <c r="B54">
        <v>1.5749</v>
      </c>
      <c r="C54">
        <v>1.61</v>
      </c>
      <c r="D54">
        <v>1.2972999999999999</v>
      </c>
      <c r="E54">
        <v>1.2972999999999999</v>
      </c>
      <c r="F54">
        <v>13945850</v>
      </c>
      <c r="G54">
        <v>1.2972999999999999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-1</v>
      </c>
      <c r="Q54">
        <f t="shared" ref="Q54" si="246">F54*P54</f>
        <v>-13945850</v>
      </c>
      <c r="R54">
        <f t="shared" ref="R54" si="247">R55+Q54</f>
        <v>-280220016.35745764</v>
      </c>
      <c r="S54">
        <f t="shared" ref="S54" si="248">R54/100000</f>
        <v>-2802.2001635745764</v>
      </c>
      <c r="T54">
        <f t="shared" ref="T54" si="249">S54/1000</f>
        <v>-2.8022001635745766</v>
      </c>
    </row>
    <row r="55" spans="1:20" x14ac:dyDescent="0.25">
      <c r="A55" s="5">
        <v>44538</v>
      </c>
      <c r="B55">
        <v>1.5378000000000001</v>
      </c>
      <c r="C55">
        <v>1.6506000000000001</v>
      </c>
      <c r="D55">
        <v>1.4923999999999999</v>
      </c>
      <c r="E55">
        <v>1.5745</v>
      </c>
      <c r="F55">
        <v>15632662</v>
      </c>
      <c r="G55">
        <v>1.5745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3.7926675094816696E-2</v>
      </c>
      <c r="Q55">
        <f t="shared" ref="Q55" si="251">F55*P55</f>
        <v>592894.89254108735</v>
      </c>
      <c r="R55">
        <f t="shared" ref="R55" si="252">R56+Q55</f>
        <v>-266274166.35745764</v>
      </c>
      <c r="S55">
        <f t="shared" ref="S55" si="253">R55/100000</f>
        <v>-2662.7416635745763</v>
      </c>
      <c r="T55">
        <f t="shared" ref="T55" si="254">S55/1000</f>
        <v>-2.6627416635745762</v>
      </c>
    </row>
    <row r="56" spans="1:20" x14ac:dyDescent="0.25">
      <c r="A56" s="5">
        <v>44537</v>
      </c>
      <c r="B56">
        <v>1.6371</v>
      </c>
      <c r="C56">
        <v>1.8472999999999999</v>
      </c>
      <c r="D56">
        <v>1.5037</v>
      </c>
      <c r="E56">
        <v>1.5387</v>
      </c>
      <c r="F56">
        <v>50003006</v>
      </c>
      <c r="G56">
        <v>1.5387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-0.7962747380675208</v>
      </c>
      <c r="Q56">
        <f t="shared" ref="Q56" si="256">F56*P56</f>
        <v>-39816130.505238675</v>
      </c>
      <c r="R56">
        <f t="shared" ref="R56" si="257">R57+Q56</f>
        <v>-266867061.24999872</v>
      </c>
      <c r="S56">
        <f t="shared" ref="S56" si="258">R56/100000</f>
        <v>-2668.6706124999873</v>
      </c>
      <c r="T56">
        <f t="shared" ref="T56" si="259">S56/1000</f>
        <v>-2.6686706124999873</v>
      </c>
    </row>
    <row r="57" spans="1:20" x14ac:dyDescent="0.25">
      <c r="A57" s="5">
        <v>44536</v>
      </c>
      <c r="B57">
        <v>1.2664</v>
      </c>
      <c r="C57">
        <v>1.7</v>
      </c>
      <c r="D57">
        <v>1.0196000000000001</v>
      </c>
      <c r="E57">
        <v>1.6397999999999999</v>
      </c>
      <c r="F57">
        <v>64974187</v>
      </c>
      <c r="G57">
        <v>1.6397999999999999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0.82304526748971185</v>
      </c>
      <c r="Q57">
        <f t="shared" ref="Q57" si="261">F57*P57</f>
        <v>53476697.11934156</v>
      </c>
      <c r="R57">
        <f t="shared" ref="R57" si="262">R58+Q57</f>
        <v>-227050930.74476004</v>
      </c>
      <c r="S57">
        <f t="shared" ref="S57" si="263">R57/100000</f>
        <v>-2270.5093074476003</v>
      </c>
      <c r="T57">
        <f t="shared" ref="T57" si="264">S57/1000</f>
        <v>-2.2705093074476004</v>
      </c>
    </row>
    <row r="58" spans="1:20" x14ac:dyDescent="0.25">
      <c r="A58" s="5">
        <v>44535</v>
      </c>
      <c r="B58">
        <v>1.413</v>
      </c>
      <c r="C58">
        <v>1.4399</v>
      </c>
      <c r="D58">
        <v>1.1929000000000001</v>
      </c>
      <c r="E58">
        <v>1.2662</v>
      </c>
      <c r="F58">
        <v>10335430</v>
      </c>
      <c r="G58">
        <v>1.2662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-0.40647773279352262</v>
      </c>
      <c r="Q58">
        <f t="shared" ref="Q58" si="266">F58*P58</f>
        <v>-4201122.1538461577</v>
      </c>
      <c r="R58">
        <f t="shared" ref="R58" si="267">R59+Q58</f>
        <v>-280527627.86410159</v>
      </c>
      <c r="S58">
        <f t="shared" ref="S58" si="268">R58/100000</f>
        <v>-2805.2762786410158</v>
      </c>
      <c r="T58">
        <f t="shared" ref="T58" si="269">S58/1000</f>
        <v>-2.8052762786410157</v>
      </c>
    </row>
    <row r="59" spans="1:20" x14ac:dyDescent="0.25">
      <c r="A59" s="5">
        <v>44534</v>
      </c>
      <c r="B59">
        <v>1.6205000000000001</v>
      </c>
      <c r="C59">
        <v>1.6261000000000001</v>
      </c>
      <c r="D59">
        <v>1.1600999999999999</v>
      </c>
      <c r="E59">
        <v>1.4156</v>
      </c>
      <c r="F59">
        <v>15601962</v>
      </c>
      <c r="G59">
        <v>1.4156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9.6566523605150029E-2</v>
      </c>
      <c r="Q59">
        <f t="shared" ref="Q59" si="271">F59*P59</f>
        <v>1506627.2317596537</v>
      </c>
      <c r="R59">
        <f t="shared" ref="R59" si="272">R60+Q59</f>
        <v>-276326505.71025544</v>
      </c>
      <c r="S59">
        <f t="shared" ref="S59" si="273">R59/100000</f>
        <v>-2763.2650571025542</v>
      </c>
      <c r="T59">
        <f t="shared" ref="T59" si="274">S59/1000</f>
        <v>-2.7632650571025543</v>
      </c>
    </row>
    <row r="60" spans="1:20" x14ac:dyDescent="0.25">
      <c r="A60" s="5">
        <v>44533</v>
      </c>
      <c r="B60">
        <v>1.7293000000000001</v>
      </c>
      <c r="C60">
        <v>1.8241000000000001</v>
      </c>
      <c r="D60">
        <v>1.5679000000000001</v>
      </c>
      <c r="E60">
        <v>1.6215999999999999</v>
      </c>
      <c r="F60">
        <v>9502167</v>
      </c>
      <c r="G60">
        <v>1.6215999999999999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-0.58079625292740156</v>
      </c>
      <c r="Q60">
        <f t="shared" ref="Q60" si="276">F60*P60</f>
        <v>-5518822.9882904086</v>
      </c>
      <c r="R60">
        <f t="shared" ref="R60" si="277">R61+Q60</f>
        <v>-277833132.94201511</v>
      </c>
      <c r="S60">
        <f t="shared" ref="S60" si="278">R60/100000</f>
        <v>-2778.3313294201512</v>
      </c>
      <c r="T60">
        <f t="shared" ref="T60" si="279">S60/1000</f>
        <v>-2.7783313294201513</v>
      </c>
    </row>
    <row r="61" spans="1:20" x14ac:dyDescent="0.25">
      <c r="A61" s="5">
        <v>44532</v>
      </c>
      <c r="B61">
        <v>1.8684000000000001</v>
      </c>
      <c r="C61">
        <v>1.8725000000000001</v>
      </c>
      <c r="D61">
        <v>1.6975</v>
      </c>
      <c r="E61">
        <v>1.7289000000000001</v>
      </c>
      <c r="F61">
        <v>12232546</v>
      </c>
      <c r="G61">
        <v>1.7289000000000001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-0.64114285714285613</v>
      </c>
      <c r="Q61">
        <f t="shared" ref="Q61" si="281">F61*P61</f>
        <v>-7842809.4925714163</v>
      </c>
      <c r="R61">
        <f t="shared" ref="R61" si="282">R62+Q61</f>
        <v>-272314309.95372468</v>
      </c>
      <c r="S61">
        <f t="shared" ref="S61" si="283">R61/100000</f>
        <v>-2723.1430995372466</v>
      </c>
      <c r="T61">
        <f t="shared" ref="T61" si="284">S61/1000</f>
        <v>-2.7231430995372468</v>
      </c>
    </row>
    <row r="62" spans="1:20" x14ac:dyDescent="0.25">
      <c r="A62" s="5">
        <v>44531</v>
      </c>
      <c r="B62">
        <v>1.8374999999999999</v>
      </c>
      <c r="C62">
        <v>2.085</v>
      </c>
      <c r="D62">
        <v>1.8164</v>
      </c>
      <c r="E62">
        <v>1.8707</v>
      </c>
      <c r="F62">
        <v>15171631</v>
      </c>
      <c r="G62">
        <v>1.8707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-0.59568131049888295</v>
      </c>
      <c r="Q62">
        <f t="shared" ref="Q62" si="286">F62*P62</f>
        <v>-9037457.0364854783</v>
      </c>
      <c r="R62">
        <f t="shared" ref="R62" si="287">R63+Q62</f>
        <v>-264471500.46115327</v>
      </c>
      <c r="S62">
        <f t="shared" ref="S62" si="288">R62/100000</f>
        <v>-2644.7150046115325</v>
      </c>
      <c r="T62">
        <f t="shared" ref="T62" si="289">S62/1000</f>
        <v>-2.6447150046115326</v>
      </c>
    </row>
    <row r="63" spans="1:20" x14ac:dyDescent="0.25">
      <c r="A63" s="5">
        <v>44530</v>
      </c>
      <c r="B63">
        <v>1.7858000000000001</v>
      </c>
      <c r="C63">
        <v>1.9887999999999999</v>
      </c>
      <c r="D63">
        <v>1.7476</v>
      </c>
      <c r="E63">
        <v>1.8322000000000001</v>
      </c>
      <c r="F63">
        <v>13331724</v>
      </c>
      <c r="G63">
        <v>1.8322000000000001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-0.29850746268656669</v>
      </c>
      <c r="Q63">
        <f t="shared" ref="Q63" si="291">F63*P63</f>
        <v>-3979619.1044776058</v>
      </c>
      <c r="R63">
        <f t="shared" ref="R63" si="292">R64+Q63</f>
        <v>-255434043.42466778</v>
      </c>
      <c r="S63">
        <f t="shared" ref="S63" si="293">R63/100000</f>
        <v>-2554.3404342466779</v>
      </c>
      <c r="T63">
        <f t="shared" ref="T63" si="294">S63/1000</f>
        <v>-2.554340434246678</v>
      </c>
    </row>
    <row r="64" spans="1:20" x14ac:dyDescent="0.25">
      <c r="A64" s="5">
        <v>44529</v>
      </c>
      <c r="B64">
        <v>1.7555000000000001</v>
      </c>
      <c r="C64">
        <v>1.92</v>
      </c>
      <c r="D64">
        <v>1.7245999999999999</v>
      </c>
      <c r="E64">
        <v>1.7842</v>
      </c>
      <c r="F64">
        <v>13594588</v>
      </c>
      <c r="G64">
        <v>1.7842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-0.38996929375639622</v>
      </c>
      <c r="Q64">
        <f t="shared" ref="Q64" si="296">F64*P64</f>
        <v>-5301471.8812691793</v>
      </c>
      <c r="R64">
        <f t="shared" ref="R64" si="297">R65+Q64</f>
        <v>-251454424.32019016</v>
      </c>
      <c r="S64">
        <f t="shared" ref="S64" si="298">R64/100000</f>
        <v>-2514.5442432019017</v>
      </c>
      <c r="T64">
        <f t="shared" ref="T64" si="299">S64/1000</f>
        <v>-2.5145442432019016</v>
      </c>
    </row>
    <row r="65" spans="1:20" x14ac:dyDescent="0.25">
      <c r="A65" s="5">
        <v>44528</v>
      </c>
      <c r="B65">
        <v>1.64</v>
      </c>
      <c r="C65">
        <v>1.7650999999999999</v>
      </c>
      <c r="D65">
        <v>1.5133000000000001</v>
      </c>
      <c r="E65">
        <v>1.7561</v>
      </c>
      <c r="F65">
        <v>9293886</v>
      </c>
      <c r="G65">
        <v>1.7561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0.92851469420174815</v>
      </c>
      <c r="Q65">
        <f t="shared" ref="Q65" si="301">F65*P65</f>
        <v>8629509.7172359079</v>
      </c>
      <c r="R65">
        <f t="shared" ref="R65" si="302">R66+Q65</f>
        <v>-246152952.43892097</v>
      </c>
      <c r="S65">
        <f t="shared" ref="S65" si="303">R65/100000</f>
        <v>-2461.5295243892097</v>
      </c>
      <c r="T65">
        <f t="shared" ref="T65" si="304">S65/1000</f>
        <v>-2.4615295243892095</v>
      </c>
    </row>
    <row r="66" spans="1:20" x14ac:dyDescent="0.25">
      <c r="A66" s="5">
        <v>44527</v>
      </c>
      <c r="B66">
        <v>1.5743</v>
      </c>
      <c r="C66">
        <v>1.76</v>
      </c>
      <c r="D66">
        <v>1.5734999999999999</v>
      </c>
      <c r="E66">
        <v>1.6403000000000001</v>
      </c>
      <c r="F66">
        <v>9183230</v>
      </c>
      <c r="G66">
        <v>1.6403000000000001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-0.28364611260053457</v>
      </c>
      <c r="Q66">
        <f t="shared" ref="Q66" si="306">F66*P66</f>
        <v>-2604787.490616607</v>
      </c>
      <c r="R66">
        <f t="shared" ref="R66" si="307">R67+Q66</f>
        <v>-254782462.1561569</v>
      </c>
      <c r="S66">
        <f t="shared" ref="S66" si="308">R66/100000</f>
        <v>-2547.8246215615691</v>
      </c>
      <c r="T66">
        <f t="shared" ref="T66" si="309">S66/1000</f>
        <v>-2.5478246215615692</v>
      </c>
    </row>
    <row r="67" spans="1:20" x14ac:dyDescent="0.25">
      <c r="A67" s="5">
        <v>44526</v>
      </c>
      <c r="B67">
        <v>1.8334999999999999</v>
      </c>
      <c r="C67">
        <v>1.8389</v>
      </c>
      <c r="D67">
        <v>1.4782999999999999</v>
      </c>
      <c r="E67">
        <v>1.5743</v>
      </c>
      <c r="F67">
        <v>15635786</v>
      </c>
      <c r="G67">
        <v>1.5743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-0.46755407653910108</v>
      </c>
      <c r="Q67">
        <f t="shared" ref="Q67" si="311">F67*P67</f>
        <v>-7310575.4841930056</v>
      </c>
      <c r="R67">
        <f t="shared" ref="R67" si="312">R68+Q67</f>
        <v>-252177674.66554028</v>
      </c>
      <c r="S67">
        <f t="shared" ref="S67" si="313">R67/100000</f>
        <v>-2521.7767466554028</v>
      </c>
      <c r="T67">
        <f t="shared" ref="T67" si="314">S67/1000</f>
        <v>-2.5217767466554029</v>
      </c>
    </row>
    <row r="68" spans="1:20" x14ac:dyDescent="0.25">
      <c r="A68" s="5">
        <v>44525</v>
      </c>
      <c r="B68">
        <v>1.7065999999999999</v>
      </c>
      <c r="C68">
        <v>1.8413999999999999</v>
      </c>
      <c r="D68">
        <v>1.6828000000000001</v>
      </c>
      <c r="E68">
        <v>1.8326</v>
      </c>
      <c r="F68">
        <v>12714660</v>
      </c>
      <c r="G68">
        <v>1.8326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0.88902900378310301</v>
      </c>
      <c r="Q68">
        <f t="shared" ref="Q68" si="316">F68*P68</f>
        <v>11303701.513240868</v>
      </c>
      <c r="R68">
        <f t="shared" ref="R68" si="317">R69+Q68</f>
        <v>-244867099.18134728</v>
      </c>
      <c r="S68">
        <f t="shared" ref="S68" si="318">R68/100000</f>
        <v>-2448.6709918134729</v>
      </c>
      <c r="T68">
        <f t="shared" ref="T68" si="319">S68/1000</f>
        <v>-2.448670991813473</v>
      </c>
    </row>
    <row r="69" spans="1:20" x14ac:dyDescent="0.25">
      <c r="A69" s="5">
        <v>44524</v>
      </c>
      <c r="B69">
        <v>1.9000999999999999</v>
      </c>
      <c r="C69">
        <v>1.905</v>
      </c>
      <c r="D69">
        <v>1.7708999999999999</v>
      </c>
      <c r="E69">
        <v>1.8127</v>
      </c>
      <c r="F69">
        <v>3431477</v>
      </c>
      <c r="G69">
        <v>1.8127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-0.37658463832960437</v>
      </c>
      <c r="Q69">
        <f t="shared" ref="Q69" si="321">F69*P69</f>
        <v>-1292241.5249813558</v>
      </c>
      <c r="R69">
        <f t="shared" ref="R69" si="322">R70+Q69</f>
        <v>-256170800.69458815</v>
      </c>
      <c r="S69">
        <f t="shared" ref="S69" si="323">R69/100000</f>
        <v>-2561.7080069458816</v>
      </c>
      <c r="T69">
        <f t="shared" ref="T69" si="324">S69/1000</f>
        <v>-2.5617080069458815</v>
      </c>
    </row>
    <row r="70" spans="1:20" x14ac:dyDescent="0.25">
      <c r="A70" s="5">
        <v>44523</v>
      </c>
      <c r="B70">
        <v>1.8067</v>
      </c>
      <c r="C70">
        <v>1.9890000000000001</v>
      </c>
      <c r="D70">
        <v>1.7770999999999999</v>
      </c>
      <c r="E70">
        <v>1.9000999999999999</v>
      </c>
      <c r="F70">
        <v>13185439</v>
      </c>
      <c r="G70">
        <v>1.9000999999999999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0.1609249646059451</v>
      </c>
      <c r="Q70">
        <f t="shared" ref="Q70" si="326">F70*P70</f>
        <v>2121866.3043888481</v>
      </c>
      <c r="R70">
        <f t="shared" ref="R70" si="327">R71+Q70</f>
        <v>-254878559.1696068</v>
      </c>
      <c r="S70">
        <f t="shared" ref="S70" si="328">R70/100000</f>
        <v>-2548.785591696068</v>
      </c>
      <c r="T70">
        <f t="shared" ref="T70" si="329">S70/1000</f>
        <v>-2.5487855916960678</v>
      </c>
    </row>
    <row r="71" spans="1:20" x14ac:dyDescent="0.25">
      <c r="A71" s="5">
        <v>44522</v>
      </c>
      <c r="B71">
        <v>1.8301000000000001</v>
      </c>
      <c r="C71">
        <v>1.9220999999999999</v>
      </c>
      <c r="D71">
        <v>1.6914</v>
      </c>
      <c r="E71">
        <v>1.8064</v>
      </c>
      <c r="F71">
        <v>14855814</v>
      </c>
      <c r="G71">
        <v>1.8064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-3.0342436064149251E-3</v>
      </c>
      <c r="Q71">
        <f t="shared" ref="Q71" si="331">F71*P71</f>
        <v>-45076.158647589335</v>
      </c>
      <c r="R71">
        <f t="shared" ref="R71" si="332">R72+Q71</f>
        <v>-257000425.47399566</v>
      </c>
      <c r="S71">
        <f t="shared" ref="S71" si="333">R71/100000</f>
        <v>-2570.0042547399567</v>
      </c>
      <c r="T71">
        <f t="shared" ref="T71" si="334">S71/1000</f>
        <v>-2.5700042547399566</v>
      </c>
    </row>
    <row r="72" spans="1:20" x14ac:dyDescent="0.25">
      <c r="A72" s="5">
        <v>44521</v>
      </c>
      <c r="B72">
        <v>1.7433000000000001</v>
      </c>
      <c r="C72">
        <v>2.1888999999999998</v>
      </c>
      <c r="D72">
        <v>1.7257</v>
      </c>
      <c r="E72">
        <v>1.8323</v>
      </c>
      <c r="F72">
        <v>30469009.219000001</v>
      </c>
      <c r="G72">
        <v>1.8323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-0.53972366148531925</v>
      </c>
      <c r="Q72">
        <f t="shared" ref="Q72" si="336">F72*P72</f>
        <v>-16444845.217508627</v>
      </c>
      <c r="R72">
        <f t="shared" ref="R72" si="337">R73+Q72</f>
        <v>-256955349.31534806</v>
      </c>
      <c r="S72">
        <f t="shared" ref="S72" si="338">R72/100000</f>
        <v>-2569.5534931534808</v>
      </c>
      <c r="T72">
        <f t="shared" ref="T72" si="339">S72/1000</f>
        <v>-2.5695534931534807</v>
      </c>
    </row>
    <row r="73" spans="1:20" x14ac:dyDescent="0.25">
      <c r="A73" s="5">
        <v>44520</v>
      </c>
      <c r="B73">
        <v>1.7337</v>
      </c>
      <c r="C73">
        <v>1.7892999999999999</v>
      </c>
      <c r="D73">
        <v>1.6156999999999999</v>
      </c>
      <c r="E73">
        <v>1.7433000000000001</v>
      </c>
      <c r="F73">
        <v>11613936</v>
      </c>
      <c r="G73">
        <v>1.7433000000000001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0.47004608294931077</v>
      </c>
      <c r="Q73">
        <f t="shared" ref="Q73" si="341">F73*P73</f>
        <v>5459085.1244239863</v>
      </c>
      <c r="R73">
        <f t="shared" ref="R73" si="342">R74+Q73</f>
        <v>-240510504.09783944</v>
      </c>
      <c r="S73">
        <f t="shared" ref="S73" si="343">R73/100000</f>
        <v>-2405.1050409783943</v>
      </c>
      <c r="T73">
        <f t="shared" ref="T73" si="344">S73/1000</f>
        <v>-2.4051050409783943</v>
      </c>
    </row>
    <row r="74" spans="1:20" x14ac:dyDescent="0.25">
      <c r="A74" s="5">
        <v>44519</v>
      </c>
      <c r="B74">
        <v>1.5773999999999999</v>
      </c>
      <c r="C74">
        <v>1.819</v>
      </c>
      <c r="D74">
        <v>1.522</v>
      </c>
      <c r="E74">
        <v>1.7326999999999999</v>
      </c>
      <c r="F74">
        <v>21059654</v>
      </c>
      <c r="G74">
        <v>1.7326999999999999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0.41885521885521843</v>
      </c>
      <c r="Q74">
        <f t="shared" ref="Q74" si="346">F74*P74</f>
        <v>8820945.9851851761</v>
      </c>
      <c r="R74">
        <f t="shared" ref="R74" si="347">R75+Q74</f>
        <v>-245969589.22226343</v>
      </c>
      <c r="S74">
        <f t="shared" ref="S74" si="348">R74/100000</f>
        <v>-2459.695892222634</v>
      </c>
      <c r="T74">
        <f t="shared" ref="T74" si="349">S74/1000</f>
        <v>-2.459695892222634</v>
      </c>
    </row>
    <row r="75" spans="1:20" x14ac:dyDescent="0.25">
      <c r="A75" s="5">
        <v>44518</v>
      </c>
      <c r="B75">
        <v>1.4863</v>
      </c>
      <c r="C75">
        <v>1.6498999999999999</v>
      </c>
      <c r="D75">
        <v>1.4</v>
      </c>
      <c r="E75">
        <v>1.5780000000000001</v>
      </c>
      <c r="F75">
        <v>26380646</v>
      </c>
      <c r="G75">
        <v>1.5780000000000001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0.42456982793117365</v>
      </c>
      <c r="Q75">
        <f t="shared" ref="Q75" si="351">F75*P75</f>
        <v>11200426.332933204</v>
      </c>
      <c r="R75">
        <f t="shared" ref="R75" si="352">R76+Q75</f>
        <v>-254790535.2074486</v>
      </c>
      <c r="S75">
        <f t="shared" ref="S75" si="353">R75/100000</f>
        <v>-2547.905352074486</v>
      </c>
      <c r="T75">
        <f t="shared" ref="T75" si="354">S75/1000</f>
        <v>-2.5479053520744861</v>
      </c>
    </row>
    <row r="76" spans="1:20" x14ac:dyDescent="0.25">
      <c r="A76" s="5">
        <v>44517</v>
      </c>
      <c r="B76">
        <v>1.4436</v>
      </c>
      <c r="C76">
        <v>1.5065999999999999</v>
      </c>
      <c r="D76">
        <v>1.35</v>
      </c>
      <c r="E76">
        <v>1.4866999999999999</v>
      </c>
      <c r="F76">
        <v>11885240</v>
      </c>
      <c r="G76">
        <v>1.4866999999999999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0.74584929757343488</v>
      </c>
      <c r="Q76">
        <f t="shared" ref="Q76" si="356">F76*P76</f>
        <v>8864597.9054916911</v>
      </c>
      <c r="R76">
        <f t="shared" ref="R76" si="357">R77+Q76</f>
        <v>-265990961.54038182</v>
      </c>
      <c r="S76">
        <f t="shared" ref="S76" si="358">R76/100000</f>
        <v>-2659.9096154038184</v>
      </c>
      <c r="T76">
        <f t="shared" ref="T76" si="359">S76/1000</f>
        <v>-2.6599096154038184</v>
      </c>
    </row>
    <row r="77" spans="1:20" x14ac:dyDescent="0.25">
      <c r="A77" s="5">
        <v>44516</v>
      </c>
      <c r="B77">
        <v>1.6400999999999999</v>
      </c>
      <c r="C77">
        <v>1.6495</v>
      </c>
      <c r="D77">
        <v>1.4133</v>
      </c>
      <c r="E77">
        <v>1.4439</v>
      </c>
      <c r="F77">
        <v>14658334</v>
      </c>
      <c r="G77">
        <v>1.4439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-0.74089754445385292</v>
      </c>
      <c r="Q77">
        <f t="shared" ref="Q77" si="361">F77*P77</f>
        <v>-10860323.666384423</v>
      </c>
      <c r="R77">
        <f t="shared" ref="R77" si="362">R78+Q77</f>
        <v>-274855559.4458735</v>
      </c>
      <c r="S77">
        <f t="shared" ref="S77" si="363">R77/100000</f>
        <v>-2748.555594458735</v>
      </c>
      <c r="T77">
        <f t="shared" ref="T77" si="364">S77/1000</f>
        <v>-2.7485555944587348</v>
      </c>
    </row>
    <row r="78" spans="1:20" x14ac:dyDescent="0.25">
      <c r="A78" s="5">
        <v>44515</v>
      </c>
      <c r="B78">
        <v>1.7031000000000001</v>
      </c>
      <c r="C78">
        <v>1.8349</v>
      </c>
      <c r="D78">
        <v>1.6387</v>
      </c>
      <c r="E78">
        <v>1.6412</v>
      </c>
      <c r="F78">
        <v>9789376</v>
      </c>
      <c r="G78">
        <v>1.6412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-0.97451580020387418</v>
      </c>
      <c r="Q78">
        <f t="shared" ref="Q78" si="366">F78*P78</f>
        <v>-9539901.5861366019</v>
      </c>
      <c r="R78">
        <f t="shared" ref="R78" si="367">R79+Q78</f>
        <v>-263995235.7794891</v>
      </c>
      <c r="S78">
        <f t="shared" ref="S78" si="368">R78/100000</f>
        <v>-2639.9523577948912</v>
      </c>
      <c r="T78">
        <f t="shared" ref="T78" si="369">S78/1000</f>
        <v>-2.6399523577948911</v>
      </c>
    </row>
    <row r="79" spans="1:20" x14ac:dyDescent="0.25">
      <c r="A79" s="5">
        <v>44514</v>
      </c>
      <c r="B79">
        <v>1.63</v>
      </c>
      <c r="C79">
        <v>1.7567999999999999</v>
      </c>
      <c r="D79">
        <v>1.6240000000000001</v>
      </c>
      <c r="E79">
        <v>1.7016</v>
      </c>
      <c r="F79">
        <v>8156567</v>
      </c>
      <c r="G79">
        <v>1.7016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0.16867469879518079</v>
      </c>
      <c r="Q79">
        <f t="shared" ref="Q79" si="371">F79*P79</f>
        <v>1375806.4819277115</v>
      </c>
      <c r="R79">
        <f t="shared" ref="R79" si="372">R80+Q79</f>
        <v>-254455334.19335249</v>
      </c>
      <c r="S79">
        <f t="shared" ref="S79" si="373">R79/100000</f>
        <v>-2544.5533419335247</v>
      </c>
      <c r="T79">
        <f t="shared" ref="T79" si="374">S79/1000</f>
        <v>-2.5445533419335247</v>
      </c>
    </row>
    <row r="80" spans="1:20" x14ac:dyDescent="0.25">
      <c r="A80" s="5">
        <v>44513</v>
      </c>
      <c r="B80">
        <v>1.6943999999999999</v>
      </c>
      <c r="C80">
        <v>1.7302999999999999</v>
      </c>
      <c r="D80">
        <v>1.6171</v>
      </c>
      <c r="E80">
        <v>1.6315999999999999</v>
      </c>
      <c r="F80">
        <v>7234306</v>
      </c>
      <c r="G80">
        <v>1.6315999999999999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-0.74381625441696186</v>
      </c>
      <c r="Q80">
        <f t="shared" ref="Q80" si="376">F80*P80</f>
        <v>-5380994.392226154</v>
      </c>
      <c r="R80">
        <f t="shared" ref="R80" si="377">R81+Q80</f>
        <v>-255831140.67528021</v>
      </c>
      <c r="S80">
        <f t="shared" ref="S80" si="378">R80/100000</f>
        <v>-2558.3114067528022</v>
      </c>
      <c r="T80">
        <f t="shared" ref="T80" si="379">S80/1000</f>
        <v>-2.5583114067528023</v>
      </c>
    </row>
    <row r="81" spans="1:20" x14ac:dyDescent="0.25">
      <c r="A81" s="5">
        <v>44512</v>
      </c>
      <c r="B81">
        <v>1.7399</v>
      </c>
      <c r="C81">
        <v>1.78</v>
      </c>
      <c r="D81">
        <v>1.5813999999999999</v>
      </c>
      <c r="E81">
        <v>1.6966000000000001</v>
      </c>
      <c r="F81">
        <v>11015746</v>
      </c>
      <c r="G81">
        <v>1.6966000000000001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0.16012084592145143</v>
      </c>
      <c r="Q81">
        <f t="shared" ref="Q81" si="381">F81*P81</f>
        <v>1763850.567975845</v>
      </c>
      <c r="R81">
        <f t="shared" ref="R81" si="382">R82+Q81</f>
        <v>-250450146.28305405</v>
      </c>
      <c r="S81">
        <f t="shared" ref="S81" si="383">R81/100000</f>
        <v>-2504.5014628305407</v>
      </c>
      <c r="T81">
        <f t="shared" ref="T81" si="384">S81/1000</f>
        <v>-2.5045014628305409</v>
      </c>
    </row>
    <row r="82" spans="1:20" x14ac:dyDescent="0.25">
      <c r="A82" s="5">
        <v>44511</v>
      </c>
      <c r="B82">
        <v>1.6029</v>
      </c>
      <c r="C82">
        <v>1.871</v>
      </c>
      <c r="D82">
        <v>1.59</v>
      </c>
      <c r="E82">
        <v>1.7419</v>
      </c>
      <c r="F82">
        <v>21327165</v>
      </c>
      <c r="G82">
        <v>1.7419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8.1138790035586966E-2</v>
      </c>
      <c r="Q82">
        <f t="shared" ref="Q82" si="386">F82*P82</f>
        <v>1730460.362989319</v>
      </c>
      <c r="R82">
        <f t="shared" ref="R82" si="387">R83+Q82</f>
        <v>-252213996.8510299</v>
      </c>
      <c r="S82">
        <f t="shared" ref="S82" si="388">R82/100000</f>
        <v>-2522.1399685102992</v>
      </c>
      <c r="T82">
        <f t="shared" ref="T82" si="389">S82/1000</f>
        <v>-2.5221399685102992</v>
      </c>
    </row>
    <row r="83" spans="1:20" x14ac:dyDescent="0.25">
      <c r="A83" s="5">
        <v>44510</v>
      </c>
      <c r="B83">
        <v>1.8734</v>
      </c>
      <c r="C83">
        <v>1.8894</v>
      </c>
      <c r="D83">
        <v>1.4743999999999999</v>
      </c>
      <c r="E83">
        <v>1.603</v>
      </c>
      <c r="F83">
        <v>27518061</v>
      </c>
      <c r="G83">
        <v>1.603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-0.3802409638554215</v>
      </c>
      <c r="Q83">
        <f t="shared" ref="Q83" si="391">F83*P83</f>
        <v>-10463494.038072284</v>
      </c>
      <c r="R83">
        <f t="shared" ref="R83" si="392">R84+Q83</f>
        <v>-253944457.21401921</v>
      </c>
      <c r="S83">
        <f t="shared" ref="S83" si="393">R83/100000</f>
        <v>-2539.4445721401921</v>
      </c>
      <c r="T83">
        <f t="shared" ref="T83" si="394">S83/1000</f>
        <v>-2.5394445721401921</v>
      </c>
    </row>
    <row r="84" spans="1:20" x14ac:dyDescent="0.25">
      <c r="A84" s="5">
        <v>44509</v>
      </c>
      <c r="B84">
        <v>1.9962</v>
      </c>
      <c r="C84">
        <v>2.0356999999999998</v>
      </c>
      <c r="D84">
        <v>1.7363</v>
      </c>
      <c r="E84">
        <v>1.8738999999999999</v>
      </c>
      <c r="F84">
        <v>30111847</v>
      </c>
      <c r="G84">
        <v>1.8738999999999999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-8.0828323313293288E-2</v>
      </c>
      <c r="Q84">
        <f t="shared" ref="Q84" si="396">F84*P84</f>
        <v>-2433890.1048764205</v>
      </c>
      <c r="R84">
        <f t="shared" ref="R84" si="397">R85+Q84</f>
        <v>-243480963.17594692</v>
      </c>
      <c r="S84">
        <f t="shared" ref="S84" si="398">R84/100000</f>
        <v>-2434.8096317594691</v>
      </c>
      <c r="T84">
        <f t="shared" ref="T84" si="399">S84/1000</f>
        <v>-2.4348096317594692</v>
      </c>
    </row>
    <row r="85" spans="1:20" x14ac:dyDescent="0.25">
      <c r="A85" s="5">
        <v>44508</v>
      </c>
      <c r="B85">
        <v>1.7533000000000001</v>
      </c>
      <c r="C85">
        <v>2.0680000000000001</v>
      </c>
      <c r="D85">
        <v>1.5815999999999999</v>
      </c>
      <c r="E85">
        <v>1.9924999999999999</v>
      </c>
      <c r="F85">
        <v>51987658.759000003</v>
      </c>
      <c r="G85">
        <v>1.9924999999999999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0.68955592105263119</v>
      </c>
      <c r="Q85">
        <f t="shared" ref="Q85" si="401">F85*P85</f>
        <v>35848397.91893214</v>
      </c>
      <c r="R85">
        <f t="shared" ref="R85" si="402">R86+Q85</f>
        <v>-241047073.07107049</v>
      </c>
      <c r="S85">
        <f t="shared" ref="S85" si="403">R85/100000</f>
        <v>-2410.4707307107051</v>
      </c>
      <c r="T85">
        <f t="shared" ref="T85" si="404">S85/1000</f>
        <v>-2.4104707307107049</v>
      </c>
    </row>
    <row r="86" spans="1:20" x14ac:dyDescent="0.25">
      <c r="A86" s="5">
        <v>44507</v>
      </c>
      <c r="B86">
        <v>1.6726000000000001</v>
      </c>
      <c r="C86">
        <v>1.8864000000000001</v>
      </c>
      <c r="D86">
        <v>1.635</v>
      </c>
      <c r="E86">
        <v>1.7533000000000001</v>
      </c>
      <c r="F86">
        <v>35673095</v>
      </c>
      <c r="G86">
        <v>1.7533000000000001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-5.8870326173428481E-2</v>
      </c>
      <c r="Q86">
        <f t="shared" ref="Q86" si="406">F86*P86</f>
        <v>-2100086.7382657006</v>
      </c>
      <c r="R86">
        <f t="shared" ref="R86" si="407">R87+Q86</f>
        <v>-276895470.99000263</v>
      </c>
      <c r="S86">
        <f t="shared" ref="S86" si="408">R86/100000</f>
        <v>-2768.9547099000265</v>
      </c>
      <c r="T86">
        <f t="shared" ref="T86" si="409">S86/1000</f>
        <v>-2.7689547099000267</v>
      </c>
    </row>
    <row r="87" spans="1:20" x14ac:dyDescent="0.25">
      <c r="A87" s="5">
        <v>44506</v>
      </c>
      <c r="B87">
        <v>1.554</v>
      </c>
      <c r="C87">
        <v>1.7</v>
      </c>
      <c r="D87">
        <v>1.4372</v>
      </c>
      <c r="E87">
        <v>1.6715</v>
      </c>
      <c r="F87">
        <v>24332366</v>
      </c>
      <c r="G87">
        <v>1.6715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0.78310502283105043</v>
      </c>
      <c r="Q87">
        <f t="shared" ref="Q87" si="411">F87*P87</f>
        <v>19054798.031963475</v>
      </c>
      <c r="R87">
        <f t="shared" ref="R87" si="412">R88+Q87</f>
        <v>-274795384.25173694</v>
      </c>
      <c r="S87">
        <f t="shared" ref="S87" si="413">R87/100000</f>
        <v>-2747.9538425173696</v>
      </c>
      <c r="T87">
        <f t="shared" ref="T87" si="414">S87/1000</f>
        <v>-2.7479538425173695</v>
      </c>
    </row>
    <row r="88" spans="1:20" x14ac:dyDescent="0.25">
      <c r="A88" s="5">
        <v>44505</v>
      </c>
      <c r="B88">
        <v>1.4339999999999999</v>
      </c>
      <c r="C88">
        <v>1.8856999999999999</v>
      </c>
      <c r="D88">
        <v>1.3785000000000001</v>
      </c>
      <c r="E88">
        <v>1.5542</v>
      </c>
      <c r="F88">
        <v>85244250.425999999</v>
      </c>
      <c r="G88">
        <v>1.5542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-0.30717665615141954</v>
      </c>
      <c r="Q88">
        <f t="shared" ref="Q88" si="416">F88*P88</f>
        <v>-26185043.801992901</v>
      </c>
      <c r="R88">
        <f t="shared" ref="R88" si="417">R89+Q88</f>
        <v>-293850182.28370041</v>
      </c>
      <c r="S88">
        <f t="shared" ref="S88" si="418">R88/100000</f>
        <v>-2938.5018228370041</v>
      </c>
      <c r="T88">
        <f t="shared" ref="T88" si="419">S88/1000</f>
        <v>-2.9385018228370039</v>
      </c>
    </row>
    <row r="89" spans="1:20" x14ac:dyDescent="0.25">
      <c r="A89" s="5">
        <v>44504</v>
      </c>
      <c r="B89">
        <v>1.3549</v>
      </c>
      <c r="C89">
        <v>1.46</v>
      </c>
      <c r="D89">
        <v>1.256</v>
      </c>
      <c r="E89">
        <v>1.4340999999999999</v>
      </c>
      <c r="F89">
        <v>23752600</v>
      </c>
      <c r="G89">
        <v>1.4340999999999999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0.74607843137254859</v>
      </c>
      <c r="Q89">
        <f t="shared" ref="Q89" si="421">F89*P89</f>
        <v>17721302.549019597</v>
      </c>
      <c r="R89">
        <f t="shared" ref="R89" si="422">R90+Q89</f>
        <v>-267665138.48170748</v>
      </c>
      <c r="S89">
        <f t="shared" ref="S89" si="423">R89/100000</f>
        <v>-2676.6513848170748</v>
      </c>
      <c r="T89">
        <f t="shared" ref="T89" si="424">S89/1000</f>
        <v>-2.6766513848170748</v>
      </c>
    </row>
    <row r="90" spans="1:20" x14ac:dyDescent="0.25">
      <c r="A90" s="5">
        <v>44503</v>
      </c>
      <c r="B90">
        <v>1.3487</v>
      </c>
      <c r="C90">
        <v>1.5</v>
      </c>
      <c r="D90">
        <v>1.2290000000000001</v>
      </c>
      <c r="E90">
        <v>1.355</v>
      </c>
      <c r="F90">
        <v>47168675.262000002</v>
      </c>
      <c r="G90">
        <v>1.355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-7.0110701107011564E-2</v>
      </c>
      <c r="Q90">
        <f t="shared" ref="Q90" si="426">F90*P90</f>
        <v>-3307028.8929077727</v>
      </c>
      <c r="R90">
        <f t="shared" ref="R90" si="427">R91+Q90</f>
        <v>-285386441.03072709</v>
      </c>
      <c r="S90">
        <f t="shared" ref="S90" si="428">R90/100000</f>
        <v>-2853.8644103072711</v>
      </c>
      <c r="T90">
        <f t="shared" ref="T90" si="429">S90/1000</f>
        <v>-2.853864410307271</v>
      </c>
    </row>
    <row r="91" spans="1:20" x14ac:dyDescent="0.25">
      <c r="A91" s="5">
        <v>44502</v>
      </c>
      <c r="B91">
        <v>1.0911</v>
      </c>
      <c r="C91">
        <v>1.4799</v>
      </c>
      <c r="D91">
        <v>1.0883</v>
      </c>
      <c r="E91">
        <v>1.3472999999999999</v>
      </c>
      <c r="F91">
        <v>72981706.547999993</v>
      </c>
      <c r="G91">
        <v>1.3472999999999999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0.32277834525025501</v>
      </c>
      <c r="Q91">
        <f t="shared" ref="Q91" si="431">F91*P91</f>
        <v>23556914.47310314</v>
      </c>
      <c r="R91">
        <f t="shared" ref="R91" si="432">R92+Q91</f>
        <v>-282079412.13781929</v>
      </c>
      <c r="S91">
        <f t="shared" ref="S91" si="433">R91/100000</f>
        <v>-2820.7941213781928</v>
      </c>
      <c r="T91">
        <f t="shared" ref="T91" si="434">S91/1000</f>
        <v>-2.8207941213781926</v>
      </c>
    </row>
    <row r="92" spans="1:20" x14ac:dyDescent="0.25">
      <c r="A92" s="5">
        <v>44501</v>
      </c>
      <c r="B92">
        <v>0.99209999999999998</v>
      </c>
      <c r="C92">
        <v>1.1269</v>
      </c>
      <c r="D92">
        <v>0.9395</v>
      </c>
      <c r="E92">
        <v>1.0911</v>
      </c>
      <c r="F92">
        <v>23423076</v>
      </c>
      <c r="G92">
        <v>1.0911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0.61792956243329722</v>
      </c>
      <c r="Q92">
        <f t="shared" ref="Q92" si="436">F92*P92</f>
        <v>14473811.103521865</v>
      </c>
      <c r="R92">
        <f t="shared" ref="R92" si="437">R93+Q92</f>
        <v>-305636326.61092246</v>
      </c>
      <c r="S92">
        <f t="shared" ref="S92" si="438">R92/100000</f>
        <v>-3056.3632661092247</v>
      </c>
      <c r="T92">
        <f t="shared" ref="T92" si="439">S92/1000</f>
        <v>-3.0563632661092246</v>
      </c>
    </row>
    <row r="93" spans="1:20" x14ac:dyDescent="0.25">
      <c r="A93" s="5">
        <v>44500</v>
      </c>
      <c r="B93">
        <v>1.0167999999999999</v>
      </c>
      <c r="C93">
        <v>1.28</v>
      </c>
      <c r="D93">
        <v>0.93330000000000002</v>
      </c>
      <c r="E93">
        <v>0.99019999999999997</v>
      </c>
      <c r="F93">
        <v>72401367</v>
      </c>
      <c r="G93">
        <v>0.99019999999999997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-0.67176233054514023</v>
      </c>
      <c r="Q93">
        <f t="shared" ref="Q93" si="441">F93*P93</f>
        <v>-48636511.030574009</v>
      </c>
      <c r="R93">
        <f t="shared" ref="R93" si="442">R94+Q93</f>
        <v>-320110137.71444434</v>
      </c>
      <c r="S93">
        <f t="shared" ref="S93" si="443">R93/100000</f>
        <v>-3201.1013771444432</v>
      </c>
      <c r="T93">
        <f t="shared" ref="T93" si="444">S93/1000</f>
        <v>-3.2011013771444432</v>
      </c>
    </row>
    <row r="94" spans="1:20" x14ac:dyDescent="0.25">
      <c r="A94" s="5">
        <v>44499</v>
      </c>
      <c r="B94">
        <v>0.86799999999999999</v>
      </c>
      <c r="C94">
        <v>1.0449999999999999</v>
      </c>
      <c r="D94">
        <v>0.82530000000000003</v>
      </c>
      <c r="E94">
        <v>1.0165</v>
      </c>
      <c r="F94">
        <v>37681468</v>
      </c>
      <c r="G94">
        <v>1.0165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0.74055530268548031</v>
      </c>
      <c r="Q94">
        <f t="shared" ref="Q94" si="446">F94*P94</f>
        <v>27905210.940373242</v>
      </c>
      <c r="R94">
        <f t="shared" ref="R94" si="447">R95+Q94</f>
        <v>-271473626.68387032</v>
      </c>
      <c r="S94">
        <f t="shared" ref="S94" si="448">R94/100000</f>
        <v>-2714.7362668387032</v>
      </c>
      <c r="T94">
        <f t="shared" ref="T94" si="449">S94/1000</f>
        <v>-2.7147362668387029</v>
      </c>
    </row>
    <row r="95" spans="1:20" x14ac:dyDescent="0.25">
      <c r="A95" s="5">
        <v>44498</v>
      </c>
      <c r="B95">
        <v>0.81820000000000004</v>
      </c>
      <c r="C95">
        <v>0.89329999999999998</v>
      </c>
      <c r="D95">
        <v>0.80959999999999999</v>
      </c>
      <c r="E95">
        <v>0.86719999999999997</v>
      </c>
      <c r="F95">
        <v>18732234</v>
      </c>
      <c r="G95">
        <v>0.86719999999999997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0.37634408602150504</v>
      </c>
      <c r="Q95">
        <f t="shared" ref="Q95" si="451">F95*P95</f>
        <v>7049765.4838709617</v>
      </c>
      <c r="R95">
        <f t="shared" ref="R95" si="452">R96+Q95</f>
        <v>-299378837.62424356</v>
      </c>
      <c r="S95">
        <f t="shared" ref="S95" si="453">R95/100000</f>
        <v>-2993.7883762424358</v>
      </c>
      <c r="T95">
        <f t="shared" ref="T95" si="454">S95/1000</f>
        <v>-2.9937883762424358</v>
      </c>
    </row>
    <row r="96" spans="1:20" x14ac:dyDescent="0.25">
      <c r="A96" s="5">
        <v>44497</v>
      </c>
      <c r="B96">
        <v>0.75900000000000001</v>
      </c>
      <c r="C96">
        <v>0.82769999999999999</v>
      </c>
      <c r="D96">
        <v>0.75180000000000002</v>
      </c>
      <c r="E96">
        <v>0.81759999999999999</v>
      </c>
      <c r="F96">
        <v>17401614</v>
      </c>
      <c r="G96">
        <v>0.81759999999999999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0.73386034255599464</v>
      </c>
      <c r="Q96">
        <f t="shared" ref="Q96" si="456">F96*P96</f>
        <v>12770354.411067192</v>
      </c>
      <c r="R96">
        <f t="shared" ref="R96" si="457">R97+Q96</f>
        <v>-306428603.10811454</v>
      </c>
      <c r="S96">
        <f t="shared" ref="S96" si="458">R96/100000</f>
        <v>-3064.2860310811452</v>
      </c>
      <c r="T96">
        <f t="shared" ref="T96" si="459">S96/1000</f>
        <v>-3.0642860310811453</v>
      </c>
    </row>
    <row r="97" spans="1:20" x14ac:dyDescent="0.25">
      <c r="A97" s="5">
        <v>44496</v>
      </c>
      <c r="B97">
        <v>0.82699999999999996</v>
      </c>
      <c r="C97">
        <v>0.84989999999999999</v>
      </c>
      <c r="D97">
        <v>0.73599999999999999</v>
      </c>
      <c r="E97">
        <v>0.75880000000000003</v>
      </c>
      <c r="F97">
        <v>18180091</v>
      </c>
      <c r="G97">
        <v>0.75880000000000003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-0.59964881474977971</v>
      </c>
      <c r="Q97">
        <f t="shared" ref="Q97" si="461">F97*P97</f>
        <v>-10901670.020193137</v>
      </c>
      <c r="R97">
        <f t="shared" ref="R97" si="462">R98+Q97</f>
        <v>-319198957.51918173</v>
      </c>
      <c r="S97">
        <f t="shared" ref="S97" si="463">R97/100000</f>
        <v>-3191.9895751918175</v>
      </c>
      <c r="T97">
        <f t="shared" ref="T97" si="464">S97/1000</f>
        <v>-3.1919895751918177</v>
      </c>
    </row>
    <row r="98" spans="1:20" x14ac:dyDescent="0.25">
      <c r="A98" s="5">
        <v>44495</v>
      </c>
      <c r="B98">
        <v>0.8387</v>
      </c>
      <c r="C98">
        <v>0.85</v>
      </c>
      <c r="D98">
        <v>0.81859999999999999</v>
      </c>
      <c r="E98">
        <v>0.82599999999999996</v>
      </c>
      <c r="F98">
        <v>16506729</v>
      </c>
      <c r="G98">
        <v>0.82599999999999996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-0.52866242038216782</v>
      </c>
      <c r="Q98">
        <f t="shared" ref="Q98" si="466">F98*P98</f>
        <v>-8726487.3057325203</v>
      </c>
      <c r="R98">
        <f t="shared" ref="R98" si="467">R99+Q98</f>
        <v>-308297287.49898857</v>
      </c>
      <c r="S98">
        <f t="shared" ref="S98" si="468">R98/100000</f>
        <v>-3082.9728749898859</v>
      </c>
      <c r="T98">
        <f t="shared" ref="T98" si="469">S98/1000</f>
        <v>-3.0829728749898857</v>
      </c>
    </row>
    <row r="99" spans="1:20" x14ac:dyDescent="0.25">
      <c r="A99" s="5">
        <v>44494</v>
      </c>
      <c r="B99">
        <v>0.8216</v>
      </c>
      <c r="C99">
        <v>0.85799999999999998</v>
      </c>
      <c r="D99">
        <v>0.81330000000000002</v>
      </c>
      <c r="E99">
        <v>0.8377</v>
      </c>
      <c r="F99">
        <v>12368018</v>
      </c>
      <c r="G99">
        <v>0.8377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9.172259507829969E-2</v>
      </c>
      <c r="Q99">
        <f t="shared" ref="Q99" si="471">F99*P99</f>
        <v>1134426.7069351219</v>
      </c>
      <c r="R99">
        <f t="shared" ref="R99" si="472">R100+Q99</f>
        <v>-299570800.19325602</v>
      </c>
      <c r="S99">
        <f t="shared" ref="S99" si="473">R99/100000</f>
        <v>-2995.7080019325604</v>
      </c>
      <c r="T99">
        <f t="shared" ref="T99" si="474">S99/1000</f>
        <v>-2.9957080019325604</v>
      </c>
    </row>
    <row r="100" spans="1:20" x14ac:dyDescent="0.25">
      <c r="A100" s="5">
        <v>44493</v>
      </c>
      <c r="B100">
        <v>0.86450000000000005</v>
      </c>
      <c r="C100">
        <v>0.88959999999999995</v>
      </c>
      <c r="D100">
        <v>0.79500000000000004</v>
      </c>
      <c r="E100">
        <v>0.8216</v>
      </c>
      <c r="F100">
        <v>16280799</v>
      </c>
      <c r="G100">
        <v>0.8216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-0.43763213530655426</v>
      </c>
      <c r="Q100">
        <f t="shared" ref="Q100" si="476">F100*P100</f>
        <v>-7125000.8308668137</v>
      </c>
      <c r="R100">
        <f t="shared" ref="R100" si="477">R101+Q100</f>
        <v>-300705226.90019113</v>
      </c>
      <c r="S100">
        <f t="shared" ref="S100" si="478">R100/100000</f>
        <v>-3007.0522690019111</v>
      </c>
      <c r="T100">
        <f t="shared" ref="T100" si="479">S100/1000</f>
        <v>-3.0070522690019112</v>
      </c>
    </row>
    <row r="101" spans="1:20" x14ac:dyDescent="0.25">
      <c r="A101" s="5">
        <v>44492</v>
      </c>
      <c r="B101">
        <v>0.84909999999999997</v>
      </c>
      <c r="C101">
        <v>0.89929999999999999</v>
      </c>
      <c r="D101">
        <v>0.81110000000000004</v>
      </c>
      <c r="E101">
        <v>0.86450000000000005</v>
      </c>
      <c r="F101">
        <v>24887253</v>
      </c>
      <c r="G101">
        <v>0.86450000000000005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0.21088435374149742</v>
      </c>
      <c r="Q101">
        <f t="shared" ref="Q101" si="481">F101*P101</f>
        <v>5248332.2653061431</v>
      </c>
      <c r="R101">
        <f t="shared" ref="R101" si="482">R102+Q101</f>
        <v>-293580226.06932431</v>
      </c>
      <c r="S101">
        <f t="shared" ref="S101" si="483">R101/100000</f>
        <v>-2935.8022606932432</v>
      </c>
      <c r="T101">
        <f t="shared" ref="T101" si="484">S101/1000</f>
        <v>-2.9358022606932432</v>
      </c>
    </row>
    <row r="102" spans="1:20" x14ac:dyDescent="0.25">
      <c r="A102" s="5">
        <v>44491</v>
      </c>
      <c r="B102">
        <v>0.80200000000000005</v>
      </c>
      <c r="C102">
        <v>0.99</v>
      </c>
      <c r="D102">
        <v>0.79779999999999995</v>
      </c>
      <c r="E102">
        <v>0.84930000000000005</v>
      </c>
      <c r="F102">
        <v>91208444</v>
      </c>
      <c r="G102">
        <v>0.84930000000000005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-0.4640998959417264</v>
      </c>
      <c r="Q102">
        <f t="shared" ref="Q102" si="486">F102*P102</f>
        <v>-42329829.369406782</v>
      </c>
      <c r="R102">
        <f t="shared" ref="R102" si="487">R103+Q102</f>
        <v>-298828558.33463043</v>
      </c>
      <c r="S102">
        <f t="shared" ref="S102" si="488">R102/100000</f>
        <v>-2988.2855833463045</v>
      </c>
      <c r="T102">
        <f t="shared" ref="T102" si="489">S102/1000</f>
        <v>-2.9882855833463045</v>
      </c>
    </row>
    <row r="103" spans="1:20" x14ac:dyDescent="0.25">
      <c r="A103" s="5">
        <v>44490</v>
      </c>
      <c r="B103">
        <v>0.77190000000000003</v>
      </c>
      <c r="C103">
        <v>0.82150000000000001</v>
      </c>
      <c r="D103">
        <v>0.73850000000000005</v>
      </c>
      <c r="E103">
        <v>0.80130000000000001</v>
      </c>
      <c r="F103">
        <v>31224424</v>
      </c>
      <c r="G103">
        <v>0.80130000000000001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0.51325301204819263</v>
      </c>
      <c r="Q103">
        <f t="shared" ref="Q103" si="491">F103*P103</f>
        <v>16026029.667469876</v>
      </c>
      <c r="R103">
        <f t="shared" ref="R103" si="492">R104+Q103</f>
        <v>-256498728.96522364</v>
      </c>
      <c r="S103">
        <f t="shared" ref="S103" si="493">R103/100000</f>
        <v>-2564.9872896522365</v>
      </c>
      <c r="T103">
        <f t="shared" ref="T103" si="494">S103/1000</f>
        <v>-2.5649872896522363</v>
      </c>
    </row>
    <row r="104" spans="1:20" x14ac:dyDescent="0.25">
      <c r="A104" s="5">
        <v>44489</v>
      </c>
      <c r="B104">
        <v>0.72760000000000002</v>
      </c>
      <c r="C104">
        <v>0.82709999999999995</v>
      </c>
      <c r="D104">
        <v>0.72619999999999996</v>
      </c>
      <c r="E104">
        <v>0.7732</v>
      </c>
      <c r="F104">
        <v>36201018</v>
      </c>
      <c r="G104">
        <v>0.7732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-6.8384539147670037E-2</v>
      </c>
      <c r="Q104">
        <f t="shared" ref="Q104" si="496">F104*P104</f>
        <v>-2475589.9326065076</v>
      </c>
      <c r="R104">
        <f t="shared" ref="R104" si="497">R105+Q104</f>
        <v>-272524758.63269353</v>
      </c>
      <c r="S104">
        <f t="shared" ref="S104" si="498">R104/100000</f>
        <v>-2725.2475863269351</v>
      </c>
      <c r="T104">
        <f t="shared" ref="T104" si="499">S104/1000</f>
        <v>-2.725247586326935</v>
      </c>
    </row>
    <row r="105" spans="1:20" x14ac:dyDescent="0.25">
      <c r="A105" s="5">
        <v>44488</v>
      </c>
      <c r="B105">
        <v>0.71779999999999999</v>
      </c>
      <c r="C105">
        <v>0.74660000000000004</v>
      </c>
      <c r="D105">
        <v>0.70540000000000003</v>
      </c>
      <c r="E105">
        <v>0.72709999999999997</v>
      </c>
      <c r="F105">
        <v>15161042</v>
      </c>
      <c r="G105">
        <v>0.72709999999999997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5.3398058252423983E-2</v>
      </c>
      <c r="Q105">
        <f t="shared" ref="Q105" si="501">F105*P105</f>
        <v>809570.20388344664</v>
      </c>
      <c r="R105">
        <f t="shared" ref="R105" si="502">R106+Q105</f>
        <v>-270049168.70008701</v>
      </c>
      <c r="S105">
        <f t="shared" ref="S105" si="503">R105/100000</f>
        <v>-2700.4916870008701</v>
      </c>
      <c r="T105">
        <f t="shared" ref="T105" si="504">S105/1000</f>
        <v>-2.7004916870008699</v>
      </c>
    </row>
    <row r="106" spans="1:20" x14ac:dyDescent="0.25">
      <c r="A106" s="5">
        <v>44487</v>
      </c>
      <c r="B106">
        <v>0.73680000000000001</v>
      </c>
      <c r="C106">
        <v>0.74709999999999999</v>
      </c>
      <c r="D106">
        <v>0.7077</v>
      </c>
      <c r="E106">
        <v>0.71760000000000002</v>
      </c>
      <c r="F106">
        <v>17383988</v>
      </c>
      <c r="G106">
        <v>0.71760000000000002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-0.49746192893400903</v>
      </c>
      <c r="Q106">
        <f t="shared" ref="Q106" si="506">F106*P106</f>
        <v>-8647872.2030456662</v>
      </c>
      <c r="R106">
        <f t="shared" ref="R106" si="507">R107+Q106</f>
        <v>-270858738.90397048</v>
      </c>
      <c r="S106">
        <f t="shared" ref="S106" si="508">R106/100000</f>
        <v>-2708.5873890397047</v>
      </c>
      <c r="T106">
        <f t="shared" ref="T106" si="509">S106/1000</f>
        <v>-2.7085873890397045</v>
      </c>
    </row>
    <row r="107" spans="1:20" x14ac:dyDescent="0.25">
      <c r="A107" s="5">
        <v>44486</v>
      </c>
      <c r="B107">
        <v>0.79810000000000003</v>
      </c>
      <c r="C107">
        <v>0.93300000000000005</v>
      </c>
      <c r="D107">
        <v>0.71140000000000003</v>
      </c>
      <c r="E107">
        <v>0.73540000000000005</v>
      </c>
      <c r="F107">
        <v>87472027</v>
      </c>
      <c r="G107">
        <v>0.73540000000000005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-0.78339350180505396</v>
      </c>
      <c r="Q107">
        <f t="shared" ref="Q107" si="511">F107*P107</f>
        <v>-68525017.54151623</v>
      </c>
      <c r="R107">
        <f t="shared" ref="R107" si="512">R108+Q107</f>
        <v>-262210866.70092481</v>
      </c>
      <c r="S107">
        <f t="shared" ref="S107" si="513">R107/100000</f>
        <v>-2622.1086670092482</v>
      </c>
      <c r="T107">
        <f t="shared" ref="T107" si="514">S107/1000</f>
        <v>-2.6221086670092482</v>
      </c>
    </row>
    <row r="108" spans="1:20" x14ac:dyDescent="0.25">
      <c r="A108" s="5">
        <v>44485</v>
      </c>
      <c r="B108">
        <v>0.70069999999999999</v>
      </c>
      <c r="C108">
        <v>0.80700000000000005</v>
      </c>
      <c r="D108">
        <v>0.69699999999999995</v>
      </c>
      <c r="E108">
        <v>0.79810000000000003</v>
      </c>
      <c r="F108">
        <v>20357637</v>
      </c>
      <c r="G108">
        <v>0.79810000000000003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0.83818181818181803</v>
      </c>
      <c r="Q108">
        <f t="shared" ref="Q108" si="516">F108*P108</f>
        <v>17063401.194545452</v>
      </c>
      <c r="R108">
        <f t="shared" ref="R108" si="517">R109+Q108</f>
        <v>-193685849.15940857</v>
      </c>
      <c r="S108">
        <f t="shared" ref="S108" si="518">R108/100000</f>
        <v>-1936.8584915940858</v>
      </c>
      <c r="T108">
        <f t="shared" ref="T108" si="519">S108/1000</f>
        <v>-1.9368584915940859</v>
      </c>
    </row>
    <row r="109" spans="1:20" x14ac:dyDescent="0.25">
      <c r="A109" s="5">
        <v>44484</v>
      </c>
      <c r="B109">
        <v>0.72119999999999995</v>
      </c>
      <c r="C109">
        <v>0.73360000000000003</v>
      </c>
      <c r="D109">
        <v>0.68</v>
      </c>
      <c r="E109">
        <v>0.70140000000000002</v>
      </c>
      <c r="F109">
        <v>22092228</v>
      </c>
      <c r="G109">
        <v>0.70140000000000002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-0.2014925373134335</v>
      </c>
      <c r="Q109">
        <f t="shared" ref="Q109" si="521">F109*P109</f>
        <v>-4451419.0746268807</v>
      </c>
      <c r="R109">
        <f t="shared" ref="R109" si="522">R110+Q109</f>
        <v>-210749250.35395402</v>
      </c>
      <c r="S109">
        <f t="shared" ref="S109" si="523">R109/100000</f>
        <v>-2107.4925035395404</v>
      </c>
      <c r="T109">
        <f t="shared" ref="T109" si="524">S109/1000</f>
        <v>-2.1074925035395404</v>
      </c>
    </row>
    <row r="110" spans="1:20" x14ac:dyDescent="0.25">
      <c r="A110" s="5">
        <v>44483</v>
      </c>
      <c r="B110">
        <v>0.69669999999999999</v>
      </c>
      <c r="C110">
        <v>0.75590000000000002</v>
      </c>
      <c r="D110">
        <v>0.69330000000000003</v>
      </c>
      <c r="E110">
        <v>0.72199999999999998</v>
      </c>
      <c r="F110">
        <v>24277561</v>
      </c>
      <c r="G110">
        <v>0.72199999999999998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-8.3067092651758698E-2</v>
      </c>
      <c r="Q110">
        <f t="shared" ref="Q110" si="526">F110*P110</f>
        <v>-2016666.4089457234</v>
      </c>
      <c r="R110">
        <f t="shared" ref="R110" si="527">R111+Q110</f>
        <v>-206297831.27932712</v>
      </c>
      <c r="S110">
        <f t="shared" ref="S110" si="528">R110/100000</f>
        <v>-2062.9783127932715</v>
      </c>
      <c r="T110">
        <f t="shared" ref="T110" si="529">S110/1000</f>
        <v>-2.0629783127932715</v>
      </c>
    </row>
    <row r="111" spans="1:20" x14ac:dyDescent="0.25">
      <c r="A111" s="5">
        <v>44482</v>
      </c>
      <c r="B111">
        <v>0.70489999999999997</v>
      </c>
      <c r="C111">
        <v>0.73150000000000004</v>
      </c>
      <c r="D111">
        <v>0.67820000000000003</v>
      </c>
      <c r="E111">
        <v>0.69630000000000003</v>
      </c>
      <c r="F111">
        <v>19293285</v>
      </c>
      <c r="G111">
        <v>0.69630000000000003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-0.32082551594746717</v>
      </c>
      <c r="Q111">
        <f t="shared" ref="Q111" si="531">F111*P111</f>
        <v>-6189778.1144465292</v>
      </c>
      <c r="R111">
        <f t="shared" ref="R111" si="532">R112+Q111</f>
        <v>-204281164.87038141</v>
      </c>
      <c r="S111">
        <f t="shared" ref="S111" si="533">R111/100000</f>
        <v>-2042.8116487038142</v>
      </c>
      <c r="T111">
        <f t="shared" ref="T111" si="534">S111/1000</f>
        <v>-2.0428116487038142</v>
      </c>
    </row>
    <row r="112" spans="1:20" x14ac:dyDescent="0.25">
      <c r="A112" s="5">
        <v>44481</v>
      </c>
      <c r="B112">
        <v>0.70230000000000004</v>
      </c>
      <c r="C112">
        <v>0.76890000000000003</v>
      </c>
      <c r="D112">
        <v>0.66</v>
      </c>
      <c r="E112">
        <v>0.70379999999999998</v>
      </c>
      <c r="F112">
        <v>49564261</v>
      </c>
      <c r="G112">
        <v>0.70379999999999998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-0.1955922865013783</v>
      </c>
      <c r="Q112">
        <f t="shared" ref="Q112" si="536">F112*P112</f>
        <v>-9694387.1377410907</v>
      </c>
      <c r="R112">
        <f t="shared" ref="R112" si="537">R113+Q112</f>
        <v>-198091386.75593489</v>
      </c>
      <c r="S112">
        <f t="shared" ref="S112" si="538">R112/100000</f>
        <v>-1980.913867559349</v>
      </c>
      <c r="T112">
        <f t="shared" ref="T112" si="539">S112/1000</f>
        <v>-1.980913867559349</v>
      </c>
    </row>
    <row r="113" spans="1:20" x14ac:dyDescent="0.25">
      <c r="A113" s="5">
        <v>44480</v>
      </c>
      <c r="B113">
        <v>0.65590000000000004</v>
      </c>
      <c r="C113">
        <v>0.78749999999999998</v>
      </c>
      <c r="D113">
        <v>0.64270000000000005</v>
      </c>
      <c r="E113">
        <v>0.70250000000000001</v>
      </c>
      <c r="F113">
        <v>36838833</v>
      </c>
      <c r="G113">
        <v>0.70250000000000001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-0.1740331491712708</v>
      </c>
      <c r="Q113">
        <f t="shared" ref="Q113" si="541">F113*P113</f>
        <v>-6411178.1187845338</v>
      </c>
      <c r="R113">
        <f t="shared" ref="R113" si="542">R114+Q113</f>
        <v>-188396999.61819381</v>
      </c>
      <c r="S113">
        <f t="shared" ref="S113" si="543">R113/100000</f>
        <v>-1883.9699961819381</v>
      </c>
      <c r="T113">
        <f t="shared" ref="T113" si="544">S113/1000</f>
        <v>-1.8839699961819381</v>
      </c>
    </row>
    <row r="114" spans="1:20" x14ac:dyDescent="0.25">
      <c r="A114" s="5">
        <v>44479</v>
      </c>
      <c r="B114">
        <v>0.67720000000000002</v>
      </c>
      <c r="C114">
        <v>0.71499999999999997</v>
      </c>
      <c r="D114">
        <v>0.65080000000000005</v>
      </c>
      <c r="E114">
        <v>0.65700000000000003</v>
      </c>
      <c r="F114">
        <v>15789046</v>
      </c>
      <c r="G114">
        <v>0.65700000000000003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-0.80685358255451745</v>
      </c>
      <c r="Q114">
        <f t="shared" ref="Q114" si="546">F114*P114</f>
        <v>-12739448.330218073</v>
      </c>
      <c r="R114">
        <f t="shared" ref="R114" si="547">R115+Q114</f>
        <v>-181985821.49940926</v>
      </c>
      <c r="S114">
        <f t="shared" ref="S114" si="548">R114/100000</f>
        <v>-1819.8582149940926</v>
      </c>
      <c r="T114">
        <f t="shared" ref="T114" si="549">S114/1000</f>
        <v>-1.8198582149940925</v>
      </c>
    </row>
    <row r="115" spans="1:20" x14ac:dyDescent="0.25">
      <c r="A115" s="5">
        <v>44478</v>
      </c>
      <c r="B115">
        <v>0.65910000000000002</v>
      </c>
      <c r="C115">
        <v>0.68359999999999999</v>
      </c>
      <c r="D115">
        <v>0.65349999999999997</v>
      </c>
      <c r="E115">
        <v>0.67820000000000003</v>
      </c>
      <c r="F115">
        <v>10255433</v>
      </c>
      <c r="G115">
        <v>0.67820000000000003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0.64119601328903941</v>
      </c>
      <c r="Q115">
        <f t="shared" ref="Q115" si="551">F115*P115</f>
        <v>6575742.754152853</v>
      </c>
      <c r="R115">
        <f t="shared" ref="R115" si="552">R116+Q115</f>
        <v>-169246373.16919118</v>
      </c>
      <c r="S115">
        <f t="shared" ref="S115" si="553">R115/100000</f>
        <v>-1692.4637316919118</v>
      </c>
      <c r="T115">
        <f t="shared" ref="T115" si="554">S115/1000</f>
        <v>-1.6924637316919118</v>
      </c>
    </row>
    <row r="116" spans="1:20" x14ac:dyDescent="0.25">
      <c r="A116" s="5">
        <v>44477</v>
      </c>
      <c r="B116">
        <v>0.68410000000000004</v>
      </c>
      <c r="C116">
        <v>0.71</v>
      </c>
      <c r="D116">
        <v>0.65480000000000005</v>
      </c>
      <c r="E116">
        <v>0.6593</v>
      </c>
      <c r="F116">
        <v>15862947</v>
      </c>
      <c r="G116">
        <v>0.6593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-0.83695652173913204</v>
      </c>
      <c r="Q116">
        <f t="shared" ref="Q116" si="556">F116*P116</f>
        <v>-13276596.9456522</v>
      </c>
      <c r="R116">
        <f t="shared" ref="R116" si="557">R117+Q116</f>
        <v>-175822115.92334405</v>
      </c>
      <c r="S116">
        <f t="shared" ref="S116" si="558">R116/100000</f>
        <v>-1758.2211592334404</v>
      </c>
      <c r="T116">
        <f t="shared" ref="T116" si="559">S116/1000</f>
        <v>-1.7582211592334405</v>
      </c>
    </row>
    <row r="117" spans="1:20" x14ac:dyDescent="0.25">
      <c r="A117" s="5">
        <v>44476</v>
      </c>
      <c r="B117">
        <v>0.64439999999999997</v>
      </c>
      <c r="C117">
        <v>0.76580000000000004</v>
      </c>
      <c r="D117">
        <v>0.60919999999999996</v>
      </c>
      <c r="E117">
        <v>0.68469999999999998</v>
      </c>
      <c r="F117">
        <v>40254517</v>
      </c>
      <c r="G117">
        <v>0.68469999999999998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-3.5759897828863643E-2</v>
      </c>
      <c r="Q117">
        <f t="shared" ref="Q117" si="561">F117*P117</f>
        <v>-1439497.4150702546</v>
      </c>
      <c r="R117">
        <f t="shared" ref="R117" si="562">R118+Q117</f>
        <v>-162545518.97769186</v>
      </c>
      <c r="S117">
        <f t="shared" ref="S117" si="563">R117/100000</f>
        <v>-1625.4551897769186</v>
      </c>
      <c r="T117">
        <f t="shared" ref="T117" si="564">S117/1000</f>
        <v>-1.6254551897769185</v>
      </c>
    </row>
    <row r="118" spans="1:20" x14ac:dyDescent="0.25">
      <c r="A118" s="5">
        <v>44475</v>
      </c>
      <c r="B118">
        <v>0.65920000000000001</v>
      </c>
      <c r="C118">
        <v>0.66080000000000005</v>
      </c>
      <c r="D118">
        <v>0.59719999999999995</v>
      </c>
      <c r="E118">
        <v>0.64449999999999996</v>
      </c>
      <c r="F118">
        <v>24840918</v>
      </c>
      <c r="G118">
        <v>0.64449999999999996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0.48742138364779664</v>
      </c>
      <c r="Q118">
        <f t="shared" ref="Q118" si="566">F118*P118</f>
        <v>12107994.622641457</v>
      </c>
      <c r="R118">
        <f t="shared" ref="R118" si="567">R119+Q118</f>
        <v>-161106021.56262159</v>
      </c>
      <c r="S118">
        <f t="shared" ref="S118" si="568">R118/100000</f>
        <v>-1611.0602156262159</v>
      </c>
      <c r="T118">
        <f t="shared" ref="T118" si="569">S118/1000</f>
        <v>-1.6110602156262159</v>
      </c>
    </row>
    <row r="119" spans="1:20" x14ac:dyDescent="0.25">
      <c r="A119" s="5">
        <v>44474</v>
      </c>
      <c r="B119">
        <v>0.66049999999999998</v>
      </c>
      <c r="C119">
        <v>0.71499999999999997</v>
      </c>
      <c r="D119">
        <v>0.63949999999999996</v>
      </c>
      <c r="E119">
        <v>0.65820000000000001</v>
      </c>
      <c r="F119">
        <v>23753933</v>
      </c>
      <c r="G119">
        <v>0.65820000000000001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-0.50463576158940271</v>
      </c>
      <c r="Q119">
        <f t="shared" ref="Q119" si="571">F119*P119</f>
        <v>-11987084.070198646</v>
      </c>
      <c r="R119">
        <f t="shared" ref="R119" si="572">R120+Q119</f>
        <v>-173214016.18526304</v>
      </c>
      <c r="S119">
        <f t="shared" ref="S119" si="573">R119/100000</f>
        <v>-1732.1401618526304</v>
      </c>
      <c r="T119">
        <f t="shared" ref="T119" si="574">S119/1000</f>
        <v>-1.7321401618526304</v>
      </c>
    </row>
    <row r="120" spans="1:20" x14ac:dyDescent="0.25">
      <c r="A120" s="5">
        <v>44473</v>
      </c>
      <c r="B120">
        <v>0.64900000000000002</v>
      </c>
      <c r="C120">
        <v>0.68940000000000001</v>
      </c>
      <c r="D120">
        <v>0.60719999999999996</v>
      </c>
      <c r="E120">
        <v>0.65290000000000004</v>
      </c>
      <c r="F120">
        <v>19639704</v>
      </c>
      <c r="G120">
        <v>0.65290000000000004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0.11192214111922252</v>
      </c>
      <c r="Q120">
        <f t="shared" ref="Q120" si="576">F120*P120</f>
        <v>2198117.722627759</v>
      </c>
      <c r="R120">
        <f t="shared" ref="R120" si="577">R121+Q120</f>
        <v>-161226932.11506438</v>
      </c>
      <c r="S120">
        <f t="shared" ref="S120" si="578">R120/100000</f>
        <v>-1612.2693211506439</v>
      </c>
      <c r="T120">
        <f t="shared" ref="T120" si="579">S120/1000</f>
        <v>-1.6122693211506438</v>
      </c>
    </row>
    <row r="121" spans="1:20" x14ac:dyDescent="0.25">
      <c r="A121" s="5">
        <v>44472</v>
      </c>
      <c r="B121">
        <v>0.6462</v>
      </c>
      <c r="C121">
        <v>0.66900000000000004</v>
      </c>
      <c r="D121">
        <v>0.62160000000000004</v>
      </c>
      <c r="E121">
        <v>0.64680000000000004</v>
      </c>
      <c r="F121">
        <v>11893674</v>
      </c>
      <c r="G121">
        <v>0.64680000000000004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6.3291139240506389E-2</v>
      </c>
      <c r="Q121">
        <f t="shared" ref="Q121" si="581">F121*P121</f>
        <v>752764.1772151906</v>
      </c>
      <c r="R121">
        <f t="shared" ref="R121" si="582">R122+Q121</f>
        <v>-163425049.83769214</v>
      </c>
      <c r="S121">
        <f t="shared" ref="S121" si="583">R121/100000</f>
        <v>-1634.2504983769213</v>
      </c>
      <c r="T121">
        <f t="shared" ref="T121" si="584">S121/1000</f>
        <v>-1.6342504983769213</v>
      </c>
    </row>
    <row r="122" spans="1:20" x14ac:dyDescent="0.25">
      <c r="A122" s="5">
        <v>44471</v>
      </c>
      <c r="B122">
        <v>0.7258</v>
      </c>
      <c r="C122">
        <v>0.72799999999999998</v>
      </c>
      <c r="D122">
        <v>0.6341</v>
      </c>
      <c r="E122">
        <v>0.64670000000000005</v>
      </c>
      <c r="F122">
        <v>25292979</v>
      </c>
      <c r="G122">
        <v>0.64670000000000005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-0.73162939297124474</v>
      </c>
      <c r="Q122">
        <f t="shared" ref="Q122" si="586">F122*P122</f>
        <v>-18505086.872204442</v>
      </c>
      <c r="R122">
        <f t="shared" ref="R122" si="587">R123+Q122</f>
        <v>-164177814.01490733</v>
      </c>
      <c r="S122">
        <f t="shared" ref="S122" si="588">R122/100000</f>
        <v>-1641.7781401490734</v>
      </c>
      <c r="T122">
        <f t="shared" ref="T122" si="589">S122/1000</f>
        <v>-1.6417781401490734</v>
      </c>
    </row>
    <row r="123" spans="1:20" x14ac:dyDescent="0.25">
      <c r="A123" s="5">
        <v>44470</v>
      </c>
      <c r="B123">
        <v>0.56630000000000003</v>
      </c>
      <c r="C123">
        <v>0.73540000000000005</v>
      </c>
      <c r="D123">
        <v>0.55520000000000003</v>
      </c>
      <c r="E123">
        <v>0.72219999999999995</v>
      </c>
      <c r="F123">
        <v>21152911</v>
      </c>
      <c r="G123">
        <v>0.72219999999999995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0.85349611542730186</v>
      </c>
      <c r="Q123">
        <f t="shared" ref="Q123" si="591">F123*P123</f>
        <v>18053927.368479442</v>
      </c>
      <c r="R123">
        <f t="shared" ref="R123" si="592">R124+Q123</f>
        <v>-145672727.14270288</v>
      </c>
      <c r="S123">
        <f t="shared" ref="S123" si="593">R123/100000</f>
        <v>-1456.7272714270289</v>
      </c>
      <c r="T123">
        <f t="shared" ref="T123" si="594">S123/1000</f>
        <v>-1.456727271427029</v>
      </c>
    </row>
    <row r="124" spans="1:20" x14ac:dyDescent="0.25">
      <c r="A124" s="5">
        <v>44469</v>
      </c>
      <c r="B124">
        <v>0.55989999999999995</v>
      </c>
      <c r="C124">
        <v>0.58989999999999998</v>
      </c>
      <c r="D124">
        <v>0.54159999999999997</v>
      </c>
      <c r="E124">
        <v>0.56630000000000003</v>
      </c>
      <c r="F124">
        <v>13348630</v>
      </c>
      <c r="G124">
        <v>0.56630000000000003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2.2774327122155293E-2</v>
      </c>
      <c r="Q124">
        <f t="shared" ref="Q124" si="596">F124*P124</f>
        <v>304006.06625261583</v>
      </c>
      <c r="R124">
        <f t="shared" ref="R124" si="597">R125+Q124</f>
        <v>-163726654.51118231</v>
      </c>
      <c r="S124">
        <f t="shared" ref="S124" si="598">R124/100000</f>
        <v>-1637.266545111823</v>
      </c>
      <c r="T124">
        <f t="shared" ref="T124" si="599">S124/1000</f>
        <v>-1.6372665451118229</v>
      </c>
    </row>
    <row r="125" spans="1:20" x14ac:dyDescent="0.25">
      <c r="A125" s="5">
        <v>44468</v>
      </c>
      <c r="B125">
        <v>0.5534</v>
      </c>
      <c r="C125">
        <v>0.61</v>
      </c>
      <c r="D125">
        <v>0.53800000000000003</v>
      </c>
      <c r="E125">
        <v>0.55979999999999996</v>
      </c>
      <c r="F125">
        <v>8502127</v>
      </c>
      <c r="G125">
        <v>0.55979999999999996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-0.39444444444444599</v>
      </c>
      <c r="Q125">
        <f t="shared" ref="Q125" si="601">F125*P125</f>
        <v>-3353616.7611111244</v>
      </c>
      <c r="R125">
        <f t="shared" ref="R125" si="602">R126+Q125</f>
        <v>-164030660.57743493</v>
      </c>
      <c r="S125">
        <f t="shared" ref="S125" si="603">R125/100000</f>
        <v>-1640.3066057743492</v>
      </c>
      <c r="T125">
        <f t="shared" ref="T125" si="604">S125/1000</f>
        <v>-1.6403066057743492</v>
      </c>
    </row>
    <row r="126" spans="1:20" x14ac:dyDescent="0.25">
      <c r="A126" s="5">
        <v>44467</v>
      </c>
      <c r="B126">
        <v>0.5716</v>
      </c>
      <c r="C126">
        <v>0.59599999999999997</v>
      </c>
      <c r="D126">
        <v>0.53790000000000004</v>
      </c>
      <c r="E126">
        <v>0.55469999999999997</v>
      </c>
      <c r="F126">
        <v>11567003</v>
      </c>
      <c r="G126">
        <v>0.55469999999999997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-0.42168674698795366</v>
      </c>
      <c r="Q126">
        <f t="shared" ref="Q126" si="606">F126*P126</f>
        <v>-4877651.8674699012</v>
      </c>
      <c r="R126">
        <f t="shared" ref="R126" si="607">R127+Q126</f>
        <v>-160677043.81632382</v>
      </c>
      <c r="S126">
        <f t="shared" ref="S126" si="608">R126/100000</f>
        <v>-1606.7704381632382</v>
      </c>
      <c r="T126">
        <f t="shared" ref="T126" si="609">S126/1000</f>
        <v>-1.6067704381632382</v>
      </c>
    </row>
    <row r="127" spans="1:20" x14ac:dyDescent="0.25">
      <c r="A127" s="5">
        <v>44466</v>
      </c>
      <c r="B127">
        <v>0.58509999999999995</v>
      </c>
      <c r="C127">
        <v>0.65</v>
      </c>
      <c r="D127">
        <v>0.57120000000000004</v>
      </c>
      <c r="E127">
        <v>0.57250000000000001</v>
      </c>
      <c r="F127">
        <v>15734222</v>
      </c>
      <c r="G127">
        <v>0.57250000000000001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-0.96700507614213282</v>
      </c>
      <c r="Q127">
        <f t="shared" ref="Q127" si="611">F127*P127</f>
        <v>-15215072.543147221</v>
      </c>
      <c r="R127">
        <f t="shared" ref="R127" si="612">R128+Q127</f>
        <v>-155799391.94885391</v>
      </c>
      <c r="S127">
        <f t="shared" ref="S127" si="613">R127/100000</f>
        <v>-1557.9939194885392</v>
      </c>
      <c r="T127">
        <f t="shared" ref="T127" si="614">S127/1000</f>
        <v>-1.5579939194885393</v>
      </c>
    </row>
    <row r="128" spans="1:20" x14ac:dyDescent="0.25">
      <c r="A128" s="5">
        <v>44465</v>
      </c>
      <c r="B128">
        <v>0.60229999999999995</v>
      </c>
      <c r="C128">
        <v>0.63360000000000005</v>
      </c>
      <c r="D128">
        <v>0.53439999999999999</v>
      </c>
      <c r="E128">
        <v>0.58479999999999999</v>
      </c>
      <c r="F128">
        <v>12131746.592</v>
      </c>
      <c r="G128">
        <v>0.58479999999999999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1.612903225806385E-2</v>
      </c>
      <c r="Q128">
        <f t="shared" ref="Q128" si="616">F128*P128</f>
        <v>195673.33212902417</v>
      </c>
      <c r="R128">
        <f t="shared" ref="R128" si="617">R129+Q128</f>
        <v>-140584319.4057067</v>
      </c>
      <c r="S128">
        <f t="shared" ref="S128" si="618">R128/100000</f>
        <v>-1405.843194057067</v>
      </c>
      <c r="T128">
        <f t="shared" ref="T128" si="619">S128/1000</f>
        <v>-1.405843194057067</v>
      </c>
    </row>
    <row r="129" spans="1:20" x14ac:dyDescent="0.25">
      <c r="A129" s="5">
        <v>44464</v>
      </c>
      <c r="B129">
        <v>0.6008</v>
      </c>
      <c r="C129">
        <v>0.62749999999999995</v>
      </c>
      <c r="D129">
        <v>0.56630000000000003</v>
      </c>
      <c r="E129">
        <v>0.60229999999999995</v>
      </c>
      <c r="F129">
        <v>8648495</v>
      </c>
      <c r="G129">
        <v>0.60229999999999995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0.17647058823529305</v>
      </c>
      <c r="Q129">
        <f t="shared" ref="Q129" si="621">F129*P129</f>
        <v>1526204.9999999907</v>
      </c>
      <c r="R129">
        <f t="shared" ref="R129" si="622">R130+Q129</f>
        <v>-140779992.73783574</v>
      </c>
      <c r="S129">
        <f t="shared" ref="S129" si="623">R129/100000</f>
        <v>-1407.7999273783573</v>
      </c>
      <c r="T129">
        <f t="shared" ref="T129" si="624">S129/1000</f>
        <v>-1.4077999273783572</v>
      </c>
    </row>
    <row r="130" spans="1:20" x14ac:dyDescent="0.25">
      <c r="A130" s="5">
        <v>44463</v>
      </c>
      <c r="B130">
        <v>0.66210000000000002</v>
      </c>
      <c r="C130">
        <v>0.66779999999999995</v>
      </c>
      <c r="D130">
        <v>0.55840000000000001</v>
      </c>
      <c r="E130">
        <v>0.60119999999999996</v>
      </c>
      <c r="F130">
        <v>15136031</v>
      </c>
      <c r="G130">
        <v>0.60119999999999996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-0.21755027422303524</v>
      </c>
      <c r="Q130">
        <f t="shared" ref="Q130" si="626">F130*P130</f>
        <v>-3292847.6946983626</v>
      </c>
      <c r="R130">
        <f t="shared" ref="R130" si="627">R131+Q130</f>
        <v>-142306197.73783574</v>
      </c>
      <c r="S130">
        <f t="shared" ref="S130" si="628">R130/100000</f>
        <v>-1423.0619773783574</v>
      </c>
      <c r="T130">
        <f t="shared" ref="T130" si="629">S130/1000</f>
        <v>-1.4230619773783573</v>
      </c>
    </row>
    <row r="131" spans="1:20" x14ac:dyDescent="0.25">
      <c r="A131" s="5">
        <v>44462</v>
      </c>
      <c r="B131">
        <v>0.67110000000000003</v>
      </c>
      <c r="C131">
        <v>0.69799999999999995</v>
      </c>
      <c r="D131">
        <v>0.6371</v>
      </c>
      <c r="E131">
        <v>0.66169999999999995</v>
      </c>
      <c r="F131">
        <v>14468328</v>
      </c>
      <c r="G131">
        <v>0.66169999999999995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-0.1921182266009861</v>
      </c>
      <c r="Q131">
        <f t="shared" ref="Q131" si="631">F131*P131</f>
        <v>-2779629.5172413918</v>
      </c>
      <c r="R131">
        <f t="shared" ref="R131" si="632">R132+Q131</f>
        <v>-139013350.04313737</v>
      </c>
      <c r="S131">
        <f t="shared" ref="S131" si="633">R131/100000</f>
        <v>-1390.1335004313737</v>
      </c>
      <c r="T131">
        <f t="shared" ref="T131" si="634">S131/1000</f>
        <v>-1.3901335004313737</v>
      </c>
    </row>
    <row r="132" spans="1:20" x14ac:dyDescent="0.25">
      <c r="A132" s="5">
        <v>44461</v>
      </c>
      <c r="B132">
        <v>0.56920000000000004</v>
      </c>
      <c r="C132">
        <v>0.67989999999999995</v>
      </c>
      <c r="D132">
        <v>0.56769999999999998</v>
      </c>
      <c r="E132">
        <v>0.67110000000000003</v>
      </c>
      <c r="F132">
        <v>12217507</v>
      </c>
      <c r="G132">
        <v>0.67110000000000003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0.84313725490196223</v>
      </c>
      <c r="Q132">
        <f t="shared" ref="Q132" si="636">F132*P132</f>
        <v>10301035.313725509</v>
      </c>
      <c r="R132">
        <f t="shared" ref="R132" si="637">R133+Q132</f>
        <v>-136233720.52589598</v>
      </c>
      <c r="S132">
        <f t="shared" ref="S132" si="638">R132/100000</f>
        <v>-1362.3372052589598</v>
      </c>
      <c r="T132">
        <f t="shared" ref="T132" si="639">S132/1000</f>
        <v>-1.3623372052589597</v>
      </c>
    </row>
    <row r="133" spans="1:20" x14ac:dyDescent="0.25">
      <c r="A133" s="5">
        <v>44460</v>
      </c>
      <c r="B133">
        <v>0.63290000000000002</v>
      </c>
      <c r="C133">
        <v>0.67789999999999995</v>
      </c>
      <c r="D133">
        <v>0.55000000000000004</v>
      </c>
      <c r="E133">
        <v>0.56699999999999995</v>
      </c>
      <c r="F133">
        <v>15141144.545</v>
      </c>
      <c r="G133">
        <v>0.56699999999999995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-0.73416731821735859</v>
      </c>
      <c r="Q133">
        <f t="shared" ref="Q133" si="641">F133*P133</f>
        <v>-11116133.485344037</v>
      </c>
      <c r="R133">
        <f t="shared" ref="R133" si="642">R134+Q133</f>
        <v>-146534755.83962148</v>
      </c>
      <c r="S133">
        <f t="shared" ref="S133" si="643">R133/100000</f>
        <v>-1465.3475583962149</v>
      </c>
      <c r="T133">
        <f t="shared" ref="T133" si="644">S133/1000</f>
        <v>-1.465347558396215</v>
      </c>
    </row>
    <row r="134" spans="1:20" x14ac:dyDescent="0.25">
      <c r="A134" s="5">
        <v>44459</v>
      </c>
      <c r="B134">
        <v>0.79679999999999995</v>
      </c>
      <c r="C134">
        <v>0.79979999999999996</v>
      </c>
      <c r="D134">
        <v>0.69210000000000005</v>
      </c>
      <c r="E134">
        <v>0.70689999999999997</v>
      </c>
      <c r="F134">
        <v>8010591</v>
      </c>
      <c r="G134">
        <v>0.70689999999999997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-0.72516248839368735</v>
      </c>
      <c r="Q134">
        <f t="shared" ref="Q134" si="646">F134*P134</f>
        <v>-5808980.103064076</v>
      </c>
      <c r="R134">
        <f t="shared" ref="R134" si="647">R135+Q134</f>
        <v>-135418622.35427743</v>
      </c>
      <c r="S134">
        <f t="shared" ref="S134" si="648">R134/100000</f>
        <v>-1354.1862235427743</v>
      </c>
      <c r="T134">
        <f t="shared" ref="T134" si="649">S134/1000</f>
        <v>-1.3541862235427744</v>
      </c>
    </row>
    <row r="135" spans="1:20" x14ac:dyDescent="0.25">
      <c r="A135" s="5">
        <v>44458</v>
      </c>
      <c r="B135">
        <v>0.82</v>
      </c>
      <c r="C135">
        <v>0.87370000000000003</v>
      </c>
      <c r="D135">
        <v>0.76219999999999999</v>
      </c>
      <c r="E135">
        <v>0.79559999999999997</v>
      </c>
      <c r="F135">
        <v>19906417</v>
      </c>
      <c r="G135">
        <v>0.79559999999999997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-0.40089686098654759</v>
      </c>
      <c r="Q135">
        <f t="shared" ref="Q135" si="651">F135*P135</f>
        <v>-7980420.0887892479</v>
      </c>
      <c r="R135">
        <f t="shared" ref="R135" si="652">R136+Q135</f>
        <v>-129609642.25121334</v>
      </c>
      <c r="S135">
        <f t="shared" ref="S135" si="653">R135/100000</f>
        <v>-1296.0964225121334</v>
      </c>
      <c r="T135">
        <f t="shared" ref="T135" si="654">S135/1000</f>
        <v>-1.2960964225121334</v>
      </c>
    </row>
    <row r="136" spans="1:20" x14ac:dyDescent="0.25">
      <c r="A136" s="5">
        <v>44457</v>
      </c>
      <c r="B136">
        <v>0.74780000000000002</v>
      </c>
      <c r="C136">
        <v>0.92900000000000005</v>
      </c>
      <c r="D136">
        <v>0.74780000000000002</v>
      </c>
      <c r="E136">
        <v>0.8206</v>
      </c>
      <c r="F136">
        <v>26758909</v>
      </c>
      <c r="G136">
        <v>0.8206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-0.19646799116997832</v>
      </c>
      <c r="Q136">
        <f t="shared" ref="Q136" si="656">F136*P136</f>
        <v>-5257269.097130253</v>
      </c>
      <c r="R136">
        <f t="shared" ref="R136" si="657">R137+Q136</f>
        <v>-121629222.16242409</v>
      </c>
      <c r="S136">
        <f t="shared" ref="S136" si="658">R136/100000</f>
        <v>-1216.2922216242409</v>
      </c>
      <c r="T136">
        <f t="shared" ref="T136" si="659">S136/1000</f>
        <v>-1.2162922216242409</v>
      </c>
    </row>
    <row r="137" spans="1:20" x14ac:dyDescent="0.25">
      <c r="A137" s="5">
        <v>44456</v>
      </c>
      <c r="B137">
        <v>0.78149999999999997</v>
      </c>
      <c r="C137">
        <v>0.80369999999999997</v>
      </c>
      <c r="D137">
        <v>0.72919999999999996</v>
      </c>
      <c r="E137">
        <v>0.74780000000000002</v>
      </c>
      <c r="F137">
        <v>11457186</v>
      </c>
      <c r="G137">
        <v>0.74780000000000002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-0.50067114093959575</v>
      </c>
      <c r="Q137">
        <f t="shared" ref="Q137" si="661">F137*P137</f>
        <v>-5736282.3865771629</v>
      </c>
      <c r="R137">
        <f t="shared" ref="R137" si="662">R138+Q137</f>
        <v>-116371953.06529383</v>
      </c>
      <c r="S137">
        <f t="shared" ref="S137" si="663">R137/100000</f>
        <v>-1163.7195306529384</v>
      </c>
      <c r="T137">
        <f t="shared" ref="T137" si="664">S137/1000</f>
        <v>-1.1637195306529384</v>
      </c>
    </row>
    <row r="138" spans="1:20" x14ac:dyDescent="0.25">
      <c r="A138" s="5">
        <v>44455</v>
      </c>
      <c r="B138">
        <v>0.81240000000000001</v>
      </c>
      <c r="C138">
        <v>0.81940000000000002</v>
      </c>
      <c r="D138">
        <v>0.76500000000000001</v>
      </c>
      <c r="E138">
        <v>0.78149999999999997</v>
      </c>
      <c r="F138">
        <v>13266729</v>
      </c>
      <c r="G138">
        <v>0.78149999999999997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-0.39338235294117802</v>
      </c>
      <c r="Q138">
        <f t="shared" ref="Q138" si="666">F138*P138</f>
        <v>-5218897.0698529612</v>
      </c>
      <c r="R138">
        <f t="shared" ref="R138" si="667">R139+Q138</f>
        <v>-110635670.67871667</v>
      </c>
      <c r="S138">
        <f t="shared" ref="S138" si="668">R138/100000</f>
        <v>-1106.3567067871668</v>
      </c>
      <c r="T138">
        <f t="shared" ref="T138" si="669">S138/1000</f>
        <v>-1.1063567067871667</v>
      </c>
    </row>
    <row r="139" spans="1:20" x14ac:dyDescent="0.25">
      <c r="A139" s="5">
        <v>44454</v>
      </c>
      <c r="B139">
        <v>0.76549999999999996</v>
      </c>
      <c r="C139">
        <v>0.82</v>
      </c>
      <c r="D139">
        <v>0.74980000000000002</v>
      </c>
      <c r="E139">
        <v>0.8135</v>
      </c>
      <c r="F139">
        <v>14053377</v>
      </c>
      <c r="G139">
        <v>0.8135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0.81481481481481599</v>
      </c>
      <c r="Q139">
        <f t="shared" ref="Q139" si="671">F139*P139</f>
        <v>11450899.777777795</v>
      </c>
      <c r="R139">
        <f t="shared" ref="R139" si="672">R140+Q139</f>
        <v>-105416773.60886371</v>
      </c>
      <c r="S139">
        <f t="shared" ref="S139" si="673">R139/100000</f>
        <v>-1054.1677360886372</v>
      </c>
      <c r="T139">
        <f t="shared" ref="T139" si="674">S139/1000</f>
        <v>-1.0541677360886372</v>
      </c>
    </row>
    <row r="140" spans="1:20" x14ac:dyDescent="0.25">
      <c r="A140" s="5">
        <v>44453</v>
      </c>
      <c r="B140">
        <v>0.7571</v>
      </c>
      <c r="C140">
        <v>0.80559999999999998</v>
      </c>
      <c r="D140">
        <v>0.74480000000000002</v>
      </c>
      <c r="E140">
        <v>0.76480000000000004</v>
      </c>
      <c r="F140">
        <v>11280834</v>
      </c>
      <c r="G140">
        <v>0.76480000000000004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-0.3421052631578938</v>
      </c>
      <c r="Q140">
        <f t="shared" ref="Q140" si="676">F140*P140</f>
        <v>-3859232.6842105156</v>
      </c>
      <c r="R140">
        <f t="shared" ref="R140" si="677">R141+Q140</f>
        <v>-116867673.3866415</v>
      </c>
      <c r="S140">
        <f t="shared" ref="S140" si="678">R140/100000</f>
        <v>-1168.6767338664151</v>
      </c>
      <c r="T140">
        <f t="shared" ref="T140" si="679">S140/1000</f>
        <v>-1.1686767338664152</v>
      </c>
    </row>
    <row r="141" spans="1:20" x14ac:dyDescent="0.25">
      <c r="A141" s="5">
        <v>44452</v>
      </c>
      <c r="B141">
        <v>0.80169999999999997</v>
      </c>
      <c r="C141">
        <v>0.80959999999999999</v>
      </c>
      <c r="D141">
        <v>0.71</v>
      </c>
      <c r="E141">
        <v>0.75770000000000004</v>
      </c>
      <c r="F141">
        <v>14082003</v>
      </c>
      <c r="G141">
        <v>0.75770000000000004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-4.2168674698793873E-2</v>
      </c>
      <c r="Q141">
        <f t="shared" ref="Q141" si="681">F141*P141</f>
        <v>-593819.40361443942</v>
      </c>
      <c r="R141">
        <f t="shared" ref="R141" si="682">R142+Q141</f>
        <v>-113008440.70243099</v>
      </c>
      <c r="S141">
        <f t="shared" ref="S141" si="683">R141/100000</f>
        <v>-1130.0844070243099</v>
      </c>
      <c r="T141">
        <f t="shared" ref="T141" si="684">S141/1000</f>
        <v>-1.1300844070243099</v>
      </c>
    </row>
    <row r="142" spans="1:20" x14ac:dyDescent="0.25">
      <c r="A142" s="5">
        <v>44451</v>
      </c>
      <c r="B142">
        <v>0.8014</v>
      </c>
      <c r="C142">
        <v>0.85409999999999997</v>
      </c>
      <c r="D142">
        <v>0.76239999999999997</v>
      </c>
      <c r="E142">
        <v>0.80169999999999997</v>
      </c>
      <c r="F142">
        <v>19585329</v>
      </c>
      <c r="G142">
        <v>0.80169999999999997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-0.14285714285714285</v>
      </c>
      <c r="Q142">
        <f t="shared" ref="Q142" si="686">F142*P142</f>
        <v>-2797904.1428571427</v>
      </c>
      <c r="R142">
        <f t="shared" ref="R142" si="687">R143+Q142</f>
        <v>-112414621.29881655</v>
      </c>
      <c r="S142">
        <f t="shared" ref="S142" si="688">R142/100000</f>
        <v>-1124.1462129881654</v>
      </c>
      <c r="T142">
        <f t="shared" ref="T142" si="689">S142/1000</f>
        <v>-1.1241462129881654</v>
      </c>
    </row>
    <row r="143" spans="1:20" x14ac:dyDescent="0.25">
      <c r="A143" s="5">
        <v>44450</v>
      </c>
      <c r="B143">
        <v>0.77229999999999999</v>
      </c>
      <c r="C143">
        <v>0.99450000000000005</v>
      </c>
      <c r="D143">
        <v>0.77229999999999999</v>
      </c>
      <c r="E143">
        <v>0.80169999999999997</v>
      </c>
      <c r="F143">
        <v>73555996.408000007</v>
      </c>
      <c r="G143">
        <v>0.80169999999999997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-0.73537353735373556</v>
      </c>
      <c r="Q143">
        <f t="shared" ref="Q143" si="691">F143*P143</f>
        <v>-54091133.272129633</v>
      </c>
      <c r="R143">
        <f t="shared" ref="R143" si="692">R144+Q143</f>
        <v>-109616717.1559594</v>
      </c>
      <c r="S143">
        <f t="shared" ref="S143" si="693">R143/100000</f>
        <v>-1096.167171559594</v>
      </c>
      <c r="T143">
        <f t="shared" ref="T143" si="694">S143/1000</f>
        <v>-1.096167171559594</v>
      </c>
    </row>
    <row r="144" spans="1:20" x14ac:dyDescent="0.25">
      <c r="A144" s="5">
        <v>44449</v>
      </c>
      <c r="B144">
        <v>0.76839999999999997</v>
      </c>
      <c r="C144">
        <v>0.79400000000000004</v>
      </c>
      <c r="D144">
        <v>0.66930000000000001</v>
      </c>
      <c r="E144">
        <v>0.77229999999999999</v>
      </c>
      <c r="F144">
        <v>20445029.265999999</v>
      </c>
      <c r="G144">
        <v>0.77229999999999999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0.65196471531675948</v>
      </c>
      <c r="Q144">
        <f t="shared" ref="Q144" si="696">F144*P144</f>
        <v>13329437.685050506</v>
      </c>
      <c r="R144">
        <f t="shared" ref="R144" si="697">R145+Q144</f>
        <v>-55525583.883829758</v>
      </c>
      <c r="S144">
        <f t="shared" ref="S144" si="698">R144/100000</f>
        <v>-555.25583883829756</v>
      </c>
      <c r="T144">
        <f t="shared" ref="T144" si="699">S144/1000</f>
        <v>-0.55525583883829754</v>
      </c>
    </row>
    <row r="145" spans="1:20" x14ac:dyDescent="0.25">
      <c r="A145" s="5">
        <v>44448</v>
      </c>
      <c r="B145">
        <v>0.77790000000000004</v>
      </c>
      <c r="C145">
        <v>0.82920000000000005</v>
      </c>
      <c r="D145">
        <v>0.74360000000000004</v>
      </c>
      <c r="E145">
        <v>0.76839999999999997</v>
      </c>
      <c r="F145">
        <v>27302977</v>
      </c>
      <c r="G145">
        <v>0.76839999999999997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-0.420560747663553</v>
      </c>
      <c r="Q145">
        <f t="shared" ref="Q145" si="701">F145*P145</f>
        <v>-11482560.420560792</v>
      </c>
      <c r="R145">
        <f t="shared" ref="R145" si="702">R146+Q145</f>
        <v>-68855021.56888026</v>
      </c>
      <c r="S145">
        <f t="shared" ref="S145" si="703">R145/100000</f>
        <v>-688.55021568880261</v>
      </c>
      <c r="T145">
        <f t="shared" ref="T145" si="704">S145/1000</f>
        <v>-0.68855021568880259</v>
      </c>
    </row>
    <row r="146" spans="1:20" x14ac:dyDescent="0.25">
      <c r="A146" s="5">
        <v>44447</v>
      </c>
      <c r="B146">
        <v>0.83009999999999995</v>
      </c>
      <c r="C146">
        <v>0.87549999999999994</v>
      </c>
      <c r="D146">
        <v>0.71630000000000005</v>
      </c>
      <c r="E146">
        <v>0.77790000000000004</v>
      </c>
      <c r="F146">
        <v>30798641</v>
      </c>
      <c r="G146">
        <v>0.77790000000000004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-0.22613065326633131</v>
      </c>
      <c r="Q146">
        <f t="shared" ref="Q146" si="706">F146*P146</f>
        <v>-6964516.8090452151</v>
      </c>
      <c r="R146">
        <f t="shared" ref="R146" si="707">R147+Q146</f>
        <v>-57372461.14831946</v>
      </c>
      <c r="S146">
        <f t="shared" ref="S146" si="708">R146/100000</f>
        <v>-573.72461148319462</v>
      </c>
      <c r="T146">
        <f t="shared" ref="T146" si="709">S146/1000</f>
        <v>-0.57372461148319465</v>
      </c>
    </row>
    <row r="147" spans="1:20" x14ac:dyDescent="0.25">
      <c r="A147" s="5">
        <v>44446</v>
      </c>
      <c r="B147">
        <v>1.1638999999999999</v>
      </c>
      <c r="C147">
        <v>1.1900999999999999</v>
      </c>
      <c r="D147">
        <v>0.69589999999999996</v>
      </c>
      <c r="E147">
        <v>0.83</v>
      </c>
      <c r="F147">
        <v>71750242.066</v>
      </c>
      <c r="G147">
        <v>0.83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-0.45730473492513152</v>
      </c>
      <c r="Q147">
        <f t="shared" ref="Q147" si="711">F147*P147</f>
        <v>-32811725.428806152</v>
      </c>
      <c r="R147">
        <f t="shared" ref="R147" si="712">R148+Q147</f>
        <v>-50407944.339274243</v>
      </c>
      <c r="S147">
        <f t="shared" ref="S147" si="713">R147/100000</f>
        <v>-504.07944339274241</v>
      </c>
      <c r="T147">
        <f t="shared" ref="T147" si="714">S147/1000</f>
        <v>-0.50407944339274235</v>
      </c>
    </row>
    <row r="148" spans="1:20" x14ac:dyDescent="0.25">
      <c r="A148" s="5">
        <v>44445</v>
      </c>
      <c r="B148">
        <v>0.9294</v>
      </c>
      <c r="C148">
        <v>1.1926000000000001</v>
      </c>
      <c r="D148">
        <v>0.92549999999999999</v>
      </c>
      <c r="E148">
        <v>1.1638999999999999</v>
      </c>
      <c r="F148">
        <v>101627348.421</v>
      </c>
      <c r="G148">
        <v>1.1638999999999999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0.78509921377761016</v>
      </c>
      <c r="Q148">
        <f t="shared" ref="Q148" si="716">F148*P148</f>
        <v>79787551.343630359</v>
      </c>
      <c r="R148">
        <f t="shared" ref="R148" si="717">R149+Q148</f>
        <v>-17596218.910468087</v>
      </c>
      <c r="S148">
        <f t="shared" ref="S148" si="718">R148/100000</f>
        <v>-175.96218910468087</v>
      </c>
      <c r="T148">
        <f t="shared" ref="T148" si="719">S148/1000</f>
        <v>-0.17596218910468087</v>
      </c>
    </row>
    <row r="149" spans="1:20" x14ac:dyDescent="0.25">
      <c r="A149" s="5">
        <v>44444</v>
      </c>
      <c r="B149">
        <v>0.91559999999999997</v>
      </c>
      <c r="C149">
        <v>0.96430000000000005</v>
      </c>
      <c r="D149">
        <v>0.90210000000000001</v>
      </c>
      <c r="E149">
        <v>0.92989999999999995</v>
      </c>
      <c r="F149">
        <v>24949791</v>
      </c>
      <c r="G149">
        <v>0.92989999999999995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-0.10610932475884498</v>
      </c>
      <c r="Q149">
        <f t="shared" ref="Q149" si="721">F149*P149</f>
        <v>-2647405.4758843076</v>
      </c>
      <c r="R149">
        <f t="shared" ref="R149" si="722">R150+Q149</f>
        <v>-97383770.254098445</v>
      </c>
      <c r="S149">
        <f t="shared" ref="S149" si="723">R149/100000</f>
        <v>-973.83770254098442</v>
      </c>
      <c r="T149">
        <f t="shared" ref="T149" si="724">S149/1000</f>
        <v>-0.97383770254098445</v>
      </c>
    </row>
    <row r="150" spans="1:20" x14ac:dyDescent="0.25">
      <c r="A150" s="5">
        <v>44443</v>
      </c>
      <c r="B150">
        <v>0.89690000000000003</v>
      </c>
      <c r="C150">
        <v>0.92279999999999995</v>
      </c>
      <c r="D150">
        <v>0.87990000000000002</v>
      </c>
      <c r="E150">
        <v>0.91559999999999997</v>
      </c>
      <c r="F150">
        <v>20234000</v>
      </c>
      <c r="G150">
        <v>0.91559999999999997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0.6643356643356646</v>
      </c>
      <c r="Q150">
        <f t="shared" ref="Q150" si="726">F150*P150</f>
        <v>13442167.832167838</v>
      </c>
      <c r="R150">
        <f t="shared" ref="R150" si="727">R151+Q150</f>
        <v>-94736364.778214142</v>
      </c>
      <c r="S150">
        <f t="shared" ref="S150" si="728">R150/100000</f>
        <v>-947.36364778214147</v>
      </c>
      <c r="T150">
        <f t="shared" ref="T150" si="729">S150/1000</f>
        <v>-0.94736364778214144</v>
      </c>
    </row>
    <row r="151" spans="1:20" x14ac:dyDescent="0.25">
      <c r="A151" s="5">
        <v>44442</v>
      </c>
      <c r="B151">
        <v>0.90010000000000001</v>
      </c>
      <c r="C151">
        <v>0.94520000000000004</v>
      </c>
      <c r="D151">
        <v>0.87809999999999999</v>
      </c>
      <c r="E151">
        <v>0.89710000000000001</v>
      </c>
      <c r="F151">
        <v>21327093</v>
      </c>
      <c r="G151">
        <v>0.89710000000000001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-0.43368107302533521</v>
      </c>
      <c r="Q151">
        <f t="shared" ref="Q151" si="731">F151*P151</f>
        <v>-9249156.5767511148</v>
      </c>
      <c r="R151">
        <f t="shared" ref="R151" si="732">R152+Q151</f>
        <v>-108178532.61038198</v>
      </c>
      <c r="S151">
        <f t="shared" ref="S151" si="733">R151/100000</f>
        <v>-1081.7853261038197</v>
      </c>
      <c r="T151">
        <f t="shared" ref="T151" si="734">S151/1000</f>
        <v>-1.0817853261038197</v>
      </c>
    </row>
    <row r="152" spans="1:20" x14ac:dyDescent="0.25">
      <c r="A152" s="5">
        <v>44441</v>
      </c>
      <c r="B152">
        <v>0.93769999999999998</v>
      </c>
      <c r="C152">
        <v>0.93940000000000001</v>
      </c>
      <c r="D152">
        <v>0.88980000000000004</v>
      </c>
      <c r="E152">
        <v>0.90049999999999997</v>
      </c>
      <c r="F152">
        <v>19916463</v>
      </c>
      <c r="G152">
        <v>0.90049999999999997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-0.5685483870967768</v>
      </c>
      <c r="Q152">
        <f t="shared" ref="Q152" si="736">F152*P152</f>
        <v>-11323472.915322632</v>
      </c>
      <c r="R152">
        <f t="shared" ref="R152" si="737">R153+Q152</f>
        <v>-98929376.033630863</v>
      </c>
      <c r="S152">
        <f t="shared" ref="S152" si="738">R152/100000</f>
        <v>-989.29376033630865</v>
      </c>
      <c r="T152">
        <f t="shared" ref="T152" si="739">S152/1000</f>
        <v>-0.98929376033630867</v>
      </c>
    </row>
    <row r="153" spans="1:20" x14ac:dyDescent="0.25">
      <c r="A153" s="5">
        <v>44440</v>
      </c>
      <c r="B153">
        <v>0.89180000000000004</v>
      </c>
      <c r="C153">
        <v>0.94</v>
      </c>
      <c r="D153">
        <v>0.87439999999999996</v>
      </c>
      <c r="E153">
        <v>0.93769999999999998</v>
      </c>
      <c r="F153">
        <v>18474609</v>
      </c>
      <c r="G153">
        <v>0.93769999999999998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0.92987804878048874</v>
      </c>
      <c r="Q153">
        <f t="shared" ref="Q153" si="741">F153*P153</f>
        <v>17179133.368902456</v>
      </c>
      <c r="R153">
        <f t="shared" ref="R153" si="742">R154+Q153</f>
        <v>-87605903.118308231</v>
      </c>
      <c r="S153">
        <f t="shared" ref="S153" si="743">R153/100000</f>
        <v>-876.05903118308231</v>
      </c>
      <c r="T153">
        <f t="shared" ref="T153" si="744">S153/1000</f>
        <v>-0.87605903118308226</v>
      </c>
    </row>
    <row r="154" spans="1:20" x14ac:dyDescent="0.25">
      <c r="A154" s="5">
        <v>44439</v>
      </c>
      <c r="B154">
        <v>0.87439999999999996</v>
      </c>
      <c r="C154">
        <v>0.94640000000000002</v>
      </c>
      <c r="D154">
        <v>0.85529999999999995</v>
      </c>
      <c r="E154">
        <v>0.89229999999999998</v>
      </c>
      <c r="F154">
        <v>25183760</v>
      </c>
      <c r="G154">
        <v>0.89229999999999998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-0.18770581778265633</v>
      </c>
      <c r="Q154">
        <f t="shared" ref="Q154" si="746">F154*P154</f>
        <v>-4727138.2656421494</v>
      </c>
      <c r="R154">
        <f t="shared" ref="R154" si="747">R155+Q154</f>
        <v>-104785036.48721069</v>
      </c>
      <c r="S154">
        <f t="shared" ref="S154" si="748">R154/100000</f>
        <v>-1047.8503648721069</v>
      </c>
      <c r="T154">
        <f t="shared" ref="T154" si="749">S154/1000</f>
        <v>-1.0478503648721069</v>
      </c>
    </row>
    <row r="155" spans="1:20" x14ac:dyDescent="0.25">
      <c r="A155" s="5">
        <v>44438</v>
      </c>
      <c r="B155">
        <v>0.89959999999999996</v>
      </c>
      <c r="C155">
        <v>0.98819999999999997</v>
      </c>
      <c r="D155">
        <v>0.86019999999999996</v>
      </c>
      <c r="E155">
        <v>0.87419999999999998</v>
      </c>
      <c r="F155">
        <v>34826339.713</v>
      </c>
      <c r="G155">
        <v>0.87419999999999998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-0.78124999999999978</v>
      </c>
      <c r="Q155">
        <f t="shared" ref="Q155" si="751">F155*P155</f>
        <v>-27208077.90078124</v>
      </c>
      <c r="R155">
        <f t="shared" ref="R155" si="752">R156+Q155</f>
        <v>-100057898.22156854</v>
      </c>
      <c r="S155">
        <f t="shared" ref="S155" si="753">R155/100000</f>
        <v>-1000.5789822156854</v>
      </c>
      <c r="T155">
        <f t="shared" ref="T155" si="754">S155/1000</f>
        <v>-1.0005789822156854</v>
      </c>
    </row>
    <row r="156" spans="1:20" x14ac:dyDescent="0.25">
      <c r="A156" s="5">
        <v>44437</v>
      </c>
      <c r="B156">
        <v>0.8992</v>
      </c>
      <c r="C156">
        <v>0.9234</v>
      </c>
      <c r="D156">
        <v>0.85299999999999998</v>
      </c>
      <c r="E156">
        <v>0.89929999999999999</v>
      </c>
      <c r="F156">
        <v>18266172</v>
      </c>
      <c r="G156">
        <v>0.89929999999999999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0.31534090909090895</v>
      </c>
      <c r="Q156">
        <f t="shared" ref="Q156" si="756">F156*P156</f>
        <v>5760071.2840909064</v>
      </c>
      <c r="R156">
        <f t="shared" ref="R156" si="757">R157+Q156</f>
        <v>-72849820.320787296</v>
      </c>
      <c r="S156">
        <f t="shared" ref="S156" si="758">R156/100000</f>
        <v>-728.49820320787296</v>
      </c>
      <c r="T156">
        <f t="shared" ref="T156" si="759">S156/1000</f>
        <v>-0.72849820320787295</v>
      </c>
    </row>
    <row r="157" spans="1:20" x14ac:dyDescent="0.25">
      <c r="A157" s="5">
        <v>44436</v>
      </c>
      <c r="B157">
        <v>0.91830000000000001</v>
      </c>
      <c r="C157">
        <v>0.94989999999999997</v>
      </c>
      <c r="D157">
        <v>0.878</v>
      </c>
      <c r="E157">
        <v>0.89810000000000001</v>
      </c>
      <c r="F157">
        <v>19602160.291999999</v>
      </c>
      <c r="G157">
        <v>0.89810000000000001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-0.44089012517385212</v>
      </c>
      <c r="Q157">
        <f t="shared" ref="Q157" si="761">F157*P157</f>
        <v>-8642398.9048177935</v>
      </c>
      <c r="R157">
        <f t="shared" ref="R157" si="762">R158+Q157</f>
        <v>-78609891.604878202</v>
      </c>
      <c r="S157">
        <f t="shared" ref="S157" si="763">R157/100000</f>
        <v>-786.09891604878203</v>
      </c>
      <c r="T157">
        <f t="shared" ref="T157" si="764">S157/1000</f>
        <v>-0.78609891604878201</v>
      </c>
    </row>
    <row r="158" spans="1:20" x14ac:dyDescent="0.25">
      <c r="A158" s="5">
        <v>44435</v>
      </c>
      <c r="B158">
        <v>0.85770000000000002</v>
      </c>
      <c r="C158">
        <v>0.93400000000000005</v>
      </c>
      <c r="D158">
        <v>0.85</v>
      </c>
      <c r="E158">
        <v>0.91720000000000002</v>
      </c>
      <c r="F158">
        <v>24397758.578000002</v>
      </c>
      <c r="G158">
        <v>0.91720000000000002</v>
      </c>
      <c r="L158" t="s">
        <v>7</v>
      </c>
      <c r="M158" t="s">
        <v>8</v>
      </c>
      <c r="N158" t="s">
        <v>7</v>
      </c>
      <c r="P158">
        <f t="shared" ref="P158" si="765">IF(C158=D158,0,((E158-D158)-(C158-E158))/(C158-D158))</f>
        <v>0.59999999999999942</v>
      </c>
      <c r="Q158">
        <f t="shared" ref="Q158" si="766">F158*P158</f>
        <v>14638655.146799987</v>
      </c>
      <c r="R158">
        <f t="shared" ref="R158" si="767">R159+Q158</f>
        <v>-69967492.700060412</v>
      </c>
      <c r="S158">
        <f t="shared" ref="S158" si="768">R158/100000</f>
        <v>-699.67492700060416</v>
      </c>
      <c r="T158">
        <f t="shared" ref="T158" si="769">S158/1000</f>
        <v>-0.69967492700060419</v>
      </c>
    </row>
    <row r="159" spans="1:20" x14ac:dyDescent="0.25">
      <c r="A159" s="5">
        <v>44434</v>
      </c>
      <c r="B159">
        <v>0.95299999999999996</v>
      </c>
      <c r="C159">
        <v>0.98</v>
      </c>
      <c r="D159">
        <v>0.83099999999999996</v>
      </c>
      <c r="E159">
        <v>0.85780000000000001</v>
      </c>
      <c r="F159">
        <v>30837702.662999999</v>
      </c>
      <c r="G159">
        <v>0.85780000000000001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-0.6402684563758384</v>
      </c>
      <c r="Q159">
        <f t="shared" ref="Q159" si="771">F159*P159</f>
        <v>-19744408.282216091</v>
      </c>
      <c r="R159">
        <f t="shared" ref="R159" si="772">R160+Q159</f>
        <v>-84606147.846860394</v>
      </c>
      <c r="S159">
        <f t="shared" ref="S159" si="773">R159/100000</f>
        <v>-846.06147846860392</v>
      </c>
      <c r="T159">
        <f t="shared" ref="T159" si="774">S159/1000</f>
        <v>-0.84606147846860391</v>
      </c>
    </row>
    <row r="160" spans="1:20" x14ac:dyDescent="0.25">
      <c r="A160" s="5">
        <v>44433</v>
      </c>
      <c r="B160">
        <v>0.879</v>
      </c>
      <c r="C160">
        <v>0.96</v>
      </c>
      <c r="D160">
        <v>0.81699999999999995</v>
      </c>
      <c r="E160">
        <v>0.95199999999999996</v>
      </c>
      <c r="F160">
        <v>27667769.704</v>
      </c>
      <c r="G160">
        <v>0.95199999999999996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0.88811188811188801</v>
      </c>
      <c r="Q160">
        <f t="shared" ref="Q160" si="776">F160*P160</f>
        <v>24572075.191664334</v>
      </c>
      <c r="R160">
        <f t="shared" ref="R160" si="777">R161+Q160</f>
        <v>-64861739.564644307</v>
      </c>
      <c r="S160">
        <f t="shared" ref="S160" si="778">R160/100000</f>
        <v>-648.61739564644301</v>
      </c>
      <c r="T160">
        <f t="shared" ref="T160" si="779">S160/1000</f>
        <v>-0.64861739564644305</v>
      </c>
    </row>
    <row r="161" spans="1:20" x14ac:dyDescent="0.25">
      <c r="A161" s="5">
        <v>44432</v>
      </c>
      <c r="B161">
        <v>0.98599999999999999</v>
      </c>
      <c r="C161">
        <v>0.99299999999999999</v>
      </c>
      <c r="D161">
        <v>0.86499999999999999</v>
      </c>
      <c r="E161">
        <v>0.878</v>
      </c>
      <c r="F161">
        <v>22082421.039000001</v>
      </c>
      <c r="G161">
        <v>0.878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-0.79687499999999978</v>
      </c>
      <c r="Q161">
        <f t="shared" ref="Q161" si="781">F161*P161</f>
        <v>-17596929.265453123</v>
      </c>
      <c r="R161">
        <f t="shared" ref="R161" si="782">R162+Q161</f>
        <v>-89433814.756308645</v>
      </c>
      <c r="S161">
        <f t="shared" ref="S161" si="783">R161/100000</f>
        <v>-894.33814756308641</v>
      </c>
      <c r="T161">
        <f t="shared" ref="T161" si="784">S161/1000</f>
        <v>-0.89433814756308638</v>
      </c>
    </row>
    <row r="162" spans="1:20" x14ac:dyDescent="0.25">
      <c r="A162" s="5">
        <v>44431</v>
      </c>
      <c r="B162">
        <v>0.98699999999999999</v>
      </c>
      <c r="C162">
        <v>1.024</v>
      </c>
      <c r="D162">
        <v>0.96199999999999997</v>
      </c>
      <c r="E162">
        <v>0.98599999999999999</v>
      </c>
      <c r="F162">
        <v>19638026.456999999</v>
      </c>
      <c r="G162">
        <v>0.98599999999999999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-0.22580645161290322</v>
      </c>
      <c r="Q162">
        <f t="shared" ref="Q162" si="786">F162*P162</f>
        <v>-4434393.0709354831</v>
      </c>
      <c r="R162">
        <f t="shared" ref="R162" si="787">R163+Q162</f>
        <v>-71836885.490855515</v>
      </c>
      <c r="S162">
        <f t="shared" ref="S162" si="788">R162/100000</f>
        <v>-718.36885490855514</v>
      </c>
      <c r="T162">
        <f t="shared" ref="T162" si="789">S162/1000</f>
        <v>-0.71836885490855518</v>
      </c>
    </row>
    <row r="163" spans="1:20" x14ac:dyDescent="0.25">
      <c r="A163" s="5">
        <v>44430</v>
      </c>
      <c r="B163">
        <v>1.0109999999999999</v>
      </c>
      <c r="C163">
        <v>1.034</v>
      </c>
      <c r="D163">
        <v>0.98899999999999999</v>
      </c>
      <c r="E163">
        <v>1.0009999999999999</v>
      </c>
      <c r="F163">
        <v>6863693.8389999997</v>
      </c>
      <c r="G163">
        <v>1.0009999999999999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-0.46666666666667161</v>
      </c>
      <c r="Q163">
        <f t="shared" ref="Q163" si="791">F163*P163</f>
        <v>-3203057.1248667003</v>
      </c>
      <c r="R163">
        <f t="shared" ref="R163" si="792">R164+Q163</f>
        <v>-67402492.419920027</v>
      </c>
      <c r="S163">
        <f t="shared" ref="S163" si="793">R163/100000</f>
        <v>-674.02492419920031</v>
      </c>
      <c r="T163">
        <f t="shared" ref="T163" si="794">S163/1000</f>
        <v>-0.67402492419920035</v>
      </c>
    </row>
    <row r="164" spans="1:20" x14ac:dyDescent="0.25">
      <c r="A164" s="5">
        <v>44429</v>
      </c>
      <c r="B164">
        <v>1.002</v>
      </c>
      <c r="C164">
        <v>1.095</v>
      </c>
      <c r="D164">
        <v>0.96299999999999997</v>
      </c>
      <c r="E164">
        <v>1.012</v>
      </c>
      <c r="F164">
        <v>35512354.909999996</v>
      </c>
      <c r="G164">
        <v>1.012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-0.25757575757575696</v>
      </c>
      <c r="Q164">
        <f t="shared" ref="Q164" si="796">F164*P164</f>
        <v>-9147121.7192424014</v>
      </c>
      <c r="R164">
        <f t="shared" ref="R164" si="797">R165+Q164</f>
        <v>-64199435.295053333</v>
      </c>
      <c r="S164">
        <f t="shared" ref="S164" si="798">R164/100000</f>
        <v>-641.99435295053331</v>
      </c>
      <c r="T164">
        <f t="shared" ref="T164" si="799">S164/1000</f>
        <v>-0.64199435295053331</v>
      </c>
    </row>
    <row r="165" spans="1:20" x14ac:dyDescent="0.25">
      <c r="A165" s="5">
        <v>44428</v>
      </c>
      <c r="B165">
        <v>0.998</v>
      </c>
      <c r="C165">
        <v>1.0349999999999999</v>
      </c>
      <c r="D165">
        <v>0.95299999999999996</v>
      </c>
      <c r="E165">
        <v>1.002</v>
      </c>
      <c r="F165">
        <v>26319790.649</v>
      </c>
      <c r="G165">
        <v>1.002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0.19512195121951381</v>
      </c>
      <c r="Q165">
        <f t="shared" ref="Q165" si="801">F165*P165</f>
        <v>5135568.9071219936</v>
      </c>
      <c r="R165">
        <f t="shared" ref="R165" si="802">R166+Q165</f>
        <v>-55052313.575810932</v>
      </c>
      <c r="S165">
        <f t="shared" ref="S165" si="803">R165/100000</f>
        <v>-550.52313575810933</v>
      </c>
      <c r="T165">
        <f t="shared" ref="T165" si="804">S165/1000</f>
        <v>-0.55052313575810929</v>
      </c>
    </row>
    <row r="166" spans="1:20" x14ac:dyDescent="0.25">
      <c r="A166" s="5">
        <v>44427</v>
      </c>
      <c r="B166">
        <v>0.91500000000000004</v>
      </c>
      <c r="C166">
        <v>0.998</v>
      </c>
      <c r="D166">
        <v>0.88100000000000001</v>
      </c>
      <c r="E166">
        <v>0.997</v>
      </c>
      <c r="F166">
        <v>29967110.291999999</v>
      </c>
      <c r="G166">
        <v>0.997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0.98290598290598286</v>
      </c>
      <c r="Q166">
        <f t="shared" ref="Q166" si="806">F166*P166</f>
        <v>29454851.996410254</v>
      </c>
      <c r="R166">
        <f t="shared" ref="R166" si="807">R167+Q166</f>
        <v>-60187882.482932925</v>
      </c>
      <c r="S166">
        <f t="shared" ref="S166" si="808">R166/100000</f>
        <v>-601.87882482932923</v>
      </c>
      <c r="T166">
        <f t="shared" ref="T166" si="809">S166/1000</f>
        <v>-0.6018788248293292</v>
      </c>
    </row>
    <row r="167" spans="1:20" x14ac:dyDescent="0.25">
      <c r="A167" s="5">
        <v>44426</v>
      </c>
      <c r="B167">
        <v>0.95199999999999996</v>
      </c>
      <c r="C167">
        <v>1.0349999999999999</v>
      </c>
      <c r="D167">
        <v>0.89300000000000002</v>
      </c>
      <c r="E167">
        <v>0.91400000000000003</v>
      </c>
      <c r="F167">
        <v>41481660.803999998</v>
      </c>
      <c r="G167">
        <v>0.91400000000000003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-0.70422535211267556</v>
      </c>
      <c r="Q167">
        <f t="shared" ref="Q167" si="811">F167*P167</f>
        <v>-29212437.18591547</v>
      </c>
      <c r="R167">
        <f t="shared" ref="R167" si="812">R168+Q167</f>
        <v>-89642734.479343176</v>
      </c>
      <c r="S167">
        <f t="shared" ref="S167" si="813">R167/100000</f>
        <v>-896.42734479343176</v>
      </c>
      <c r="T167">
        <f t="shared" ref="T167" si="814">S167/1000</f>
        <v>-0.89642734479343178</v>
      </c>
    </row>
    <row r="168" spans="1:20" x14ac:dyDescent="0.25">
      <c r="A168" s="5">
        <v>44425</v>
      </c>
      <c r="B168">
        <v>1.0409999999999999</v>
      </c>
      <c r="C168">
        <v>1.2250000000000001</v>
      </c>
      <c r="D168">
        <v>0.94199999999999995</v>
      </c>
      <c r="E168">
        <v>0.95</v>
      </c>
      <c r="F168">
        <v>75322613.296000004</v>
      </c>
      <c r="G168">
        <v>0.95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-0.9434628975265017</v>
      </c>
      <c r="Q168">
        <f t="shared" ref="Q168" si="816">F168*P168</f>
        <v>-71064090.989512369</v>
      </c>
      <c r="R168">
        <f t="shared" ref="R168" si="817">R169+Q168</f>
        <v>-60430297.293427713</v>
      </c>
      <c r="S168">
        <f t="shared" ref="S168" si="818">R168/100000</f>
        <v>-604.30297293427714</v>
      </c>
      <c r="T168">
        <f t="shared" ref="T168" si="819">S168/1000</f>
        <v>-0.60430297293427715</v>
      </c>
    </row>
    <row r="169" spans="1:20" x14ac:dyDescent="0.25">
      <c r="A169" s="5">
        <v>44424</v>
      </c>
      <c r="B169">
        <v>0.94699999999999995</v>
      </c>
      <c r="C169">
        <v>1.099</v>
      </c>
      <c r="D169">
        <v>0.93500000000000005</v>
      </c>
      <c r="E169">
        <v>1.042</v>
      </c>
      <c r="F169">
        <v>56820545.490999997</v>
      </c>
      <c r="G169">
        <v>1.042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0.30487804878048824</v>
      </c>
      <c r="Q169">
        <f t="shared" ref="Q169" si="821">F169*P169</f>
        <v>17323337.03993905</v>
      </c>
      <c r="R169">
        <f t="shared" ref="R169" si="822">R170+Q169</f>
        <v>10633793.696084654</v>
      </c>
      <c r="S169">
        <f t="shared" ref="S169" si="823">R169/100000</f>
        <v>106.33793696084653</v>
      </c>
      <c r="T169">
        <f t="shared" ref="T169" si="824">S169/1000</f>
        <v>0.10633793696084654</v>
      </c>
    </row>
    <row r="170" spans="1:20" x14ac:dyDescent="0.25">
      <c r="A170" s="5">
        <v>44423</v>
      </c>
      <c r="B170">
        <v>0.92600000000000005</v>
      </c>
      <c r="C170">
        <v>0.97499999999999998</v>
      </c>
      <c r="D170">
        <v>0.85599999999999998</v>
      </c>
      <c r="E170">
        <v>0.94899999999999995</v>
      </c>
      <c r="F170">
        <v>28836427.291999999</v>
      </c>
      <c r="G170">
        <v>0.94899999999999995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0.56302521008403317</v>
      </c>
      <c r="Q170">
        <f t="shared" ref="Q170" si="826">F170*P170</f>
        <v>16235635.534151247</v>
      </c>
      <c r="R170">
        <f t="shared" ref="R170" si="827">R171+Q170</f>
        <v>-6689543.3438543957</v>
      </c>
      <c r="S170">
        <f t="shared" ref="S170" si="828">R170/100000</f>
        <v>-66.895433438543961</v>
      </c>
      <c r="T170">
        <f t="shared" ref="T170" si="829">S170/1000</f>
        <v>-6.6895433438543955E-2</v>
      </c>
    </row>
    <row r="171" spans="1:20" x14ac:dyDescent="0.25">
      <c r="A171" s="5">
        <v>44422</v>
      </c>
      <c r="B171">
        <v>0.99</v>
      </c>
      <c r="C171">
        <v>0.99</v>
      </c>
      <c r="D171">
        <v>0.89300000000000002</v>
      </c>
      <c r="E171">
        <v>0.92500000000000004</v>
      </c>
      <c r="F171">
        <v>24100925.175000001</v>
      </c>
      <c r="G171">
        <v>0.92500000000000004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-0.34020618556700954</v>
      </c>
      <c r="Q171">
        <f t="shared" ref="Q171" si="831">F171*P171</f>
        <v>-8199283.8224226618</v>
      </c>
      <c r="R171">
        <f t="shared" ref="R171" si="832">R172+Q171</f>
        <v>-22925178.878005642</v>
      </c>
      <c r="S171">
        <f t="shared" ref="S171" si="833">R171/100000</f>
        <v>-229.25178878005642</v>
      </c>
      <c r="T171">
        <f t="shared" ref="T171" si="834">S171/1000</f>
        <v>-0.22925178878005642</v>
      </c>
    </row>
    <row r="172" spans="1:20" x14ac:dyDescent="0.25">
      <c r="A172" s="5">
        <v>44421</v>
      </c>
      <c r="B172">
        <v>0.876</v>
      </c>
      <c r="C172">
        <v>1.036</v>
      </c>
      <c r="D172">
        <v>0.87</v>
      </c>
      <c r="E172">
        <v>0.99</v>
      </c>
      <c r="F172">
        <v>32623218.498</v>
      </c>
      <c r="G172">
        <v>0.99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0.44578313253012009</v>
      </c>
      <c r="Q172">
        <f t="shared" ref="Q172" si="836">F172*P172</f>
        <v>14542880.535253</v>
      </c>
      <c r="R172">
        <f t="shared" ref="R172" si="837">R173+Q172</f>
        <v>-14725895.055582982</v>
      </c>
      <c r="S172">
        <f t="shared" ref="S172" si="838">R172/100000</f>
        <v>-147.25895055582981</v>
      </c>
      <c r="T172">
        <f t="shared" ref="T172" si="839">S172/1000</f>
        <v>-0.14725895055582983</v>
      </c>
    </row>
    <row r="173" spans="1:20" x14ac:dyDescent="0.25">
      <c r="A173" s="5">
        <v>44420</v>
      </c>
      <c r="B173">
        <v>0.88900000000000001</v>
      </c>
      <c r="C173">
        <v>0.996</v>
      </c>
      <c r="D173">
        <v>0.83299999999999996</v>
      </c>
      <c r="E173">
        <v>0.876</v>
      </c>
      <c r="F173">
        <v>47649779.865999997</v>
      </c>
      <c r="G173">
        <v>0.876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-0.47239263803680948</v>
      </c>
      <c r="Q173">
        <f t="shared" ref="Q173" si="841">F173*P173</f>
        <v>-22509405.212772988</v>
      </c>
      <c r="R173">
        <f t="shared" ref="R173" si="842">R174+Q173</f>
        <v>-29268775.590835981</v>
      </c>
      <c r="S173">
        <f t="shared" ref="S173" si="843">R173/100000</f>
        <v>-292.6877559083598</v>
      </c>
      <c r="T173">
        <f t="shared" ref="T173" si="844">S173/1000</f>
        <v>-0.29268775590835983</v>
      </c>
    </row>
    <row r="174" spans="1:20" x14ac:dyDescent="0.25">
      <c r="A174" s="5">
        <v>44419</v>
      </c>
      <c r="B174">
        <v>0.84899999999999998</v>
      </c>
      <c r="C174">
        <v>1.173</v>
      </c>
      <c r="D174">
        <v>0.81799999999999995</v>
      </c>
      <c r="E174">
        <v>0.88900000000000001</v>
      </c>
      <c r="F174">
        <v>121238351.105</v>
      </c>
      <c r="G174">
        <v>0.88900000000000001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-0.59999999999999976</v>
      </c>
      <c r="Q174">
        <f t="shared" ref="Q174" si="846">F174*P174</f>
        <v>-72743010.662999973</v>
      </c>
      <c r="R174">
        <f t="shared" ref="R174" si="847">R175+Q174</f>
        <v>-6759370.3780629933</v>
      </c>
      <c r="S174">
        <f t="shared" ref="S174" si="848">R174/100000</f>
        <v>-67.593703780629937</v>
      </c>
      <c r="T174">
        <f t="shared" ref="T174" si="849">S174/1000</f>
        <v>-6.7593703780629941E-2</v>
      </c>
    </row>
    <row r="175" spans="1:20" x14ac:dyDescent="0.25">
      <c r="A175" s="5">
        <v>44418</v>
      </c>
      <c r="B175">
        <v>0.755</v>
      </c>
      <c r="C175">
        <v>0.88</v>
      </c>
      <c r="D175">
        <v>0.73299999999999998</v>
      </c>
      <c r="E175">
        <v>0.84899999999999998</v>
      </c>
      <c r="F175">
        <v>51444855.288000003</v>
      </c>
      <c r="G175">
        <v>0.84899999999999998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0.57823129251700645</v>
      </c>
      <c r="Q175">
        <f t="shared" ref="Q175" si="851">F175*P175</f>
        <v>29747025.166530594</v>
      </c>
      <c r="R175">
        <f t="shared" ref="R175" si="852">R176+Q175</f>
        <v>65983640.284936979</v>
      </c>
      <c r="S175">
        <f t="shared" ref="S175" si="853">R175/100000</f>
        <v>659.83640284936985</v>
      </c>
      <c r="T175">
        <f t="shared" ref="T175" si="854">S175/1000</f>
        <v>0.65983640284936984</v>
      </c>
    </row>
    <row r="176" spans="1:20" x14ac:dyDescent="0.25">
      <c r="A176" s="5">
        <v>44417</v>
      </c>
      <c r="B176">
        <v>0.73599999999999999</v>
      </c>
      <c r="C176">
        <v>0.79</v>
      </c>
      <c r="D176">
        <v>0.69</v>
      </c>
      <c r="E176">
        <v>0.755</v>
      </c>
      <c r="F176">
        <v>29413157.846000001</v>
      </c>
      <c r="G176">
        <v>0.755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0.3</v>
      </c>
      <c r="Q176">
        <f t="shared" ref="Q176" si="856">F176*P176</f>
        <v>8823947.3538000006</v>
      </c>
      <c r="R176">
        <f t="shared" ref="R176" si="857">R177+Q176</f>
        <v>36236615.118406385</v>
      </c>
      <c r="S176">
        <f t="shared" ref="S176" si="858">R176/100000</f>
        <v>362.36615118406382</v>
      </c>
      <c r="T176">
        <f t="shared" ref="T176" si="859">S176/1000</f>
        <v>0.36236615118406384</v>
      </c>
    </row>
    <row r="177" spans="1:20" x14ac:dyDescent="0.25">
      <c r="A177" s="5">
        <v>44416</v>
      </c>
      <c r="B177">
        <v>0.78600000000000003</v>
      </c>
      <c r="C177">
        <v>0.79</v>
      </c>
      <c r="D177">
        <v>0.72099999999999997</v>
      </c>
      <c r="E177">
        <v>0.73599999999999999</v>
      </c>
      <c r="F177">
        <v>28429532.956</v>
      </c>
      <c r="G177">
        <v>0.73599999999999999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-0.56521739130434778</v>
      </c>
      <c r="Q177">
        <f t="shared" ref="Q177" si="861">F177*P177</f>
        <v>-16068866.453391302</v>
      </c>
      <c r="R177">
        <f t="shared" ref="R177" si="862">R178+Q177</f>
        <v>27412667.764606383</v>
      </c>
      <c r="S177">
        <f t="shared" ref="S177" si="863">R177/100000</f>
        <v>274.12667764606385</v>
      </c>
      <c r="T177">
        <f t="shared" ref="T177" si="864">S177/1000</f>
        <v>0.27412667764606385</v>
      </c>
    </row>
    <row r="178" spans="1:20" x14ac:dyDescent="0.25">
      <c r="A178" s="5">
        <v>44415</v>
      </c>
      <c r="B178">
        <v>0.81399999999999995</v>
      </c>
      <c r="C178">
        <v>0.81799999999999995</v>
      </c>
      <c r="D178">
        <v>0.74</v>
      </c>
      <c r="E178">
        <v>0.78600000000000003</v>
      </c>
      <c r="F178">
        <v>31587196.640999999</v>
      </c>
      <c r="G178">
        <v>0.78600000000000003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0.17948717948718115</v>
      </c>
      <c r="Q178">
        <f t="shared" ref="Q178" si="866">F178*P178</f>
        <v>5669496.8330000527</v>
      </c>
      <c r="R178">
        <f t="shared" ref="R178" si="867">R179+Q178</f>
        <v>43481534.217997685</v>
      </c>
      <c r="S178">
        <f t="shared" ref="S178" si="868">R178/100000</f>
        <v>434.81534217997682</v>
      </c>
      <c r="T178">
        <f t="shared" ref="T178" si="869">S178/1000</f>
        <v>0.4348153421799768</v>
      </c>
    </row>
    <row r="179" spans="1:20" x14ac:dyDescent="0.25">
      <c r="A179" s="5">
        <v>44414</v>
      </c>
      <c r="B179">
        <v>0.77</v>
      </c>
      <c r="C179">
        <v>0.85599999999999998</v>
      </c>
      <c r="D179">
        <v>0.73499999999999999</v>
      </c>
      <c r="E179">
        <v>0.81399999999999995</v>
      </c>
      <c r="F179">
        <v>39345678.990999997</v>
      </c>
      <c r="G179">
        <v>0.81399999999999995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0.30578512396694152</v>
      </c>
      <c r="Q179">
        <f t="shared" ref="Q179" si="871">F179*P179</f>
        <v>12031323.32782642</v>
      </c>
      <c r="R179">
        <f t="shared" ref="R179" si="872">R180+Q179</f>
        <v>37812037.384997629</v>
      </c>
      <c r="S179">
        <f t="shared" ref="S179" si="873">R179/100000</f>
        <v>378.12037384997626</v>
      </c>
      <c r="T179">
        <f t="shared" ref="T179" si="874">S179/1000</f>
        <v>0.37812037384997627</v>
      </c>
    </row>
    <row r="180" spans="1:20" x14ac:dyDescent="0.25">
      <c r="A180" s="5">
        <v>44413</v>
      </c>
      <c r="B180">
        <v>0.72299999999999998</v>
      </c>
      <c r="C180">
        <v>0.79700000000000004</v>
      </c>
      <c r="D180">
        <v>0.67700000000000005</v>
      </c>
      <c r="E180">
        <v>0.77</v>
      </c>
      <c r="F180">
        <v>33618329.023999996</v>
      </c>
      <c r="G180">
        <v>0.77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0.5499999999999996</v>
      </c>
      <c r="Q180">
        <f t="shared" ref="Q180" si="876">F180*P180</f>
        <v>18490080.963199984</v>
      </c>
      <c r="R180">
        <f t="shared" ref="R180" si="877">R181+Q180</f>
        <v>25780714.057171211</v>
      </c>
      <c r="S180">
        <f t="shared" ref="S180" si="878">R180/100000</f>
        <v>257.80714057171213</v>
      </c>
      <c r="T180">
        <f t="shared" ref="T180" si="879">S180/1000</f>
        <v>0.25780714057171211</v>
      </c>
    </row>
    <row r="181" spans="1:20" x14ac:dyDescent="0.25">
      <c r="A181" s="5">
        <v>44412</v>
      </c>
      <c r="B181">
        <v>0.67800000000000005</v>
      </c>
      <c r="C181">
        <v>0.75</v>
      </c>
      <c r="D181">
        <v>0.66500000000000004</v>
      </c>
      <c r="E181">
        <v>0.72199999999999998</v>
      </c>
      <c r="F181">
        <v>27096128.842999998</v>
      </c>
      <c r="G181">
        <v>0.72199999999999998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0.34117647058823442</v>
      </c>
      <c r="Q181">
        <f t="shared" ref="Q181" si="881">F181*P181</f>
        <v>9244561.6052588001</v>
      </c>
      <c r="R181">
        <f t="shared" ref="R181" si="882">R182+Q181</f>
        <v>7290633.0939712264</v>
      </c>
      <c r="S181">
        <f t="shared" ref="S181" si="883">R181/100000</f>
        <v>72.906330939712262</v>
      </c>
      <c r="T181">
        <f t="shared" ref="T181" si="884">S181/1000</f>
        <v>7.2906330939712258E-2</v>
      </c>
    </row>
    <row r="182" spans="1:20" x14ac:dyDescent="0.25">
      <c r="A182" s="5">
        <v>44411</v>
      </c>
      <c r="B182">
        <v>0.71</v>
      </c>
      <c r="C182">
        <v>0.72299999999999998</v>
      </c>
      <c r="D182">
        <v>0.65200000000000002</v>
      </c>
      <c r="E182">
        <v>0.67700000000000005</v>
      </c>
      <c r="F182">
        <v>24920206.987</v>
      </c>
      <c r="G182">
        <v>0.67700000000000005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-0.29577464788732283</v>
      </c>
      <c r="Q182">
        <f t="shared" ref="Q182" si="886">F182*P182</f>
        <v>-7370765.4468591269</v>
      </c>
      <c r="R182">
        <f t="shared" ref="R182" si="887">R183+Q182</f>
        <v>-1953928.5112875737</v>
      </c>
      <c r="S182">
        <f t="shared" ref="S182" si="888">R182/100000</f>
        <v>-19.539285112875739</v>
      </c>
      <c r="T182">
        <f t="shared" ref="T182" si="889">S182/1000</f>
        <v>-1.953928511287574E-2</v>
      </c>
    </row>
    <row r="183" spans="1:20" x14ac:dyDescent="0.25">
      <c r="A183" s="5">
        <v>44410</v>
      </c>
      <c r="B183">
        <v>0.71099999999999997</v>
      </c>
      <c r="C183">
        <v>0.76</v>
      </c>
      <c r="D183">
        <v>0.70099999999999996</v>
      </c>
      <c r="E183">
        <v>0.70799999999999996</v>
      </c>
      <c r="F183">
        <v>21902872.903999999</v>
      </c>
      <c r="G183">
        <v>0.70799999999999996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-0.76271186440677963</v>
      </c>
      <c r="Q183">
        <f t="shared" ref="Q183" si="891">F183*P183</f>
        <v>-16705581.028474575</v>
      </c>
      <c r="R183">
        <f t="shared" ref="R183" si="892">R184+Q183</f>
        <v>5416836.9355715532</v>
      </c>
      <c r="S183">
        <f t="shared" ref="S183" si="893">R183/100000</f>
        <v>54.168369355715534</v>
      </c>
      <c r="T183">
        <f t="shared" ref="T183" si="894">S183/1000</f>
        <v>5.4168369355715534E-2</v>
      </c>
    </row>
    <row r="184" spans="1:20" x14ac:dyDescent="0.25">
      <c r="A184" s="5">
        <v>44409</v>
      </c>
      <c r="B184">
        <v>0.78200000000000003</v>
      </c>
      <c r="C184">
        <v>0.82799999999999996</v>
      </c>
      <c r="D184">
        <v>0.70099999999999996</v>
      </c>
      <c r="E184">
        <v>0.71299999999999997</v>
      </c>
      <c r="F184">
        <v>29985449.028999999</v>
      </c>
      <c r="G184">
        <v>0.71299999999999997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-0.81102362204724388</v>
      </c>
      <c r="Q184">
        <f t="shared" ref="Q184" si="896">F184*P184</f>
        <v>-24318907.480212592</v>
      </c>
      <c r="R184">
        <f t="shared" ref="R184" si="897">R185+Q184</f>
        <v>22122417.964046128</v>
      </c>
      <c r="S184">
        <f t="shared" ref="S184" si="898">R184/100000</f>
        <v>221.22417964046127</v>
      </c>
      <c r="T184">
        <f t="shared" ref="T184" si="899">S184/1000</f>
        <v>0.22122417964046126</v>
      </c>
    </row>
    <row r="185" spans="1:20" x14ac:dyDescent="0.25">
      <c r="A185" s="5">
        <v>44408</v>
      </c>
      <c r="B185">
        <v>0.83299999999999996</v>
      </c>
      <c r="C185">
        <v>0.83399999999999996</v>
      </c>
      <c r="D185">
        <v>0.754</v>
      </c>
      <c r="E185">
        <v>0.78200000000000003</v>
      </c>
      <c r="F185">
        <v>31042117.59</v>
      </c>
      <c r="G185">
        <v>0.78200000000000003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-0.29999999999999905</v>
      </c>
      <c r="Q185">
        <f t="shared" ref="Q185" si="901">F185*P185</f>
        <v>-9312635.2769999709</v>
      </c>
      <c r="R185">
        <f t="shared" ref="R185" si="902">R186+Q185</f>
        <v>46441325.44425872</v>
      </c>
      <c r="S185">
        <f t="shared" ref="S185" si="903">R185/100000</f>
        <v>464.41325444258717</v>
      </c>
      <c r="T185">
        <f t="shared" ref="T185" si="904">S185/1000</f>
        <v>0.46441325444258719</v>
      </c>
    </row>
    <row r="186" spans="1:20" x14ac:dyDescent="0.25">
      <c r="A186" s="5">
        <v>44407</v>
      </c>
      <c r="B186">
        <v>0.79300000000000004</v>
      </c>
      <c r="C186">
        <v>0.84799999999999998</v>
      </c>
      <c r="D186">
        <v>0.71799999999999997</v>
      </c>
      <c r="E186">
        <v>0.83199999999999996</v>
      </c>
      <c r="F186">
        <v>47965035.877999999</v>
      </c>
      <c r="G186">
        <v>0.83199999999999996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0.75384615384615361</v>
      </c>
      <c r="Q186">
        <f t="shared" ref="Q186" si="906">F186*P186</f>
        <v>36158257.815723062</v>
      </c>
      <c r="R186">
        <f t="shared" ref="R186" si="907">R187+Q186</f>
        <v>55753960.721258692</v>
      </c>
      <c r="S186">
        <f t="shared" ref="S186" si="908">R186/100000</f>
        <v>557.53960721258693</v>
      </c>
      <c r="T186">
        <f t="shared" ref="T186" si="909">S186/1000</f>
        <v>0.55753960721258689</v>
      </c>
    </row>
    <row r="187" spans="1:20" x14ac:dyDescent="0.25">
      <c r="A187" s="5">
        <v>44406</v>
      </c>
      <c r="B187">
        <v>0.874</v>
      </c>
      <c r="C187">
        <v>0.96</v>
      </c>
      <c r="D187">
        <v>0.77100000000000002</v>
      </c>
      <c r="E187">
        <v>0.79300000000000004</v>
      </c>
      <c r="F187">
        <v>76775177.961999997</v>
      </c>
      <c r="G187">
        <v>0.79300000000000004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-0.76719576719576688</v>
      </c>
      <c r="Q187">
        <f t="shared" ref="Q187" si="911">F187*P187</f>
        <v>-58901591.558148123</v>
      </c>
      <c r="R187">
        <f t="shared" ref="R187" si="912">R188+Q187</f>
        <v>19595702.905535631</v>
      </c>
      <c r="S187">
        <f t="shared" ref="S187" si="913">R187/100000</f>
        <v>195.95702905535632</v>
      </c>
      <c r="T187">
        <f t="shared" ref="T187" si="914">S187/1000</f>
        <v>0.19595702905535631</v>
      </c>
    </row>
    <row r="188" spans="1:20" x14ac:dyDescent="0.25">
      <c r="A188" s="5">
        <v>44405</v>
      </c>
      <c r="B188">
        <v>0.67400000000000004</v>
      </c>
      <c r="C188">
        <v>0.89100000000000001</v>
      </c>
      <c r="D188">
        <v>0.65400000000000003</v>
      </c>
      <c r="E188">
        <v>0.874</v>
      </c>
      <c r="F188">
        <v>146790210.25600001</v>
      </c>
      <c r="G188">
        <v>0.874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0.85654008438818552</v>
      </c>
      <c r="Q188">
        <f t="shared" ref="Q188" si="916">F188*P188</f>
        <v>125731699.08003375</v>
      </c>
      <c r="R188">
        <f t="shared" ref="R188" si="917">R189+Q188</f>
        <v>78497294.463683754</v>
      </c>
      <c r="S188">
        <f t="shared" ref="S188" si="918">R188/100000</f>
        <v>784.9729446368375</v>
      </c>
      <c r="T188">
        <f t="shared" ref="T188" si="919">S188/1000</f>
        <v>0.78497294463683753</v>
      </c>
    </row>
    <row r="189" spans="1:20" x14ac:dyDescent="0.25">
      <c r="A189" s="5">
        <v>44404</v>
      </c>
      <c r="B189">
        <v>0.58699999999999997</v>
      </c>
      <c r="C189">
        <v>0.71</v>
      </c>
      <c r="D189">
        <v>0.53800000000000003</v>
      </c>
      <c r="E189">
        <v>0.67400000000000004</v>
      </c>
      <c r="F189">
        <v>56358301.075999998</v>
      </c>
      <c r="G189">
        <v>0.67400000000000004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0.58139534883721</v>
      </c>
      <c r="Q189">
        <f t="shared" ref="Q189" si="921">F189*P189</f>
        <v>32766454.113953527</v>
      </c>
      <c r="R189">
        <f t="shared" ref="R189" si="922">R190+Q189</f>
        <v>-47234404.616349995</v>
      </c>
      <c r="S189">
        <f t="shared" ref="S189" si="923">R189/100000</f>
        <v>-472.34404616349997</v>
      </c>
      <c r="T189">
        <f t="shared" ref="T189" si="924">S189/1000</f>
        <v>-0.47234404616349995</v>
      </c>
    </row>
    <row r="190" spans="1:20" x14ac:dyDescent="0.25">
      <c r="A190" s="5">
        <v>44403</v>
      </c>
      <c r="B190">
        <v>0.72499999999999998</v>
      </c>
      <c r="C190">
        <v>0.76900000000000002</v>
      </c>
      <c r="D190">
        <v>0.56999999999999995</v>
      </c>
      <c r="E190">
        <v>0.58599999999999997</v>
      </c>
      <c r="F190">
        <v>63816690.313000001</v>
      </c>
      <c r="G190">
        <v>0.58599999999999997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-0.83919597989949735</v>
      </c>
      <c r="Q190">
        <f t="shared" ref="Q190" si="926">F190*P190</f>
        <v>-53554709.961160794</v>
      </c>
      <c r="R190">
        <f t="shared" ref="R190" si="927">R191+Q190</f>
        <v>-80000858.730303526</v>
      </c>
      <c r="S190">
        <f t="shared" ref="S190" si="928">R190/100000</f>
        <v>-800.00858730303526</v>
      </c>
      <c r="T190">
        <f t="shared" ref="T190" si="929">S190/1000</f>
        <v>-0.80000858730303526</v>
      </c>
    </row>
    <row r="191" spans="1:20" x14ac:dyDescent="0.25">
      <c r="A191" s="5">
        <v>44402</v>
      </c>
      <c r="B191">
        <v>0.59299999999999997</v>
      </c>
      <c r="C191">
        <v>0.749</v>
      </c>
      <c r="D191">
        <v>0.56599999999999995</v>
      </c>
      <c r="E191">
        <v>0.72499999999999998</v>
      </c>
      <c r="F191">
        <v>101031433.24600001</v>
      </c>
      <c r="G191">
        <v>0.72499999999999998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0.73770491803278671</v>
      </c>
      <c r="Q191">
        <f t="shared" ref="Q191" si="931">F191*P191</f>
        <v>74531385.181475401</v>
      </c>
      <c r="R191">
        <f t="shared" ref="R191" si="932">R192+Q191</f>
        <v>-26446148.769142732</v>
      </c>
      <c r="S191">
        <f t="shared" ref="S191" si="933">R191/100000</f>
        <v>-264.46148769142729</v>
      </c>
      <c r="T191">
        <f t="shared" ref="T191:T197" si="934">S191/1000</f>
        <v>-0.2644614876914273</v>
      </c>
    </row>
    <row r="192" spans="1:20" x14ac:dyDescent="0.25">
      <c r="A192" s="5">
        <v>44401</v>
      </c>
      <c r="B192">
        <v>0.51300000000000001</v>
      </c>
      <c r="C192">
        <v>0.60799999999999998</v>
      </c>
      <c r="D192">
        <v>0.49399999999999999</v>
      </c>
      <c r="E192">
        <v>0.59299999999999997</v>
      </c>
      <c r="F192">
        <v>60122763.880999997</v>
      </c>
      <c r="G192">
        <v>0.59299999999999997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0.73684210526315763</v>
      </c>
      <c r="Q192">
        <f t="shared" ref="Q192" si="936">F192*P192</f>
        <v>44300983.912315771</v>
      </c>
      <c r="R192">
        <f t="shared" ref="R192" si="937">R193+Q192</f>
        <v>-100977533.95061813</v>
      </c>
      <c r="S192">
        <f t="shared" ref="S192" si="938">R192/100000</f>
        <v>-1009.7753395061814</v>
      </c>
      <c r="T192">
        <f t="shared" si="934"/>
        <v>-1.0097753395061813</v>
      </c>
    </row>
    <row r="193" spans="1:20" x14ac:dyDescent="0.25">
      <c r="A193" s="5">
        <v>44400</v>
      </c>
      <c r="B193">
        <v>0.436</v>
      </c>
      <c r="C193">
        <v>0.51900000000000002</v>
      </c>
      <c r="D193">
        <v>0.42599999999999999</v>
      </c>
      <c r="E193">
        <v>0.51200000000000001</v>
      </c>
      <c r="F193">
        <v>33346347.675999999</v>
      </c>
      <c r="G193">
        <v>0.51200000000000001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0.84946236559139776</v>
      </c>
      <c r="Q193">
        <f t="shared" ref="Q193" si="940">F193*P193</f>
        <v>28326467.380688168</v>
      </c>
      <c r="R193">
        <f t="shared" ref="R193" si="941">R194+Q193</f>
        <v>-145278517.8629339</v>
      </c>
      <c r="S193">
        <f t="shared" ref="S193" si="942">R193/100000</f>
        <v>-1452.785178629339</v>
      </c>
      <c r="T193">
        <f t="shared" si="934"/>
        <v>-1.4527851786293391</v>
      </c>
    </row>
    <row r="194" spans="1:20" x14ac:dyDescent="0.25">
      <c r="A194" s="5">
        <v>44399</v>
      </c>
      <c r="B194">
        <v>0.435</v>
      </c>
      <c r="C194">
        <v>0.46400000000000002</v>
      </c>
      <c r="D194">
        <v>0.42199999999999999</v>
      </c>
      <c r="E194">
        <v>0.437</v>
      </c>
      <c r="F194">
        <v>21872179.75</v>
      </c>
      <c r="G194">
        <v>0.437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-0.2857142857142857</v>
      </c>
      <c r="Q194">
        <f t="shared" ref="Q194" si="944">F194*P194</f>
        <v>-6249194.2142857136</v>
      </c>
      <c r="R194">
        <f t="shared" ref="R194" si="945">R195+Q194</f>
        <v>-173604985.24362206</v>
      </c>
      <c r="S194">
        <f t="shared" ref="S194" si="946">R194/100000</f>
        <v>-1736.0498524362206</v>
      </c>
      <c r="T194">
        <f t="shared" si="934"/>
        <v>-1.7360498524362207</v>
      </c>
    </row>
    <row r="195" spans="1:20" x14ac:dyDescent="0.25">
      <c r="A195" s="5">
        <v>44398</v>
      </c>
      <c r="B195">
        <v>0.38900000000000001</v>
      </c>
      <c r="C195">
        <v>0.45600000000000002</v>
      </c>
      <c r="D195">
        <v>0.374</v>
      </c>
      <c r="E195">
        <v>0.434</v>
      </c>
      <c r="F195">
        <v>26421541.473999999</v>
      </c>
      <c r="G195">
        <v>0.434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0.4634146341463411</v>
      </c>
      <c r="Q195">
        <f t="shared" ref="Q195" si="948">F195*P195</f>
        <v>12244128.975756088</v>
      </c>
      <c r="R195">
        <f t="shared" ref="R195" si="949">R196+Q195</f>
        <v>-167355791.02933636</v>
      </c>
      <c r="S195">
        <f t="shared" ref="S195" si="950">R195/100000</f>
        <v>-1673.5579102933636</v>
      </c>
      <c r="T195">
        <f t="shared" si="934"/>
        <v>-1.6735579102933635</v>
      </c>
    </row>
    <row r="196" spans="1:20" x14ac:dyDescent="0.25">
      <c r="A196" s="5">
        <v>44397</v>
      </c>
      <c r="B196">
        <v>0.42699999999999999</v>
      </c>
      <c r="C196">
        <v>0.441</v>
      </c>
      <c r="D196">
        <v>0.36199999999999999</v>
      </c>
      <c r="E196">
        <v>0.38800000000000001</v>
      </c>
      <c r="F196">
        <v>14624951.412</v>
      </c>
      <c r="G196">
        <v>0.38800000000000001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-0.34177215189873372</v>
      </c>
      <c r="Q196">
        <f t="shared" ref="Q196" si="952">F196*P196</f>
        <v>-4998401.1154936645</v>
      </c>
      <c r="R196">
        <f t="shared" ref="R196" si="953">R197+Q196</f>
        <v>-179599920.00509244</v>
      </c>
      <c r="S196">
        <f t="shared" ref="S196" si="954">R196/100000</f>
        <v>-1795.9992000509244</v>
      </c>
      <c r="T196">
        <f t="shared" si="934"/>
        <v>-1.7959992000509244</v>
      </c>
    </row>
    <row r="197" spans="1:20" x14ac:dyDescent="0.25">
      <c r="A197" s="5">
        <v>44396</v>
      </c>
      <c r="B197">
        <v>0.499</v>
      </c>
      <c r="C197">
        <v>0.51200000000000001</v>
      </c>
      <c r="D197">
        <v>0.41499999999999998</v>
      </c>
      <c r="E197">
        <v>0.42799999999999999</v>
      </c>
      <c r="F197">
        <v>17026173.631000001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-0.73195876288659778</v>
      </c>
      <c r="Q197">
        <f t="shared" ref="Q197" si="956">F197*P197</f>
        <v>-12462456.987639174</v>
      </c>
      <c r="R197">
        <f t="shared" ref="R197" si="957">R198+Q197</f>
        <v>-174601518.88959879</v>
      </c>
      <c r="S197">
        <f t="shared" ref="S197" si="958">R197/100000</f>
        <v>-1746.0151888959879</v>
      </c>
      <c r="T197">
        <f t="shared" si="934"/>
        <v>-1.7460151888959878</v>
      </c>
    </row>
    <row r="198" spans="1:20" x14ac:dyDescent="0.25">
      <c r="A198" s="5">
        <v>44395</v>
      </c>
      <c r="B198">
        <v>0.45300000000000001</v>
      </c>
      <c r="C198">
        <v>0.54</v>
      </c>
      <c r="D198">
        <v>0.44800000000000001</v>
      </c>
      <c r="E198">
        <v>0.498</v>
      </c>
      <c r="F198">
        <v>30344638.458999999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8.6956521739129877E-2</v>
      </c>
      <c r="Q198">
        <f t="shared" ref="Q198:Q261" si="960">F198*P198</f>
        <v>2638664.2138260701</v>
      </c>
      <c r="R198">
        <f t="shared" ref="R198:R261" si="961">R199+Q198</f>
        <v>-162139061.90195963</v>
      </c>
      <c r="S198">
        <f t="shared" ref="S198:S261" si="962">R198/100000</f>
        <v>-1621.3906190195962</v>
      </c>
      <c r="T198">
        <f t="shared" ref="T198:T261" si="963">S198/1000</f>
        <v>-1.6213906190195961</v>
      </c>
    </row>
    <row r="199" spans="1:20" x14ac:dyDescent="0.25">
      <c r="A199" s="5">
        <v>44394</v>
      </c>
      <c r="B199">
        <v>0.48399999999999999</v>
      </c>
      <c r="C199">
        <v>0.498</v>
      </c>
      <c r="D199">
        <v>0.438</v>
      </c>
      <c r="E199">
        <v>0.45300000000000001</v>
      </c>
      <c r="F199">
        <v>21782237.671999998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-0.49999999999999956</v>
      </c>
      <c r="Q199">
        <f t="shared" si="960"/>
        <v>-10891118.83599999</v>
      </c>
      <c r="R199">
        <f t="shared" si="961"/>
        <v>-164777726.11578569</v>
      </c>
      <c r="S199">
        <f t="shared" si="962"/>
        <v>-1647.7772611578569</v>
      </c>
      <c r="T199">
        <f t="shared" si="963"/>
        <v>-1.6477772611578569</v>
      </c>
    </row>
    <row r="200" spans="1:20" x14ac:dyDescent="0.25">
      <c r="A200" s="5">
        <v>44393</v>
      </c>
      <c r="B200">
        <v>0.621</v>
      </c>
      <c r="C200">
        <v>0.622</v>
      </c>
      <c r="D200">
        <v>0.48</v>
      </c>
      <c r="E200">
        <v>0.48299999999999998</v>
      </c>
      <c r="F200">
        <v>36440809.640000001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-0.95774647887323938</v>
      </c>
      <c r="Q200">
        <f t="shared" si="960"/>
        <v>-34901057.119999997</v>
      </c>
      <c r="R200">
        <f t="shared" si="961"/>
        <v>-153886607.27978569</v>
      </c>
      <c r="S200">
        <f t="shared" si="962"/>
        <v>-1538.866072797857</v>
      </c>
      <c r="T200">
        <f t="shared" si="963"/>
        <v>-1.5388660727978569</v>
      </c>
    </row>
    <row r="201" spans="1:20" x14ac:dyDescent="0.25">
      <c r="A201" s="5">
        <v>44392</v>
      </c>
      <c r="B201">
        <v>0.64300000000000002</v>
      </c>
      <c r="C201">
        <v>0.78</v>
      </c>
      <c r="D201">
        <v>0.59399999999999997</v>
      </c>
      <c r="E201">
        <v>0.61899999999999999</v>
      </c>
      <c r="F201">
        <v>75086254.408000007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-0.73118279569892453</v>
      </c>
      <c r="Q201">
        <f t="shared" si="960"/>
        <v>-54901777.416602142</v>
      </c>
      <c r="R201">
        <f t="shared" si="961"/>
        <v>-118985550.15978569</v>
      </c>
      <c r="S201">
        <f t="shared" si="962"/>
        <v>-1189.8555015978568</v>
      </c>
      <c r="T201">
        <f t="shared" si="963"/>
        <v>-1.1898555015978567</v>
      </c>
    </row>
    <row r="202" spans="1:20" x14ac:dyDescent="0.25">
      <c r="A202" s="5">
        <v>44391</v>
      </c>
      <c r="B202">
        <v>0.52900000000000003</v>
      </c>
      <c r="C202">
        <v>0.69</v>
      </c>
      <c r="D202">
        <v>0.48199999999999998</v>
      </c>
      <c r="E202">
        <v>0.64200000000000002</v>
      </c>
      <c r="F202">
        <v>68032306.969999999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0.53846153846153899</v>
      </c>
      <c r="Q202">
        <f t="shared" si="960"/>
        <v>36632780.676153883</v>
      </c>
      <c r="R202">
        <f t="shared" si="961"/>
        <v>-64083772.743183553</v>
      </c>
      <c r="S202">
        <f t="shared" si="962"/>
        <v>-640.83772743183556</v>
      </c>
      <c r="T202">
        <f t="shared" si="963"/>
        <v>-0.64083772743183554</v>
      </c>
    </row>
    <row r="203" spans="1:20" x14ac:dyDescent="0.25">
      <c r="A203" s="5">
        <v>44390</v>
      </c>
      <c r="B203">
        <v>0.45100000000000001</v>
      </c>
      <c r="C203">
        <v>0.56499999999999995</v>
      </c>
      <c r="D203">
        <v>0.434</v>
      </c>
      <c r="E203">
        <v>0.52900000000000003</v>
      </c>
      <c r="F203">
        <v>48638568.324000001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0.45038167938931395</v>
      </c>
      <c r="Q203">
        <f t="shared" si="960"/>
        <v>21905920.084855009</v>
      </c>
      <c r="R203">
        <f t="shared" si="961"/>
        <v>-100716553.41933744</v>
      </c>
      <c r="S203">
        <f t="shared" si="962"/>
        <v>-1007.1655341933744</v>
      </c>
      <c r="T203">
        <f t="shared" si="963"/>
        <v>-1.0071655341933743</v>
      </c>
    </row>
    <row r="204" spans="1:20" x14ac:dyDescent="0.25">
      <c r="A204" s="5">
        <v>44389</v>
      </c>
      <c r="B204">
        <v>0.46300000000000002</v>
      </c>
      <c r="C204">
        <v>0.52800000000000002</v>
      </c>
      <c r="D204">
        <v>0.43</v>
      </c>
      <c r="E204">
        <v>0.45100000000000001</v>
      </c>
      <c r="F204">
        <v>30603087.491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-0.57142857142857117</v>
      </c>
      <c r="Q204">
        <f t="shared" si="960"/>
        <v>-17487478.566285707</v>
      </c>
      <c r="R204">
        <f t="shared" si="961"/>
        <v>-122622473.50419244</v>
      </c>
      <c r="S204">
        <f t="shared" si="962"/>
        <v>-1226.2247350419243</v>
      </c>
      <c r="T204">
        <f t="shared" si="963"/>
        <v>-1.2262247350419242</v>
      </c>
    </row>
    <row r="205" spans="1:20" x14ac:dyDescent="0.25">
      <c r="A205" s="5">
        <v>44388</v>
      </c>
      <c r="B205">
        <v>0.43099999999999999</v>
      </c>
      <c r="C205">
        <v>0.47899999999999998</v>
      </c>
      <c r="D205">
        <v>0.42299999999999999</v>
      </c>
      <c r="E205">
        <v>0.46400000000000002</v>
      </c>
      <c r="F205">
        <v>16103911.448000001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0.46428571428571574</v>
      </c>
      <c r="Q205">
        <f t="shared" si="960"/>
        <v>7476816.0294285957</v>
      </c>
      <c r="R205">
        <f t="shared" si="961"/>
        <v>-105134994.93790674</v>
      </c>
      <c r="S205">
        <f t="shared" si="962"/>
        <v>-1051.3499493790673</v>
      </c>
      <c r="T205">
        <f t="shared" si="963"/>
        <v>-1.0513499493790672</v>
      </c>
    </row>
    <row r="206" spans="1:20" x14ac:dyDescent="0.25">
      <c r="A206" s="5">
        <v>44387</v>
      </c>
      <c r="B206">
        <v>0.41399999999999998</v>
      </c>
      <c r="C206">
        <v>0.443</v>
      </c>
      <c r="D206">
        <v>0.40799999999999997</v>
      </c>
      <c r="E206">
        <v>0.43099999999999999</v>
      </c>
      <c r="F206">
        <v>12450286.390000001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0.31428571428571428</v>
      </c>
      <c r="Q206">
        <f t="shared" si="960"/>
        <v>3912947.151142857</v>
      </c>
      <c r="R206">
        <f t="shared" si="961"/>
        <v>-112611810.96733534</v>
      </c>
      <c r="S206">
        <f t="shared" si="962"/>
        <v>-1126.1181096733535</v>
      </c>
      <c r="T206">
        <f t="shared" si="963"/>
        <v>-1.1261181096733535</v>
      </c>
    </row>
    <row r="207" spans="1:20" x14ac:dyDescent="0.25">
      <c r="A207" s="5">
        <v>44386</v>
      </c>
      <c r="B207">
        <v>0.40600000000000003</v>
      </c>
      <c r="C207">
        <v>0.42799999999999999</v>
      </c>
      <c r="D207">
        <v>0.38400000000000001</v>
      </c>
      <c r="E207">
        <v>0.41399999999999998</v>
      </c>
      <c r="F207">
        <v>10022089.875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0.36363636363636281</v>
      </c>
      <c r="Q207">
        <f t="shared" si="960"/>
        <v>3644396.31818181</v>
      </c>
      <c r="R207">
        <f t="shared" si="961"/>
        <v>-116524758.11847819</v>
      </c>
      <c r="S207">
        <f t="shared" si="962"/>
        <v>-1165.2475811847819</v>
      </c>
      <c r="T207">
        <f t="shared" si="963"/>
        <v>-1.165247581184782</v>
      </c>
    </row>
    <row r="208" spans="1:20" x14ac:dyDescent="0.25">
      <c r="A208" s="5">
        <v>44385</v>
      </c>
      <c r="B208">
        <v>0.46800000000000003</v>
      </c>
      <c r="C208">
        <v>0.51</v>
      </c>
      <c r="D208">
        <v>0.39800000000000002</v>
      </c>
      <c r="E208">
        <v>0.40699999999999997</v>
      </c>
      <c r="F208">
        <v>25077928.296999998</v>
      </c>
      <c r="G208">
        <v>0</v>
      </c>
      <c r="L208" t="s">
        <v>8</v>
      </c>
      <c r="M208" t="s">
        <v>8</v>
      </c>
      <c r="N208" t="s">
        <v>7</v>
      </c>
      <c r="P208">
        <f t="shared" si="959"/>
        <v>-0.83928571428571508</v>
      </c>
      <c r="Q208">
        <f t="shared" si="960"/>
        <v>-21047546.963553589</v>
      </c>
      <c r="R208">
        <f t="shared" si="961"/>
        <v>-120169154.43666001</v>
      </c>
      <c r="S208">
        <f t="shared" si="962"/>
        <v>-1201.6915443666001</v>
      </c>
      <c r="T208">
        <f t="shared" si="963"/>
        <v>-1.2016915443666001</v>
      </c>
    </row>
    <row r="209" spans="1:20" x14ac:dyDescent="0.25">
      <c r="A209" s="5">
        <v>44384</v>
      </c>
      <c r="B209">
        <v>0.42899999999999999</v>
      </c>
      <c r="C209">
        <v>0.5</v>
      </c>
      <c r="D209">
        <v>0.40500000000000003</v>
      </c>
      <c r="E209">
        <v>0.46700000000000003</v>
      </c>
      <c r="F209">
        <v>23590109.381000001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0.30526315789473718</v>
      </c>
      <c r="Q209">
        <f t="shared" si="960"/>
        <v>7201191.2847263245</v>
      </c>
      <c r="R209">
        <f t="shared" si="961"/>
        <v>-99121607.473106414</v>
      </c>
      <c r="S209">
        <f t="shared" si="962"/>
        <v>-991.21607473106417</v>
      </c>
      <c r="T209">
        <f t="shared" si="963"/>
        <v>-0.99121607473106421</v>
      </c>
    </row>
    <row r="210" spans="1:20" x14ac:dyDescent="0.25">
      <c r="A210" s="5">
        <v>44383</v>
      </c>
      <c r="B210">
        <v>0.39800000000000002</v>
      </c>
      <c r="C210">
        <v>0.436</v>
      </c>
      <c r="D210">
        <v>0.39800000000000002</v>
      </c>
      <c r="E210">
        <v>0.42799999999999999</v>
      </c>
      <c r="F210">
        <v>8548791.4619999994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0.57894736842105199</v>
      </c>
      <c r="Q210">
        <f t="shared" si="960"/>
        <v>4949300.3201052574</v>
      </c>
      <c r="R210">
        <f t="shared" si="961"/>
        <v>-106322798.75783274</v>
      </c>
      <c r="S210">
        <f t="shared" si="962"/>
        <v>-1063.2279875783274</v>
      </c>
      <c r="T210">
        <f t="shared" si="963"/>
        <v>-1.0632279875783275</v>
      </c>
    </row>
    <row r="211" spans="1:20" x14ac:dyDescent="0.25">
      <c r="A211" s="5">
        <v>44382</v>
      </c>
      <c r="B211">
        <v>0.42699999999999999</v>
      </c>
      <c r="C211">
        <v>0.42799999999999999</v>
      </c>
      <c r="D211">
        <v>0.38100000000000001</v>
      </c>
      <c r="E211">
        <v>0.39700000000000002</v>
      </c>
      <c r="F211">
        <v>8080240.7819999997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-0.31914893617021195</v>
      </c>
      <c r="Q211">
        <f t="shared" si="960"/>
        <v>-2578800.2495744615</v>
      </c>
      <c r="R211">
        <f t="shared" si="961"/>
        <v>-111272099.07793799</v>
      </c>
      <c r="S211">
        <f t="shared" si="962"/>
        <v>-1112.7209907793799</v>
      </c>
      <c r="T211">
        <f t="shared" si="963"/>
        <v>-1.11272099077938</v>
      </c>
    </row>
    <row r="212" spans="1:20" x14ac:dyDescent="0.25">
      <c r="A212" s="5">
        <v>44381</v>
      </c>
      <c r="B212">
        <v>0.41799999999999998</v>
      </c>
      <c r="C212">
        <v>0.45200000000000001</v>
      </c>
      <c r="D212">
        <v>0.40400000000000003</v>
      </c>
      <c r="E212">
        <v>0.42699999999999999</v>
      </c>
      <c r="F212">
        <v>11998804.635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-4.1666666666667872E-2</v>
      </c>
      <c r="Q212">
        <f t="shared" si="960"/>
        <v>-499950.19312501443</v>
      </c>
      <c r="R212">
        <f t="shared" si="961"/>
        <v>-108693298.82836352</v>
      </c>
      <c r="S212">
        <f t="shared" si="962"/>
        <v>-1086.9329882836353</v>
      </c>
      <c r="T212">
        <f t="shared" si="963"/>
        <v>-1.0869329882836352</v>
      </c>
    </row>
    <row r="213" spans="1:20" x14ac:dyDescent="0.25">
      <c r="A213" s="5">
        <v>44380</v>
      </c>
      <c r="B213">
        <v>0.41099999999999998</v>
      </c>
      <c r="C213">
        <v>0.46400000000000002</v>
      </c>
      <c r="D213">
        <v>0.40200000000000002</v>
      </c>
      <c r="E213">
        <v>0.41899999999999998</v>
      </c>
      <c r="F213">
        <v>12062387.902000001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-0.45161290322580777</v>
      </c>
      <c r="Q213">
        <f t="shared" si="960"/>
        <v>-5447530.0202580811</v>
      </c>
      <c r="R213">
        <f t="shared" si="961"/>
        <v>-108193348.63523851</v>
      </c>
      <c r="S213">
        <f t="shared" si="962"/>
        <v>-1081.9334863523852</v>
      </c>
      <c r="T213">
        <f t="shared" si="963"/>
        <v>-1.0819334863523853</v>
      </c>
    </row>
    <row r="214" spans="1:20" x14ac:dyDescent="0.25">
      <c r="A214" s="5">
        <v>44379</v>
      </c>
      <c r="B214">
        <v>0.41099999999999998</v>
      </c>
      <c r="C214">
        <v>0.41599999999999998</v>
      </c>
      <c r="D214">
        <v>0.38600000000000001</v>
      </c>
      <c r="E214">
        <v>0.41</v>
      </c>
      <c r="F214">
        <v>5733352.9330000002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0.59999999999999931</v>
      </c>
      <c r="Q214">
        <f t="shared" si="960"/>
        <v>3440011.7597999964</v>
      </c>
      <c r="R214">
        <f t="shared" si="961"/>
        <v>-102745818.61498043</v>
      </c>
      <c r="S214">
        <f t="shared" si="962"/>
        <v>-1027.4581861498043</v>
      </c>
      <c r="T214">
        <f t="shared" si="963"/>
        <v>-1.0274581861498042</v>
      </c>
    </row>
    <row r="215" spans="1:20" x14ac:dyDescent="0.25">
      <c r="A215" s="5">
        <v>44378</v>
      </c>
      <c r="B215">
        <v>0.45700000000000002</v>
      </c>
      <c r="C215">
        <v>0.47699999999999998</v>
      </c>
      <c r="D215">
        <v>0.39600000000000002</v>
      </c>
      <c r="E215">
        <v>0.41</v>
      </c>
      <c r="F215">
        <v>9023384.6549999993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-0.6543209876543219</v>
      </c>
      <c r="Q215">
        <f t="shared" si="960"/>
        <v>-5904189.9594444521</v>
      </c>
      <c r="R215">
        <f t="shared" si="961"/>
        <v>-106185830.37478043</v>
      </c>
      <c r="S215">
        <f t="shared" si="962"/>
        <v>-1061.8583037478043</v>
      </c>
      <c r="T215">
        <f t="shared" si="963"/>
        <v>-1.0618583037478042</v>
      </c>
    </row>
    <row r="216" spans="1:20" x14ac:dyDescent="0.25">
      <c r="A216" s="5">
        <v>44377</v>
      </c>
      <c r="B216">
        <v>0.49</v>
      </c>
      <c r="C216">
        <v>0.51800000000000002</v>
      </c>
      <c r="D216">
        <v>0.40799999999999997</v>
      </c>
      <c r="E216">
        <v>0.45500000000000002</v>
      </c>
      <c r="F216">
        <v>23765698.68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-0.14545454545454503</v>
      </c>
      <c r="Q216">
        <f t="shared" si="960"/>
        <v>-3456828.8989090808</v>
      </c>
      <c r="R216">
        <f t="shared" si="961"/>
        <v>-100281640.41533598</v>
      </c>
      <c r="S216">
        <f t="shared" si="962"/>
        <v>-1002.8164041533598</v>
      </c>
      <c r="T216">
        <f t="shared" si="963"/>
        <v>-1.0028164041533598</v>
      </c>
    </row>
    <row r="217" spans="1:20" x14ac:dyDescent="0.25">
      <c r="A217" s="5">
        <v>44376</v>
      </c>
      <c r="B217">
        <v>0.373</v>
      </c>
      <c r="C217">
        <v>0.53500000000000003</v>
      </c>
      <c r="D217">
        <v>0.37</v>
      </c>
      <c r="E217">
        <v>0.48899999999999999</v>
      </c>
      <c r="F217">
        <v>27773722.204999998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0.44242424242424205</v>
      </c>
      <c r="Q217">
        <f t="shared" si="960"/>
        <v>12287768.005848473</v>
      </c>
      <c r="R217">
        <f t="shared" si="961"/>
        <v>-96824811.516426906</v>
      </c>
      <c r="S217">
        <f t="shared" si="962"/>
        <v>-968.24811516426905</v>
      </c>
      <c r="T217">
        <f t="shared" si="963"/>
        <v>-0.96824811516426901</v>
      </c>
    </row>
    <row r="218" spans="1:20" x14ac:dyDescent="0.25">
      <c r="A218" s="5">
        <v>44375</v>
      </c>
      <c r="B218">
        <v>0.375</v>
      </c>
      <c r="C218">
        <v>0.42499999999999999</v>
      </c>
      <c r="D218">
        <v>0.36399999999999999</v>
      </c>
      <c r="E218">
        <v>0.374</v>
      </c>
      <c r="F218">
        <v>14179447.457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-0.67213114754098335</v>
      </c>
      <c r="Q218">
        <f t="shared" si="960"/>
        <v>-9530448.2907704879</v>
      </c>
      <c r="R218">
        <f t="shared" si="961"/>
        <v>-109112579.52227537</v>
      </c>
      <c r="S218">
        <f t="shared" si="962"/>
        <v>-1091.1257952227538</v>
      </c>
      <c r="T218">
        <f t="shared" si="963"/>
        <v>-1.0911257952227538</v>
      </c>
    </row>
    <row r="219" spans="1:20" x14ac:dyDescent="0.25">
      <c r="A219" s="5">
        <v>44374</v>
      </c>
      <c r="B219">
        <v>0.317</v>
      </c>
      <c r="C219">
        <v>0.38600000000000001</v>
      </c>
      <c r="D219">
        <v>0.307</v>
      </c>
      <c r="E219">
        <v>0.374</v>
      </c>
      <c r="F219">
        <v>14147742.888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0.69620253164556944</v>
      </c>
      <c r="Q219">
        <f t="shared" si="960"/>
        <v>9849694.4156962</v>
      </c>
      <c r="R219">
        <f t="shared" si="961"/>
        <v>-99582131.231504887</v>
      </c>
      <c r="S219">
        <f t="shared" si="962"/>
        <v>-995.82131231504889</v>
      </c>
      <c r="T219">
        <f t="shared" si="963"/>
        <v>-0.99582131231504889</v>
      </c>
    </row>
    <row r="220" spans="1:20" x14ac:dyDescent="0.25">
      <c r="A220" s="5">
        <v>44373</v>
      </c>
      <c r="B220">
        <v>0.32600000000000001</v>
      </c>
      <c r="C220">
        <v>0.32600000000000001</v>
      </c>
      <c r="D220">
        <v>0.28999999999999998</v>
      </c>
      <c r="E220">
        <v>0.317</v>
      </c>
      <c r="F220">
        <v>6901239.0690000001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</v>
      </c>
      <c r="Q220">
        <f t="shared" si="960"/>
        <v>3450619.5345000001</v>
      </c>
      <c r="R220">
        <f t="shared" si="961"/>
        <v>-109431825.64720109</v>
      </c>
      <c r="S220">
        <f t="shared" si="962"/>
        <v>-1094.3182564720109</v>
      </c>
      <c r="T220">
        <f t="shared" si="963"/>
        <v>-1.0943182564720109</v>
      </c>
    </row>
    <row r="221" spans="1:20" x14ac:dyDescent="0.25">
      <c r="A221" s="5">
        <v>44372</v>
      </c>
      <c r="B221">
        <v>0.38300000000000001</v>
      </c>
      <c r="C221">
        <v>0.39100000000000001</v>
      </c>
      <c r="D221">
        <v>0.318</v>
      </c>
      <c r="E221">
        <v>0.32600000000000001</v>
      </c>
      <c r="F221">
        <v>5167834.0839999998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-0.78082191780821897</v>
      </c>
      <c r="Q221">
        <f t="shared" si="960"/>
        <v>-4035158.1203835602</v>
      </c>
      <c r="R221">
        <f t="shared" si="961"/>
        <v>-112882445.18170109</v>
      </c>
      <c r="S221">
        <f t="shared" si="962"/>
        <v>-1128.8244518170109</v>
      </c>
      <c r="T221">
        <f t="shared" si="963"/>
        <v>-1.128824451817011</v>
      </c>
    </row>
    <row r="222" spans="1:20" x14ac:dyDescent="0.25">
      <c r="A222" s="5">
        <v>44371</v>
      </c>
      <c r="B222">
        <v>0.36499999999999999</v>
      </c>
      <c r="C222">
        <v>0.39400000000000002</v>
      </c>
      <c r="D222">
        <v>0.34100000000000003</v>
      </c>
      <c r="E222">
        <v>0.38200000000000001</v>
      </c>
      <c r="F222">
        <v>5111911.301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0.54716981132075426</v>
      </c>
      <c r="Q222">
        <f t="shared" si="960"/>
        <v>2797083.5420566015</v>
      </c>
      <c r="R222">
        <f t="shared" si="961"/>
        <v>-108847287.06131753</v>
      </c>
      <c r="S222">
        <f t="shared" si="962"/>
        <v>-1088.4728706131752</v>
      </c>
      <c r="T222">
        <f t="shared" si="963"/>
        <v>-1.0884728706131752</v>
      </c>
    </row>
    <row r="223" spans="1:20" x14ac:dyDescent="0.25">
      <c r="A223" s="5">
        <v>44370</v>
      </c>
      <c r="B223">
        <v>0.33800000000000002</v>
      </c>
      <c r="C223">
        <v>0.40400000000000003</v>
      </c>
      <c r="D223">
        <v>0.32300000000000001</v>
      </c>
      <c r="E223">
        <v>0.36599999999999999</v>
      </c>
      <c r="F223">
        <v>7056847.6160000004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6.1728395061727753E-2</v>
      </c>
      <c r="Q223">
        <f t="shared" si="960"/>
        <v>435607.87753085967</v>
      </c>
      <c r="R223">
        <f t="shared" si="961"/>
        <v>-111644370.60337414</v>
      </c>
      <c r="S223">
        <f t="shared" si="962"/>
        <v>-1116.4437060337414</v>
      </c>
      <c r="T223">
        <f t="shared" si="963"/>
        <v>-1.1164437060337413</v>
      </c>
    </row>
    <row r="224" spans="1:20" x14ac:dyDescent="0.25">
      <c r="A224" s="5">
        <v>44369</v>
      </c>
      <c r="B224">
        <v>0.36299999999999999</v>
      </c>
      <c r="C224">
        <v>0.39500000000000002</v>
      </c>
      <c r="D224">
        <v>0.27300000000000002</v>
      </c>
      <c r="E224">
        <v>0.33800000000000002</v>
      </c>
      <c r="F224">
        <v>11549670.688999999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6.5573770491803338E-2</v>
      </c>
      <c r="Q224">
        <f t="shared" si="960"/>
        <v>757355.45501639403</v>
      </c>
      <c r="R224">
        <f t="shared" si="961"/>
        <v>-112079978.480905</v>
      </c>
      <c r="S224">
        <f t="shared" si="962"/>
        <v>-1120.7997848090499</v>
      </c>
      <c r="T224">
        <f t="shared" si="963"/>
        <v>-1.1207997848090498</v>
      </c>
    </row>
    <row r="225" spans="1:20" x14ac:dyDescent="0.25">
      <c r="A225" s="5">
        <v>44368</v>
      </c>
      <c r="B225">
        <v>0.48</v>
      </c>
      <c r="C225">
        <v>0.48399999999999999</v>
      </c>
      <c r="D225">
        <v>0.36099999999999999</v>
      </c>
      <c r="E225">
        <v>0.36399999999999999</v>
      </c>
      <c r="F225">
        <v>9346982.6510000005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-0.95121951219512191</v>
      </c>
      <c r="Q225">
        <f t="shared" si="960"/>
        <v>-8891032.2777804881</v>
      </c>
      <c r="R225">
        <f t="shared" si="961"/>
        <v>-112837333.93592139</v>
      </c>
      <c r="S225">
        <f t="shared" si="962"/>
        <v>-1128.3733393592138</v>
      </c>
      <c r="T225">
        <f t="shared" si="963"/>
        <v>-1.1283733393592137</v>
      </c>
    </row>
    <row r="226" spans="1:20" x14ac:dyDescent="0.25">
      <c r="A226" s="5">
        <v>44367</v>
      </c>
      <c r="B226">
        <v>0.49299999999999999</v>
      </c>
      <c r="C226">
        <v>0.50900000000000001</v>
      </c>
      <c r="D226">
        <v>0.45500000000000002</v>
      </c>
      <c r="E226">
        <v>0.47899999999999998</v>
      </c>
      <c r="F226">
        <v>7138454.6919999998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-0.11111111111111226</v>
      </c>
      <c r="Q226">
        <f t="shared" si="960"/>
        <v>-793161.63244445261</v>
      </c>
      <c r="R226">
        <f t="shared" si="961"/>
        <v>-103946301.6581409</v>
      </c>
      <c r="S226">
        <f t="shared" si="962"/>
        <v>-1039.463016581409</v>
      </c>
      <c r="T226">
        <f t="shared" si="963"/>
        <v>-1.0394630165814089</v>
      </c>
    </row>
    <row r="227" spans="1:20" x14ac:dyDescent="0.25">
      <c r="A227" s="5">
        <v>44366</v>
      </c>
      <c r="B227">
        <v>0.51100000000000001</v>
      </c>
      <c r="C227">
        <v>0.53700000000000003</v>
      </c>
      <c r="D227">
        <v>0.48499999999999999</v>
      </c>
      <c r="E227">
        <v>0.49299999999999999</v>
      </c>
      <c r="F227">
        <v>5096962.1789999995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-0.69230769230769229</v>
      </c>
      <c r="Q227">
        <f t="shared" si="960"/>
        <v>-3528666.1239230763</v>
      </c>
      <c r="R227">
        <f t="shared" si="961"/>
        <v>-103153140.02569644</v>
      </c>
      <c r="S227">
        <f t="shared" si="962"/>
        <v>-1031.5314002569644</v>
      </c>
      <c r="T227">
        <f t="shared" si="963"/>
        <v>-1.0315314002569644</v>
      </c>
    </row>
    <row r="228" spans="1:20" x14ac:dyDescent="0.25">
      <c r="A228" s="5">
        <v>44365</v>
      </c>
      <c r="B228">
        <v>0.56899999999999995</v>
      </c>
      <c r="C228">
        <v>0.57299999999999995</v>
      </c>
      <c r="D228">
        <v>0.49199999999999999</v>
      </c>
      <c r="E228">
        <v>0.51100000000000001</v>
      </c>
      <c r="F228">
        <v>6025656.6129999999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-0.53086419753086356</v>
      </c>
      <c r="Q228">
        <f t="shared" si="960"/>
        <v>-3198805.362456786</v>
      </c>
      <c r="R228">
        <f t="shared" si="961"/>
        <v>-99624473.901773363</v>
      </c>
      <c r="S228">
        <f t="shared" si="962"/>
        <v>-996.24473901773365</v>
      </c>
      <c r="T228">
        <f t="shared" si="963"/>
        <v>-0.99624473901773369</v>
      </c>
    </row>
    <row r="229" spans="1:20" x14ac:dyDescent="0.25">
      <c r="A229" s="5">
        <v>44364</v>
      </c>
      <c r="B229">
        <v>0.57499999999999996</v>
      </c>
      <c r="C229">
        <v>0.61</v>
      </c>
      <c r="D229">
        <v>0.55100000000000005</v>
      </c>
      <c r="E229">
        <v>0.56899999999999995</v>
      </c>
      <c r="F229">
        <v>9453091.2609999999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-0.3898305084745789</v>
      </c>
      <c r="Q229">
        <f t="shared" si="960"/>
        <v>-3685103.3729322283</v>
      </c>
      <c r="R229">
        <f t="shared" si="961"/>
        <v>-96425668.53931658</v>
      </c>
      <c r="S229">
        <f t="shared" si="962"/>
        <v>-964.25668539316575</v>
      </c>
      <c r="T229">
        <f t="shared" si="963"/>
        <v>-0.96425668539316578</v>
      </c>
    </row>
    <row r="230" spans="1:20" x14ac:dyDescent="0.25">
      <c r="A230" s="5">
        <v>44363</v>
      </c>
      <c r="B230">
        <v>0.62</v>
      </c>
      <c r="C230">
        <v>0.625</v>
      </c>
      <c r="D230">
        <v>0.56399999999999995</v>
      </c>
      <c r="E230">
        <v>0.57499999999999996</v>
      </c>
      <c r="F230">
        <v>5548189.4550000001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-0.63934426229508201</v>
      </c>
      <c r="Q230">
        <f t="shared" si="960"/>
        <v>-3547203.0941803283</v>
      </c>
      <c r="R230">
        <f t="shared" si="961"/>
        <v>-92740565.166384354</v>
      </c>
      <c r="S230">
        <f t="shared" si="962"/>
        <v>-927.40565166384351</v>
      </c>
      <c r="T230">
        <f t="shared" si="963"/>
        <v>-0.92740565166384348</v>
      </c>
    </row>
    <row r="231" spans="1:20" x14ac:dyDescent="0.25">
      <c r="A231" s="5">
        <v>44362</v>
      </c>
      <c r="B231">
        <v>0.63600000000000001</v>
      </c>
      <c r="C231">
        <v>0.65300000000000002</v>
      </c>
      <c r="D231">
        <v>0.59699999999999998</v>
      </c>
      <c r="E231">
        <v>0.62</v>
      </c>
      <c r="F231">
        <v>7030956.5369999995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-0.17857142857142858</v>
      </c>
      <c r="Q231">
        <f t="shared" si="960"/>
        <v>-1255527.9530357143</v>
      </c>
      <c r="R231">
        <f t="shared" si="961"/>
        <v>-89193362.072204024</v>
      </c>
      <c r="S231">
        <f t="shared" si="962"/>
        <v>-891.93362072204025</v>
      </c>
      <c r="T231">
        <f t="shared" si="963"/>
        <v>-0.8919336207220403</v>
      </c>
    </row>
    <row r="232" spans="1:20" x14ac:dyDescent="0.25">
      <c r="A232" s="5">
        <v>44361</v>
      </c>
      <c r="B232">
        <v>0.626</v>
      </c>
      <c r="C232">
        <v>0.65700000000000003</v>
      </c>
      <c r="D232">
        <v>0.61099999999999999</v>
      </c>
      <c r="E232">
        <v>0.63700000000000001</v>
      </c>
      <c r="F232">
        <v>7906986.7630000003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0.13043478260869565</v>
      </c>
      <c r="Q232">
        <f t="shared" si="960"/>
        <v>1031346.0995217392</v>
      </c>
      <c r="R232">
        <f t="shared" si="961"/>
        <v>-87937834.119168311</v>
      </c>
      <c r="S232">
        <f t="shared" si="962"/>
        <v>-879.37834119168315</v>
      </c>
      <c r="T232">
        <f t="shared" si="963"/>
        <v>-0.87937834119168312</v>
      </c>
    </row>
    <row r="233" spans="1:20" x14ac:dyDescent="0.25">
      <c r="A233" s="5">
        <v>44360</v>
      </c>
      <c r="B233">
        <v>0.59899999999999998</v>
      </c>
      <c r="C233">
        <v>0.63600000000000001</v>
      </c>
      <c r="D233">
        <v>0.57299999999999995</v>
      </c>
      <c r="E233">
        <v>0.623</v>
      </c>
      <c r="F233">
        <v>10766749.319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0.58730158730158732</v>
      </c>
      <c r="Q233">
        <f t="shared" si="960"/>
        <v>6323328.9651269848</v>
      </c>
      <c r="R233">
        <f t="shared" si="961"/>
        <v>-88969180.218690053</v>
      </c>
      <c r="S233">
        <f t="shared" si="962"/>
        <v>-889.69180218690053</v>
      </c>
      <c r="T233">
        <f t="shared" si="963"/>
        <v>-0.88969180218690058</v>
      </c>
    </row>
    <row r="234" spans="1:20" x14ac:dyDescent="0.25">
      <c r="A234" s="5">
        <v>44359</v>
      </c>
      <c r="B234">
        <v>0.68600000000000005</v>
      </c>
      <c r="C234">
        <v>0.79</v>
      </c>
      <c r="D234">
        <v>0.59</v>
      </c>
      <c r="E234">
        <v>0.59899999999999998</v>
      </c>
      <c r="F234">
        <v>43593506.684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-0.90999999999999992</v>
      </c>
      <c r="Q234">
        <f t="shared" si="960"/>
        <v>-39670091.082439996</v>
      </c>
      <c r="R234">
        <f t="shared" si="961"/>
        <v>-95292509.183817044</v>
      </c>
      <c r="S234">
        <f t="shared" si="962"/>
        <v>-952.92509183817049</v>
      </c>
      <c r="T234">
        <f t="shared" si="963"/>
        <v>-0.95292509183817053</v>
      </c>
    </row>
    <row r="235" spans="1:20" x14ac:dyDescent="0.25">
      <c r="A235" s="5">
        <v>44358</v>
      </c>
      <c r="B235">
        <v>0.55300000000000005</v>
      </c>
      <c r="C235">
        <v>0.85</v>
      </c>
      <c r="D235">
        <v>0.54300000000000004</v>
      </c>
      <c r="E235">
        <v>0.68400000000000005</v>
      </c>
      <c r="F235">
        <v>46276050.619000003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-8.1433224755700057E-2</v>
      </c>
      <c r="Q235">
        <f t="shared" si="960"/>
        <v>-3768408.0308631798</v>
      </c>
      <c r="R235">
        <f t="shared" si="961"/>
        <v>-55622418.101377048</v>
      </c>
      <c r="S235">
        <f t="shared" si="962"/>
        <v>-556.22418101377048</v>
      </c>
      <c r="T235">
        <f t="shared" si="963"/>
        <v>-0.55622418101377047</v>
      </c>
    </row>
    <row r="236" spans="1:20" x14ac:dyDescent="0.25">
      <c r="A236" s="5">
        <v>44357</v>
      </c>
      <c r="B236">
        <v>0.61699999999999999</v>
      </c>
      <c r="C236">
        <v>0.622</v>
      </c>
      <c r="D236">
        <v>0.52900000000000003</v>
      </c>
      <c r="E236">
        <v>0.55400000000000005</v>
      </c>
      <c r="F236">
        <v>6536476.9500000002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-0.46236559139784883</v>
      </c>
      <c r="Q236">
        <f t="shared" si="960"/>
        <v>-3022242.0306451572</v>
      </c>
      <c r="R236">
        <f t="shared" si="961"/>
        <v>-51854010.070513867</v>
      </c>
      <c r="S236">
        <f t="shared" si="962"/>
        <v>-518.54010070513868</v>
      </c>
      <c r="T236">
        <f t="shared" si="963"/>
        <v>-0.51854010070513867</v>
      </c>
    </row>
    <row r="237" spans="1:20" x14ac:dyDescent="0.25">
      <c r="A237" s="5">
        <v>44356</v>
      </c>
      <c r="B237">
        <v>0.57199999999999995</v>
      </c>
      <c r="C237">
        <v>0.63900000000000001</v>
      </c>
      <c r="D237">
        <v>0.52900000000000003</v>
      </c>
      <c r="E237">
        <v>0.61699999999999999</v>
      </c>
      <c r="F237">
        <v>8114786.71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0.59999999999999964</v>
      </c>
      <c r="Q237">
        <f t="shared" si="960"/>
        <v>4868872.0259999968</v>
      </c>
      <c r="R237">
        <f t="shared" si="961"/>
        <v>-48831768.039868712</v>
      </c>
      <c r="S237">
        <f t="shared" si="962"/>
        <v>-488.31768039868712</v>
      </c>
      <c r="T237">
        <f t="shared" si="963"/>
        <v>-0.48831768039868712</v>
      </c>
    </row>
    <row r="238" spans="1:20" x14ac:dyDescent="0.25">
      <c r="A238" s="5">
        <v>44355</v>
      </c>
      <c r="B238">
        <v>0.60199999999999998</v>
      </c>
      <c r="C238">
        <v>0.64900000000000002</v>
      </c>
      <c r="D238">
        <v>0.51200000000000001</v>
      </c>
      <c r="E238">
        <v>0.57399999999999995</v>
      </c>
      <c r="F238">
        <v>8708612.8340000007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-9.4890510948905993E-2</v>
      </c>
      <c r="Q238">
        <f t="shared" si="960"/>
        <v>-826364.72147446033</v>
      </c>
      <c r="R238">
        <f t="shared" si="961"/>
        <v>-53700640.065868706</v>
      </c>
      <c r="S238">
        <f t="shared" si="962"/>
        <v>-537.00640065868708</v>
      </c>
      <c r="T238">
        <f t="shared" si="963"/>
        <v>-0.5370064006586871</v>
      </c>
    </row>
    <row r="239" spans="1:20" x14ac:dyDescent="0.25">
      <c r="A239" s="5">
        <v>44354</v>
      </c>
      <c r="B239">
        <v>0.70099999999999996</v>
      </c>
      <c r="C239">
        <v>0.73899999999999999</v>
      </c>
      <c r="D239">
        <v>0.59299999999999997</v>
      </c>
      <c r="E239">
        <v>0.60499999999999998</v>
      </c>
      <c r="F239">
        <v>4484802.7570000002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-0.83561643835616428</v>
      </c>
      <c r="Q239">
        <f t="shared" si="960"/>
        <v>-3747574.9065342462</v>
      </c>
      <c r="R239">
        <f t="shared" si="961"/>
        <v>-52874275.344394244</v>
      </c>
      <c r="S239">
        <f t="shared" si="962"/>
        <v>-528.74275344394243</v>
      </c>
      <c r="T239">
        <f t="shared" si="963"/>
        <v>-0.52874275344394239</v>
      </c>
    </row>
    <row r="240" spans="1:20" x14ac:dyDescent="0.25">
      <c r="A240" s="5">
        <v>44353</v>
      </c>
      <c r="B240">
        <v>0.69299999999999995</v>
      </c>
      <c r="C240">
        <v>0.72</v>
      </c>
      <c r="D240">
        <v>0.67800000000000005</v>
      </c>
      <c r="E240">
        <v>0.70099999999999996</v>
      </c>
      <c r="F240">
        <v>2872062.5210000002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9.5238095238092846E-2</v>
      </c>
      <c r="Q240">
        <f t="shared" si="960"/>
        <v>273529.76390475506</v>
      </c>
      <c r="R240">
        <f t="shared" si="961"/>
        <v>-49126700.437859997</v>
      </c>
      <c r="S240">
        <f t="shared" si="962"/>
        <v>-491.26700437859995</v>
      </c>
      <c r="T240">
        <f t="shared" si="963"/>
        <v>-0.49126700437859994</v>
      </c>
    </row>
    <row r="241" spans="1:20" x14ac:dyDescent="0.25">
      <c r="A241" s="5">
        <v>44352</v>
      </c>
      <c r="B241">
        <v>0.71</v>
      </c>
      <c r="C241">
        <v>0.76200000000000001</v>
      </c>
      <c r="D241">
        <v>0.65</v>
      </c>
      <c r="E241">
        <v>0.69699999999999995</v>
      </c>
      <c r="F241">
        <v>4658327.2879999997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-0.16071428571428686</v>
      </c>
      <c r="Q241">
        <f t="shared" si="960"/>
        <v>-748659.74271429097</v>
      </c>
      <c r="R241">
        <f t="shared" si="961"/>
        <v>-49400230.201764755</v>
      </c>
      <c r="S241">
        <f t="shared" si="962"/>
        <v>-494.00230201764754</v>
      </c>
      <c r="T241">
        <f t="shared" si="963"/>
        <v>-0.49400230201764755</v>
      </c>
    </row>
    <row r="242" spans="1:20" x14ac:dyDescent="0.25">
      <c r="A242" s="5">
        <v>44351</v>
      </c>
      <c r="B242">
        <v>0.82299999999999995</v>
      </c>
      <c r="C242">
        <v>0.83</v>
      </c>
      <c r="D242">
        <v>0.67200000000000004</v>
      </c>
      <c r="E242">
        <v>0.71</v>
      </c>
      <c r="F242">
        <v>7811996.29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-0.51898734177215267</v>
      </c>
      <c r="Q242">
        <f t="shared" si="960"/>
        <v>-4054327.1884810189</v>
      </c>
      <c r="R242">
        <f t="shared" si="961"/>
        <v>-48651570.459050462</v>
      </c>
      <c r="S242">
        <f t="shared" si="962"/>
        <v>-486.51570459050464</v>
      </c>
      <c r="T242">
        <f t="shared" si="963"/>
        <v>-0.48651570459050464</v>
      </c>
    </row>
    <row r="243" spans="1:20" x14ac:dyDescent="0.25">
      <c r="A243" s="5">
        <v>44350</v>
      </c>
      <c r="B243">
        <v>0.81499999999999995</v>
      </c>
      <c r="C243">
        <v>0.88900000000000001</v>
      </c>
      <c r="D243">
        <v>0.78200000000000003</v>
      </c>
      <c r="E243">
        <v>0.82199999999999995</v>
      </c>
      <c r="F243">
        <v>7850773.3150000004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-0.25233644859813215</v>
      </c>
      <c r="Q243">
        <f t="shared" si="960"/>
        <v>-1981036.2570560852</v>
      </c>
      <c r="R243">
        <f t="shared" si="961"/>
        <v>-44597243.270569444</v>
      </c>
      <c r="S243">
        <f t="shared" si="962"/>
        <v>-445.97243270569442</v>
      </c>
      <c r="T243">
        <f t="shared" si="963"/>
        <v>-0.44597243270569442</v>
      </c>
    </row>
    <row r="244" spans="1:20" x14ac:dyDescent="0.25">
      <c r="A244" s="5">
        <v>44349</v>
      </c>
      <c r="B244">
        <v>0.76800000000000002</v>
      </c>
      <c r="C244">
        <v>0.84</v>
      </c>
      <c r="D244">
        <v>0.72499999999999998</v>
      </c>
      <c r="E244">
        <v>0.81499999999999995</v>
      </c>
      <c r="F244">
        <v>6138626.9709999999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0.56521739130434745</v>
      </c>
      <c r="Q244">
        <f t="shared" si="960"/>
        <v>3469658.7227391279</v>
      </c>
      <c r="R244">
        <f t="shared" si="961"/>
        <v>-42616207.013513356</v>
      </c>
      <c r="S244">
        <f t="shared" si="962"/>
        <v>-426.16207013513355</v>
      </c>
      <c r="T244">
        <f t="shared" si="963"/>
        <v>-0.42616207013513352</v>
      </c>
    </row>
    <row r="245" spans="1:20" x14ac:dyDescent="0.25">
      <c r="A245" s="5">
        <v>44348</v>
      </c>
      <c r="B245">
        <v>0.82199999999999995</v>
      </c>
      <c r="C245">
        <v>0.85</v>
      </c>
      <c r="D245">
        <v>0.745</v>
      </c>
      <c r="E245">
        <v>0.76800000000000002</v>
      </c>
      <c r="F245">
        <v>6154451.5559999999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-0.56190476190476146</v>
      </c>
      <c r="Q245">
        <f t="shared" si="960"/>
        <v>-3458215.6362285689</v>
      </c>
      <c r="R245">
        <f t="shared" si="961"/>
        <v>-46085865.736252487</v>
      </c>
      <c r="S245">
        <f t="shared" si="962"/>
        <v>-460.85865736252487</v>
      </c>
      <c r="T245">
        <f t="shared" si="963"/>
        <v>-0.46085865736252485</v>
      </c>
    </row>
    <row r="246" spans="1:20" x14ac:dyDescent="0.25">
      <c r="A246" s="5">
        <v>44347</v>
      </c>
      <c r="B246">
        <v>0.69199999999999995</v>
      </c>
      <c r="C246">
        <v>0.87</v>
      </c>
      <c r="D246">
        <v>0.66100000000000003</v>
      </c>
      <c r="E246">
        <v>0.82</v>
      </c>
      <c r="F246">
        <v>14861605.454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0.5215311004784684</v>
      </c>
      <c r="Q246">
        <f t="shared" si="960"/>
        <v>7750789.4473014278</v>
      </c>
      <c r="R246">
        <f t="shared" si="961"/>
        <v>-42627650.100023918</v>
      </c>
      <c r="S246">
        <f t="shared" si="962"/>
        <v>-426.27650100023919</v>
      </c>
      <c r="T246">
        <f t="shared" si="963"/>
        <v>-0.42627650100023917</v>
      </c>
    </row>
    <row r="247" spans="1:20" x14ac:dyDescent="0.25">
      <c r="A247" s="5">
        <v>44346</v>
      </c>
      <c r="B247">
        <v>0.61699999999999999</v>
      </c>
      <c r="C247">
        <v>0.73899999999999999</v>
      </c>
      <c r="D247">
        <v>0.55700000000000005</v>
      </c>
      <c r="E247">
        <v>0.69099999999999995</v>
      </c>
      <c r="F247">
        <v>7287688.051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0.4725274725274719</v>
      </c>
      <c r="Q247">
        <f t="shared" si="960"/>
        <v>3443632.815307688</v>
      </c>
      <c r="R247">
        <f t="shared" si="961"/>
        <v>-50378439.547325343</v>
      </c>
      <c r="S247">
        <f t="shared" si="962"/>
        <v>-503.78439547325343</v>
      </c>
      <c r="T247">
        <f t="shared" si="963"/>
        <v>-0.50378439547325338</v>
      </c>
    </row>
    <row r="248" spans="1:20" x14ac:dyDescent="0.25">
      <c r="A248" s="5">
        <v>44345</v>
      </c>
      <c r="B248">
        <v>0.68799999999999994</v>
      </c>
      <c r="C248">
        <v>0.753</v>
      </c>
      <c r="D248">
        <v>0.57199999999999995</v>
      </c>
      <c r="E248">
        <v>0.61599999999999999</v>
      </c>
      <c r="F248">
        <v>8542434.4560000002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-0.51381215469613228</v>
      </c>
      <c r="Q248">
        <f t="shared" si="960"/>
        <v>-4389206.6541878432</v>
      </c>
      <c r="R248">
        <f t="shared" si="961"/>
        <v>-53822072.362633035</v>
      </c>
      <c r="S248">
        <f t="shared" si="962"/>
        <v>-538.22072362633037</v>
      </c>
      <c r="T248">
        <f t="shared" si="963"/>
        <v>-0.53822072362633033</v>
      </c>
    </row>
    <row r="249" spans="1:20" x14ac:dyDescent="0.25">
      <c r="A249" s="5">
        <v>44344</v>
      </c>
      <c r="B249">
        <v>0.84</v>
      </c>
      <c r="C249">
        <v>0.86499999999999999</v>
      </c>
      <c r="D249">
        <v>0.63100000000000001</v>
      </c>
      <c r="E249">
        <v>0.68899999999999995</v>
      </c>
      <c r="F249">
        <v>9736100.1229999997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-0.5042735042735047</v>
      </c>
      <c r="Q249">
        <f t="shared" si="960"/>
        <v>-4909657.3269829098</v>
      </c>
      <c r="R249">
        <f t="shared" si="961"/>
        <v>-49432865.708445191</v>
      </c>
      <c r="S249">
        <f t="shared" si="962"/>
        <v>-494.32865708445189</v>
      </c>
      <c r="T249">
        <f t="shared" si="963"/>
        <v>-0.49432865708445189</v>
      </c>
    </row>
    <row r="250" spans="1:20" x14ac:dyDescent="0.25">
      <c r="A250" s="5">
        <v>44343</v>
      </c>
      <c r="B250">
        <v>0.94899999999999995</v>
      </c>
      <c r="C250">
        <v>0.94899999999999995</v>
      </c>
      <c r="D250">
        <v>0.76300000000000001</v>
      </c>
      <c r="E250">
        <v>0.83899999999999997</v>
      </c>
      <c r="F250">
        <v>10532537.968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-0.18279569892473141</v>
      </c>
      <c r="Q250">
        <f t="shared" si="960"/>
        <v>-1925302.6393118305</v>
      </c>
      <c r="R250">
        <f t="shared" si="961"/>
        <v>-44523208.381462283</v>
      </c>
      <c r="S250">
        <f t="shared" si="962"/>
        <v>-445.23208381462285</v>
      </c>
      <c r="T250">
        <f t="shared" si="963"/>
        <v>-0.44523208381462287</v>
      </c>
    </row>
    <row r="251" spans="1:20" x14ac:dyDescent="0.25">
      <c r="A251" s="5">
        <v>44342</v>
      </c>
      <c r="B251">
        <v>0.76400000000000001</v>
      </c>
      <c r="C251">
        <v>0.997</v>
      </c>
      <c r="D251">
        <v>0.71699999999999997</v>
      </c>
      <c r="E251">
        <v>0.94899999999999995</v>
      </c>
      <c r="F251">
        <v>12582255.631999999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0.65714285714285692</v>
      </c>
      <c r="Q251">
        <f t="shared" si="960"/>
        <v>8268339.4153142823</v>
      </c>
      <c r="R251">
        <f t="shared" si="961"/>
        <v>-42597905.742150456</v>
      </c>
      <c r="S251">
        <f t="shared" si="962"/>
        <v>-425.97905742150454</v>
      </c>
      <c r="T251">
        <f t="shared" si="963"/>
        <v>-0.42597905742150455</v>
      </c>
    </row>
    <row r="252" spans="1:20" x14ac:dyDescent="0.25">
      <c r="A252" s="5">
        <v>44341</v>
      </c>
      <c r="B252">
        <v>0.80400000000000005</v>
      </c>
      <c r="C252">
        <v>0.88500000000000001</v>
      </c>
      <c r="D252">
        <v>0.66</v>
      </c>
      <c r="E252">
        <v>0.76400000000000001</v>
      </c>
      <c r="F252">
        <v>17574705.295000002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-7.5555555555555626E-2</v>
      </c>
      <c r="Q252">
        <f t="shared" si="960"/>
        <v>-1327866.6222888902</v>
      </c>
      <c r="R252">
        <f t="shared" si="961"/>
        <v>-50866245.157464735</v>
      </c>
      <c r="S252">
        <f t="shared" si="962"/>
        <v>-508.66245157464738</v>
      </c>
      <c r="T252">
        <f t="shared" si="963"/>
        <v>-0.5086624515746474</v>
      </c>
    </row>
    <row r="253" spans="1:20" x14ac:dyDescent="0.25">
      <c r="A253" s="5">
        <v>44340</v>
      </c>
      <c r="B253">
        <v>0.46100000000000002</v>
      </c>
      <c r="C253">
        <v>0.95</v>
      </c>
      <c r="D253">
        <v>0.42899999999999999</v>
      </c>
      <c r="E253">
        <v>0.80200000000000005</v>
      </c>
      <c r="F253">
        <v>19318832.098000001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0.43186180422264908</v>
      </c>
      <c r="Q253">
        <f t="shared" si="960"/>
        <v>8343065.6853167051</v>
      </c>
      <c r="R253">
        <f t="shared" si="961"/>
        <v>-49538378.535175845</v>
      </c>
      <c r="S253">
        <f t="shared" si="962"/>
        <v>-495.38378535175843</v>
      </c>
      <c r="T253">
        <f t="shared" si="963"/>
        <v>-0.49538378535175842</v>
      </c>
    </row>
    <row r="254" spans="1:20" x14ac:dyDescent="0.25">
      <c r="A254" s="5">
        <v>44339</v>
      </c>
      <c r="B254">
        <v>0.65900000000000003</v>
      </c>
      <c r="C254">
        <v>0.69799999999999995</v>
      </c>
      <c r="D254">
        <v>0.35499999999999998</v>
      </c>
      <c r="E254">
        <v>0.46200000000000002</v>
      </c>
      <c r="F254">
        <v>9902768.6999999993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-0.3760932944606411</v>
      </c>
      <c r="Q254">
        <f t="shared" si="960"/>
        <v>-3724364.9046647199</v>
      </c>
      <c r="R254">
        <f t="shared" si="961"/>
        <v>-57881444.220492549</v>
      </c>
      <c r="S254">
        <f t="shared" si="962"/>
        <v>-578.81444220492551</v>
      </c>
      <c r="T254">
        <f t="shared" si="963"/>
        <v>-0.57881444220492551</v>
      </c>
    </row>
    <row r="255" spans="1:20" x14ac:dyDescent="0.25">
      <c r="A255" s="5">
        <v>44338</v>
      </c>
      <c r="B255">
        <v>0.72699999999999998</v>
      </c>
      <c r="C255">
        <v>0.82399999999999995</v>
      </c>
      <c r="D255">
        <v>0.63300000000000001</v>
      </c>
      <c r="E255">
        <v>0.65900000000000003</v>
      </c>
      <c r="F255">
        <v>5671363.3190000001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-0.72774869109947615</v>
      </c>
      <c r="Q255">
        <f t="shared" si="960"/>
        <v>-4127327.232151831</v>
      </c>
      <c r="R255">
        <f t="shared" si="961"/>
        <v>-54157079.315827832</v>
      </c>
      <c r="S255">
        <f t="shared" si="962"/>
        <v>-541.57079315827832</v>
      </c>
      <c r="T255">
        <f t="shared" si="963"/>
        <v>-0.54157079315827827</v>
      </c>
    </row>
    <row r="256" spans="1:20" x14ac:dyDescent="0.25">
      <c r="A256" s="5">
        <v>44337</v>
      </c>
      <c r="B256">
        <v>0.97599999999999998</v>
      </c>
      <c r="C256">
        <v>1.0369999999999999</v>
      </c>
      <c r="D256">
        <v>0.60299999999999998</v>
      </c>
      <c r="E256">
        <v>0.72499999999999998</v>
      </c>
      <c r="F256">
        <v>8218729.0530000003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-0.43778801843317966</v>
      </c>
      <c r="Q256">
        <f t="shared" si="960"/>
        <v>-3598061.1061520735</v>
      </c>
      <c r="R256">
        <f t="shared" si="961"/>
        <v>-50029752.083676003</v>
      </c>
      <c r="S256">
        <f t="shared" si="962"/>
        <v>-500.29752083676004</v>
      </c>
      <c r="T256">
        <f t="shared" si="963"/>
        <v>-0.50029752083676005</v>
      </c>
    </row>
    <row r="257" spans="1:20" x14ac:dyDescent="0.25">
      <c r="A257" s="5">
        <v>44336</v>
      </c>
      <c r="B257">
        <v>0.89</v>
      </c>
      <c r="C257">
        <v>1.0660000000000001</v>
      </c>
      <c r="D257">
        <v>0.754</v>
      </c>
      <c r="E257">
        <v>0.97799999999999998</v>
      </c>
      <c r="F257">
        <v>7562753.2690000003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0.43589743589743551</v>
      </c>
      <c r="Q257">
        <f t="shared" si="960"/>
        <v>3296584.7582820486</v>
      </c>
      <c r="R257">
        <f t="shared" si="961"/>
        <v>-46431690.97752393</v>
      </c>
      <c r="S257">
        <f t="shared" si="962"/>
        <v>-464.31690977523931</v>
      </c>
      <c r="T257">
        <f t="shared" si="963"/>
        <v>-0.46431690977523932</v>
      </c>
    </row>
    <row r="258" spans="1:20" x14ac:dyDescent="0.25">
      <c r="A258" s="5">
        <v>44335</v>
      </c>
      <c r="B258">
        <v>1.4350000000000001</v>
      </c>
      <c r="C258">
        <v>1.4770000000000001</v>
      </c>
      <c r="D258">
        <v>0.67800000000000005</v>
      </c>
      <c r="E258">
        <v>0.89</v>
      </c>
      <c r="F258">
        <v>11416181.158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-0.4693366708385483</v>
      </c>
      <c r="Q258">
        <f t="shared" si="960"/>
        <v>-5358032.4583854834</v>
      </c>
      <c r="R258">
        <f t="shared" si="961"/>
        <v>-49728275.735805981</v>
      </c>
      <c r="S258">
        <f t="shared" si="962"/>
        <v>-497.28275735805983</v>
      </c>
      <c r="T258">
        <f t="shared" si="963"/>
        <v>-0.49728275735805982</v>
      </c>
    </row>
    <row r="259" spans="1:20" x14ac:dyDescent="0.25">
      <c r="A259" s="5">
        <v>44334</v>
      </c>
      <c r="B259">
        <v>1.5089999999999999</v>
      </c>
      <c r="C259">
        <v>1.6080000000000001</v>
      </c>
      <c r="D259">
        <v>1.41</v>
      </c>
      <c r="E259">
        <v>1.4350000000000001</v>
      </c>
      <c r="F259">
        <v>4546259.4220000003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-0.7474747474747464</v>
      </c>
      <c r="Q259">
        <f t="shared" si="960"/>
        <v>-3398214.1134141367</v>
      </c>
      <c r="R259">
        <f t="shared" si="961"/>
        <v>-44370243.277420498</v>
      </c>
      <c r="S259">
        <f t="shared" si="962"/>
        <v>-443.70243277420496</v>
      </c>
      <c r="T259">
        <f t="shared" si="963"/>
        <v>-0.44370243277420496</v>
      </c>
    </row>
    <row r="260" spans="1:20" x14ac:dyDescent="0.25">
      <c r="A260" s="5">
        <v>44333</v>
      </c>
      <c r="B260">
        <v>1.5920000000000001</v>
      </c>
      <c r="C260">
        <v>1.64</v>
      </c>
      <c r="D260">
        <v>1.4139999999999999</v>
      </c>
      <c r="E260">
        <v>1.5049999999999999</v>
      </c>
      <c r="F260">
        <v>5295698.7520000003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-0.19469026548672586</v>
      </c>
      <c r="Q260">
        <f t="shared" si="960"/>
        <v>-1031020.9959646028</v>
      </c>
      <c r="R260">
        <f t="shared" si="961"/>
        <v>-40972029.16400636</v>
      </c>
      <c r="S260">
        <f t="shared" si="962"/>
        <v>-409.72029164006358</v>
      </c>
      <c r="T260">
        <f t="shared" si="963"/>
        <v>-0.40972029164006357</v>
      </c>
    </row>
    <row r="261" spans="1:20" x14ac:dyDescent="0.25">
      <c r="A261" s="5">
        <v>44332</v>
      </c>
      <c r="B261">
        <v>1.609</v>
      </c>
      <c r="C261">
        <v>1.7869999999999999</v>
      </c>
      <c r="D261">
        <v>1.4750000000000001</v>
      </c>
      <c r="E261">
        <v>1.59</v>
      </c>
      <c r="F261">
        <v>4717210.4510000004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-0.2628205128205125</v>
      </c>
      <c r="Q261">
        <f t="shared" si="960"/>
        <v>-1239779.6698141012</v>
      </c>
      <c r="R261">
        <f t="shared" si="961"/>
        <v>-39941008.168041758</v>
      </c>
      <c r="S261">
        <f t="shared" si="962"/>
        <v>-399.41008168041759</v>
      </c>
      <c r="T261">
        <f t="shared" si="963"/>
        <v>-0.39941008168041758</v>
      </c>
    </row>
    <row r="262" spans="1:20" x14ac:dyDescent="0.25">
      <c r="A262" s="5">
        <v>44331</v>
      </c>
      <c r="B262">
        <v>1.825</v>
      </c>
      <c r="C262">
        <v>1.853</v>
      </c>
      <c r="D262">
        <v>1.6</v>
      </c>
      <c r="E262">
        <v>1.6060000000000001</v>
      </c>
      <c r="F262">
        <v>3279091.8730000001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-0.95256916996047425</v>
      </c>
      <c r="Q262">
        <f t="shared" ref="Q262:Q325" si="965">F262*P262</f>
        <v>-3123561.8236877471</v>
      </c>
      <c r="R262">
        <f t="shared" ref="R262:R325" si="966">R263+Q262</f>
        <v>-38701228.498227656</v>
      </c>
      <c r="S262">
        <f t="shared" ref="S262:S325" si="967">R262/100000</f>
        <v>-387.01228498227658</v>
      </c>
      <c r="T262">
        <f t="shared" ref="T262:T325" si="968">S262/1000</f>
        <v>-0.38701228498227658</v>
      </c>
    </row>
    <row r="263" spans="1:20" x14ac:dyDescent="0.25">
      <c r="A263" s="5">
        <v>44330</v>
      </c>
      <c r="B263">
        <v>1.6719999999999999</v>
      </c>
      <c r="C263">
        <v>1.92</v>
      </c>
      <c r="D263">
        <v>1.6259999999999999</v>
      </c>
      <c r="E263">
        <v>1.825</v>
      </c>
      <c r="F263">
        <v>4934903.4800000004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0.35374149659863974</v>
      </c>
      <c r="Q263">
        <f t="shared" si="965"/>
        <v>1745680.1425850356</v>
      </c>
      <c r="R263">
        <f t="shared" si="966"/>
        <v>-35577666.674539909</v>
      </c>
      <c r="S263">
        <f t="shared" si="967"/>
        <v>-355.7766667453991</v>
      </c>
      <c r="T263">
        <f t="shared" si="968"/>
        <v>-0.35577666674539909</v>
      </c>
    </row>
    <row r="264" spans="1:20" x14ac:dyDescent="0.25">
      <c r="A264" s="5">
        <v>44329</v>
      </c>
      <c r="B264">
        <v>1.6459999999999999</v>
      </c>
      <c r="C264">
        <v>1.8180000000000001</v>
      </c>
      <c r="D264">
        <v>1.55</v>
      </c>
      <c r="E264">
        <v>1.6719999999999999</v>
      </c>
      <c r="F264">
        <v>4501258.0659999996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-8.9552238805971046E-2</v>
      </c>
      <c r="Q264">
        <f t="shared" si="965"/>
        <v>-403097.73725373537</v>
      </c>
      <c r="R264">
        <f t="shared" si="966"/>
        <v>-37323346.817124948</v>
      </c>
      <c r="S264">
        <f t="shared" si="967"/>
        <v>-373.23346817124946</v>
      </c>
      <c r="T264">
        <f t="shared" si="968"/>
        <v>-0.37323346817124947</v>
      </c>
    </row>
    <row r="265" spans="1:20" x14ac:dyDescent="0.25">
      <c r="A265" s="5">
        <v>44328</v>
      </c>
      <c r="B265">
        <v>2.0219999999999998</v>
      </c>
      <c r="C265">
        <v>2.08</v>
      </c>
      <c r="D265">
        <v>1.6319999999999999</v>
      </c>
      <c r="E265">
        <v>1.6479999999999999</v>
      </c>
      <c r="F265">
        <v>4923493.9390000002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-0.92857142857142849</v>
      </c>
      <c r="Q265">
        <f t="shared" si="965"/>
        <v>-4571815.8004999999</v>
      </c>
      <c r="R265">
        <f t="shared" si="966"/>
        <v>-36920249.079871215</v>
      </c>
      <c r="S265">
        <f t="shared" si="967"/>
        <v>-369.20249079871218</v>
      </c>
      <c r="T265">
        <f t="shared" si="968"/>
        <v>-0.3692024907987122</v>
      </c>
    </row>
    <row r="266" spans="1:20" x14ac:dyDescent="0.25">
      <c r="A266" s="5">
        <v>44327</v>
      </c>
      <c r="B266">
        <v>2.0019999999999998</v>
      </c>
      <c r="C266">
        <v>2.17</v>
      </c>
      <c r="D266">
        <v>1.851</v>
      </c>
      <c r="E266">
        <v>2.02</v>
      </c>
      <c r="F266">
        <v>3775022.804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5.9561128526646176E-2</v>
      </c>
      <c r="Q266">
        <f t="shared" si="965"/>
        <v>224844.61842006425</v>
      </c>
      <c r="R266">
        <f t="shared" si="966"/>
        <v>-32348433.279371217</v>
      </c>
      <c r="S266">
        <f t="shared" si="967"/>
        <v>-323.48433279371216</v>
      </c>
      <c r="T266">
        <f t="shared" si="968"/>
        <v>-0.32348433279371214</v>
      </c>
    </row>
    <row r="267" spans="1:20" x14ac:dyDescent="0.25">
      <c r="A267" s="5">
        <v>44326</v>
      </c>
      <c r="B267">
        <v>2.2570000000000001</v>
      </c>
      <c r="C267">
        <v>2.2999999999999998</v>
      </c>
      <c r="D267">
        <v>1.8340000000000001</v>
      </c>
      <c r="E267">
        <v>2.0030000000000001</v>
      </c>
      <c r="F267">
        <v>4762926.9160000002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-0.27467811158798228</v>
      </c>
      <c r="Q267">
        <f t="shared" si="965"/>
        <v>-1308271.7709184524</v>
      </c>
      <c r="R267">
        <f t="shared" si="966"/>
        <v>-32573277.897791281</v>
      </c>
      <c r="S267">
        <f t="shared" si="967"/>
        <v>-325.7327789779128</v>
      </c>
      <c r="T267">
        <f t="shared" si="968"/>
        <v>-0.32573277897791281</v>
      </c>
    </row>
    <row r="268" spans="1:20" x14ac:dyDescent="0.25">
      <c r="A268" s="5">
        <v>44325</v>
      </c>
      <c r="B268">
        <v>2.4540000000000002</v>
      </c>
      <c r="C268">
        <v>2.63</v>
      </c>
      <c r="D268">
        <v>2.218</v>
      </c>
      <c r="E268">
        <v>2.2570000000000001</v>
      </c>
      <c r="F268">
        <v>5386184.6770000001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-0.81067961165048474</v>
      </c>
      <c r="Q268">
        <f t="shared" si="965"/>
        <v>-4366470.1022281516</v>
      </c>
      <c r="R268">
        <f t="shared" si="966"/>
        <v>-31265006.12687283</v>
      </c>
      <c r="S268">
        <f t="shared" si="967"/>
        <v>-312.65006126872828</v>
      </c>
      <c r="T268">
        <f t="shared" si="968"/>
        <v>-0.3126500612687283</v>
      </c>
    </row>
    <row r="269" spans="1:20" x14ac:dyDescent="0.25">
      <c r="A269" s="5">
        <v>44324</v>
      </c>
      <c r="B269">
        <v>2.2160000000000002</v>
      </c>
      <c r="C269">
        <v>2.59</v>
      </c>
      <c r="D269">
        <v>2.1459999999999999</v>
      </c>
      <c r="E269">
        <v>2.4590000000000001</v>
      </c>
      <c r="F269">
        <v>4629004.4620000003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0.40990990990991083</v>
      </c>
      <c r="Q269">
        <f t="shared" si="965"/>
        <v>1897474.8019909954</v>
      </c>
      <c r="R269">
        <f t="shared" si="966"/>
        <v>-26898536.02464468</v>
      </c>
      <c r="S269">
        <f t="shared" si="967"/>
        <v>-268.98536024644682</v>
      </c>
      <c r="T269">
        <f t="shared" si="968"/>
        <v>-0.26898536024644681</v>
      </c>
    </row>
    <row r="270" spans="1:20" x14ac:dyDescent="0.25">
      <c r="A270" s="5">
        <v>44323</v>
      </c>
      <c r="B270">
        <v>2.2890000000000001</v>
      </c>
      <c r="C270">
        <v>2.3199999999999998</v>
      </c>
      <c r="D270">
        <v>2.145</v>
      </c>
      <c r="E270">
        <v>2.2170000000000001</v>
      </c>
      <c r="F270">
        <v>3356983.105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-0.17714285714285558</v>
      </c>
      <c r="Q270">
        <f t="shared" si="965"/>
        <v>-594665.57859999477</v>
      </c>
      <c r="R270">
        <f t="shared" si="966"/>
        <v>-28796010.826635677</v>
      </c>
      <c r="S270">
        <f t="shared" si="967"/>
        <v>-287.96010826635677</v>
      </c>
      <c r="T270">
        <f t="shared" si="968"/>
        <v>-0.28796010826635676</v>
      </c>
    </row>
    <row r="271" spans="1:20" x14ac:dyDescent="0.25">
      <c r="A271" s="5">
        <v>44322</v>
      </c>
      <c r="B271">
        <v>2.5019999999999998</v>
      </c>
      <c r="C271">
        <v>2.5499999999999998</v>
      </c>
      <c r="D271">
        <v>2.2490000000000001</v>
      </c>
      <c r="E271">
        <v>2.286</v>
      </c>
      <c r="F271">
        <v>3957786.5490000001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-0.75415282392026606</v>
      </c>
      <c r="Q271">
        <f t="shared" si="965"/>
        <v>-2984775.9024019944</v>
      </c>
      <c r="R271">
        <f t="shared" si="966"/>
        <v>-28201345.248035684</v>
      </c>
      <c r="S271">
        <f t="shared" si="967"/>
        <v>-282.01345248035682</v>
      </c>
      <c r="T271">
        <f t="shared" si="968"/>
        <v>-0.28201345248035681</v>
      </c>
    </row>
    <row r="272" spans="1:20" x14ac:dyDescent="0.25">
      <c r="A272" s="5">
        <v>44321</v>
      </c>
      <c r="B272">
        <v>2.2650000000000001</v>
      </c>
      <c r="C272">
        <v>2.6</v>
      </c>
      <c r="D272">
        <v>2.25</v>
      </c>
      <c r="E272">
        <v>2.5049999999999999</v>
      </c>
      <c r="F272">
        <v>4067436.173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0.45714285714285618</v>
      </c>
      <c r="Q272">
        <f t="shared" si="965"/>
        <v>1859399.3933714246</v>
      </c>
      <c r="R272">
        <f t="shared" si="966"/>
        <v>-25216569.345633689</v>
      </c>
      <c r="S272">
        <f t="shared" si="967"/>
        <v>-252.1656934563369</v>
      </c>
      <c r="T272">
        <f t="shared" si="968"/>
        <v>-0.25216569345633688</v>
      </c>
    </row>
    <row r="273" spans="1:20" x14ac:dyDescent="0.25">
      <c r="A273" s="5">
        <v>44320</v>
      </c>
      <c r="B273">
        <v>2.605</v>
      </c>
      <c r="C273">
        <v>2.6589999999999998</v>
      </c>
      <c r="D273">
        <v>2.2000000000000002</v>
      </c>
      <c r="E273">
        <v>2.266</v>
      </c>
      <c r="F273">
        <v>6148273.3710000003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-0.71241830065359524</v>
      </c>
      <c r="Q273">
        <f t="shared" si="965"/>
        <v>-4380142.4669215716</v>
      </c>
      <c r="R273">
        <f t="shared" si="966"/>
        <v>-27075968.739005115</v>
      </c>
      <c r="S273">
        <f t="shared" si="967"/>
        <v>-270.75968739005117</v>
      </c>
      <c r="T273">
        <f t="shared" si="968"/>
        <v>-0.27075968739005118</v>
      </c>
    </row>
    <row r="274" spans="1:20" x14ac:dyDescent="0.25">
      <c r="A274" s="5">
        <v>44319</v>
      </c>
      <c r="B274">
        <v>2.7</v>
      </c>
      <c r="C274">
        <v>3</v>
      </c>
      <c r="D274">
        <v>2.5939999999999999</v>
      </c>
      <c r="E274">
        <v>2.605</v>
      </c>
      <c r="F274">
        <v>5927954.6339999996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-0.9458128078817728</v>
      </c>
      <c r="Q274">
        <f t="shared" si="965"/>
        <v>-5606735.4173793066</v>
      </c>
      <c r="R274">
        <f t="shared" si="966"/>
        <v>-22695826.272083543</v>
      </c>
      <c r="S274">
        <f t="shared" si="967"/>
        <v>-226.95826272083542</v>
      </c>
      <c r="T274">
        <f t="shared" si="968"/>
        <v>-0.22695826272083541</v>
      </c>
    </row>
    <row r="275" spans="1:20" x14ac:dyDescent="0.25">
      <c r="A275" s="5">
        <v>44318</v>
      </c>
      <c r="B275">
        <v>2.573</v>
      </c>
      <c r="C275">
        <v>2.94</v>
      </c>
      <c r="D275">
        <v>2.37</v>
      </c>
      <c r="E275">
        <v>2.7029999999999998</v>
      </c>
      <c r="F275">
        <v>5700460.9170000004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0.16842105263157836</v>
      </c>
      <c r="Q275">
        <f t="shared" si="965"/>
        <v>960077.62812631251</v>
      </c>
      <c r="R275">
        <f t="shared" si="966"/>
        <v>-17089090.854704238</v>
      </c>
      <c r="S275">
        <f t="shared" si="967"/>
        <v>-170.89090854704239</v>
      </c>
      <c r="T275">
        <f t="shared" si="968"/>
        <v>-0.17089090854704239</v>
      </c>
    </row>
    <row r="276" spans="1:20" x14ac:dyDescent="0.25">
      <c r="A276" s="5">
        <v>44317</v>
      </c>
      <c r="B276">
        <v>2.3610000000000002</v>
      </c>
      <c r="C276">
        <v>2.68</v>
      </c>
      <c r="D276">
        <v>2.3370000000000002</v>
      </c>
      <c r="E276">
        <v>2.5720000000000001</v>
      </c>
      <c r="F276">
        <v>5287415.5719999997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0.37026239067055333</v>
      </c>
      <c r="Q276">
        <f t="shared" si="965"/>
        <v>1957731.1301574311</v>
      </c>
      <c r="R276">
        <f t="shared" si="966"/>
        <v>-18049168.482830551</v>
      </c>
      <c r="S276">
        <f t="shared" si="967"/>
        <v>-180.49168482830549</v>
      </c>
      <c r="T276">
        <f t="shared" si="968"/>
        <v>-0.18049168482830549</v>
      </c>
    </row>
    <row r="277" spans="1:20" x14ac:dyDescent="0.25">
      <c r="A277" s="5">
        <v>44316</v>
      </c>
      <c r="B277">
        <v>2.4510000000000001</v>
      </c>
      <c r="C277">
        <v>2.58</v>
      </c>
      <c r="D277">
        <v>2.242</v>
      </c>
      <c r="E277">
        <v>2.3610000000000002</v>
      </c>
      <c r="F277">
        <v>3510361.5819999999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-0.29585798816567938</v>
      </c>
      <c r="Q277">
        <f t="shared" si="965"/>
        <v>-1038568.5153846116</v>
      </c>
      <c r="R277">
        <f t="shared" si="966"/>
        <v>-20006899.61298798</v>
      </c>
      <c r="S277">
        <f t="shared" si="967"/>
        <v>-200.06899612987979</v>
      </c>
      <c r="T277">
        <f t="shared" si="968"/>
        <v>-0.2000689961298798</v>
      </c>
    </row>
    <row r="278" spans="1:20" x14ac:dyDescent="0.25">
      <c r="A278" s="5">
        <v>44315</v>
      </c>
      <c r="B278">
        <v>2.2599999999999998</v>
      </c>
      <c r="C278">
        <v>2.58</v>
      </c>
      <c r="D278">
        <v>2.1619999999999999</v>
      </c>
      <c r="E278">
        <v>2.4510000000000001</v>
      </c>
      <c r="F278">
        <v>10347367.091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0.3827751196172251</v>
      </c>
      <c r="Q278">
        <f t="shared" si="965"/>
        <v>3960714.6759808636</v>
      </c>
      <c r="R278">
        <f t="shared" si="966"/>
        <v>-18968331.09760337</v>
      </c>
      <c r="S278">
        <f t="shared" si="967"/>
        <v>-189.68331097603368</v>
      </c>
      <c r="T278">
        <f t="shared" si="968"/>
        <v>-0.18968331097603369</v>
      </c>
    </row>
    <row r="279" spans="1:20" x14ac:dyDescent="0.25">
      <c r="A279" s="5">
        <v>44314</v>
      </c>
      <c r="B279">
        <v>2.1440000000000001</v>
      </c>
      <c r="C279">
        <v>2.2999999999999998</v>
      </c>
      <c r="D279">
        <v>1.905</v>
      </c>
      <c r="E279">
        <v>2.2690000000000001</v>
      </c>
      <c r="F279">
        <v>5402572.7180000003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0.8430379746835458</v>
      </c>
      <c r="Q279">
        <f t="shared" si="965"/>
        <v>4554573.9622632992</v>
      </c>
      <c r="R279">
        <f t="shared" si="966"/>
        <v>-22929045.773584232</v>
      </c>
      <c r="S279">
        <f t="shared" si="967"/>
        <v>-229.29045773584232</v>
      </c>
      <c r="T279">
        <f t="shared" si="968"/>
        <v>-0.22929045773584233</v>
      </c>
    </row>
    <row r="280" spans="1:20" x14ac:dyDescent="0.25">
      <c r="A280" s="5">
        <v>44313</v>
      </c>
      <c r="B280">
        <v>1.873</v>
      </c>
      <c r="C280">
        <v>2.4670000000000001</v>
      </c>
      <c r="D280">
        <v>1.86</v>
      </c>
      <c r="E280">
        <v>2.1440000000000001</v>
      </c>
      <c r="F280">
        <v>7593452.2949999999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-6.425041186161437E-2</v>
      </c>
      <c r="Q280">
        <f t="shared" si="965"/>
        <v>-487882.43740527087</v>
      </c>
      <c r="R280">
        <f t="shared" si="966"/>
        <v>-27483619.735847533</v>
      </c>
      <c r="S280">
        <f t="shared" si="967"/>
        <v>-274.83619735847532</v>
      </c>
      <c r="T280">
        <f t="shared" si="968"/>
        <v>-0.27483619735847531</v>
      </c>
    </row>
    <row r="281" spans="1:20" x14ac:dyDescent="0.25">
      <c r="A281" s="5">
        <v>44312</v>
      </c>
      <c r="B281">
        <v>1.575</v>
      </c>
      <c r="C281">
        <v>1.95</v>
      </c>
      <c r="D281">
        <v>1.575</v>
      </c>
      <c r="E281">
        <v>1.8779999999999999</v>
      </c>
      <c r="F281">
        <v>3234116.699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0.61599999999999966</v>
      </c>
      <c r="Q281">
        <f t="shared" si="965"/>
        <v>1992215.8865839988</v>
      </c>
      <c r="R281">
        <f t="shared" si="966"/>
        <v>-26995737.298442263</v>
      </c>
      <c r="S281">
        <f t="shared" si="967"/>
        <v>-269.95737298442265</v>
      </c>
      <c r="T281">
        <f t="shared" si="968"/>
        <v>-0.26995737298442263</v>
      </c>
    </row>
    <row r="282" spans="1:20" x14ac:dyDescent="0.25">
      <c r="A282" s="5">
        <v>44311</v>
      </c>
      <c r="B282">
        <v>1.58</v>
      </c>
      <c r="C282">
        <v>1.8560000000000001</v>
      </c>
      <c r="D282">
        <v>1.5</v>
      </c>
      <c r="E282">
        <v>1.575</v>
      </c>
      <c r="F282">
        <v>3563662.0320000001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-0.57865168539325884</v>
      </c>
      <c r="Q282">
        <f t="shared" si="965"/>
        <v>-2062119.0409887657</v>
      </c>
      <c r="R282">
        <f t="shared" si="966"/>
        <v>-28987953.185026262</v>
      </c>
      <c r="S282">
        <f t="shared" si="967"/>
        <v>-289.87953185026259</v>
      </c>
      <c r="T282">
        <f t="shared" si="968"/>
        <v>-0.28987953185026261</v>
      </c>
    </row>
    <row r="283" spans="1:20" x14ac:dyDescent="0.25">
      <c r="A283" s="5">
        <v>44310</v>
      </c>
      <c r="B283">
        <v>1.7470000000000001</v>
      </c>
      <c r="C283">
        <v>1.7529999999999999</v>
      </c>
      <c r="D283">
        <v>1.5189999999999999</v>
      </c>
      <c r="E283">
        <v>1.5760000000000001</v>
      </c>
      <c r="F283">
        <v>2075684.933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-0.51282051282051144</v>
      </c>
      <c r="Q283">
        <f t="shared" si="965"/>
        <v>-1064453.8117948689</v>
      </c>
      <c r="R283">
        <f t="shared" si="966"/>
        <v>-26925834.144037496</v>
      </c>
      <c r="S283">
        <f t="shared" si="967"/>
        <v>-269.25834144037498</v>
      </c>
      <c r="T283">
        <f t="shared" si="968"/>
        <v>-0.26925834144037497</v>
      </c>
    </row>
    <row r="284" spans="1:20" x14ac:dyDescent="0.25">
      <c r="A284" s="5">
        <v>44309</v>
      </c>
      <c r="B284">
        <v>1.92</v>
      </c>
      <c r="C284">
        <v>1.9339999999999999</v>
      </c>
      <c r="D284">
        <v>1.4750000000000001</v>
      </c>
      <c r="E284">
        <v>1.7490000000000001</v>
      </c>
      <c r="F284">
        <v>4067157.9479999999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0.19389978213507672</v>
      </c>
      <c r="Q284">
        <f t="shared" si="965"/>
        <v>788621.04002614564</v>
      </c>
      <c r="R284">
        <f t="shared" si="966"/>
        <v>-25861380.332242627</v>
      </c>
      <c r="S284">
        <f t="shared" si="967"/>
        <v>-258.61380332242629</v>
      </c>
      <c r="T284">
        <f t="shared" si="968"/>
        <v>-0.25861380332242628</v>
      </c>
    </row>
    <row r="285" spans="1:20" x14ac:dyDescent="0.25">
      <c r="A285" s="5">
        <v>44308</v>
      </c>
      <c r="B285">
        <v>2.044</v>
      </c>
      <c r="C285">
        <v>2.2450000000000001</v>
      </c>
      <c r="D285">
        <v>1.8160000000000001</v>
      </c>
      <c r="E285">
        <v>1.92</v>
      </c>
      <c r="F285">
        <v>3365599.3810000001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-0.5151515151515158</v>
      </c>
      <c r="Q285">
        <f t="shared" si="965"/>
        <v>-1733793.6205151537</v>
      </c>
      <c r="R285">
        <f t="shared" si="966"/>
        <v>-26650001.372268774</v>
      </c>
      <c r="S285">
        <f t="shared" si="967"/>
        <v>-266.50001372268775</v>
      </c>
      <c r="T285">
        <f t="shared" si="968"/>
        <v>-0.26650001372268778</v>
      </c>
    </row>
    <row r="286" spans="1:20" x14ac:dyDescent="0.25">
      <c r="A286" s="5">
        <v>44307</v>
      </c>
      <c r="B286">
        <v>2.1179999999999999</v>
      </c>
      <c r="C286">
        <v>2.2090000000000001</v>
      </c>
      <c r="D286">
        <v>1.9339999999999999</v>
      </c>
      <c r="E286">
        <v>2.0419999999999998</v>
      </c>
      <c r="F286">
        <v>2607001.2400000002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-0.21454545454545584</v>
      </c>
      <c r="Q286">
        <f t="shared" si="965"/>
        <v>-559320.26603636704</v>
      </c>
      <c r="R286">
        <f t="shared" si="966"/>
        <v>-24916207.751753621</v>
      </c>
      <c r="S286">
        <f t="shared" si="967"/>
        <v>-249.1620775175362</v>
      </c>
      <c r="T286">
        <f t="shared" si="968"/>
        <v>-0.24916207751753622</v>
      </c>
    </row>
    <row r="287" spans="1:20" x14ac:dyDescent="0.25">
      <c r="A287" s="5">
        <v>44306</v>
      </c>
      <c r="B287">
        <v>2.1459999999999999</v>
      </c>
      <c r="C287">
        <v>2.3090000000000002</v>
      </c>
      <c r="D287">
        <v>1.8939999999999999</v>
      </c>
      <c r="E287">
        <v>2.1150000000000002</v>
      </c>
      <c r="F287">
        <v>3243216.2850000001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6.5060240963856236E-2</v>
      </c>
      <c r="Q287">
        <f t="shared" si="965"/>
        <v>211004.43300000264</v>
      </c>
      <c r="R287">
        <f t="shared" si="966"/>
        <v>-24356887.485717256</v>
      </c>
      <c r="S287">
        <f t="shared" si="967"/>
        <v>-243.56887485717255</v>
      </c>
      <c r="T287">
        <f t="shared" si="968"/>
        <v>-0.24356887485717255</v>
      </c>
    </row>
    <row r="288" spans="1:20" x14ac:dyDescent="0.25">
      <c r="A288" s="5">
        <v>44305</v>
      </c>
      <c r="B288">
        <v>2.36</v>
      </c>
      <c r="C288">
        <v>2.452</v>
      </c>
      <c r="D288">
        <v>2.0910000000000002</v>
      </c>
      <c r="E288">
        <v>2.1459999999999999</v>
      </c>
      <c r="F288">
        <v>2879559.9180000001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-0.69529085872576313</v>
      </c>
      <c r="Q288">
        <f t="shared" si="965"/>
        <v>-2002131.688138508</v>
      </c>
      <c r="R288">
        <f t="shared" si="966"/>
        <v>-24567891.918717258</v>
      </c>
      <c r="S288">
        <f t="shared" si="967"/>
        <v>-245.67891918717257</v>
      </c>
      <c r="T288">
        <f t="shared" si="968"/>
        <v>-0.24567891918717258</v>
      </c>
    </row>
    <row r="289" spans="1:20" x14ac:dyDescent="0.25">
      <c r="A289" s="5">
        <v>44304</v>
      </c>
      <c r="B289">
        <v>2.4790000000000001</v>
      </c>
      <c r="C289">
        <v>2.5070000000000001</v>
      </c>
      <c r="D289">
        <v>2.0030000000000001</v>
      </c>
      <c r="E289">
        <v>2.36</v>
      </c>
      <c r="F289">
        <v>4186605.1239999998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0.41666666666666569</v>
      </c>
      <c r="Q289">
        <f t="shared" si="965"/>
        <v>1744418.8016666626</v>
      </c>
      <c r="R289">
        <f t="shared" si="966"/>
        <v>-22565760.23057875</v>
      </c>
      <c r="S289">
        <f t="shared" si="967"/>
        <v>-225.65760230578749</v>
      </c>
      <c r="T289">
        <f t="shared" si="968"/>
        <v>-0.22565760230578749</v>
      </c>
    </row>
    <row r="290" spans="1:20" x14ac:dyDescent="0.25">
      <c r="A290" s="5">
        <v>44303</v>
      </c>
      <c r="B290">
        <v>2.5619999999999998</v>
      </c>
      <c r="C290">
        <v>2.7280000000000002</v>
      </c>
      <c r="D290">
        <v>2.4510000000000001</v>
      </c>
      <c r="E290">
        <v>2.476</v>
      </c>
      <c r="F290">
        <v>3707847.537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-0.81949458483754589</v>
      </c>
      <c r="Q290">
        <f t="shared" si="965"/>
        <v>-3038560.9779747319</v>
      </c>
      <c r="R290">
        <f t="shared" si="966"/>
        <v>-24310179.032245412</v>
      </c>
      <c r="S290">
        <f t="shared" si="967"/>
        <v>-243.10179032245412</v>
      </c>
      <c r="T290">
        <f t="shared" si="968"/>
        <v>-0.24310179032245413</v>
      </c>
    </row>
    <row r="291" spans="1:20" x14ac:dyDescent="0.25">
      <c r="A291" s="5">
        <v>44302</v>
      </c>
      <c r="B291">
        <v>2.6709999999999998</v>
      </c>
      <c r="C291">
        <v>2.75</v>
      </c>
      <c r="D291">
        <v>2.4009999999999998</v>
      </c>
      <c r="E291">
        <v>2.5619999999999998</v>
      </c>
      <c r="F291">
        <v>3772097.068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-7.7363896848137881E-2</v>
      </c>
      <c r="Q291">
        <f t="shared" si="965"/>
        <v>-291824.12846991536</v>
      </c>
      <c r="R291">
        <f t="shared" si="966"/>
        <v>-21271618.054270681</v>
      </c>
      <c r="S291">
        <f t="shared" si="967"/>
        <v>-212.71618054270681</v>
      </c>
      <c r="T291">
        <f t="shared" si="968"/>
        <v>-0.2127161805427068</v>
      </c>
    </row>
    <row r="292" spans="1:20" x14ac:dyDescent="0.25">
      <c r="A292" s="5">
        <v>44301</v>
      </c>
      <c r="B292">
        <v>2.5950000000000002</v>
      </c>
      <c r="C292">
        <v>2.8450000000000002</v>
      </c>
      <c r="D292">
        <v>2.5249999999999999</v>
      </c>
      <c r="E292">
        <v>2.67</v>
      </c>
      <c r="F292">
        <v>3497363.5269999998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-9.3750000000000694E-2</v>
      </c>
      <c r="Q292">
        <f t="shared" si="965"/>
        <v>-327877.83065625239</v>
      </c>
      <c r="R292">
        <f t="shared" si="966"/>
        <v>-20979793.925800767</v>
      </c>
      <c r="S292">
        <f t="shared" si="967"/>
        <v>-209.79793925800766</v>
      </c>
      <c r="T292">
        <f t="shared" si="968"/>
        <v>-0.20979793925800766</v>
      </c>
    </row>
    <row r="293" spans="1:20" x14ac:dyDescent="0.25">
      <c r="A293" s="5">
        <v>44300</v>
      </c>
      <c r="B293">
        <v>2.6509999999999998</v>
      </c>
      <c r="C293">
        <v>2.899</v>
      </c>
      <c r="D293">
        <v>2.5110000000000001</v>
      </c>
      <c r="E293">
        <v>2.5920000000000001</v>
      </c>
      <c r="F293">
        <v>4850704.1900000004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-0.58247422680412375</v>
      </c>
      <c r="Q293">
        <f t="shared" si="965"/>
        <v>-2825410.1725257738</v>
      </c>
      <c r="R293">
        <f t="shared" si="966"/>
        <v>-20651916.095144514</v>
      </c>
      <c r="S293">
        <f t="shared" si="967"/>
        <v>-206.51916095144514</v>
      </c>
      <c r="T293">
        <f t="shared" si="968"/>
        <v>-0.20651916095144515</v>
      </c>
    </row>
    <row r="294" spans="1:20" x14ac:dyDescent="0.25">
      <c r="A294" s="5">
        <v>44299</v>
      </c>
      <c r="B294">
        <v>2.827</v>
      </c>
      <c r="C294">
        <v>2.851</v>
      </c>
      <c r="D294">
        <v>2.5499999999999998</v>
      </c>
      <c r="E294">
        <v>2.6480000000000001</v>
      </c>
      <c r="F294">
        <v>3405016.6850000001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-0.34883720930232387</v>
      </c>
      <c r="Q294">
        <f t="shared" si="965"/>
        <v>-1187796.5180232499</v>
      </c>
      <c r="R294">
        <f t="shared" si="966"/>
        <v>-17826505.922618739</v>
      </c>
      <c r="S294">
        <f t="shared" si="967"/>
        <v>-178.26505922618739</v>
      </c>
      <c r="T294">
        <f t="shared" si="968"/>
        <v>-0.17826505922618738</v>
      </c>
    </row>
    <row r="295" spans="1:20" x14ac:dyDescent="0.25">
      <c r="A295" s="5">
        <v>44298</v>
      </c>
      <c r="B295">
        <v>2.9750000000000001</v>
      </c>
      <c r="C295">
        <v>3.09</v>
      </c>
      <c r="D295">
        <v>2.7669999999999999</v>
      </c>
      <c r="E295">
        <v>2.827</v>
      </c>
      <c r="F295">
        <v>3908190.97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-0.62848297213622251</v>
      </c>
      <c r="Q295">
        <f t="shared" si="965"/>
        <v>-2456231.4765015463</v>
      </c>
      <c r="R295">
        <f t="shared" si="966"/>
        <v>-16638709.404595491</v>
      </c>
      <c r="S295">
        <f t="shared" si="967"/>
        <v>-166.38709404595491</v>
      </c>
      <c r="T295">
        <f t="shared" si="968"/>
        <v>-0.16638709404595492</v>
      </c>
    </row>
    <row r="296" spans="1:20" x14ac:dyDescent="0.25">
      <c r="A296" s="5">
        <v>44297</v>
      </c>
      <c r="B296">
        <v>3.0209999999999999</v>
      </c>
      <c r="C296">
        <v>3.6440000000000001</v>
      </c>
      <c r="D296">
        <v>2.8690000000000002</v>
      </c>
      <c r="E296">
        <v>2.9729999999999999</v>
      </c>
      <c r="F296">
        <v>17011724.261999998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-0.7316129032258073</v>
      </c>
      <c r="Q296">
        <f t="shared" si="965"/>
        <v>-12445996.976198724</v>
      </c>
      <c r="R296">
        <f t="shared" si="966"/>
        <v>-14182477.928093944</v>
      </c>
      <c r="S296">
        <f t="shared" si="967"/>
        <v>-141.82477928093942</v>
      </c>
      <c r="T296">
        <f t="shared" si="968"/>
        <v>-0.14182477928093942</v>
      </c>
    </row>
    <row r="297" spans="1:20" x14ac:dyDescent="0.25">
      <c r="A297" s="5">
        <v>44296</v>
      </c>
      <c r="B297">
        <v>2.6829999999999998</v>
      </c>
      <c r="C297">
        <v>3.1850000000000001</v>
      </c>
      <c r="D297">
        <v>2.4780000000000002</v>
      </c>
      <c r="E297">
        <v>3.024</v>
      </c>
      <c r="F297">
        <v>10411375.018999999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0.54455445544554437</v>
      </c>
      <c r="Q297">
        <f t="shared" si="965"/>
        <v>5669560.6539108893</v>
      </c>
      <c r="R297">
        <f t="shared" si="966"/>
        <v>-1736480.9518952193</v>
      </c>
      <c r="S297">
        <f t="shared" si="967"/>
        <v>-17.364809518952192</v>
      </c>
      <c r="T297">
        <f t="shared" si="968"/>
        <v>-1.7364809518952192E-2</v>
      </c>
    </row>
    <row r="298" spans="1:20" x14ac:dyDescent="0.25">
      <c r="A298" s="5">
        <v>44295</v>
      </c>
      <c r="B298">
        <v>2.7639999999999998</v>
      </c>
      <c r="C298">
        <v>2.8479999999999999</v>
      </c>
      <c r="D298">
        <v>2.617</v>
      </c>
      <c r="E298">
        <v>2.6850000000000001</v>
      </c>
      <c r="F298">
        <v>4526905.6969999997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-0.41125541125541043</v>
      </c>
      <c r="Q298">
        <f t="shared" si="965"/>
        <v>-1861714.4641341954</v>
      </c>
      <c r="R298">
        <f t="shared" si="966"/>
        <v>-7406041.6058061086</v>
      </c>
      <c r="S298">
        <f t="shared" si="967"/>
        <v>-74.06041605806108</v>
      </c>
      <c r="T298">
        <f t="shared" si="968"/>
        <v>-7.4060416058061074E-2</v>
      </c>
    </row>
    <row r="299" spans="1:20" x14ac:dyDescent="0.25">
      <c r="A299" s="5">
        <v>44294</v>
      </c>
      <c r="B299">
        <v>2.4319999999999999</v>
      </c>
      <c r="C299">
        <v>3.1930000000000001</v>
      </c>
      <c r="D299">
        <v>2.3919999999999999</v>
      </c>
      <c r="E299">
        <v>2.7650000000000001</v>
      </c>
      <c r="F299">
        <v>10298248.229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-6.866416978776492E-2</v>
      </c>
      <c r="Q299">
        <f t="shared" si="965"/>
        <v>-707120.66491260543</v>
      </c>
      <c r="R299">
        <f t="shared" si="966"/>
        <v>-5544327.1416719127</v>
      </c>
      <c r="S299">
        <f t="shared" si="967"/>
        <v>-55.443271416719128</v>
      </c>
      <c r="T299">
        <f t="shared" si="968"/>
        <v>-5.5443271416719127E-2</v>
      </c>
    </row>
    <row r="300" spans="1:20" x14ac:dyDescent="0.25">
      <c r="A300" s="5">
        <v>44293</v>
      </c>
      <c r="B300">
        <v>2.5510000000000002</v>
      </c>
      <c r="C300">
        <v>2.6</v>
      </c>
      <c r="D300">
        <v>2.1</v>
      </c>
      <c r="E300">
        <v>2.4340000000000002</v>
      </c>
      <c r="F300">
        <v>7545940.068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0.3360000000000003</v>
      </c>
      <c r="Q300">
        <f t="shared" si="965"/>
        <v>2535435.8628480025</v>
      </c>
      <c r="R300">
        <f t="shared" si="966"/>
        <v>-4837206.4767593071</v>
      </c>
      <c r="S300">
        <f t="shared" si="967"/>
        <v>-48.372064767593073</v>
      </c>
      <c r="T300">
        <f t="shared" si="968"/>
        <v>-4.8372064767593072E-2</v>
      </c>
    </row>
    <row r="301" spans="1:20" x14ac:dyDescent="0.25">
      <c r="A301" s="5">
        <v>44292</v>
      </c>
      <c r="B301">
        <v>2.7930000000000001</v>
      </c>
      <c r="C301">
        <v>2.9049999999999998</v>
      </c>
      <c r="D301">
        <v>2.37</v>
      </c>
      <c r="E301">
        <v>2.5510000000000002</v>
      </c>
      <c r="F301">
        <v>6363507.5860000001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-0.32336448598130785</v>
      </c>
      <c r="Q301">
        <f t="shared" si="965"/>
        <v>-2057732.3595850433</v>
      </c>
      <c r="R301">
        <f t="shared" si="966"/>
        <v>-7372642.3396073096</v>
      </c>
      <c r="S301">
        <f t="shared" si="967"/>
        <v>-73.726423396073102</v>
      </c>
      <c r="T301">
        <f t="shared" si="968"/>
        <v>-7.3726423396073104E-2</v>
      </c>
    </row>
    <row r="302" spans="1:20" x14ac:dyDescent="0.25">
      <c r="A302" s="5">
        <v>44291</v>
      </c>
      <c r="B302">
        <v>3.12</v>
      </c>
      <c r="C302">
        <v>3.18</v>
      </c>
      <c r="D302">
        <v>2.702</v>
      </c>
      <c r="E302">
        <v>2.7930000000000001</v>
      </c>
      <c r="F302">
        <v>6098745.2230000002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-0.61924686192468559</v>
      </c>
      <c r="Q302">
        <f t="shared" si="965"/>
        <v>-3776628.8410209171</v>
      </c>
      <c r="R302">
        <f t="shared" si="966"/>
        <v>-5314909.9800222665</v>
      </c>
      <c r="S302">
        <f t="shared" si="967"/>
        <v>-53.149099800222665</v>
      </c>
      <c r="T302">
        <f t="shared" si="968"/>
        <v>-5.3149099800222664E-2</v>
      </c>
    </row>
    <row r="303" spans="1:20" x14ac:dyDescent="0.25">
      <c r="A303" s="5">
        <v>44290</v>
      </c>
      <c r="B303">
        <v>2.7250000000000001</v>
      </c>
      <c r="C303">
        <v>3.35</v>
      </c>
      <c r="D303">
        <v>2.65</v>
      </c>
      <c r="E303">
        <v>3.1190000000000002</v>
      </c>
      <c r="F303">
        <v>9193510.3509999998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0.34000000000000052</v>
      </c>
      <c r="Q303">
        <f t="shared" si="965"/>
        <v>3125793.5193400048</v>
      </c>
      <c r="R303">
        <f t="shared" si="966"/>
        <v>-1538281.139001349</v>
      </c>
      <c r="S303">
        <f t="shared" si="967"/>
        <v>-15.38281139001349</v>
      </c>
      <c r="T303">
        <f t="shared" si="968"/>
        <v>-1.538281139001349E-2</v>
      </c>
    </row>
    <row r="304" spans="1:20" x14ac:dyDescent="0.25">
      <c r="A304" s="5">
        <v>44289</v>
      </c>
      <c r="B304">
        <v>3.1520000000000001</v>
      </c>
      <c r="C304">
        <v>3.2589999999999999</v>
      </c>
      <c r="D304">
        <v>2.6989999999999998</v>
      </c>
      <c r="E304">
        <v>2.7250000000000001</v>
      </c>
      <c r="F304">
        <v>7015137.9179999996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-0.90714285714285625</v>
      </c>
      <c r="Q304">
        <f t="shared" si="965"/>
        <v>-6363732.2541857073</v>
      </c>
      <c r="R304">
        <f t="shared" si="966"/>
        <v>-4664074.6583413538</v>
      </c>
      <c r="S304">
        <f t="shared" si="967"/>
        <v>-46.640746583413538</v>
      </c>
      <c r="T304">
        <f t="shared" si="968"/>
        <v>-4.6640746583413537E-2</v>
      </c>
    </row>
    <row r="305" spans="1:20" x14ac:dyDescent="0.25">
      <c r="A305" s="5">
        <v>44288</v>
      </c>
      <c r="B305">
        <v>3.2890000000000001</v>
      </c>
      <c r="C305">
        <v>3.4</v>
      </c>
      <c r="D305">
        <v>2.9350000000000001</v>
      </c>
      <c r="E305">
        <v>3.1520000000000001</v>
      </c>
      <c r="F305">
        <v>9577879.9279999994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-6.6666666666666027E-2</v>
      </c>
      <c r="Q305">
        <f t="shared" si="965"/>
        <v>-638525.32853332721</v>
      </c>
      <c r="R305">
        <f t="shared" si="966"/>
        <v>1699657.5958443535</v>
      </c>
      <c r="S305">
        <f t="shared" si="967"/>
        <v>16.996575958443536</v>
      </c>
      <c r="T305">
        <f t="shared" si="968"/>
        <v>1.6996575958443536E-2</v>
      </c>
    </row>
    <row r="306" spans="1:20" x14ac:dyDescent="0.25">
      <c r="A306" s="5">
        <v>44287</v>
      </c>
      <c r="B306">
        <v>3.504</v>
      </c>
      <c r="C306">
        <v>3.9089999999999998</v>
      </c>
      <c r="D306">
        <v>3.2170000000000001</v>
      </c>
      <c r="E306">
        <v>3.2879999999999998</v>
      </c>
      <c r="F306">
        <v>10115318.903000001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-0.79479768786127236</v>
      </c>
      <c r="Q306">
        <f t="shared" si="965"/>
        <v>-8039632.0760838231</v>
      </c>
      <c r="R306">
        <f t="shared" si="966"/>
        <v>2338182.9243776808</v>
      </c>
      <c r="S306">
        <f t="shared" si="967"/>
        <v>23.381829243776806</v>
      </c>
      <c r="T306">
        <f t="shared" si="968"/>
        <v>2.3381829243776808E-2</v>
      </c>
    </row>
    <row r="307" spans="1:20" x14ac:dyDescent="0.25">
      <c r="A307" s="5">
        <v>44286</v>
      </c>
      <c r="B307">
        <v>4.2030000000000003</v>
      </c>
      <c r="C307">
        <v>4.7699999999999996</v>
      </c>
      <c r="D307">
        <v>3.456</v>
      </c>
      <c r="E307">
        <v>3.5030000000000001</v>
      </c>
      <c r="F307">
        <v>13489609.414999999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-0.92846270928462682</v>
      </c>
      <c r="Q307">
        <f t="shared" si="965"/>
        <v>-12524599.304642309</v>
      </c>
      <c r="R307">
        <f t="shared" si="966"/>
        <v>10377815.000461504</v>
      </c>
      <c r="S307">
        <f t="shared" si="967"/>
        <v>103.77815000461504</v>
      </c>
      <c r="T307">
        <f t="shared" si="968"/>
        <v>0.10377815000461504</v>
      </c>
    </row>
    <row r="308" spans="1:20" x14ac:dyDescent="0.25">
      <c r="A308" s="5">
        <v>44285</v>
      </c>
      <c r="B308">
        <v>3.69</v>
      </c>
      <c r="C308">
        <v>4.399</v>
      </c>
      <c r="D308">
        <v>3.63</v>
      </c>
      <c r="E308">
        <v>4.2069999999999999</v>
      </c>
      <c r="F308">
        <v>13884002.124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0.50065019505851716</v>
      </c>
      <c r="Q308">
        <f t="shared" si="965"/>
        <v>6951028.3715734668</v>
      </c>
      <c r="R308">
        <f t="shared" si="966"/>
        <v>22902414.305103812</v>
      </c>
      <c r="S308">
        <f t="shared" si="967"/>
        <v>229.02414305103812</v>
      </c>
      <c r="T308">
        <f t="shared" si="968"/>
        <v>0.22902414305103813</v>
      </c>
    </row>
    <row r="309" spans="1:20" x14ac:dyDescent="0.25">
      <c r="A309" s="5">
        <v>44284</v>
      </c>
      <c r="B309">
        <v>3.3420000000000001</v>
      </c>
      <c r="C309">
        <v>3.7</v>
      </c>
      <c r="D309">
        <v>3.2250000000000001</v>
      </c>
      <c r="E309">
        <v>3.6890000000000001</v>
      </c>
      <c r="F309">
        <v>6746125.6629999997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0.95368421052631525</v>
      </c>
      <c r="Q309">
        <f t="shared" si="965"/>
        <v>6433673.5270294696</v>
      </c>
      <c r="R309">
        <f t="shared" si="966"/>
        <v>15951385.933530346</v>
      </c>
      <c r="S309">
        <f t="shared" si="967"/>
        <v>159.51385933530347</v>
      </c>
      <c r="T309">
        <f t="shared" si="968"/>
        <v>0.15951385933530346</v>
      </c>
    </row>
    <row r="310" spans="1:20" x14ac:dyDescent="0.25">
      <c r="A310" s="5">
        <v>44283</v>
      </c>
      <c r="B310">
        <v>3.4510000000000001</v>
      </c>
      <c r="C310">
        <v>3.6</v>
      </c>
      <c r="D310">
        <v>3.141</v>
      </c>
      <c r="E310">
        <v>3.3420000000000001</v>
      </c>
      <c r="F310">
        <v>9137645.023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-0.12418300653594756</v>
      </c>
      <c r="Q310">
        <f t="shared" si="965"/>
        <v>-1134740.2316143778</v>
      </c>
      <c r="R310">
        <f t="shared" si="966"/>
        <v>9517712.4065008759</v>
      </c>
      <c r="S310">
        <f t="shared" si="967"/>
        <v>95.177124065008755</v>
      </c>
      <c r="T310">
        <f t="shared" si="968"/>
        <v>9.517712406500875E-2</v>
      </c>
    </row>
    <row r="311" spans="1:20" x14ac:dyDescent="0.25">
      <c r="A311" s="5">
        <v>44282</v>
      </c>
      <c r="B311">
        <v>3.1070000000000002</v>
      </c>
      <c r="C311">
        <v>3.8879999999999999</v>
      </c>
      <c r="D311">
        <v>3.0939999999999999</v>
      </c>
      <c r="E311">
        <v>3.4470000000000001</v>
      </c>
      <c r="F311">
        <v>18654434.184999999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-0.11083123425692648</v>
      </c>
      <c r="Q311">
        <f t="shared" si="965"/>
        <v>-2067493.9650881523</v>
      </c>
      <c r="R311">
        <f t="shared" si="966"/>
        <v>10652452.638115253</v>
      </c>
      <c r="S311">
        <f t="shared" si="967"/>
        <v>106.52452638115253</v>
      </c>
      <c r="T311">
        <f t="shared" si="968"/>
        <v>0.10652452638115252</v>
      </c>
    </row>
    <row r="312" spans="1:20" x14ac:dyDescent="0.25">
      <c r="A312" s="5">
        <v>44281</v>
      </c>
      <c r="B312">
        <v>2.7189999999999999</v>
      </c>
      <c r="C312">
        <v>3.55</v>
      </c>
      <c r="D312">
        <v>2.4390000000000001</v>
      </c>
      <c r="E312">
        <v>3.113</v>
      </c>
      <c r="F312">
        <v>25673635.493999999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0.21332133213321344</v>
      </c>
      <c r="Q312">
        <f t="shared" si="965"/>
        <v>5476734.1242826311</v>
      </c>
      <c r="R312">
        <f t="shared" si="966"/>
        <v>12719946.603203405</v>
      </c>
      <c r="S312">
        <f t="shared" si="967"/>
        <v>127.19946603203405</v>
      </c>
      <c r="T312">
        <f t="shared" si="968"/>
        <v>0.12719946603203405</v>
      </c>
    </row>
    <row r="313" spans="1:20" x14ac:dyDescent="0.25">
      <c r="A313" s="5">
        <v>44280</v>
      </c>
      <c r="B313">
        <v>2.71</v>
      </c>
      <c r="C313">
        <v>3.19</v>
      </c>
      <c r="D313">
        <v>1.9279999999999999</v>
      </c>
      <c r="E313">
        <v>2.7280000000000002</v>
      </c>
      <c r="F313">
        <v>27044183.870999999</v>
      </c>
      <c r="G313">
        <v>0</v>
      </c>
      <c r="P313">
        <f t="shared" si="964"/>
        <v>0.2678288431061811</v>
      </c>
      <c r="Q313">
        <f t="shared" si="965"/>
        <v>7243212.4789207727</v>
      </c>
      <c r="R313">
        <f t="shared" si="966"/>
        <v>7243212.4789207727</v>
      </c>
      <c r="S313">
        <f t="shared" si="967"/>
        <v>72.432124789207734</v>
      </c>
      <c r="T313">
        <f t="shared" si="968"/>
        <v>7.2432124789207727E-2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B608" sqref="GB60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$A$607</v>
      </c>
      <c r="D111" s="1" t="str">
        <f>ADDRESS(C121-1,D121,1,1)</f>
        <v>$GB$607</v>
      </c>
      <c r="E111"/>
    </row>
    <row r="112" spans="1:5" x14ac:dyDescent="0.25">
      <c r="A112" s="7">
        <v>12164.144957890772</v>
      </c>
      <c r="C112" s="1" t="str">
        <f>ADDRESS(C121,1,1,1)</f>
        <v>$A$608</v>
      </c>
      <c r="D112" s="1" t="str">
        <f>ADDRESS(C121,D121-1,1,1)</f>
        <v>$GA$608</v>
      </c>
      <c r="E112"/>
    </row>
    <row r="113" spans="1:5" x14ac:dyDescent="0.25">
      <c r="A113" s="7">
        <v>11925.63231165762</v>
      </c>
      <c r="C113" s="1" t="str">
        <f>ADDRESS(C121+1,1,1,1)</f>
        <v>$A$609</v>
      </c>
      <c r="D113" s="1" t="str">
        <f>ADDRESS(C121-1,D121+1,1,1)</f>
        <v>$GC$607</v>
      </c>
    </row>
    <row r="114" spans="1:5" x14ac:dyDescent="0.25">
      <c r="A114" s="7">
        <v>11691.796383978059</v>
      </c>
      <c r="C114" s="1" t="str">
        <f>ADDRESS(C121,D121,1,1)</f>
        <v>$GB$608</v>
      </c>
      <c r="D114" s="1" t="str">
        <f>ADDRESS(C121+1,D121+1,1,1)</f>
        <v>$GC$609</v>
      </c>
    </row>
    <row r="115" spans="1:5" x14ac:dyDescent="0.25">
      <c r="A115" s="7">
        <v>11462.545474488292</v>
      </c>
      <c r="C115" s="1" t="str">
        <f>ADDRESS(C121+1,D121,1,1)</f>
        <v>$GB$609</v>
      </c>
    </row>
    <row r="116" spans="1:5" x14ac:dyDescent="0.25">
      <c r="A116" s="7">
        <v>11237.789680870874</v>
      </c>
      <c r="C116" s="1">
        <f>C117-1</f>
        <v>607</v>
      </c>
    </row>
    <row r="117" spans="1:5" x14ac:dyDescent="0.25">
      <c r="A117" s="7">
        <v>11017.440863598895</v>
      </c>
      <c r="C117" s="1">
        <f>C121</f>
        <v>608</v>
      </c>
      <c r="D117" s="1">
        <f>D121</f>
        <v>184</v>
      </c>
    </row>
    <row r="118" spans="1:5" x14ac:dyDescent="0.25">
      <c r="A118" s="7">
        <v>10801.412611371465</v>
      </c>
      <c r="C118" s="1">
        <f>C117+1</f>
        <v>609</v>
      </c>
      <c r="D118" s="1">
        <f>D117+1</f>
        <v>185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608</v>
      </c>
      <c r="D121" s="19">
        <v>184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R608</v>
      </c>
      <c r="D123" s="1" t="str">
        <f>"C"&amp;D121</f>
        <v>C184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0.65977581677260566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8" x14ac:dyDescent="0.25">
      <c r="A497" s="7">
        <v>5.9431331263054545</v>
      </c>
      <c r="B497"/>
      <c r="C497"/>
      <c r="D497"/>
      <c r="E497"/>
    </row>
    <row r="498" spans="1:8" x14ac:dyDescent="0.25">
      <c r="A498" s="7">
        <v>5.8266011042210337</v>
      </c>
      <c r="B498"/>
      <c r="C498"/>
      <c r="D498"/>
      <c r="E498"/>
    </row>
    <row r="499" spans="1:8" x14ac:dyDescent="0.25">
      <c r="A499" s="7">
        <v>5.7123540237461112</v>
      </c>
      <c r="B499"/>
      <c r="C499"/>
      <c r="D499"/>
      <c r="E499"/>
    </row>
    <row r="500" spans="1:8" x14ac:dyDescent="0.25">
      <c r="A500" s="7">
        <v>5.6003470821040304</v>
      </c>
      <c r="B500"/>
      <c r="C500"/>
      <c r="D500"/>
      <c r="E500"/>
    </row>
    <row r="501" spans="1:8" x14ac:dyDescent="0.25">
      <c r="A501" s="7">
        <v>5.4905363550039512</v>
      </c>
      <c r="B501"/>
      <c r="C501"/>
      <c r="D501"/>
      <c r="E501"/>
    </row>
    <row r="502" spans="1:8" x14ac:dyDescent="0.25">
      <c r="A502" s="7">
        <v>5.3828787794156385</v>
      </c>
      <c r="B502"/>
      <c r="C502"/>
      <c r="D502"/>
      <c r="E502"/>
    </row>
    <row r="503" spans="1:8" x14ac:dyDescent="0.25">
      <c r="A503" s="7">
        <v>5.2773321366819985</v>
      </c>
      <c r="B503"/>
      <c r="C503"/>
      <c r="D503"/>
      <c r="E503"/>
    </row>
    <row r="504" spans="1:8" x14ac:dyDescent="0.25">
      <c r="A504" s="7">
        <v>5.1738550359627435</v>
      </c>
      <c r="B504"/>
      <c r="C504"/>
      <c r="D504"/>
      <c r="E504"/>
    </row>
    <row r="505" spans="1:8" x14ac:dyDescent="0.25">
      <c r="A505" s="7">
        <v>5.07240689800269</v>
      </c>
      <c r="B505"/>
      <c r="C505"/>
      <c r="D505"/>
      <c r="E505"/>
    </row>
    <row r="506" spans="1:8" x14ac:dyDescent="0.25">
      <c r="A506" s="7">
        <v>4.9729479392183231</v>
      </c>
      <c r="B506"/>
      <c r="C506"/>
      <c r="D506"/>
      <c r="E506"/>
    </row>
    <row r="507" spans="1:8" x14ac:dyDescent="0.25">
      <c r="A507" s="7">
        <v>4.8754391560963954</v>
      </c>
      <c r="B507"/>
      <c r="C507"/>
      <c r="D507"/>
      <c r="E507"/>
    </row>
    <row r="508" spans="1:8" x14ac:dyDescent="0.25">
      <c r="A508" s="7">
        <v>4.7798423098984264</v>
      </c>
      <c r="B508"/>
      <c r="C508"/>
      <c r="D508"/>
      <c r="E508"/>
    </row>
    <row r="509" spans="1:8" x14ac:dyDescent="0.25">
      <c r="A509" s="7">
        <v>4.6861199116651235</v>
      </c>
      <c r="B509"/>
      <c r="C509"/>
      <c r="D509"/>
      <c r="E509"/>
      <c r="G509" s="27" t="s">
        <v>8</v>
      </c>
    </row>
    <row r="510" spans="1:8" x14ac:dyDescent="0.25">
      <c r="A510" s="7">
        <v>4.5942352075148269</v>
      </c>
      <c r="B510"/>
      <c r="C510"/>
      <c r="D510"/>
      <c r="E510"/>
      <c r="G510" s="27" t="s">
        <v>8</v>
      </c>
      <c r="H510" s="27" t="s">
        <v>7</v>
      </c>
    </row>
    <row r="511" spans="1:8" x14ac:dyDescent="0.25">
      <c r="A511" s="7">
        <v>4.5041521642302227</v>
      </c>
      <c r="B511"/>
      <c r="C511"/>
      <c r="D511"/>
      <c r="E511"/>
      <c r="G511" s="27" t="s">
        <v>8</v>
      </c>
      <c r="H511" s="27" t="s">
        <v>7</v>
      </c>
    </row>
    <row r="512" spans="1:8" x14ac:dyDescent="0.25">
      <c r="A512" s="7">
        <v>4.4158354551276693</v>
      </c>
      <c r="B512"/>
      <c r="C512"/>
      <c r="D512"/>
      <c r="E512"/>
      <c r="G512" s="27" t="s">
        <v>8</v>
      </c>
      <c r="H512" s="27" t="s">
        <v>7</v>
      </c>
    </row>
    <row r="513" spans="1:14" x14ac:dyDescent="0.25">
      <c r="A513" s="7">
        <v>4.3292504462035977</v>
      </c>
      <c r="B513"/>
      <c r="C513"/>
      <c r="D513"/>
      <c r="E513"/>
      <c r="G513" s="27" t="s">
        <v>8</v>
      </c>
      <c r="H513" s="27" t="s">
        <v>7</v>
      </c>
    </row>
    <row r="514" spans="1:14" x14ac:dyDescent="0.25">
      <c r="A514" s="7">
        <v>4.2443631825525463</v>
      </c>
      <c r="B514"/>
      <c r="C514"/>
      <c r="D514"/>
      <c r="E514"/>
      <c r="G514" s="27" t="s">
        <v>8</v>
      </c>
      <c r="H514" s="27" t="s">
        <v>7</v>
      </c>
    </row>
    <row r="515" spans="1:14" x14ac:dyDescent="0.25">
      <c r="A515" s="7">
        <v>4.1611403750515157</v>
      </c>
      <c r="B515"/>
      <c r="C515"/>
      <c r="D515"/>
      <c r="E515"/>
      <c r="G515" s="27" t="s">
        <v>8</v>
      </c>
      <c r="H515" s="27" t="s">
        <v>7</v>
      </c>
    </row>
    <row r="516" spans="1:14" x14ac:dyDescent="0.25">
      <c r="A516" s="7">
        <v>4.0795493873054074</v>
      </c>
      <c r="B516"/>
      <c r="C516"/>
      <c r="D516"/>
      <c r="E516"/>
      <c r="G516" s="27" t="s">
        <v>8</v>
      </c>
      <c r="H516" s="27" t="s">
        <v>7</v>
      </c>
    </row>
    <row r="517" spans="1:14" x14ac:dyDescent="0.25">
      <c r="A517" s="7">
        <v>3.9995582228484383</v>
      </c>
      <c r="B517"/>
      <c r="C517"/>
      <c r="D517"/>
      <c r="E517"/>
      <c r="G517" s="27" t="s">
        <v>8</v>
      </c>
      <c r="H517" s="27" t="s">
        <v>7</v>
      </c>
    </row>
    <row r="518" spans="1:14" x14ac:dyDescent="0.25">
      <c r="A518" s="7">
        <v>3.9211355125965079</v>
      </c>
      <c r="B518"/>
      <c r="C518"/>
      <c r="D518"/>
      <c r="E518"/>
      <c r="G518" s="27" t="s">
        <v>8</v>
      </c>
      <c r="H518" s="27" t="s">
        <v>7</v>
      </c>
    </row>
    <row r="519" spans="1:14" x14ac:dyDescent="0.25">
      <c r="A519" s="7">
        <v>3.844250502545596</v>
      </c>
      <c r="B519"/>
      <c r="C519"/>
      <c r="D519"/>
      <c r="E519" t="s">
        <v>8</v>
      </c>
      <c r="G519" s="27" t="s">
        <v>8</v>
      </c>
      <c r="H519" s="27" t="s">
        <v>7</v>
      </c>
    </row>
    <row r="520" spans="1:14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</row>
    <row r="521" spans="1:14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</row>
    <row r="522" spans="1:14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H522" s="27" t="s">
        <v>7</v>
      </c>
      <c r="M522" s="27" t="s">
        <v>8</v>
      </c>
    </row>
    <row r="523" spans="1:14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H523" s="27" t="s">
        <v>7</v>
      </c>
      <c r="M523" s="27" t="s">
        <v>8</v>
      </c>
      <c r="N523" s="27" t="s">
        <v>7</v>
      </c>
    </row>
    <row r="524" spans="1:14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H524" s="27" t="s">
        <v>7</v>
      </c>
      <c r="M524" s="27" t="s">
        <v>8</v>
      </c>
      <c r="N524" s="27" t="s">
        <v>7</v>
      </c>
    </row>
    <row r="525" spans="1:14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M525" s="27" t="s">
        <v>8</v>
      </c>
      <c r="N525" s="27" t="s">
        <v>7</v>
      </c>
    </row>
    <row r="526" spans="1:14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M526" s="27" t="s">
        <v>8</v>
      </c>
      <c r="N526" s="27" t="s">
        <v>7</v>
      </c>
    </row>
    <row r="527" spans="1:14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M527" s="27" t="s">
        <v>8</v>
      </c>
      <c r="N527" s="27" t="s">
        <v>7</v>
      </c>
    </row>
    <row r="528" spans="1:14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M528" s="27" t="s">
        <v>8</v>
      </c>
      <c r="N528" s="27" t="s">
        <v>7</v>
      </c>
    </row>
    <row r="529" spans="1:32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H529" s="27" t="s">
        <v>7</v>
      </c>
      <c r="I529" s="27" t="s">
        <v>8</v>
      </c>
      <c r="K529" s="27" t="s">
        <v>8</v>
      </c>
      <c r="M529" s="27" t="s">
        <v>8</v>
      </c>
      <c r="N529" s="27" t="s">
        <v>7</v>
      </c>
    </row>
    <row r="530" spans="1:32" x14ac:dyDescent="0.25">
      <c r="A530" s="7">
        <v>3.0917885922132262</v>
      </c>
      <c r="B530"/>
      <c r="C530"/>
      <c r="D530"/>
      <c r="E530" t="s">
        <v>8</v>
      </c>
      <c r="H530" s="27" t="s">
        <v>7</v>
      </c>
      <c r="I530" s="27" t="s">
        <v>8</v>
      </c>
      <c r="J530" s="27" t="s">
        <v>7</v>
      </c>
      <c r="K530" s="27" t="s">
        <v>8</v>
      </c>
      <c r="L530" s="27" t="s">
        <v>7</v>
      </c>
      <c r="M530" s="27" t="s">
        <v>8</v>
      </c>
      <c r="N530" s="27" t="s">
        <v>7</v>
      </c>
    </row>
    <row r="531" spans="1:32" x14ac:dyDescent="0.25">
      <c r="A531" s="7">
        <v>3.0311652864835552</v>
      </c>
      <c r="B531"/>
      <c r="C531"/>
      <c r="D531"/>
      <c r="E531" t="s">
        <v>8</v>
      </c>
      <c r="H531" s="27" t="s">
        <v>7</v>
      </c>
      <c r="I531" s="27" t="s">
        <v>8</v>
      </c>
      <c r="J531" s="27" t="s">
        <v>7</v>
      </c>
      <c r="K531" s="27" t="s">
        <v>8</v>
      </c>
      <c r="L531" s="27" t="s">
        <v>7</v>
      </c>
      <c r="M531" s="27" t="s">
        <v>8</v>
      </c>
      <c r="N531" s="27" t="s">
        <v>7</v>
      </c>
    </row>
    <row r="532" spans="1:32" x14ac:dyDescent="0.25">
      <c r="A532" s="7">
        <v>2.9717306730230932</v>
      </c>
      <c r="B532"/>
      <c r="C532"/>
      <c r="D532"/>
      <c r="E532" t="s">
        <v>8</v>
      </c>
      <c r="H532" s="27" t="s">
        <v>7</v>
      </c>
      <c r="I532" s="27" t="s">
        <v>8</v>
      </c>
      <c r="J532" s="27" t="s">
        <v>7</v>
      </c>
      <c r="K532" s="27" t="s">
        <v>8</v>
      </c>
      <c r="L532" s="27" t="s">
        <v>7</v>
      </c>
      <c r="M532" s="27" t="s">
        <v>8</v>
      </c>
      <c r="N532" s="27" t="s">
        <v>7</v>
      </c>
      <c r="AA532" s="27" t="s">
        <v>8</v>
      </c>
    </row>
    <row r="533" spans="1:32" x14ac:dyDescent="0.25">
      <c r="A533" s="7">
        <v>2.9134614441402875</v>
      </c>
      <c r="B533"/>
      <c r="C533"/>
      <c r="D533"/>
      <c r="E533" t="s">
        <v>8</v>
      </c>
      <c r="H533" s="27" t="s">
        <v>7</v>
      </c>
      <c r="I533" s="27" t="s">
        <v>8</v>
      </c>
      <c r="J533" s="27" t="s">
        <v>7</v>
      </c>
      <c r="K533" s="27" t="s">
        <v>8</v>
      </c>
      <c r="L533" s="27" t="s">
        <v>7</v>
      </c>
      <c r="M533" s="27" t="s">
        <v>8</v>
      </c>
      <c r="N533" s="27" t="s">
        <v>7</v>
      </c>
      <c r="AA533" s="27" t="s">
        <v>8</v>
      </c>
      <c r="AB533" s="27" t="s">
        <v>7</v>
      </c>
    </row>
    <row r="534" spans="1:32" x14ac:dyDescent="0.25">
      <c r="A534" s="7">
        <v>2.8563347491571447</v>
      </c>
      <c r="B534"/>
      <c r="C534"/>
      <c r="D534"/>
      <c r="E534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AA534" s="27" t="s">
        <v>8</v>
      </c>
      <c r="AB534" s="27" t="s">
        <v>7</v>
      </c>
    </row>
    <row r="535" spans="1:32" x14ac:dyDescent="0.25">
      <c r="A535" s="7">
        <v>2.8003281854481812</v>
      </c>
      <c r="B535"/>
      <c r="C535"/>
      <c r="D535"/>
      <c r="E535" t="s">
        <v>8</v>
      </c>
      <c r="H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AA535" s="27" t="s">
        <v>8</v>
      </c>
      <c r="AB535" s="27" t="s">
        <v>7</v>
      </c>
    </row>
    <row r="536" spans="1:32" x14ac:dyDescent="0.25">
      <c r="A536" s="7">
        <v>2.7454197896550796</v>
      </c>
      <c r="B536"/>
      <c r="C536"/>
      <c r="D536"/>
      <c r="E536" t="s">
        <v>8</v>
      </c>
      <c r="H536" s="27" t="s">
        <v>7</v>
      </c>
      <c r="I536" s="27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O536" s="27" t="s">
        <v>8</v>
      </c>
      <c r="P536" s="27" t="s">
        <v>7</v>
      </c>
      <c r="AA536" s="27" t="s">
        <v>8</v>
      </c>
      <c r="AB536" s="27" t="s">
        <v>7</v>
      </c>
    </row>
    <row r="537" spans="1:32" x14ac:dyDescent="0.25">
      <c r="A537" s="7">
        <v>2.6915880290736074</v>
      </c>
      <c r="B537"/>
      <c r="C537"/>
      <c r="D537"/>
      <c r="E537" t="s">
        <v>8</v>
      </c>
      <c r="H537" s="27" t="s">
        <v>7</v>
      </c>
      <c r="J537" s="27" t="s">
        <v>7</v>
      </c>
      <c r="K537" s="27" t="s">
        <v>8</v>
      </c>
      <c r="L537" s="27" t="s">
        <v>7</v>
      </c>
      <c r="M537" s="27" t="s">
        <v>8</v>
      </c>
      <c r="N537" s="27" t="s">
        <v>7</v>
      </c>
      <c r="O537" s="27" t="s">
        <v>8</v>
      </c>
      <c r="P537" s="27" t="s">
        <v>7</v>
      </c>
      <c r="Q537" s="27" t="s">
        <v>8</v>
      </c>
      <c r="AA537" s="27" t="s">
        <v>8</v>
      </c>
      <c r="AB537" s="27" t="s">
        <v>7</v>
      </c>
    </row>
    <row r="538" spans="1:32" x14ac:dyDescent="0.25">
      <c r="A538" s="7">
        <v>2.6388117932094191</v>
      </c>
      <c r="B538"/>
      <c r="C538"/>
      <c r="D538"/>
      <c r="E538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N538" s="27" t="s">
        <v>7</v>
      </c>
      <c r="O538" s="27" t="s">
        <v>8</v>
      </c>
      <c r="P538" s="27" t="s">
        <v>7</v>
      </c>
      <c r="Q538" s="27" t="s">
        <v>8</v>
      </c>
      <c r="R538" s="27" t="s">
        <v>7</v>
      </c>
      <c r="AA538" s="27" t="s">
        <v>8</v>
      </c>
      <c r="AB538" s="27" t="s">
        <v>7</v>
      </c>
    </row>
    <row r="539" spans="1:32" x14ac:dyDescent="0.25">
      <c r="A539" s="7">
        <v>2.5870703854994304</v>
      </c>
      <c r="B539"/>
      <c r="C539"/>
      <c r="D539"/>
      <c r="E539" t="s">
        <v>8</v>
      </c>
      <c r="J539" s="27" t="s">
        <v>7</v>
      </c>
      <c r="K539" s="27" t="s">
        <v>8</v>
      </c>
      <c r="L539" s="27" t="s">
        <v>7</v>
      </c>
      <c r="M539" s="27" t="s">
        <v>8</v>
      </c>
      <c r="N539" s="27" t="s">
        <v>7</v>
      </c>
      <c r="O539" s="27" t="s">
        <v>8</v>
      </c>
      <c r="P539" s="27" t="s">
        <v>7</v>
      </c>
      <c r="Q539" s="27" t="s">
        <v>8</v>
      </c>
      <c r="R539" s="27" t="s">
        <v>7</v>
      </c>
      <c r="AA539" s="27" t="s">
        <v>8</v>
      </c>
      <c r="AB539" s="27" t="s">
        <v>7</v>
      </c>
      <c r="AC539" s="27" t="s">
        <v>8</v>
      </c>
      <c r="AE539" s="27" t="s">
        <v>8</v>
      </c>
    </row>
    <row r="540" spans="1:32" x14ac:dyDescent="0.25">
      <c r="A540" s="7">
        <v>2.53634351519552</v>
      </c>
      <c r="B540"/>
      <c r="C540"/>
      <c r="D540"/>
      <c r="E540" t="s">
        <v>8</v>
      </c>
      <c r="J540" s="27" t="s">
        <v>7</v>
      </c>
      <c r="K540" s="27" t="s">
        <v>8</v>
      </c>
      <c r="L540" s="27" t="s">
        <v>7</v>
      </c>
      <c r="M540" s="27" t="s">
        <v>8</v>
      </c>
      <c r="N540" s="27" t="s">
        <v>7</v>
      </c>
      <c r="P540" s="27" t="s">
        <v>7</v>
      </c>
      <c r="Q540" s="27" t="s">
        <v>8</v>
      </c>
      <c r="R540" s="27" t="s">
        <v>7</v>
      </c>
      <c r="Y540" s="27" t="s">
        <v>8</v>
      </c>
      <c r="AA540" s="27" t="s">
        <v>8</v>
      </c>
      <c r="AB540" s="27" t="s">
        <v>7</v>
      </c>
      <c r="AC540" s="27" t="s">
        <v>8</v>
      </c>
      <c r="AD540" s="27" t="s">
        <v>7</v>
      </c>
      <c r="AE540" s="27" t="s">
        <v>8</v>
      </c>
      <c r="AF540" s="27" t="s">
        <v>7</v>
      </c>
    </row>
    <row r="541" spans="1:32" x14ac:dyDescent="0.25">
      <c r="A541" s="7">
        <v>2.4866112894073726</v>
      </c>
      <c r="B541"/>
      <c r="C541"/>
      <c r="D541"/>
      <c r="E541" t="s">
        <v>8</v>
      </c>
      <c r="J541" s="27" t="s">
        <v>7</v>
      </c>
      <c r="K541" s="27" t="s">
        <v>8</v>
      </c>
      <c r="L541" s="27" t="s">
        <v>7</v>
      </c>
      <c r="P541" s="27" t="s">
        <v>7</v>
      </c>
      <c r="Q541" s="27" t="s">
        <v>8</v>
      </c>
      <c r="R541" s="27" t="s">
        <v>7</v>
      </c>
      <c r="Y541" s="27" t="s">
        <v>8</v>
      </c>
      <c r="Z541" s="27" t="s">
        <v>7</v>
      </c>
      <c r="AA541" s="27" t="s">
        <v>8</v>
      </c>
      <c r="AB541" s="27" t="s">
        <v>7</v>
      </c>
      <c r="AC541" s="27" t="s">
        <v>8</v>
      </c>
      <c r="AD541" s="27" t="s">
        <v>7</v>
      </c>
      <c r="AE541" s="27" t="s">
        <v>8</v>
      </c>
      <c r="AF541" s="27" t="s">
        <v>7</v>
      </c>
    </row>
    <row r="542" spans="1:32" x14ac:dyDescent="0.25">
      <c r="A542" s="7">
        <v>2.4378542053013459</v>
      </c>
      <c r="B542"/>
      <c r="C542"/>
      <c r="D542"/>
      <c r="E542" t="s">
        <v>8</v>
      </c>
      <c r="J542" s="27" t="s">
        <v>7</v>
      </c>
      <c r="K542" s="27" t="s">
        <v>8</v>
      </c>
      <c r="P542" s="27" t="s">
        <v>7</v>
      </c>
      <c r="R542" s="27" t="s">
        <v>7</v>
      </c>
      <c r="S542" s="27" t="s">
        <v>8</v>
      </c>
      <c r="W542" s="27" t="s">
        <v>8</v>
      </c>
      <c r="Y542" s="27" t="s">
        <v>8</v>
      </c>
      <c r="Z542" s="27" t="s">
        <v>7</v>
      </c>
      <c r="AA542" s="27" t="s">
        <v>8</v>
      </c>
      <c r="AB542" s="27" t="s">
        <v>7</v>
      </c>
      <c r="AC542" s="27" t="s">
        <v>8</v>
      </c>
      <c r="AD542" s="27" t="s">
        <v>7</v>
      </c>
      <c r="AE542" s="27" t="s">
        <v>8</v>
      </c>
      <c r="AF542" s="27" t="s">
        <v>7</v>
      </c>
    </row>
    <row r="543" spans="1:32" x14ac:dyDescent="0.25">
      <c r="A543" s="7">
        <v>2.3900531424522997</v>
      </c>
      <c r="B543"/>
      <c r="C543"/>
      <c r="D543"/>
      <c r="E543" t="s">
        <v>8</v>
      </c>
      <c r="J543" s="27" t="s">
        <v>7</v>
      </c>
      <c r="K543" s="27" t="s">
        <v>8</v>
      </c>
      <c r="R543" s="27" t="s">
        <v>7</v>
      </c>
      <c r="S543" s="27" t="s">
        <v>8</v>
      </c>
      <c r="T543" s="27" t="s">
        <v>7</v>
      </c>
      <c r="W543" s="27" t="s">
        <v>8</v>
      </c>
      <c r="X543" s="27" t="s">
        <v>7</v>
      </c>
      <c r="Y543" s="27" t="s">
        <v>8</v>
      </c>
      <c r="Z543" s="27" t="s">
        <v>7</v>
      </c>
      <c r="AA543" s="27" t="s">
        <v>8</v>
      </c>
      <c r="AB543" s="27" t="s">
        <v>7</v>
      </c>
      <c r="AC543" s="27" t="s">
        <v>8</v>
      </c>
      <c r="AD543" s="27" t="s">
        <v>7</v>
      </c>
      <c r="AE543" s="27" t="s">
        <v>8</v>
      </c>
      <c r="AF543" s="27" t="s">
        <v>7</v>
      </c>
    </row>
    <row r="544" spans="1:32" x14ac:dyDescent="0.25">
      <c r="A544" s="7">
        <v>2.343189355345392</v>
      </c>
      <c r="B544"/>
      <c r="C544"/>
      <c r="D544"/>
      <c r="E544" t="s">
        <v>8</v>
      </c>
      <c r="J544" s="27" t="s">
        <v>7</v>
      </c>
      <c r="K544" s="27" t="s">
        <v>8</v>
      </c>
      <c r="R544" s="27" t="s">
        <v>7</v>
      </c>
      <c r="S544" s="27" t="s">
        <v>8</v>
      </c>
      <c r="T544" s="27" t="s">
        <v>7</v>
      </c>
      <c r="W544" s="27" t="s">
        <v>8</v>
      </c>
      <c r="X544" s="27" t="s">
        <v>7</v>
      </c>
      <c r="Y544" s="27" t="s">
        <v>8</v>
      </c>
      <c r="Z544" s="27" t="s">
        <v>7</v>
      </c>
      <c r="AA544" s="27" t="s">
        <v>8</v>
      </c>
      <c r="AB544" s="27" t="s">
        <v>7</v>
      </c>
      <c r="AC544" s="27" t="s">
        <v>8</v>
      </c>
      <c r="AD544" s="27" t="s">
        <v>7</v>
      </c>
      <c r="AE544" s="27" t="s">
        <v>8</v>
      </c>
      <c r="AF544" s="27" t="s">
        <v>7</v>
      </c>
    </row>
    <row r="545" spans="1:158" x14ac:dyDescent="0.25">
      <c r="A545" s="7">
        <v>2.2972444660248938</v>
      </c>
      <c r="B545"/>
      <c r="C545"/>
      <c r="D545"/>
      <c r="E545" t="s">
        <v>8</v>
      </c>
      <c r="J545" s="27" t="s">
        <v>7</v>
      </c>
      <c r="K545" s="27" t="s">
        <v>8</v>
      </c>
      <c r="R545" s="27" t="s">
        <v>7</v>
      </c>
      <c r="S545" s="27" t="s">
        <v>8</v>
      </c>
      <c r="T545" s="27" t="s">
        <v>7</v>
      </c>
      <c r="W545" s="27" t="s">
        <v>8</v>
      </c>
      <c r="X545" s="27" t="s">
        <v>7</v>
      </c>
      <c r="Y545" s="27" t="s">
        <v>8</v>
      </c>
      <c r="Z545" s="27" t="s">
        <v>7</v>
      </c>
      <c r="AA545" s="27" t="s">
        <v>8</v>
      </c>
      <c r="AB545" s="27" t="s">
        <v>7</v>
      </c>
      <c r="AC545" s="27" t="s">
        <v>8</v>
      </c>
      <c r="AD545" s="27" t="s">
        <v>7</v>
      </c>
      <c r="AE545" s="27" t="s">
        <v>8</v>
      </c>
      <c r="AF545" s="27" t="s">
        <v>7</v>
      </c>
    </row>
    <row r="546" spans="1:158" x14ac:dyDescent="0.25">
      <c r="A546" s="7">
        <v>2.252200456887151</v>
      </c>
      <c r="B546"/>
      <c r="C546"/>
      <c r="D546"/>
      <c r="E546" t="s">
        <v>8</v>
      </c>
      <c r="J546" s="27" t="s">
        <v>7</v>
      </c>
      <c r="K546" s="27" t="s">
        <v>8</v>
      </c>
      <c r="R546" s="27" t="s">
        <v>7</v>
      </c>
      <c r="S546" s="27" t="s">
        <v>8</v>
      </c>
      <c r="T546" s="27" t="s">
        <v>7</v>
      </c>
      <c r="W546" s="27" t="s">
        <v>8</v>
      </c>
      <c r="X546" s="27" t="s">
        <v>7</v>
      </c>
      <c r="Y546" s="27" t="s">
        <v>8</v>
      </c>
      <c r="Z546" s="27" t="s">
        <v>7</v>
      </c>
      <c r="AB546" s="27" t="s">
        <v>7</v>
      </c>
      <c r="AC546" s="27" t="s">
        <v>8</v>
      </c>
      <c r="AD546" s="27" t="s">
        <v>7</v>
      </c>
      <c r="AE546" s="27" t="s">
        <v>8</v>
      </c>
      <c r="AF546" s="27" t="s">
        <v>7</v>
      </c>
    </row>
    <row r="547" spans="1:158" x14ac:dyDescent="0.25">
      <c r="A547" s="7">
        <v>2.208039663614854</v>
      </c>
      <c r="B547"/>
      <c r="C547"/>
      <c r="D547"/>
      <c r="E547" t="s">
        <v>8</v>
      </c>
      <c r="J547" s="27" t="s">
        <v>7</v>
      </c>
      <c r="K547" s="27" t="s">
        <v>8</v>
      </c>
      <c r="R547" s="27" t="s">
        <v>7</v>
      </c>
      <c r="S547" s="27" t="s">
        <v>8</v>
      </c>
      <c r="T547" s="27" t="s">
        <v>7</v>
      </c>
      <c r="U547" s="27" t="s">
        <v>8</v>
      </c>
      <c r="W547" s="27" t="s">
        <v>8</v>
      </c>
      <c r="X547" s="27" t="s">
        <v>7</v>
      </c>
      <c r="Y547" s="27" t="s">
        <v>8</v>
      </c>
      <c r="AB547" s="27" t="s">
        <v>7</v>
      </c>
      <c r="AD547" s="27" t="s">
        <v>7</v>
      </c>
      <c r="AE547" s="27" t="s">
        <v>8</v>
      </c>
      <c r="AF547" s="27" t="s">
        <v>7</v>
      </c>
    </row>
    <row r="548" spans="1:158" x14ac:dyDescent="0.25">
      <c r="A548" s="7">
        <v>2.1647447682498568</v>
      </c>
      <c r="B548"/>
      <c r="C548"/>
      <c r="D548"/>
      <c r="E548" t="s">
        <v>8</v>
      </c>
      <c r="J548" s="27" t="s">
        <v>7</v>
      </c>
      <c r="K548" s="27" t="s">
        <v>8</v>
      </c>
      <c r="R548" s="27" t="s">
        <v>7</v>
      </c>
      <c r="S548" s="27" t="s">
        <v>8</v>
      </c>
      <c r="T548" s="27" t="s">
        <v>7</v>
      </c>
      <c r="U548" s="27" t="s">
        <v>8</v>
      </c>
      <c r="V548" s="27" t="s">
        <v>7</v>
      </c>
      <c r="W548" s="27" t="s">
        <v>8</v>
      </c>
      <c r="X548" s="27" t="s">
        <v>7</v>
      </c>
      <c r="Y548" s="27" t="s">
        <v>8</v>
      </c>
      <c r="AD548" s="27" t="s">
        <v>7</v>
      </c>
      <c r="AF548" s="27" t="s">
        <v>7</v>
      </c>
      <c r="AG548" s="27" t="s">
        <v>8</v>
      </c>
      <c r="ES548" s="27" t="s">
        <v>8</v>
      </c>
    </row>
    <row r="549" spans="1:158" x14ac:dyDescent="0.25">
      <c r="A549" s="7">
        <v>2.1222987924018204</v>
      </c>
      <c r="B549"/>
      <c r="C549"/>
      <c r="D549"/>
      <c r="E549" t="s">
        <v>8</v>
      </c>
      <c r="J549" s="27" t="s">
        <v>7</v>
      </c>
      <c r="R549" s="27" t="s">
        <v>7</v>
      </c>
      <c r="S549" s="27" t="s">
        <v>8</v>
      </c>
      <c r="T549" s="27" t="s">
        <v>7</v>
      </c>
      <c r="U549" s="27" t="s">
        <v>8</v>
      </c>
      <c r="V549" s="27" t="s">
        <v>7</v>
      </c>
      <c r="W549" s="27" t="s">
        <v>8</v>
      </c>
      <c r="X549" s="27" t="s">
        <v>7</v>
      </c>
      <c r="Y549" s="27" t="s">
        <v>8</v>
      </c>
      <c r="AF549" s="27" t="s">
        <v>7</v>
      </c>
      <c r="AG549" s="27" t="s">
        <v>8</v>
      </c>
      <c r="AH549" s="27" t="s">
        <v>7</v>
      </c>
      <c r="ES549" s="27" t="s">
        <v>8</v>
      </c>
      <c r="ET549" s="27" t="s">
        <v>7</v>
      </c>
    </row>
    <row r="550" spans="1:158" x14ac:dyDescent="0.25">
      <c r="A550" s="7">
        <v>2.0806850905900198</v>
      </c>
      <c r="B550"/>
      <c r="C550"/>
      <c r="D550"/>
      <c r="E550" t="s">
        <v>8</v>
      </c>
      <c r="R550" s="27" t="s">
        <v>7</v>
      </c>
      <c r="S550" s="27" t="s">
        <v>8</v>
      </c>
      <c r="T550" s="27" t="s">
        <v>7</v>
      </c>
      <c r="U550" s="27" t="s">
        <v>8</v>
      </c>
      <c r="V550" s="27" t="s">
        <v>7</v>
      </c>
      <c r="W550" s="27" t="s">
        <v>8</v>
      </c>
      <c r="X550" s="27" t="s">
        <v>7</v>
      </c>
      <c r="Y550" s="27" t="s">
        <v>8</v>
      </c>
      <c r="AF550" s="27" t="s">
        <v>7</v>
      </c>
      <c r="AG550" s="27" t="s">
        <v>8</v>
      </c>
      <c r="AH550" s="27" t="s">
        <v>7</v>
      </c>
      <c r="ES550" s="27" t="s">
        <v>8</v>
      </c>
      <c r="ET550" s="27" t="s">
        <v>7</v>
      </c>
      <c r="EY550" s="27" t="s">
        <v>8</v>
      </c>
    </row>
    <row r="551" spans="1:158" x14ac:dyDescent="0.25">
      <c r="A551" s="7">
        <v>2.0398873437157055</v>
      </c>
      <c r="B551"/>
      <c r="C551"/>
      <c r="D551"/>
      <c r="E551" t="s">
        <v>8</v>
      </c>
      <c r="R551" s="27" t="s">
        <v>7</v>
      </c>
      <c r="T551" s="27" t="s">
        <v>7</v>
      </c>
      <c r="U551" s="27" t="s">
        <v>8</v>
      </c>
      <c r="V551" s="27" t="s">
        <v>7</v>
      </c>
      <c r="W551" s="27" t="s">
        <v>8</v>
      </c>
      <c r="X551" s="27" t="s">
        <v>7</v>
      </c>
      <c r="Y551" s="27" t="s">
        <v>8</v>
      </c>
      <c r="AF551" s="27" t="s">
        <v>7</v>
      </c>
      <c r="AG551" s="27" t="s">
        <v>8</v>
      </c>
      <c r="AH551" s="27" t="s">
        <v>7</v>
      </c>
      <c r="EK551" s="27" t="s">
        <v>8</v>
      </c>
      <c r="ES551" s="27" t="s">
        <v>8</v>
      </c>
      <c r="ET551" s="27" t="s">
        <v>7</v>
      </c>
      <c r="EY551" s="27" t="s">
        <v>8</v>
      </c>
      <c r="EZ551" s="27" t="s">
        <v>7</v>
      </c>
    </row>
    <row r="552" spans="1:158" x14ac:dyDescent="0.25">
      <c r="A552" s="7">
        <v>1.9998895526624565</v>
      </c>
      <c r="B552"/>
      <c r="C552"/>
      <c r="D552"/>
      <c r="E552" t="s">
        <v>8</v>
      </c>
      <c r="T552" s="27" t="s">
        <v>7</v>
      </c>
      <c r="U552" s="27" t="s">
        <v>8</v>
      </c>
      <c r="V552" s="27" t="s">
        <v>7</v>
      </c>
      <c r="W552" s="27" t="s">
        <v>8</v>
      </c>
      <c r="X552" s="27" t="s">
        <v>7</v>
      </c>
      <c r="Y552" s="27" t="s">
        <v>8</v>
      </c>
      <c r="AF552" s="27" t="s">
        <v>7</v>
      </c>
      <c r="AG552" s="27" t="s">
        <v>8</v>
      </c>
      <c r="AH552" s="27" t="s">
        <v>7</v>
      </c>
      <c r="EK552" s="27" t="s">
        <v>8</v>
      </c>
      <c r="EL552" s="27" t="s">
        <v>7</v>
      </c>
      <c r="ES552" s="27" t="s">
        <v>8</v>
      </c>
      <c r="ET552" s="27" t="s">
        <v>7</v>
      </c>
      <c r="EY552" s="27" t="s">
        <v>8</v>
      </c>
      <c r="EZ552" s="27" t="s">
        <v>7</v>
      </c>
    </row>
    <row r="553" spans="1:158" x14ac:dyDescent="0.25">
      <c r="A553" s="7">
        <v>1.9606760320220162</v>
      </c>
      <c r="B553"/>
      <c r="C553"/>
      <c r="D553"/>
      <c r="E553" t="s">
        <v>8</v>
      </c>
      <c r="T553" s="27" t="s">
        <v>7</v>
      </c>
      <c r="U553" s="27" t="s">
        <v>8</v>
      </c>
      <c r="V553" s="27" t="s">
        <v>7</v>
      </c>
      <c r="W553" s="27" t="s">
        <v>8</v>
      </c>
      <c r="X553" s="27" t="s">
        <v>7</v>
      </c>
      <c r="Y553" s="27" t="s">
        <v>8</v>
      </c>
      <c r="AF553" s="27" t="s">
        <v>7</v>
      </c>
      <c r="AG553" s="27" t="s">
        <v>8</v>
      </c>
      <c r="AH553" s="27" t="s">
        <v>7</v>
      </c>
      <c r="EK553" s="27" t="s">
        <v>8</v>
      </c>
      <c r="EL553" s="27" t="s">
        <v>7</v>
      </c>
      <c r="ES553" s="27" t="s">
        <v>8</v>
      </c>
      <c r="ET553" s="27" t="s">
        <v>7</v>
      </c>
      <c r="EU553" s="27" t="s">
        <v>8</v>
      </c>
      <c r="EY553" s="27" t="s">
        <v>8</v>
      </c>
      <c r="EZ553" s="27" t="s">
        <v>7</v>
      </c>
    </row>
    <row r="554" spans="1:158" x14ac:dyDescent="0.25">
      <c r="A554" s="7">
        <v>1.9222314039431532</v>
      </c>
      <c r="B554"/>
      <c r="C554"/>
      <c r="D554"/>
      <c r="E554" t="s">
        <v>8</v>
      </c>
      <c r="T554" s="27" t="s">
        <v>7</v>
      </c>
      <c r="V554" s="27" t="s">
        <v>7</v>
      </c>
      <c r="W554" s="27" t="s">
        <v>8</v>
      </c>
      <c r="X554" s="27" t="s">
        <v>7</v>
      </c>
      <c r="AF554" s="27" t="s">
        <v>7</v>
      </c>
      <c r="AG554" s="27" t="s">
        <v>8</v>
      </c>
      <c r="AH554" s="27" t="s">
        <v>7</v>
      </c>
      <c r="EK554" s="27" t="s">
        <v>8</v>
      </c>
      <c r="EL554" s="27" t="s">
        <v>7</v>
      </c>
      <c r="ES554" s="27" t="s">
        <v>8</v>
      </c>
      <c r="ET554" s="27" t="s">
        <v>7</v>
      </c>
      <c r="EU554" s="27" t="s">
        <v>8</v>
      </c>
      <c r="EV554" s="27" t="s">
        <v>7</v>
      </c>
      <c r="EY554" s="27" t="s">
        <v>8</v>
      </c>
      <c r="EZ554" s="27" t="s">
        <v>7</v>
      </c>
    </row>
    <row r="555" spans="1:158" x14ac:dyDescent="0.25">
      <c r="A555" s="7">
        <v>1.8845405921011305</v>
      </c>
      <c r="B555"/>
      <c r="C555"/>
      <c r="D555"/>
      <c r="E555" t="s">
        <v>8</v>
      </c>
      <c r="V555" s="27" t="s">
        <v>7</v>
      </c>
      <c r="W555" s="27" t="s">
        <v>8</v>
      </c>
      <c r="AF555" s="27" t="s">
        <v>7</v>
      </c>
      <c r="AG555" s="27" t="s">
        <v>8</v>
      </c>
      <c r="AH555" s="27" t="s">
        <v>7</v>
      </c>
      <c r="AI555" s="27" t="s">
        <v>8</v>
      </c>
      <c r="EI555" s="27" t="s">
        <v>8</v>
      </c>
      <c r="EK555" s="27" t="s">
        <v>8</v>
      </c>
      <c r="EL555" s="27" t="s">
        <v>7</v>
      </c>
      <c r="ES555" s="27" t="s">
        <v>8</v>
      </c>
      <c r="ET555" s="27" t="s">
        <v>7</v>
      </c>
      <c r="EU555" s="27" t="s">
        <v>8</v>
      </c>
      <c r="EV555" s="27" t="s">
        <v>7</v>
      </c>
      <c r="EY555" s="27" t="s">
        <v>8</v>
      </c>
      <c r="EZ555" s="27" t="s">
        <v>7</v>
      </c>
    </row>
    <row r="556" spans="1:158" x14ac:dyDescent="0.25">
      <c r="A556" s="7">
        <v>1.8475888157854219</v>
      </c>
      <c r="B556"/>
      <c r="C556"/>
      <c r="D556"/>
      <c r="E556" t="s">
        <v>8</v>
      </c>
      <c r="V556" s="27" t="s">
        <v>7</v>
      </c>
      <c r="W556" s="27" t="s">
        <v>8</v>
      </c>
      <c r="AF556" s="27" t="s">
        <v>7</v>
      </c>
      <c r="AH556" s="27" t="s">
        <v>7</v>
      </c>
      <c r="AI556" s="27" t="s">
        <v>8</v>
      </c>
      <c r="AJ556" s="27" t="s">
        <v>7</v>
      </c>
      <c r="EI556" s="27" t="s">
        <v>8</v>
      </c>
      <c r="EJ556" s="27" t="s">
        <v>7</v>
      </c>
      <c r="EK556" s="27" t="s">
        <v>8</v>
      </c>
      <c r="EL556" s="27" t="s">
        <v>7</v>
      </c>
      <c r="EM556" s="27" t="s">
        <v>8</v>
      </c>
      <c r="ES556" s="27" t="s">
        <v>8</v>
      </c>
      <c r="ET556" s="27" t="s">
        <v>7</v>
      </c>
      <c r="EU556" s="27" t="s">
        <v>8</v>
      </c>
      <c r="EV556" s="27" t="s">
        <v>7</v>
      </c>
      <c r="EY556" s="27" t="s">
        <v>8</v>
      </c>
      <c r="EZ556" s="27" t="s">
        <v>7</v>
      </c>
    </row>
    <row r="557" spans="1:158" x14ac:dyDescent="0.25">
      <c r="A557" s="7">
        <v>1.8113615841033548</v>
      </c>
      <c r="B557"/>
      <c r="C557"/>
      <c r="D557"/>
      <c r="E557" t="s">
        <v>8</v>
      </c>
      <c r="V557" s="27" t="s">
        <v>7</v>
      </c>
      <c r="W557" s="27" t="s">
        <v>8</v>
      </c>
      <c r="AH557" s="27" t="s">
        <v>7</v>
      </c>
      <c r="AI557" s="27" t="s">
        <v>8</v>
      </c>
      <c r="AJ557" s="27" t="s">
        <v>7</v>
      </c>
      <c r="EI557" s="27" t="s">
        <v>8</v>
      </c>
      <c r="EJ557" s="27" t="s">
        <v>7</v>
      </c>
      <c r="EK557" s="27" t="s">
        <v>8</v>
      </c>
      <c r="EL557" s="27" t="s">
        <v>7</v>
      </c>
      <c r="EM557" s="27" t="s">
        <v>8</v>
      </c>
      <c r="EN557" s="27" t="s">
        <v>7</v>
      </c>
      <c r="EO557" s="27" t="s">
        <v>8</v>
      </c>
      <c r="EQ557" s="27" t="s">
        <v>8</v>
      </c>
      <c r="ES557" s="27" t="s">
        <v>8</v>
      </c>
      <c r="ET557" s="27" t="s">
        <v>7</v>
      </c>
      <c r="EU557" s="27" t="s">
        <v>8</v>
      </c>
      <c r="EV557" s="27" t="s">
        <v>7</v>
      </c>
      <c r="EY557" s="27" t="s">
        <v>8</v>
      </c>
      <c r="EZ557" s="27" t="s">
        <v>7</v>
      </c>
      <c r="FA557" s="27" t="s">
        <v>8</v>
      </c>
    </row>
    <row r="558" spans="1:158" x14ac:dyDescent="0.25">
      <c r="A558" s="7">
        <v>1.7758446902974065</v>
      </c>
      <c r="B558"/>
      <c r="C558"/>
      <c r="D558"/>
      <c r="E558" t="s">
        <v>8</v>
      </c>
      <c r="V558" s="27" t="s">
        <v>7</v>
      </c>
      <c r="W558" s="27" t="s">
        <v>8</v>
      </c>
      <c r="AH558" s="27" t="s">
        <v>7</v>
      </c>
      <c r="AI558" s="27" t="s">
        <v>8</v>
      </c>
      <c r="AJ558" s="27" t="s">
        <v>7</v>
      </c>
      <c r="EI558" s="27" t="s">
        <v>8</v>
      </c>
      <c r="EJ558" s="27" t="s">
        <v>7</v>
      </c>
      <c r="EK558" s="27" t="s">
        <v>8</v>
      </c>
      <c r="EL558" s="27" t="s">
        <v>7</v>
      </c>
      <c r="EM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T558" s="27" t="s">
        <v>7</v>
      </c>
      <c r="EU558" s="27" t="s">
        <v>8</v>
      </c>
      <c r="EV558" s="27" t="s">
        <v>7</v>
      </c>
      <c r="EY558" s="27" t="s">
        <v>8</v>
      </c>
      <c r="EZ558" s="27" t="s">
        <v>7</v>
      </c>
      <c r="FA558" s="27" t="s">
        <v>8</v>
      </c>
      <c r="FB558" s="27" t="s">
        <v>7</v>
      </c>
    </row>
    <row r="559" spans="1:158" x14ac:dyDescent="0.25">
      <c r="A559" s="7">
        <v>1.7410242061739281</v>
      </c>
      <c r="B559"/>
      <c r="C559"/>
      <c r="D559"/>
      <c r="E559" t="s">
        <v>8</v>
      </c>
      <c r="V559" s="27" t="s">
        <v>7</v>
      </c>
      <c r="W559" s="27" t="s">
        <v>8</v>
      </c>
      <c r="AH559" s="27" t="s">
        <v>7</v>
      </c>
      <c r="AI559" s="27" t="s">
        <v>8</v>
      </c>
      <c r="AJ559" s="27" t="s">
        <v>7</v>
      </c>
      <c r="EI559" s="27" t="s">
        <v>8</v>
      </c>
      <c r="EJ559" s="27" t="s">
        <v>7</v>
      </c>
      <c r="EK559" s="27" t="s">
        <v>8</v>
      </c>
      <c r="EL559" s="27" t="s">
        <v>7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T559" s="27" t="s">
        <v>7</v>
      </c>
      <c r="EU559" s="27" t="s">
        <v>8</v>
      </c>
      <c r="EV559" s="27" t="s">
        <v>7</v>
      </c>
      <c r="EW559" s="27" t="s">
        <v>8</v>
      </c>
      <c r="EY559" s="27" t="s">
        <v>8</v>
      </c>
      <c r="EZ559" s="27" t="s">
        <v>7</v>
      </c>
      <c r="FA559" s="27" t="s">
        <v>8</v>
      </c>
      <c r="FB559" s="27" t="s">
        <v>7</v>
      </c>
    </row>
    <row r="560" spans="1:158" x14ac:dyDescent="0.25">
      <c r="A560" s="7">
        <v>1.7068864766411058</v>
      </c>
      <c r="B560"/>
      <c r="C560"/>
      <c r="D560"/>
      <c r="E560" t="s">
        <v>8</v>
      </c>
      <c r="V560" s="27" t="s">
        <v>7</v>
      </c>
      <c r="W560" s="27" t="s">
        <v>8</v>
      </c>
      <c r="AH560" s="27" t="s">
        <v>7</v>
      </c>
      <c r="AI560" s="27" t="s">
        <v>8</v>
      </c>
      <c r="AJ560" s="27" t="s">
        <v>7</v>
      </c>
      <c r="EI560" s="27" t="s">
        <v>8</v>
      </c>
      <c r="EJ560" s="27" t="s">
        <v>7</v>
      </c>
      <c r="EK560" s="27" t="s">
        <v>8</v>
      </c>
      <c r="EL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T560" s="27" t="s">
        <v>7</v>
      </c>
      <c r="EV560" s="27" t="s">
        <v>7</v>
      </c>
      <c r="EW560" s="27" t="s">
        <v>8</v>
      </c>
      <c r="EX560" s="27" t="s">
        <v>7</v>
      </c>
      <c r="EY560" s="27" t="s">
        <v>8</v>
      </c>
      <c r="EZ560" s="27" t="s">
        <v>7</v>
      </c>
      <c r="FA560" s="27" t="s">
        <v>8</v>
      </c>
      <c r="FB560" s="27" t="s">
        <v>7</v>
      </c>
    </row>
    <row r="561" spans="1:171" x14ac:dyDescent="0.25">
      <c r="A561" s="7">
        <v>1.6734181143540252</v>
      </c>
      <c r="B561"/>
      <c r="C561"/>
      <c r="D561"/>
      <c r="E561" t="s">
        <v>8</v>
      </c>
      <c r="V561" s="27" t="s">
        <v>7</v>
      </c>
      <c r="W561" s="27" t="s">
        <v>8</v>
      </c>
      <c r="AH561" s="27" t="s">
        <v>7</v>
      </c>
      <c r="AI561" s="27" t="s">
        <v>8</v>
      </c>
      <c r="AJ561" s="27" t="s">
        <v>7</v>
      </c>
      <c r="EI561" s="27" t="s">
        <v>8</v>
      </c>
      <c r="EJ561" s="27" t="s">
        <v>7</v>
      </c>
      <c r="EK561" s="27" t="s">
        <v>8</v>
      </c>
      <c r="EL561" s="27" t="s">
        <v>7</v>
      </c>
      <c r="EM561" s="27" t="s">
        <v>8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EV561" s="27" t="s">
        <v>7</v>
      </c>
      <c r="EW561" s="27" t="s">
        <v>8</v>
      </c>
      <c r="EX561" s="27" t="s">
        <v>7</v>
      </c>
      <c r="EY561" s="27" t="s">
        <v>8</v>
      </c>
      <c r="EZ561" s="27" t="s">
        <v>7</v>
      </c>
      <c r="FA561" s="27" t="s">
        <v>8</v>
      </c>
      <c r="FB561" s="27" t="s">
        <v>7</v>
      </c>
    </row>
    <row r="562" spans="1:171" x14ac:dyDescent="0.25">
      <c r="A562" s="7">
        <v>1.6406059944647307</v>
      </c>
      <c r="B562"/>
      <c r="C562"/>
      <c r="D562"/>
      <c r="E562" t="s">
        <v>8</v>
      </c>
      <c r="V562" s="27" t="s">
        <v>7</v>
      </c>
      <c r="W562" s="27" t="s">
        <v>8</v>
      </c>
      <c r="AH562" s="27" t="s">
        <v>7</v>
      </c>
      <c r="AI562" s="27" t="s">
        <v>8</v>
      </c>
      <c r="AJ562" s="27" t="s">
        <v>7</v>
      </c>
      <c r="EI562" s="27" t="s">
        <v>8</v>
      </c>
      <c r="EJ562" s="27" t="s">
        <v>7</v>
      </c>
      <c r="EK562" s="27" t="s">
        <v>8</v>
      </c>
      <c r="EL562" s="27" t="s">
        <v>7</v>
      </c>
      <c r="EM562" s="27" t="s">
        <v>8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V562" s="27" t="s">
        <v>7</v>
      </c>
      <c r="EW562" s="27" t="s">
        <v>8</v>
      </c>
      <c r="EX562" s="27" t="s">
        <v>7</v>
      </c>
      <c r="EY562" s="27" t="s">
        <v>8</v>
      </c>
      <c r="EZ562" s="27" t="s">
        <v>7</v>
      </c>
      <c r="FA562" s="27" t="s">
        <v>8</v>
      </c>
      <c r="FB562" s="27" t="s">
        <v>7</v>
      </c>
    </row>
    <row r="563" spans="1:171" x14ac:dyDescent="0.25">
      <c r="A563" s="7">
        <v>1.6084372494752261</v>
      </c>
      <c r="B563"/>
      <c r="C563"/>
      <c r="D563"/>
      <c r="E563" t="s">
        <v>8</v>
      </c>
      <c r="V563" s="27" t="s">
        <v>7</v>
      </c>
      <c r="W563" s="27" t="s">
        <v>8</v>
      </c>
      <c r="AH563" s="27" t="s">
        <v>7</v>
      </c>
      <c r="AI563" s="27" t="s">
        <v>8</v>
      </c>
      <c r="AJ563" s="27" t="s">
        <v>7</v>
      </c>
      <c r="EI563" s="27" t="s">
        <v>8</v>
      </c>
      <c r="EJ563" s="27" t="s">
        <v>7</v>
      </c>
      <c r="EK563" s="27" t="s">
        <v>8</v>
      </c>
      <c r="EL563" s="27" t="s">
        <v>7</v>
      </c>
      <c r="EM563" s="27" t="s">
        <v>8</v>
      </c>
      <c r="EN563" s="27" t="s">
        <v>7</v>
      </c>
      <c r="EP563" s="27" t="s">
        <v>7</v>
      </c>
      <c r="EQ563" s="27" t="s">
        <v>8</v>
      </c>
      <c r="EV563" s="27" t="s">
        <v>7</v>
      </c>
      <c r="EW563" s="27" t="s">
        <v>8</v>
      </c>
      <c r="EX563" s="27" t="s">
        <v>7</v>
      </c>
      <c r="EY563" s="27" t="s">
        <v>8</v>
      </c>
      <c r="EZ563" s="27" t="s">
        <v>7</v>
      </c>
      <c r="FA563" s="27" t="s">
        <v>8</v>
      </c>
      <c r="FB563" s="27" t="s">
        <v>7</v>
      </c>
    </row>
    <row r="564" spans="1:171" x14ac:dyDescent="0.25">
      <c r="A564" s="7">
        <v>1.5768992641913981</v>
      </c>
      <c r="B564"/>
      <c r="C564"/>
      <c r="D564"/>
      <c r="E564" t="s">
        <v>8</v>
      </c>
      <c r="V564" s="27" t="s">
        <v>7</v>
      </c>
      <c r="W564" s="27" t="s">
        <v>8</v>
      </c>
      <c r="AH564" s="27" t="s">
        <v>7</v>
      </c>
      <c r="AJ564" s="27" t="s">
        <v>7</v>
      </c>
      <c r="AK564" s="27" t="s">
        <v>8</v>
      </c>
      <c r="EI564" s="27" t="s">
        <v>8</v>
      </c>
      <c r="EJ564" s="27" t="s">
        <v>7</v>
      </c>
      <c r="EK564" s="27" t="s">
        <v>8</v>
      </c>
      <c r="EL564" s="27" t="s">
        <v>7</v>
      </c>
      <c r="EM564" s="27" t="s">
        <v>8</v>
      </c>
      <c r="EP564" s="27" t="s">
        <v>7</v>
      </c>
      <c r="EQ564" s="27" t="s">
        <v>8</v>
      </c>
      <c r="EV564" s="27" t="s">
        <v>7</v>
      </c>
      <c r="EW564" s="27" t="s">
        <v>8</v>
      </c>
      <c r="EX564" s="27" t="s">
        <v>7</v>
      </c>
      <c r="EY564" s="27" t="s">
        <v>8</v>
      </c>
      <c r="EZ564" s="27" t="s">
        <v>7</v>
      </c>
      <c r="FA564" s="27" t="s">
        <v>8</v>
      </c>
      <c r="FB564" s="27" t="s">
        <v>7</v>
      </c>
    </row>
    <row r="565" spans="1:171" x14ac:dyDescent="0.25">
      <c r="A565" s="7">
        <v>1.5459796707758806</v>
      </c>
      <c r="B565"/>
      <c r="C565"/>
      <c r="D565"/>
      <c r="E565" t="s">
        <v>8</v>
      </c>
      <c r="V565" s="27" t="s">
        <v>7</v>
      </c>
      <c r="W565" s="27" t="s">
        <v>8</v>
      </c>
      <c r="AJ565" s="27" t="s">
        <v>7</v>
      </c>
      <c r="AK565" s="27" t="s">
        <v>8</v>
      </c>
      <c r="AL565" s="27" t="s">
        <v>7</v>
      </c>
      <c r="EI565" s="27" t="s">
        <v>8</v>
      </c>
      <c r="EJ565" s="27" t="s">
        <v>7</v>
      </c>
      <c r="EK565" s="27" t="s">
        <v>8</v>
      </c>
      <c r="EL565" s="27" t="s">
        <v>7</v>
      </c>
      <c r="EM565" s="27" t="s">
        <v>8</v>
      </c>
      <c r="EP565" s="27" t="s">
        <v>7</v>
      </c>
      <c r="EQ565" s="27" t="s">
        <v>8</v>
      </c>
      <c r="EV565" s="27" t="s">
        <v>7</v>
      </c>
      <c r="EW565" s="27" t="s">
        <v>8</v>
      </c>
      <c r="EX565" s="27" t="s">
        <v>7</v>
      </c>
      <c r="EY565" s="27" t="s">
        <v>8</v>
      </c>
      <c r="EZ565" s="27" t="s">
        <v>7</v>
      </c>
      <c r="FA565" s="27" t="s">
        <v>8</v>
      </c>
      <c r="FB565" s="27" t="s">
        <v>7</v>
      </c>
    </row>
    <row r="566" spans="1:171" x14ac:dyDescent="0.25">
      <c r="A566" s="7">
        <v>1.5156663438979221</v>
      </c>
      <c r="B566"/>
      <c r="C566"/>
      <c r="D566"/>
      <c r="E566" t="s">
        <v>8</v>
      </c>
      <c r="V566" s="27" t="s">
        <v>7</v>
      </c>
      <c r="W566" s="27" t="s">
        <v>8</v>
      </c>
      <c r="AJ566" s="27" t="s">
        <v>7</v>
      </c>
      <c r="AK566" s="27" t="s">
        <v>8</v>
      </c>
      <c r="AL566" s="27" t="s">
        <v>7</v>
      </c>
      <c r="EI566" s="27" t="s">
        <v>8</v>
      </c>
      <c r="EJ566" s="27" t="s">
        <v>7</v>
      </c>
      <c r="EK566" s="27" t="s">
        <v>8</v>
      </c>
      <c r="EL566" s="27" t="s">
        <v>7</v>
      </c>
      <c r="EM566" s="27" t="s">
        <v>8</v>
      </c>
      <c r="EP566" s="27" t="s">
        <v>7</v>
      </c>
      <c r="EQ566" s="27" t="s">
        <v>8</v>
      </c>
      <c r="EV566" s="27" t="s">
        <v>7</v>
      </c>
      <c r="EW566" s="27" t="s">
        <v>8</v>
      </c>
      <c r="EX566" s="27" t="s">
        <v>7</v>
      </c>
      <c r="EZ566" s="27" t="s">
        <v>7</v>
      </c>
      <c r="FA566" s="27" t="s">
        <v>8</v>
      </c>
      <c r="FB566" s="27" t="s">
        <v>7</v>
      </c>
    </row>
    <row r="567" spans="1:171" x14ac:dyDescent="0.25">
      <c r="A567" s="7">
        <v>1.4859473959783549</v>
      </c>
      <c r="B567"/>
      <c r="C567"/>
      <c r="D567"/>
      <c r="E567" t="s">
        <v>8</v>
      </c>
      <c r="V567" s="27" t="s">
        <v>7</v>
      </c>
      <c r="AJ567" s="27" t="s">
        <v>7</v>
      </c>
      <c r="AK567" s="27" t="s">
        <v>8</v>
      </c>
      <c r="AL567" s="27" t="s">
        <v>7</v>
      </c>
      <c r="EG567" s="27" t="s">
        <v>8</v>
      </c>
      <c r="EI567" s="27" t="s">
        <v>8</v>
      </c>
      <c r="EJ567" s="27" t="s">
        <v>7</v>
      </c>
      <c r="EK567" s="27" t="s">
        <v>8</v>
      </c>
      <c r="EL567" s="27" t="s">
        <v>7</v>
      </c>
      <c r="EP567" s="27" t="s">
        <v>7</v>
      </c>
      <c r="EQ567" s="27" t="s">
        <v>8</v>
      </c>
      <c r="EV567" s="27" t="s">
        <v>7</v>
      </c>
      <c r="EZ567" s="27" t="s">
        <v>7</v>
      </c>
      <c r="FA567" s="27" t="s">
        <v>8</v>
      </c>
      <c r="FB567" s="27" t="s">
        <v>7</v>
      </c>
      <c r="FE567" s="27" t="s">
        <v>8</v>
      </c>
    </row>
    <row r="568" spans="1:171" x14ac:dyDescent="0.25">
      <c r="A568" s="7">
        <v>1.4568111725277988</v>
      </c>
      <c r="B568"/>
      <c r="C568"/>
      <c r="D568"/>
      <c r="E568" t="s">
        <v>8</v>
      </c>
      <c r="AJ568" s="27" t="s">
        <v>7</v>
      </c>
      <c r="AK568" s="27" t="s">
        <v>8</v>
      </c>
      <c r="AL568" s="27" t="s">
        <v>7</v>
      </c>
      <c r="EG568" s="27" t="s">
        <v>8</v>
      </c>
      <c r="EH568" s="27" t="s">
        <v>7</v>
      </c>
      <c r="EI568" s="27" t="s">
        <v>8</v>
      </c>
      <c r="EJ568" s="27" t="s">
        <v>7</v>
      </c>
      <c r="EP568" s="27" t="s">
        <v>7</v>
      </c>
      <c r="EQ568" s="27" t="s">
        <v>8</v>
      </c>
      <c r="EZ568" s="27" t="s">
        <v>7</v>
      </c>
      <c r="FA568" s="27" t="s">
        <v>8</v>
      </c>
      <c r="FB568" s="27" t="s">
        <v>7</v>
      </c>
      <c r="FE568" s="27" t="s">
        <v>8</v>
      </c>
      <c r="FF568" s="27" t="s">
        <v>7</v>
      </c>
    </row>
    <row r="569" spans="1:171" x14ac:dyDescent="0.25">
      <c r="A569" s="7">
        <v>1.4282462475762734</v>
      </c>
      <c r="B569"/>
      <c r="C569"/>
      <c r="D569"/>
      <c r="E569" t="s">
        <v>8</v>
      </c>
      <c r="AJ569" s="27" t="s">
        <v>7</v>
      </c>
      <c r="AL569" s="27" t="s">
        <v>7</v>
      </c>
      <c r="EG569" s="27" t="s">
        <v>8</v>
      </c>
      <c r="EH569" s="27" t="s">
        <v>7</v>
      </c>
      <c r="EI569" s="27" t="s">
        <v>8</v>
      </c>
      <c r="EP569" s="27" t="s">
        <v>7</v>
      </c>
      <c r="EQ569" s="27" t="s">
        <v>8</v>
      </c>
      <c r="EZ569" s="27" t="s">
        <v>7</v>
      </c>
      <c r="FA569" s="27" t="s">
        <v>8</v>
      </c>
      <c r="FB569" s="27" t="s">
        <v>7</v>
      </c>
      <c r="FE569" s="27" t="s">
        <v>8</v>
      </c>
      <c r="FF569" s="27" t="s">
        <v>7</v>
      </c>
      <c r="FM569" s="27" t="s">
        <v>8</v>
      </c>
    </row>
    <row r="570" spans="1:171" x14ac:dyDescent="0.25">
      <c r="A570" s="7">
        <v>1.4002414191924248</v>
      </c>
      <c r="B570"/>
      <c r="C570"/>
      <c r="D570"/>
      <c r="E570" t="s">
        <v>8</v>
      </c>
      <c r="AL570" s="27" t="s">
        <v>7</v>
      </c>
      <c r="EG570" s="27" t="s">
        <v>8</v>
      </c>
      <c r="EH570" s="27" t="s">
        <v>7</v>
      </c>
      <c r="EI570" s="27" t="s">
        <v>8</v>
      </c>
      <c r="EP570" s="27" t="s">
        <v>7</v>
      </c>
      <c r="EQ570" s="27" t="s">
        <v>8</v>
      </c>
      <c r="EZ570" s="27" t="s">
        <v>7</v>
      </c>
      <c r="FA570" s="27" t="s">
        <v>8</v>
      </c>
      <c r="FB570" s="27" t="s">
        <v>7</v>
      </c>
      <c r="FE570" s="27" t="s">
        <v>8</v>
      </c>
      <c r="FF570" s="27" t="s">
        <v>7</v>
      </c>
      <c r="FM570" s="27" t="s">
        <v>8</v>
      </c>
      <c r="FN570" s="27" t="s">
        <v>7</v>
      </c>
    </row>
    <row r="571" spans="1:171" x14ac:dyDescent="0.25">
      <c r="A571" s="7">
        <v>1.3727857050906125</v>
      </c>
      <c r="B571"/>
      <c r="C571"/>
      <c r="D571"/>
      <c r="E571" t="s">
        <v>8</v>
      </c>
      <c r="AL571" s="27" t="s">
        <v>7</v>
      </c>
      <c r="EG571" s="27" t="s">
        <v>8</v>
      </c>
      <c r="EH571" s="27" t="s">
        <v>7</v>
      </c>
      <c r="EI571" s="27" t="s">
        <v>8</v>
      </c>
      <c r="EP571" s="27" t="s">
        <v>7</v>
      </c>
      <c r="EZ571" s="27" t="s">
        <v>7</v>
      </c>
      <c r="FA571" s="27" t="s">
        <v>8</v>
      </c>
      <c r="FB571" s="27" t="s">
        <v>7</v>
      </c>
      <c r="FE571" s="27" t="s">
        <v>8</v>
      </c>
      <c r="FF571" s="27" t="s">
        <v>7</v>
      </c>
      <c r="FM571" s="27" t="s">
        <v>8</v>
      </c>
      <c r="FN571" s="27" t="s">
        <v>7</v>
      </c>
    </row>
    <row r="572" spans="1:171" x14ac:dyDescent="0.25">
      <c r="A572" s="7">
        <v>1.3458683383241299</v>
      </c>
      <c r="B572"/>
      <c r="C572"/>
      <c r="D572"/>
      <c r="E572" t="s">
        <v>8</v>
      </c>
      <c r="AL572" s="27" t="s">
        <v>7</v>
      </c>
      <c r="EG572" s="27" t="s">
        <v>8</v>
      </c>
      <c r="EH572" s="27" t="s">
        <v>7</v>
      </c>
      <c r="EI572" s="27" t="s">
        <v>8</v>
      </c>
      <c r="EZ572" s="27" t="s">
        <v>7</v>
      </c>
      <c r="FA572" s="27" t="s">
        <v>8</v>
      </c>
      <c r="FB572" s="27" t="s">
        <v>7</v>
      </c>
      <c r="FE572" s="27" t="s">
        <v>8</v>
      </c>
      <c r="FF572" s="27" t="s">
        <v>7</v>
      </c>
      <c r="FM572" s="27" t="s">
        <v>8</v>
      </c>
      <c r="FN572" s="27" t="s">
        <v>7</v>
      </c>
    </row>
    <row r="573" spans="1:171" x14ac:dyDescent="0.25">
      <c r="A573" s="7">
        <v>1.3194787630628724</v>
      </c>
      <c r="B573"/>
      <c r="C573"/>
      <c r="D573"/>
      <c r="E573" t="s">
        <v>8</v>
      </c>
      <c r="AL573" s="27" t="s">
        <v>7</v>
      </c>
      <c r="EG573" s="27" t="s">
        <v>8</v>
      </c>
      <c r="EH573" s="27" t="s">
        <v>7</v>
      </c>
      <c r="EI573" s="27" t="s">
        <v>8</v>
      </c>
      <c r="EZ573" s="27" t="s">
        <v>7</v>
      </c>
      <c r="FA573" s="27" t="s">
        <v>8</v>
      </c>
      <c r="FB573" s="27" t="s">
        <v>7</v>
      </c>
      <c r="FC573" s="27" t="s">
        <v>8</v>
      </c>
      <c r="FE573" s="27" t="s">
        <v>8</v>
      </c>
      <c r="FF573" s="27" t="s">
        <v>7</v>
      </c>
      <c r="FK573" s="27" t="s">
        <v>8</v>
      </c>
      <c r="FM573" s="27" t="s">
        <v>8</v>
      </c>
      <c r="FN573" s="27" t="s">
        <v>7</v>
      </c>
    </row>
    <row r="574" spans="1:171" x14ac:dyDescent="0.25">
      <c r="A574" s="7">
        <v>1.2936066304537963</v>
      </c>
      <c r="B574"/>
      <c r="C574"/>
      <c r="D574"/>
      <c r="E574" t="s">
        <v>8</v>
      </c>
      <c r="AL574" s="27" t="s">
        <v>7</v>
      </c>
      <c r="EG574" s="27" t="s">
        <v>8</v>
      </c>
      <c r="EH574" s="27" t="s">
        <v>7</v>
      </c>
      <c r="EI574" s="27" t="s">
        <v>8</v>
      </c>
      <c r="EZ574" s="27" t="s">
        <v>7</v>
      </c>
      <c r="FA574" s="27" t="s">
        <v>8</v>
      </c>
      <c r="FB574" s="27" t="s">
        <v>7</v>
      </c>
      <c r="FC574" s="27" t="s">
        <v>8</v>
      </c>
      <c r="FD574" s="27" t="s">
        <v>7</v>
      </c>
      <c r="FE574" s="27" t="s">
        <v>8</v>
      </c>
      <c r="FF574" s="27" t="s">
        <v>7</v>
      </c>
      <c r="FK574" s="27" t="s">
        <v>8</v>
      </c>
      <c r="FL574" s="27" t="s">
        <v>7</v>
      </c>
      <c r="FM574" s="27" t="s">
        <v>8</v>
      </c>
      <c r="FN574" s="27" t="s">
        <v>7</v>
      </c>
    </row>
    <row r="575" spans="1:171" x14ac:dyDescent="0.25">
      <c r="A575" s="7">
        <v>1.2682417945625455</v>
      </c>
      <c r="B575"/>
      <c r="C575"/>
      <c r="D575"/>
      <c r="E575" t="s">
        <v>8</v>
      </c>
      <c r="AL575" s="27" t="s">
        <v>7</v>
      </c>
      <c r="EE575" s="27" t="s">
        <v>8</v>
      </c>
      <c r="EG575" s="27" t="s">
        <v>8</v>
      </c>
      <c r="EH575" s="27" t="s">
        <v>7</v>
      </c>
      <c r="EZ575" s="27" t="s">
        <v>7</v>
      </c>
      <c r="FA575" s="27" t="s">
        <v>8</v>
      </c>
      <c r="FB575" s="27" t="s">
        <v>7</v>
      </c>
      <c r="FC575" s="27" t="s">
        <v>8</v>
      </c>
      <c r="FD575" s="27" t="s">
        <v>7</v>
      </c>
      <c r="FE575" s="27" t="s">
        <v>8</v>
      </c>
      <c r="FF575" s="27" t="s">
        <v>7</v>
      </c>
      <c r="FG575" s="27" t="s">
        <v>8</v>
      </c>
      <c r="FI575" s="27" t="s">
        <v>8</v>
      </c>
      <c r="FK575" s="27" t="s">
        <v>8</v>
      </c>
      <c r="FL575" s="27" t="s">
        <v>7</v>
      </c>
      <c r="FM575" s="27" t="s">
        <v>8</v>
      </c>
      <c r="FN575" s="27" t="s">
        <v>7</v>
      </c>
    </row>
    <row r="576" spans="1:171" x14ac:dyDescent="0.25">
      <c r="A576" s="7">
        <v>1.2433743083946525</v>
      </c>
      <c r="B576"/>
      <c r="C576"/>
      <c r="D576"/>
      <c r="E576" t="s">
        <v>8</v>
      </c>
      <c r="AL576" s="27" t="s">
        <v>7</v>
      </c>
      <c r="EE576" s="27" t="s">
        <v>8</v>
      </c>
      <c r="EF576" s="27" t="s">
        <v>7</v>
      </c>
      <c r="EG576" s="27" t="s">
        <v>8</v>
      </c>
      <c r="EZ576" s="27" t="s">
        <v>7</v>
      </c>
      <c r="FA576" s="27" t="s">
        <v>8</v>
      </c>
      <c r="FB576" s="27" t="s">
        <v>7</v>
      </c>
      <c r="FC576" s="27" t="s">
        <v>8</v>
      </c>
      <c r="FD576" s="27" t="s">
        <v>7</v>
      </c>
      <c r="FE576" s="27" t="s">
        <v>8</v>
      </c>
      <c r="FF576" s="27" t="s">
        <v>7</v>
      </c>
      <c r="FG576" s="27" t="s">
        <v>8</v>
      </c>
      <c r="FH576" s="27" t="s">
        <v>7</v>
      </c>
      <c r="FI576" s="27" t="s">
        <v>8</v>
      </c>
      <c r="FJ576" s="27" t="s">
        <v>7</v>
      </c>
      <c r="FK576" s="27" t="s">
        <v>8</v>
      </c>
      <c r="FL576" s="27" t="s">
        <v>7</v>
      </c>
      <c r="FM576" s="27" t="s">
        <v>8</v>
      </c>
      <c r="FN576" s="27" t="s">
        <v>7</v>
      </c>
      <c r="FO576" s="27" t="s">
        <v>8</v>
      </c>
    </row>
    <row r="577" spans="1:180" x14ac:dyDescent="0.25">
      <c r="A577" s="7">
        <v>1.2189944199947573</v>
      </c>
      <c r="B577"/>
      <c r="C577"/>
      <c r="D577"/>
      <c r="E577" t="s">
        <v>8</v>
      </c>
      <c r="AL577" s="27" t="s">
        <v>7</v>
      </c>
      <c r="CG577" s="27" t="s">
        <v>8</v>
      </c>
      <c r="EE577" s="27" t="s">
        <v>8</v>
      </c>
      <c r="EF577" s="27" t="s">
        <v>7</v>
      </c>
      <c r="EG577" s="27" t="s">
        <v>8</v>
      </c>
      <c r="EZ577" s="27" t="s">
        <v>7</v>
      </c>
      <c r="FA577" s="27" t="s">
        <v>8</v>
      </c>
      <c r="FB577" s="27" t="s">
        <v>7</v>
      </c>
      <c r="FC577" s="27" t="s">
        <v>8</v>
      </c>
      <c r="FD577" s="27" t="s">
        <v>7</v>
      </c>
      <c r="FE577" s="27" t="s">
        <v>8</v>
      </c>
      <c r="FF577" s="27" t="s">
        <v>7</v>
      </c>
      <c r="FG577" s="27" t="s">
        <v>8</v>
      </c>
      <c r="FH577" s="27" t="s">
        <v>7</v>
      </c>
      <c r="FI577" s="27" t="s">
        <v>8</v>
      </c>
      <c r="FJ577" s="27" t="s">
        <v>7</v>
      </c>
      <c r="FK577" s="27" t="s">
        <v>8</v>
      </c>
      <c r="FL577" s="27" t="s">
        <v>7</v>
      </c>
      <c r="FN577" s="27" t="s">
        <v>7</v>
      </c>
      <c r="FO577" s="27" t="s">
        <v>8</v>
      </c>
      <c r="FP577" s="27" t="s">
        <v>7</v>
      </c>
    </row>
    <row r="578" spans="1:180" x14ac:dyDescent="0.25">
      <c r="A578" s="7">
        <v>1.1950925686223111</v>
      </c>
      <c r="B578"/>
      <c r="C578"/>
      <c r="D578"/>
      <c r="E578" t="s">
        <v>8</v>
      </c>
      <c r="AL578" s="27" t="s">
        <v>7</v>
      </c>
      <c r="CG578" s="27" t="s">
        <v>8</v>
      </c>
      <c r="CH578" s="27" t="s">
        <v>7</v>
      </c>
      <c r="EE578" s="27" t="s">
        <v>8</v>
      </c>
      <c r="EF578" s="27" t="s">
        <v>7</v>
      </c>
      <c r="EG578" s="27" t="s">
        <v>8</v>
      </c>
      <c r="EZ578" s="27" t="s">
        <v>7</v>
      </c>
      <c r="FA578" s="27" t="s">
        <v>8</v>
      </c>
      <c r="FB578" s="27" t="s">
        <v>7</v>
      </c>
      <c r="FC578" s="27" t="s">
        <v>8</v>
      </c>
      <c r="FD578" s="27" t="s">
        <v>7</v>
      </c>
      <c r="FE578" s="27" t="s">
        <v>8</v>
      </c>
      <c r="FF578" s="27" t="s">
        <v>7</v>
      </c>
      <c r="FG578" s="27" t="s">
        <v>8</v>
      </c>
      <c r="FH578" s="27" t="s">
        <v>7</v>
      </c>
      <c r="FI578" s="27" t="s">
        <v>8</v>
      </c>
      <c r="FJ578" s="27" t="s">
        <v>7</v>
      </c>
      <c r="FK578" s="27" t="s">
        <v>8</v>
      </c>
      <c r="FN578" s="27" t="s">
        <v>7</v>
      </c>
      <c r="FO578" s="27" t="s">
        <v>8</v>
      </c>
      <c r="FP578" s="27" t="s">
        <v>7</v>
      </c>
      <c r="FU578" s="27" t="s">
        <v>8</v>
      </c>
    </row>
    <row r="579" spans="1:180" x14ac:dyDescent="0.25">
      <c r="A579" s="7">
        <v>1.1716593810022657</v>
      </c>
      <c r="B579"/>
      <c r="C579"/>
      <c r="D579"/>
      <c r="E579" t="s">
        <v>8</v>
      </c>
      <c r="AL579" s="27" t="s">
        <v>7</v>
      </c>
      <c r="CC579" s="27" t="s">
        <v>8</v>
      </c>
      <c r="CG579" s="27" t="s">
        <v>8</v>
      </c>
      <c r="CH579" s="27" t="s">
        <v>7</v>
      </c>
      <c r="CS579" s="27" t="s">
        <v>8</v>
      </c>
      <c r="EE579" s="27" t="s">
        <v>8</v>
      </c>
      <c r="EF579" s="27" t="s">
        <v>7</v>
      </c>
      <c r="EG579" s="27" t="s">
        <v>8</v>
      </c>
      <c r="EZ579" s="27" t="s">
        <v>7</v>
      </c>
      <c r="FB579" s="27" t="s">
        <v>7</v>
      </c>
      <c r="FD579" s="27" t="s">
        <v>7</v>
      </c>
      <c r="FE579" s="27" t="s">
        <v>8</v>
      </c>
      <c r="FF579" s="27" t="s">
        <v>7</v>
      </c>
      <c r="FG579" s="27" t="s">
        <v>8</v>
      </c>
      <c r="FH579" s="27" t="s">
        <v>7</v>
      </c>
      <c r="FI579" s="27" t="s">
        <v>8</v>
      </c>
      <c r="FJ579" s="27" t="s">
        <v>7</v>
      </c>
      <c r="FN579" s="27" t="s">
        <v>7</v>
      </c>
      <c r="FO579" s="27" t="s">
        <v>8</v>
      </c>
      <c r="FP579" s="27" t="s">
        <v>7</v>
      </c>
      <c r="FU579" s="27" t="s">
        <v>8</v>
      </c>
      <c r="FV579" s="27" t="s">
        <v>7</v>
      </c>
    </row>
    <row r="580" spans="1:180" x14ac:dyDescent="0.25">
      <c r="A580" s="7">
        <v>1.14868566764928</v>
      </c>
      <c r="B580"/>
      <c r="C580"/>
      <c r="D580"/>
      <c r="E580" t="s">
        <v>8</v>
      </c>
      <c r="AL580" s="27" t="s">
        <v>7</v>
      </c>
      <c r="CC580" s="27" t="s">
        <v>8</v>
      </c>
      <c r="CD580" s="27" t="s">
        <v>7</v>
      </c>
      <c r="CG580" s="27" t="s">
        <v>8</v>
      </c>
      <c r="CH580" s="27" t="s">
        <v>7</v>
      </c>
      <c r="CS580" s="27" t="s">
        <v>8</v>
      </c>
      <c r="CT580" s="27" t="s">
        <v>7</v>
      </c>
      <c r="EE580" s="27" t="s">
        <v>8</v>
      </c>
      <c r="EF580" s="27" t="s">
        <v>7</v>
      </c>
      <c r="EG580" s="27" t="s">
        <v>8</v>
      </c>
      <c r="FD580" s="27" t="s">
        <v>7</v>
      </c>
      <c r="FE580" s="27" t="s">
        <v>8</v>
      </c>
      <c r="FF580" s="27" t="s">
        <v>7</v>
      </c>
      <c r="FH580" s="27" t="s">
        <v>7</v>
      </c>
      <c r="FI580" s="27" t="s">
        <v>8</v>
      </c>
      <c r="FN580" s="27" t="s">
        <v>7</v>
      </c>
      <c r="FO580" s="27" t="s">
        <v>8</v>
      </c>
      <c r="FP580" s="27" t="s">
        <v>7</v>
      </c>
      <c r="FU580" s="27" t="s">
        <v>8</v>
      </c>
      <c r="FV580" s="27" t="s">
        <v>7</v>
      </c>
    </row>
    <row r="581" spans="1:180" x14ac:dyDescent="0.25">
      <c r="A581" s="7">
        <v>1.1261624192640001</v>
      </c>
      <c r="B581"/>
      <c r="C581"/>
      <c r="D581"/>
      <c r="E581" t="s">
        <v>8</v>
      </c>
      <c r="AL581" s="27" t="s">
        <v>7</v>
      </c>
      <c r="CC581" s="27" t="s">
        <v>8</v>
      </c>
      <c r="CD581" s="27" t="s">
        <v>7</v>
      </c>
      <c r="CG581" s="27" t="s">
        <v>8</v>
      </c>
      <c r="CH581" s="27" t="s">
        <v>7</v>
      </c>
      <c r="CS581" s="27" t="s">
        <v>8</v>
      </c>
      <c r="CT581" s="27" t="s">
        <v>7</v>
      </c>
      <c r="EE581" s="27" t="s">
        <v>8</v>
      </c>
      <c r="EF581" s="27" t="s">
        <v>7</v>
      </c>
      <c r="EG581" s="27" t="s">
        <v>8</v>
      </c>
      <c r="FD581" s="27" t="s">
        <v>7</v>
      </c>
      <c r="FE581" s="27" t="s">
        <v>8</v>
      </c>
      <c r="FH581" s="27" t="s">
        <v>7</v>
      </c>
      <c r="FI581" s="27" t="s">
        <v>8</v>
      </c>
      <c r="FN581" s="27" t="s">
        <v>7</v>
      </c>
      <c r="FP581" s="27" t="s">
        <v>7</v>
      </c>
      <c r="FU581" s="27" t="s">
        <v>8</v>
      </c>
      <c r="FV581" s="27" t="s">
        <v>7</v>
      </c>
      <c r="FW581" s="27" t="s">
        <v>8</v>
      </c>
    </row>
    <row r="582" spans="1:180" x14ac:dyDescent="0.25">
      <c r="A582" s="7">
        <v>1.1040808032</v>
      </c>
      <c r="B582"/>
      <c r="C582"/>
      <c r="D582"/>
      <c r="E582" t="s">
        <v>8</v>
      </c>
      <c r="AL582" s="27" t="s">
        <v>7</v>
      </c>
      <c r="CC582" s="27" t="s">
        <v>8</v>
      </c>
      <c r="CD582" s="27" t="s">
        <v>7</v>
      </c>
      <c r="CG582" s="27" t="s">
        <v>8</v>
      </c>
      <c r="CH582" s="27" t="s">
        <v>7</v>
      </c>
      <c r="CS582" s="27" t="s">
        <v>8</v>
      </c>
      <c r="CT582" s="27" t="s">
        <v>7</v>
      </c>
      <c r="EE582" s="27" t="s">
        <v>8</v>
      </c>
      <c r="EF582" s="27" t="s">
        <v>7</v>
      </c>
      <c r="EG582" s="27" t="s">
        <v>8</v>
      </c>
      <c r="FD582" s="27" t="s">
        <v>7</v>
      </c>
      <c r="FE582" s="27" t="s">
        <v>8</v>
      </c>
      <c r="FH582" s="27" t="s">
        <v>7</v>
      </c>
      <c r="FI582" s="27" t="s">
        <v>8</v>
      </c>
      <c r="FP582" s="27" t="s">
        <v>7</v>
      </c>
      <c r="FQ582" s="27" t="s">
        <v>8</v>
      </c>
      <c r="FU582" s="27" t="s">
        <v>8</v>
      </c>
      <c r="FV582" s="27" t="s">
        <v>7</v>
      </c>
      <c r="FW582" s="27" t="s">
        <v>8</v>
      </c>
      <c r="FX582" s="27" t="s">
        <v>7</v>
      </c>
    </row>
    <row r="583" spans="1:180" x14ac:dyDescent="0.25">
      <c r="A583" s="7">
        <v>1.08243216</v>
      </c>
      <c r="B583"/>
      <c r="C583"/>
      <c r="D583"/>
      <c r="E583" t="s">
        <v>8</v>
      </c>
      <c r="AL583" s="27" t="s">
        <v>7</v>
      </c>
      <c r="CC583" s="27" t="s">
        <v>8</v>
      </c>
      <c r="CD583" s="27" t="s">
        <v>7</v>
      </c>
      <c r="CG583" s="27" t="s">
        <v>8</v>
      </c>
      <c r="CH583" s="27" t="s">
        <v>7</v>
      </c>
      <c r="CI583" s="27" t="s">
        <v>8</v>
      </c>
      <c r="CS583" s="27" t="s">
        <v>8</v>
      </c>
      <c r="CT583" s="27" t="s">
        <v>7</v>
      </c>
      <c r="EE583" s="27" t="s">
        <v>8</v>
      </c>
      <c r="EF583" s="27" t="s">
        <v>7</v>
      </c>
      <c r="EG583" s="27" t="s">
        <v>8</v>
      </c>
      <c r="FD583" s="27" t="s">
        <v>7</v>
      </c>
      <c r="FE583" s="27" t="s">
        <v>8</v>
      </c>
      <c r="FH583" s="27" t="s">
        <v>7</v>
      </c>
      <c r="FP583" s="27" t="s">
        <v>7</v>
      </c>
      <c r="FQ583" s="27" t="s">
        <v>8</v>
      </c>
      <c r="FR583" s="27" t="s">
        <v>7</v>
      </c>
      <c r="FU583" s="27" t="s">
        <v>8</v>
      </c>
      <c r="FV583" s="27" t="s">
        <v>7</v>
      </c>
      <c r="FW583" s="27" t="s">
        <v>8</v>
      </c>
      <c r="FX583" s="27" t="s">
        <v>7</v>
      </c>
    </row>
    <row r="584" spans="1:180" x14ac:dyDescent="0.25">
      <c r="A584" s="7">
        <v>1.0612079999999999</v>
      </c>
      <c r="B584"/>
      <c r="C584"/>
      <c r="D584"/>
      <c r="E584" t="s">
        <v>8</v>
      </c>
      <c r="AL584" s="27" t="s">
        <v>7</v>
      </c>
      <c r="AM584" s="27" t="s">
        <v>8</v>
      </c>
      <c r="CC584" s="27" t="s">
        <v>8</v>
      </c>
      <c r="CD584" s="27" t="s">
        <v>7</v>
      </c>
      <c r="CG584" s="27" t="s">
        <v>8</v>
      </c>
      <c r="CH584" s="27" t="s">
        <v>7</v>
      </c>
      <c r="CI584" s="27" t="s">
        <v>8</v>
      </c>
      <c r="CJ584" s="27" t="s">
        <v>7</v>
      </c>
      <c r="CS584" s="27" t="s">
        <v>8</v>
      </c>
      <c r="CT584" s="27" t="s">
        <v>7</v>
      </c>
      <c r="EE584" s="27" t="s">
        <v>8</v>
      </c>
      <c r="EF584" s="27" t="s">
        <v>7</v>
      </c>
      <c r="EG584" s="27" t="s">
        <v>8</v>
      </c>
      <c r="FD584" s="27" t="s">
        <v>7</v>
      </c>
      <c r="FE584" s="27" t="s">
        <v>8</v>
      </c>
      <c r="FP584" s="27" t="s">
        <v>7</v>
      </c>
      <c r="FQ584" s="27" t="s">
        <v>8</v>
      </c>
      <c r="FR584" s="27" t="s">
        <v>7</v>
      </c>
      <c r="FS584" s="27" t="s">
        <v>8</v>
      </c>
      <c r="FU584" s="27" t="s">
        <v>8</v>
      </c>
      <c r="FV584" s="27" t="s">
        <v>7</v>
      </c>
      <c r="FX584" s="27" t="s">
        <v>7</v>
      </c>
    </row>
    <row r="585" spans="1:180" x14ac:dyDescent="0.25">
      <c r="A585" s="7">
        <v>1.0404</v>
      </c>
      <c r="B585"/>
      <c r="C585"/>
      <c r="D585"/>
      <c r="E585" t="s">
        <v>8</v>
      </c>
      <c r="AL585" s="27" t="s">
        <v>7</v>
      </c>
      <c r="AM585" s="27" t="s">
        <v>8</v>
      </c>
      <c r="AN585" s="27" t="s">
        <v>7</v>
      </c>
      <c r="CC585" s="27" t="s">
        <v>8</v>
      </c>
      <c r="CD585" s="27" t="s">
        <v>7</v>
      </c>
      <c r="CG585" s="27" t="s">
        <v>8</v>
      </c>
      <c r="CH585" s="27" t="s">
        <v>7</v>
      </c>
      <c r="CI585" s="27" t="s">
        <v>8</v>
      </c>
      <c r="CJ585" s="27" t="s">
        <v>7</v>
      </c>
      <c r="CS585" s="27" t="s">
        <v>8</v>
      </c>
      <c r="CT585" s="27" t="s">
        <v>7</v>
      </c>
      <c r="EE585" s="27" t="s">
        <v>8</v>
      </c>
      <c r="EF585" s="27" t="s">
        <v>7</v>
      </c>
      <c r="EG585" s="27" t="s">
        <v>8</v>
      </c>
      <c r="FD585" s="27" t="s">
        <v>7</v>
      </c>
      <c r="FP585" s="27" t="s">
        <v>7</v>
      </c>
      <c r="FQ585" s="27" t="s">
        <v>8</v>
      </c>
      <c r="FR585" s="27" t="s">
        <v>7</v>
      </c>
      <c r="FS585" s="27" t="s">
        <v>8</v>
      </c>
      <c r="FT585" s="27" t="s">
        <v>7</v>
      </c>
      <c r="FU585" s="27" t="s">
        <v>8</v>
      </c>
      <c r="FX585" s="27" t="s">
        <v>7</v>
      </c>
    </row>
    <row r="586" spans="1:180" x14ac:dyDescent="0.25">
      <c r="A586" s="7">
        <v>1.02</v>
      </c>
      <c r="B586"/>
      <c r="C586"/>
      <c r="D586"/>
      <c r="E586" t="s">
        <v>8</v>
      </c>
      <c r="AL586" s="27" t="s">
        <v>7</v>
      </c>
      <c r="AM586" s="27" t="s">
        <v>8</v>
      </c>
      <c r="AN586" s="27" t="s">
        <v>7</v>
      </c>
      <c r="CC586" s="27" t="s">
        <v>8</v>
      </c>
      <c r="CD586" s="27" t="s">
        <v>7</v>
      </c>
      <c r="CE586" s="27" t="s">
        <v>8</v>
      </c>
      <c r="CG586" s="27" t="s">
        <v>8</v>
      </c>
      <c r="CH586" s="27" t="s">
        <v>7</v>
      </c>
      <c r="CI586" s="27" t="s">
        <v>8</v>
      </c>
      <c r="CJ586" s="27" t="s">
        <v>7</v>
      </c>
      <c r="CS586" s="27" t="s">
        <v>8</v>
      </c>
      <c r="CT586" s="27" t="s">
        <v>7</v>
      </c>
      <c r="EE586" s="27" t="s">
        <v>8</v>
      </c>
      <c r="EF586" s="27" t="s">
        <v>7</v>
      </c>
      <c r="EG586" s="27" t="s">
        <v>8</v>
      </c>
      <c r="FP586" s="27" t="s">
        <v>7</v>
      </c>
      <c r="FQ586" s="27" t="s">
        <v>8</v>
      </c>
      <c r="FR586" s="27" t="s">
        <v>7</v>
      </c>
      <c r="FS586" s="27" t="s">
        <v>8</v>
      </c>
      <c r="FT586" s="27" t="s">
        <v>7</v>
      </c>
      <c r="FU586" s="27" t="s">
        <v>8</v>
      </c>
      <c r="FX586" s="27" t="s">
        <v>7</v>
      </c>
    </row>
    <row r="587" spans="1:180" x14ac:dyDescent="0.25">
      <c r="A587" s="7">
        <v>1</v>
      </c>
      <c r="B587"/>
      <c r="C587"/>
      <c r="D587"/>
      <c r="E587" s="29" t="s">
        <v>8</v>
      </c>
      <c r="AL587" s="27" t="s">
        <v>7</v>
      </c>
      <c r="AM587" s="27" t="s">
        <v>8</v>
      </c>
      <c r="AN587" s="27" t="s">
        <v>7</v>
      </c>
      <c r="CC587" s="27" t="s">
        <v>8</v>
      </c>
      <c r="CD587" s="27" t="s">
        <v>7</v>
      </c>
      <c r="CE587" s="27" t="s">
        <v>8</v>
      </c>
      <c r="CF587" s="27" t="s">
        <v>7</v>
      </c>
      <c r="CG587" s="27" t="s">
        <v>8</v>
      </c>
      <c r="CH587" s="27" t="s">
        <v>7</v>
      </c>
      <c r="CI587" s="27" t="s">
        <v>8</v>
      </c>
      <c r="CJ587" s="27" t="s">
        <v>7</v>
      </c>
      <c r="CS587" s="27" t="s">
        <v>8</v>
      </c>
      <c r="CT587" s="27" t="s">
        <v>7</v>
      </c>
      <c r="EE587" s="27" t="s">
        <v>8</v>
      </c>
      <c r="EF587" s="27" t="s">
        <v>7</v>
      </c>
      <c r="EG587" s="27" t="s">
        <v>8</v>
      </c>
      <c r="FP587" s="27" t="s">
        <v>7</v>
      </c>
      <c r="FR587" s="27" t="s">
        <v>7</v>
      </c>
      <c r="FS587" s="27" t="s">
        <v>8</v>
      </c>
      <c r="FT587" s="27" t="s">
        <v>7</v>
      </c>
      <c r="FU587" s="27" t="s">
        <v>8</v>
      </c>
      <c r="FX587" s="27" t="s">
        <v>7</v>
      </c>
    </row>
    <row r="588" spans="1:180" x14ac:dyDescent="0.25">
      <c r="A588" s="7">
        <v>0.98039215686274506</v>
      </c>
      <c r="B588"/>
      <c r="C588"/>
      <c r="D588"/>
      <c r="E588"/>
      <c r="AL588" s="27" t="s">
        <v>7</v>
      </c>
      <c r="AM588" s="27" t="s">
        <v>8</v>
      </c>
      <c r="AN588" s="27" t="s">
        <v>7</v>
      </c>
      <c r="AS588" s="27" t="s">
        <v>8</v>
      </c>
      <c r="CC588" s="27" t="s">
        <v>8</v>
      </c>
      <c r="CD588" s="27" t="s">
        <v>7</v>
      </c>
      <c r="CE588" s="27" t="s">
        <v>8</v>
      </c>
      <c r="CF588" s="27" t="s">
        <v>7</v>
      </c>
      <c r="CG588" s="27" t="s">
        <v>8</v>
      </c>
      <c r="CH588" s="27" t="s">
        <v>7</v>
      </c>
      <c r="CI588" s="27" t="s">
        <v>8</v>
      </c>
      <c r="CJ588" s="27" t="s">
        <v>7</v>
      </c>
      <c r="CO588" s="27" t="s">
        <v>8</v>
      </c>
      <c r="CS588" s="27" t="s">
        <v>8</v>
      </c>
      <c r="CT588" s="27" t="s">
        <v>7</v>
      </c>
      <c r="CW588" s="27" t="s">
        <v>8</v>
      </c>
      <c r="EA588" s="27" t="s">
        <v>8</v>
      </c>
      <c r="EE588" s="27" t="s">
        <v>8</v>
      </c>
      <c r="EF588" s="27" t="s">
        <v>7</v>
      </c>
      <c r="EG588" s="27" t="s">
        <v>8</v>
      </c>
      <c r="FR588" s="27" t="s">
        <v>7</v>
      </c>
      <c r="FT588" s="27" t="s">
        <v>7</v>
      </c>
      <c r="FU588" s="27" t="s">
        <v>8</v>
      </c>
      <c r="FX588" s="27" t="s">
        <v>7</v>
      </c>
    </row>
    <row r="589" spans="1:180" x14ac:dyDescent="0.25">
      <c r="A589" s="7">
        <v>0.96116878123798544</v>
      </c>
      <c r="B589"/>
      <c r="C589"/>
      <c r="D589"/>
      <c r="E589"/>
      <c r="AL589" s="27" t="s">
        <v>7</v>
      </c>
      <c r="AM589" s="27" t="s">
        <v>8</v>
      </c>
      <c r="AN589" s="27" t="s">
        <v>7</v>
      </c>
      <c r="AS589" s="27" t="s">
        <v>8</v>
      </c>
      <c r="AT589" s="27" t="s">
        <v>7</v>
      </c>
      <c r="CC589" s="27" t="s">
        <v>8</v>
      </c>
      <c r="CD589" s="27" t="s">
        <v>7</v>
      </c>
      <c r="CE589" s="27" t="s">
        <v>8</v>
      </c>
      <c r="CF589" s="27" t="s">
        <v>7</v>
      </c>
      <c r="CG589" s="27" t="s">
        <v>8</v>
      </c>
      <c r="CH589" s="27" t="s">
        <v>7</v>
      </c>
      <c r="CI589" s="27" t="s">
        <v>8</v>
      </c>
      <c r="CJ589" s="27" t="s">
        <v>7</v>
      </c>
      <c r="CK589" s="27" t="s">
        <v>8</v>
      </c>
      <c r="CO589" s="27" t="s">
        <v>8</v>
      </c>
      <c r="CP589" s="27" t="s">
        <v>7</v>
      </c>
      <c r="CS589" s="27" t="s">
        <v>8</v>
      </c>
      <c r="CT589" s="27" t="s">
        <v>7</v>
      </c>
      <c r="CW589" s="27" t="s">
        <v>8</v>
      </c>
      <c r="CX589" s="27" t="s">
        <v>7</v>
      </c>
      <c r="EA589" s="27" t="s">
        <v>8</v>
      </c>
      <c r="EB589" s="27" t="s">
        <v>7</v>
      </c>
      <c r="EE589" s="27" t="s">
        <v>8</v>
      </c>
      <c r="EF589" s="27" t="s">
        <v>7</v>
      </c>
      <c r="EG589" s="27" t="s">
        <v>8</v>
      </c>
      <c r="FT589" s="27" t="s">
        <v>7</v>
      </c>
      <c r="FU589" s="27" t="s">
        <v>8</v>
      </c>
      <c r="FX589" s="27" t="s">
        <v>7</v>
      </c>
    </row>
    <row r="590" spans="1:180" x14ac:dyDescent="0.25">
      <c r="A590" s="7">
        <v>0.94232233454704462</v>
      </c>
      <c r="B590"/>
      <c r="C590"/>
      <c r="D590"/>
      <c r="E590"/>
      <c r="AL590" s="27" t="s">
        <v>7</v>
      </c>
      <c r="AM590" s="27" t="s">
        <v>8</v>
      </c>
      <c r="AN590" s="27" t="s">
        <v>7</v>
      </c>
      <c r="AQ590" s="27" t="s">
        <v>8</v>
      </c>
      <c r="AS590" s="27" t="s">
        <v>8</v>
      </c>
      <c r="AT590" s="27" t="s">
        <v>7</v>
      </c>
      <c r="BU590" s="27" t="s">
        <v>8</v>
      </c>
      <c r="CC590" s="27" t="s">
        <v>8</v>
      </c>
      <c r="CD590" s="27" t="s">
        <v>7</v>
      </c>
      <c r="CE590" s="27" t="s">
        <v>8</v>
      </c>
      <c r="CF590" s="27" t="s">
        <v>7</v>
      </c>
      <c r="CG590" s="27" t="s">
        <v>8</v>
      </c>
      <c r="CH590" s="27" t="s">
        <v>7</v>
      </c>
      <c r="CI590" s="27" t="s">
        <v>8</v>
      </c>
      <c r="CJ590" s="27" t="s">
        <v>7</v>
      </c>
      <c r="CK590" s="27" t="s">
        <v>8</v>
      </c>
      <c r="CL590" s="27" t="s">
        <v>7</v>
      </c>
      <c r="CM590" s="27" t="s">
        <v>8</v>
      </c>
      <c r="CO590" s="27" t="s">
        <v>8</v>
      </c>
      <c r="CP590" s="27" t="s">
        <v>7</v>
      </c>
      <c r="CQ590" s="27" t="s">
        <v>8</v>
      </c>
      <c r="CS590" s="27" t="s">
        <v>8</v>
      </c>
      <c r="CT590" s="27" t="s">
        <v>7</v>
      </c>
      <c r="CW590" s="27" t="s">
        <v>8</v>
      </c>
      <c r="CX590" s="27" t="s">
        <v>7</v>
      </c>
      <c r="EA590" s="27" t="s">
        <v>8</v>
      </c>
      <c r="EB590" s="27" t="s">
        <v>7</v>
      </c>
      <c r="EE590" s="27" t="s">
        <v>8</v>
      </c>
      <c r="EF590" s="27" t="s">
        <v>7</v>
      </c>
      <c r="FT590" s="27" t="s">
        <v>7</v>
      </c>
      <c r="FU590" s="27" t="s">
        <v>8</v>
      </c>
      <c r="FX590" s="27" t="s">
        <v>7</v>
      </c>
    </row>
    <row r="591" spans="1:180" x14ac:dyDescent="0.25">
      <c r="A591" s="7">
        <v>0.92384542602651432</v>
      </c>
      <c r="B591"/>
      <c r="C591"/>
      <c r="D591"/>
      <c r="E591"/>
      <c r="AL591" s="27" t="s">
        <v>7</v>
      </c>
      <c r="AM591" s="27" t="s">
        <v>8</v>
      </c>
      <c r="AN591" s="27" t="s">
        <v>7</v>
      </c>
      <c r="AQ591" s="27" t="s">
        <v>8</v>
      </c>
      <c r="AR591" s="27" t="s">
        <v>7</v>
      </c>
      <c r="AS591" s="27" t="s">
        <v>8</v>
      </c>
      <c r="AT591" s="27" t="s">
        <v>7</v>
      </c>
      <c r="BU591" s="27" t="s">
        <v>8</v>
      </c>
      <c r="BV591" s="27" t="s">
        <v>7</v>
      </c>
      <c r="CC591" s="27" t="s">
        <v>8</v>
      </c>
      <c r="CD591" s="27" t="s">
        <v>7</v>
      </c>
      <c r="CE591" s="27" t="s">
        <v>8</v>
      </c>
      <c r="CF591" s="27" t="s">
        <v>7</v>
      </c>
      <c r="CG591" s="27" t="s">
        <v>8</v>
      </c>
      <c r="CH591" s="27" t="s">
        <v>7</v>
      </c>
      <c r="CI591" s="27" t="s">
        <v>8</v>
      </c>
      <c r="CJ591" s="27" t="s">
        <v>7</v>
      </c>
      <c r="CK591" s="27" t="s">
        <v>8</v>
      </c>
      <c r="CL591" s="27" t="s">
        <v>7</v>
      </c>
      <c r="CM591" s="27" t="s">
        <v>8</v>
      </c>
      <c r="CN591" s="27" t="s">
        <v>7</v>
      </c>
      <c r="CO591" s="27" t="s">
        <v>8</v>
      </c>
      <c r="CP591" s="27" t="s">
        <v>7</v>
      </c>
      <c r="CQ591" s="27" t="s">
        <v>8</v>
      </c>
      <c r="CR591" s="27" t="s">
        <v>7</v>
      </c>
      <c r="CS591" s="27" t="s">
        <v>8</v>
      </c>
      <c r="CT591" s="27" t="s">
        <v>7</v>
      </c>
      <c r="CW591" s="27" t="s">
        <v>8</v>
      </c>
      <c r="CX591" s="27" t="s">
        <v>7</v>
      </c>
      <c r="DC591" s="27" t="s">
        <v>8</v>
      </c>
      <c r="DW591" s="27" t="s">
        <v>8</v>
      </c>
      <c r="EA591" s="27" t="s">
        <v>8</v>
      </c>
      <c r="EB591" s="27" t="s">
        <v>7</v>
      </c>
      <c r="EE591" s="27" t="s">
        <v>8</v>
      </c>
      <c r="FT591" s="27" t="s">
        <v>7</v>
      </c>
      <c r="FU591" s="27" t="s">
        <v>8</v>
      </c>
      <c r="FX591" s="27" t="s">
        <v>7</v>
      </c>
    </row>
    <row r="592" spans="1:180" x14ac:dyDescent="0.25">
      <c r="A592" s="7">
        <v>0.90573080982991594</v>
      </c>
      <c r="B592"/>
      <c r="C592"/>
      <c r="D592"/>
      <c r="E592"/>
      <c r="AL592" s="27" t="s">
        <v>7</v>
      </c>
      <c r="AM592" s="27" t="s">
        <v>8</v>
      </c>
      <c r="AN592" s="27" t="s">
        <v>7</v>
      </c>
      <c r="AQ592" s="27" t="s">
        <v>8</v>
      </c>
      <c r="AR592" s="27" t="s">
        <v>7</v>
      </c>
      <c r="AS592" s="27" t="s">
        <v>8</v>
      </c>
      <c r="AT592" s="27" t="s">
        <v>7</v>
      </c>
      <c r="BU592" s="27" t="s">
        <v>8</v>
      </c>
      <c r="BV592" s="27" t="s">
        <v>7</v>
      </c>
      <c r="CC592" s="27" t="s">
        <v>8</v>
      </c>
      <c r="CD592" s="27" t="s">
        <v>7</v>
      </c>
      <c r="CE592" s="27" t="s">
        <v>8</v>
      </c>
      <c r="CF592" s="27" t="s">
        <v>7</v>
      </c>
      <c r="CG592" s="27" t="s">
        <v>8</v>
      </c>
      <c r="CH592" s="27" t="s">
        <v>7</v>
      </c>
      <c r="CI592" s="27" t="s">
        <v>8</v>
      </c>
      <c r="CJ592" s="27" t="s">
        <v>7</v>
      </c>
      <c r="CK592" s="27" t="s">
        <v>8</v>
      </c>
      <c r="CL592" s="27" t="s">
        <v>7</v>
      </c>
      <c r="CM592" s="27" t="s">
        <v>8</v>
      </c>
      <c r="CN592" s="27" t="s">
        <v>7</v>
      </c>
      <c r="CO592" s="27" t="s">
        <v>8</v>
      </c>
      <c r="CP592" s="27" t="s">
        <v>7</v>
      </c>
      <c r="CQ592" s="27" t="s">
        <v>8</v>
      </c>
      <c r="CR592" s="27" t="s">
        <v>7</v>
      </c>
      <c r="CS592" s="27" t="s">
        <v>8</v>
      </c>
      <c r="CT592" s="27" t="s">
        <v>7</v>
      </c>
      <c r="CW592" s="27" t="s">
        <v>8</v>
      </c>
      <c r="CX592" s="27" t="s">
        <v>7</v>
      </c>
      <c r="DC592" s="27" t="s">
        <v>8</v>
      </c>
      <c r="DD592" s="27" t="s">
        <v>7</v>
      </c>
      <c r="DW592" s="27" t="s">
        <v>8</v>
      </c>
      <c r="DX592" s="27" t="s">
        <v>7</v>
      </c>
      <c r="EA592" s="27" t="s">
        <v>8</v>
      </c>
      <c r="EB592" s="27" t="s">
        <v>7</v>
      </c>
      <c r="EE592" s="27" t="s">
        <v>8</v>
      </c>
      <c r="FT592" s="27" t="s">
        <v>7</v>
      </c>
      <c r="FU592" s="27" t="s">
        <v>8</v>
      </c>
      <c r="FX592" s="27" t="s">
        <v>7</v>
      </c>
    </row>
    <row r="593" spans="1:184" x14ac:dyDescent="0.25">
      <c r="A593" s="7">
        <v>0.8879713821861922</v>
      </c>
      <c r="B593"/>
      <c r="C593"/>
      <c r="D593"/>
      <c r="E593"/>
      <c r="AL593" s="27" t="s">
        <v>7</v>
      </c>
      <c r="AM593" s="27" t="s">
        <v>8</v>
      </c>
      <c r="AN593" s="27" t="s">
        <v>7</v>
      </c>
      <c r="AQ593" s="27" t="s">
        <v>8</v>
      </c>
      <c r="AR593" s="27" t="s">
        <v>7</v>
      </c>
      <c r="AS593" s="27" t="s">
        <v>8</v>
      </c>
      <c r="AT593" s="27" t="s">
        <v>7</v>
      </c>
      <c r="AW593" s="27" t="s">
        <v>8</v>
      </c>
      <c r="BU593" s="27" t="s">
        <v>8</v>
      </c>
      <c r="BV593" s="27" t="s">
        <v>7</v>
      </c>
      <c r="CC593" s="27" t="s">
        <v>8</v>
      </c>
      <c r="CD593" s="27" t="s">
        <v>7</v>
      </c>
      <c r="CE593" s="27" t="s">
        <v>8</v>
      </c>
      <c r="CF593" s="27" t="s">
        <v>7</v>
      </c>
      <c r="CG593" s="27" t="s">
        <v>8</v>
      </c>
      <c r="CH593" s="27" t="s">
        <v>7</v>
      </c>
      <c r="CJ593" s="27" t="s">
        <v>7</v>
      </c>
      <c r="CK593" s="27" t="s">
        <v>8</v>
      </c>
      <c r="CL593" s="27" t="s">
        <v>7</v>
      </c>
      <c r="CM593" s="27" t="s">
        <v>8</v>
      </c>
      <c r="CN593" s="27" t="s">
        <v>7</v>
      </c>
      <c r="CO593" s="27" t="s">
        <v>8</v>
      </c>
      <c r="CP593" s="27" t="s">
        <v>7</v>
      </c>
      <c r="CQ593" s="27" t="s">
        <v>8</v>
      </c>
      <c r="CR593" s="27" t="s">
        <v>7</v>
      </c>
      <c r="CT593" s="27" t="s">
        <v>7</v>
      </c>
      <c r="CW593" s="27" t="s">
        <v>8</v>
      </c>
      <c r="CX593" s="27" t="s">
        <v>7</v>
      </c>
      <c r="DC593" s="27" t="s">
        <v>8</v>
      </c>
      <c r="DD593" s="27" t="s">
        <v>7</v>
      </c>
      <c r="DW593" s="27" t="s">
        <v>8</v>
      </c>
      <c r="DX593" s="27" t="s">
        <v>7</v>
      </c>
      <c r="EA593" s="27" t="s">
        <v>8</v>
      </c>
      <c r="EB593" s="27" t="s">
        <v>7</v>
      </c>
      <c r="EE593" s="27" t="s">
        <v>8</v>
      </c>
      <c r="FT593" s="27" t="s">
        <v>7</v>
      </c>
      <c r="FX593" s="27" t="s">
        <v>7</v>
      </c>
    </row>
    <row r="594" spans="1:184" x14ac:dyDescent="0.25">
      <c r="A594" s="7">
        <v>0.87056017861391399</v>
      </c>
      <c r="B594"/>
      <c r="C594"/>
      <c r="D594"/>
      <c r="E594"/>
      <c r="AL594" s="27" t="s">
        <v>7</v>
      </c>
      <c r="AM594" s="27" t="s">
        <v>8</v>
      </c>
      <c r="AN594" s="27" t="s">
        <v>7</v>
      </c>
      <c r="AQ594" s="27" t="s">
        <v>8</v>
      </c>
      <c r="AR594" s="27" t="s">
        <v>7</v>
      </c>
      <c r="AS594" s="27" t="s">
        <v>8</v>
      </c>
      <c r="AT594" s="27" t="s">
        <v>7</v>
      </c>
      <c r="AW594" s="27" t="s">
        <v>8</v>
      </c>
      <c r="AX594" s="27" t="s">
        <v>7</v>
      </c>
      <c r="BU594" s="27" t="s">
        <v>8</v>
      </c>
      <c r="BV594" s="27" t="s">
        <v>7</v>
      </c>
      <c r="CC594" s="27" t="s">
        <v>8</v>
      </c>
      <c r="CD594" s="27" t="s">
        <v>7</v>
      </c>
      <c r="CE594" s="27" t="s">
        <v>8</v>
      </c>
      <c r="CF594" s="27" t="s">
        <v>7</v>
      </c>
      <c r="CJ594" s="27" t="s">
        <v>7</v>
      </c>
      <c r="CK594" s="27" t="s">
        <v>8</v>
      </c>
      <c r="CL594" s="27" t="s">
        <v>7</v>
      </c>
      <c r="CM594" s="27" t="s">
        <v>8</v>
      </c>
      <c r="CN594" s="27" t="s">
        <v>7</v>
      </c>
      <c r="CO594" s="27" t="s">
        <v>8</v>
      </c>
      <c r="CP594" s="27" t="s">
        <v>7</v>
      </c>
      <c r="CT594" s="27" t="s">
        <v>7</v>
      </c>
      <c r="CU594" s="27" t="s">
        <v>8</v>
      </c>
      <c r="CW594" s="27" t="s">
        <v>8</v>
      </c>
      <c r="CX594" s="27" t="s">
        <v>7</v>
      </c>
      <c r="DC594" s="27" t="s">
        <v>8</v>
      </c>
      <c r="DD594" s="27" t="s">
        <v>7</v>
      </c>
      <c r="DW594" s="27" t="s">
        <v>8</v>
      </c>
      <c r="DX594" s="27" t="s">
        <v>7</v>
      </c>
      <c r="EA594" s="27" t="s">
        <v>8</v>
      </c>
      <c r="EB594" s="27" t="s">
        <v>7</v>
      </c>
      <c r="EE594" s="27" t="s">
        <v>8</v>
      </c>
      <c r="FX594" s="27" t="s">
        <v>7</v>
      </c>
    </row>
    <row r="595" spans="1:184" x14ac:dyDescent="0.25">
      <c r="A595" s="7">
        <v>0.85349037119011173</v>
      </c>
      <c r="B595"/>
      <c r="C595"/>
      <c r="D595"/>
      <c r="E595"/>
      <c r="AL595" s="27" t="s">
        <v>7</v>
      </c>
      <c r="AM595" s="27" t="s">
        <v>8</v>
      </c>
      <c r="AN595" s="27" t="s">
        <v>7</v>
      </c>
      <c r="AQ595" s="27" t="s">
        <v>8</v>
      </c>
      <c r="AR595" s="27" t="s">
        <v>7</v>
      </c>
      <c r="AS595" s="27" t="s">
        <v>8</v>
      </c>
      <c r="AT595" s="27" t="s">
        <v>7</v>
      </c>
      <c r="AU595" s="27" t="s">
        <v>8</v>
      </c>
      <c r="AW595" s="27" t="s">
        <v>8</v>
      </c>
      <c r="AX595" s="27" t="s">
        <v>7</v>
      </c>
      <c r="BU595" s="27" t="s">
        <v>8</v>
      </c>
      <c r="BV595" s="27" t="s">
        <v>7</v>
      </c>
      <c r="CA595" s="27" t="s">
        <v>8</v>
      </c>
      <c r="CC595" s="27" t="s">
        <v>8</v>
      </c>
      <c r="CD595" s="27" t="s">
        <v>7</v>
      </c>
      <c r="CE595" s="27" t="s">
        <v>8</v>
      </c>
      <c r="CJ595" s="27" t="s">
        <v>7</v>
      </c>
      <c r="CK595" s="27" t="s">
        <v>8</v>
      </c>
      <c r="CL595" s="27" t="s">
        <v>7</v>
      </c>
      <c r="CN595" s="27" t="s">
        <v>7</v>
      </c>
      <c r="CT595" s="27" t="s">
        <v>7</v>
      </c>
      <c r="CU595" s="27" t="s">
        <v>8</v>
      </c>
      <c r="CV595" s="27" t="s">
        <v>7</v>
      </c>
      <c r="CW595" s="27" t="s">
        <v>8</v>
      </c>
      <c r="CX595" s="27" t="s">
        <v>7</v>
      </c>
      <c r="DC595" s="27" t="s">
        <v>8</v>
      </c>
      <c r="DD595" s="27" t="s">
        <v>7</v>
      </c>
      <c r="DW595" s="27" t="s">
        <v>8</v>
      </c>
      <c r="DX595" s="27" t="s">
        <v>7</v>
      </c>
      <c r="EA595" s="27" t="s">
        <v>8</v>
      </c>
      <c r="EB595" s="27" t="s">
        <v>7</v>
      </c>
      <c r="EC595" s="27" t="s">
        <v>8</v>
      </c>
      <c r="EE595" s="27" t="s">
        <v>8</v>
      </c>
      <c r="FX595" s="27" t="s">
        <v>7</v>
      </c>
    </row>
    <row r="596" spans="1:184" x14ac:dyDescent="0.25">
      <c r="A596" s="7">
        <v>0.83675526587265858</v>
      </c>
      <c r="B596"/>
      <c r="C596"/>
      <c r="D596"/>
      <c r="E596"/>
      <c r="AL596" s="27" t="s">
        <v>7</v>
      </c>
      <c r="AM596" s="27" t="s">
        <v>8</v>
      </c>
      <c r="AN596" s="27" t="s">
        <v>7</v>
      </c>
      <c r="AQ596" s="27" t="s">
        <v>8</v>
      </c>
      <c r="AR596" s="27" t="s">
        <v>7</v>
      </c>
      <c r="AS596" s="27" t="s">
        <v>8</v>
      </c>
      <c r="AT596" s="27" t="s">
        <v>7</v>
      </c>
      <c r="AU596" s="27" t="s">
        <v>8</v>
      </c>
      <c r="AV596" s="27" t="s">
        <v>7</v>
      </c>
      <c r="AW596" s="27" t="s">
        <v>8</v>
      </c>
      <c r="AX596" s="27" t="s">
        <v>7</v>
      </c>
      <c r="BC596" s="27" t="s">
        <v>8</v>
      </c>
      <c r="BU596" s="27" t="s">
        <v>8</v>
      </c>
      <c r="BV596" s="27" t="s">
        <v>7</v>
      </c>
      <c r="CA596" s="27" t="s">
        <v>8</v>
      </c>
      <c r="CB596" s="27" t="s">
        <v>7</v>
      </c>
      <c r="CC596" s="27" t="s">
        <v>8</v>
      </c>
      <c r="CD596" s="27" t="s">
        <v>7</v>
      </c>
      <c r="CJ596" s="27" t="s">
        <v>7</v>
      </c>
      <c r="CK596" s="27" t="s">
        <v>8</v>
      </c>
      <c r="CT596" s="27" t="s">
        <v>7</v>
      </c>
      <c r="CU596" s="27" t="s">
        <v>8</v>
      </c>
      <c r="CV596" s="27" t="s">
        <v>7</v>
      </c>
      <c r="CW596" s="27" t="s">
        <v>8</v>
      </c>
      <c r="CX596" s="27" t="s">
        <v>7</v>
      </c>
      <c r="DC596" s="27" t="s">
        <v>8</v>
      </c>
      <c r="DD596" s="27" t="s">
        <v>7</v>
      </c>
      <c r="DW596" s="27" t="s">
        <v>8</v>
      </c>
      <c r="DX596" s="27" t="s">
        <v>7</v>
      </c>
      <c r="EA596" s="27" t="s">
        <v>8</v>
      </c>
      <c r="EB596" s="27" t="s">
        <v>7</v>
      </c>
      <c r="EC596" s="27" t="s">
        <v>8</v>
      </c>
      <c r="ED596" s="27" t="s">
        <v>7</v>
      </c>
      <c r="EE596" s="27" t="s">
        <v>8</v>
      </c>
      <c r="FX596" s="27" t="s">
        <v>7</v>
      </c>
    </row>
    <row r="597" spans="1:184" x14ac:dyDescent="0.25">
      <c r="A597" s="7">
        <v>0.82034829987515545</v>
      </c>
      <c r="B597"/>
      <c r="C597"/>
      <c r="D597"/>
      <c r="E597"/>
      <c r="AL597" s="27" t="s">
        <v>7</v>
      </c>
      <c r="AM597" s="27" t="s">
        <v>8</v>
      </c>
      <c r="AN597" s="27" t="s">
        <v>7</v>
      </c>
      <c r="AO597" s="27" t="s">
        <v>8</v>
      </c>
      <c r="AQ597" s="27" t="s">
        <v>8</v>
      </c>
      <c r="AR597" s="27" t="s">
        <v>7</v>
      </c>
      <c r="AS597" s="27" t="s">
        <v>8</v>
      </c>
      <c r="AT597" s="27" t="s">
        <v>7</v>
      </c>
      <c r="AU597" s="27" t="s">
        <v>8</v>
      </c>
      <c r="AV597" s="27" t="s">
        <v>7</v>
      </c>
      <c r="AW597" s="27" t="s">
        <v>8</v>
      </c>
      <c r="AX597" s="27" t="s">
        <v>7</v>
      </c>
      <c r="BC597" s="27" t="s">
        <v>8</v>
      </c>
      <c r="BD597" s="27" t="s">
        <v>7</v>
      </c>
      <c r="BU597" s="27" t="s">
        <v>8</v>
      </c>
      <c r="BV597" s="27" t="s">
        <v>7</v>
      </c>
      <c r="BW597" s="27" t="s">
        <v>8</v>
      </c>
      <c r="CA597" s="27" t="s">
        <v>8</v>
      </c>
      <c r="CB597" s="27" t="s">
        <v>7</v>
      </c>
      <c r="CC597" s="27" t="s">
        <v>8</v>
      </c>
      <c r="CJ597" s="27" t="s">
        <v>7</v>
      </c>
      <c r="CT597" s="27" t="s">
        <v>7</v>
      </c>
      <c r="CU597" s="27" t="s">
        <v>8</v>
      </c>
      <c r="CV597" s="27" t="s">
        <v>7</v>
      </c>
      <c r="CW597" s="27" t="s">
        <v>8</v>
      </c>
      <c r="CX597" s="27" t="s">
        <v>7</v>
      </c>
      <c r="DC597" s="27" t="s">
        <v>8</v>
      </c>
      <c r="DD597" s="27" t="s">
        <v>7</v>
      </c>
      <c r="DW597" s="27" t="s">
        <v>8</v>
      </c>
      <c r="DX597" s="27" t="s">
        <v>7</v>
      </c>
      <c r="DY597" s="27" t="s">
        <v>8</v>
      </c>
      <c r="EA597" s="27" t="s">
        <v>8</v>
      </c>
      <c r="EB597" s="27" t="s">
        <v>7</v>
      </c>
      <c r="EC597" s="27" t="s">
        <v>8</v>
      </c>
      <c r="ED597" s="27" t="s">
        <v>7</v>
      </c>
      <c r="EE597" s="27" t="s">
        <v>8</v>
      </c>
      <c r="FX597" s="27" t="s">
        <v>7</v>
      </c>
    </row>
    <row r="598" spans="1:184" x14ac:dyDescent="0.25">
      <c r="A598" s="7">
        <v>0.80426303909328967</v>
      </c>
      <c r="B598"/>
      <c r="C598"/>
      <c r="D598"/>
      <c r="E598"/>
      <c r="AL598" s="27" t="s">
        <v>7</v>
      </c>
      <c r="AM598" s="27" t="s">
        <v>8</v>
      </c>
      <c r="AN598" s="27" t="s">
        <v>7</v>
      </c>
      <c r="AO598" s="27" t="s">
        <v>8</v>
      </c>
      <c r="AP598" s="27" t="s">
        <v>7</v>
      </c>
      <c r="AQ598" s="27" t="s">
        <v>8</v>
      </c>
      <c r="AR598" s="27" t="s">
        <v>7</v>
      </c>
      <c r="AS598" s="27" t="s">
        <v>8</v>
      </c>
      <c r="AT598" s="27" t="s">
        <v>7</v>
      </c>
      <c r="AU598" s="27" t="s">
        <v>8</v>
      </c>
      <c r="AV598" s="27" t="s">
        <v>7</v>
      </c>
      <c r="AW598" s="27" t="s">
        <v>8</v>
      </c>
      <c r="AX598" s="27" t="s">
        <v>7</v>
      </c>
      <c r="BC598" s="27" t="s">
        <v>8</v>
      </c>
      <c r="BD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CA598" s="27" t="s">
        <v>8</v>
      </c>
      <c r="CB598" s="27" t="s">
        <v>7</v>
      </c>
      <c r="CC598" s="27" t="s">
        <v>8</v>
      </c>
      <c r="CT598" s="27" t="s">
        <v>7</v>
      </c>
      <c r="CU598" s="27" t="s">
        <v>8</v>
      </c>
      <c r="CV598" s="27" t="s">
        <v>7</v>
      </c>
      <c r="CW598" s="27" t="s">
        <v>8</v>
      </c>
      <c r="CX598" s="27" t="s">
        <v>7</v>
      </c>
      <c r="CY598" s="27" t="s">
        <v>8</v>
      </c>
      <c r="DA598" s="27" t="s">
        <v>8</v>
      </c>
      <c r="DC598" s="27" t="s">
        <v>8</v>
      </c>
      <c r="DD598" s="27" t="s">
        <v>7</v>
      </c>
      <c r="DW598" s="27" t="s">
        <v>8</v>
      </c>
      <c r="DX598" s="27" t="s">
        <v>7</v>
      </c>
      <c r="DY598" s="27" t="s">
        <v>8</v>
      </c>
      <c r="DZ598" s="27" t="s">
        <v>7</v>
      </c>
      <c r="EA598" s="27" t="s">
        <v>8</v>
      </c>
      <c r="EB598" s="27" t="s">
        <v>7</v>
      </c>
      <c r="ED598" s="27" t="s">
        <v>7</v>
      </c>
      <c r="EE598" s="27" t="s">
        <v>8</v>
      </c>
      <c r="FX598" s="27" t="s">
        <v>7</v>
      </c>
    </row>
    <row r="599" spans="1:184" x14ac:dyDescent="0.25">
      <c r="A599" s="7">
        <v>0.78849317558165644</v>
      </c>
      <c r="B599"/>
      <c r="C599"/>
      <c r="D599"/>
      <c r="E599"/>
      <c r="AL599" s="27" t="s">
        <v>7</v>
      </c>
      <c r="AM599" s="27" t="s">
        <v>8</v>
      </c>
      <c r="AN599" s="27" t="s">
        <v>7</v>
      </c>
      <c r="AO599" s="27" t="s">
        <v>8</v>
      </c>
      <c r="AP599" s="27" t="s">
        <v>7</v>
      </c>
      <c r="AQ599" s="27" t="s">
        <v>8</v>
      </c>
      <c r="AR599" s="27" t="s">
        <v>7</v>
      </c>
      <c r="AS599" s="27" t="s">
        <v>8</v>
      </c>
      <c r="AT599" s="27" t="s">
        <v>7</v>
      </c>
      <c r="AU599" s="27" t="s">
        <v>8</v>
      </c>
      <c r="AV599" s="27" t="s">
        <v>7</v>
      </c>
      <c r="AW599" s="27" t="s">
        <v>8</v>
      </c>
      <c r="AX599" s="27" t="s">
        <v>7</v>
      </c>
      <c r="BC599" s="27" t="s">
        <v>8</v>
      </c>
      <c r="BD599" s="27" t="s">
        <v>7</v>
      </c>
      <c r="BU599" s="27" t="s">
        <v>8</v>
      </c>
      <c r="BV599" s="27" t="s">
        <v>7</v>
      </c>
      <c r="BW599" s="27" t="s">
        <v>8</v>
      </c>
      <c r="BX599" s="27" t="s">
        <v>7</v>
      </c>
      <c r="CA599" s="27" t="s">
        <v>8</v>
      </c>
      <c r="CB599" s="27" t="s">
        <v>7</v>
      </c>
      <c r="CC599" s="27" t="s">
        <v>8</v>
      </c>
      <c r="CT599" s="27" t="s">
        <v>7</v>
      </c>
      <c r="CU599" s="27" t="s">
        <v>8</v>
      </c>
      <c r="CV599" s="27" t="s">
        <v>7</v>
      </c>
      <c r="CW599" s="27" t="s">
        <v>8</v>
      </c>
      <c r="CX599" s="27" t="s">
        <v>7</v>
      </c>
      <c r="CY599" s="27" t="s">
        <v>8</v>
      </c>
      <c r="CZ599" s="27" t="s">
        <v>7</v>
      </c>
      <c r="DA599" s="27" t="s">
        <v>8</v>
      </c>
      <c r="DB599" s="27" t="s">
        <v>7</v>
      </c>
      <c r="DC599" s="27" t="s">
        <v>8</v>
      </c>
      <c r="DD599" s="27" t="s">
        <v>7</v>
      </c>
      <c r="DW599" s="27" t="s">
        <v>8</v>
      </c>
      <c r="DX599" s="27" t="s">
        <v>7</v>
      </c>
      <c r="DY599" s="27" t="s">
        <v>8</v>
      </c>
      <c r="DZ599" s="27" t="s">
        <v>7</v>
      </c>
      <c r="EA599" s="27" t="s">
        <v>8</v>
      </c>
      <c r="ED599" s="27" t="s">
        <v>7</v>
      </c>
      <c r="EE599" s="27" t="s">
        <v>8</v>
      </c>
      <c r="FX599" s="27" t="s">
        <v>7</v>
      </c>
    </row>
    <row r="600" spans="1:184" x14ac:dyDescent="0.25">
      <c r="A600" s="7">
        <v>0.77303252508005538</v>
      </c>
      <c r="B600"/>
      <c r="C600"/>
      <c r="D600"/>
      <c r="E600"/>
      <c r="AL600" s="27" t="s">
        <v>7</v>
      </c>
      <c r="AM600" s="27" t="s">
        <v>8</v>
      </c>
      <c r="AN600" s="27" t="s">
        <v>7</v>
      </c>
      <c r="AO600" s="27" t="s">
        <v>8</v>
      </c>
      <c r="AP600" s="27" t="s">
        <v>7</v>
      </c>
      <c r="AQ600" s="27" t="s">
        <v>8</v>
      </c>
      <c r="AR600" s="27" t="s">
        <v>7</v>
      </c>
      <c r="AS600" s="27" t="s">
        <v>8</v>
      </c>
      <c r="AT600" s="27" t="s">
        <v>7</v>
      </c>
      <c r="AU600" s="27" t="s">
        <v>8</v>
      </c>
      <c r="AV600" s="27" t="s">
        <v>7</v>
      </c>
      <c r="AW600" s="27" t="s">
        <v>8</v>
      </c>
      <c r="AX600" s="27" t="s">
        <v>7</v>
      </c>
      <c r="BC600" s="27" t="s">
        <v>8</v>
      </c>
      <c r="BD600" s="27" t="s">
        <v>7</v>
      </c>
      <c r="BO600" s="27" t="s">
        <v>8</v>
      </c>
      <c r="BU600" s="27" t="s">
        <v>8</v>
      </c>
      <c r="BV600" s="27" t="s">
        <v>7</v>
      </c>
      <c r="BW600" s="27" t="s">
        <v>8</v>
      </c>
      <c r="BX600" s="27" t="s">
        <v>7</v>
      </c>
      <c r="CA600" s="27" t="s">
        <v>8</v>
      </c>
      <c r="CB600" s="27" t="s">
        <v>7</v>
      </c>
      <c r="CC600" s="27" t="s">
        <v>8</v>
      </c>
      <c r="CT600" s="27" t="s">
        <v>7</v>
      </c>
      <c r="CU600" s="27" t="s">
        <v>8</v>
      </c>
      <c r="CV600" s="27" t="s">
        <v>7</v>
      </c>
      <c r="CW600" s="27" t="s">
        <v>8</v>
      </c>
      <c r="CX600" s="27" t="s">
        <v>7</v>
      </c>
      <c r="CY600" s="27" t="s">
        <v>8</v>
      </c>
      <c r="CZ600" s="27" t="s">
        <v>7</v>
      </c>
      <c r="DA600" s="27" t="s">
        <v>8</v>
      </c>
      <c r="DB600" s="27" t="s">
        <v>7</v>
      </c>
      <c r="DC600" s="27" t="s">
        <v>8</v>
      </c>
      <c r="DD600" s="27" t="s">
        <v>7</v>
      </c>
      <c r="DS600" s="27" t="s">
        <v>8</v>
      </c>
      <c r="DW600" s="27" t="s">
        <v>8</v>
      </c>
      <c r="DX600" s="27" t="s">
        <v>7</v>
      </c>
      <c r="DY600" s="27" t="s">
        <v>8</v>
      </c>
      <c r="DZ600" s="27" t="s">
        <v>7</v>
      </c>
      <c r="EA600" s="27" t="s">
        <v>8</v>
      </c>
      <c r="ED600" s="27" t="s">
        <v>7</v>
      </c>
      <c r="EE600" s="27" t="s">
        <v>8</v>
      </c>
      <c r="FX600" s="27" t="s">
        <v>7</v>
      </c>
    </row>
    <row r="601" spans="1:184" x14ac:dyDescent="0.25">
      <c r="A601" s="7">
        <v>0.75787502458828959</v>
      </c>
      <c r="B601"/>
      <c r="C601"/>
      <c r="D601"/>
      <c r="E601"/>
      <c r="AL601" s="27" t="s">
        <v>7</v>
      </c>
      <c r="AM601" s="27" t="s">
        <v>8</v>
      </c>
      <c r="AN601" s="27" t="s">
        <v>7</v>
      </c>
      <c r="AO601" s="27" t="s">
        <v>8</v>
      </c>
      <c r="AP601" s="27" t="s">
        <v>7</v>
      </c>
      <c r="AQ601" s="27" t="s">
        <v>8</v>
      </c>
      <c r="AR601" s="27" t="s">
        <v>7</v>
      </c>
      <c r="AS601" s="27" t="s">
        <v>8</v>
      </c>
      <c r="AT601" s="27" t="s">
        <v>7</v>
      </c>
      <c r="AU601" s="27" t="s">
        <v>8</v>
      </c>
      <c r="AV601" s="27" t="s">
        <v>7</v>
      </c>
      <c r="AW601" s="27" t="s">
        <v>8</v>
      </c>
      <c r="AX601" s="27" t="s">
        <v>7</v>
      </c>
      <c r="BC601" s="27" t="s">
        <v>8</v>
      </c>
      <c r="BD601" s="27" t="s">
        <v>7</v>
      </c>
      <c r="BO601" s="27" t="s">
        <v>8</v>
      </c>
      <c r="BP601" s="27" t="s">
        <v>7</v>
      </c>
      <c r="BS601" s="27" t="s">
        <v>8</v>
      </c>
      <c r="BU601" s="27" t="s">
        <v>8</v>
      </c>
      <c r="BV601" s="27" t="s">
        <v>7</v>
      </c>
      <c r="BW601" s="27" t="s">
        <v>8</v>
      </c>
      <c r="BX601" s="27" t="s">
        <v>7</v>
      </c>
      <c r="BY601" s="27" t="s">
        <v>8</v>
      </c>
      <c r="CA601" s="27" t="s">
        <v>8</v>
      </c>
      <c r="CB601" s="27" t="s">
        <v>7</v>
      </c>
      <c r="CC601" s="27" t="s">
        <v>8</v>
      </c>
      <c r="CT601" s="27" t="s">
        <v>7</v>
      </c>
      <c r="CU601" s="27" t="s">
        <v>8</v>
      </c>
      <c r="CV601" s="27" t="s">
        <v>7</v>
      </c>
      <c r="CW601" s="27" t="s">
        <v>8</v>
      </c>
      <c r="CX601" s="27" t="s">
        <v>7</v>
      </c>
      <c r="CY601" s="27" t="s">
        <v>8</v>
      </c>
      <c r="CZ601" s="27" t="s">
        <v>7</v>
      </c>
      <c r="DB601" s="27" t="s">
        <v>7</v>
      </c>
      <c r="DC601" s="27" t="s">
        <v>8</v>
      </c>
      <c r="DD601" s="27" t="s">
        <v>7</v>
      </c>
      <c r="DQ601" s="27" t="s">
        <v>8</v>
      </c>
      <c r="DS601" s="27" t="s">
        <v>8</v>
      </c>
      <c r="DT601" s="27" t="s">
        <v>7</v>
      </c>
      <c r="DW601" s="27" t="s">
        <v>8</v>
      </c>
      <c r="DX601" s="27" t="s">
        <v>7</v>
      </c>
      <c r="DY601" s="27" t="s">
        <v>8</v>
      </c>
      <c r="DZ601" s="27" t="s">
        <v>7</v>
      </c>
      <c r="EA601" s="27" t="s">
        <v>8</v>
      </c>
      <c r="ED601" s="27" t="s">
        <v>7</v>
      </c>
      <c r="EE601" s="27" t="s">
        <v>8</v>
      </c>
      <c r="FX601" s="27" t="s">
        <v>7</v>
      </c>
    </row>
    <row r="602" spans="1:184" x14ac:dyDescent="0.25">
      <c r="A602" s="7">
        <v>0.74301472998851925</v>
      </c>
      <c r="B602"/>
      <c r="C602"/>
      <c r="D602"/>
      <c r="E602"/>
      <c r="AL602" s="27" t="s">
        <v>7</v>
      </c>
      <c r="AM602" s="27" t="s">
        <v>8</v>
      </c>
      <c r="AN602" s="27" t="s">
        <v>7</v>
      </c>
      <c r="AO602" s="27" t="s">
        <v>8</v>
      </c>
      <c r="AP602" s="27" t="s">
        <v>7</v>
      </c>
      <c r="AQ602" s="27" t="s">
        <v>8</v>
      </c>
      <c r="AR602" s="27" t="s">
        <v>7</v>
      </c>
      <c r="AS602" s="27" t="s">
        <v>8</v>
      </c>
      <c r="AT602" s="27" t="s">
        <v>7</v>
      </c>
      <c r="AU602" s="27" t="s">
        <v>8</v>
      </c>
      <c r="AV602" s="27" t="s">
        <v>7</v>
      </c>
      <c r="AW602" s="27" t="s">
        <v>8</v>
      </c>
      <c r="AX602" s="27" t="s">
        <v>7</v>
      </c>
      <c r="BC602" s="27" t="s">
        <v>8</v>
      </c>
      <c r="BD602" s="27" t="s">
        <v>7</v>
      </c>
      <c r="BO602" s="27" t="s">
        <v>8</v>
      </c>
      <c r="BP602" s="27" t="s">
        <v>7</v>
      </c>
      <c r="BS602" s="27" t="s">
        <v>8</v>
      </c>
      <c r="BT602" s="27" t="s">
        <v>7</v>
      </c>
      <c r="BU602" s="27" t="s">
        <v>8</v>
      </c>
      <c r="BV602" s="27" t="s">
        <v>7</v>
      </c>
      <c r="BW602" s="27" t="s">
        <v>8</v>
      </c>
      <c r="BX602" s="27" t="s">
        <v>7</v>
      </c>
      <c r="BY602" s="27" t="s">
        <v>8</v>
      </c>
      <c r="BZ602" s="27" t="s">
        <v>7</v>
      </c>
      <c r="CA602" s="27" t="s">
        <v>8</v>
      </c>
      <c r="CB602" s="27" t="s">
        <v>7</v>
      </c>
      <c r="CC602" s="27" t="s">
        <v>8</v>
      </c>
      <c r="CT602" s="27" t="s">
        <v>7</v>
      </c>
      <c r="CU602" s="27" t="s">
        <v>8</v>
      </c>
      <c r="CV602" s="27" t="s">
        <v>7</v>
      </c>
      <c r="CW602" s="27" t="s">
        <v>8</v>
      </c>
      <c r="CX602" s="27" t="s">
        <v>7</v>
      </c>
      <c r="CY602" s="27" t="s">
        <v>8</v>
      </c>
      <c r="DB602" s="27" t="s">
        <v>7</v>
      </c>
      <c r="DD602" s="27" t="s">
        <v>7</v>
      </c>
      <c r="DQ602" s="27" t="s">
        <v>8</v>
      </c>
      <c r="DR602" s="27" t="s">
        <v>7</v>
      </c>
      <c r="DS602" s="27" t="s">
        <v>8</v>
      </c>
      <c r="DT602" s="27" t="s">
        <v>7</v>
      </c>
      <c r="DU602" s="27" t="s">
        <v>8</v>
      </c>
      <c r="DW602" s="27" t="s">
        <v>8</v>
      </c>
      <c r="DX602" s="27" t="s">
        <v>7</v>
      </c>
      <c r="DY602" s="27" t="s">
        <v>8</v>
      </c>
      <c r="DZ602" s="27" t="s">
        <v>7</v>
      </c>
      <c r="ED602" s="27" t="s">
        <v>7</v>
      </c>
      <c r="FX602" s="27" t="s">
        <v>7</v>
      </c>
      <c r="GA602" s="27" t="s">
        <v>8</v>
      </c>
    </row>
    <row r="603" spans="1:184" x14ac:dyDescent="0.25">
      <c r="A603" s="7">
        <v>0.72844581371423456</v>
      </c>
      <c r="B603"/>
      <c r="C603"/>
      <c r="D603"/>
      <c r="E603"/>
      <c r="AL603" s="27" t="s">
        <v>7</v>
      </c>
      <c r="AM603" s="27" t="s">
        <v>8</v>
      </c>
      <c r="AN603" s="27" t="s">
        <v>7</v>
      </c>
      <c r="AO603" s="27" t="s">
        <v>8</v>
      </c>
      <c r="AP603" s="27" t="s">
        <v>7</v>
      </c>
      <c r="AQ603" s="27" t="s">
        <v>8</v>
      </c>
      <c r="AR603" s="27" t="s">
        <v>7</v>
      </c>
      <c r="AS603" s="27" t="s">
        <v>8</v>
      </c>
      <c r="AT603" s="27" t="s">
        <v>7</v>
      </c>
      <c r="AU603" s="27" t="s">
        <v>8</v>
      </c>
      <c r="AV603" s="27" t="s">
        <v>7</v>
      </c>
      <c r="AX603" s="27" t="s">
        <v>7</v>
      </c>
      <c r="AY603" s="27" t="s">
        <v>8</v>
      </c>
      <c r="BC603" s="27" t="s">
        <v>8</v>
      </c>
      <c r="BD603" s="27" t="s">
        <v>7</v>
      </c>
      <c r="BO603" s="27" t="s">
        <v>8</v>
      </c>
      <c r="BP603" s="27" t="s">
        <v>7</v>
      </c>
      <c r="BS603" s="27" t="s">
        <v>8</v>
      </c>
      <c r="BT603" s="27" t="s">
        <v>7</v>
      </c>
      <c r="BU603" s="27" t="s">
        <v>8</v>
      </c>
      <c r="BV603" s="27" t="s">
        <v>7</v>
      </c>
      <c r="BX603" s="27" t="s">
        <v>7</v>
      </c>
      <c r="BY603" s="27" t="s">
        <v>8</v>
      </c>
      <c r="BZ603" s="27" t="s">
        <v>7</v>
      </c>
      <c r="CA603" s="27" t="s">
        <v>8</v>
      </c>
      <c r="CB603" s="27" t="s">
        <v>7</v>
      </c>
      <c r="CC603" s="27" t="s">
        <v>8</v>
      </c>
      <c r="CT603" s="27" t="s">
        <v>7</v>
      </c>
      <c r="CU603" s="27" t="s">
        <v>8</v>
      </c>
      <c r="CV603" s="27" t="s">
        <v>7</v>
      </c>
      <c r="CW603" s="27" t="s">
        <v>8</v>
      </c>
      <c r="CX603" s="27" t="s">
        <v>7</v>
      </c>
      <c r="CY603" s="27" t="s">
        <v>8</v>
      </c>
      <c r="DD603" s="27" t="s">
        <v>7</v>
      </c>
      <c r="DM603" s="27" t="s">
        <v>8</v>
      </c>
      <c r="DQ603" s="27" t="s">
        <v>8</v>
      </c>
      <c r="DR603" s="27" t="s">
        <v>7</v>
      </c>
      <c r="DS603" s="27" t="s">
        <v>8</v>
      </c>
      <c r="DT603" s="27" t="s">
        <v>7</v>
      </c>
      <c r="DU603" s="27" t="s">
        <v>8</v>
      </c>
      <c r="DV603" s="27" t="s">
        <v>7</v>
      </c>
      <c r="DW603" s="27" t="s">
        <v>8</v>
      </c>
      <c r="DX603" s="27" t="s">
        <v>7</v>
      </c>
      <c r="DY603" s="27" t="s">
        <v>8</v>
      </c>
      <c r="FX603" s="27" t="s">
        <v>7</v>
      </c>
      <c r="FY603" s="27" t="s">
        <v>8</v>
      </c>
      <c r="GA603" s="27" t="s">
        <v>8</v>
      </c>
      <c r="GB603" s="27" t="s">
        <v>7</v>
      </c>
    </row>
    <row r="604" spans="1:184" x14ac:dyDescent="0.25">
      <c r="A604" s="7">
        <v>0.71416256246493581</v>
      </c>
      <c r="B604"/>
      <c r="C604"/>
      <c r="D604"/>
      <c r="E604"/>
      <c r="AL604" s="27" t="s">
        <v>7</v>
      </c>
      <c r="AM604" s="27" t="s">
        <v>8</v>
      </c>
      <c r="AN604" s="27" t="s">
        <v>7</v>
      </c>
      <c r="AO604" s="27" t="s">
        <v>8</v>
      </c>
      <c r="AP604" s="27" t="s">
        <v>7</v>
      </c>
      <c r="AQ604" s="27" t="s">
        <v>8</v>
      </c>
      <c r="AR604" s="27" t="s">
        <v>7</v>
      </c>
      <c r="AS604" s="27" t="s">
        <v>8</v>
      </c>
      <c r="AT604" s="27" t="s">
        <v>7</v>
      </c>
      <c r="AU604" s="27" t="s">
        <v>8</v>
      </c>
      <c r="AX604" s="27" t="s">
        <v>7</v>
      </c>
      <c r="AY604" s="27" t="s">
        <v>8</v>
      </c>
      <c r="AZ604" s="27" t="s">
        <v>7</v>
      </c>
      <c r="BC604" s="27" t="s">
        <v>8</v>
      </c>
      <c r="BD604" s="27" t="s">
        <v>7</v>
      </c>
      <c r="BO604" s="27" t="s">
        <v>8</v>
      </c>
      <c r="BP604" s="27" t="s">
        <v>7</v>
      </c>
      <c r="BS604" s="27" t="s">
        <v>8</v>
      </c>
      <c r="BT604" s="27" t="s">
        <v>7</v>
      </c>
      <c r="BU604" s="27" t="s">
        <v>8</v>
      </c>
      <c r="BX604" s="27" t="s">
        <v>7</v>
      </c>
      <c r="BZ604" s="27" t="s">
        <v>7</v>
      </c>
      <c r="CA604" s="27" t="s">
        <v>8</v>
      </c>
      <c r="CB604" s="27" t="s">
        <v>7</v>
      </c>
      <c r="CC604" s="27" t="s">
        <v>8</v>
      </c>
      <c r="CT604" s="27" t="s">
        <v>7</v>
      </c>
      <c r="CU604" s="27" t="s">
        <v>8</v>
      </c>
      <c r="CV604" s="27" t="s">
        <v>7</v>
      </c>
      <c r="CW604" s="27" t="s">
        <v>8</v>
      </c>
      <c r="CX604" s="27" t="s">
        <v>7</v>
      </c>
      <c r="DD604" s="27" t="s">
        <v>7</v>
      </c>
      <c r="DM604" s="27" t="s">
        <v>8</v>
      </c>
      <c r="DN604" s="27" t="s">
        <v>7</v>
      </c>
      <c r="DO604" s="27" t="s">
        <v>8</v>
      </c>
      <c r="DQ604" s="27" t="s">
        <v>8</v>
      </c>
      <c r="DR604" s="27" t="s">
        <v>7</v>
      </c>
      <c r="DS604" s="27" t="s">
        <v>8</v>
      </c>
      <c r="DT604" s="27" t="s">
        <v>7</v>
      </c>
      <c r="DU604" s="27" t="s">
        <v>8</v>
      </c>
      <c r="DV604" s="27" t="s">
        <v>7</v>
      </c>
      <c r="DW604" s="27" t="s">
        <v>8</v>
      </c>
      <c r="DX604" s="27" t="s">
        <v>7</v>
      </c>
      <c r="FX604" s="27" t="s">
        <v>7</v>
      </c>
      <c r="FY604" s="27" t="s">
        <v>8</v>
      </c>
      <c r="FZ604" s="27" t="s">
        <v>7</v>
      </c>
      <c r="GA604" s="27" t="s">
        <v>8</v>
      </c>
      <c r="GB604" s="27" t="s">
        <v>7</v>
      </c>
    </row>
    <row r="605" spans="1:184" x14ac:dyDescent="0.25">
      <c r="A605" s="7">
        <v>0.7001593749656233</v>
      </c>
      <c r="B605"/>
      <c r="C605"/>
      <c r="D605"/>
      <c r="E605"/>
      <c r="AL605" s="27" t="s">
        <v>7</v>
      </c>
      <c r="AM605" s="27" t="s">
        <v>8</v>
      </c>
      <c r="AN605" s="27" t="s">
        <v>7</v>
      </c>
      <c r="AO605" s="27" t="s">
        <v>8</v>
      </c>
      <c r="AP605" s="27" t="s">
        <v>7</v>
      </c>
      <c r="AQ605" s="27" t="s">
        <v>8</v>
      </c>
      <c r="AR605" s="27" t="s">
        <v>7</v>
      </c>
      <c r="AS605" s="27" t="s">
        <v>8</v>
      </c>
      <c r="AT605" s="27" t="s">
        <v>7</v>
      </c>
      <c r="AU605" s="27" t="s">
        <v>8</v>
      </c>
      <c r="AX605" s="27" t="s">
        <v>7</v>
      </c>
      <c r="AY605" s="27" t="s">
        <v>8</v>
      </c>
      <c r="AZ605" s="27" t="s">
        <v>7</v>
      </c>
      <c r="BC605" s="27" t="s">
        <v>8</v>
      </c>
      <c r="BD605" s="27" t="s">
        <v>7</v>
      </c>
      <c r="BO605" s="27" t="s">
        <v>8</v>
      </c>
      <c r="BP605" s="27" t="s">
        <v>7</v>
      </c>
      <c r="BS605" s="27" t="s">
        <v>8</v>
      </c>
      <c r="BT605" s="27" t="s">
        <v>7</v>
      </c>
      <c r="BU605" s="27" t="s">
        <v>8</v>
      </c>
      <c r="BZ605" s="27" t="s">
        <v>7</v>
      </c>
      <c r="CA605" s="27" t="s">
        <v>8</v>
      </c>
      <c r="CB605" s="27" t="s">
        <v>7</v>
      </c>
      <c r="CT605" s="27" t="s">
        <v>7</v>
      </c>
      <c r="CV605" s="27" t="s">
        <v>7</v>
      </c>
      <c r="CW605" s="27" t="s">
        <v>8</v>
      </c>
      <c r="DD605" s="27" t="s">
        <v>7</v>
      </c>
      <c r="DM605" s="27" t="s">
        <v>8</v>
      </c>
      <c r="DN605" s="27" t="s">
        <v>7</v>
      </c>
      <c r="DO605" s="27" t="s">
        <v>8</v>
      </c>
      <c r="DP605" s="27" t="s">
        <v>7</v>
      </c>
      <c r="DQ605" s="27" t="s">
        <v>8</v>
      </c>
      <c r="DR605" s="27" t="s">
        <v>7</v>
      </c>
      <c r="DS605" s="27" t="s">
        <v>8</v>
      </c>
      <c r="DT605" s="27" t="s">
        <v>7</v>
      </c>
      <c r="DU605" s="27" t="s">
        <v>8</v>
      </c>
      <c r="DV605" s="27" t="s">
        <v>7</v>
      </c>
      <c r="DW605" s="27" t="s">
        <v>8</v>
      </c>
      <c r="FX605" s="27" t="s">
        <v>7</v>
      </c>
      <c r="FY605" s="27" t="s">
        <v>8</v>
      </c>
      <c r="FZ605" s="27" t="s">
        <v>7</v>
      </c>
      <c r="GA605" s="27" t="s">
        <v>8</v>
      </c>
      <c r="GB605" s="27" t="s">
        <v>7</v>
      </c>
    </row>
    <row r="606" spans="1:184" x14ac:dyDescent="0.25">
      <c r="A606" s="7">
        <v>0.68643075977021883</v>
      </c>
      <c r="B606"/>
      <c r="C606"/>
      <c r="D606"/>
      <c r="E606"/>
      <c r="AL606" s="27" t="s">
        <v>7</v>
      </c>
      <c r="AN606" s="27" t="s">
        <v>7</v>
      </c>
      <c r="AO606" s="27" t="s">
        <v>8</v>
      </c>
      <c r="AP606" s="27" t="s">
        <v>7</v>
      </c>
      <c r="AQ606" s="27" t="s">
        <v>8</v>
      </c>
      <c r="AR606" s="27" t="s">
        <v>7</v>
      </c>
      <c r="AS606" s="27" t="s">
        <v>8</v>
      </c>
      <c r="AT606" s="27" t="s">
        <v>7</v>
      </c>
      <c r="AU606" s="27" t="s">
        <v>8</v>
      </c>
      <c r="AX606" s="27" t="s">
        <v>7</v>
      </c>
      <c r="AY606" s="27" t="s">
        <v>8</v>
      </c>
      <c r="AZ606" s="27" t="s">
        <v>7</v>
      </c>
      <c r="BC606" s="27" t="s">
        <v>8</v>
      </c>
      <c r="BD606" s="27" t="s">
        <v>7</v>
      </c>
      <c r="BO606" s="27" t="s">
        <v>8</v>
      </c>
      <c r="BP606" s="27" t="s">
        <v>7</v>
      </c>
      <c r="BS606" s="27" t="s">
        <v>8</v>
      </c>
      <c r="BT606" s="27" t="s">
        <v>7</v>
      </c>
      <c r="BU606" s="27" t="s">
        <v>8</v>
      </c>
      <c r="BZ606" s="27" t="s">
        <v>7</v>
      </c>
      <c r="CA606" s="27" t="s">
        <v>8</v>
      </c>
      <c r="CV606" s="27" t="s">
        <v>7</v>
      </c>
      <c r="CW606" s="27" t="s">
        <v>8</v>
      </c>
      <c r="DD606" s="27" t="s">
        <v>7</v>
      </c>
      <c r="DE606" s="27" t="s">
        <v>8</v>
      </c>
      <c r="DM606" s="27" t="s">
        <v>8</v>
      </c>
      <c r="DN606" s="27" t="s">
        <v>7</v>
      </c>
      <c r="DO606" s="27" t="s">
        <v>8</v>
      </c>
      <c r="DP606" s="27" t="s">
        <v>7</v>
      </c>
      <c r="DQ606" s="27" t="s">
        <v>8</v>
      </c>
      <c r="DR606" s="27" t="s">
        <v>7</v>
      </c>
      <c r="DS606" s="27" t="s">
        <v>8</v>
      </c>
      <c r="DT606" s="27" t="s">
        <v>7</v>
      </c>
      <c r="DU606" s="27" t="s">
        <v>8</v>
      </c>
      <c r="DV606" s="27" t="s">
        <v>7</v>
      </c>
      <c r="FX606" s="27" t="s">
        <v>7</v>
      </c>
      <c r="FY606" s="27" t="s">
        <v>8</v>
      </c>
      <c r="FZ606" s="27" t="s">
        <v>7</v>
      </c>
      <c r="GA606" s="27" t="s">
        <v>8</v>
      </c>
      <c r="GB606" s="27" t="s">
        <v>7</v>
      </c>
    </row>
    <row r="607" spans="1:184" x14ac:dyDescent="0.25">
      <c r="A607" s="7">
        <v>0.67297133310805768</v>
      </c>
      <c r="B607"/>
      <c r="C607"/>
      <c r="D607"/>
      <c r="E607"/>
      <c r="AN607" s="27" t="s">
        <v>7</v>
      </c>
      <c r="AO607" s="27" t="s">
        <v>8</v>
      </c>
      <c r="AP607" s="27" t="s">
        <v>7</v>
      </c>
      <c r="AQ607" s="27" t="s">
        <v>8</v>
      </c>
      <c r="AR607" s="27" t="s">
        <v>7</v>
      </c>
      <c r="AT607" s="27" t="s">
        <v>7</v>
      </c>
      <c r="AU607" s="27" t="s">
        <v>8</v>
      </c>
      <c r="AX607" s="27" t="s">
        <v>7</v>
      </c>
      <c r="AY607" s="27" t="s">
        <v>8</v>
      </c>
      <c r="AZ607" s="27" t="s">
        <v>7</v>
      </c>
      <c r="BC607" s="27" t="s">
        <v>8</v>
      </c>
      <c r="BD607" s="27" t="s">
        <v>7</v>
      </c>
      <c r="BO607" s="27" t="s">
        <v>8</v>
      </c>
      <c r="BP607" s="27" t="s">
        <v>7</v>
      </c>
      <c r="BS607" s="27" t="s">
        <v>8</v>
      </c>
      <c r="BT607" s="27" t="s">
        <v>7</v>
      </c>
      <c r="BU607" s="27" t="s">
        <v>8</v>
      </c>
      <c r="BZ607" s="27" t="s">
        <v>7</v>
      </c>
      <c r="CA607" s="27" t="s">
        <v>8</v>
      </c>
      <c r="CV607" s="27" t="s">
        <v>7</v>
      </c>
      <c r="DD607" s="27" t="s">
        <v>7</v>
      </c>
      <c r="DE607" s="27" t="s">
        <v>8</v>
      </c>
      <c r="DF607" s="27" t="s">
        <v>7</v>
      </c>
      <c r="DM607" s="27" t="s">
        <v>8</v>
      </c>
      <c r="DN607" s="27" t="s">
        <v>7</v>
      </c>
      <c r="DO607" s="27" t="s">
        <v>8</v>
      </c>
      <c r="DP607" s="27" t="s">
        <v>7</v>
      </c>
      <c r="DQ607" s="27" t="s">
        <v>8</v>
      </c>
      <c r="DR607" s="27" t="s">
        <v>7</v>
      </c>
      <c r="DS607" s="27" t="s">
        <v>8</v>
      </c>
      <c r="DT607" s="27" t="s">
        <v>7</v>
      </c>
      <c r="FX607" s="27" t="s">
        <v>7</v>
      </c>
      <c r="FY607" s="27" t="s">
        <v>8</v>
      </c>
      <c r="FZ607" s="27" t="s">
        <v>7</v>
      </c>
      <c r="GA607" s="27" t="s">
        <v>8</v>
      </c>
      <c r="GB607" s="27" t="s">
        <v>7</v>
      </c>
    </row>
    <row r="608" spans="1:184" x14ac:dyDescent="0.25">
      <c r="A608" s="7">
        <v>0.65977581677260566</v>
      </c>
      <c r="B608"/>
      <c r="C608"/>
      <c r="D608"/>
      <c r="E608"/>
      <c r="AN608" s="27" t="s">
        <v>7</v>
      </c>
      <c r="AO608" s="27" t="s">
        <v>8</v>
      </c>
      <c r="AP608" s="27" t="s">
        <v>7</v>
      </c>
      <c r="AQ608" s="27" t="s">
        <v>8</v>
      </c>
      <c r="AT608" s="27" t="s">
        <v>7</v>
      </c>
      <c r="AU608" s="27" t="s">
        <v>8</v>
      </c>
      <c r="AX608" s="27" t="s">
        <v>7</v>
      </c>
      <c r="AZ608" s="27" t="s">
        <v>7</v>
      </c>
      <c r="BC608" s="27" t="s">
        <v>8</v>
      </c>
      <c r="BD608" s="27" t="s">
        <v>7</v>
      </c>
      <c r="BO608" s="27" t="s">
        <v>8</v>
      </c>
      <c r="BP608" s="27" t="s">
        <v>7</v>
      </c>
      <c r="BS608" s="27" t="s">
        <v>8</v>
      </c>
      <c r="BT608" s="27" t="s">
        <v>7</v>
      </c>
      <c r="BU608" s="27" t="s">
        <v>8</v>
      </c>
      <c r="BZ608" s="27" t="s">
        <v>7</v>
      </c>
      <c r="DD608" s="27" t="s">
        <v>7</v>
      </c>
      <c r="DE608" s="27" t="s">
        <v>8</v>
      </c>
      <c r="DF608" s="27" t="s">
        <v>7</v>
      </c>
      <c r="DM608" s="27" t="s">
        <v>8</v>
      </c>
      <c r="DN608" s="27" t="s">
        <v>7</v>
      </c>
      <c r="DO608" s="27" t="s">
        <v>8</v>
      </c>
      <c r="DP608" s="27" t="s">
        <v>7</v>
      </c>
      <c r="DQ608" s="27" t="s">
        <v>8</v>
      </c>
      <c r="DR608" s="27" t="s">
        <v>7</v>
      </c>
      <c r="FX608" s="27" t="s">
        <v>7</v>
      </c>
      <c r="FY608" s="27" t="s">
        <v>8</v>
      </c>
      <c r="FZ608" s="27" t="s">
        <v>7</v>
      </c>
      <c r="GA608" s="27" t="s">
        <v>8</v>
      </c>
      <c r="GB608" s="27" t="s">
        <v>7</v>
      </c>
    </row>
    <row r="609" spans="1:183" x14ac:dyDescent="0.25">
      <c r="A609" s="7">
        <v>0.64683903605157422</v>
      </c>
      <c r="B609"/>
      <c r="C609"/>
      <c r="D609"/>
      <c r="E609"/>
      <c r="AN609" s="27" t="s">
        <v>7</v>
      </c>
      <c r="AO609" s="27" t="s">
        <v>8</v>
      </c>
      <c r="AP609" s="27" t="s">
        <v>7</v>
      </c>
      <c r="AQ609" s="27" t="s">
        <v>8</v>
      </c>
      <c r="AT609" s="27" t="s">
        <v>7</v>
      </c>
      <c r="AU609" s="27" t="s">
        <v>8</v>
      </c>
      <c r="AZ609" s="27" t="s">
        <v>7</v>
      </c>
      <c r="BC609" s="27" t="s">
        <v>8</v>
      </c>
      <c r="BD609" s="27" t="s">
        <v>7</v>
      </c>
      <c r="BE609" s="27" t="s">
        <v>8</v>
      </c>
      <c r="BO609" s="27" t="s">
        <v>8</v>
      </c>
      <c r="BP609" s="27" t="s">
        <v>7</v>
      </c>
      <c r="BS609" s="27" t="s">
        <v>8</v>
      </c>
      <c r="BT609" s="27" t="s">
        <v>7</v>
      </c>
      <c r="BU609" s="27" t="s">
        <v>8</v>
      </c>
      <c r="DD609" s="27" t="s">
        <v>7</v>
      </c>
      <c r="DE609" s="27" t="s">
        <v>8</v>
      </c>
      <c r="DF609" s="27" t="s">
        <v>7</v>
      </c>
      <c r="DI609" s="27" t="s">
        <v>8</v>
      </c>
      <c r="DM609" s="27" t="s">
        <v>8</v>
      </c>
      <c r="DN609" s="27" t="s">
        <v>7</v>
      </c>
      <c r="DO609" s="27" t="s">
        <v>8</v>
      </c>
      <c r="DP609" s="27" t="s">
        <v>7</v>
      </c>
      <c r="DQ609" s="27" t="s">
        <v>8</v>
      </c>
      <c r="FX609" s="27" t="s">
        <v>7</v>
      </c>
      <c r="FY609" s="27" t="s">
        <v>8</v>
      </c>
      <c r="FZ609" s="27" t="s">
        <v>7</v>
      </c>
      <c r="GA609" s="27" t="s">
        <v>8</v>
      </c>
    </row>
    <row r="610" spans="1:183" x14ac:dyDescent="0.25">
      <c r="A610" s="7">
        <v>0.63415591769762181</v>
      </c>
      <c r="B610"/>
      <c r="C610"/>
      <c r="D610"/>
      <c r="E610"/>
      <c r="AN610" s="27" t="s">
        <v>7</v>
      </c>
      <c r="AO610" s="27" t="s">
        <v>8</v>
      </c>
      <c r="AP610" s="27" t="s">
        <v>7</v>
      </c>
      <c r="AQ610" s="27" t="s">
        <v>8</v>
      </c>
      <c r="AT610" s="27" t="s">
        <v>7</v>
      </c>
      <c r="AU610" s="27" t="s">
        <v>8</v>
      </c>
      <c r="AZ610" s="27" t="s">
        <v>7</v>
      </c>
      <c r="BA610" s="27" t="s">
        <v>8</v>
      </c>
      <c r="BC610" s="27" t="s">
        <v>8</v>
      </c>
      <c r="BD610" s="27" t="s">
        <v>7</v>
      </c>
      <c r="BE610" s="27" t="s">
        <v>8</v>
      </c>
      <c r="BF610" s="27" t="s">
        <v>7</v>
      </c>
      <c r="BO610" s="27" t="s">
        <v>8</v>
      </c>
      <c r="BP610" s="27" t="s">
        <v>7</v>
      </c>
      <c r="BS610" s="27" t="s">
        <v>8</v>
      </c>
      <c r="BT610" s="27" t="s">
        <v>7</v>
      </c>
      <c r="BU610" s="27" t="s">
        <v>8</v>
      </c>
      <c r="DD610" s="27" t="s">
        <v>7</v>
      </c>
      <c r="DE610" s="27" t="s">
        <v>8</v>
      </c>
      <c r="DF610" s="27" t="s">
        <v>7</v>
      </c>
      <c r="DI610" s="27" t="s">
        <v>8</v>
      </c>
      <c r="DJ610" s="27" t="s">
        <v>7</v>
      </c>
      <c r="DM610" s="27" t="s">
        <v>8</v>
      </c>
      <c r="DN610" s="27" t="s">
        <v>7</v>
      </c>
      <c r="DO610" s="27" t="s">
        <v>8</v>
      </c>
      <c r="DP610" s="27" t="s">
        <v>7</v>
      </c>
      <c r="DQ610" s="27" t="s">
        <v>8</v>
      </c>
      <c r="FX610" s="27" t="s">
        <v>7</v>
      </c>
      <c r="FY610" s="27" t="s">
        <v>8</v>
      </c>
      <c r="FZ610" s="27" t="s">
        <v>7</v>
      </c>
    </row>
    <row r="611" spans="1:183" x14ac:dyDescent="0.25">
      <c r="A611" s="7">
        <v>0.62172148793884496</v>
      </c>
      <c r="B611"/>
      <c r="C611"/>
      <c r="D611"/>
      <c r="E611"/>
      <c r="AN611" s="27" t="s">
        <v>7</v>
      </c>
      <c r="AO611" s="27" t="s">
        <v>8</v>
      </c>
      <c r="AP611" s="27" t="s">
        <v>7</v>
      </c>
      <c r="AQ611" s="27" t="s">
        <v>8</v>
      </c>
      <c r="AT611" s="27" t="s">
        <v>7</v>
      </c>
      <c r="AU611" s="27" t="s">
        <v>8</v>
      </c>
      <c r="AZ611" s="27" t="s">
        <v>7</v>
      </c>
      <c r="BA611" s="27" t="s">
        <v>8</v>
      </c>
      <c r="BB611" s="27" t="s">
        <v>7</v>
      </c>
      <c r="BC611" s="27" t="s">
        <v>8</v>
      </c>
      <c r="BD611" s="27" t="s">
        <v>7</v>
      </c>
      <c r="BE611" s="27" t="s">
        <v>8</v>
      </c>
      <c r="BF611" s="27" t="s">
        <v>7</v>
      </c>
      <c r="BO611" s="27" t="s">
        <v>8</v>
      </c>
      <c r="BP611" s="27" t="s">
        <v>7</v>
      </c>
      <c r="BS611" s="27" t="s">
        <v>8</v>
      </c>
      <c r="BT611" s="27" t="s">
        <v>7</v>
      </c>
      <c r="BU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I611" s="27" t="s">
        <v>8</v>
      </c>
      <c r="DJ611" s="27" t="s">
        <v>7</v>
      </c>
      <c r="DM611" s="27" t="s">
        <v>8</v>
      </c>
      <c r="DN611" s="27" t="s">
        <v>7</v>
      </c>
      <c r="DO611" s="27" t="s">
        <v>8</v>
      </c>
      <c r="DP611" s="27" t="s">
        <v>7</v>
      </c>
      <c r="DQ611" s="27" t="s">
        <v>8</v>
      </c>
      <c r="FX611" s="27" t="s">
        <v>7</v>
      </c>
      <c r="FY611" s="27" t="s">
        <v>8</v>
      </c>
    </row>
    <row r="612" spans="1:183" x14ac:dyDescent="0.25">
      <c r="A612" s="7">
        <v>0.60953087052827937</v>
      </c>
      <c r="B612"/>
      <c r="C612"/>
      <c r="D612"/>
      <c r="E612"/>
      <c r="AN612" s="27" t="s">
        <v>7</v>
      </c>
      <c r="AP612" s="27" t="s">
        <v>7</v>
      </c>
      <c r="AQ612" s="27" t="s">
        <v>8</v>
      </c>
      <c r="AT612" s="27" t="s">
        <v>7</v>
      </c>
      <c r="AU612" s="27" t="s">
        <v>8</v>
      </c>
      <c r="AZ612" s="27" t="s">
        <v>7</v>
      </c>
      <c r="BA612" s="27" t="s">
        <v>8</v>
      </c>
      <c r="BB612" s="27" t="s">
        <v>7</v>
      </c>
      <c r="BC612" s="27" t="s">
        <v>8</v>
      </c>
      <c r="BD612" s="27" t="s">
        <v>7</v>
      </c>
      <c r="BE612" s="27" t="s">
        <v>8</v>
      </c>
      <c r="BF612" s="27" t="s">
        <v>7</v>
      </c>
      <c r="BO612" s="27" t="s">
        <v>8</v>
      </c>
      <c r="BP612" s="27" t="s">
        <v>7</v>
      </c>
      <c r="BS612" s="27" t="s">
        <v>8</v>
      </c>
      <c r="BT612" s="27" t="s">
        <v>7</v>
      </c>
      <c r="BU612" s="27" t="s">
        <v>8</v>
      </c>
      <c r="DD612" s="27" t="s">
        <v>7</v>
      </c>
      <c r="DE612" s="27" t="s">
        <v>8</v>
      </c>
      <c r="DF612" s="27" t="s">
        <v>7</v>
      </c>
      <c r="DG612" s="27" t="s">
        <v>8</v>
      </c>
      <c r="DH612" s="27" t="s">
        <v>7</v>
      </c>
      <c r="DI612" s="27" t="s">
        <v>8</v>
      </c>
      <c r="DJ612" s="27" t="s">
        <v>7</v>
      </c>
      <c r="DK612" s="27" t="s">
        <v>8</v>
      </c>
      <c r="DM612" s="27" t="s">
        <v>8</v>
      </c>
      <c r="DN612" s="27" t="s">
        <v>7</v>
      </c>
      <c r="DP612" s="27" t="s">
        <v>7</v>
      </c>
      <c r="DQ612" s="27" t="s">
        <v>8</v>
      </c>
      <c r="FX612" s="27" t="s">
        <v>7</v>
      </c>
    </row>
    <row r="613" spans="1:183" x14ac:dyDescent="0.25">
      <c r="A613" s="7">
        <v>0.59757928483164646</v>
      </c>
      <c r="B613"/>
      <c r="C613"/>
      <c r="D613"/>
      <c r="E613"/>
      <c r="AP613" s="27" t="s">
        <v>7</v>
      </c>
      <c r="AQ613" s="27" t="s">
        <v>8</v>
      </c>
      <c r="AT613" s="27" t="s">
        <v>7</v>
      </c>
      <c r="AU613" s="27" t="s">
        <v>8</v>
      </c>
      <c r="AZ613" s="27" t="s">
        <v>7</v>
      </c>
      <c r="BA613" s="27" t="s">
        <v>8</v>
      </c>
      <c r="BB613" s="27" t="s">
        <v>7</v>
      </c>
      <c r="BC613" s="27" t="s">
        <v>8</v>
      </c>
      <c r="BD613" s="27" t="s">
        <v>7</v>
      </c>
      <c r="BE613" s="27" t="s">
        <v>8</v>
      </c>
      <c r="BF613" s="27" t="s">
        <v>7</v>
      </c>
      <c r="BO613" s="27" t="s">
        <v>8</v>
      </c>
      <c r="BP613" s="27" t="s">
        <v>7</v>
      </c>
      <c r="BS613" s="27" t="s">
        <v>8</v>
      </c>
      <c r="BT613" s="27" t="s">
        <v>7</v>
      </c>
      <c r="BU613" s="27" t="s">
        <v>8</v>
      </c>
      <c r="DD613" s="27" t="s">
        <v>7</v>
      </c>
      <c r="DE613" s="27" t="s">
        <v>8</v>
      </c>
      <c r="DF613" s="27" t="s">
        <v>7</v>
      </c>
      <c r="DG613" s="27" t="s">
        <v>8</v>
      </c>
      <c r="DH613" s="27" t="s">
        <v>7</v>
      </c>
      <c r="DI613" s="27" t="s">
        <v>8</v>
      </c>
      <c r="DJ613" s="27" t="s">
        <v>7</v>
      </c>
      <c r="DK613" s="27" t="s">
        <v>8</v>
      </c>
      <c r="DL613" s="27" t="s">
        <v>7</v>
      </c>
      <c r="DM613" s="27" t="s">
        <v>8</v>
      </c>
      <c r="DP613" s="27" t="s">
        <v>7</v>
      </c>
    </row>
    <row r="614" spans="1:183" x14ac:dyDescent="0.25">
      <c r="A614" s="7">
        <v>0.58586204395259456</v>
      </c>
      <c r="B614"/>
      <c r="C614"/>
      <c r="D614"/>
      <c r="E614"/>
      <c r="AP614" s="27" t="s">
        <v>7</v>
      </c>
      <c r="AQ614" s="27" t="s">
        <v>8</v>
      </c>
      <c r="AT614" s="27" t="s">
        <v>7</v>
      </c>
      <c r="AU614" s="27" t="s">
        <v>8</v>
      </c>
      <c r="AZ614" s="27" t="s">
        <v>7</v>
      </c>
      <c r="BA614" s="27" t="s">
        <v>8</v>
      </c>
      <c r="BB614" s="27" t="s">
        <v>7</v>
      </c>
      <c r="BC614" s="27" t="s">
        <v>8</v>
      </c>
      <c r="BD614" s="27" t="s">
        <v>7</v>
      </c>
      <c r="BE614" s="27" t="s">
        <v>8</v>
      </c>
      <c r="BF614" s="27" t="s">
        <v>7</v>
      </c>
      <c r="BO614" s="27" t="s">
        <v>8</v>
      </c>
      <c r="BP614" s="27" t="s">
        <v>7</v>
      </c>
      <c r="BS614" s="27" t="s">
        <v>8</v>
      </c>
      <c r="BT614" s="27" t="s">
        <v>7</v>
      </c>
      <c r="BU614" s="27" t="s">
        <v>8</v>
      </c>
      <c r="DD614" s="27" t="s">
        <v>7</v>
      </c>
      <c r="DE614" s="27" t="s">
        <v>8</v>
      </c>
      <c r="DF614" s="27" t="s">
        <v>7</v>
      </c>
      <c r="DG614" s="27" t="s">
        <v>8</v>
      </c>
      <c r="DH614" s="27" t="s">
        <v>7</v>
      </c>
      <c r="DI614" s="27" t="s">
        <v>8</v>
      </c>
      <c r="DJ614" s="27" t="s">
        <v>7</v>
      </c>
      <c r="DK614" s="27" t="s">
        <v>8</v>
      </c>
      <c r="DL614" s="27" t="s">
        <v>7</v>
      </c>
      <c r="DM614" s="27" t="s">
        <v>8</v>
      </c>
    </row>
    <row r="615" spans="1:183" x14ac:dyDescent="0.25">
      <c r="A615" s="7">
        <v>0.57437455289470052</v>
      </c>
      <c r="B615"/>
      <c r="C615"/>
      <c r="D615"/>
      <c r="E615"/>
      <c r="AP615" s="27" t="s">
        <v>7</v>
      </c>
      <c r="AQ615" s="27" t="s">
        <v>8</v>
      </c>
      <c r="AT615" s="27" t="s">
        <v>7</v>
      </c>
      <c r="AU615" s="27" t="s">
        <v>8</v>
      </c>
      <c r="AZ615" s="27" t="s">
        <v>7</v>
      </c>
      <c r="BA615" s="27" t="s">
        <v>8</v>
      </c>
      <c r="BB615" s="27" t="s">
        <v>7</v>
      </c>
      <c r="BC615" s="27" t="s">
        <v>8</v>
      </c>
      <c r="BD615" s="27" t="s">
        <v>7</v>
      </c>
      <c r="BF615" s="27" t="s">
        <v>7</v>
      </c>
      <c r="BO615" s="27" t="s">
        <v>8</v>
      </c>
      <c r="BP615" s="27" t="s">
        <v>7</v>
      </c>
      <c r="BS615" s="27" t="s">
        <v>8</v>
      </c>
      <c r="BT615" s="27" t="s">
        <v>7</v>
      </c>
      <c r="BU615" s="27" t="s">
        <v>8</v>
      </c>
      <c r="DD615" s="27" t="s">
        <v>7</v>
      </c>
      <c r="DE615" s="27" t="s">
        <v>8</v>
      </c>
      <c r="DF615" s="27" t="s">
        <v>7</v>
      </c>
      <c r="DG615" s="27" t="s">
        <v>8</v>
      </c>
      <c r="DH615" s="27" t="s">
        <v>7</v>
      </c>
      <c r="DI615" s="27" t="s">
        <v>8</v>
      </c>
      <c r="DJ615" s="27" t="s">
        <v>7</v>
      </c>
      <c r="DK615" s="27" t="s">
        <v>8</v>
      </c>
      <c r="DL615" s="27" t="s">
        <v>7</v>
      </c>
      <c r="DM615" s="27" t="s">
        <v>8</v>
      </c>
    </row>
    <row r="616" spans="1:183" x14ac:dyDescent="0.25">
      <c r="A616" s="7">
        <v>0.56311230675951029</v>
      </c>
      <c r="B616"/>
      <c r="C616"/>
      <c r="D616"/>
      <c r="E616"/>
      <c r="AP616" s="27" t="s">
        <v>7</v>
      </c>
      <c r="AQ616" s="27" t="s">
        <v>8</v>
      </c>
      <c r="AT616" s="27" t="s">
        <v>7</v>
      </c>
      <c r="AZ616" s="27" t="s">
        <v>7</v>
      </c>
      <c r="BA616" s="27" t="s">
        <v>8</v>
      </c>
      <c r="BB616" s="27" t="s">
        <v>7</v>
      </c>
      <c r="BC616" s="27" t="s">
        <v>8</v>
      </c>
      <c r="BF616" s="27" t="s">
        <v>7</v>
      </c>
      <c r="BO616" s="27" t="s">
        <v>8</v>
      </c>
      <c r="BP616" s="27" t="s">
        <v>7</v>
      </c>
      <c r="BS616" s="27" t="s">
        <v>8</v>
      </c>
      <c r="BT616" s="27" t="s">
        <v>7</v>
      </c>
      <c r="BU616" s="27" t="s">
        <v>8</v>
      </c>
      <c r="DD616" s="27" t="s">
        <v>7</v>
      </c>
      <c r="DE616" s="27" t="s">
        <v>8</v>
      </c>
      <c r="DF616" s="27" t="s">
        <v>7</v>
      </c>
      <c r="DH616" s="27" t="s">
        <v>7</v>
      </c>
      <c r="DI616" s="27" t="s">
        <v>8</v>
      </c>
      <c r="DJ616" s="27" t="s">
        <v>7</v>
      </c>
      <c r="DK616" s="27" t="s">
        <v>8</v>
      </c>
      <c r="DL616" s="27" t="s">
        <v>7</v>
      </c>
      <c r="DM616" s="27" t="s">
        <v>8</v>
      </c>
    </row>
    <row r="617" spans="1:183" x14ac:dyDescent="0.25">
      <c r="A617" s="7">
        <v>0.55207088897991208</v>
      </c>
      <c r="B617"/>
      <c r="C617"/>
      <c r="D617"/>
      <c r="E617"/>
      <c r="AP617" s="27" t="s">
        <v>7</v>
      </c>
      <c r="AQ617" s="27" t="s">
        <v>8</v>
      </c>
      <c r="AZ617" s="27" t="s">
        <v>7</v>
      </c>
      <c r="BA617" s="27" t="s">
        <v>8</v>
      </c>
      <c r="BB617" s="27" t="s">
        <v>7</v>
      </c>
      <c r="BC617" s="27" t="s">
        <v>8</v>
      </c>
      <c r="BF617" s="27" t="s">
        <v>7</v>
      </c>
      <c r="BO617" s="27" t="s">
        <v>8</v>
      </c>
      <c r="BP617" s="27" t="s">
        <v>7</v>
      </c>
      <c r="BS617" s="27" t="s">
        <v>8</v>
      </c>
      <c r="BT617" s="27" t="s">
        <v>7</v>
      </c>
      <c r="BU617" s="27" t="s">
        <v>8</v>
      </c>
      <c r="DD617" s="27" t="s">
        <v>7</v>
      </c>
      <c r="DH617" s="27" t="s">
        <v>7</v>
      </c>
      <c r="DI617" s="27" t="s">
        <v>8</v>
      </c>
      <c r="DJ617" s="27" t="s">
        <v>7</v>
      </c>
      <c r="DK617" s="27" t="s">
        <v>8</v>
      </c>
      <c r="DL617" s="27" t="s">
        <v>7</v>
      </c>
    </row>
    <row r="618" spans="1:183" x14ac:dyDescent="0.25">
      <c r="A618" s="7">
        <v>0.54124596958814908</v>
      </c>
      <c r="B618"/>
      <c r="C618"/>
      <c r="D618"/>
      <c r="E618"/>
      <c r="AP618" s="27" t="s">
        <v>7</v>
      </c>
      <c r="AQ618" s="27" t="s">
        <v>8</v>
      </c>
      <c r="AZ618" s="27" t="s">
        <v>7</v>
      </c>
      <c r="BA618" s="27" t="s">
        <v>8</v>
      </c>
      <c r="BB618" s="27" t="s">
        <v>7</v>
      </c>
      <c r="BC618" s="27" t="s">
        <v>8</v>
      </c>
      <c r="BF618" s="27" t="s">
        <v>7</v>
      </c>
      <c r="BO618" s="27" t="s">
        <v>8</v>
      </c>
      <c r="BP618" s="27" t="s">
        <v>7</v>
      </c>
      <c r="BS618" s="27" t="s">
        <v>8</v>
      </c>
      <c r="BT618" s="27" t="s">
        <v>7</v>
      </c>
      <c r="DH618" s="27" t="s">
        <v>7</v>
      </c>
      <c r="DJ618" s="27" t="s">
        <v>7</v>
      </c>
    </row>
    <row r="619" spans="1:183" x14ac:dyDescent="0.25">
      <c r="A619" s="7">
        <v>0.53063330351779314</v>
      </c>
      <c r="B619"/>
      <c r="C619"/>
      <c r="D619"/>
      <c r="E619"/>
      <c r="AP619" s="27" t="s">
        <v>7</v>
      </c>
      <c r="AQ619" s="27" t="s">
        <v>8</v>
      </c>
      <c r="AZ619" s="27" t="s">
        <v>7</v>
      </c>
      <c r="BA619" s="27" t="s">
        <v>8</v>
      </c>
      <c r="BB619" s="27" t="s">
        <v>7</v>
      </c>
      <c r="BF619" s="27" t="s">
        <v>7</v>
      </c>
      <c r="BI619" s="27" t="s">
        <v>8</v>
      </c>
      <c r="BO619" s="27" t="s">
        <v>8</v>
      </c>
      <c r="BP619" s="27" t="s">
        <v>7</v>
      </c>
      <c r="BQ619" s="27" t="s">
        <v>8</v>
      </c>
      <c r="BS619" s="27" t="s">
        <v>8</v>
      </c>
    </row>
    <row r="620" spans="1:183" x14ac:dyDescent="0.25">
      <c r="A620" s="7">
        <v>0.52022872893901284</v>
      </c>
      <c r="B620"/>
      <c r="C620"/>
      <c r="D620"/>
      <c r="E620"/>
      <c r="AP620" s="27" t="s">
        <v>7</v>
      </c>
      <c r="AQ620" s="27" t="s">
        <v>8</v>
      </c>
      <c r="AZ620" s="27" t="s">
        <v>7</v>
      </c>
      <c r="BF620" s="27" t="s">
        <v>7</v>
      </c>
      <c r="BI620" s="27" t="s">
        <v>8</v>
      </c>
      <c r="BJ620" s="27" t="s">
        <v>7</v>
      </c>
      <c r="BO620" s="27" t="s">
        <v>8</v>
      </c>
      <c r="BP620" s="27" t="s">
        <v>7</v>
      </c>
      <c r="BQ620" s="27" t="s">
        <v>8</v>
      </c>
      <c r="BR620" s="27" t="s">
        <v>7</v>
      </c>
      <c r="BS620" s="27" t="s">
        <v>8</v>
      </c>
    </row>
    <row r="621" spans="1:183" x14ac:dyDescent="0.25">
      <c r="A621" s="7">
        <v>0.51002816562648323</v>
      </c>
      <c r="B621"/>
      <c r="C621"/>
      <c r="D621"/>
      <c r="E621"/>
      <c r="AP621" s="27" t="s">
        <v>7</v>
      </c>
      <c r="AQ621" s="27" t="s">
        <v>8</v>
      </c>
      <c r="BF621" s="27" t="s">
        <v>7</v>
      </c>
      <c r="BI621" s="27" t="s">
        <v>8</v>
      </c>
      <c r="BJ621" s="27" t="s">
        <v>7</v>
      </c>
      <c r="BO621" s="27" t="s">
        <v>8</v>
      </c>
      <c r="BP621" s="27" t="s">
        <v>7</v>
      </c>
      <c r="BQ621" s="27" t="s">
        <v>8</v>
      </c>
      <c r="BR621" s="27" t="s">
        <v>7</v>
      </c>
      <c r="BS621" s="27" t="s">
        <v>8</v>
      </c>
    </row>
    <row r="622" spans="1:183" x14ac:dyDescent="0.25">
      <c r="A622" s="7">
        <v>0.50002761335929735</v>
      </c>
      <c r="B622"/>
      <c r="C622"/>
      <c r="D622"/>
      <c r="E622"/>
      <c r="AP622" s="27" t="s">
        <v>7</v>
      </c>
      <c r="AQ622" s="27" t="s">
        <v>8</v>
      </c>
      <c r="BF622" s="27" t="s">
        <v>7</v>
      </c>
      <c r="BI622" s="27" t="s">
        <v>8</v>
      </c>
      <c r="BJ622" s="27" t="s">
        <v>7</v>
      </c>
      <c r="BM622" s="27" t="s">
        <v>8</v>
      </c>
      <c r="BO622" s="27" t="s">
        <v>8</v>
      </c>
      <c r="BP622" s="27" t="s">
        <v>7</v>
      </c>
      <c r="BQ622" s="27" t="s">
        <v>8</v>
      </c>
      <c r="BR622" s="27" t="s">
        <v>7</v>
      </c>
      <c r="BS622" s="27" t="s">
        <v>8</v>
      </c>
    </row>
    <row r="623" spans="1:183" x14ac:dyDescent="0.25">
      <c r="A623" s="7">
        <v>0.49022315035225228</v>
      </c>
      <c r="B623"/>
      <c r="C623"/>
      <c r="D623"/>
      <c r="E623"/>
      <c r="AP623" s="27" t="s">
        <v>7</v>
      </c>
      <c r="AQ623" s="27" t="s">
        <v>8</v>
      </c>
      <c r="BF623" s="27" t="s">
        <v>7</v>
      </c>
      <c r="BI623" s="27" t="s">
        <v>8</v>
      </c>
      <c r="BJ623" s="27" t="s">
        <v>7</v>
      </c>
      <c r="BM623" s="27" t="s">
        <v>8</v>
      </c>
      <c r="BN623" s="27" t="s">
        <v>7</v>
      </c>
      <c r="BO623" s="27" t="s">
        <v>8</v>
      </c>
      <c r="BP623" s="27" t="s">
        <v>7</v>
      </c>
      <c r="BQ623" s="27" t="s">
        <v>8</v>
      </c>
      <c r="BR623" s="27" t="s">
        <v>7</v>
      </c>
      <c r="BS623" s="27" t="s">
        <v>8</v>
      </c>
    </row>
    <row r="624" spans="1:183" x14ac:dyDescent="0.25">
      <c r="A624" s="7">
        <v>0.48061093171789437</v>
      </c>
      <c r="B624"/>
      <c r="C624"/>
      <c r="D624"/>
      <c r="E624"/>
      <c r="AP624" s="27" t="s">
        <v>7</v>
      </c>
      <c r="AQ624" s="27" t="s">
        <v>8</v>
      </c>
      <c r="BF624" s="27" t="s">
        <v>7</v>
      </c>
      <c r="BI624" s="27" t="s">
        <v>8</v>
      </c>
      <c r="BJ624" s="27" t="s">
        <v>7</v>
      </c>
      <c r="BM624" s="27" t="s">
        <v>8</v>
      </c>
      <c r="BN624" s="27" t="s">
        <v>7</v>
      </c>
      <c r="BO624" s="27" t="s">
        <v>8</v>
      </c>
      <c r="BP624" s="27" t="s">
        <v>7</v>
      </c>
      <c r="BQ624" s="27" t="s">
        <v>8</v>
      </c>
      <c r="BR624" s="27" t="s">
        <v>7</v>
      </c>
      <c r="BS624" s="27" t="s">
        <v>8</v>
      </c>
    </row>
    <row r="625" spans="1:71" x14ac:dyDescent="0.25">
      <c r="A625" s="7">
        <v>0.47118718795871994</v>
      </c>
      <c r="B625"/>
      <c r="C625"/>
      <c r="D625"/>
      <c r="E625"/>
      <c r="AP625" s="27" t="s">
        <v>7</v>
      </c>
      <c r="AQ625" s="27" t="s">
        <v>8</v>
      </c>
      <c r="BF625" s="27" t="s">
        <v>7</v>
      </c>
      <c r="BI625" s="27" t="s">
        <v>8</v>
      </c>
      <c r="BJ625" s="27" t="s">
        <v>7</v>
      </c>
      <c r="BM625" s="27" t="s">
        <v>8</v>
      </c>
      <c r="BN625" s="27" t="s">
        <v>7</v>
      </c>
      <c r="BO625" s="27" t="s">
        <v>8</v>
      </c>
      <c r="BP625" s="27" t="s">
        <v>7</v>
      </c>
      <c r="BQ625" s="27" t="s">
        <v>8</v>
      </c>
      <c r="BR625" s="27" t="s">
        <v>7</v>
      </c>
      <c r="BS625" s="27" t="s">
        <v>8</v>
      </c>
    </row>
    <row r="626" spans="1:71" x14ac:dyDescent="0.25">
      <c r="A626" s="7">
        <v>0.46194822348894116</v>
      </c>
      <c r="B626"/>
      <c r="C626"/>
      <c r="D626"/>
      <c r="E626"/>
      <c r="AP626" s="27" t="s">
        <v>7</v>
      </c>
      <c r="AQ626" s="27" t="s">
        <v>8</v>
      </c>
      <c r="BF626" s="27" t="s">
        <v>7</v>
      </c>
      <c r="BI626" s="27" t="s">
        <v>8</v>
      </c>
      <c r="BJ626" s="27" t="s">
        <v>7</v>
      </c>
      <c r="BK626" s="27" t="s">
        <v>8</v>
      </c>
      <c r="BM626" s="27" t="s">
        <v>8</v>
      </c>
      <c r="BN626" s="27" t="s">
        <v>7</v>
      </c>
      <c r="BO626" s="27" t="s">
        <v>8</v>
      </c>
      <c r="BP626" s="27" t="s">
        <v>7</v>
      </c>
      <c r="BQ626" s="27" t="s">
        <v>8</v>
      </c>
      <c r="BR626" s="27" t="s">
        <v>7</v>
      </c>
      <c r="BS626" s="27" t="s">
        <v>8</v>
      </c>
    </row>
    <row r="627" spans="1:71" x14ac:dyDescent="0.25">
      <c r="A627" s="7">
        <v>0.45289041518523643</v>
      </c>
      <c r="B627"/>
      <c r="C627"/>
      <c r="D627"/>
      <c r="E627"/>
      <c r="AP627" s="27" t="s">
        <v>7</v>
      </c>
      <c r="AQ627" s="27" t="s">
        <v>8</v>
      </c>
      <c r="BF627" s="27" t="s">
        <v>7</v>
      </c>
      <c r="BI627" s="27" t="s">
        <v>8</v>
      </c>
      <c r="BJ627" s="27" t="s">
        <v>7</v>
      </c>
      <c r="BK627" s="27" t="s">
        <v>8</v>
      </c>
      <c r="BL627" s="27" t="s">
        <v>7</v>
      </c>
      <c r="BM627" s="27" t="s">
        <v>8</v>
      </c>
      <c r="BN627" s="27" t="s">
        <v>7</v>
      </c>
      <c r="BO627" s="27" t="s">
        <v>8</v>
      </c>
      <c r="BP627" s="27" t="s">
        <v>7</v>
      </c>
      <c r="BQ627" s="27" t="s">
        <v>8</v>
      </c>
      <c r="BR627" s="27" t="s">
        <v>7</v>
      </c>
      <c r="BS627" s="27" t="s">
        <v>8</v>
      </c>
    </row>
    <row r="628" spans="1:71" x14ac:dyDescent="0.25">
      <c r="A628" s="7">
        <v>0.44401021096591808</v>
      </c>
      <c r="B628"/>
      <c r="C628"/>
      <c r="D628"/>
      <c r="E628"/>
      <c r="AP628" s="27" t="s">
        <v>7</v>
      </c>
      <c r="AQ628" s="27" t="s">
        <v>8</v>
      </c>
      <c r="BF628" s="27" t="s">
        <v>7</v>
      </c>
      <c r="BI628" s="27" t="s">
        <v>8</v>
      </c>
      <c r="BJ628" s="27" t="s">
        <v>7</v>
      </c>
      <c r="BK628" s="27" t="s">
        <v>8</v>
      </c>
      <c r="BL628" s="27" t="s">
        <v>7</v>
      </c>
      <c r="BM628" s="27" t="s">
        <v>8</v>
      </c>
      <c r="BN628" s="27" t="s">
        <v>7</v>
      </c>
      <c r="BO628" s="27" t="s">
        <v>8</v>
      </c>
      <c r="BP628" s="27" t="s">
        <v>7</v>
      </c>
      <c r="BR628" s="27" t="s">
        <v>7</v>
      </c>
      <c r="BS628" s="27" t="s">
        <v>8</v>
      </c>
    </row>
    <row r="629" spans="1:71" x14ac:dyDescent="0.25">
      <c r="A629" s="7">
        <v>0.4353041283979589</v>
      </c>
      <c r="B629"/>
      <c r="C629"/>
      <c r="D629"/>
      <c r="E629"/>
      <c r="AP629" s="27" t="s">
        <v>7</v>
      </c>
      <c r="AQ629" s="27" t="s">
        <v>8</v>
      </c>
      <c r="BF629" s="27" t="s">
        <v>7</v>
      </c>
      <c r="BI629" s="27" t="s">
        <v>8</v>
      </c>
      <c r="BJ629" s="27" t="s">
        <v>7</v>
      </c>
      <c r="BK629" s="27" t="s">
        <v>8</v>
      </c>
      <c r="BL629" s="27" t="s">
        <v>7</v>
      </c>
      <c r="BM629" s="27" t="s">
        <v>8</v>
      </c>
      <c r="BN629" s="27" t="s">
        <v>7</v>
      </c>
      <c r="BO629" s="27" t="s">
        <v>8</v>
      </c>
      <c r="BR629" s="27" t="s">
        <v>7</v>
      </c>
      <c r="BS629" s="27" t="s">
        <v>8</v>
      </c>
    </row>
    <row r="630" spans="1:71" x14ac:dyDescent="0.25">
      <c r="A630" s="7">
        <v>0.4267687533313323</v>
      </c>
      <c r="B630"/>
      <c r="C630"/>
      <c r="D630"/>
      <c r="E630"/>
      <c r="AP630" s="27" t="s">
        <v>7</v>
      </c>
      <c r="AQ630" s="27" t="s">
        <v>8</v>
      </c>
      <c r="BF630" s="27" t="s">
        <v>7</v>
      </c>
      <c r="BI630" s="27" t="s">
        <v>8</v>
      </c>
      <c r="BJ630" s="27" t="s">
        <v>7</v>
      </c>
      <c r="BK630" s="27" t="s">
        <v>8</v>
      </c>
      <c r="BL630" s="27" t="s">
        <v>7</v>
      </c>
      <c r="BM630" s="27" t="s">
        <v>8</v>
      </c>
      <c r="BN630" s="27" t="s">
        <v>7</v>
      </c>
      <c r="BO630" s="27" t="s">
        <v>8</v>
      </c>
      <c r="BR630" s="27" t="s">
        <v>7</v>
      </c>
      <c r="BS630" s="27" t="s">
        <v>8</v>
      </c>
    </row>
    <row r="631" spans="1:71" x14ac:dyDescent="0.25">
      <c r="A631" s="7">
        <v>0.41840073856012971</v>
      </c>
      <c r="B631"/>
      <c r="C631"/>
      <c r="D631"/>
      <c r="E631"/>
      <c r="AP631" s="27" t="s">
        <v>7</v>
      </c>
      <c r="AQ631" s="27" t="s">
        <v>8</v>
      </c>
      <c r="BF631" s="27" t="s">
        <v>7</v>
      </c>
      <c r="BI631" s="27" t="s">
        <v>8</v>
      </c>
      <c r="BJ631" s="27" t="s">
        <v>7</v>
      </c>
      <c r="BK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  <c r="BR631" s="18" t="s">
        <v>7</v>
      </c>
      <c r="BS631" s="27" t="s">
        <v>8</v>
      </c>
    </row>
    <row r="632" spans="1:71" x14ac:dyDescent="0.25">
      <c r="A632" s="7">
        <v>0.41019680250993112</v>
      </c>
      <c r="B632"/>
      <c r="C632"/>
      <c r="D632"/>
      <c r="E632"/>
      <c r="AP632" s="27" t="s">
        <v>7</v>
      </c>
      <c r="AQ632" s="27" t="s">
        <v>8</v>
      </c>
      <c r="BF632" s="27" t="s">
        <v>7</v>
      </c>
      <c r="BI632" s="27" t="s">
        <v>8</v>
      </c>
      <c r="BJ632" s="27" t="s">
        <v>7</v>
      </c>
      <c r="BK632" s="27" t="s">
        <v>8</v>
      </c>
      <c r="BL632" s="27" t="s">
        <v>7</v>
      </c>
      <c r="BM632" s="27" t="s">
        <v>8</v>
      </c>
      <c r="BN632" s="27" t="s">
        <v>7</v>
      </c>
      <c r="BO632" s="27" t="s">
        <v>8</v>
      </c>
      <c r="BR632" s="27" t="s">
        <v>7</v>
      </c>
      <c r="BS632" s="27" t="s">
        <v>8</v>
      </c>
    </row>
    <row r="633" spans="1:71" x14ac:dyDescent="0.25">
      <c r="A633" s="7">
        <v>0.40215372795091286</v>
      </c>
      <c r="B633"/>
      <c r="C633"/>
      <c r="D633"/>
      <c r="E633"/>
      <c r="AP633" s="27" t="s">
        <v>7</v>
      </c>
      <c r="AQ633" s="27" t="s">
        <v>8</v>
      </c>
      <c r="BF633" s="27" t="s">
        <v>7</v>
      </c>
      <c r="BG633" s="27" t="s">
        <v>8</v>
      </c>
      <c r="BI633" s="27" t="s">
        <v>8</v>
      </c>
      <c r="BJ633" s="27" t="s">
        <v>7</v>
      </c>
      <c r="BK633" s="27" t="s">
        <v>8</v>
      </c>
      <c r="BL633" s="27" t="s">
        <v>7</v>
      </c>
      <c r="BM633" s="27" t="s">
        <v>8</v>
      </c>
      <c r="BN633" s="27" t="s">
        <v>7</v>
      </c>
      <c r="BO633" s="27" t="s">
        <v>8</v>
      </c>
      <c r="BR633" s="27" t="s">
        <v>7</v>
      </c>
      <c r="BS633" s="27" t="s">
        <v>8</v>
      </c>
    </row>
    <row r="634" spans="1:71" x14ac:dyDescent="0.25">
      <c r="A634" s="7">
        <v>0.39426836073618904</v>
      </c>
      <c r="B634"/>
      <c r="C634"/>
      <c r="D634"/>
      <c r="E634"/>
      <c r="AP634" s="27" t="s">
        <v>7</v>
      </c>
      <c r="AQ634" s="27" t="s">
        <v>8</v>
      </c>
      <c r="BF634" s="27" t="s">
        <v>7</v>
      </c>
      <c r="BG634" s="27" t="s">
        <v>8</v>
      </c>
      <c r="BH634" s="27" t="s">
        <v>7</v>
      </c>
      <c r="BI634" s="27" t="s">
        <v>8</v>
      </c>
      <c r="BJ634" s="27" t="s">
        <v>7</v>
      </c>
      <c r="BK634" s="27" t="s">
        <v>8</v>
      </c>
      <c r="BL634" s="27" t="s">
        <v>7</v>
      </c>
      <c r="BM634" s="27" t="s">
        <v>8</v>
      </c>
      <c r="BN634" s="27" t="s">
        <v>7</v>
      </c>
      <c r="BO634" s="27" t="s">
        <v>8</v>
      </c>
      <c r="BR634" s="27" t="s">
        <v>7</v>
      </c>
      <c r="BS634" s="27" t="s">
        <v>8</v>
      </c>
    </row>
    <row r="635" spans="1:71" x14ac:dyDescent="0.25">
      <c r="A635" s="7">
        <v>0.38653760856489122</v>
      </c>
      <c r="B635"/>
      <c r="C635"/>
      <c r="D635"/>
      <c r="E635"/>
      <c r="AP635" s="27" t="s">
        <v>7</v>
      </c>
      <c r="AQ635" s="27" t="s">
        <v>8</v>
      </c>
      <c r="BF635" s="27" t="s">
        <v>7</v>
      </c>
      <c r="BG635" s="27" t="s">
        <v>8</v>
      </c>
      <c r="BH635" s="27" t="s">
        <v>7</v>
      </c>
      <c r="BI635" s="27" t="s">
        <v>8</v>
      </c>
      <c r="BJ635" s="27" t="s">
        <v>7</v>
      </c>
      <c r="BL635" s="27" t="s">
        <v>7</v>
      </c>
      <c r="BN635" s="27" t="s">
        <v>7</v>
      </c>
      <c r="BR635" s="27" t="s">
        <v>7</v>
      </c>
      <c r="BS635" s="27" t="s">
        <v>8</v>
      </c>
    </row>
    <row r="636" spans="1:71" x14ac:dyDescent="0.25">
      <c r="A636" s="7">
        <v>0.37895843976950117</v>
      </c>
      <c r="B636"/>
      <c r="C636"/>
      <c r="D636"/>
      <c r="E636"/>
      <c r="AP636" s="27" t="s">
        <v>7</v>
      </c>
      <c r="AQ636" s="27" t="s">
        <v>8</v>
      </c>
      <c r="BF636" s="27" t="s">
        <v>7</v>
      </c>
      <c r="BG636" s="27" t="s">
        <v>8</v>
      </c>
      <c r="BH636" s="27" t="s">
        <v>7</v>
      </c>
      <c r="BI636" s="27" t="s">
        <v>8</v>
      </c>
      <c r="BR636" s="27" t="s">
        <v>7</v>
      </c>
      <c r="BS636" s="27" t="s">
        <v>8</v>
      </c>
    </row>
    <row r="637" spans="1:71" x14ac:dyDescent="0.25">
      <c r="A637" s="7">
        <v>0.37152788212696197</v>
      </c>
      <c r="B637"/>
      <c r="C637"/>
      <c r="D637"/>
      <c r="E637"/>
      <c r="AP637" s="27" t="s">
        <v>7</v>
      </c>
      <c r="AQ637" s="27" t="s">
        <v>8</v>
      </c>
      <c r="BF637" s="27" t="s">
        <v>7</v>
      </c>
      <c r="BG637" s="27" t="s">
        <v>8</v>
      </c>
      <c r="BH637" s="27" t="s">
        <v>7</v>
      </c>
      <c r="BI637" s="27" t="s">
        <v>8</v>
      </c>
      <c r="BR637" s="27" t="s">
        <v>7</v>
      </c>
      <c r="BS637" s="27" t="s">
        <v>8</v>
      </c>
    </row>
    <row r="638" spans="1:71" x14ac:dyDescent="0.25">
      <c r="A638" s="7">
        <v>0.36424302169310002</v>
      </c>
      <c r="B638"/>
      <c r="C638"/>
      <c r="D638"/>
      <c r="E638"/>
      <c r="AP638" s="27" t="s">
        <v>7</v>
      </c>
      <c r="AQ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BR638" s="27" t="s">
        <v>7</v>
      </c>
    </row>
    <row r="639" spans="1:71" x14ac:dyDescent="0.25">
      <c r="A639" s="7">
        <v>0.35710100165990194</v>
      </c>
      <c r="B639"/>
      <c r="C639"/>
      <c r="D639"/>
      <c r="E639"/>
      <c r="AP639" s="27" t="s">
        <v>7</v>
      </c>
      <c r="BF639" s="27" t="s">
        <v>7</v>
      </c>
      <c r="BG639" s="27" t="s">
        <v>8</v>
      </c>
      <c r="BH639" s="27" t="s">
        <v>7</v>
      </c>
      <c r="BI639" s="27" t="s">
        <v>8</v>
      </c>
    </row>
    <row r="640" spans="1:71" x14ac:dyDescent="0.25">
      <c r="A640" s="7">
        <v>0.35009902123519804</v>
      </c>
      <c r="B640"/>
      <c r="C640"/>
      <c r="D640"/>
      <c r="E640"/>
      <c r="BF640" s="27" t="s">
        <v>7</v>
      </c>
      <c r="BG640" s="27" t="s">
        <v>8</v>
      </c>
      <c r="BH640" s="27" t="s">
        <v>7</v>
      </c>
      <c r="BI640" s="27" t="s">
        <v>8</v>
      </c>
    </row>
    <row r="641" spans="1:61" x14ac:dyDescent="0.25">
      <c r="A641" s="7">
        <v>0.34323433454431179</v>
      </c>
      <c r="B641"/>
      <c r="C641"/>
      <c r="D641"/>
      <c r="E641"/>
      <c r="BF641" s="27" t="s">
        <v>7</v>
      </c>
      <c r="BG641" s="27" t="s">
        <v>8</v>
      </c>
      <c r="BH641" s="27" t="s">
        <v>7</v>
      </c>
      <c r="BI641" s="27" t="s">
        <v>8</v>
      </c>
    </row>
    <row r="642" spans="1:61" x14ac:dyDescent="0.25">
      <c r="A642" s="7">
        <v>0.33650424955324681</v>
      </c>
      <c r="B642"/>
      <c r="C642"/>
      <c r="D642"/>
      <c r="E642"/>
      <c r="BF642" s="27" t="s">
        <v>7</v>
      </c>
      <c r="BG642" s="27" t="s">
        <v>8</v>
      </c>
      <c r="BH642" s="27" t="s">
        <v>7</v>
      </c>
      <c r="BI642" s="27" t="s">
        <v>8</v>
      </c>
    </row>
    <row r="643" spans="1:61" x14ac:dyDescent="0.25">
      <c r="A643" s="7">
        <v>0.3299061270129871</v>
      </c>
      <c r="B643"/>
      <c r="C643"/>
      <c r="D643"/>
      <c r="E643"/>
      <c r="BF643" s="27" t="s">
        <v>7</v>
      </c>
      <c r="BG643" s="27" t="s">
        <v>8</v>
      </c>
      <c r="BH643" s="27" t="s">
        <v>7</v>
      </c>
      <c r="BI643" s="27" t="s">
        <v>8</v>
      </c>
    </row>
    <row r="644" spans="1:61" x14ac:dyDescent="0.25">
      <c r="A644" s="7">
        <v>0.32343737942449713</v>
      </c>
      <c r="B644"/>
      <c r="C644"/>
      <c r="D644"/>
      <c r="E644"/>
      <c r="BF644" s="27" t="s">
        <v>7</v>
      </c>
      <c r="BG644" s="27" t="s">
        <v>8</v>
      </c>
      <c r="BH644" s="27" t="s">
        <v>7</v>
      </c>
      <c r="BI644" s="27" t="s">
        <v>8</v>
      </c>
    </row>
    <row r="645" spans="1:61" x14ac:dyDescent="0.25">
      <c r="A645" s="7">
        <v>0.31709547002401678</v>
      </c>
      <c r="B645"/>
      <c r="C645"/>
      <c r="D645"/>
      <c r="E645"/>
      <c r="BF645" s="27" t="s">
        <v>7</v>
      </c>
      <c r="BG645" s="27" t="s">
        <v>8</v>
      </c>
      <c r="BH645" s="27" t="s">
        <v>7</v>
      </c>
      <c r="BI645" s="27" t="s">
        <v>8</v>
      </c>
    </row>
    <row r="646" spans="1:61" x14ac:dyDescent="0.25">
      <c r="A646" s="7">
        <v>0.31087791178825175</v>
      </c>
      <c r="B646"/>
      <c r="C646"/>
      <c r="D646"/>
      <c r="E646"/>
      <c r="BF646" s="27" t="s">
        <v>7</v>
      </c>
      <c r="BG646" s="27" t="s">
        <v>8</v>
      </c>
      <c r="BH646" s="27" t="s">
        <v>7</v>
      </c>
      <c r="BI646" s="27" t="s">
        <v>8</v>
      </c>
    </row>
    <row r="647" spans="1:61" x14ac:dyDescent="0.25">
      <c r="A647" s="7">
        <v>0.30478226645907036</v>
      </c>
      <c r="B647"/>
      <c r="C647"/>
      <c r="D647"/>
      <c r="E647"/>
      <c r="BF647" s="27" t="s">
        <v>7</v>
      </c>
      <c r="BG647" s="27" t="s">
        <v>8</v>
      </c>
      <c r="BH647" s="27" t="s">
        <v>7</v>
      </c>
      <c r="BI647" s="27" t="s">
        <v>8</v>
      </c>
    </row>
    <row r="648" spans="1:61" x14ac:dyDescent="0.25">
      <c r="A648" s="7">
        <v>0.29880614358732388</v>
      </c>
      <c r="B648"/>
      <c r="C648"/>
      <c r="D648"/>
      <c r="E648"/>
      <c r="BF648" s="27" t="s">
        <v>7</v>
      </c>
      <c r="BG648" s="27" t="s">
        <v>8</v>
      </c>
      <c r="BH648" s="27" t="s">
        <v>7</v>
      </c>
      <c r="BI648" s="27" t="s">
        <v>8</v>
      </c>
    </row>
    <row r="649" spans="1:61" x14ac:dyDescent="0.25">
      <c r="A649" s="7">
        <v>0.2929471995954156</v>
      </c>
      <c r="B649"/>
      <c r="C649"/>
      <c r="D649"/>
      <c r="E649"/>
      <c r="BF649" s="27" t="s">
        <v>7</v>
      </c>
      <c r="BG649" s="27" t="s">
        <v>8</v>
      </c>
      <c r="BH649" s="27" t="s">
        <v>7</v>
      </c>
    </row>
    <row r="650" spans="1:61" x14ac:dyDescent="0.25">
      <c r="A650" s="7">
        <v>0.28720313685825055</v>
      </c>
      <c r="B650"/>
      <c r="C650"/>
      <c r="D650"/>
      <c r="E650"/>
      <c r="BF650" s="27" t="s">
        <v>7</v>
      </c>
      <c r="BG650" s="27" t="s">
        <v>8</v>
      </c>
    </row>
    <row r="651" spans="1:61" x14ac:dyDescent="0.25">
      <c r="A651" s="7">
        <v>0.28157170280220645</v>
      </c>
      <c r="B651"/>
      <c r="C651"/>
      <c r="D651"/>
      <c r="E651"/>
      <c r="BF651" s="27" t="s">
        <v>7</v>
      </c>
      <c r="BG651" s="27" t="s">
        <v>8</v>
      </c>
    </row>
    <row r="652" spans="1:61" x14ac:dyDescent="0.25">
      <c r="A652" s="7">
        <v>0.27605068902177105</v>
      </c>
      <c r="B652"/>
      <c r="C652"/>
      <c r="D652"/>
      <c r="E652"/>
      <c r="BF652" s="27" t="s">
        <v>7</v>
      </c>
    </row>
    <row r="653" spans="1:61" x14ac:dyDescent="0.25">
      <c r="A653" s="7">
        <v>0.27063793041350104</v>
      </c>
      <c r="B653"/>
      <c r="C653"/>
      <c r="D653"/>
      <c r="E653"/>
    </row>
    <row r="654" spans="1:61" x14ac:dyDescent="0.25">
      <c r="A654" s="7">
        <v>0.26533130432696184</v>
      </c>
      <c r="B654"/>
      <c r="C654"/>
      <c r="D654"/>
      <c r="E654"/>
    </row>
    <row r="655" spans="1:61" x14ac:dyDescent="0.25">
      <c r="A655" s="7">
        <v>0.26012872973231554</v>
      </c>
      <c r="B655"/>
      <c r="C655"/>
      <c r="D655"/>
      <c r="E655"/>
    </row>
    <row r="656" spans="1:6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14" operator="equal">
      <formula>$U$1</formula>
    </cfRule>
    <cfRule type="cellIs" dxfId="89" priority="715" operator="equal">
      <formula>$S$1</formula>
    </cfRule>
  </conditionalFormatting>
  <conditionalFormatting sqref="D27">
    <cfRule type="cellIs" dxfId="88" priority="712" operator="equal">
      <formula>$S$1</formula>
    </cfRule>
    <cfRule type="cellIs" dxfId="87" priority="713" operator="equal">
      <formula>$U$1</formula>
    </cfRule>
  </conditionalFormatting>
  <conditionalFormatting sqref="C164">
    <cfRule type="cellIs" dxfId="86" priority="710" operator="equal">
      <formula>$U$1</formula>
    </cfRule>
    <cfRule type="cellIs" dxfId="85" priority="711" operator="equal">
      <formula>$S$1</formula>
    </cfRule>
  </conditionalFormatting>
  <conditionalFormatting sqref="D164">
    <cfRule type="cellIs" dxfId="84" priority="708" operator="equal">
      <formula>$S$1</formula>
    </cfRule>
    <cfRule type="cellIs" dxfId="83" priority="709" operator="equal">
      <formula>$U$1</formula>
    </cfRule>
  </conditionalFormatting>
  <conditionalFormatting sqref="C55">
    <cfRule type="cellIs" dxfId="82" priority="706" operator="equal">
      <formula>$U$1</formula>
    </cfRule>
    <cfRule type="cellIs" dxfId="81" priority="707" operator="equal">
      <formula>$S$1</formula>
    </cfRule>
  </conditionalFormatting>
  <conditionalFormatting sqref="D55">
    <cfRule type="cellIs" dxfId="80" priority="704" operator="equal">
      <formula>$S$1</formula>
    </cfRule>
    <cfRule type="cellIs" dxfId="79" priority="705" operator="equal">
      <formula>$U$1</formula>
    </cfRule>
  </conditionalFormatting>
  <conditionalFormatting sqref="C89">
    <cfRule type="cellIs" dxfId="78" priority="702" operator="equal">
      <formula>$U$1</formula>
    </cfRule>
    <cfRule type="cellIs" dxfId="77" priority="703" operator="equal">
      <formula>$S$1</formula>
    </cfRule>
  </conditionalFormatting>
  <conditionalFormatting sqref="D89">
    <cfRule type="cellIs" dxfId="76" priority="700" operator="equal">
      <formula>$S$1</formula>
    </cfRule>
    <cfRule type="cellIs" dxfId="75" priority="701" operator="equal">
      <formula>$U$1</formula>
    </cfRule>
  </conditionalFormatting>
  <conditionalFormatting sqref="C136">
    <cfRule type="cellIs" dxfId="74" priority="698" operator="equal">
      <formula>$U$1</formula>
    </cfRule>
    <cfRule type="cellIs" dxfId="73" priority="699" operator="equal">
      <formula>$S$1</formula>
    </cfRule>
  </conditionalFormatting>
  <conditionalFormatting sqref="D136">
    <cfRule type="cellIs" dxfId="72" priority="696" operator="equal">
      <formula>$S$1</formula>
    </cfRule>
    <cfRule type="cellIs" dxfId="71" priority="697" operator="equal">
      <formula>$U$1</formula>
    </cfRule>
  </conditionalFormatting>
  <conditionalFormatting sqref="C1">
    <cfRule type="cellIs" dxfId="70" priority="69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I246" sqref="DI24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$A$245</v>
      </c>
      <c r="D111" s="1" t="str">
        <f>ADDRESS(C121-1,D121,1,1)</f>
        <v>$DI$245</v>
      </c>
      <c r="E111"/>
    </row>
    <row r="112" spans="1:5" x14ac:dyDescent="0.25">
      <c r="A112" s="30">
        <v>515.50191262726139</v>
      </c>
      <c r="C112" s="1" t="str">
        <f>ADDRESS(C121,1,1,1)</f>
        <v>$A$246</v>
      </c>
      <c r="D112" s="1" t="str">
        <f>ADDRESS(C121,D121-1,1,1)</f>
        <v>$DH$246</v>
      </c>
      <c r="E112"/>
    </row>
    <row r="113" spans="1:5" x14ac:dyDescent="0.25">
      <c r="A113" s="30">
        <v>490.95420250215363</v>
      </c>
      <c r="C113" s="1" t="str">
        <f>ADDRESS(C121+1,1,1,1)</f>
        <v>$A$247</v>
      </c>
      <c r="D113" s="1" t="str">
        <f>ADDRESS(C121-1,D121+1,1,1)</f>
        <v>$DJ$245</v>
      </c>
    </row>
    <row r="114" spans="1:5" x14ac:dyDescent="0.25">
      <c r="A114" s="30">
        <v>467.57543095443202</v>
      </c>
      <c r="C114" s="1" t="str">
        <f>ADDRESS(C121,D121,1,1)</f>
        <v>$DI$246</v>
      </c>
      <c r="D114" s="1" t="str">
        <f>ADDRESS(C121+1,D121+1,1,1)</f>
        <v>$DJ$247</v>
      </c>
    </row>
    <row r="115" spans="1:5" x14ac:dyDescent="0.25">
      <c r="A115" s="30">
        <v>445.30993424231622</v>
      </c>
      <c r="C115" s="1" t="str">
        <f>ADDRESS(C121+1,D121,1,1)</f>
        <v>$DI$247</v>
      </c>
    </row>
    <row r="116" spans="1:5" x14ac:dyDescent="0.25">
      <c r="A116" s="30">
        <v>424.10469927839637</v>
      </c>
      <c r="C116" s="1">
        <f>C117-1</f>
        <v>245</v>
      </c>
    </row>
    <row r="117" spans="1:5" x14ac:dyDescent="0.25">
      <c r="A117" s="30">
        <v>403.9092374079965</v>
      </c>
      <c r="C117" s="1">
        <f>C121</f>
        <v>246</v>
      </c>
      <c r="D117" s="1">
        <f>D121</f>
        <v>113</v>
      </c>
    </row>
    <row r="118" spans="1:5" x14ac:dyDescent="0.25">
      <c r="A118" s="30">
        <v>384.6754641980919</v>
      </c>
      <c r="C118" s="1">
        <f>C117+1</f>
        <v>247</v>
      </c>
      <c r="D118" s="1">
        <f>D117+1</f>
        <v>114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246</v>
      </c>
      <c r="D121" s="19">
        <v>113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R246</v>
      </c>
      <c r="D123" s="1" t="str">
        <f>"C"&amp;D121</f>
        <v>C113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0.74621539663662584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7" x14ac:dyDescent="0.25">
      <c r="A193" s="30">
        <v>9.9059710923258422</v>
      </c>
      <c r="E193"/>
    </row>
    <row r="194" spans="1:7" x14ac:dyDescent="0.25">
      <c r="A194" s="30">
        <v>9.4342581831674686</v>
      </c>
      <c r="E194"/>
    </row>
    <row r="195" spans="1:7" x14ac:dyDescent="0.25">
      <c r="A195" s="30">
        <v>8.9850077934928265</v>
      </c>
      <c r="E195"/>
    </row>
    <row r="196" spans="1:7" x14ac:dyDescent="0.25">
      <c r="A196" s="30">
        <v>8.5571502795169767</v>
      </c>
      <c r="E196"/>
    </row>
    <row r="197" spans="1:7" x14ac:dyDescent="0.25">
      <c r="A197" s="30">
        <v>8.1496669328733109</v>
      </c>
      <c r="E197"/>
    </row>
    <row r="198" spans="1:7" x14ac:dyDescent="0.25">
      <c r="A198" s="30">
        <v>7.7615875551174378</v>
      </c>
      <c r="E198"/>
    </row>
    <row r="199" spans="1:7" x14ac:dyDescent="0.25">
      <c r="A199" s="30">
        <v>7.3919881477308929</v>
      </c>
      <c r="E199"/>
    </row>
    <row r="200" spans="1:7" x14ac:dyDescent="0.25">
      <c r="A200" s="30">
        <v>7.0399887121246598</v>
      </c>
      <c r="E200"/>
    </row>
    <row r="201" spans="1:7" x14ac:dyDescent="0.25">
      <c r="A201" s="30">
        <v>6.7047511544044376</v>
      </c>
      <c r="E201"/>
    </row>
    <row r="202" spans="1:7" x14ac:dyDescent="0.25">
      <c r="A202" s="30">
        <v>6.3854772899089882</v>
      </c>
      <c r="E202"/>
    </row>
    <row r="203" spans="1:7" x14ac:dyDescent="0.25">
      <c r="A203" s="30">
        <v>6.0814069427704647</v>
      </c>
      <c r="C203" s="7"/>
      <c r="D203"/>
      <c r="E203"/>
    </row>
    <row r="204" spans="1:7" x14ac:dyDescent="0.25">
      <c r="A204" s="30">
        <v>5.7918161359718709</v>
      </c>
      <c r="E204"/>
    </row>
    <row r="205" spans="1:7" x14ac:dyDescent="0.25">
      <c r="A205" s="30">
        <v>5.5160153675922574</v>
      </c>
      <c r="E205"/>
    </row>
    <row r="206" spans="1:7" x14ac:dyDescent="0.25">
      <c r="A206" s="30">
        <v>5.2533479691354827</v>
      </c>
      <c r="C206"/>
      <c r="D206"/>
      <c r="E206"/>
    </row>
    <row r="207" spans="1:7" x14ac:dyDescent="0.25">
      <c r="A207" s="30">
        <v>5.0031885420337927</v>
      </c>
      <c r="E207"/>
    </row>
    <row r="208" spans="1:7" x14ac:dyDescent="0.25">
      <c r="A208" s="30">
        <v>4.7649414686036122</v>
      </c>
      <c r="E208"/>
      <c r="G208" s="27" t="s">
        <v>8</v>
      </c>
    </row>
    <row r="209" spans="1:99" x14ac:dyDescent="0.25">
      <c r="A209" s="30">
        <v>4.5380394939082018</v>
      </c>
      <c r="E209"/>
      <c r="G209" s="27" t="s">
        <v>8</v>
      </c>
      <c r="H209" s="27" t="s">
        <v>7</v>
      </c>
    </row>
    <row r="210" spans="1:99" x14ac:dyDescent="0.25">
      <c r="A210" s="30">
        <v>4.3219423751506678</v>
      </c>
      <c r="C210"/>
      <c r="E210"/>
      <c r="G210" s="27" t="s">
        <v>8</v>
      </c>
      <c r="H210" s="27" t="s">
        <v>7</v>
      </c>
    </row>
    <row r="211" spans="1:99" x14ac:dyDescent="0.25">
      <c r="A211" s="30">
        <v>4.1161355953815884</v>
      </c>
      <c r="E211"/>
      <c r="G211" s="27" t="s">
        <v>8</v>
      </c>
      <c r="H211" s="27" t="s">
        <v>7</v>
      </c>
    </row>
    <row r="212" spans="1:99" x14ac:dyDescent="0.25">
      <c r="A212" s="30">
        <v>3.9201291384586554</v>
      </c>
      <c r="E212"/>
      <c r="G212" s="27" t="s">
        <v>8</v>
      </c>
      <c r="H212" s="27" t="s">
        <v>7</v>
      </c>
    </row>
    <row r="213" spans="1:99" x14ac:dyDescent="0.25">
      <c r="A213" s="30">
        <v>3.7334563223415764</v>
      </c>
      <c r="E213" t="s">
        <v>8</v>
      </c>
      <c r="G213" s="27" t="s">
        <v>8</v>
      </c>
      <c r="H213" s="27" t="s">
        <v>7</v>
      </c>
    </row>
    <row r="214" spans="1:99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H214" s="27" t="s">
        <v>7</v>
      </c>
      <c r="M214" s="27" t="s">
        <v>8</v>
      </c>
    </row>
    <row r="215" spans="1:99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H215" s="27" t="s">
        <v>7</v>
      </c>
      <c r="M215" s="27" t="s">
        <v>8</v>
      </c>
      <c r="N215" s="27" t="s">
        <v>7</v>
      </c>
    </row>
    <row r="216" spans="1:99" x14ac:dyDescent="0.25">
      <c r="A216" s="30">
        <v>3.2250999437137038</v>
      </c>
      <c r="E216" t="s">
        <v>8</v>
      </c>
      <c r="F216" s="27" t="s">
        <v>7</v>
      </c>
      <c r="H216" s="27" t="s">
        <v>7</v>
      </c>
      <c r="M216" s="27" t="s">
        <v>8</v>
      </c>
      <c r="N216" s="27" t="s">
        <v>7</v>
      </c>
    </row>
    <row r="217" spans="1:99" x14ac:dyDescent="0.25">
      <c r="A217" s="30">
        <v>3.0715237559178128</v>
      </c>
      <c r="E217" t="s">
        <v>8</v>
      </c>
      <c r="H217" s="27" t="s">
        <v>7</v>
      </c>
      <c r="I217" s="27" t="s">
        <v>8</v>
      </c>
      <c r="K217" s="27" t="s">
        <v>8</v>
      </c>
      <c r="M217" s="27" t="s">
        <v>8</v>
      </c>
      <c r="N217" s="27" t="s">
        <v>7</v>
      </c>
    </row>
    <row r="218" spans="1:99" x14ac:dyDescent="0.25">
      <c r="A218" s="30">
        <v>2.9252607199217264</v>
      </c>
      <c r="E218" t="s">
        <v>8</v>
      </c>
      <c r="H218" s="27" t="s">
        <v>7</v>
      </c>
      <c r="I218" s="27" t="s">
        <v>8</v>
      </c>
      <c r="J218" s="27" t="s">
        <v>7</v>
      </c>
      <c r="K218" s="27" t="s">
        <v>8</v>
      </c>
      <c r="L218" s="27" t="s">
        <v>7</v>
      </c>
      <c r="M218" s="27" t="s">
        <v>8</v>
      </c>
      <c r="N218" s="27" t="s">
        <v>7</v>
      </c>
      <c r="S218" s="27" t="s">
        <v>8</v>
      </c>
    </row>
    <row r="219" spans="1:99" x14ac:dyDescent="0.25">
      <c r="A219" s="30">
        <v>2.7859625904016441</v>
      </c>
      <c r="E219" t="s">
        <v>8</v>
      </c>
      <c r="H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N219" s="27" t="s">
        <v>7</v>
      </c>
      <c r="S219" s="27" t="s">
        <v>8</v>
      </c>
      <c r="T219" s="27" t="s">
        <v>7</v>
      </c>
    </row>
    <row r="220" spans="1:99" x14ac:dyDescent="0.25">
      <c r="A220" s="30">
        <v>2.6532977051444226</v>
      </c>
      <c r="E220" t="s">
        <v>8</v>
      </c>
      <c r="H220" s="27" t="s">
        <v>7</v>
      </c>
      <c r="J220" s="27" t="s">
        <v>7</v>
      </c>
      <c r="K220" s="27" t="s">
        <v>8</v>
      </c>
      <c r="L220" s="27" t="s">
        <v>7</v>
      </c>
      <c r="M220" s="27" t="s">
        <v>8</v>
      </c>
      <c r="N220" s="27" t="s">
        <v>7</v>
      </c>
      <c r="S220" s="27" t="s">
        <v>8</v>
      </c>
      <c r="T220" s="27" t="s">
        <v>7</v>
      </c>
    </row>
    <row r="221" spans="1:99" x14ac:dyDescent="0.25">
      <c r="A221" s="30">
        <v>2.5269501953756404</v>
      </c>
      <c r="E221" t="s">
        <v>8</v>
      </c>
      <c r="J221" s="27" t="s">
        <v>7</v>
      </c>
      <c r="K221" s="27" t="s">
        <v>8</v>
      </c>
      <c r="L221" s="27" t="s">
        <v>7</v>
      </c>
      <c r="N221" s="27" t="s">
        <v>7</v>
      </c>
      <c r="S221" s="27" t="s">
        <v>8</v>
      </c>
      <c r="T221" s="27" t="s">
        <v>7</v>
      </c>
      <c r="U221" s="27" t="s">
        <v>8</v>
      </c>
    </row>
    <row r="222" spans="1:99" x14ac:dyDescent="0.25">
      <c r="A222" s="30">
        <v>2.4066192336910861</v>
      </c>
      <c r="E222" t="s">
        <v>8</v>
      </c>
      <c r="J222" s="27" t="s">
        <v>7</v>
      </c>
      <c r="K222" s="27" t="s">
        <v>8</v>
      </c>
      <c r="N222" s="27" t="s">
        <v>7</v>
      </c>
      <c r="O222" s="27" t="s">
        <v>8</v>
      </c>
      <c r="Q222" s="27" t="s">
        <v>8</v>
      </c>
      <c r="S222" s="27" t="s">
        <v>8</v>
      </c>
      <c r="T222" s="27" t="s">
        <v>7</v>
      </c>
      <c r="U222" s="27" t="s">
        <v>8</v>
      </c>
      <c r="V222" s="27" t="s">
        <v>7</v>
      </c>
    </row>
    <row r="223" spans="1:99" x14ac:dyDescent="0.25">
      <c r="A223" s="30">
        <v>2.2920183178010345</v>
      </c>
      <c r="E223" t="s">
        <v>8</v>
      </c>
      <c r="J223" s="27" t="s">
        <v>7</v>
      </c>
      <c r="K223" s="27" t="s">
        <v>8</v>
      </c>
      <c r="N223" s="27" t="s">
        <v>7</v>
      </c>
      <c r="O223" s="27" t="s">
        <v>8</v>
      </c>
      <c r="P223" s="27" t="s">
        <v>7</v>
      </c>
      <c r="Q223" s="27" t="s">
        <v>8</v>
      </c>
      <c r="R223" s="27" t="s">
        <v>7</v>
      </c>
      <c r="S223" s="27" t="s">
        <v>8</v>
      </c>
      <c r="T223" s="27" t="s">
        <v>7</v>
      </c>
      <c r="U223" s="27" t="s">
        <v>8</v>
      </c>
      <c r="V223" s="27" t="s">
        <v>7</v>
      </c>
    </row>
    <row r="224" spans="1:99" x14ac:dyDescent="0.25">
      <c r="A224" s="30">
        <v>2.1828745883819374</v>
      </c>
      <c r="E224" t="s">
        <v>8</v>
      </c>
      <c r="J224" s="27" t="s">
        <v>7</v>
      </c>
      <c r="N224" s="27" t="s">
        <v>7</v>
      </c>
      <c r="O224" s="27" t="s">
        <v>8</v>
      </c>
      <c r="P224" s="27" t="s">
        <v>7</v>
      </c>
      <c r="Q224" s="27" t="s">
        <v>8</v>
      </c>
      <c r="R224" s="27" t="s">
        <v>7</v>
      </c>
      <c r="S224" s="27" t="s">
        <v>8</v>
      </c>
      <c r="T224" s="27" t="s">
        <v>7</v>
      </c>
      <c r="V224" s="27" t="s">
        <v>7</v>
      </c>
      <c r="CU224" s="27" t="s">
        <v>8</v>
      </c>
    </row>
    <row r="225" spans="1:112" x14ac:dyDescent="0.25">
      <c r="A225" s="30">
        <v>2.0789281794113688</v>
      </c>
      <c r="E225" t="s">
        <v>8</v>
      </c>
      <c r="N225" s="27" t="s">
        <v>7</v>
      </c>
      <c r="P225" s="27" t="s">
        <v>7</v>
      </c>
      <c r="Q225" s="27" t="s">
        <v>8</v>
      </c>
      <c r="R225" s="27" t="s">
        <v>7</v>
      </c>
      <c r="S225" s="27" t="s">
        <v>8</v>
      </c>
      <c r="V225" s="27" t="s">
        <v>7</v>
      </c>
      <c r="CU225" s="27" t="s">
        <v>8</v>
      </c>
      <c r="CV225" s="27" t="s">
        <v>7</v>
      </c>
      <c r="CY225" s="27" t="s">
        <v>8</v>
      </c>
    </row>
    <row r="226" spans="1:112" x14ac:dyDescent="0.25">
      <c r="A226" s="30">
        <v>1.9799315994393987</v>
      </c>
      <c r="E226" t="s">
        <v>8</v>
      </c>
      <c r="P226" s="27" t="s">
        <v>7</v>
      </c>
      <c r="Q226" s="27" t="s">
        <v>8</v>
      </c>
      <c r="R226" s="27" t="s">
        <v>7</v>
      </c>
      <c r="V226" s="27" t="s">
        <v>7</v>
      </c>
      <c r="CQ226" s="27" t="s">
        <v>8</v>
      </c>
      <c r="CU226" s="27" t="s">
        <v>8</v>
      </c>
      <c r="CV226" s="27" t="s">
        <v>7</v>
      </c>
      <c r="CW226" s="27" t="s">
        <v>8</v>
      </c>
      <c r="CY226" s="27" t="s">
        <v>8</v>
      </c>
      <c r="CZ226" s="27" t="s">
        <v>7</v>
      </c>
    </row>
    <row r="227" spans="1:112" x14ac:dyDescent="0.25">
      <c r="A227" s="30">
        <v>1.8856491423232367</v>
      </c>
      <c r="E227" t="s">
        <v>8</v>
      </c>
      <c r="P227" s="27" t="s">
        <v>7</v>
      </c>
      <c r="Q227" s="27" t="s">
        <v>8</v>
      </c>
      <c r="V227" s="27" t="s">
        <v>7</v>
      </c>
      <c r="W227" s="27" t="s">
        <v>8</v>
      </c>
      <c r="CO227" s="27" t="s">
        <v>8</v>
      </c>
      <c r="CQ227" s="27" t="s">
        <v>8</v>
      </c>
      <c r="CR227" s="27" t="s">
        <v>7</v>
      </c>
      <c r="CU227" s="27" t="s">
        <v>8</v>
      </c>
      <c r="CV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</row>
    <row r="228" spans="1:112" x14ac:dyDescent="0.25">
      <c r="A228" s="30">
        <v>1.7958563260221301</v>
      </c>
      <c r="C228" s="7"/>
      <c r="D228"/>
      <c r="E228" t="s">
        <v>8</v>
      </c>
      <c r="P228" s="27" t="s">
        <v>7</v>
      </c>
      <c r="Q228" s="27" t="s">
        <v>8</v>
      </c>
      <c r="V228" s="27" t="s">
        <v>7</v>
      </c>
      <c r="W228" s="27" t="s">
        <v>8</v>
      </c>
      <c r="X228" s="27" t="s">
        <v>7</v>
      </c>
      <c r="CO228" s="27" t="s">
        <v>8</v>
      </c>
      <c r="CP228" s="27" t="s">
        <v>7</v>
      </c>
      <c r="CQ228" s="27" t="s">
        <v>8</v>
      </c>
      <c r="CR228" s="27" t="s">
        <v>7</v>
      </c>
      <c r="CS228" s="27" t="s">
        <v>8</v>
      </c>
      <c r="CU228" s="27" t="s">
        <v>8</v>
      </c>
      <c r="CV228" s="27" t="s">
        <v>7</v>
      </c>
      <c r="CW228" s="27" t="s">
        <v>8</v>
      </c>
      <c r="CX228" s="27" t="s">
        <v>7</v>
      </c>
      <c r="CY228" s="27" t="s">
        <v>8</v>
      </c>
      <c r="CZ228" s="27" t="s">
        <v>7</v>
      </c>
      <c r="DA228" s="27" t="s">
        <v>8</v>
      </c>
    </row>
    <row r="229" spans="1:112" x14ac:dyDescent="0.25">
      <c r="A229" s="30">
        <v>1.7103393581163142</v>
      </c>
      <c r="E229" t="s">
        <v>8</v>
      </c>
      <c r="P229" s="27" t="s">
        <v>7</v>
      </c>
      <c r="Q229" s="27" t="s">
        <v>8</v>
      </c>
      <c r="V229" s="27" t="s">
        <v>7</v>
      </c>
      <c r="W229" s="27" t="s">
        <v>8</v>
      </c>
      <c r="X229" s="27" t="s">
        <v>7</v>
      </c>
      <c r="CO229" s="27" t="s">
        <v>8</v>
      </c>
      <c r="CP229" s="27" t="s">
        <v>7</v>
      </c>
      <c r="CQ229" s="27" t="s">
        <v>8</v>
      </c>
      <c r="CR229" s="27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  <c r="CX229" s="27" t="s">
        <v>7</v>
      </c>
      <c r="CY229" s="27" t="s">
        <v>8</v>
      </c>
      <c r="CZ229" s="27" t="s">
        <v>7</v>
      </c>
      <c r="DA229" s="27" t="s">
        <v>8</v>
      </c>
      <c r="DB229" s="27" t="s">
        <v>7</v>
      </c>
    </row>
    <row r="230" spans="1:112" x14ac:dyDescent="0.25">
      <c r="A230" s="30">
        <v>1.628894626777442</v>
      </c>
      <c r="E230" t="s">
        <v>8</v>
      </c>
      <c r="P230" s="27" t="s">
        <v>7</v>
      </c>
      <c r="Q230" s="27" t="s">
        <v>8</v>
      </c>
      <c r="V230" s="27" t="s">
        <v>7</v>
      </c>
      <c r="W230" s="27" t="s">
        <v>8</v>
      </c>
      <c r="X230" s="27" t="s">
        <v>7</v>
      </c>
      <c r="CO230" s="27" t="s">
        <v>8</v>
      </c>
      <c r="CP230" s="27" t="s">
        <v>7</v>
      </c>
      <c r="CQ230" s="27" t="s">
        <v>8</v>
      </c>
      <c r="CR230" s="27" t="s">
        <v>7</v>
      </c>
      <c r="CS230" s="27" t="s">
        <v>8</v>
      </c>
      <c r="CT230" s="27" t="s">
        <v>7</v>
      </c>
      <c r="CU230" s="27" t="s">
        <v>8</v>
      </c>
      <c r="CX230" s="27" t="s">
        <v>7</v>
      </c>
      <c r="CY230" s="27" t="s">
        <v>8</v>
      </c>
      <c r="CZ230" s="27" t="s">
        <v>7</v>
      </c>
      <c r="DA230" s="27" t="s">
        <v>8</v>
      </c>
      <c r="DB230" s="27" t="s">
        <v>7</v>
      </c>
    </row>
    <row r="231" spans="1:112" x14ac:dyDescent="0.25">
      <c r="A231" s="30">
        <v>1.5513282159785162</v>
      </c>
      <c r="C231"/>
      <c r="D231"/>
      <c r="E231" t="s">
        <v>8</v>
      </c>
      <c r="P231" s="27" t="s">
        <v>7</v>
      </c>
      <c r="Q231" s="27" t="s">
        <v>8</v>
      </c>
      <c r="V231" s="27" t="s">
        <v>7</v>
      </c>
      <c r="X231" s="27" t="s">
        <v>7</v>
      </c>
      <c r="CO231" s="27" t="s">
        <v>8</v>
      </c>
      <c r="CP231" s="27" t="s">
        <v>7</v>
      </c>
      <c r="CQ231" s="27" t="s">
        <v>8</v>
      </c>
      <c r="CR231" s="27" t="s">
        <v>7</v>
      </c>
      <c r="CS231" s="27" t="s">
        <v>8</v>
      </c>
      <c r="CT231" s="27" t="s">
        <v>7</v>
      </c>
      <c r="CU231" s="27" t="s">
        <v>8</v>
      </c>
      <c r="CX231" s="27" t="s">
        <v>7</v>
      </c>
      <c r="CZ231" s="27" t="s">
        <v>7</v>
      </c>
      <c r="DA231" s="27" t="s">
        <v>8</v>
      </c>
      <c r="DB231" s="27" t="s">
        <v>7</v>
      </c>
    </row>
    <row r="232" spans="1:112" x14ac:dyDescent="0.25">
      <c r="A232" s="30">
        <v>1.477455443789063</v>
      </c>
      <c r="E232" t="s">
        <v>8</v>
      </c>
      <c r="P232" s="27" t="s">
        <v>7</v>
      </c>
      <c r="X232" s="27" t="s">
        <v>7</v>
      </c>
      <c r="CM232" s="27" t="s">
        <v>8</v>
      </c>
      <c r="CO232" s="27" t="s">
        <v>8</v>
      </c>
      <c r="CP232" s="27" t="s">
        <v>7</v>
      </c>
      <c r="CR232" s="27" t="s">
        <v>7</v>
      </c>
      <c r="CT232" s="27" t="s">
        <v>7</v>
      </c>
      <c r="CU232" s="27" t="s">
        <v>8</v>
      </c>
      <c r="CZ232" s="27" t="s">
        <v>7</v>
      </c>
      <c r="DA232" s="27" t="s">
        <v>8</v>
      </c>
      <c r="DB232" s="27" t="s">
        <v>7</v>
      </c>
      <c r="DC232" s="27" t="s">
        <v>8</v>
      </c>
    </row>
    <row r="233" spans="1:112" x14ac:dyDescent="0.25">
      <c r="A233" s="30">
        <v>1.4071004226562505</v>
      </c>
      <c r="E233" t="s">
        <v>8</v>
      </c>
      <c r="X233" s="27" t="s">
        <v>7</v>
      </c>
      <c r="CM233" s="27" t="s">
        <v>8</v>
      </c>
      <c r="CN233" s="27" t="s">
        <v>7</v>
      </c>
      <c r="CO233" s="27" t="s">
        <v>8</v>
      </c>
      <c r="CT233" s="27" t="s">
        <v>7</v>
      </c>
      <c r="CZ233" s="27" t="s">
        <v>7</v>
      </c>
      <c r="DA233" s="27" t="s">
        <v>8</v>
      </c>
      <c r="DB233" s="27" t="s">
        <v>7</v>
      </c>
      <c r="DC233" s="27" t="s">
        <v>8</v>
      </c>
      <c r="DD233" s="27" t="s">
        <v>7</v>
      </c>
      <c r="DE233" s="27" t="s">
        <v>8</v>
      </c>
    </row>
    <row r="234" spans="1:112" x14ac:dyDescent="0.25">
      <c r="A234" s="30">
        <v>1.3400956406250004</v>
      </c>
      <c r="E234" t="s">
        <v>8</v>
      </c>
      <c r="X234" s="27" t="s">
        <v>7</v>
      </c>
      <c r="CM234" s="27" t="s">
        <v>8</v>
      </c>
      <c r="CN234" s="27" t="s">
        <v>7</v>
      </c>
      <c r="CO234" s="27" t="s">
        <v>8</v>
      </c>
      <c r="CZ234" s="27" t="s">
        <v>7</v>
      </c>
      <c r="DA234" s="27" t="s">
        <v>8</v>
      </c>
      <c r="DB234" s="27" t="s">
        <v>7</v>
      </c>
      <c r="DC234" s="27" t="s">
        <v>8</v>
      </c>
      <c r="DD234" s="27" t="s">
        <v>7</v>
      </c>
      <c r="DE234" s="27" t="s">
        <v>8</v>
      </c>
      <c r="DF234" s="27" t="s">
        <v>7</v>
      </c>
    </row>
    <row r="235" spans="1:112" x14ac:dyDescent="0.25">
      <c r="A235" s="30">
        <v>1.2762815625000004</v>
      </c>
      <c r="C235"/>
      <c r="E235" t="s">
        <v>8</v>
      </c>
      <c r="X235" s="27" t="s">
        <v>7</v>
      </c>
      <c r="CK235" s="27" t="s">
        <v>8</v>
      </c>
      <c r="CM235" s="27" t="s">
        <v>8</v>
      </c>
      <c r="CN235" s="27" t="s">
        <v>7</v>
      </c>
      <c r="CZ235" s="27" t="s">
        <v>7</v>
      </c>
      <c r="DA235" s="27" t="s">
        <v>8</v>
      </c>
      <c r="DB235" s="27" t="s">
        <v>7</v>
      </c>
      <c r="DC235" s="27" t="s">
        <v>8</v>
      </c>
      <c r="DD235" s="27" t="s">
        <v>7</v>
      </c>
      <c r="DE235" s="27" t="s">
        <v>8</v>
      </c>
      <c r="DF235" s="27" t="s">
        <v>7</v>
      </c>
    </row>
    <row r="236" spans="1:112" x14ac:dyDescent="0.25">
      <c r="A236" s="30">
        <v>1.2155062500000002</v>
      </c>
      <c r="E236" t="s">
        <v>8</v>
      </c>
      <c r="X236" s="27" t="s">
        <v>7</v>
      </c>
      <c r="BK236" s="27" t="s">
        <v>8</v>
      </c>
      <c r="CK236" s="27" t="s">
        <v>8</v>
      </c>
      <c r="CL236" s="27" t="s">
        <v>7</v>
      </c>
      <c r="CM236" s="27" t="s">
        <v>8</v>
      </c>
      <c r="CZ236" s="27" t="s">
        <v>7</v>
      </c>
      <c r="DB236" s="27" t="s">
        <v>7</v>
      </c>
      <c r="DC236" s="27" t="s">
        <v>8</v>
      </c>
      <c r="DD236" s="27" t="s">
        <v>7</v>
      </c>
      <c r="DE236" s="27" t="s">
        <v>8</v>
      </c>
      <c r="DF236" s="27" t="s">
        <v>7</v>
      </c>
    </row>
    <row r="237" spans="1:11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X237" s="27" t="s">
        <v>7</v>
      </c>
      <c r="BG237" s="27" t="s">
        <v>8</v>
      </c>
      <c r="BK237" s="27" t="s">
        <v>8</v>
      </c>
      <c r="BL237" s="27" t="s">
        <v>7</v>
      </c>
      <c r="BO237" s="27" t="s">
        <v>8</v>
      </c>
      <c r="CK237" s="27" t="s">
        <v>8</v>
      </c>
      <c r="CL237" s="27" t="s">
        <v>7</v>
      </c>
      <c r="CM237" s="27" t="s">
        <v>8</v>
      </c>
      <c r="DB237" s="27" t="s">
        <v>7</v>
      </c>
      <c r="DC237" s="27" t="s">
        <v>8</v>
      </c>
      <c r="DD237" s="27" t="s">
        <v>7</v>
      </c>
      <c r="DE237" s="27" t="s">
        <v>8</v>
      </c>
      <c r="DF237" s="27" t="s">
        <v>7</v>
      </c>
      <c r="DG237" s="27" t="s">
        <v>8</v>
      </c>
    </row>
    <row r="238" spans="1:112" x14ac:dyDescent="0.25">
      <c r="A238" s="30">
        <v>1.1025</v>
      </c>
      <c r="E238" t="s">
        <v>8</v>
      </c>
      <c r="X238" s="27" t="s">
        <v>7</v>
      </c>
      <c r="BG238" s="27" t="s">
        <v>8</v>
      </c>
      <c r="BH238" s="27" t="s">
        <v>7</v>
      </c>
      <c r="BK238" s="27" t="s">
        <v>8</v>
      </c>
      <c r="BL238" s="27" t="s">
        <v>7</v>
      </c>
      <c r="BO238" s="27" t="s">
        <v>8</v>
      </c>
      <c r="BP238" s="27" t="s">
        <v>7</v>
      </c>
      <c r="CK238" s="27" t="s">
        <v>8</v>
      </c>
      <c r="CL238" s="27" t="s">
        <v>7</v>
      </c>
      <c r="CM238" s="27" t="s">
        <v>8</v>
      </c>
      <c r="DB238" s="27" t="s">
        <v>7</v>
      </c>
      <c r="DC238" s="27" t="s">
        <v>8</v>
      </c>
      <c r="DD238" s="27" t="s">
        <v>7</v>
      </c>
      <c r="DF238" s="27" t="s">
        <v>7</v>
      </c>
      <c r="DG238" s="27" t="s">
        <v>8</v>
      </c>
      <c r="DH238" s="27" t="s">
        <v>7</v>
      </c>
    </row>
    <row r="239" spans="1:112" x14ac:dyDescent="0.25">
      <c r="A239" s="30">
        <v>1.05</v>
      </c>
      <c r="E239" t="s">
        <v>8</v>
      </c>
      <c r="X239" s="27" t="s">
        <v>7</v>
      </c>
      <c r="Y239" s="27" t="s">
        <v>8</v>
      </c>
      <c r="BG239" s="27" t="s">
        <v>8</v>
      </c>
      <c r="BH239" s="27" t="s">
        <v>7</v>
      </c>
      <c r="BK239" s="27" t="s">
        <v>8</v>
      </c>
      <c r="BL239" s="27" t="s">
        <v>7</v>
      </c>
      <c r="BM239" s="27" t="s">
        <v>8</v>
      </c>
      <c r="BO239" s="27" t="s">
        <v>8</v>
      </c>
      <c r="BP239" s="27" t="s">
        <v>7</v>
      </c>
      <c r="CK239" s="27" t="s">
        <v>8</v>
      </c>
      <c r="CL239" s="27" t="s">
        <v>7</v>
      </c>
      <c r="CM239" s="27" t="s">
        <v>8</v>
      </c>
      <c r="DB239" s="27" t="s">
        <v>7</v>
      </c>
      <c r="DF239" s="27" t="s">
        <v>7</v>
      </c>
      <c r="DG239" s="27" t="s">
        <v>8</v>
      </c>
      <c r="DH239" s="27" t="s">
        <v>7</v>
      </c>
    </row>
    <row r="240" spans="1:112" x14ac:dyDescent="0.25">
      <c r="A240" s="30">
        <v>1</v>
      </c>
      <c r="E240" s="29" t="s">
        <v>8</v>
      </c>
      <c r="X240" s="27" t="s">
        <v>7</v>
      </c>
      <c r="Y240" s="27" t="s">
        <v>8</v>
      </c>
      <c r="Z240" s="27" t="s">
        <v>7</v>
      </c>
      <c r="BG240" s="27" t="s">
        <v>8</v>
      </c>
      <c r="BH240" s="27" t="s">
        <v>7</v>
      </c>
      <c r="BI240" s="27" t="s">
        <v>8</v>
      </c>
      <c r="BK240" s="27" t="s">
        <v>8</v>
      </c>
      <c r="BL240" s="27" t="s">
        <v>7</v>
      </c>
      <c r="BM240" s="27" t="s">
        <v>8</v>
      </c>
      <c r="BN240" s="27" t="s">
        <v>7</v>
      </c>
      <c r="BO240" s="27" t="s">
        <v>8</v>
      </c>
      <c r="BP240" s="27" t="s">
        <v>7</v>
      </c>
      <c r="CK240" s="27" t="s">
        <v>8</v>
      </c>
      <c r="CL240" s="27" t="s">
        <v>7</v>
      </c>
      <c r="CM240" s="27" t="s">
        <v>8</v>
      </c>
      <c r="DF240" s="27" t="s">
        <v>7</v>
      </c>
      <c r="DG240" s="27" t="s">
        <v>8</v>
      </c>
      <c r="DH240" s="27" t="s">
        <v>7</v>
      </c>
    </row>
    <row r="241" spans="1:113" x14ac:dyDescent="0.25">
      <c r="A241" s="30">
        <v>0.952380952380952</v>
      </c>
      <c r="B241"/>
      <c r="C241"/>
      <c r="D241"/>
      <c r="E241"/>
      <c r="X241" s="27" t="s">
        <v>7</v>
      </c>
      <c r="Y241" s="27" t="s">
        <v>8</v>
      </c>
      <c r="Z241" s="27" t="s">
        <v>7</v>
      </c>
      <c r="AE241" s="27" t="s">
        <v>8</v>
      </c>
      <c r="BC241" s="27" t="s">
        <v>8</v>
      </c>
      <c r="BG241" s="27" t="s">
        <v>8</v>
      </c>
      <c r="BH241" s="27" t="s">
        <v>7</v>
      </c>
      <c r="BI241" s="27" t="s">
        <v>8</v>
      </c>
      <c r="BJ241" s="27" t="s">
        <v>7</v>
      </c>
      <c r="BK241" s="27" t="s">
        <v>8</v>
      </c>
      <c r="BL241" s="27" t="s">
        <v>7</v>
      </c>
      <c r="BM241" s="27" t="s">
        <v>8</v>
      </c>
      <c r="BN241" s="27" t="s">
        <v>7</v>
      </c>
      <c r="BO241" s="27" t="s">
        <v>8</v>
      </c>
      <c r="BP241" s="27" t="s">
        <v>7</v>
      </c>
      <c r="BS241" s="27" t="s">
        <v>8</v>
      </c>
      <c r="CI241" s="27" t="s">
        <v>8</v>
      </c>
      <c r="CK241" s="27" t="s">
        <v>8</v>
      </c>
      <c r="CL241" s="27" t="s">
        <v>7</v>
      </c>
      <c r="DF241" s="27" t="s">
        <v>7</v>
      </c>
      <c r="DG241" s="27" t="s">
        <v>8</v>
      </c>
      <c r="DH241" s="27" t="s">
        <v>7</v>
      </c>
    </row>
    <row r="242" spans="1:113" x14ac:dyDescent="0.25">
      <c r="A242" s="30">
        <v>0.90702947845804915</v>
      </c>
      <c r="B242"/>
      <c r="C242"/>
      <c r="D242"/>
      <c r="E242"/>
      <c r="X242" s="27" t="s">
        <v>7</v>
      </c>
      <c r="Y242" s="27" t="s">
        <v>8</v>
      </c>
      <c r="Z242" s="27" t="s">
        <v>7</v>
      </c>
      <c r="AC242" s="27" t="s">
        <v>8</v>
      </c>
      <c r="AE242" s="27" t="s">
        <v>8</v>
      </c>
      <c r="AF242" s="27" t="s">
        <v>7</v>
      </c>
      <c r="BC242" s="27" t="s">
        <v>8</v>
      </c>
      <c r="BD242" s="27" t="s">
        <v>7</v>
      </c>
      <c r="BG242" s="27" t="s">
        <v>8</v>
      </c>
      <c r="BH242" s="27" t="s">
        <v>7</v>
      </c>
      <c r="BI242" s="27" t="s">
        <v>8</v>
      </c>
      <c r="BJ242" s="27" t="s">
        <v>7</v>
      </c>
      <c r="BK242" s="27" t="s">
        <v>8</v>
      </c>
      <c r="BL242" s="27" t="s">
        <v>7</v>
      </c>
      <c r="BN242" s="27" t="s">
        <v>7</v>
      </c>
      <c r="BO242" s="27" t="s">
        <v>8</v>
      </c>
      <c r="BP242" s="27" t="s">
        <v>7</v>
      </c>
      <c r="BS242" s="27" t="s">
        <v>8</v>
      </c>
      <c r="BT242" s="27" t="s">
        <v>7</v>
      </c>
      <c r="BU242" s="27" t="s">
        <v>8</v>
      </c>
      <c r="CG242" s="27" t="s">
        <v>8</v>
      </c>
      <c r="CI242" s="27" t="s">
        <v>8</v>
      </c>
      <c r="CJ242" s="27" t="s">
        <v>7</v>
      </c>
      <c r="CK242" s="27" t="s">
        <v>8</v>
      </c>
      <c r="DF242" s="27" t="s">
        <v>7</v>
      </c>
      <c r="DH242" s="27" t="s">
        <v>7</v>
      </c>
    </row>
    <row r="243" spans="1:113" x14ac:dyDescent="0.25">
      <c r="A243" s="30">
        <v>0.86383759853147501</v>
      </c>
      <c r="B243"/>
      <c r="C243"/>
      <c r="D243"/>
      <c r="E243"/>
      <c r="X243" s="27" t="s">
        <v>7</v>
      </c>
      <c r="Y243" s="27" t="s">
        <v>8</v>
      </c>
      <c r="Z243" s="27" t="s">
        <v>7</v>
      </c>
      <c r="AC243" s="27" t="s">
        <v>8</v>
      </c>
      <c r="AD243" s="27" t="s">
        <v>7</v>
      </c>
      <c r="AE243" s="27" t="s">
        <v>8</v>
      </c>
      <c r="AF243" s="27" t="s">
        <v>7</v>
      </c>
      <c r="AG243" s="27" t="s">
        <v>8</v>
      </c>
      <c r="AI243" s="27" t="s">
        <v>8</v>
      </c>
      <c r="BC243" s="27" t="s">
        <v>8</v>
      </c>
      <c r="BD243" s="27" t="s">
        <v>7</v>
      </c>
      <c r="BG243" s="27" t="s">
        <v>8</v>
      </c>
      <c r="BH243" s="27" t="s">
        <v>7</v>
      </c>
      <c r="BJ243" s="27" t="s">
        <v>7</v>
      </c>
      <c r="BN243" s="27" t="s">
        <v>7</v>
      </c>
      <c r="BO243" s="27" t="s">
        <v>8</v>
      </c>
      <c r="BP243" s="27" t="s">
        <v>7</v>
      </c>
      <c r="BQ243" s="27" t="s">
        <v>8</v>
      </c>
      <c r="BS243" s="27" t="s">
        <v>8</v>
      </c>
      <c r="BT243" s="27" t="s">
        <v>7</v>
      </c>
      <c r="BU243" s="27" t="s">
        <v>8</v>
      </c>
      <c r="BV243" s="27" t="s">
        <v>7</v>
      </c>
      <c r="CG243" s="27" t="s">
        <v>8</v>
      </c>
      <c r="CH243" s="27" t="s">
        <v>7</v>
      </c>
      <c r="CI243" s="27" t="s">
        <v>8</v>
      </c>
      <c r="CJ243" s="27" t="s">
        <v>7</v>
      </c>
      <c r="CK243" s="27" t="s">
        <v>8</v>
      </c>
      <c r="DH243" s="27" t="s">
        <v>7</v>
      </c>
    </row>
    <row r="244" spans="1:113" x14ac:dyDescent="0.25">
      <c r="A244" s="30">
        <v>0.82270247479188063</v>
      </c>
      <c r="B244"/>
      <c r="C244"/>
      <c r="D244"/>
      <c r="E244"/>
      <c r="X244" s="27" t="s">
        <v>7</v>
      </c>
      <c r="Y244" s="27" t="s">
        <v>8</v>
      </c>
      <c r="Z244" s="27" t="s">
        <v>7</v>
      </c>
      <c r="AA244" s="27" t="s">
        <v>8</v>
      </c>
      <c r="AC244" s="27" t="s">
        <v>8</v>
      </c>
      <c r="AD244" s="27" t="s">
        <v>7</v>
      </c>
      <c r="AE244" s="27" t="s">
        <v>8</v>
      </c>
      <c r="AF244" s="27" t="s">
        <v>7</v>
      </c>
      <c r="AG244" s="27" t="s">
        <v>8</v>
      </c>
      <c r="AH244" s="27" t="s">
        <v>7</v>
      </c>
      <c r="AI244" s="27" t="s">
        <v>8</v>
      </c>
      <c r="AJ244" s="27" t="s">
        <v>7</v>
      </c>
      <c r="AM244" s="27" t="s">
        <v>8</v>
      </c>
      <c r="BC244" s="27" t="s">
        <v>8</v>
      </c>
      <c r="BD244" s="27" t="s">
        <v>7</v>
      </c>
      <c r="BE244" s="27" t="s">
        <v>8</v>
      </c>
      <c r="BG244" s="27" t="s">
        <v>8</v>
      </c>
      <c r="BN244" s="27" t="s">
        <v>7</v>
      </c>
      <c r="BP244" s="27" t="s">
        <v>7</v>
      </c>
      <c r="BQ244" s="27" t="s">
        <v>8</v>
      </c>
      <c r="BR244" s="27" t="s">
        <v>7</v>
      </c>
      <c r="BS244" s="27" t="s">
        <v>8</v>
      </c>
      <c r="BT244" s="27" t="s">
        <v>7</v>
      </c>
      <c r="BU244" s="27" t="s">
        <v>8</v>
      </c>
      <c r="BV244" s="27" t="s">
        <v>7</v>
      </c>
      <c r="CG244" s="27" t="s">
        <v>8</v>
      </c>
      <c r="CH244" s="27" t="s">
        <v>7</v>
      </c>
      <c r="CI244" s="27" t="s">
        <v>8</v>
      </c>
      <c r="CJ244" s="27" t="s">
        <v>7</v>
      </c>
      <c r="CK244" s="27" t="s">
        <v>8</v>
      </c>
      <c r="DH244" s="27" t="s">
        <v>7</v>
      </c>
    </row>
    <row r="245" spans="1:113" x14ac:dyDescent="0.25">
      <c r="A245" s="30">
        <v>0.78352616646845741</v>
      </c>
      <c r="B245"/>
      <c r="C245"/>
      <c r="D245"/>
      <c r="E245"/>
      <c r="X245" s="27" t="s">
        <v>7</v>
      </c>
      <c r="Y245" s="27" t="s">
        <v>8</v>
      </c>
      <c r="Z245" s="27" t="s">
        <v>7</v>
      </c>
      <c r="AA245" s="27" t="s">
        <v>8</v>
      </c>
      <c r="AB245" s="27" t="s">
        <v>7</v>
      </c>
      <c r="AC245" s="27" t="s">
        <v>8</v>
      </c>
      <c r="AD245" s="27" t="s">
        <v>7</v>
      </c>
      <c r="AE245" s="27" t="s">
        <v>8</v>
      </c>
      <c r="AF245" s="27" t="s">
        <v>7</v>
      </c>
      <c r="AG245" s="27" t="s">
        <v>8</v>
      </c>
      <c r="AH245" s="27" t="s">
        <v>7</v>
      </c>
      <c r="AI245" s="27" t="s">
        <v>8</v>
      </c>
      <c r="AJ245" s="27" t="s">
        <v>7</v>
      </c>
      <c r="AM245" s="27" t="s">
        <v>8</v>
      </c>
      <c r="AN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G245" s="27" t="s">
        <v>8</v>
      </c>
      <c r="BP245" s="27" t="s">
        <v>7</v>
      </c>
      <c r="BQ245" s="27" t="s">
        <v>8</v>
      </c>
      <c r="BR245" s="27" t="s">
        <v>7</v>
      </c>
      <c r="BS245" s="27" t="s">
        <v>8</v>
      </c>
      <c r="BT245" s="27" t="s">
        <v>7</v>
      </c>
      <c r="BU245" s="27" t="s">
        <v>8</v>
      </c>
      <c r="BV245" s="27" t="s">
        <v>7</v>
      </c>
      <c r="CE245" s="27" t="s">
        <v>8</v>
      </c>
      <c r="CG245" s="27" t="s">
        <v>8</v>
      </c>
      <c r="CH245" s="27" t="s">
        <v>7</v>
      </c>
      <c r="CI245" s="27" t="s">
        <v>8</v>
      </c>
      <c r="CJ245" s="27" t="s">
        <v>7</v>
      </c>
      <c r="CK245" s="27" t="s">
        <v>8</v>
      </c>
      <c r="DH245" s="27" t="s">
        <v>7</v>
      </c>
    </row>
    <row r="246" spans="1:113" x14ac:dyDescent="0.25">
      <c r="A246" s="30">
        <v>0.74621539663662584</v>
      </c>
      <c r="B246"/>
      <c r="C246"/>
      <c r="D246"/>
      <c r="E246"/>
      <c r="X246" s="27" t="s">
        <v>7</v>
      </c>
      <c r="Y246" s="27" t="s">
        <v>8</v>
      </c>
      <c r="Z246" s="27" t="s">
        <v>7</v>
      </c>
      <c r="AA246" s="27" t="s">
        <v>8</v>
      </c>
      <c r="AB246" s="27" t="s">
        <v>7</v>
      </c>
      <c r="AC246" s="27" t="s">
        <v>8</v>
      </c>
      <c r="AD246" s="27" t="s">
        <v>7</v>
      </c>
      <c r="AE246" s="27" t="s">
        <v>8</v>
      </c>
      <c r="AF246" s="27" t="s">
        <v>7</v>
      </c>
      <c r="AG246" s="27" t="s">
        <v>8</v>
      </c>
      <c r="AH246" s="27" t="s">
        <v>7</v>
      </c>
      <c r="AJ246" s="27" t="s">
        <v>7</v>
      </c>
      <c r="AM246" s="27" t="s">
        <v>8</v>
      </c>
      <c r="AN246" s="27" t="s">
        <v>7</v>
      </c>
      <c r="AW246" s="27" t="s">
        <v>8</v>
      </c>
      <c r="BA246" s="27" t="s">
        <v>8</v>
      </c>
      <c r="BC246" s="27" t="s">
        <v>8</v>
      </c>
      <c r="BD246" s="27" t="s">
        <v>7</v>
      </c>
      <c r="BE246" s="27" t="s">
        <v>8</v>
      </c>
      <c r="BF246" s="27" t="s">
        <v>7</v>
      </c>
      <c r="BG246" s="27" t="s">
        <v>8</v>
      </c>
      <c r="BP246" s="27" t="s">
        <v>7</v>
      </c>
      <c r="BQ246" s="27" t="s">
        <v>8</v>
      </c>
      <c r="BR246" s="27" t="s">
        <v>7</v>
      </c>
      <c r="BS246" s="27" t="s">
        <v>8</v>
      </c>
      <c r="BT246" s="27" t="s">
        <v>7</v>
      </c>
      <c r="BU246" s="27" t="s">
        <v>8</v>
      </c>
      <c r="BV246" s="27" t="s">
        <v>7</v>
      </c>
      <c r="CE246" s="27" t="s">
        <v>8</v>
      </c>
      <c r="CF246" s="27" t="s">
        <v>7</v>
      </c>
      <c r="CG246" s="27" t="s">
        <v>8</v>
      </c>
      <c r="CH246" s="27" t="s">
        <v>7</v>
      </c>
      <c r="CI246" s="27" t="s">
        <v>8</v>
      </c>
      <c r="CJ246" s="27" t="s">
        <v>7</v>
      </c>
      <c r="DH246" s="27" t="s">
        <v>7</v>
      </c>
      <c r="DI246" s="27" t="s">
        <v>8</v>
      </c>
    </row>
    <row r="247" spans="1:113" x14ac:dyDescent="0.25">
      <c r="A247" s="30">
        <v>0.71068133013011958</v>
      </c>
      <c r="B247"/>
      <c r="C247"/>
      <c r="D247"/>
      <c r="E247"/>
      <c r="X247" s="27" t="s">
        <v>7</v>
      </c>
      <c r="Z247" s="27" t="s">
        <v>7</v>
      </c>
      <c r="AA247" s="27" t="s">
        <v>8</v>
      </c>
      <c r="AB247" s="27" t="s">
        <v>7</v>
      </c>
      <c r="AC247" s="27" t="s">
        <v>8</v>
      </c>
      <c r="AD247" s="27" t="s">
        <v>7</v>
      </c>
      <c r="AE247" s="27" t="s">
        <v>8</v>
      </c>
      <c r="AF247" s="27" t="s">
        <v>7</v>
      </c>
      <c r="AG247" s="27" t="s">
        <v>8</v>
      </c>
      <c r="AJ247" s="27" t="s">
        <v>7</v>
      </c>
      <c r="AM247" s="27" t="s">
        <v>8</v>
      </c>
      <c r="AN247" s="27" t="s">
        <v>7</v>
      </c>
      <c r="AW247" s="27" t="s">
        <v>8</v>
      </c>
      <c r="AX247" s="27" t="s">
        <v>7</v>
      </c>
      <c r="BA247" s="27" t="s">
        <v>8</v>
      </c>
      <c r="BB247" s="27" t="s">
        <v>7</v>
      </c>
      <c r="BC247" s="27" t="s">
        <v>8</v>
      </c>
      <c r="BD247" s="27" t="s">
        <v>7</v>
      </c>
      <c r="BE247" s="27" t="s">
        <v>8</v>
      </c>
      <c r="BF247" s="27" t="s">
        <v>7</v>
      </c>
      <c r="BP247" s="27" t="s">
        <v>7</v>
      </c>
      <c r="BR247" s="27" t="s">
        <v>7</v>
      </c>
      <c r="BS247" s="27" t="s">
        <v>8</v>
      </c>
      <c r="BT247" s="27" t="s">
        <v>7</v>
      </c>
      <c r="BV247" s="27" t="s">
        <v>7</v>
      </c>
      <c r="CA247" s="27" t="s">
        <v>8</v>
      </c>
      <c r="CC247" s="27" t="s">
        <v>8</v>
      </c>
      <c r="CE247" s="27" t="s">
        <v>8</v>
      </c>
      <c r="CF247" s="27" t="s">
        <v>7</v>
      </c>
      <c r="CG247" s="27" t="s">
        <v>8</v>
      </c>
      <c r="CH247" s="27" t="s">
        <v>7</v>
      </c>
      <c r="DH247" s="27" t="s">
        <v>7</v>
      </c>
      <c r="DI247" s="27" t="s">
        <v>8</v>
      </c>
    </row>
    <row r="248" spans="1:113" x14ac:dyDescent="0.25">
      <c r="A248" s="30">
        <v>0.676839362028685</v>
      </c>
      <c r="B248"/>
      <c r="C248"/>
      <c r="D248"/>
      <c r="E248"/>
      <c r="Z248" s="27" t="s">
        <v>7</v>
      </c>
      <c r="AA248" s="27" t="s">
        <v>8</v>
      </c>
      <c r="AB248" s="27" t="s">
        <v>7</v>
      </c>
      <c r="AC248" s="27" t="s">
        <v>8</v>
      </c>
      <c r="AD248" s="27" t="s">
        <v>7</v>
      </c>
      <c r="AF248" s="27" t="s">
        <v>7</v>
      </c>
      <c r="AG248" s="27" t="s">
        <v>8</v>
      </c>
      <c r="AJ248" s="27" t="s">
        <v>7</v>
      </c>
      <c r="AM248" s="27" t="s">
        <v>8</v>
      </c>
      <c r="AN248" s="27" t="s">
        <v>7</v>
      </c>
      <c r="AW248" s="27" t="s">
        <v>8</v>
      </c>
      <c r="AX248" s="27" t="s">
        <v>7</v>
      </c>
      <c r="BA248" s="27" t="s">
        <v>8</v>
      </c>
      <c r="BB248" s="27" t="s">
        <v>7</v>
      </c>
      <c r="BC248" s="27" t="s">
        <v>8</v>
      </c>
      <c r="BD248" s="27" t="s">
        <v>7</v>
      </c>
      <c r="BR248" s="27" t="s">
        <v>7</v>
      </c>
      <c r="BV248" s="27" t="s">
        <v>7</v>
      </c>
      <c r="BW248" s="27" t="s">
        <v>8</v>
      </c>
      <c r="CA248" s="27" t="s">
        <v>8</v>
      </c>
      <c r="CB248" s="27" t="s">
        <v>7</v>
      </c>
      <c r="CC248" s="27" t="s">
        <v>8</v>
      </c>
      <c r="CD248" s="27" t="s">
        <v>7</v>
      </c>
      <c r="CE248" s="27" t="s">
        <v>8</v>
      </c>
      <c r="CF248" s="27" t="s">
        <v>7</v>
      </c>
      <c r="DH248" s="27" t="s">
        <v>7</v>
      </c>
      <c r="DI248" s="27" t="s">
        <v>8</v>
      </c>
    </row>
    <row r="249" spans="1:113" x14ac:dyDescent="0.25">
      <c r="A249" s="30">
        <v>0.64460891621779492</v>
      </c>
      <c r="B249"/>
      <c r="C249"/>
      <c r="D249"/>
      <c r="E249"/>
      <c r="Z249" s="27" t="s">
        <v>7</v>
      </c>
      <c r="AA249" s="27" t="s">
        <v>8</v>
      </c>
      <c r="AB249" s="27" t="s">
        <v>7</v>
      </c>
      <c r="AC249" s="27" t="s">
        <v>8</v>
      </c>
      <c r="AF249" s="27" t="s">
        <v>7</v>
      </c>
      <c r="AG249" s="27" t="s">
        <v>8</v>
      </c>
      <c r="AJ249" s="27" t="s">
        <v>7</v>
      </c>
      <c r="AM249" s="27" t="s">
        <v>8</v>
      </c>
      <c r="AN249" s="27" t="s">
        <v>7</v>
      </c>
      <c r="AW249" s="27" t="s">
        <v>8</v>
      </c>
      <c r="AX249" s="27" t="s">
        <v>7</v>
      </c>
      <c r="BA249" s="27" t="s">
        <v>8</v>
      </c>
      <c r="BB249" s="27" t="s">
        <v>7</v>
      </c>
      <c r="BC249" s="27" t="s">
        <v>8</v>
      </c>
      <c r="BV249" s="27" t="s">
        <v>7</v>
      </c>
      <c r="BW249" s="27" t="s">
        <v>8</v>
      </c>
      <c r="BX249" s="27" t="s">
        <v>7</v>
      </c>
      <c r="BY249" s="27" t="s">
        <v>8</v>
      </c>
      <c r="CA249" s="27" t="s">
        <v>8</v>
      </c>
      <c r="CB249" s="27" t="s">
        <v>7</v>
      </c>
      <c r="CC249" s="27" t="s">
        <v>8</v>
      </c>
      <c r="CD249" s="27" t="s">
        <v>7</v>
      </c>
      <c r="CE249" s="27" t="s">
        <v>8</v>
      </c>
      <c r="DH249" s="27" t="s">
        <v>7</v>
      </c>
      <c r="DI249" s="27" t="s">
        <v>8</v>
      </c>
    </row>
    <row r="250" spans="1:113" x14ac:dyDescent="0.25">
      <c r="A250" s="30">
        <v>0.61391325354075688</v>
      </c>
      <c r="B250"/>
      <c r="C250"/>
      <c r="D250"/>
      <c r="E250"/>
      <c r="Z250" s="27" t="s">
        <v>7</v>
      </c>
      <c r="AB250" s="27" t="s">
        <v>7</v>
      </c>
      <c r="AC250" s="27" t="s">
        <v>8</v>
      </c>
      <c r="AF250" s="27" t="s">
        <v>7</v>
      </c>
      <c r="AG250" s="27" t="s">
        <v>8</v>
      </c>
      <c r="AJ250" s="27" t="s">
        <v>7</v>
      </c>
      <c r="AK250" s="27" t="s">
        <v>8</v>
      </c>
      <c r="AM250" s="27" t="s">
        <v>8</v>
      </c>
      <c r="AN250" s="27" t="s">
        <v>7</v>
      </c>
      <c r="AW250" s="27" t="s">
        <v>8</v>
      </c>
      <c r="AX250" s="27" t="s">
        <v>7</v>
      </c>
      <c r="BA250" s="27" t="s">
        <v>8</v>
      </c>
      <c r="BB250" s="27" t="s">
        <v>7</v>
      </c>
      <c r="BC250" s="27" t="s">
        <v>8</v>
      </c>
      <c r="BV250" s="27" t="s">
        <v>7</v>
      </c>
      <c r="BW250" s="27" t="s">
        <v>8</v>
      </c>
      <c r="BX250" s="27" t="s">
        <v>7</v>
      </c>
      <c r="BY250" s="27" t="s">
        <v>8</v>
      </c>
      <c r="BZ250" s="27" t="s">
        <v>7</v>
      </c>
      <c r="CA250" s="27" t="s">
        <v>8</v>
      </c>
      <c r="CB250" s="27" t="s">
        <v>7</v>
      </c>
      <c r="CD250" s="27" t="s">
        <v>7</v>
      </c>
      <c r="DH250" s="27" t="s">
        <v>7</v>
      </c>
      <c r="DI250" s="27" t="s">
        <v>8</v>
      </c>
    </row>
    <row r="251" spans="1:113" x14ac:dyDescent="0.25">
      <c r="A251" s="30">
        <v>0.58467928908643485</v>
      </c>
      <c r="B251"/>
      <c r="C251"/>
      <c r="D251"/>
      <c r="E251"/>
      <c r="AB251" s="27" t="s">
        <v>7</v>
      </c>
      <c r="AC251" s="27" t="s">
        <v>8</v>
      </c>
      <c r="AF251" s="27" t="s">
        <v>7</v>
      </c>
      <c r="AJ251" s="27" t="s">
        <v>7</v>
      </c>
      <c r="AK251" s="27" t="s">
        <v>8</v>
      </c>
      <c r="AL251" s="27" t="s">
        <v>7</v>
      </c>
      <c r="AM251" s="27" t="s">
        <v>8</v>
      </c>
      <c r="AN251" s="27" t="s">
        <v>7</v>
      </c>
      <c r="AW251" s="27" t="s">
        <v>8</v>
      </c>
      <c r="AX251" s="27" t="s">
        <v>7</v>
      </c>
      <c r="BA251" s="27" t="s">
        <v>8</v>
      </c>
      <c r="BB251" s="27" t="s">
        <v>7</v>
      </c>
      <c r="BC251" s="27" t="s">
        <v>8</v>
      </c>
      <c r="BV251" s="27" t="s">
        <v>7</v>
      </c>
      <c r="BW251" s="27" t="s">
        <v>8</v>
      </c>
      <c r="BX251" s="27" t="s">
        <v>7</v>
      </c>
      <c r="BY251" s="27" t="s">
        <v>8</v>
      </c>
      <c r="BZ251" s="27" t="s">
        <v>7</v>
      </c>
      <c r="CA251" s="27" t="s">
        <v>8</v>
      </c>
      <c r="DH251" s="27" t="s">
        <v>7</v>
      </c>
    </row>
    <row r="252" spans="1:113" x14ac:dyDescent="0.25">
      <c r="A252" s="30">
        <v>0.55683741817755672</v>
      </c>
      <c r="B252"/>
      <c r="C252"/>
      <c r="D252"/>
      <c r="E252"/>
      <c r="AB252" s="27" t="s">
        <v>7</v>
      </c>
      <c r="AC252" s="27" t="s">
        <v>8</v>
      </c>
      <c r="AJ252" s="27" t="s">
        <v>7</v>
      </c>
      <c r="AK252" s="27" t="s">
        <v>8</v>
      </c>
      <c r="AL252" s="27" t="s">
        <v>7</v>
      </c>
      <c r="AM252" s="27" t="s">
        <v>8</v>
      </c>
      <c r="AN252" s="27" t="s">
        <v>7</v>
      </c>
      <c r="AW252" s="27" t="s">
        <v>8</v>
      </c>
      <c r="AX252" s="27" t="s">
        <v>7</v>
      </c>
      <c r="BA252" s="27" t="s">
        <v>8</v>
      </c>
      <c r="BB252" s="27" t="s">
        <v>7</v>
      </c>
      <c r="BV252" s="27" t="s">
        <v>7</v>
      </c>
      <c r="BX252" s="27" t="s">
        <v>7</v>
      </c>
      <c r="BZ252" s="27" t="s">
        <v>7</v>
      </c>
    </row>
    <row r="253" spans="1:113" x14ac:dyDescent="0.25">
      <c r="A253" s="30">
        <v>0.53032135064529184</v>
      </c>
      <c r="B253"/>
      <c r="C253"/>
      <c r="D253"/>
      <c r="E253"/>
      <c r="AB253" s="27" t="s">
        <v>7</v>
      </c>
      <c r="AC253" s="27" t="s">
        <v>8</v>
      </c>
      <c r="AJ253" s="27" t="s">
        <v>7</v>
      </c>
      <c r="AL253" s="27" t="s">
        <v>7</v>
      </c>
      <c r="AN253" s="27" t="s">
        <v>7</v>
      </c>
      <c r="AQ253" s="27" t="s">
        <v>8</v>
      </c>
      <c r="AW253" s="27" t="s">
        <v>8</v>
      </c>
      <c r="AX253" s="27" t="s">
        <v>7</v>
      </c>
      <c r="AY253" s="27" t="s">
        <v>8</v>
      </c>
      <c r="BA253" s="27" t="s">
        <v>8</v>
      </c>
    </row>
    <row r="254" spans="1:113" x14ac:dyDescent="0.25">
      <c r="A254" s="30">
        <v>0.50506795299551588</v>
      </c>
      <c r="B254"/>
      <c r="C254"/>
      <c r="D254"/>
      <c r="E254"/>
      <c r="AB254" s="27" t="s">
        <v>7</v>
      </c>
      <c r="AC254" s="27" t="s">
        <v>8</v>
      </c>
      <c r="AN254" s="27" t="s">
        <v>7</v>
      </c>
      <c r="AQ254" s="27" t="s">
        <v>8</v>
      </c>
      <c r="AR254" s="27" t="s">
        <v>7</v>
      </c>
      <c r="AU254" s="27" t="s">
        <v>8</v>
      </c>
      <c r="AW254" s="27" t="s">
        <v>8</v>
      </c>
      <c r="AX254" s="27" t="s">
        <v>7</v>
      </c>
      <c r="AY254" s="27" t="s">
        <v>8</v>
      </c>
      <c r="AZ254" s="27" t="s">
        <v>7</v>
      </c>
      <c r="BA254" s="27" t="s">
        <v>8</v>
      </c>
    </row>
    <row r="255" spans="1:113" x14ac:dyDescent="0.25">
      <c r="A255" s="30">
        <v>0.48101709809096732</v>
      </c>
      <c r="E255"/>
      <c r="AB255" s="27" t="s">
        <v>7</v>
      </c>
      <c r="AC255" s="27" t="s">
        <v>8</v>
      </c>
      <c r="AN255" s="27" t="s">
        <v>7</v>
      </c>
      <c r="AQ255" s="27" t="s">
        <v>8</v>
      </c>
      <c r="AR255" s="27" t="s">
        <v>7</v>
      </c>
      <c r="AU255" s="27" t="s">
        <v>8</v>
      </c>
      <c r="AV255" s="27" t="s">
        <v>7</v>
      </c>
      <c r="AW255" s="27" t="s">
        <v>8</v>
      </c>
      <c r="AX255" s="27" t="s">
        <v>7</v>
      </c>
      <c r="AY255" s="27" t="s">
        <v>8</v>
      </c>
      <c r="AZ255" s="27" t="s">
        <v>7</v>
      </c>
      <c r="BA255" s="27" t="s">
        <v>8</v>
      </c>
    </row>
    <row r="256" spans="1:113" x14ac:dyDescent="0.25">
      <c r="A256" s="30">
        <v>0.45811152199139726</v>
      </c>
      <c r="E256"/>
      <c r="AB256" s="27" t="s">
        <v>7</v>
      </c>
      <c r="AC256" s="27" t="s">
        <v>8</v>
      </c>
      <c r="AN256" s="27" t="s">
        <v>7</v>
      </c>
      <c r="AQ256" s="27" t="s">
        <v>8</v>
      </c>
      <c r="AR256" s="27" t="s">
        <v>7</v>
      </c>
      <c r="AS256" s="27" t="s">
        <v>8</v>
      </c>
      <c r="AU256" s="27" t="s">
        <v>8</v>
      </c>
      <c r="AV256" s="27" t="s">
        <v>7</v>
      </c>
      <c r="AW256" s="27" t="s">
        <v>8</v>
      </c>
      <c r="AX256" s="27" t="s">
        <v>7</v>
      </c>
      <c r="AZ256" s="27" t="s">
        <v>7</v>
      </c>
      <c r="BA256" s="27" t="s">
        <v>8</v>
      </c>
    </row>
    <row r="257" spans="1:53" x14ac:dyDescent="0.25">
      <c r="A257" s="30">
        <v>0.43629668761085438</v>
      </c>
      <c r="B257"/>
      <c r="C257"/>
      <c r="D257"/>
      <c r="E257"/>
      <c r="AB257" s="27" t="s">
        <v>7</v>
      </c>
      <c r="AC257" s="27" t="s">
        <v>8</v>
      </c>
      <c r="AN257" s="27" t="s">
        <v>7</v>
      </c>
      <c r="AQ257" s="27" t="s">
        <v>8</v>
      </c>
      <c r="AR257" s="27" t="s">
        <v>7</v>
      </c>
      <c r="AS257" s="27" t="s">
        <v>8</v>
      </c>
      <c r="AT257" s="27" t="s">
        <v>7</v>
      </c>
      <c r="AU257" s="27" t="s">
        <v>8</v>
      </c>
      <c r="AV257" s="27" t="s">
        <v>7</v>
      </c>
      <c r="AW257" s="27" t="s">
        <v>8</v>
      </c>
      <c r="AZ257" s="27" t="s">
        <v>7</v>
      </c>
      <c r="BA257" s="27" t="s">
        <v>8</v>
      </c>
    </row>
    <row r="258" spans="1:53" x14ac:dyDescent="0.25">
      <c r="A258" s="30">
        <v>0.41552065486748019</v>
      </c>
      <c r="B258"/>
      <c r="C258"/>
      <c r="D258"/>
      <c r="E258"/>
      <c r="AB258" s="27" t="s">
        <v>7</v>
      </c>
      <c r="AC258" s="27" t="s">
        <v>8</v>
      </c>
      <c r="AN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AV258" s="27" t="s">
        <v>7</v>
      </c>
      <c r="AW258" s="27" t="s">
        <v>8</v>
      </c>
      <c r="AZ258" s="18" t="s">
        <v>7</v>
      </c>
      <c r="BA258" s="27" t="s">
        <v>8</v>
      </c>
    </row>
    <row r="259" spans="1:53" x14ac:dyDescent="0.25">
      <c r="A259" s="30">
        <v>0.39573395701664765</v>
      </c>
      <c r="B259"/>
      <c r="C259"/>
      <c r="D259"/>
      <c r="E259"/>
      <c r="AB259" s="27" t="s">
        <v>7</v>
      </c>
      <c r="AC259" s="27" t="s">
        <v>8</v>
      </c>
      <c r="AN259" s="27" t="s">
        <v>7</v>
      </c>
      <c r="AO259" s="27" t="s">
        <v>8</v>
      </c>
      <c r="AQ259" s="27" t="s">
        <v>8</v>
      </c>
      <c r="AR259" s="27" t="s">
        <v>7</v>
      </c>
      <c r="AT259" s="27" t="s">
        <v>7</v>
      </c>
      <c r="AV259" s="27" t="s">
        <v>7</v>
      </c>
      <c r="AZ259" s="27" t="s">
        <v>7</v>
      </c>
      <c r="BA259" s="27" t="s">
        <v>8</v>
      </c>
    </row>
    <row r="260" spans="1:53" x14ac:dyDescent="0.25">
      <c r="A260" s="30">
        <v>0.37688948287299762</v>
      </c>
      <c r="B260"/>
      <c r="C260"/>
      <c r="D260"/>
      <c r="E260"/>
      <c r="AB260" s="27" t="s">
        <v>7</v>
      </c>
      <c r="AC260" s="27" t="s">
        <v>8</v>
      </c>
      <c r="AN260" s="27" t="s">
        <v>7</v>
      </c>
      <c r="AO260" s="27" t="s">
        <v>8</v>
      </c>
      <c r="AP260" s="27" t="s">
        <v>7</v>
      </c>
      <c r="AQ260" s="27" t="s">
        <v>8</v>
      </c>
      <c r="AZ260" s="27" t="s">
        <v>7</v>
      </c>
    </row>
    <row r="261" spans="1:53" x14ac:dyDescent="0.25">
      <c r="A261" s="30">
        <v>0.35894236464094997</v>
      </c>
      <c r="B261"/>
      <c r="C261"/>
      <c r="D261"/>
      <c r="E261"/>
      <c r="AB261" s="27" t="s">
        <v>7</v>
      </c>
      <c r="AN261" s="27" t="s">
        <v>7</v>
      </c>
      <c r="AO261" s="27" t="s">
        <v>8</v>
      </c>
      <c r="AP261" s="27" t="s">
        <v>7</v>
      </c>
      <c r="AQ261" s="27" t="s">
        <v>8</v>
      </c>
    </row>
    <row r="262" spans="1:53" x14ac:dyDescent="0.25">
      <c r="A262" s="30">
        <v>0.34184987108661891</v>
      </c>
      <c r="B262"/>
      <c r="C262"/>
      <c r="D262"/>
      <c r="E262"/>
      <c r="AN262" s="27" t="s">
        <v>7</v>
      </c>
      <c r="AO262" s="27" t="s">
        <v>8</v>
      </c>
      <c r="AP262" s="27" t="s">
        <v>7</v>
      </c>
      <c r="AQ262" s="27" t="s">
        <v>8</v>
      </c>
    </row>
    <row r="263" spans="1:53" x14ac:dyDescent="0.25">
      <c r="A263" s="30">
        <v>0.32557130579677979</v>
      </c>
      <c r="B263"/>
      <c r="C263"/>
      <c r="D263"/>
      <c r="E263"/>
      <c r="AN263" s="27" t="s">
        <v>7</v>
      </c>
      <c r="AO263" s="27" t="s">
        <v>8</v>
      </c>
      <c r="AP263" s="27" t="s">
        <v>7</v>
      </c>
      <c r="AQ263" s="27" t="s">
        <v>8</v>
      </c>
    </row>
    <row r="264" spans="1:53" x14ac:dyDescent="0.25">
      <c r="A264" s="30">
        <v>0.3100679102826473</v>
      </c>
      <c r="B264"/>
      <c r="C264"/>
      <c r="D264"/>
      <c r="E264"/>
      <c r="AN264" s="27" t="s">
        <v>7</v>
      </c>
      <c r="AO264" s="27" t="s">
        <v>8</v>
      </c>
      <c r="AP264" s="27" t="s">
        <v>7</v>
      </c>
      <c r="AQ264" s="27" t="s">
        <v>8</v>
      </c>
    </row>
    <row r="265" spans="1:53" x14ac:dyDescent="0.25">
      <c r="A265" s="30">
        <v>0.2953027716977592</v>
      </c>
      <c r="B265"/>
      <c r="C265"/>
      <c r="D265"/>
      <c r="E265"/>
      <c r="AN265" s="27" t="s">
        <v>7</v>
      </c>
      <c r="AO265" s="27" t="s">
        <v>8</v>
      </c>
      <c r="AP265" s="27" t="s">
        <v>7</v>
      </c>
    </row>
    <row r="266" spans="1:53" x14ac:dyDescent="0.25">
      <c r="A266" s="30">
        <v>0.28124073495024676</v>
      </c>
      <c r="B266"/>
      <c r="C266"/>
      <c r="D266"/>
      <c r="E266"/>
      <c r="AN266" s="27" t="s">
        <v>7</v>
      </c>
    </row>
    <row r="267" spans="1:53" x14ac:dyDescent="0.25">
      <c r="A267" s="30">
        <v>0.26784831900023492</v>
      </c>
      <c r="B267"/>
      <c r="C267"/>
      <c r="D267"/>
      <c r="E267"/>
    </row>
    <row r="268" spans="1:53" x14ac:dyDescent="0.25">
      <c r="A268" s="30">
        <v>0.25509363714308075</v>
      </c>
      <c r="B268"/>
      <c r="C268"/>
      <c r="D268"/>
      <c r="E268"/>
    </row>
    <row r="269" spans="1:53" x14ac:dyDescent="0.25">
      <c r="A269" s="30">
        <v>0.24294632108864825</v>
      </c>
      <c r="B269"/>
      <c r="C269"/>
      <c r="D269"/>
      <c r="E269"/>
    </row>
    <row r="270" spans="1:53" x14ac:dyDescent="0.25">
      <c r="A270" s="30">
        <v>0.23137744865585538</v>
      </c>
      <c r="B270"/>
      <c r="C270"/>
      <c r="D270"/>
      <c r="E270"/>
    </row>
    <row r="271" spans="1:53" x14ac:dyDescent="0.25">
      <c r="A271" s="30">
        <v>0.22035947491033836</v>
      </c>
      <c r="B271"/>
      <c r="C271"/>
      <c r="D271"/>
      <c r="E271"/>
    </row>
    <row r="272" spans="1:5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29" operator="equal">
      <formula>$U$1</formula>
    </cfRule>
    <cfRule type="cellIs" dxfId="67" priority="730" operator="equal">
      <formula>$S$1</formula>
    </cfRule>
  </conditionalFormatting>
  <conditionalFormatting sqref="D136">
    <cfRule type="cellIs" dxfId="66" priority="727" operator="equal">
      <formula>$S$1</formula>
    </cfRule>
    <cfRule type="cellIs" dxfId="65" priority="728" operator="equal">
      <formula>$U$1</formula>
    </cfRule>
  </conditionalFormatting>
  <conditionalFormatting sqref="C162">
    <cfRule type="cellIs" dxfId="64" priority="725" operator="equal">
      <formula>$U$1</formula>
    </cfRule>
    <cfRule type="cellIs" dxfId="63" priority="726" operator="equal">
      <formula>$S$1</formula>
    </cfRule>
  </conditionalFormatting>
  <conditionalFormatting sqref="D162">
    <cfRule type="cellIs" dxfId="62" priority="723" operator="equal">
      <formula>$S$1</formula>
    </cfRule>
    <cfRule type="cellIs" dxfId="61" priority="724" operator="equal">
      <formula>$U$1</formula>
    </cfRule>
  </conditionalFormatting>
  <conditionalFormatting sqref="C187">
    <cfRule type="cellIs" dxfId="60" priority="721" operator="equal">
      <formula>$U$1</formula>
    </cfRule>
    <cfRule type="cellIs" dxfId="59" priority="722" operator="equal">
      <formula>$S$1</formula>
    </cfRule>
  </conditionalFormatting>
  <conditionalFormatting sqref="D187">
    <cfRule type="cellIs" dxfId="58" priority="719" operator="equal">
      <formula>$S$1</formula>
    </cfRule>
    <cfRule type="cellIs" dxfId="57" priority="720" operator="equal">
      <formula>$U$1</formula>
    </cfRule>
  </conditionalFormatting>
  <conditionalFormatting sqref="C212">
    <cfRule type="cellIs" dxfId="56" priority="717" operator="equal">
      <formula>$U$1</formula>
    </cfRule>
    <cfRule type="cellIs" dxfId="55" priority="718" operator="equal">
      <formula>$S$1</formula>
    </cfRule>
  </conditionalFormatting>
  <conditionalFormatting sqref="D212">
    <cfRule type="cellIs" dxfId="54" priority="715" operator="equal">
      <formula>$S$1</formula>
    </cfRule>
    <cfRule type="cellIs" dxfId="53" priority="716" operator="equal">
      <formula>$U$1</formula>
    </cfRule>
  </conditionalFormatting>
  <conditionalFormatting sqref="C237">
    <cfRule type="cellIs" dxfId="52" priority="713" operator="equal">
      <formula>$U$1</formula>
    </cfRule>
    <cfRule type="cellIs" dxfId="51" priority="714" operator="equal">
      <formula>$S$1</formula>
    </cfRule>
  </conditionalFormatting>
  <conditionalFormatting sqref="D237">
    <cfRule type="cellIs" dxfId="50" priority="711" operator="equal">
      <formula>$S$1</formula>
    </cfRule>
    <cfRule type="cellIs" dxfId="49" priority="712" operator="equal">
      <formula>$U$1</formula>
    </cfRule>
  </conditionalFormatting>
  <conditionalFormatting sqref="C106">
    <cfRule type="cellIs" dxfId="48" priority="709" operator="equal">
      <formula>$U$1</formula>
    </cfRule>
    <cfRule type="cellIs" dxfId="47" priority="710" operator="equal">
      <formula>$S$1</formula>
    </cfRule>
  </conditionalFormatting>
  <conditionalFormatting sqref="D106">
    <cfRule type="cellIs" dxfId="46" priority="707" operator="equal">
      <formula>$S$1</formula>
    </cfRule>
    <cfRule type="cellIs" dxfId="45" priority="708" operator="equal">
      <formula>$U$1</formula>
    </cfRule>
  </conditionalFormatting>
  <conditionalFormatting sqref="C81">
    <cfRule type="cellIs" dxfId="44" priority="705" operator="equal">
      <formula>$U$1</formula>
    </cfRule>
    <cfRule type="cellIs" dxfId="43" priority="706" operator="equal">
      <formula>$S$1</formula>
    </cfRule>
  </conditionalFormatting>
  <conditionalFormatting sqref="D81">
    <cfRule type="cellIs" dxfId="42" priority="703" operator="equal">
      <formula>$S$1</formula>
    </cfRule>
    <cfRule type="cellIs" dxfId="41" priority="704" operator="equal">
      <formula>$U$1</formula>
    </cfRule>
  </conditionalFormatting>
  <conditionalFormatting sqref="C56">
    <cfRule type="cellIs" dxfId="40" priority="701" operator="equal">
      <formula>$U$1</formula>
    </cfRule>
    <cfRule type="cellIs" dxfId="39" priority="702" operator="equal">
      <formula>$S$1</formula>
    </cfRule>
  </conditionalFormatting>
  <conditionalFormatting sqref="D56">
    <cfRule type="cellIs" dxfId="38" priority="699" operator="equal">
      <formula>$S$1</formula>
    </cfRule>
    <cfRule type="cellIs" dxfId="37" priority="700" operator="equal">
      <formula>$U$1</formula>
    </cfRule>
  </conditionalFormatting>
  <conditionalFormatting sqref="C31">
    <cfRule type="cellIs" dxfId="36" priority="697" operator="equal">
      <formula>$U$1</formula>
    </cfRule>
    <cfRule type="cellIs" dxfId="35" priority="698" operator="equal">
      <formula>$S$1</formula>
    </cfRule>
  </conditionalFormatting>
  <conditionalFormatting sqref="D31">
    <cfRule type="cellIs" dxfId="34" priority="695" operator="equal">
      <formula>$S$1</formula>
    </cfRule>
    <cfRule type="cellIs" dxfId="33" priority="69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Q124" sqref="AQ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0" x14ac:dyDescent="0.25">
      <c r="A97" s="30">
        <v>9.849732675807628</v>
      </c>
      <c r="E97"/>
    </row>
    <row r="98" spans="1:10" x14ac:dyDescent="0.25">
      <c r="A98" s="30">
        <v>8.9543024325523888</v>
      </c>
      <c r="C98" s="1" t="s">
        <v>13</v>
      </c>
      <c r="E98"/>
    </row>
    <row r="99" spans="1:10" x14ac:dyDescent="0.25">
      <c r="A99" s="30">
        <v>8.140274938683989</v>
      </c>
      <c r="C99" s="1">
        <f>C88</f>
        <v>0</v>
      </c>
      <c r="E99"/>
    </row>
    <row r="100" spans="1:10" x14ac:dyDescent="0.25">
      <c r="A100" s="30">
        <v>7.4002499442581717</v>
      </c>
      <c r="C100"/>
      <c r="D100"/>
      <c r="E100"/>
    </row>
    <row r="101" spans="1:10" x14ac:dyDescent="0.25">
      <c r="A101" s="30">
        <v>6.72749994932561</v>
      </c>
      <c r="C101" s="1" t="s">
        <v>14</v>
      </c>
      <c r="E101"/>
    </row>
    <row r="102" spans="1:1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0" x14ac:dyDescent="0.25">
      <c r="A103" s="30">
        <v>5.5599173134922388</v>
      </c>
      <c r="E103"/>
    </row>
    <row r="104" spans="1:10" x14ac:dyDescent="0.25">
      <c r="A104" s="30">
        <v>5.0544702849929442</v>
      </c>
      <c r="E104"/>
    </row>
    <row r="105" spans="1:10" x14ac:dyDescent="0.25">
      <c r="A105" s="30">
        <v>4.594972986357222</v>
      </c>
      <c r="E105" t="s">
        <v>8</v>
      </c>
    </row>
    <row r="106" spans="1:10" x14ac:dyDescent="0.25">
      <c r="A106" s="30">
        <v>4.1772481694156562</v>
      </c>
      <c r="E106" t="s">
        <v>8</v>
      </c>
      <c r="F106" s="27" t="s">
        <v>7</v>
      </c>
    </row>
    <row r="107" spans="1:10" x14ac:dyDescent="0.25">
      <c r="A107" s="30">
        <v>3.7974983358324148</v>
      </c>
      <c r="E107" t="s">
        <v>8</v>
      </c>
      <c r="F107" s="27" t="s">
        <v>7</v>
      </c>
    </row>
    <row r="108" spans="1:10" x14ac:dyDescent="0.25">
      <c r="A108" s="30">
        <v>3.4522712143931042</v>
      </c>
      <c r="E108" t="s">
        <v>8</v>
      </c>
      <c r="F108" s="27" t="s">
        <v>7</v>
      </c>
      <c r="G108" s="27" t="s">
        <v>8</v>
      </c>
    </row>
    <row r="109" spans="1:10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</row>
    <row r="110" spans="1:10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I110" s="27" t="s">
        <v>8</v>
      </c>
    </row>
    <row r="111" spans="1:10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$AQ$123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  <c r="J111" s="27" t="s">
        <v>7</v>
      </c>
    </row>
    <row r="112" spans="1:10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$AP$124</v>
      </c>
      <c r="E112" t="s">
        <v>8</v>
      </c>
      <c r="F112" s="27" t="s">
        <v>7</v>
      </c>
      <c r="G112" s="27" t="s">
        <v>8</v>
      </c>
      <c r="H112" s="27" t="s">
        <v>7</v>
      </c>
      <c r="I112" s="27" t="s">
        <v>8</v>
      </c>
      <c r="J112" s="27" t="s">
        <v>7</v>
      </c>
    </row>
    <row r="113" spans="1:43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$AR$123</v>
      </c>
      <c r="E113" s="1" t="s">
        <v>8</v>
      </c>
      <c r="F113" s="27" t="s">
        <v>7</v>
      </c>
      <c r="H113" s="27" t="s">
        <v>7</v>
      </c>
      <c r="I113" s="27" t="s">
        <v>8</v>
      </c>
      <c r="J113" s="27" t="s">
        <v>7</v>
      </c>
      <c r="AK113" s="27" t="s">
        <v>8</v>
      </c>
    </row>
    <row r="114" spans="1:43" x14ac:dyDescent="0.25">
      <c r="A114" s="30">
        <v>1.9487171000000014</v>
      </c>
      <c r="C114" s="1" t="str">
        <f>ADDRESS(C121,D121,1,1)</f>
        <v>$AQ$124</v>
      </c>
      <c r="D114" s="1" t="str">
        <f>ADDRESS(C121+1,D121+1,1,1)</f>
        <v>$AR$125</v>
      </c>
      <c r="E114" s="1" t="s">
        <v>8</v>
      </c>
      <c r="H114" s="27" t="s">
        <v>7</v>
      </c>
      <c r="I114" s="27" t="s">
        <v>8</v>
      </c>
      <c r="J114" s="27" t="s">
        <v>7</v>
      </c>
      <c r="AI114" s="27" t="s">
        <v>8</v>
      </c>
      <c r="AK114" s="27" t="s">
        <v>8</v>
      </c>
      <c r="AL114" s="27" t="s">
        <v>7</v>
      </c>
    </row>
    <row r="115" spans="1:43" x14ac:dyDescent="0.25">
      <c r="A115" s="30">
        <v>1.7715610000000011</v>
      </c>
      <c r="C115" s="1" t="str">
        <f>ADDRESS(C121+1,D121,1,1)</f>
        <v>$AQ$125</v>
      </c>
      <c r="E115" s="1" t="s">
        <v>8</v>
      </c>
      <c r="H115" s="27" t="s">
        <v>7</v>
      </c>
      <c r="I115" s="27" t="s">
        <v>8</v>
      </c>
      <c r="J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M115" s="27" t="s">
        <v>8</v>
      </c>
    </row>
    <row r="116" spans="1:43" x14ac:dyDescent="0.25">
      <c r="A116" s="30">
        <v>1.6105100000000008</v>
      </c>
      <c r="C116" s="1">
        <f>C117-1</f>
        <v>123</v>
      </c>
      <c r="E116" s="1" t="s">
        <v>8</v>
      </c>
      <c r="H116" s="27" t="s">
        <v>7</v>
      </c>
      <c r="J116" s="27" t="s">
        <v>7</v>
      </c>
      <c r="AI116" s="27" t="s">
        <v>8</v>
      </c>
      <c r="AJ116" s="27" t="s">
        <v>7</v>
      </c>
      <c r="AK116" s="27" t="s">
        <v>8</v>
      </c>
      <c r="AL116" s="27" t="s">
        <v>7</v>
      </c>
      <c r="AM116" s="27" t="s">
        <v>8</v>
      </c>
      <c r="AN116" s="27" t="s">
        <v>7</v>
      </c>
    </row>
    <row r="117" spans="1:43" x14ac:dyDescent="0.25">
      <c r="A117" s="30">
        <v>1.4641000000000006</v>
      </c>
      <c r="C117" s="1">
        <f>C121</f>
        <v>124</v>
      </c>
      <c r="D117" s="1">
        <f>D121</f>
        <v>43</v>
      </c>
      <c r="E117" s="1" t="s">
        <v>8</v>
      </c>
      <c r="J117" s="27" t="s">
        <v>7</v>
      </c>
      <c r="AI117" s="27" t="s">
        <v>8</v>
      </c>
      <c r="AJ117" s="27" t="s">
        <v>7</v>
      </c>
      <c r="AL117" s="27" t="s">
        <v>7</v>
      </c>
      <c r="AM117" s="27" t="s">
        <v>8</v>
      </c>
      <c r="AN117" s="27" t="s">
        <v>7</v>
      </c>
      <c r="AO117" s="27" t="s">
        <v>8</v>
      </c>
    </row>
    <row r="118" spans="1:43" x14ac:dyDescent="0.25">
      <c r="A118" s="30">
        <v>1.3310000000000004</v>
      </c>
      <c r="C118" s="1">
        <f>C117+1</f>
        <v>125</v>
      </c>
      <c r="D118" s="1">
        <f>D117+1</f>
        <v>44</v>
      </c>
      <c r="E118" s="1" t="s">
        <v>8</v>
      </c>
      <c r="J118" s="27" t="s">
        <v>7</v>
      </c>
      <c r="AI118" s="27" t="s">
        <v>8</v>
      </c>
      <c r="AL118" s="27" t="s">
        <v>7</v>
      </c>
      <c r="AM118" s="27" t="s">
        <v>8</v>
      </c>
      <c r="AN118" s="27" t="s">
        <v>7</v>
      </c>
      <c r="AO118" s="27" t="s">
        <v>8</v>
      </c>
      <c r="AP118" s="27" t="s">
        <v>7</v>
      </c>
    </row>
    <row r="119" spans="1:43" x14ac:dyDescent="0.25">
      <c r="A119" s="30">
        <v>1.2100000000000002</v>
      </c>
      <c r="E119" s="1" t="s">
        <v>8</v>
      </c>
      <c r="J119" s="27" t="s">
        <v>7</v>
      </c>
      <c r="AC119" s="27" t="s">
        <v>8</v>
      </c>
      <c r="AI119" s="27" t="s">
        <v>8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</row>
    <row r="120" spans="1:43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AC120" s="27" t="s">
        <v>8</v>
      </c>
      <c r="AD120" s="27" t="s">
        <v>7</v>
      </c>
      <c r="AE120" s="27" t="s">
        <v>8</v>
      </c>
      <c r="AI120" s="27" t="s">
        <v>8</v>
      </c>
      <c r="AL120" s="27" t="s">
        <v>7</v>
      </c>
      <c r="AN120" s="27" t="s">
        <v>7</v>
      </c>
      <c r="AP120" s="27" t="s">
        <v>7</v>
      </c>
    </row>
    <row r="121" spans="1:43" x14ac:dyDescent="0.25">
      <c r="A121" s="30">
        <v>1</v>
      </c>
      <c r="C121" s="18">
        <v>124</v>
      </c>
      <c r="D121" s="19">
        <v>43</v>
      </c>
      <c r="E121" s="18" t="s">
        <v>8</v>
      </c>
      <c r="J121" s="27" t="s">
        <v>7</v>
      </c>
      <c r="K121" s="27" t="s">
        <v>8</v>
      </c>
      <c r="AC121" s="27" t="s">
        <v>8</v>
      </c>
      <c r="AD121" s="27" t="s">
        <v>7</v>
      </c>
      <c r="AE121" s="27" t="s">
        <v>8</v>
      </c>
      <c r="AF121" s="27" t="s">
        <v>7</v>
      </c>
      <c r="AI121" s="27" t="s">
        <v>8</v>
      </c>
      <c r="AP121" s="27" t="s">
        <v>7</v>
      </c>
    </row>
    <row r="122" spans="1:43" x14ac:dyDescent="0.25">
      <c r="A122" s="30">
        <v>0.90909090909090895</v>
      </c>
      <c r="C122" s="1" t="str">
        <f>INDEX(1:1048576,C117,D117)</f>
        <v>X</v>
      </c>
      <c r="J122" s="27" t="s">
        <v>7</v>
      </c>
      <c r="K122" s="27" t="s">
        <v>8</v>
      </c>
      <c r="L122" s="27" t="s">
        <v>7</v>
      </c>
      <c r="M122" s="27" t="s">
        <v>8</v>
      </c>
      <c r="O122" s="27" t="s">
        <v>8</v>
      </c>
      <c r="AA122" s="27" t="s">
        <v>8</v>
      </c>
      <c r="AC122" s="27" t="s">
        <v>8</v>
      </c>
      <c r="AD122" s="27" t="s">
        <v>7</v>
      </c>
      <c r="AE122" s="27" t="s">
        <v>8</v>
      </c>
      <c r="AF122" s="27" t="s">
        <v>7</v>
      </c>
      <c r="AG122" s="27" t="s">
        <v>8</v>
      </c>
      <c r="AI122" s="27" t="s">
        <v>8</v>
      </c>
      <c r="AP122" s="27" t="s">
        <v>7</v>
      </c>
    </row>
    <row r="123" spans="1:43" x14ac:dyDescent="0.25">
      <c r="A123" s="30">
        <v>0.82644628099173523</v>
      </c>
      <c r="C123" s="1" t="str">
        <f>"R"&amp;C121</f>
        <v>R124</v>
      </c>
      <c r="D123" s="1" t="str">
        <f>"C"&amp;D121</f>
        <v>C43</v>
      </c>
      <c r="J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  <c r="O123" s="27" t="s">
        <v>8</v>
      </c>
      <c r="P123" s="27" t="s">
        <v>7</v>
      </c>
      <c r="Q123" s="27" t="s">
        <v>8</v>
      </c>
      <c r="S123" s="27" t="s">
        <v>8</v>
      </c>
      <c r="AA123" s="27" t="s">
        <v>8</v>
      </c>
      <c r="AB123" s="27" t="s">
        <v>7</v>
      </c>
      <c r="AC123" s="27" t="s">
        <v>8</v>
      </c>
      <c r="AD123" s="27" t="s">
        <v>7</v>
      </c>
      <c r="AF123" s="27" t="s">
        <v>7</v>
      </c>
      <c r="AG123" s="27" t="s">
        <v>8</v>
      </c>
      <c r="AH123" s="27" t="s">
        <v>7</v>
      </c>
      <c r="AI123" s="27" t="s">
        <v>8</v>
      </c>
      <c r="AP123" s="27" t="s">
        <v>7</v>
      </c>
    </row>
    <row r="124" spans="1:43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K124" s="27" t="s">
        <v>8</v>
      </c>
      <c r="L124" s="27" t="s">
        <v>7</v>
      </c>
      <c r="M124" s="27" t="s">
        <v>8</v>
      </c>
      <c r="N124" s="27" t="s">
        <v>7</v>
      </c>
      <c r="O124" s="27" t="s">
        <v>8</v>
      </c>
      <c r="P124" s="27" t="s">
        <v>7</v>
      </c>
      <c r="Q124" s="27" t="s">
        <v>8</v>
      </c>
      <c r="R124" s="27" t="s">
        <v>7</v>
      </c>
      <c r="S124" s="27" t="s">
        <v>8</v>
      </c>
      <c r="T124" s="27" t="s">
        <v>7</v>
      </c>
      <c r="W124" s="27" t="s">
        <v>8</v>
      </c>
      <c r="Y124" s="27" t="s">
        <v>8</v>
      </c>
      <c r="AA124" s="27" t="s">
        <v>8</v>
      </c>
      <c r="AB124" s="27" t="s">
        <v>7</v>
      </c>
      <c r="AC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P124" s="27" t="s">
        <v>7</v>
      </c>
      <c r="AQ124" s="27" t="s">
        <v>8</v>
      </c>
    </row>
    <row r="125" spans="1:43" x14ac:dyDescent="0.25">
      <c r="A125" s="30">
        <v>0.68301345536507019</v>
      </c>
      <c r="J125" s="27" t="s">
        <v>7</v>
      </c>
      <c r="L125" s="27" t="s">
        <v>7</v>
      </c>
      <c r="M125" s="27" t="s">
        <v>8</v>
      </c>
      <c r="N125" s="27" t="s">
        <v>7</v>
      </c>
      <c r="P125" s="27" t="s">
        <v>7</v>
      </c>
      <c r="Q125" s="27" t="s">
        <v>8</v>
      </c>
      <c r="R125" s="27" t="s">
        <v>7</v>
      </c>
      <c r="S125" s="27" t="s">
        <v>8</v>
      </c>
      <c r="T125" s="27" t="s">
        <v>7</v>
      </c>
      <c r="W125" s="27" t="s">
        <v>8</v>
      </c>
      <c r="X125" s="27" t="s">
        <v>7</v>
      </c>
      <c r="Y125" s="27" t="s">
        <v>8</v>
      </c>
      <c r="Z125" s="27" t="s">
        <v>7</v>
      </c>
      <c r="AA125" s="27" t="s">
        <v>8</v>
      </c>
      <c r="AB125" s="27" t="s">
        <v>7</v>
      </c>
      <c r="AF125" s="27" t="s">
        <v>7</v>
      </c>
      <c r="AH125" s="27" t="s">
        <v>7</v>
      </c>
      <c r="AI125" s="27" t="s">
        <v>8</v>
      </c>
      <c r="AP125" s="27" t="s">
        <v>7</v>
      </c>
      <c r="AQ125" s="27" t="s">
        <v>8</v>
      </c>
    </row>
    <row r="126" spans="1:43" x14ac:dyDescent="0.25">
      <c r="A126" s="30">
        <v>0.6209213230591546</v>
      </c>
      <c r="C126" s="1" t="s">
        <v>10</v>
      </c>
      <c r="L126" s="27" t="s">
        <v>7</v>
      </c>
      <c r="M126" s="27" t="s">
        <v>8</v>
      </c>
      <c r="P126" s="27" t="s">
        <v>7</v>
      </c>
      <c r="Q126" s="27" t="s">
        <v>8</v>
      </c>
      <c r="R126" s="27" t="s">
        <v>7</v>
      </c>
      <c r="S126" s="27" t="s">
        <v>8</v>
      </c>
      <c r="T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H126" s="27" t="s">
        <v>7</v>
      </c>
      <c r="AI126" s="27" t="s">
        <v>8</v>
      </c>
      <c r="AP126" s="27" t="s">
        <v>7</v>
      </c>
      <c r="AQ126" s="27" t="s">
        <v>8</v>
      </c>
    </row>
    <row r="127" spans="1:43" x14ac:dyDescent="0.25">
      <c r="A127" s="30">
        <v>0.56447393005377677</v>
      </c>
      <c r="C127" s="30">
        <v>0.75131480090157732</v>
      </c>
      <c r="D127"/>
      <c r="L127" s="27" t="s">
        <v>7</v>
      </c>
      <c r="M127" s="27" t="s">
        <v>8</v>
      </c>
      <c r="P127" s="27" t="s">
        <v>7</v>
      </c>
      <c r="R127" s="27" t="s">
        <v>7</v>
      </c>
      <c r="S127" s="27" t="s">
        <v>8</v>
      </c>
      <c r="T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H127" s="27" t="s">
        <v>7</v>
      </c>
      <c r="AP127" s="27" t="s">
        <v>7</v>
      </c>
    </row>
    <row r="128" spans="1:43" x14ac:dyDescent="0.25">
      <c r="A128" s="30">
        <v>0.51315811823070612</v>
      </c>
      <c r="L128" s="27" t="s">
        <v>7</v>
      </c>
      <c r="M128" s="27" t="s">
        <v>8</v>
      </c>
      <c r="R128" s="27" t="s">
        <v>7</v>
      </c>
      <c r="T128" s="27" t="s">
        <v>7</v>
      </c>
      <c r="U128" s="27" t="s">
        <v>8</v>
      </c>
      <c r="W128" s="27" t="s">
        <v>8</v>
      </c>
      <c r="X128" s="27" t="s">
        <v>7</v>
      </c>
      <c r="Y128" s="27" t="s">
        <v>8</v>
      </c>
    </row>
    <row r="129" spans="1:25" x14ac:dyDescent="0.25">
      <c r="A129" s="30">
        <v>0.46650738020973276</v>
      </c>
      <c r="C129" s="1" t="s">
        <v>11</v>
      </c>
      <c r="D129" s="1" t="s">
        <v>12</v>
      </c>
      <c r="E129"/>
      <c r="L129" s="27" t="s">
        <v>7</v>
      </c>
      <c r="M129" s="27" t="s">
        <v>8</v>
      </c>
      <c r="T129" s="27" t="s">
        <v>7</v>
      </c>
      <c r="U129" s="27" t="s">
        <v>8</v>
      </c>
      <c r="V129" s="27" t="s">
        <v>7</v>
      </c>
      <c r="W129" s="27" t="s">
        <v>8</v>
      </c>
      <c r="X129" s="27" t="s">
        <v>7</v>
      </c>
      <c r="Y129" s="27" t="s">
        <v>8</v>
      </c>
    </row>
    <row r="130" spans="1:25" x14ac:dyDescent="0.25">
      <c r="A130" s="30">
        <v>0.42409761837248428</v>
      </c>
      <c r="C130" s="6"/>
      <c r="D130" s="6"/>
      <c r="E130"/>
      <c r="L130" s="27" t="s">
        <v>7</v>
      </c>
      <c r="M130" s="27" t="s">
        <v>8</v>
      </c>
      <c r="T130" s="27" t="s">
        <v>7</v>
      </c>
      <c r="U130" s="27" t="s">
        <v>8</v>
      </c>
      <c r="V130" s="27" t="s">
        <v>7</v>
      </c>
      <c r="W130" s="27" t="s">
        <v>8</v>
      </c>
      <c r="X130" s="18" t="s">
        <v>7</v>
      </c>
      <c r="Y130" s="27" t="s">
        <v>8</v>
      </c>
    </row>
    <row r="131" spans="1:25" x14ac:dyDescent="0.25">
      <c r="A131" s="30">
        <v>0.38554328942953109</v>
      </c>
      <c r="E131"/>
      <c r="L131" s="27" t="s">
        <v>7</v>
      </c>
      <c r="T131" s="27" t="s">
        <v>7</v>
      </c>
      <c r="U131" s="27" t="s">
        <v>8</v>
      </c>
      <c r="V131" s="27" t="s">
        <v>7</v>
      </c>
      <c r="X131" s="27" t="s">
        <v>7</v>
      </c>
    </row>
    <row r="132" spans="1:25" x14ac:dyDescent="0.25">
      <c r="A132" s="30">
        <v>0.35049389948139187</v>
      </c>
      <c r="C132" s="1" t="s">
        <v>13</v>
      </c>
      <c r="E132"/>
      <c r="T132" s="27" t="s">
        <v>7</v>
      </c>
      <c r="U132" s="27" t="s">
        <v>8</v>
      </c>
    </row>
    <row r="133" spans="1:25" x14ac:dyDescent="0.25">
      <c r="A133" s="30">
        <v>0.31863081771035617</v>
      </c>
      <c r="C133" s="1" t="str">
        <f>C122</f>
        <v>X</v>
      </c>
      <c r="E133"/>
      <c r="T133" s="27" t="s">
        <v>7</v>
      </c>
      <c r="U133" s="27" t="s">
        <v>8</v>
      </c>
    </row>
    <row r="134" spans="1:25" x14ac:dyDescent="0.25">
      <c r="A134" s="30">
        <v>0.28966437973668741</v>
      </c>
      <c r="C134"/>
      <c r="D134"/>
      <c r="E134"/>
      <c r="T134" s="27" t="s">
        <v>7</v>
      </c>
    </row>
    <row r="135" spans="1:25" x14ac:dyDescent="0.25">
      <c r="A135" s="30">
        <v>0.2633312543060794</v>
      </c>
      <c r="C135" s="1" t="s">
        <v>14</v>
      </c>
      <c r="E135"/>
    </row>
    <row r="136" spans="1:2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25" x14ac:dyDescent="0.25">
      <c r="A137" s="30">
        <v>0.2176291357901482</v>
      </c>
      <c r="E137"/>
    </row>
    <row r="138" spans="1:2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25" x14ac:dyDescent="0.25">
      <c r="A139" s="30">
        <v>0.17985878990921333</v>
      </c>
      <c r="E139"/>
    </row>
    <row r="140" spans="1:25" x14ac:dyDescent="0.25">
      <c r="A140" s="30">
        <v>0.16350799082655756</v>
      </c>
      <c r="C140" s="1">
        <v>0</v>
      </c>
      <c r="E140"/>
    </row>
    <row r="141" spans="1:25" x14ac:dyDescent="0.25">
      <c r="A141" s="30">
        <v>0.14864362802414322</v>
      </c>
      <c r="C141" s="1">
        <v>1</v>
      </c>
      <c r="E141"/>
    </row>
    <row r="142" spans="1:25" x14ac:dyDescent="0.25">
      <c r="A142" s="30">
        <v>0.13513057093103928</v>
      </c>
      <c r="C142" s="1">
        <v>2</v>
      </c>
      <c r="E142"/>
    </row>
    <row r="143" spans="1:25" x14ac:dyDescent="0.25">
      <c r="A143" s="30">
        <v>0.12284597357367205</v>
      </c>
      <c r="C143" s="1">
        <v>3</v>
      </c>
      <c r="E143"/>
    </row>
    <row r="144" spans="1:2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13" operator="equal">
      <formula>$U$1</formula>
    </cfRule>
    <cfRule type="cellIs" dxfId="30" priority="714" operator="equal">
      <formula>$S$1</formula>
    </cfRule>
  </conditionalFormatting>
  <conditionalFormatting sqref="D136">
    <cfRule type="cellIs" dxfId="29" priority="711" operator="equal">
      <formula>$S$1</formula>
    </cfRule>
    <cfRule type="cellIs" dxfId="28" priority="712" operator="equal">
      <formula>$U$1</formula>
    </cfRule>
  </conditionalFormatting>
  <conditionalFormatting sqref="C102">
    <cfRule type="cellIs" dxfId="27" priority="709" operator="equal">
      <formula>$U$1</formula>
    </cfRule>
    <cfRule type="cellIs" dxfId="26" priority="710" operator="equal">
      <formula>$S$1</formula>
    </cfRule>
  </conditionalFormatting>
  <conditionalFormatting sqref="D102">
    <cfRule type="cellIs" dxfId="25" priority="707" operator="equal">
      <formula>$S$1</formula>
    </cfRule>
    <cfRule type="cellIs" dxfId="24" priority="708" operator="equal">
      <formula>$U$1</formula>
    </cfRule>
  </conditionalFormatting>
  <conditionalFormatting sqref="C77">
    <cfRule type="cellIs" dxfId="23" priority="705" operator="equal">
      <formula>$U$1</formula>
    </cfRule>
    <cfRule type="cellIs" dxfId="22" priority="706" operator="equal">
      <formula>$S$1</formula>
    </cfRule>
  </conditionalFormatting>
  <conditionalFormatting sqref="D77">
    <cfRule type="cellIs" dxfId="21" priority="703" operator="equal">
      <formula>$S$1</formula>
    </cfRule>
    <cfRule type="cellIs" dxfId="20" priority="704" operator="equal">
      <formula>$U$1</formula>
    </cfRule>
  </conditionalFormatting>
  <conditionalFormatting sqref="C52">
    <cfRule type="cellIs" dxfId="19" priority="701" operator="equal">
      <formula>$U$1</formula>
    </cfRule>
    <cfRule type="cellIs" dxfId="18" priority="702" operator="equal">
      <formula>$S$1</formula>
    </cfRule>
  </conditionalFormatting>
  <conditionalFormatting sqref="D52">
    <cfRule type="cellIs" dxfId="17" priority="699" operator="equal">
      <formula>$S$1</formula>
    </cfRule>
    <cfRule type="cellIs" dxfId="16" priority="700" operator="equal">
      <formula>$U$1</formula>
    </cfRule>
  </conditionalFormatting>
  <conditionalFormatting sqref="C26">
    <cfRule type="cellIs" dxfId="15" priority="697" operator="equal">
      <formula>$U$1</formula>
    </cfRule>
    <cfRule type="cellIs" dxfId="14" priority="698" operator="equal">
      <formula>$S$1</formula>
    </cfRule>
  </conditionalFormatting>
  <conditionalFormatting sqref="D26">
    <cfRule type="cellIs" dxfId="13" priority="695" operator="equal">
      <formula>$S$1</formula>
    </cfRule>
    <cfRule type="cellIs" dxfId="12" priority="69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2022-01-28T01:21:44Z</dcterms:modified>
</cp:coreProperties>
</file>