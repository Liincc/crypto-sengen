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65010F1-A4C7-42A2-B7D0-ECBDDB72F7A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96" i="1"/>
  <c r="Q296" i="1" s="1"/>
  <c r="R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 s="1"/>
  <c r="P315" i="1"/>
  <c r="Q315" i="1" s="1"/>
  <c r="P316" i="1"/>
  <c r="Q316" i="1" s="1"/>
  <c r="P317" i="1"/>
  <c r="Q317" i="1" s="1"/>
  <c r="P318" i="1"/>
  <c r="Q318" i="1" s="1"/>
  <c r="P319" i="1"/>
  <c r="Q319" i="1" s="1"/>
  <c r="P320" i="1"/>
  <c r="Q320" i="1" s="1"/>
  <c r="P321" i="1"/>
  <c r="Q321" i="1" s="1"/>
  <c r="P322" i="1"/>
  <c r="Q322" i="1" s="1"/>
  <c r="P323" i="1"/>
  <c r="Q323" i="1" s="1"/>
  <c r="P324" i="1"/>
  <c r="Q324" i="1" s="1"/>
  <c r="P325" i="1"/>
  <c r="Q325" i="1" s="1"/>
  <c r="P326" i="1"/>
  <c r="Q326" i="1" s="1"/>
  <c r="P327" i="1"/>
  <c r="Q327" i="1" s="1"/>
  <c r="P328" i="1"/>
  <c r="Q328" i="1" s="1"/>
  <c r="P329" i="1"/>
  <c r="Q329" i="1" s="1"/>
  <c r="P330" i="1"/>
  <c r="Q330" i="1" s="1"/>
  <c r="P331" i="1"/>
  <c r="Q331" i="1" s="1"/>
  <c r="P332" i="1"/>
  <c r="Q332" i="1" s="1"/>
  <c r="P333" i="1"/>
  <c r="Q333" i="1" s="1"/>
  <c r="P334" i="1"/>
  <c r="Q334" i="1" s="1"/>
  <c r="P335" i="1"/>
  <c r="Q335" i="1" s="1"/>
  <c r="P336" i="1"/>
  <c r="Q336" i="1" s="1"/>
  <c r="P337" i="1"/>
  <c r="Q337" i="1" s="1"/>
  <c r="P338" i="1"/>
  <c r="Q338" i="1" s="1"/>
  <c r="P339" i="1"/>
  <c r="Q339" i="1" s="1"/>
  <c r="P340" i="1"/>
  <c r="Q340" i="1" s="1"/>
  <c r="P341" i="1"/>
  <c r="Q341" i="1" s="1"/>
  <c r="P342" i="1"/>
  <c r="Q342" i="1" s="1"/>
  <c r="P343" i="1"/>
  <c r="Q343" i="1" s="1"/>
  <c r="P344" i="1"/>
  <c r="Q344" i="1" s="1"/>
  <c r="P345" i="1"/>
  <c r="Q345" i="1" s="1"/>
  <c r="P346" i="1"/>
  <c r="Q346" i="1" s="1"/>
  <c r="P347" i="1"/>
  <c r="Q347" i="1" s="1"/>
  <c r="P348" i="1"/>
  <c r="Q348" i="1" s="1"/>
  <c r="P349" i="1"/>
  <c r="Q349" i="1" s="1"/>
  <c r="P350" i="1"/>
  <c r="Q350" i="1" s="1"/>
  <c r="P351" i="1"/>
  <c r="Q351" i="1" s="1"/>
  <c r="P352" i="1"/>
  <c r="Q352" i="1" s="1"/>
  <c r="P353" i="1"/>
  <c r="Q353" i="1" s="1"/>
  <c r="P354" i="1"/>
  <c r="Q354" i="1" s="1"/>
  <c r="P355" i="1"/>
  <c r="Q355" i="1" s="1"/>
  <c r="P356" i="1"/>
  <c r="Q356" i="1" s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 s="1"/>
  <c r="P363" i="1"/>
  <c r="Q363" i="1" s="1"/>
  <c r="P364" i="1"/>
  <c r="Q364" i="1" s="1"/>
  <c r="P365" i="1"/>
  <c r="Q365" i="1" s="1"/>
  <c r="P366" i="1"/>
  <c r="Q366" i="1" s="1"/>
  <c r="P367" i="1"/>
  <c r="Q367" i="1" s="1"/>
  <c r="P368" i="1"/>
  <c r="Q368" i="1" s="1"/>
  <c r="P369" i="1"/>
  <c r="Q369" i="1" s="1"/>
  <c r="P370" i="1"/>
  <c r="Q370" i="1" s="1"/>
  <c r="P371" i="1"/>
  <c r="Q371" i="1" s="1"/>
  <c r="P372" i="1"/>
  <c r="Q372" i="1" s="1"/>
  <c r="P373" i="1"/>
  <c r="Q373" i="1" s="1"/>
  <c r="P374" i="1"/>
  <c r="Q374" i="1" s="1"/>
  <c r="P375" i="1"/>
  <c r="Q375" i="1" s="1"/>
  <c r="P376" i="1"/>
  <c r="Q376" i="1" s="1"/>
  <c r="P377" i="1"/>
  <c r="Q377" i="1" s="1"/>
  <c r="P378" i="1"/>
  <c r="Q378" i="1" s="1"/>
  <c r="P379" i="1"/>
  <c r="Q379" i="1" s="1"/>
  <c r="P380" i="1"/>
  <c r="Q380" i="1" s="1"/>
  <c r="P381" i="1"/>
  <c r="Q381" i="1" s="1"/>
  <c r="P382" i="1"/>
  <c r="Q382" i="1" s="1"/>
  <c r="P383" i="1"/>
  <c r="Q383" i="1" s="1"/>
  <c r="P384" i="1"/>
  <c r="Q384" i="1" s="1"/>
  <c r="P385" i="1"/>
  <c r="Q385" i="1" s="1"/>
  <c r="P386" i="1"/>
  <c r="Q386" i="1" s="1"/>
  <c r="P387" i="1"/>
  <c r="Q387" i="1" s="1"/>
  <c r="P388" i="1"/>
  <c r="Q388" i="1" s="1"/>
  <c r="P389" i="1"/>
  <c r="Q389" i="1" s="1"/>
  <c r="P390" i="1"/>
  <c r="Q390" i="1" s="1"/>
  <c r="P391" i="1"/>
  <c r="Q391" i="1" s="1"/>
  <c r="P392" i="1"/>
  <c r="Q392" i="1" s="1"/>
  <c r="P393" i="1"/>
  <c r="Q393" i="1" s="1"/>
  <c r="P394" i="1"/>
  <c r="Q394" i="1" s="1"/>
  <c r="P395" i="1"/>
  <c r="Q395" i="1" s="1"/>
  <c r="P396" i="1"/>
  <c r="Q396" i="1" s="1"/>
  <c r="P397" i="1"/>
  <c r="Q397" i="1" s="1"/>
  <c r="P398" i="1"/>
  <c r="Q398" i="1" s="1"/>
  <c r="P399" i="1"/>
  <c r="Q399" i="1" s="1"/>
  <c r="P400" i="1"/>
  <c r="Q400" i="1" s="1"/>
  <c r="P401" i="1"/>
  <c r="Q401" i="1" s="1"/>
  <c r="P402" i="1"/>
  <c r="Q402" i="1" s="1"/>
  <c r="P403" i="1"/>
  <c r="Q403" i="1" s="1"/>
  <c r="P404" i="1"/>
  <c r="Q404" i="1" s="1"/>
  <c r="P405" i="1"/>
  <c r="Q405" i="1" s="1"/>
  <c r="P406" i="1"/>
  <c r="Q406" i="1" s="1"/>
  <c r="P407" i="1"/>
  <c r="Q407" i="1" s="1"/>
  <c r="P408" i="1"/>
  <c r="Q408" i="1" s="1"/>
  <c r="P409" i="1"/>
  <c r="Q409" i="1" s="1"/>
  <c r="P410" i="1"/>
  <c r="Q410" i="1" s="1"/>
  <c r="P411" i="1"/>
  <c r="Q411" i="1" s="1"/>
  <c r="P412" i="1"/>
  <c r="Q412" i="1" s="1"/>
  <c r="P413" i="1"/>
  <c r="Q413" i="1" s="1"/>
  <c r="P414" i="1"/>
  <c r="Q414" i="1" s="1"/>
  <c r="P415" i="1"/>
  <c r="Q415" i="1" s="1"/>
  <c r="P416" i="1"/>
  <c r="Q416" i="1" s="1"/>
  <c r="P417" i="1"/>
  <c r="Q417" i="1" s="1"/>
  <c r="P418" i="1"/>
  <c r="Q418" i="1" s="1"/>
  <c r="P419" i="1"/>
  <c r="Q419" i="1" s="1"/>
  <c r="P420" i="1"/>
  <c r="Q420" i="1" s="1"/>
  <c r="P421" i="1"/>
  <c r="Q421" i="1" s="1"/>
  <c r="P422" i="1"/>
  <c r="Q422" i="1" s="1"/>
  <c r="P423" i="1"/>
  <c r="Q423" i="1" s="1"/>
  <c r="P424" i="1"/>
  <c r="Q424" i="1" s="1"/>
  <c r="P425" i="1"/>
  <c r="Q425" i="1" s="1"/>
  <c r="P426" i="1"/>
  <c r="Q426" i="1" s="1"/>
  <c r="P427" i="1"/>
  <c r="Q427" i="1" s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 s="1"/>
  <c r="P435" i="1"/>
  <c r="Q435" i="1" s="1"/>
  <c r="P436" i="1"/>
  <c r="Q436" i="1" s="1"/>
  <c r="P437" i="1"/>
  <c r="Q437" i="1" s="1"/>
  <c r="P438" i="1"/>
  <c r="Q438" i="1" s="1"/>
  <c r="P439" i="1"/>
  <c r="Q439" i="1" s="1"/>
  <c r="P440" i="1"/>
  <c r="Q440" i="1" s="1"/>
  <c r="P441" i="1"/>
  <c r="Q441" i="1" s="1"/>
  <c r="P442" i="1"/>
  <c r="Q442" i="1" s="1"/>
  <c r="P443" i="1"/>
  <c r="Q443" i="1" s="1"/>
  <c r="P444" i="1"/>
  <c r="Q444" i="1" s="1"/>
  <c r="P445" i="1"/>
  <c r="Q445" i="1" s="1"/>
  <c r="P446" i="1"/>
  <c r="Q446" i="1" s="1"/>
  <c r="P447" i="1"/>
  <c r="Q447" i="1" s="1"/>
  <c r="P448" i="1"/>
  <c r="Q448" i="1" s="1"/>
  <c r="P449" i="1"/>
  <c r="Q449" i="1" s="1"/>
  <c r="P450" i="1"/>
  <c r="Q450" i="1" s="1"/>
  <c r="P451" i="1"/>
  <c r="Q451" i="1" s="1"/>
  <c r="P452" i="1"/>
  <c r="Q452" i="1" s="1"/>
  <c r="P453" i="1"/>
  <c r="Q453" i="1" s="1"/>
  <c r="P454" i="1"/>
  <c r="Q454" i="1" s="1"/>
  <c r="P455" i="1"/>
  <c r="Q455" i="1" s="1"/>
  <c r="P456" i="1"/>
  <c r="Q456" i="1" s="1"/>
  <c r="P457" i="1"/>
  <c r="Q457" i="1" s="1"/>
  <c r="P458" i="1"/>
  <c r="Q458" i="1" s="1"/>
  <c r="P459" i="1"/>
  <c r="Q459" i="1" s="1"/>
  <c r="P460" i="1"/>
  <c r="Q460" i="1" s="1"/>
  <c r="P461" i="1"/>
  <c r="Q461" i="1" s="1"/>
  <c r="P462" i="1"/>
  <c r="Q462" i="1" s="1"/>
  <c r="P463" i="1"/>
  <c r="Q463" i="1" s="1"/>
  <c r="P464" i="1"/>
  <c r="Q464" i="1" s="1"/>
  <c r="P465" i="1"/>
  <c r="Q465" i="1" s="1"/>
  <c r="P466" i="1"/>
  <c r="Q466" i="1" s="1"/>
  <c r="P467" i="1"/>
  <c r="Q467" i="1" s="1"/>
  <c r="P468" i="1"/>
  <c r="Q468" i="1" s="1"/>
  <c r="P469" i="1"/>
  <c r="Q469" i="1" s="1"/>
  <c r="P470" i="1"/>
  <c r="Q470" i="1" s="1"/>
  <c r="P471" i="1"/>
  <c r="Q471" i="1" s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 s="1"/>
  <c r="P479" i="1"/>
  <c r="Q479" i="1" s="1"/>
  <c r="P480" i="1"/>
  <c r="Q480" i="1" s="1"/>
  <c r="P481" i="1"/>
  <c r="Q481" i="1" s="1"/>
  <c r="P482" i="1"/>
  <c r="Q482" i="1" s="1"/>
  <c r="P483" i="1"/>
  <c r="Q483" i="1" s="1"/>
  <c r="P484" i="1"/>
  <c r="Q484" i="1" s="1"/>
  <c r="P485" i="1"/>
  <c r="Q485" i="1" s="1"/>
  <c r="P486" i="1"/>
  <c r="Q486" i="1" s="1"/>
  <c r="P487" i="1"/>
  <c r="Q487" i="1" s="1"/>
  <c r="P488" i="1"/>
  <c r="Q488" i="1" s="1"/>
  <c r="P489" i="1"/>
  <c r="Q489" i="1" s="1"/>
  <c r="P490" i="1"/>
  <c r="Q490" i="1" s="1"/>
  <c r="P491" i="1"/>
  <c r="Q491" i="1" s="1"/>
  <c r="P492" i="1"/>
  <c r="Q492" i="1" s="1"/>
  <c r="P493" i="1"/>
  <c r="Q493" i="1" s="1"/>
  <c r="P494" i="1"/>
  <c r="Q494" i="1" s="1"/>
  <c r="P495" i="1"/>
  <c r="Q495" i="1" s="1"/>
  <c r="P496" i="1"/>
  <c r="Q496" i="1" s="1"/>
  <c r="P497" i="1"/>
  <c r="Q497" i="1" s="1"/>
  <c r="P498" i="1"/>
  <c r="Q498" i="1" s="1"/>
  <c r="P499" i="1"/>
  <c r="Q499" i="1" s="1"/>
  <c r="P500" i="1"/>
  <c r="Q500" i="1" s="1"/>
  <c r="P501" i="1"/>
  <c r="Q501" i="1" s="1"/>
  <c r="P502" i="1"/>
  <c r="Q502" i="1" s="1"/>
  <c r="P503" i="1"/>
  <c r="Q503" i="1" s="1"/>
  <c r="P504" i="1"/>
  <c r="Q504" i="1" s="1"/>
  <c r="P505" i="1"/>
  <c r="Q505" i="1" s="1"/>
  <c r="P506" i="1"/>
  <c r="Q506" i="1" s="1"/>
  <c r="P507" i="1"/>
  <c r="Q507" i="1" s="1"/>
  <c r="P508" i="1"/>
  <c r="Q508" i="1" s="1"/>
  <c r="P509" i="1"/>
  <c r="Q509" i="1" s="1"/>
  <c r="P510" i="1"/>
  <c r="Q510" i="1" s="1"/>
  <c r="P511" i="1"/>
  <c r="Q511" i="1" s="1"/>
  <c r="P512" i="1"/>
  <c r="Q512" i="1" s="1"/>
  <c r="P513" i="1"/>
  <c r="Q513" i="1" s="1"/>
  <c r="P514" i="1"/>
  <c r="Q514" i="1" s="1"/>
  <c r="P515" i="1"/>
  <c r="Q515" i="1" s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 s="1"/>
  <c r="P522" i="1"/>
  <c r="Q522" i="1" s="1"/>
  <c r="P523" i="1"/>
  <c r="Q523" i="1" s="1"/>
  <c r="P524" i="1"/>
  <c r="Q524" i="1" s="1"/>
  <c r="P525" i="1"/>
  <c r="Q525" i="1" s="1"/>
  <c r="P526" i="1"/>
  <c r="Q526" i="1" s="1"/>
  <c r="P527" i="1"/>
  <c r="Q527" i="1" s="1"/>
  <c r="P528" i="1"/>
  <c r="Q528" i="1" s="1"/>
  <c r="P529" i="1"/>
  <c r="Q529" i="1" s="1"/>
  <c r="P530" i="1"/>
  <c r="Q530" i="1" s="1"/>
  <c r="P531" i="1"/>
  <c r="Q531" i="1" s="1"/>
  <c r="P532" i="1"/>
  <c r="Q532" i="1" s="1"/>
  <c r="P533" i="1"/>
  <c r="Q533" i="1" s="1"/>
  <c r="P534" i="1"/>
  <c r="Q534" i="1" s="1"/>
  <c r="P535" i="1"/>
  <c r="Q535" i="1" s="1"/>
  <c r="P536" i="1"/>
  <c r="Q536" i="1" s="1"/>
  <c r="P537" i="1"/>
  <c r="Q537" i="1" s="1"/>
  <c r="P538" i="1"/>
  <c r="Q538" i="1" s="1"/>
  <c r="P539" i="1"/>
  <c r="Q539" i="1" s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 s="1"/>
  <c r="P546" i="1"/>
  <c r="Q546" i="1" s="1"/>
  <c r="P547" i="1"/>
  <c r="Q547" i="1" s="1"/>
  <c r="P548" i="1"/>
  <c r="Q548" i="1" s="1"/>
  <c r="P549" i="1"/>
  <c r="Q549" i="1" s="1"/>
  <c r="P550" i="1"/>
  <c r="Q550" i="1" s="1"/>
  <c r="P551" i="1"/>
  <c r="Q551" i="1" s="1"/>
  <c r="P552" i="1"/>
  <c r="Q552" i="1" s="1"/>
  <c r="P553" i="1"/>
  <c r="Q553" i="1" s="1"/>
  <c r="P554" i="1"/>
  <c r="Q554" i="1" s="1"/>
  <c r="P555" i="1"/>
  <c r="Q555" i="1" s="1"/>
  <c r="P556" i="1"/>
  <c r="Q556" i="1" s="1"/>
  <c r="P557" i="1"/>
  <c r="Q557" i="1" s="1"/>
  <c r="P558" i="1"/>
  <c r="Q558" i="1" s="1"/>
  <c r="P559" i="1"/>
  <c r="Q559" i="1" s="1"/>
  <c r="P560" i="1"/>
  <c r="Q560" i="1" s="1"/>
  <c r="P561" i="1"/>
  <c r="Q561" i="1" s="1"/>
  <c r="P562" i="1"/>
  <c r="Q562" i="1" s="1"/>
  <c r="P563" i="1"/>
  <c r="Q563" i="1" s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 s="1"/>
  <c r="P570" i="1"/>
  <c r="Q570" i="1" s="1"/>
  <c r="P571" i="1"/>
  <c r="Q571" i="1" s="1"/>
  <c r="P572" i="1"/>
  <c r="Q572" i="1" s="1"/>
  <c r="P573" i="1"/>
  <c r="Q573" i="1" s="1"/>
  <c r="P574" i="1"/>
  <c r="Q574" i="1" s="1"/>
  <c r="P575" i="1"/>
  <c r="Q575" i="1" s="1"/>
  <c r="P576" i="1"/>
  <c r="Q576" i="1" s="1"/>
  <c r="P577" i="1"/>
  <c r="Q577" i="1" s="1"/>
  <c r="P578" i="1"/>
  <c r="Q578" i="1" s="1"/>
  <c r="P579" i="1"/>
  <c r="Q579" i="1" s="1"/>
  <c r="P580" i="1"/>
  <c r="Q580" i="1" s="1"/>
  <c r="P581" i="1"/>
  <c r="Q581" i="1" s="1"/>
  <c r="P582" i="1"/>
  <c r="Q582" i="1" s="1"/>
  <c r="P583" i="1"/>
  <c r="Q583" i="1" s="1"/>
  <c r="P584" i="1"/>
  <c r="Q584" i="1" s="1"/>
  <c r="P585" i="1"/>
  <c r="Q585" i="1" s="1"/>
  <c r="P586" i="1"/>
  <c r="Q586" i="1" s="1"/>
  <c r="P587" i="1"/>
  <c r="Q587" i="1" s="1"/>
  <c r="P588" i="1"/>
  <c r="Q588" i="1" s="1"/>
  <c r="P589" i="1"/>
  <c r="Q589" i="1" s="1"/>
  <c r="P590" i="1"/>
  <c r="Q590" i="1" s="1"/>
  <c r="P591" i="1"/>
  <c r="Q591" i="1" s="1"/>
  <c r="P592" i="1"/>
  <c r="Q592" i="1" s="1"/>
  <c r="P593" i="1"/>
  <c r="Q593" i="1" s="1"/>
  <c r="P594" i="1"/>
  <c r="Q594" i="1" s="1"/>
  <c r="P595" i="1"/>
  <c r="Q595" i="1" s="1"/>
  <c r="P596" i="1"/>
  <c r="Q596" i="1" s="1"/>
  <c r="P597" i="1"/>
  <c r="Q597" i="1" s="1"/>
  <c r="P598" i="1"/>
  <c r="Q598" i="1" s="1"/>
  <c r="P599" i="1"/>
  <c r="Q599" i="1" s="1"/>
  <c r="P600" i="1"/>
  <c r="Q600" i="1" s="1"/>
  <c r="P601" i="1"/>
  <c r="Q601" i="1" s="1"/>
  <c r="P602" i="1"/>
  <c r="Q602" i="1" s="1"/>
  <c r="P603" i="1"/>
  <c r="Q603" i="1" s="1"/>
  <c r="P604" i="1"/>
  <c r="Q604" i="1" s="1"/>
  <c r="P605" i="1"/>
  <c r="Q605" i="1" s="1"/>
  <c r="P606" i="1"/>
  <c r="Q606" i="1" s="1"/>
  <c r="P607" i="1"/>
  <c r="Q607" i="1" s="1"/>
  <c r="P608" i="1"/>
  <c r="Q608" i="1" s="1"/>
  <c r="P609" i="1"/>
  <c r="Q609" i="1" s="1"/>
  <c r="P610" i="1"/>
  <c r="Q610" i="1" s="1"/>
  <c r="P611" i="1"/>
  <c r="Q611" i="1" s="1"/>
  <c r="P612" i="1"/>
  <c r="Q612" i="1" s="1"/>
  <c r="P613" i="1"/>
  <c r="Q613" i="1" s="1"/>
  <c r="P614" i="1"/>
  <c r="Q614" i="1" s="1"/>
  <c r="P615" i="1"/>
  <c r="Q615" i="1" s="1"/>
  <c r="P616" i="1"/>
  <c r="Q616" i="1" s="1"/>
  <c r="P617" i="1"/>
  <c r="Q617" i="1" s="1"/>
  <c r="P618" i="1"/>
  <c r="Q618" i="1" s="1"/>
  <c r="P619" i="1"/>
  <c r="Q619" i="1" s="1"/>
  <c r="P620" i="1"/>
  <c r="Q620" i="1" s="1"/>
  <c r="P621" i="1"/>
  <c r="Q621" i="1" s="1"/>
  <c r="P622" i="1"/>
  <c r="Q622" i="1" s="1"/>
  <c r="P623" i="1"/>
  <c r="Q623" i="1" s="1"/>
  <c r="P624" i="1"/>
  <c r="Q624" i="1" s="1"/>
  <c r="P625" i="1"/>
  <c r="Q625" i="1" s="1"/>
  <c r="P626" i="1"/>
  <c r="Q626" i="1" s="1"/>
  <c r="P627" i="1"/>
  <c r="Q627" i="1" s="1"/>
  <c r="P628" i="1"/>
  <c r="Q628" i="1" s="1"/>
  <c r="P629" i="1"/>
  <c r="Q629" i="1" s="1"/>
  <c r="P630" i="1"/>
  <c r="Q630" i="1" s="1"/>
  <c r="P631" i="1"/>
  <c r="Q631" i="1" s="1"/>
  <c r="P632" i="1"/>
  <c r="Q632" i="1" s="1"/>
  <c r="P633" i="1"/>
  <c r="Q633" i="1" s="1"/>
  <c r="P634" i="1"/>
  <c r="Q634" i="1" s="1"/>
  <c r="P635" i="1"/>
  <c r="Q635" i="1" s="1"/>
  <c r="P636" i="1"/>
  <c r="Q636" i="1" s="1"/>
  <c r="P637" i="1"/>
  <c r="Q637" i="1" s="1"/>
  <c r="P638" i="1"/>
  <c r="Q638" i="1" s="1"/>
  <c r="P639" i="1"/>
  <c r="Q639" i="1" s="1"/>
  <c r="P640" i="1"/>
  <c r="Q640" i="1" s="1"/>
  <c r="P641" i="1"/>
  <c r="Q641" i="1" s="1"/>
  <c r="P642" i="1"/>
  <c r="Q642" i="1" s="1"/>
  <c r="P643" i="1"/>
  <c r="Q643" i="1" s="1"/>
  <c r="P644" i="1"/>
  <c r="Q644" i="1" s="1"/>
  <c r="P645" i="1"/>
  <c r="Q645" i="1" s="1"/>
  <c r="P646" i="1"/>
  <c r="Q646" i="1" s="1"/>
  <c r="P647" i="1"/>
  <c r="Q647" i="1" s="1"/>
  <c r="P648" i="1"/>
  <c r="Q648" i="1" s="1"/>
  <c r="P649" i="1"/>
  <c r="Q649" i="1" s="1"/>
  <c r="P650" i="1"/>
  <c r="Q650" i="1" s="1"/>
  <c r="P651" i="1"/>
  <c r="Q651" i="1" s="1"/>
  <c r="P652" i="1"/>
  <c r="Q652" i="1" s="1"/>
  <c r="P653" i="1"/>
  <c r="Q653" i="1" s="1"/>
  <c r="P654" i="1"/>
  <c r="Q654" i="1" s="1"/>
  <c r="P655" i="1"/>
  <c r="Q655" i="1" s="1"/>
  <c r="P656" i="1"/>
  <c r="Q656" i="1" s="1"/>
  <c r="P657" i="1"/>
  <c r="Q657" i="1" s="1"/>
  <c r="P658" i="1"/>
  <c r="Q658" i="1" s="1"/>
  <c r="P659" i="1"/>
  <c r="Q659" i="1" s="1"/>
  <c r="P660" i="1"/>
  <c r="Q660" i="1" s="1"/>
  <c r="P661" i="1"/>
  <c r="Q661" i="1" s="1"/>
  <c r="P662" i="1"/>
  <c r="Q662" i="1" s="1"/>
  <c r="P663" i="1"/>
  <c r="Q663" i="1" s="1"/>
  <c r="P664" i="1"/>
  <c r="Q664" i="1" s="1"/>
  <c r="P665" i="1"/>
  <c r="Q665" i="1" s="1"/>
  <c r="P666" i="1"/>
  <c r="Q666" i="1" s="1"/>
  <c r="P667" i="1"/>
  <c r="Q667" i="1" s="1"/>
  <c r="P668" i="1"/>
  <c r="Q668" i="1" s="1"/>
  <c r="P669" i="1"/>
  <c r="Q669" i="1" s="1"/>
  <c r="P670" i="1"/>
  <c r="Q670" i="1" s="1"/>
  <c r="P671" i="1"/>
  <c r="Q671" i="1" s="1"/>
  <c r="P672" i="1"/>
  <c r="Q672" i="1" s="1"/>
  <c r="P673" i="1"/>
  <c r="Q673" i="1" s="1"/>
  <c r="P674" i="1"/>
  <c r="Q674" i="1" s="1"/>
  <c r="P675" i="1"/>
  <c r="Q675" i="1" s="1"/>
  <c r="P676" i="1"/>
  <c r="Q676" i="1" s="1"/>
  <c r="P677" i="1"/>
  <c r="Q677" i="1" s="1"/>
  <c r="P678" i="1"/>
  <c r="Q678" i="1" s="1"/>
  <c r="P679" i="1"/>
  <c r="Q679" i="1" s="1"/>
  <c r="P680" i="1"/>
  <c r="Q680" i="1" s="1"/>
  <c r="P681" i="1"/>
  <c r="Q681" i="1" s="1"/>
  <c r="P682" i="1"/>
  <c r="Q682" i="1" s="1"/>
  <c r="P683" i="1"/>
  <c r="Q683" i="1" s="1"/>
  <c r="P684" i="1"/>
  <c r="Q684" i="1" s="1"/>
  <c r="P685" i="1"/>
  <c r="Q685" i="1" s="1"/>
  <c r="P686" i="1"/>
  <c r="Q686" i="1" s="1"/>
  <c r="P687" i="1"/>
  <c r="Q687" i="1" s="1"/>
  <c r="P688" i="1"/>
  <c r="Q688" i="1" s="1"/>
  <c r="P689" i="1"/>
  <c r="Q689" i="1" s="1"/>
  <c r="P690" i="1"/>
  <c r="Q690" i="1" s="1"/>
  <c r="P691" i="1"/>
  <c r="Q691" i="1" s="1"/>
  <c r="P692" i="1"/>
  <c r="Q692" i="1" s="1"/>
  <c r="P693" i="1"/>
  <c r="Q693" i="1" s="1"/>
  <c r="P694" i="1"/>
  <c r="Q694" i="1" s="1"/>
  <c r="P695" i="1"/>
  <c r="Q695" i="1" s="1"/>
  <c r="P696" i="1"/>
  <c r="Q696" i="1" s="1"/>
  <c r="P697" i="1"/>
  <c r="Q697" i="1" s="1"/>
  <c r="P698" i="1"/>
  <c r="Q698" i="1" s="1"/>
  <c r="P699" i="1"/>
  <c r="Q699" i="1" s="1"/>
  <c r="P700" i="1"/>
  <c r="Q700" i="1" s="1"/>
  <c r="P701" i="1"/>
  <c r="Q701" i="1" s="1"/>
  <c r="P702" i="1"/>
  <c r="Q702" i="1" s="1"/>
  <c r="P703" i="1"/>
  <c r="Q703" i="1" s="1"/>
  <c r="P704" i="1"/>
  <c r="Q704" i="1" s="1"/>
  <c r="P705" i="1"/>
  <c r="Q705" i="1" s="1"/>
  <c r="P706" i="1"/>
  <c r="Q706" i="1" s="1"/>
  <c r="P707" i="1"/>
  <c r="Q707" i="1" s="1"/>
  <c r="P708" i="1"/>
  <c r="Q708" i="1" s="1"/>
  <c r="P709" i="1"/>
  <c r="Q709" i="1" s="1"/>
  <c r="P710" i="1"/>
  <c r="Q710" i="1" s="1"/>
  <c r="P711" i="1"/>
  <c r="Q711" i="1" s="1"/>
  <c r="P712" i="1"/>
  <c r="Q712" i="1" s="1"/>
  <c r="P713" i="1"/>
  <c r="Q713" i="1" s="1"/>
  <c r="P714" i="1"/>
  <c r="Q714" i="1" s="1"/>
  <c r="P715" i="1"/>
  <c r="Q715" i="1" s="1"/>
  <c r="P716" i="1"/>
  <c r="Q716" i="1" s="1"/>
  <c r="P717" i="1"/>
  <c r="Q717" i="1" s="1"/>
  <c r="P718" i="1"/>
  <c r="Q718" i="1" s="1"/>
  <c r="P719" i="1"/>
  <c r="Q719" i="1" s="1"/>
  <c r="P720" i="1"/>
  <c r="Q720" i="1" s="1"/>
  <c r="P721" i="1"/>
  <c r="Q721" i="1" s="1"/>
  <c r="P722" i="1"/>
  <c r="Q722" i="1" s="1"/>
  <c r="P723" i="1"/>
  <c r="Q723" i="1" s="1"/>
  <c r="P724" i="1"/>
  <c r="Q724" i="1" s="1"/>
  <c r="P725" i="1"/>
  <c r="Q725" i="1" s="1"/>
  <c r="P726" i="1"/>
  <c r="Q726" i="1" s="1"/>
  <c r="P727" i="1"/>
  <c r="Q727" i="1" s="1"/>
  <c r="P728" i="1"/>
  <c r="Q728" i="1" s="1"/>
  <c r="P729" i="1"/>
  <c r="Q729" i="1" s="1"/>
  <c r="P730" i="1"/>
  <c r="Q730" i="1" s="1"/>
  <c r="P731" i="1"/>
  <c r="Q731" i="1" s="1"/>
  <c r="P732" i="1"/>
  <c r="Q732" i="1" s="1"/>
  <c r="P733" i="1"/>
  <c r="Q733" i="1" s="1"/>
  <c r="P734" i="1"/>
  <c r="Q734" i="1" s="1"/>
  <c r="P735" i="1"/>
  <c r="Q735" i="1" s="1"/>
  <c r="P736" i="1"/>
  <c r="Q736" i="1" s="1"/>
  <c r="P737" i="1"/>
  <c r="Q737" i="1" s="1"/>
  <c r="P738" i="1"/>
  <c r="Q738" i="1" s="1"/>
  <c r="P739" i="1"/>
  <c r="Q739" i="1" s="1"/>
  <c r="P740" i="1"/>
  <c r="Q740" i="1" s="1"/>
  <c r="P741" i="1"/>
  <c r="Q741" i="1" s="1"/>
  <c r="P742" i="1"/>
  <c r="Q742" i="1" s="1"/>
  <c r="P743" i="1"/>
  <c r="Q743" i="1" s="1"/>
  <c r="P744" i="1"/>
  <c r="Q744" i="1" s="1"/>
  <c r="P745" i="1"/>
  <c r="Q745" i="1" s="1"/>
  <c r="P746" i="1"/>
  <c r="Q746" i="1" s="1"/>
  <c r="P747" i="1"/>
  <c r="Q747" i="1" s="1"/>
  <c r="P748" i="1"/>
  <c r="Q748" i="1" s="1"/>
  <c r="P749" i="1"/>
  <c r="Q749" i="1" s="1"/>
  <c r="P750" i="1"/>
  <c r="Q750" i="1" s="1"/>
  <c r="P751" i="1"/>
  <c r="Q751" i="1" s="1"/>
  <c r="P752" i="1"/>
  <c r="Q752" i="1" s="1"/>
  <c r="P753" i="1"/>
  <c r="Q753" i="1" s="1"/>
  <c r="P754" i="1"/>
  <c r="Q754" i="1" s="1"/>
  <c r="P755" i="1"/>
  <c r="Q755" i="1" s="1"/>
  <c r="P756" i="1"/>
  <c r="Q756" i="1" s="1"/>
  <c r="P757" i="1"/>
  <c r="Q757" i="1" s="1"/>
  <c r="P758" i="1"/>
  <c r="Q758" i="1" s="1"/>
  <c r="P759" i="1"/>
  <c r="Q759" i="1" s="1"/>
  <c r="P760" i="1"/>
  <c r="Q760" i="1" s="1"/>
  <c r="P761" i="1"/>
  <c r="Q761" i="1" s="1"/>
  <c r="P762" i="1"/>
  <c r="Q762" i="1" s="1"/>
  <c r="P763" i="1"/>
  <c r="Q763" i="1" s="1"/>
  <c r="P764" i="1"/>
  <c r="Q764" i="1" s="1"/>
  <c r="P765" i="1"/>
  <c r="Q765" i="1" s="1"/>
  <c r="P766" i="1"/>
  <c r="Q766" i="1" s="1"/>
  <c r="R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5"/>
  <c r="C122" i="4"/>
  <c r="C133" i="4" s="1"/>
  <c r="C136" i="4" s="1"/>
  <c r="C116" i="4"/>
  <c r="C118" i="3"/>
  <c r="C122" i="3"/>
  <c r="C133" i="3" s="1"/>
  <c r="C136" i="3" s="1"/>
  <c r="D136" i="5"/>
  <c r="C136" i="5"/>
  <c r="S766" i="1"/>
  <c r="T766" i="1" s="1"/>
  <c r="R765" i="1"/>
  <c r="S296" i="1"/>
  <c r="T296" i="1" s="1"/>
  <c r="R295" i="1"/>
  <c r="C138" i="5" l="1"/>
  <c r="D136" i="4"/>
  <c r="C138" i="4" s="1"/>
  <c r="D136" i="3"/>
  <c r="C138" i="3" s="1"/>
  <c r="R294" i="1"/>
  <c r="S295" i="1"/>
  <c r="T295" i="1" s="1"/>
  <c r="S765" i="1"/>
  <c r="T765" i="1" s="1"/>
  <c r="R764" i="1"/>
  <c r="S764" i="1" l="1"/>
  <c r="T764" i="1" s="1"/>
  <c r="R763" i="1"/>
  <c r="S294" i="1"/>
  <c r="T294" i="1" s="1"/>
  <c r="R293" i="1"/>
  <c r="R292" i="1" l="1"/>
  <c r="S293" i="1"/>
  <c r="T293" i="1" s="1"/>
  <c r="R762" i="1"/>
  <c r="S763" i="1"/>
  <c r="T763" i="1" s="1"/>
  <c r="R761" i="1" l="1"/>
  <c r="S762" i="1"/>
  <c r="T762" i="1" s="1"/>
  <c r="R291" i="1"/>
  <c r="S292" i="1"/>
  <c r="T292" i="1" s="1"/>
  <c r="R290" i="1" l="1"/>
  <c r="S291" i="1"/>
  <c r="T291" i="1" s="1"/>
  <c r="S761" i="1"/>
  <c r="T761" i="1" s="1"/>
  <c r="R760" i="1"/>
  <c r="R759" i="1" l="1"/>
  <c r="S760" i="1"/>
  <c r="T760" i="1" s="1"/>
  <c r="R289" i="1"/>
  <c r="S290" i="1"/>
  <c r="T290" i="1" s="1"/>
  <c r="S289" i="1" l="1"/>
  <c r="T289" i="1" s="1"/>
  <c r="R288" i="1"/>
  <c r="R758" i="1"/>
  <c r="S759" i="1"/>
  <c r="T759" i="1" s="1"/>
  <c r="S288" i="1" l="1"/>
  <c r="T288" i="1" s="1"/>
  <c r="R287" i="1"/>
  <c r="R757" i="1"/>
  <c r="S758" i="1"/>
  <c r="T758" i="1" s="1"/>
  <c r="R286" i="1" l="1"/>
  <c r="S287" i="1"/>
  <c r="T287" i="1" s="1"/>
  <c r="R756" i="1"/>
  <c r="S757" i="1"/>
  <c r="T757" i="1" s="1"/>
  <c r="S756" i="1" l="1"/>
  <c r="T756" i="1" s="1"/>
  <c r="R755" i="1"/>
  <c r="R285" i="1"/>
  <c r="S286" i="1"/>
  <c r="T286" i="1" s="1"/>
  <c r="R754" i="1" l="1"/>
  <c r="S755" i="1"/>
  <c r="T755" i="1" s="1"/>
  <c r="R284" i="1"/>
  <c r="S285" i="1"/>
  <c r="T285" i="1" s="1"/>
  <c r="R283" i="1" l="1"/>
  <c r="S284" i="1"/>
  <c r="T284" i="1" s="1"/>
  <c r="R753" i="1"/>
  <c r="S754" i="1"/>
  <c r="T754" i="1" s="1"/>
  <c r="S753" i="1" l="1"/>
  <c r="T753" i="1" s="1"/>
  <c r="R752" i="1"/>
  <c r="R282" i="1"/>
  <c r="S283" i="1"/>
  <c r="T283" i="1" s="1"/>
  <c r="R751" i="1" l="1"/>
  <c r="S752" i="1"/>
  <c r="T752" i="1" s="1"/>
  <c r="R281" i="1"/>
  <c r="S282" i="1"/>
  <c r="T282" i="1" s="1"/>
  <c r="R280" i="1" l="1"/>
  <c r="S281" i="1"/>
  <c r="T281" i="1" s="1"/>
  <c r="R750" i="1"/>
  <c r="S751" i="1"/>
  <c r="T751" i="1" s="1"/>
  <c r="S750" i="1" l="1"/>
  <c r="T750" i="1" s="1"/>
  <c r="R749" i="1"/>
  <c r="S280" i="1"/>
  <c r="T280" i="1" s="1"/>
  <c r="R279" i="1"/>
  <c r="R278" i="1" l="1"/>
  <c r="S279" i="1"/>
  <c r="T279" i="1" s="1"/>
  <c r="R748" i="1"/>
  <c r="S749" i="1"/>
  <c r="T749" i="1" s="1"/>
  <c r="S748" i="1" l="1"/>
  <c r="T748" i="1" s="1"/>
  <c r="R747" i="1"/>
  <c r="R277" i="1"/>
  <c r="S278" i="1"/>
  <c r="T278" i="1" s="1"/>
  <c r="R746" i="1" l="1"/>
  <c r="S747" i="1"/>
  <c r="T747" i="1" s="1"/>
  <c r="R276" i="1"/>
  <c r="S277" i="1"/>
  <c r="T277" i="1" s="1"/>
  <c r="R275" i="1" l="1"/>
  <c r="S276" i="1"/>
  <c r="T276" i="1" s="1"/>
  <c r="S746" i="1"/>
  <c r="T746" i="1" s="1"/>
  <c r="R745" i="1"/>
  <c r="R744" i="1" l="1"/>
  <c r="S745" i="1"/>
  <c r="T745" i="1" s="1"/>
  <c r="R274" i="1"/>
  <c r="S275" i="1"/>
  <c r="T275" i="1" s="1"/>
  <c r="R273" i="1" l="1"/>
  <c r="S274" i="1"/>
  <c r="T274" i="1" s="1"/>
  <c r="S744" i="1"/>
  <c r="T744" i="1" s="1"/>
  <c r="R743" i="1"/>
  <c r="S743" i="1" l="1"/>
  <c r="T743" i="1" s="1"/>
  <c r="R742" i="1"/>
  <c r="R272" i="1"/>
  <c r="S273" i="1"/>
  <c r="T273" i="1" s="1"/>
  <c r="S742" i="1" l="1"/>
  <c r="T742" i="1" s="1"/>
  <c r="R741" i="1"/>
  <c r="R271" i="1"/>
  <c r="S272" i="1"/>
  <c r="T272" i="1" s="1"/>
  <c r="S741" i="1" l="1"/>
  <c r="T741" i="1" s="1"/>
  <c r="R740" i="1"/>
  <c r="R270" i="1"/>
  <c r="S271" i="1"/>
  <c r="T271" i="1" s="1"/>
  <c r="S740" i="1" l="1"/>
  <c r="T740" i="1" s="1"/>
  <c r="R739" i="1"/>
  <c r="S270" i="1"/>
  <c r="T270" i="1" s="1"/>
  <c r="R269" i="1"/>
  <c r="R738" i="1" l="1"/>
  <c r="S739" i="1"/>
  <c r="T739" i="1" s="1"/>
  <c r="R268" i="1"/>
  <c r="S269" i="1"/>
  <c r="T269" i="1" s="1"/>
  <c r="R267" i="1" l="1"/>
  <c r="S268" i="1"/>
  <c r="T268" i="1" s="1"/>
  <c r="R737" i="1"/>
  <c r="S738" i="1"/>
  <c r="T738" i="1" s="1"/>
  <c r="S737" i="1" l="1"/>
  <c r="T737" i="1" s="1"/>
  <c r="R736" i="1"/>
  <c r="R266" i="1"/>
  <c r="S267" i="1"/>
  <c r="T267" i="1" s="1"/>
  <c r="R735" i="1" l="1"/>
  <c r="S736" i="1"/>
  <c r="T736" i="1" s="1"/>
  <c r="R265" i="1"/>
  <c r="S266" i="1"/>
  <c r="T266" i="1" s="1"/>
  <c r="S265" i="1" l="1"/>
  <c r="T265" i="1" s="1"/>
  <c r="R264" i="1"/>
  <c r="R734" i="1"/>
  <c r="S735" i="1"/>
  <c r="T735" i="1" s="1"/>
  <c r="S734" i="1" l="1"/>
  <c r="T734" i="1" s="1"/>
  <c r="R733" i="1"/>
  <c r="S264" i="1"/>
  <c r="T264" i="1" s="1"/>
  <c r="R263" i="1"/>
  <c r="S733" i="1" l="1"/>
  <c r="T733" i="1" s="1"/>
  <c r="R732" i="1"/>
  <c r="R262" i="1"/>
  <c r="S263" i="1"/>
  <c r="T263" i="1" s="1"/>
  <c r="R731" i="1" l="1"/>
  <c r="S732" i="1"/>
  <c r="T732" i="1" s="1"/>
  <c r="R261" i="1"/>
  <c r="S262" i="1"/>
  <c r="T262" i="1" s="1"/>
  <c r="R260" i="1" l="1"/>
  <c r="S261" i="1"/>
  <c r="T261" i="1" s="1"/>
  <c r="S731" i="1"/>
  <c r="T731" i="1" s="1"/>
  <c r="R730" i="1"/>
  <c r="S730" i="1" l="1"/>
  <c r="T730" i="1" s="1"/>
  <c r="R729" i="1"/>
  <c r="R259" i="1"/>
  <c r="S260" i="1"/>
  <c r="T260" i="1" s="1"/>
  <c r="R258" i="1" l="1"/>
  <c r="S259" i="1"/>
  <c r="T259" i="1" s="1"/>
  <c r="S729" i="1"/>
  <c r="T729" i="1" s="1"/>
  <c r="R728" i="1"/>
  <c r="R727" i="1" l="1"/>
  <c r="S728" i="1"/>
  <c r="T728" i="1" s="1"/>
  <c r="R257" i="1"/>
  <c r="S258" i="1"/>
  <c r="T258" i="1" s="1"/>
  <c r="R256" i="1" l="1"/>
  <c r="S257" i="1"/>
  <c r="T257" i="1" s="1"/>
  <c r="S727" i="1"/>
  <c r="T727" i="1" s="1"/>
  <c r="R726" i="1"/>
  <c r="R725" i="1" l="1"/>
  <c r="S726" i="1"/>
  <c r="T726" i="1" s="1"/>
  <c r="S256" i="1"/>
  <c r="T256" i="1" s="1"/>
  <c r="R255" i="1"/>
  <c r="R254" i="1" l="1"/>
  <c r="S255" i="1"/>
  <c r="T255" i="1" s="1"/>
  <c r="R724" i="1"/>
  <c r="S725" i="1"/>
  <c r="T725" i="1" s="1"/>
  <c r="R723" i="1" l="1"/>
  <c r="S724" i="1"/>
  <c r="T724" i="1" s="1"/>
  <c r="R253" i="1"/>
  <c r="S254" i="1"/>
  <c r="T254" i="1" s="1"/>
  <c r="R252" i="1" l="1"/>
  <c r="S253" i="1"/>
  <c r="T253" i="1" s="1"/>
  <c r="S723" i="1"/>
  <c r="T723" i="1" s="1"/>
  <c r="R722" i="1"/>
  <c r="R721" i="1" l="1"/>
  <c r="S722" i="1"/>
  <c r="T722" i="1" s="1"/>
  <c r="R251" i="1"/>
  <c r="S252" i="1"/>
  <c r="T252" i="1" s="1"/>
  <c r="R250" i="1" l="1"/>
  <c r="S251" i="1"/>
  <c r="T251" i="1" s="1"/>
  <c r="R720" i="1"/>
  <c r="S721" i="1"/>
  <c r="T721" i="1" s="1"/>
  <c r="S720" i="1" l="1"/>
  <c r="T720" i="1" s="1"/>
  <c r="R719" i="1"/>
  <c r="R249" i="1"/>
  <c r="S250" i="1"/>
  <c r="T250" i="1" s="1"/>
  <c r="S719" i="1" l="1"/>
  <c r="T719" i="1" s="1"/>
  <c r="R718" i="1"/>
  <c r="R248" i="1"/>
  <c r="S249" i="1"/>
  <c r="T249" i="1" s="1"/>
  <c r="R717" i="1" l="1"/>
  <c r="S718" i="1"/>
  <c r="T718" i="1" s="1"/>
  <c r="R247" i="1"/>
  <c r="S248" i="1"/>
  <c r="T248" i="1" s="1"/>
  <c r="R246" i="1" l="1"/>
  <c r="S247" i="1"/>
  <c r="T247" i="1" s="1"/>
  <c r="R716" i="1"/>
  <c r="S717" i="1"/>
  <c r="T717" i="1" s="1"/>
  <c r="R715" i="1" l="1"/>
  <c r="S716" i="1"/>
  <c r="T716" i="1" s="1"/>
  <c r="R245" i="1"/>
  <c r="S246" i="1"/>
  <c r="T246" i="1" s="1"/>
  <c r="R244" i="1" l="1"/>
  <c r="S245" i="1"/>
  <c r="T245" i="1" s="1"/>
  <c r="S715" i="1"/>
  <c r="T715" i="1" s="1"/>
  <c r="R714" i="1"/>
  <c r="S714" i="1" l="1"/>
  <c r="T714" i="1" s="1"/>
  <c r="R713" i="1"/>
  <c r="R243" i="1"/>
  <c r="S244" i="1"/>
  <c r="T244" i="1" s="1"/>
  <c r="S713" i="1" l="1"/>
  <c r="T713" i="1" s="1"/>
  <c r="R712" i="1"/>
  <c r="R242" i="1"/>
  <c r="S243" i="1"/>
  <c r="T243" i="1" s="1"/>
  <c r="S712" i="1" l="1"/>
  <c r="T712" i="1" s="1"/>
  <c r="R711" i="1"/>
  <c r="R241" i="1"/>
  <c r="S242" i="1"/>
  <c r="T242" i="1" s="1"/>
  <c r="R240" i="1" l="1"/>
  <c r="S241" i="1"/>
  <c r="T241" i="1" s="1"/>
  <c r="R710" i="1"/>
  <c r="S711" i="1"/>
  <c r="T711" i="1" s="1"/>
  <c r="S710" i="1" l="1"/>
  <c r="T710" i="1" s="1"/>
  <c r="R709" i="1"/>
  <c r="R239" i="1"/>
  <c r="S240" i="1"/>
  <c r="T240" i="1" s="1"/>
  <c r="S709" i="1" l="1"/>
  <c r="T709" i="1" s="1"/>
  <c r="R708" i="1"/>
  <c r="R238" i="1"/>
  <c r="S239" i="1"/>
  <c r="T239" i="1" s="1"/>
  <c r="S708" i="1" l="1"/>
  <c r="T708" i="1" s="1"/>
  <c r="R707" i="1"/>
  <c r="R237" i="1"/>
  <c r="S238" i="1"/>
  <c r="T238" i="1" s="1"/>
  <c r="R706" i="1" l="1"/>
  <c r="S707" i="1"/>
  <c r="T707" i="1" s="1"/>
  <c r="R236" i="1"/>
  <c r="S237" i="1"/>
  <c r="T237" i="1" s="1"/>
  <c r="R235" i="1" l="1"/>
  <c r="S236" i="1"/>
  <c r="T236" i="1" s="1"/>
  <c r="R705" i="1"/>
  <c r="S706" i="1"/>
  <c r="T706" i="1" s="1"/>
  <c r="S705" i="1" l="1"/>
  <c r="T705" i="1" s="1"/>
  <c r="R704" i="1"/>
  <c r="R234" i="1"/>
  <c r="S235" i="1"/>
  <c r="T235" i="1" s="1"/>
  <c r="R703" i="1" l="1"/>
  <c r="S704" i="1"/>
  <c r="T704" i="1" s="1"/>
  <c r="R233" i="1"/>
  <c r="S234" i="1"/>
  <c r="T234" i="1" s="1"/>
  <c r="R232" i="1" l="1"/>
  <c r="S233" i="1"/>
  <c r="T233" i="1" s="1"/>
  <c r="R702" i="1"/>
  <c r="S703" i="1"/>
  <c r="T703" i="1" s="1"/>
  <c r="R701" i="1" l="1"/>
  <c r="S702" i="1"/>
  <c r="T702" i="1" s="1"/>
  <c r="R231" i="1"/>
  <c r="S232" i="1"/>
  <c r="T232" i="1" s="1"/>
  <c r="R230" i="1" l="1"/>
  <c r="S231" i="1"/>
  <c r="T231" i="1" s="1"/>
  <c r="R700" i="1"/>
  <c r="S701" i="1"/>
  <c r="T701" i="1" s="1"/>
  <c r="R699" i="1" l="1"/>
  <c r="S700" i="1"/>
  <c r="T700" i="1" s="1"/>
  <c r="R229" i="1"/>
  <c r="S230" i="1"/>
  <c r="T230" i="1" s="1"/>
  <c r="R228" i="1" l="1"/>
  <c r="S229" i="1"/>
  <c r="T229" i="1" s="1"/>
  <c r="R698" i="1"/>
  <c r="S699" i="1"/>
  <c r="T699" i="1" s="1"/>
  <c r="R697" i="1" l="1"/>
  <c r="S698" i="1"/>
  <c r="T698" i="1" s="1"/>
  <c r="R227" i="1"/>
  <c r="S228" i="1"/>
  <c r="T228" i="1" s="1"/>
  <c r="R226" i="1" l="1"/>
  <c r="S227" i="1"/>
  <c r="T227" i="1" s="1"/>
  <c r="S697" i="1"/>
  <c r="T697" i="1" s="1"/>
  <c r="R696" i="1"/>
  <c r="R695" i="1" l="1"/>
  <c r="S696" i="1"/>
  <c r="T696" i="1" s="1"/>
  <c r="R225" i="1"/>
  <c r="S226" i="1"/>
  <c r="T226" i="1" s="1"/>
  <c r="R224" i="1" l="1"/>
  <c r="S225" i="1"/>
  <c r="T225" i="1" s="1"/>
  <c r="R694" i="1"/>
  <c r="S695" i="1"/>
  <c r="T695" i="1" s="1"/>
  <c r="S694" i="1" l="1"/>
  <c r="T694" i="1" s="1"/>
  <c r="R693" i="1"/>
  <c r="R223" i="1"/>
  <c r="S224" i="1"/>
  <c r="T224" i="1" s="1"/>
  <c r="R222" i="1" l="1"/>
  <c r="S223" i="1"/>
  <c r="T223" i="1" s="1"/>
  <c r="R692" i="1"/>
  <c r="S693" i="1"/>
  <c r="T693" i="1" s="1"/>
  <c r="S692" i="1" l="1"/>
  <c r="T692" i="1" s="1"/>
  <c r="R691" i="1"/>
  <c r="R221" i="1"/>
  <c r="S222" i="1"/>
  <c r="T222" i="1" s="1"/>
  <c r="R690" i="1" l="1"/>
  <c r="S691" i="1"/>
  <c r="T691" i="1" s="1"/>
  <c r="R220" i="1"/>
  <c r="S221" i="1"/>
  <c r="T221" i="1" s="1"/>
  <c r="R219" i="1" l="1"/>
  <c r="S220" i="1"/>
  <c r="T220" i="1" s="1"/>
  <c r="R689" i="1"/>
  <c r="S690" i="1"/>
  <c r="T690" i="1" s="1"/>
  <c r="S689" i="1" l="1"/>
  <c r="T689" i="1" s="1"/>
  <c r="R688" i="1"/>
  <c r="R218" i="1"/>
  <c r="S219" i="1"/>
  <c r="T219" i="1" s="1"/>
  <c r="R687" i="1" l="1"/>
  <c r="S688" i="1"/>
  <c r="T688" i="1" s="1"/>
  <c r="R217" i="1"/>
  <c r="S218" i="1"/>
  <c r="T218" i="1" s="1"/>
  <c r="R216" i="1" l="1"/>
  <c r="S217" i="1"/>
  <c r="T217" i="1" s="1"/>
  <c r="R686" i="1"/>
  <c r="S687" i="1"/>
  <c r="T687" i="1" s="1"/>
  <c r="R685" i="1" l="1"/>
  <c r="S686" i="1"/>
  <c r="T686" i="1" s="1"/>
  <c r="R215" i="1"/>
  <c r="S216" i="1"/>
  <c r="T216" i="1" s="1"/>
  <c r="R214" i="1" l="1"/>
  <c r="S215" i="1"/>
  <c r="T215" i="1" s="1"/>
  <c r="R684" i="1"/>
  <c r="S685" i="1"/>
  <c r="T685" i="1" s="1"/>
  <c r="S684" i="1" l="1"/>
  <c r="T684" i="1" s="1"/>
  <c r="R683" i="1"/>
  <c r="R213" i="1"/>
  <c r="S214" i="1"/>
  <c r="T214" i="1" s="1"/>
  <c r="R682" i="1" l="1"/>
  <c r="S683" i="1"/>
  <c r="T683" i="1" s="1"/>
  <c r="R212" i="1"/>
  <c r="S213" i="1"/>
  <c r="T213" i="1" s="1"/>
  <c r="R211" i="1" l="1"/>
  <c r="S212" i="1"/>
  <c r="T212" i="1" s="1"/>
  <c r="R681" i="1"/>
  <c r="S682" i="1"/>
  <c r="T682" i="1" s="1"/>
  <c r="S681" i="1" l="1"/>
  <c r="T681" i="1" s="1"/>
  <c r="R680" i="1"/>
  <c r="R210" i="1"/>
  <c r="S211" i="1"/>
  <c r="T211" i="1" s="1"/>
  <c r="R679" i="1" l="1"/>
  <c r="S680" i="1"/>
  <c r="T680" i="1" s="1"/>
  <c r="R209" i="1"/>
  <c r="S210" i="1"/>
  <c r="T210" i="1" s="1"/>
  <c r="R208" i="1" l="1"/>
  <c r="S209" i="1"/>
  <c r="T209" i="1" s="1"/>
  <c r="R678" i="1"/>
  <c r="S679" i="1"/>
  <c r="T679" i="1" s="1"/>
  <c r="R677" i="1" l="1"/>
  <c r="S678" i="1"/>
  <c r="T678" i="1" s="1"/>
  <c r="R207" i="1"/>
  <c r="S208" i="1"/>
  <c r="T208" i="1" s="1"/>
  <c r="R206" i="1" l="1"/>
  <c r="S207" i="1"/>
  <c r="T207" i="1" s="1"/>
  <c r="S677" i="1"/>
  <c r="T677" i="1" s="1"/>
  <c r="R676" i="1"/>
  <c r="R675" i="1" l="1"/>
  <c r="S676" i="1"/>
  <c r="T676" i="1" s="1"/>
  <c r="R205" i="1"/>
  <c r="S206" i="1"/>
  <c r="T206" i="1" s="1"/>
  <c r="R204" i="1" l="1"/>
  <c r="S205" i="1"/>
  <c r="T205" i="1" s="1"/>
  <c r="R674" i="1"/>
  <c r="S675" i="1"/>
  <c r="T675" i="1" s="1"/>
  <c r="S674" i="1" l="1"/>
  <c r="T674" i="1" s="1"/>
  <c r="R673" i="1"/>
  <c r="R203" i="1"/>
  <c r="S204" i="1"/>
  <c r="T204" i="1" s="1"/>
  <c r="R672" i="1" l="1"/>
  <c r="S673" i="1"/>
  <c r="T673" i="1" s="1"/>
  <c r="R202" i="1"/>
  <c r="S203" i="1"/>
  <c r="T203" i="1" s="1"/>
  <c r="R201" i="1" l="1"/>
  <c r="S202" i="1"/>
  <c r="T202" i="1" s="1"/>
  <c r="S672" i="1"/>
  <c r="T672" i="1" s="1"/>
  <c r="R671" i="1"/>
  <c r="R670" i="1" l="1"/>
  <c r="S671" i="1"/>
  <c r="T671" i="1" s="1"/>
  <c r="R200" i="1"/>
  <c r="S201" i="1"/>
  <c r="T201" i="1" s="1"/>
  <c r="R199" i="1" l="1"/>
  <c r="S200" i="1"/>
  <c r="T200" i="1" s="1"/>
  <c r="R669" i="1"/>
  <c r="S670" i="1"/>
  <c r="T670" i="1" s="1"/>
  <c r="R668" i="1" l="1"/>
  <c r="S669" i="1"/>
  <c r="T669" i="1" s="1"/>
  <c r="R198" i="1"/>
  <c r="S199" i="1"/>
  <c r="T199" i="1" s="1"/>
  <c r="R197" i="1" l="1"/>
  <c r="S198" i="1"/>
  <c r="T198" i="1" s="1"/>
  <c r="R667" i="1"/>
  <c r="S668" i="1"/>
  <c r="T668" i="1" s="1"/>
  <c r="R666" i="1" l="1"/>
  <c r="S667" i="1"/>
  <c r="T667" i="1" s="1"/>
  <c r="R196" i="1"/>
  <c r="S197" i="1"/>
  <c r="T197" i="1" s="1"/>
  <c r="R195" i="1" l="1"/>
  <c r="S196" i="1"/>
  <c r="T196" i="1" s="1"/>
  <c r="R665" i="1"/>
  <c r="S666" i="1"/>
  <c r="T666" i="1" s="1"/>
  <c r="R664" i="1" l="1"/>
  <c r="S665" i="1"/>
  <c r="T665" i="1" s="1"/>
  <c r="R194" i="1"/>
  <c r="S195" i="1"/>
  <c r="T195" i="1" s="1"/>
  <c r="R193" i="1" l="1"/>
  <c r="S194" i="1"/>
  <c r="T194" i="1" s="1"/>
  <c r="R663" i="1"/>
  <c r="S664" i="1"/>
  <c r="T664" i="1" s="1"/>
  <c r="S663" i="1" l="1"/>
  <c r="T663" i="1" s="1"/>
  <c r="R662" i="1"/>
  <c r="R192" i="1"/>
  <c r="S193" i="1"/>
  <c r="T193" i="1" s="1"/>
  <c r="R661" i="1" l="1"/>
  <c r="S662" i="1"/>
  <c r="T662" i="1" s="1"/>
  <c r="R191" i="1"/>
  <c r="S192" i="1"/>
  <c r="T192" i="1" s="1"/>
  <c r="R190" i="1" l="1"/>
  <c r="S191" i="1"/>
  <c r="T191" i="1" s="1"/>
  <c r="R660" i="1"/>
  <c r="S661" i="1"/>
  <c r="T661" i="1" s="1"/>
  <c r="S660" i="1" l="1"/>
  <c r="T660" i="1" s="1"/>
  <c r="R659" i="1"/>
  <c r="R189" i="1"/>
  <c r="S190" i="1"/>
  <c r="T190" i="1" s="1"/>
  <c r="R188" i="1" l="1"/>
  <c r="S189" i="1"/>
  <c r="T189" i="1" s="1"/>
  <c r="S659" i="1"/>
  <c r="T659" i="1" s="1"/>
  <c r="R658" i="1"/>
  <c r="R657" i="1" l="1"/>
  <c r="S658" i="1"/>
  <c r="T658" i="1" s="1"/>
  <c r="R187" i="1"/>
  <c r="S188" i="1"/>
  <c r="T188" i="1" s="1"/>
  <c r="R186" i="1" l="1"/>
  <c r="S187" i="1"/>
  <c r="T187" i="1" s="1"/>
  <c r="R656" i="1"/>
  <c r="S657" i="1"/>
  <c r="T657" i="1" s="1"/>
  <c r="R655" i="1" l="1"/>
  <c r="S656" i="1"/>
  <c r="T656" i="1" s="1"/>
  <c r="R185" i="1"/>
  <c r="S186" i="1"/>
  <c r="T186" i="1" s="1"/>
  <c r="R184" i="1" l="1"/>
  <c r="S185" i="1"/>
  <c r="T185" i="1" s="1"/>
  <c r="R654" i="1"/>
  <c r="S655" i="1"/>
  <c r="T655" i="1" s="1"/>
  <c r="R653" i="1" l="1"/>
  <c r="S654" i="1"/>
  <c r="T654" i="1" s="1"/>
  <c r="R183" i="1"/>
  <c r="S184" i="1"/>
  <c r="T184" i="1" s="1"/>
  <c r="R182" i="1" l="1"/>
  <c r="S183" i="1"/>
  <c r="T183" i="1" s="1"/>
  <c r="S653" i="1"/>
  <c r="T653" i="1" s="1"/>
  <c r="R652" i="1"/>
  <c r="R651" i="1" l="1"/>
  <c r="S652" i="1"/>
  <c r="T652" i="1" s="1"/>
  <c r="R181" i="1"/>
  <c r="S182" i="1"/>
  <c r="T182" i="1" s="1"/>
  <c r="R180" i="1" l="1"/>
  <c r="S181" i="1"/>
  <c r="T181" i="1" s="1"/>
  <c r="R650" i="1"/>
  <c r="S651" i="1"/>
  <c r="T651" i="1" s="1"/>
  <c r="R649" i="1" l="1"/>
  <c r="S650" i="1"/>
  <c r="T650" i="1" s="1"/>
  <c r="R179" i="1"/>
  <c r="S180" i="1"/>
  <c r="T180" i="1" s="1"/>
  <c r="R178" i="1" l="1"/>
  <c r="S179" i="1"/>
  <c r="T179" i="1" s="1"/>
  <c r="S649" i="1"/>
  <c r="T649" i="1" s="1"/>
  <c r="R648" i="1"/>
  <c r="S648" i="1" l="1"/>
  <c r="T648" i="1" s="1"/>
  <c r="R647" i="1"/>
  <c r="R177" i="1"/>
  <c r="S178" i="1"/>
  <c r="T178" i="1" s="1"/>
  <c r="R646" i="1" l="1"/>
  <c r="S647" i="1"/>
  <c r="T647" i="1" s="1"/>
  <c r="R176" i="1"/>
  <c r="S177" i="1"/>
  <c r="T177" i="1" s="1"/>
  <c r="R175" i="1" l="1"/>
  <c r="S176" i="1"/>
  <c r="T176" i="1" s="1"/>
  <c r="R645" i="1"/>
  <c r="S646" i="1"/>
  <c r="T646" i="1" s="1"/>
  <c r="R644" i="1" l="1"/>
  <c r="S645" i="1"/>
  <c r="T645" i="1" s="1"/>
  <c r="R174" i="1"/>
  <c r="S175" i="1"/>
  <c r="T175" i="1" s="1"/>
  <c r="R173" i="1" l="1"/>
  <c r="S174" i="1"/>
  <c r="T174" i="1" s="1"/>
  <c r="S644" i="1"/>
  <c r="T644" i="1" s="1"/>
  <c r="R643" i="1"/>
  <c r="R642" i="1" l="1"/>
  <c r="S643" i="1"/>
  <c r="T643" i="1" s="1"/>
  <c r="R172" i="1"/>
  <c r="S173" i="1"/>
  <c r="T173" i="1" s="1"/>
  <c r="R171" i="1" l="1"/>
  <c r="S172" i="1"/>
  <c r="T172" i="1" s="1"/>
  <c r="R641" i="1"/>
  <c r="S642" i="1"/>
  <c r="T642" i="1" s="1"/>
  <c r="R640" i="1" l="1"/>
  <c r="S641" i="1"/>
  <c r="T641" i="1" s="1"/>
  <c r="R170" i="1"/>
  <c r="S171" i="1"/>
  <c r="T171" i="1" s="1"/>
  <c r="R169" i="1" l="1"/>
  <c r="S170" i="1"/>
  <c r="T170" i="1" s="1"/>
  <c r="R639" i="1"/>
  <c r="S640" i="1"/>
  <c r="T640" i="1" s="1"/>
  <c r="S639" i="1" l="1"/>
  <c r="T639" i="1" s="1"/>
  <c r="R638" i="1"/>
  <c r="R168" i="1"/>
  <c r="S169" i="1"/>
  <c r="T169" i="1" s="1"/>
  <c r="R637" i="1" l="1"/>
  <c r="S638" i="1"/>
  <c r="T638" i="1" s="1"/>
  <c r="R167" i="1"/>
  <c r="S168" i="1"/>
  <c r="T168" i="1" s="1"/>
  <c r="R166" i="1" l="1"/>
  <c r="S167" i="1"/>
  <c r="T167" i="1" s="1"/>
  <c r="S637" i="1"/>
  <c r="T637" i="1" s="1"/>
  <c r="R636" i="1"/>
  <c r="S636" i="1" l="1"/>
  <c r="T636" i="1" s="1"/>
  <c r="R635" i="1"/>
  <c r="R165" i="1"/>
  <c r="S166" i="1"/>
  <c r="T166" i="1" s="1"/>
  <c r="S635" i="1" l="1"/>
  <c r="T635" i="1" s="1"/>
  <c r="R634" i="1"/>
  <c r="R164" i="1"/>
  <c r="S165" i="1"/>
  <c r="T165" i="1" s="1"/>
  <c r="R633" i="1" l="1"/>
  <c r="S634" i="1"/>
  <c r="T634" i="1" s="1"/>
  <c r="R163" i="1"/>
  <c r="S164" i="1"/>
  <c r="T164" i="1" s="1"/>
  <c r="R162" i="1" l="1"/>
  <c r="S163" i="1"/>
  <c r="T163" i="1" s="1"/>
  <c r="R632" i="1"/>
  <c r="S633" i="1"/>
  <c r="T633" i="1" s="1"/>
  <c r="R631" i="1" l="1"/>
  <c r="S632" i="1"/>
  <c r="T632" i="1" s="1"/>
  <c r="R161" i="1"/>
  <c r="S162" i="1"/>
  <c r="T162" i="1" s="1"/>
  <c r="R160" i="1" l="1"/>
  <c r="S161" i="1"/>
  <c r="T161" i="1" s="1"/>
  <c r="R630" i="1"/>
  <c r="S631" i="1"/>
  <c r="T631" i="1" s="1"/>
  <c r="R629" i="1" l="1"/>
  <c r="S630" i="1"/>
  <c r="T630" i="1" s="1"/>
  <c r="R159" i="1"/>
  <c r="S160" i="1"/>
  <c r="T160" i="1" s="1"/>
  <c r="R158" i="1" l="1"/>
  <c r="S159" i="1"/>
  <c r="T159" i="1" s="1"/>
  <c r="R628" i="1"/>
  <c r="S629" i="1"/>
  <c r="T629" i="1" s="1"/>
  <c r="S628" i="1" l="1"/>
  <c r="T628" i="1" s="1"/>
  <c r="R627" i="1"/>
  <c r="R157" i="1"/>
  <c r="S158" i="1"/>
  <c r="T158" i="1" s="1"/>
  <c r="R626" i="1" l="1"/>
  <c r="S627" i="1"/>
  <c r="T627" i="1" s="1"/>
  <c r="R156" i="1"/>
  <c r="S157" i="1"/>
  <c r="T157" i="1" s="1"/>
  <c r="R155" i="1" l="1"/>
  <c r="S156" i="1"/>
  <c r="T156" i="1" s="1"/>
  <c r="R625" i="1"/>
  <c r="S626" i="1"/>
  <c r="T626" i="1" s="1"/>
  <c r="S625" i="1" l="1"/>
  <c r="T625" i="1" s="1"/>
  <c r="R624" i="1"/>
  <c r="R154" i="1"/>
  <c r="S155" i="1"/>
  <c r="T155" i="1" s="1"/>
  <c r="S624" i="1" l="1"/>
  <c r="T624" i="1" s="1"/>
  <c r="R623" i="1"/>
  <c r="R153" i="1"/>
  <c r="S154" i="1"/>
  <c r="T154" i="1" s="1"/>
  <c r="R152" i="1" l="1"/>
  <c r="S153" i="1"/>
  <c r="T153" i="1" s="1"/>
  <c r="R622" i="1"/>
  <c r="S623" i="1"/>
  <c r="T623" i="1" s="1"/>
  <c r="R621" i="1" l="1"/>
  <c r="S622" i="1"/>
  <c r="T622" i="1" s="1"/>
  <c r="R151" i="1"/>
  <c r="S152" i="1"/>
  <c r="T152" i="1" s="1"/>
  <c r="R150" i="1" l="1"/>
  <c r="S151" i="1"/>
  <c r="T151" i="1" s="1"/>
  <c r="R620" i="1"/>
  <c r="S621" i="1"/>
  <c r="T621" i="1" s="1"/>
  <c r="S620" i="1" l="1"/>
  <c r="T620" i="1" s="1"/>
  <c r="R619" i="1"/>
  <c r="R149" i="1"/>
  <c r="S150" i="1"/>
  <c r="T150" i="1" s="1"/>
  <c r="R148" i="1" l="1"/>
  <c r="S149" i="1"/>
  <c r="T149" i="1" s="1"/>
  <c r="R618" i="1"/>
  <c r="S619" i="1"/>
  <c r="T619" i="1" s="1"/>
  <c r="R617" i="1" l="1"/>
  <c r="S618" i="1"/>
  <c r="T618" i="1" s="1"/>
  <c r="R147" i="1"/>
  <c r="S148" i="1"/>
  <c r="T148" i="1" s="1"/>
  <c r="R146" i="1" l="1"/>
  <c r="S147" i="1"/>
  <c r="T147" i="1" s="1"/>
  <c r="R616" i="1"/>
  <c r="S617" i="1"/>
  <c r="T617" i="1" s="1"/>
  <c r="R615" i="1" l="1"/>
  <c r="S616" i="1"/>
  <c r="T616" i="1" s="1"/>
  <c r="R145" i="1"/>
  <c r="S146" i="1"/>
  <c r="T146" i="1" s="1"/>
  <c r="R144" i="1" l="1"/>
  <c r="S145" i="1"/>
  <c r="T145" i="1" s="1"/>
  <c r="S615" i="1"/>
  <c r="T615" i="1" s="1"/>
  <c r="R614" i="1"/>
  <c r="R613" i="1" l="1"/>
  <c r="S614" i="1"/>
  <c r="T614" i="1" s="1"/>
  <c r="R143" i="1"/>
  <c r="S144" i="1"/>
  <c r="T144" i="1" s="1"/>
  <c r="R142" i="1" l="1"/>
  <c r="S143" i="1"/>
  <c r="T143" i="1" s="1"/>
  <c r="R612" i="1"/>
  <c r="S613" i="1"/>
  <c r="T613" i="1" s="1"/>
  <c r="R611" i="1" l="1"/>
  <c r="S612" i="1"/>
  <c r="T612" i="1" s="1"/>
  <c r="R141" i="1"/>
  <c r="S142" i="1"/>
  <c r="T142" i="1" s="1"/>
  <c r="R140" i="1" l="1"/>
  <c r="S141" i="1"/>
  <c r="T141" i="1" s="1"/>
  <c r="R610" i="1"/>
  <c r="S611" i="1"/>
  <c r="T611" i="1" s="1"/>
  <c r="R609" i="1" l="1"/>
  <c r="S610" i="1"/>
  <c r="T610" i="1" s="1"/>
  <c r="R139" i="1"/>
  <c r="S140" i="1"/>
  <c r="T140" i="1" s="1"/>
  <c r="R138" i="1" l="1"/>
  <c r="S139" i="1"/>
  <c r="T139" i="1" s="1"/>
  <c r="R608" i="1"/>
  <c r="S609" i="1"/>
  <c r="T609" i="1" s="1"/>
  <c r="R607" i="1" l="1"/>
  <c r="S608" i="1"/>
  <c r="T608" i="1" s="1"/>
  <c r="R137" i="1"/>
  <c r="S138" i="1"/>
  <c r="T138" i="1" s="1"/>
  <c r="R136" i="1" l="1"/>
  <c r="S137" i="1"/>
  <c r="T137" i="1" s="1"/>
  <c r="R606" i="1"/>
  <c r="S607" i="1"/>
  <c r="T607" i="1" s="1"/>
  <c r="R605" i="1" l="1"/>
  <c r="S606" i="1"/>
  <c r="T606" i="1" s="1"/>
  <c r="R135" i="1"/>
  <c r="S136" i="1"/>
  <c r="T136" i="1" s="1"/>
  <c r="R134" i="1" l="1"/>
  <c r="S135" i="1"/>
  <c r="T135" i="1" s="1"/>
  <c r="S605" i="1"/>
  <c r="T605" i="1" s="1"/>
  <c r="R604" i="1"/>
  <c r="R603" i="1" l="1"/>
  <c r="S604" i="1"/>
  <c r="T604" i="1" s="1"/>
  <c r="R133" i="1"/>
  <c r="S134" i="1"/>
  <c r="T134" i="1" s="1"/>
  <c r="R132" i="1" l="1"/>
  <c r="S133" i="1"/>
  <c r="T133" i="1" s="1"/>
  <c r="S603" i="1"/>
  <c r="T603" i="1" s="1"/>
  <c r="R602" i="1"/>
  <c r="S602" i="1" l="1"/>
  <c r="T602" i="1" s="1"/>
  <c r="R601" i="1"/>
  <c r="R131" i="1"/>
  <c r="S132" i="1"/>
  <c r="T132" i="1" s="1"/>
  <c r="R130" i="1" l="1"/>
  <c r="S131" i="1"/>
  <c r="T131" i="1" s="1"/>
  <c r="S601" i="1"/>
  <c r="T601" i="1" s="1"/>
  <c r="R600" i="1"/>
  <c r="R599" i="1" l="1"/>
  <c r="S600" i="1"/>
  <c r="T600" i="1" s="1"/>
  <c r="R129" i="1"/>
  <c r="S130" i="1"/>
  <c r="T130" i="1" s="1"/>
  <c r="R128" i="1" l="1"/>
  <c r="S129" i="1"/>
  <c r="T129" i="1" s="1"/>
  <c r="S599" i="1"/>
  <c r="T599" i="1" s="1"/>
  <c r="R598" i="1"/>
  <c r="R597" i="1" l="1"/>
  <c r="S598" i="1"/>
  <c r="T598" i="1" s="1"/>
  <c r="R127" i="1"/>
  <c r="S128" i="1"/>
  <c r="T128" i="1" s="1"/>
  <c r="R126" i="1" l="1"/>
  <c r="S127" i="1"/>
  <c r="T127" i="1" s="1"/>
  <c r="R596" i="1"/>
  <c r="S597" i="1"/>
  <c r="T597" i="1" s="1"/>
  <c r="S596" i="1" l="1"/>
  <c r="T596" i="1" s="1"/>
  <c r="R595" i="1"/>
  <c r="R125" i="1"/>
  <c r="S126" i="1"/>
  <c r="T126" i="1" s="1"/>
  <c r="R124" i="1" l="1"/>
  <c r="S125" i="1"/>
  <c r="T125" i="1" s="1"/>
  <c r="R594" i="1"/>
  <c r="S595" i="1"/>
  <c r="T595" i="1" s="1"/>
  <c r="S594" i="1" l="1"/>
  <c r="T594" i="1" s="1"/>
  <c r="R593" i="1"/>
  <c r="R123" i="1"/>
  <c r="S124" i="1"/>
  <c r="T124" i="1" s="1"/>
  <c r="R122" i="1" l="1"/>
  <c r="S123" i="1"/>
  <c r="T123" i="1" s="1"/>
  <c r="R592" i="1"/>
  <c r="S593" i="1"/>
  <c r="T593" i="1" s="1"/>
  <c r="S592" i="1" l="1"/>
  <c r="T592" i="1" s="1"/>
  <c r="R591" i="1"/>
  <c r="R121" i="1"/>
  <c r="S122" i="1"/>
  <c r="T122" i="1" s="1"/>
  <c r="S591" i="1" l="1"/>
  <c r="T591" i="1" s="1"/>
  <c r="R590" i="1"/>
  <c r="R120" i="1"/>
  <c r="S121" i="1"/>
  <c r="T121" i="1" s="1"/>
  <c r="R119" i="1" l="1"/>
  <c r="S120" i="1"/>
  <c r="T120" i="1" s="1"/>
  <c r="R589" i="1"/>
  <c r="S590" i="1"/>
  <c r="T590" i="1" s="1"/>
  <c r="R588" i="1" l="1"/>
  <c r="S589" i="1"/>
  <c r="T589" i="1" s="1"/>
  <c r="R118" i="1"/>
  <c r="S119" i="1"/>
  <c r="T119" i="1" s="1"/>
  <c r="R117" i="1" l="1"/>
  <c r="S118" i="1"/>
  <c r="T118" i="1" s="1"/>
  <c r="R587" i="1"/>
  <c r="S588" i="1"/>
  <c r="T588" i="1" s="1"/>
  <c r="R586" i="1" l="1"/>
  <c r="S587" i="1"/>
  <c r="T587" i="1" s="1"/>
  <c r="R116" i="1"/>
  <c r="S117" i="1"/>
  <c r="T117" i="1" s="1"/>
  <c r="R115" i="1" l="1"/>
  <c r="S116" i="1"/>
  <c r="T116" i="1" s="1"/>
  <c r="R585" i="1"/>
  <c r="S586" i="1"/>
  <c r="T586" i="1" s="1"/>
  <c r="S585" i="1" l="1"/>
  <c r="T585" i="1" s="1"/>
  <c r="R584" i="1"/>
  <c r="R114" i="1"/>
  <c r="S115" i="1"/>
  <c r="T115" i="1" s="1"/>
  <c r="R583" i="1" l="1"/>
  <c r="S584" i="1"/>
  <c r="T584" i="1" s="1"/>
  <c r="R113" i="1"/>
  <c r="S114" i="1"/>
  <c r="T114" i="1" s="1"/>
  <c r="R112" i="1" l="1"/>
  <c r="S113" i="1"/>
  <c r="T113" i="1" s="1"/>
  <c r="R582" i="1"/>
  <c r="S583" i="1"/>
  <c r="T583" i="1" s="1"/>
  <c r="R581" i="1" l="1"/>
  <c r="S582" i="1"/>
  <c r="T582" i="1" s="1"/>
  <c r="R111" i="1"/>
  <c r="S112" i="1"/>
  <c r="T112" i="1" s="1"/>
  <c r="R110" i="1" l="1"/>
  <c r="S111" i="1"/>
  <c r="T111" i="1" s="1"/>
  <c r="R580" i="1"/>
  <c r="S581" i="1"/>
  <c r="T581" i="1" s="1"/>
  <c r="R579" i="1" l="1"/>
  <c r="S580" i="1"/>
  <c r="T580" i="1" s="1"/>
  <c r="R109" i="1"/>
  <c r="S110" i="1"/>
  <c r="T110" i="1" s="1"/>
  <c r="R108" i="1" l="1"/>
  <c r="S109" i="1"/>
  <c r="T109" i="1" s="1"/>
  <c r="S579" i="1"/>
  <c r="T579" i="1" s="1"/>
  <c r="R578" i="1"/>
  <c r="R577" i="1" l="1"/>
  <c r="S578" i="1"/>
  <c r="T578" i="1" s="1"/>
  <c r="R107" i="1"/>
  <c r="S108" i="1"/>
  <c r="T108" i="1" s="1"/>
  <c r="R106" i="1" l="1"/>
  <c r="S107" i="1"/>
  <c r="T107" i="1" s="1"/>
  <c r="S577" i="1"/>
  <c r="T577" i="1" s="1"/>
  <c r="R576" i="1"/>
  <c r="R575" i="1" l="1"/>
  <c r="S576" i="1"/>
  <c r="T576" i="1" s="1"/>
  <c r="R105" i="1"/>
  <c r="S106" i="1"/>
  <c r="T106" i="1" s="1"/>
  <c r="R104" i="1" l="1"/>
  <c r="S105" i="1"/>
  <c r="T105" i="1" s="1"/>
  <c r="R574" i="1"/>
  <c r="S575" i="1"/>
  <c r="T575" i="1" s="1"/>
  <c r="R573" i="1" l="1"/>
  <c r="S574" i="1"/>
  <c r="T574" i="1" s="1"/>
  <c r="R103" i="1"/>
  <c r="S104" i="1"/>
  <c r="T104" i="1" s="1"/>
  <c r="R102" i="1" l="1"/>
  <c r="S103" i="1"/>
  <c r="T103" i="1" s="1"/>
  <c r="R572" i="1"/>
  <c r="S573" i="1"/>
  <c r="T573" i="1" s="1"/>
  <c r="S572" i="1" l="1"/>
  <c r="T572" i="1" s="1"/>
  <c r="R571" i="1"/>
  <c r="R101" i="1"/>
  <c r="S102" i="1"/>
  <c r="T102" i="1" s="1"/>
  <c r="R570" i="1" l="1"/>
  <c r="S571" i="1"/>
  <c r="T571" i="1" s="1"/>
  <c r="R100" i="1"/>
  <c r="S101" i="1"/>
  <c r="T101" i="1" s="1"/>
  <c r="R99" i="1" l="1"/>
  <c r="S100" i="1"/>
  <c r="T100" i="1" s="1"/>
  <c r="R569" i="1"/>
  <c r="S570" i="1"/>
  <c r="T570" i="1" s="1"/>
  <c r="R568" i="1" l="1"/>
  <c r="S569" i="1"/>
  <c r="T569" i="1" s="1"/>
  <c r="R98" i="1"/>
  <c r="S99" i="1"/>
  <c r="T99" i="1" s="1"/>
  <c r="R97" i="1" l="1"/>
  <c r="S98" i="1"/>
  <c r="T98" i="1" s="1"/>
  <c r="R567" i="1"/>
  <c r="S568" i="1"/>
  <c r="T568" i="1" s="1"/>
  <c r="S567" i="1" l="1"/>
  <c r="T567" i="1" s="1"/>
  <c r="R566" i="1"/>
  <c r="R96" i="1"/>
  <c r="S97" i="1"/>
  <c r="T97" i="1" s="1"/>
  <c r="R565" i="1" l="1"/>
  <c r="S566" i="1"/>
  <c r="T566" i="1" s="1"/>
  <c r="R95" i="1"/>
  <c r="S96" i="1"/>
  <c r="T96" i="1" s="1"/>
  <c r="R94" i="1" l="1"/>
  <c r="S95" i="1"/>
  <c r="T95" i="1" s="1"/>
  <c r="R564" i="1"/>
  <c r="S565" i="1"/>
  <c r="T565" i="1" s="1"/>
  <c r="R563" i="1" l="1"/>
  <c r="S564" i="1"/>
  <c r="T564" i="1" s="1"/>
  <c r="R93" i="1"/>
  <c r="S94" i="1"/>
  <c r="T94" i="1" s="1"/>
  <c r="R92" i="1" l="1"/>
  <c r="S93" i="1"/>
  <c r="T93" i="1" s="1"/>
  <c r="R562" i="1"/>
  <c r="S563" i="1"/>
  <c r="T563" i="1" s="1"/>
  <c r="R561" i="1" l="1"/>
  <c r="S562" i="1"/>
  <c r="T562" i="1" s="1"/>
  <c r="R91" i="1"/>
  <c r="S92" i="1"/>
  <c r="T92" i="1" s="1"/>
  <c r="R90" i="1" l="1"/>
  <c r="S91" i="1"/>
  <c r="T91" i="1" s="1"/>
  <c r="R560" i="1"/>
  <c r="S561" i="1"/>
  <c r="T561" i="1" s="1"/>
  <c r="R559" i="1" l="1"/>
  <c r="S560" i="1"/>
  <c r="T560" i="1" s="1"/>
  <c r="R89" i="1"/>
  <c r="S90" i="1"/>
  <c r="T90" i="1" s="1"/>
  <c r="R88" i="1" l="1"/>
  <c r="S89" i="1"/>
  <c r="T89" i="1" s="1"/>
  <c r="R558" i="1"/>
  <c r="S559" i="1"/>
  <c r="T559" i="1" s="1"/>
  <c r="R557" i="1" l="1"/>
  <c r="S558" i="1"/>
  <c r="T558" i="1" s="1"/>
  <c r="R87" i="1"/>
  <c r="S88" i="1"/>
  <c r="T88" i="1" s="1"/>
  <c r="R86" i="1" l="1"/>
  <c r="S87" i="1"/>
  <c r="T87" i="1" s="1"/>
  <c r="R556" i="1"/>
  <c r="S557" i="1"/>
  <c r="T557" i="1" s="1"/>
  <c r="R555" i="1" l="1"/>
  <c r="S556" i="1"/>
  <c r="T556" i="1" s="1"/>
  <c r="R85" i="1"/>
  <c r="S86" i="1"/>
  <c r="T86" i="1" s="1"/>
  <c r="R84" i="1" l="1"/>
  <c r="S85" i="1"/>
  <c r="T85" i="1" s="1"/>
  <c r="R554" i="1"/>
  <c r="S555" i="1"/>
  <c r="T555" i="1" s="1"/>
  <c r="R553" i="1" l="1"/>
  <c r="S554" i="1"/>
  <c r="T554" i="1" s="1"/>
  <c r="R83" i="1"/>
  <c r="S84" i="1"/>
  <c r="T84" i="1" s="1"/>
  <c r="R82" i="1" l="1"/>
  <c r="S83" i="1"/>
  <c r="T83" i="1" s="1"/>
  <c r="S553" i="1"/>
  <c r="T553" i="1" s="1"/>
  <c r="R552" i="1"/>
  <c r="R551" i="1" l="1"/>
  <c r="S552" i="1"/>
  <c r="T552" i="1" s="1"/>
  <c r="R81" i="1"/>
  <c r="S82" i="1"/>
  <c r="T82" i="1" s="1"/>
  <c r="R80" i="1" l="1"/>
  <c r="S81" i="1"/>
  <c r="T81" i="1" s="1"/>
  <c r="R550" i="1"/>
  <c r="S551" i="1"/>
  <c r="T551" i="1" s="1"/>
  <c r="R549" i="1" l="1"/>
  <c r="S550" i="1"/>
  <c r="T550" i="1" s="1"/>
  <c r="R79" i="1"/>
  <c r="S80" i="1"/>
  <c r="T80" i="1" s="1"/>
  <c r="R78" i="1" l="1"/>
  <c r="S79" i="1"/>
  <c r="T79" i="1" s="1"/>
  <c r="R548" i="1"/>
  <c r="S549" i="1"/>
  <c r="T549" i="1" s="1"/>
  <c r="S548" i="1" l="1"/>
  <c r="T548" i="1" s="1"/>
  <c r="R547" i="1"/>
  <c r="R77" i="1"/>
  <c r="S78" i="1"/>
  <c r="T78" i="1" s="1"/>
  <c r="R76" i="1" l="1"/>
  <c r="S77" i="1"/>
  <c r="T77" i="1" s="1"/>
  <c r="R546" i="1"/>
  <c r="S547" i="1"/>
  <c r="T547" i="1" s="1"/>
  <c r="R545" i="1" l="1"/>
  <c r="S546" i="1"/>
  <c r="T546" i="1" s="1"/>
  <c r="R75" i="1"/>
  <c r="S76" i="1"/>
  <c r="T76" i="1" s="1"/>
  <c r="R74" i="1" l="1"/>
  <c r="S75" i="1"/>
  <c r="T75" i="1" s="1"/>
  <c r="R544" i="1"/>
  <c r="S545" i="1"/>
  <c r="T545" i="1" s="1"/>
  <c r="S544" i="1" l="1"/>
  <c r="T544" i="1" s="1"/>
  <c r="R543" i="1"/>
  <c r="R73" i="1"/>
  <c r="S74" i="1"/>
  <c r="T74" i="1" s="1"/>
  <c r="R72" i="1" l="1"/>
  <c r="S73" i="1"/>
  <c r="T73" i="1" s="1"/>
  <c r="S543" i="1"/>
  <c r="T543" i="1" s="1"/>
  <c r="R542" i="1"/>
  <c r="R541" i="1" l="1"/>
  <c r="S542" i="1"/>
  <c r="T542" i="1" s="1"/>
  <c r="R71" i="1"/>
  <c r="S72" i="1"/>
  <c r="T72" i="1" s="1"/>
  <c r="R70" i="1" l="1"/>
  <c r="S71" i="1"/>
  <c r="T71" i="1" s="1"/>
  <c r="R540" i="1"/>
  <c r="S541" i="1"/>
  <c r="T541" i="1" s="1"/>
  <c r="R539" i="1" l="1"/>
  <c r="S540" i="1"/>
  <c r="T540" i="1" s="1"/>
  <c r="R69" i="1"/>
  <c r="S70" i="1"/>
  <c r="T70" i="1" s="1"/>
  <c r="R68" i="1" l="1"/>
  <c r="S69" i="1"/>
  <c r="T69" i="1" s="1"/>
  <c r="R538" i="1"/>
  <c r="S539" i="1"/>
  <c r="T539" i="1" s="1"/>
  <c r="R537" i="1" l="1"/>
  <c r="S538" i="1"/>
  <c r="T538" i="1" s="1"/>
  <c r="R67" i="1"/>
  <c r="S68" i="1"/>
  <c r="T68" i="1" s="1"/>
  <c r="R66" i="1" l="1"/>
  <c r="S67" i="1"/>
  <c r="T67" i="1" s="1"/>
  <c r="R536" i="1"/>
  <c r="S537" i="1"/>
  <c r="T537" i="1" s="1"/>
  <c r="S536" i="1" l="1"/>
  <c r="T536" i="1" s="1"/>
  <c r="R535" i="1"/>
  <c r="R65" i="1"/>
  <c r="S66" i="1"/>
  <c r="T66" i="1" s="1"/>
  <c r="R64" i="1" l="1"/>
  <c r="S65" i="1"/>
  <c r="T65" i="1" s="1"/>
  <c r="R534" i="1"/>
  <c r="S535" i="1"/>
  <c r="T535" i="1" s="1"/>
  <c r="R533" i="1" l="1"/>
  <c r="S534" i="1"/>
  <c r="T534" i="1" s="1"/>
  <c r="R63" i="1"/>
  <c r="S64" i="1"/>
  <c r="T64" i="1" s="1"/>
  <c r="R62" i="1" l="1"/>
  <c r="S63" i="1"/>
  <c r="T63" i="1" s="1"/>
  <c r="R532" i="1"/>
  <c r="S533" i="1"/>
  <c r="T533" i="1" s="1"/>
  <c r="R531" i="1" l="1"/>
  <c r="S532" i="1"/>
  <c r="T532" i="1" s="1"/>
  <c r="R61" i="1"/>
  <c r="S62" i="1"/>
  <c r="T62" i="1" s="1"/>
  <c r="R60" i="1" l="1"/>
  <c r="S61" i="1"/>
  <c r="T61" i="1" s="1"/>
  <c r="R530" i="1"/>
  <c r="S531" i="1"/>
  <c r="T531" i="1" s="1"/>
  <c r="R529" i="1" l="1"/>
  <c r="S530" i="1"/>
  <c r="T530" i="1" s="1"/>
  <c r="R59" i="1"/>
  <c r="S60" i="1"/>
  <c r="T60" i="1" s="1"/>
  <c r="R58" i="1" l="1"/>
  <c r="S59" i="1"/>
  <c r="T59" i="1" s="1"/>
  <c r="S529" i="1"/>
  <c r="T529" i="1" s="1"/>
  <c r="R528" i="1"/>
  <c r="R527" i="1" l="1"/>
  <c r="S528" i="1"/>
  <c r="T528" i="1" s="1"/>
  <c r="R57" i="1"/>
  <c r="S58" i="1"/>
  <c r="T58" i="1" s="1"/>
  <c r="R56" i="1" l="1"/>
  <c r="S57" i="1"/>
  <c r="T57" i="1" s="1"/>
  <c r="R526" i="1"/>
  <c r="S527" i="1"/>
  <c r="T527" i="1" s="1"/>
  <c r="R525" i="1" l="1"/>
  <c r="S526" i="1"/>
  <c r="T526" i="1" s="1"/>
  <c r="R55" i="1"/>
  <c r="S56" i="1"/>
  <c r="T56" i="1" s="1"/>
  <c r="R54" i="1" l="1"/>
  <c r="S55" i="1"/>
  <c r="T55" i="1" s="1"/>
  <c r="R524" i="1"/>
  <c r="S525" i="1"/>
  <c r="T525" i="1" s="1"/>
  <c r="S524" i="1" l="1"/>
  <c r="T524" i="1" s="1"/>
  <c r="R523" i="1"/>
  <c r="R53" i="1"/>
  <c r="S54" i="1"/>
  <c r="T54" i="1" s="1"/>
  <c r="R52" i="1" l="1"/>
  <c r="S53" i="1"/>
  <c r="T53" i="1" s="1"/>
  <c r="R522" i="1"/>
  <c r="S523" i="1"/>
  <c r="T523" i="1" s="1"/>
  <c r="R521" i="1" l="1"/>
  <c r="S522" i="1"/>
  <c r="T522" i="1" s="1"/>
  <c r="R51" i="1"/>
  <c r="S52" i="1"/>
  <c r="T52" i="1" s="1"/>
  <c r="R50" i="1" l="1"/>
  <c r="S51" i="1"/>
  <c r="T51" i="1" s="1"/>
  <c r="R520" i="1"/>
  <c r="S521" i="1"/>
  <c r="T521" i="1" s="1"/>
  <c r="S520" i="1" l="1"/>
  <c r="T520" i="1" s="1"/>
  <c r="R519" i="1"/>
  <c r="R49" i="1"/>
  <c r="S50" i="1"/>
  <c r="T50" i="1" s="1"/>
  <c r="R48" i="1" l="1"/>
  <c r="S49" i="1"/>
  <c r="T49" i="1" s="1"/>
  <c r="S519" i="1"/>
  <c r="T519" i="1" s="1"/>
  <c r="R518" i="1"/>
  <c r="R517" i="1" l="1"/>
  <c r="S518" i="1"/>
  <c r="T518" i="1" s="1"/>
  <c r="R47" i="1"/>
  <c r="S48" i="1"/>
  <c r="T48" i="1" s="1"/>
  <c r="R46" i="1" l="1"/>
  <c r="S47" i="1"/>
  <c r="T47" i="1" s="1"/>
  <c r="R516" i="1"/>
  <c r="S517" i="1"/>
  <c r="T517" i="1" s="1"/>
  <c r="R515" i="1" l="1"/>
  <c r="S516" i="1"/>
  <c r="T516" i="1" s="1"/>
  <c r="R45" i="1"/>
  <c r="S46" i="1"/>
  <c r="T46" i="1" s="1"/>
  <c r="R44" i="1" l="1"/>
  <c r="S45" i="1"/>
  <c r="T45" i="1" s="1"/>
  <c r="R514" i="1"/>
  <c r="S515" i="1"/>
  <c r="T515" i="1" s="1"/>
  <c r="R513" i="1" l="1"/>
  <c r="S514" i="1"/>
  <c r="T514" i="1" s="1"/>
  <c r="R43" i="1"/>
  <c r="S44" i="1"/>
  <c r="T44" i="1" s="1"/>
  <c r="R42" i="1" l="1"/>
  <c r="S43" i="1"/>
  <c r="T43" i="1" s="1"/>
  <c r="R512" i="1"/>
  <c r="S513" i="1"/>
  <c r="T513" i="1" s="1"/>
  <c r="R511" i="1" l="1"/>
  <c r="S512" i="1"/>
  <c r="T512" i="1" s="1"/>
  <c r="S42" i="1"/>
  <c r="T42" i="1" s="1"/>
  <c r="R41" i="1"/>
  <c r="R40" i="1" l="1"/>
  <c r="S41" i="1"/>
  <c r="T41" i="1" s="1"/>
  <c r="R510" i="1"/>
  <c r="S511" i="1"/>
  <c r="T511" i="1" s="1"/>
  <c r="S510" i="1" l="1"/>
  <c r="T510" i="1" s="1"/>
  <c r="R509" i="1"/>
  <c r="R39" i="1"/>
  <c r="S40" i="1"/>
  <c r="T40" i="1" s="1"/>
  <c r="R38" i="1" l="1"/>
  <c r="S39" i="1"/>
  <c r="T39" i="1" s="1"/>
  <c r="R508" i="1"/>
  <c r="S509" i="1"/>
  <c r="T509" i="1" s="1"/>
  <c r="R507" i="1" l="1"/>
  <c r="S508" i="1"/>
  <c r="T508" i="1" s="1"/>
  <c r="S38" i="1"/>
  <c r="T38" i="1" s="1"/>
  <c r="R37" i="1"/>
  <c r="S37" i="1" l="1"/>
  <c r="T37" i="1" s="1"/>
  <c r="R36" i="1"/>
  <c r="R506" i="1"/>
  <c r="S507" i="1"/>
  <c r="T507" i="1" s="1"/>
  <c r="R35" i="1" l="1"/>
  <c r="S36" i="1"/>
  <c r="T36" i="1" s="1"/>
  <c r="R505" i="1"/>
  <c r="S506" i="1"/>
  <c r="T506" i="1" s="1"/>
  <c r="S505" i="1" l="1"/>
  <c r="T505" i="1" s="1"/>
  <c r="R504" i="1"/>
  <c r="R34" i="1"/>
  <c r="S35" i="1"/>
  <c r="T35" i="1" s="1"/>
  <c r="S504" i="1" l="1"/>
  <c r="T504" i="1" s="1"/>
  <c r="R503" i="1"/>
  <c r="R33" i="1"/>
  <c r="S34" i="1"/>
  <c r="T34" i="1" s="1"/>
  <c r="R502" i="1" l="1"/>
  <c r="S503" i="1"/>
  <c r="T503" i="1" s="1"/>
  <c r="S33" i="1"/>
  <c r="T33" i="1" s="1"/>
  <c r="R32" i="1"/>
  <c r="S32" i="1" l="1"/>
  <c r="T32" i="1" s="1"/>
  <c r="R31" i="1"/>
  <c r="R501" i="1"/>
  <c r="S502" i="1"/>
  <c r="T502" i="1" s="1"/>
  <c r="S31" i="1" l="1"/>
  <c r="T31" i="1" s="1"/>
  <c r="R30" i="1"/>
  <c r="R500" i="1"/>
  <c r="S501" i="1"/>
  <c r="T501" i="1" s="1"/>
  <c r="S30" i="1" l="1"/>
  <c r="T30" i="1" s="1"/>
  <c r="R29" i="1"/>
  <c r="R499" i="1"/>
  <c r="S500" i="1"/>
  <c r="T500" i="1" s="1"/>
  <c r="R28" i="1" l="1"/>
  <c r="S29" i="1"/>
  <c r="T29" i="1" s="1"/>
  <c r="R498" i="1"/>
  <c r="S499" i="1"/>
  <c r="T499" i="1" s="1"/>
  <c r="R497" i="1" l="1"/>
  <c r="S498" i="1"/>
  <c r="T498" i="1" s="1"/>
  <c r="R27" i="1"/>
  <c r="S28" i="1"/>
  <c r="T28" i="1" s="1"/>
  <c r="R26" i="1" l="1"/>
  <c r="S27" i="1"/>
  <c r="T27" i="1" s="1"/>
  <c r="R496" i="1"/>
  <c r="S497" i="1"/>
  <c r="T497" i="1" s="1"/>
  <c r="S496" i="1" l="1"/>
  <c r="T496" i="1" s="1"/>
  <c r="R495" i="1"/>
  <c r="R25" i="1"/>
  <c r="S26" i="1"/>
  <c r="T26" i="1" s="1"/>
  <c r="S495" i="1" l="1"/>
  <c r="T495" i="1" s="1"/>
  <c r="R494" i="1"/>
  <c r="R24" i="1"/>
  <c r="S25" i="1"/>
  <c r="T25" i="1" s="1"/>
  <c r="R493" i="1" l="1"/>
  <c r="S494" i="1"/>
  <c r="T494" i="1" s="1"/>
  <c r="R23" i="1"/>
  <c r="S24" i="1"/>
  <c r="T24" i="1" s="1"/>
  <c r="R22" i="1" l="1"/>
  <c r="S23" i="1"/>
  <c r="T23" i="1" s="1"/>
  <c r="R492" i="1"/>
  <c r="S493" i="1"/>
  <c r="T493" i="1" s="1"/>
  <c r="S22" i="1" l="1"/>
  <c r="T22" i="1" s="1"/>
  <c r="R21" i="1"/>
  <c r="R491" i="1"/>
  <c r="S492" i="1"/>
  <c r="T492" i="1" s="1"/>
  <c r="S21" i="1" l="1"/>
  <c r="T21" i="1" s="1"/>
  <c r="R20" i="1"/>
  <c r="S491" i="1"/>
  <c r="T491" i="1" s="1"/>
  <c r="R490" i="1"/>
  <c r="S20" i="1" l="1"/>
  <c r="T20" i="1" s="1"/>
  <c r="R19" i="1"/>
  <c r="R489" i="1"/>
  <c r="S490" i="1"/>
  <c r="T490" i="1" s="1"/>
  <c r="S19" i="1" l="1"/>
  <c r="T19" i="1" s="1"/>
  <c r="R18" i="1"/>
  <c r="R488" i="1"/>
  <c r="S489" i="1"/>
  <c r="T489" i="1" s="1"/>
  <c r="S18" i="1" l="1"/>
  <c r="T18" i="1" s="1"/>
  <c r="R17" i="1"/>
  <c r="R487" i="1"/>
  <c r="S488" i="1"/>
  <c r="T488" i="1" s="1"/>
  <c r="S17" i="1" l="1"/>
  <c r="T17" i="1" s="1"/>
  <c r="R16" i="1"/>
  <c r="R486" i="1"/>
  <c r="S487" i="1"/>
  <c r="T487" i="1" s="1"/>
  <c r="S16" i="1" l="1"/>
  <c r="T16" i="1" s="1"/>
  <c r="R15" i="1"/>
  <c r="S486" i="1"/>
  <c r="T486" i="1" s="1"/>
  <c r="R485" i="1"/>
  <c r="S15" i="1" l="1"/>
  <c r="T15" i="1" s="1"/>
  <c r="R14" i="1"/>
  <c r="R484" i="1"/>
  <c r="S485" i="1"/>
  <c r="T485" i="1" s="1"/>
  <c r="S14" i="1" l="1"/>
  <c r="T14" i="1" s="1"/>
  <c r="R13" i="1"/>
  <c r="R483" i="1"/>
  <c r="S484" i="1"/>
  <c r="T484" i="1" s="1"/>
  <c r="S13" i="1" l="1"/>
  <c r="T13" i="1" s="1"/>
  <c r="R12" i="1"/>
  <c r="R482" i="1"/>
  <c r="S483" i="1"/>
  <c r="T483" i="1" s="1"/>
  <c r="S12" i="1" l="1"/>
  <c r="T12" i="1" s="1"/>
  <c r="R11" i="1"/>
  <c r="R481" i="1"/>
  <c r="S482" i="1"/>
  <c r="T482" i="1" s="1"/>
  <c r="S11" i="1" l="1"/>
  <c r="T11" i="1" s="1"/>
  <c r="R10" i="1"/>
  <c r="S481" i="1"/>
  <c r="T481" i="1" s="1"/>
  <c r="R480" i="1"/>
  <c r="S10" i="1" l="1"/>
  <c r="T10" i="1" s="1"/>
  <c r="R9" i="1"/>
  <c r="R479" i="1"/>
  <c r="S480" i="1"/>
  <c r="T480" i="1" s="1"/>
  <c r="S9" i="1" l="1"/>
  <c r="T9" i="1" s="1"/>
  <c r="R8" i="1"/>
  <c r="R478" i="1"/>
  <c r="S479" i="1"/>
  <c r="T479" i="1" s="1"/>
  <c r="S8" i="1" l="1"/>
  <c r="T8" i="1" s="1"/>
  <c r="R7" i="1"/>
  <c r="R477" i="1"/>
  <c r="S478" i="1"/>
  <c r="T478" i="1" s="1"/>
  <c r="S7" i="1" l="1"/>
  <c r="T7" i="1" s="1"/>
  <c r="R6" i="1"/>
  <c r="S6" i="1" s="1"/>
  <c r="T6" i="1" s="1"/>
  <c r="R476" i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S349" i="1" l="1"/>
  <c r="T349" i="1" s="1"/>
  <c r="R348" i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S341" i="1" l="1"/>
  <c r="T341" i="1" s="1"/>
  <c r="R340" i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S333" i="1" l="1"/>
  <c r="T333" i="1" s="1"/>
  <c r="R332" i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S317" i="1" l="1"/>
  <c r="T317" i="1" s="1"/>
  <c r="R316" i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S300" i="1" l="1"/>
  <c r="T300" i="1" s="1"/>
  <c r="R299" i="1"/>
  <c r="S299" i="1" s="1"/>
  <c r="T299" i="1" s="1"/>
</calcChain>
</file>

<file path=xl/sharedStrings.xml><?xml version="1.0" encoding="utf-8"?>
<sst xmlns="http://schemas.openxmlformats.org/spreadsheetml/2006/main" count="3369" uniqueCount="34">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</sst>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0.70399999999999996</c:v>
                </c:pt>
                <c:pt idx="1">
                  <c:v>0.72499999999999998</c:v>
                </c:pt>
                <c:pt idx="2">
                  <c:v>0.71099999999999997</c:v>
                </c:pt>
                <c:pt idx="3">
                  <c:v>0.73</c:v>
                </c:pt>
                <c:pt idx="4">
                  <c:v>0.75700000000000001</c:v>
                </c:pt>
                <c:pt idx="5">
                  <c:v>0.74299999999999999</c:v>
                </c:pt>
                <c:pt idx="6">
                  <c:v>0.76600000000000001</c:v>
                </c:pt>
                <c:pt idx="7">
                  <c:v>0.83099999999999996</c:v>
                </c:pt>
                <c:pt idx="8">
                  <c:v>0.86699999999999999</c:v>
                </c:pt>
                <c:pt idx="9">
                  <c:v>0.9</c:v>
                </c:pt>
                <c:pt idx="10">
                  <c:v>0.91500000000000004</c:v>
                </c:pt>
                <c:pt idx="11">
                  <c:v>0.93700000000000006</c:v>
                </c:pt>
                <c:pt idx="12">
                  <c:v>0.93500000000000005</c:v>
                </c:pt>
                <c:pt idx="13">
                  <c:v>0.92700000000000005</c:v>
                </c:pt>
                <c:pt idx="14">
                  <c:v>0.92100000000000004</c:v>
                </c:pt>
                <c:pt idx="15">
                  <c:v>0.93</c:v>
                </c:pt>
                <c:pt idx="16">
                  <c:v>0.89100000000000001</c:v>
                </c:pt>
                <c:pt idx="17">
                  <c:v>0.86899999999999999</c:v>
                </c:pt>
                <c:pt idx="18">
                  <c:v>0.91</c:v>
                </c:pt>
                <c:pt idx="19">
                  <c:v>0.89700000000000002</c:v>
                </c:pt>
                <c:pt idx="20">
                  <c:v>0.91400000000000003</c:v>
                </c:pt>
                <c:pt idx="21">
                  <c:v>0.97899999999999998</c:v>
                </c:pt>
                <c:pt idx="22">
                  <c:v>0.99399999999999999</c:v>
                </c:pt>
                <c:pt idx="23">
                  <c:v>1.0629999999999999</c:v>
                </c:pt>
                <c:pt idx="24">
                  <c:v>1.075</c:v>
                </c:pt>
                <c:pt idx="25">
                  <c:v>1.079</c:v>
                </c:pt>
                <c:pt idx="26">
                  <c:v>1.04</c:v>
                </c:pt>
                <c:pt idx="27">
                  <c:v>1.018</c:v>
                </c:pt>
                <c:pt idx="28">
                  <c:v>1.038</c:v>
                </c:pt>
                <c:pt idx="29">
                  <c:v>1.01</c:v>
                </c:pt>
                <c:pt idx="30">
                  <c:v>1.0620000000000001</c:v>
                </c:pt>
                <c:pt idx="31">
                  <c:v>1.1599999999999999</c:v>
                </c:pt>
                <c:pt idx="32">
                  <c:v>1.1399999999999999</c:v>
                </c:pt>
                <c:pt idx="33">
                  <c:v>1.1539999999999999</c:v>
                </c:pt>
                <c:pt idx="34">
                  <c:v>1.139</c:v>
                </c:pt>
                <c:pt idx="35">
                  <c:v>1.1279999999999999</c:v>
                </c:pt>
                <c:pt idx="36">
                  <c:v>1.0860000000000001</c:v>
                </c:pt>
                <c:pt idx="37">
                  <c:v>1.087</c:v>
                </c:pt>
                <c:pt idx="38">
                  <c:v>1.014</c:v>
                </c:pt>
                <c:pt idx="39">
                  <c:v>1.0509999999999999</c:v>
                </c:pt>
                <c:pt idx="40">
                  <c:v>1.026</c:v>
                </c:pt>
                <c:pt idx="41">
                  <c:v>1.004</c:v>
                </c:pt>
                <c:pt idx="42">
                  <c:v>1.0069999999999999</c:v>
                </c:pt>
                <c:pt idx="43">
                  <c:v>1.0369999999999999</c:v>
                </c:pt>
                <c:pt idx="44">
                  <c:v>1.012</c:v>
                </c:pt>
                <c:pt idx="45">
                  <c:v>0.98899999999999999</c:v>
                </c:pt>
                <c:pt idx="46">
                  <c:v>1.1060000000000001</c:v>
                </c:pt>
                <c:pt idx="47">
                  <c:v>1.1279999999999999</c:v>
                </c:pt>
                <c:pt idx="48">
                  <c:v>1.1579999999999999</c:v>
                </c:pt>
                <c:pt idx="49">
                  <c:v>1.052</c:v>
                </c:pt>
                <c:pt idx="50">
                  <c:v>1.1579999999999999</c:v>
                </c:pt>
                <c:pt idx="51">
                  <c:v>1.1539999999999999</c:v>
                </c:pt>
                <c:pt idx="52">
                  <c:v>1.149</c:v>
                </c:pt>
                <c:pt idx="53">
                  <c:v>1.0449999999999999</c:v>
                </c:pt>
                <c:pt idx="54">
                  <c:v>1.115</c:v>
                </c:pt>
                <c:pt idx="55">
                  <c:v>1.298</c:v>
                </c:pt>
                <c:pt idx="56">
                  <c:v>1.401</c:v>
                </c:pt>
                <c:pt idx="57">
                  <c:v>1.3839999999999999</c:v>
                </c:pt>
                <c:pt idx="58">
                  <c:v>1.3819999999999999</c:v>
                </c:pt>
                <c:pt idx="59">
                  <c:v>1.3939999999999999</c:v>
                </c:pt>
                <c:pt idx="60">
                  <c:v>1.3660000000000001</c:v>
                </c:pt>
                <c:pt idx="61">
                  <c:v>1.3779999999999999</c:v>
                </c:pt>
                <c:pt idx="62">
                  <c:v>1.36</c:v>
                </c:pt>
                <c:pt idx="63">
                  <c:v>1.484</c:v>
                </c:pt>
                <c:pt idx="64">
                  <c:v>1.4179999999999999</c:v>
                </c:pt>
                <c:pt idx="65">
                  <c:v>1.44</c:v>
                </c:pt>
                <c:pt idx="66">
                  <c:v>1.409</c:v>
                </c:pt>
                <c:pt idx="67">
                  <c:v>1.4750000000000001</c:v>
                </c:pt>
                <c:pt idx="68">
                  <c:v>1.486</c:v>
                </c:pt>
                <c:pt idx="69">
                  <c:v>1.4470000000000001</c:v>
                </c:pt>
                <c:pt idx="70">
                  <c:v>1.391</c:v>
                </c:pt>
                <c:pt idx="71">
                  <c:v>1.5289999999999999</c:v>
                </c:pt>
                <c:pt idx="72">
                  <c:v>1.415</c:v>
                </c:pt>
                <c:pt idx="73">
                  <c:v>1.5</c:v>
                </c:pt>
                <c:pt idx="74">
                  <c:v>1.502</c:v>
                </c:pt>
                <c:pt idx="75">
                  <c:v>1.494</c:v>
                </c:pt>
                <c:pt idx="76">
                  <c:v>1.4790000000000001</c:v>
                </c:pt>
                <c:pt idx="77">
                  <c:v>1.51</c:v>
                </c:pt>
                <c:pt idx="78">
                  <c:v>1.494</c:v>
                </c:pt>
                <c:pt idx="79">
                  <c:v>1.5880000000000001</c:v>
                </c:pt>
                <c:pt idx="80">
                  <c:v>1.615</c:v>
                </c:pt>
                <c:pt idx="81">
                  <c:v>1.5549999999999999</c:v>
                </c:pt>
                <c:pt idx="82">
                  <c:v>1.5649999999999999</c:v>
                </c:pt>
                <c:pt idx="83">
                  <c:v>1.587</c:v>
                </c:pt>
                <c:pt idx="84">
                  <c:v>1.6020000000000001</c:v>
                </c:pt>
                <c:pt idx="85">
                  <c:v>1.583</c:v>
                </c:pt>
                <c:pt idx="86">
                  <c:v>1.5920000000000001</c:v>
                </c:pt>
                <c:pt idx="87">
                  <c:v>1.54</c:v>
                </c:pt>
                <c:pt idx="88">
                  <c:v>1.569</c:v>
                </c:pt>
                <c:pt idx="89">
                  <c:v>1.502</c:v>
                </c:pt>
                <c:pt idx="90">
                  <c:v>1.452</c:v>
                </c:pt>
                <c:pt idx="91">
                  <c:v>1.4079999999999999</c:v>
                </c:pt>
                <c:pt idx="92">
                  <c:v>1.319</c:v>
                </c:pt>
                <c:pt idx="93">
                  <c:v>1.4990000000000001</c:v>
                </c:pt>
                <c:pt idx="94">
                  <c:v>1.532</c:v>
                </c:pt>
                <c:pt idx="95">
                  <c:v>1.518</c:v>
                </c:pt>
                <c:pt idx="96">
                  <c:v>1.5009999999999999</c:v>
                </c:pt>
                <c:pt idx="97">
                  <c:v>1.502</c:v>
                </c:pt>
                <c:pt idx="98">
                  <c:v>1.474</c:v>
                </c:pt>
                <c:pt idx="99">
                  <c:v>1.5389999999999999</c:v>
                </c:pt>
                <c:pt idx="100">
                  <c:v>1.4970000000000001</c:v>
                </c:pt>
                <c:pt idx="101">
                  <c:v>1.4830000000000001</c:v>
                </c:pt>
                <c:pt idx="102">
                  <c:v>1.4650000000000001</c:v>
                </c:pt>
                <c:pt idx="103">
                  <c:v>1.518</c:v>
                </c:pt>
                <c:pt idx="104">
                  <c:v>1.542</c:v>
                </c:pt>
                <c:pt idx="105">
                  <c:v>1.6870000000000001</c:v>
                </c:pt>
                <c:pt idx="106">
                  <c:v>1.7010000000000001</c:v>
                </c:pt>
                <c:pt idx="107">
                  <c:v>1.671</c:v>
                </c:pt>
                <c:pt idx="108">
                  <c:v>1.67</c:v>
                </c:pt>
                <c:pt idx="109">
                  <c:v>1.724</c:v>
                </c:pt>
                <c:pt idx="110">
                  <c:v>1.726</c:v>
                </c:pt>
                <c:pt idx="111">
                  <c:v>1.7450000000000001</c:v>
                </c:pt>
                <c:pt idx="112">
                  <c:v>1.6519999999999999</c:v>
                </c:pt>
                <c:pt idx="113">
                  <c:v>1.675</c:v>
                </c:pt>
                <c:pt idx="114">
                  <c:v>1.5589999999999999</c:v>
                </c:pt>
                <c:pt idx="115">
                  <c:v>1.478</c:v>
                </c:pt>
                <c:pt idx="116">
                  <c:v>1.5249999999999999</c:v>
                </c:pt>
                <c:pt idx="117">
                  <c:v>1.446</c:v>
                </c:pt>
                <c:pt idx="118">
                  <c:v>1.444</c:v>
                </c:pt>
                <c:pt idx="119">
                  <c:v>1.2370000000000001</c:v>
                </c:pt>
                <c:pt idx="120">
                  <c:v>1.1739999999999999</c:v>
                </c:pt>
                <c:pt idx="121">
                  <c:v>1.1140000000000001</c:v>
                </c:pt>
                <c:pt idx="122">
                  <c:v>1.21</c:v>
                </c:pt>
                <c:pt idx="123">
                  <c:v>1.282</c:v>
                </c:pt>
                <c:pt idx="124">
                  <c:v>1.264</c:v>
                </c:pt>
                <c:pt idx="125">
                  <c:v>1.2729999999999999</c:v>
                </c:pt>
                <c:pt idx="126">
                  <c:v>1.389</c:v>
                </c:pt>
                <c:pt idx="127">
                  <c:v>1.355</c:v>
                </c:pt>
                <c:pt idx="128">
                  <c:v>1.236</c:v>
                </c:pt>
                <c:pt idx="129">
                  <c:v>1.4419999999999999</c:v>
                </c:pt>
                <c:pt idx="130">
                  <c:v>1.64</c:v>
                </c:pt>
                <c:pt idx="131">
                  <c:v>1.6419999999999999</c:v>
                </c:pt>
                <c:pt idx="132">
                  <c:v>1.5609999999999999</c:v>
                </c:pt>
                <c:pt idx="133">
                  <c:v>1.5940000000000001</c:v>
                </c:pt>
                <c:pt idx="134">
                  <c:v>1.62</c:v>
                </c:pt>
                <c:pt idx="135">
                  <c:v>1.5660000000000001</c:v>
                </c:pt>
                <c:pt idx="136">
                  <c:v>1.5129999999999999</c:v>
                </c:pt>
                <c:pt idx="137">
                  <c:v>1.6220000000000001</c:v>
                </c:pt>
                <c:pt idx="138">
                  <c:v>1.6080000000000001</c:v>
                </c:pt>
                <c:pt idx="139">
                  <c:v>1.5660000000000001</c:v>
                </c:pt>
                <c:pt idx="140">
                  <c:v>1.6990000000000001</c:v>
                </c:pt>
                <c:pt idx="141">
                  <c:v>1.6519999999999999</c:v>
                </c:pt>
                <c:pt idx="142">
                  <c:v>1.653</c:v>
                </c:pt>
                <c:pt idx="143">
                  <c:v>2.1110000000000002</c:v>
                </c:pt>
                <c:pt idx="144">
                  <c:v>2.1</c:v>
                </c:pt>
                <c:pt idx="145">
                  <c:v>2.0459999999999998</c:v>
                </c:pt>
                <c:pt idx="146">
                  <c:v>1.9059999999999999</c:v>
                </c:pt>
                <c:pt idx="147">
                  <c:v>1.8160000000000001</c:v>
                </c:pt>
                <c:pt idx="148">
                  <c:v>1.8120000000000001</c:v>
                </c:pt>
                <c:pt idx="149">
                  <c:v>1.754</c:v>
                </c:pt>
                <c:pt idx="150">
                  <c:v>1.6950000000000001</c:v>
                </c:pt>
                <c:pt idx="151">
                  <c:v>1.7669999999999999</c:v>
                </c:pt>
                <c:pt idx="152">
                  <c:v>1.7849999999999999</c:v>
                </c:pt>
                <c:pt idx="153">
                  <c:v>1.8540000000000001</c:v>
                </c:pt>
                <c:pt idx="154">
                  <c:v>1.762</c:v>
                </c:pt>
                <c:pt idx="155">
                  <c:v>1.929</c:v>
                </c:pt>
                <c:pt idx="156">
                  <c:v>1.875</c:v>
                </c:pt>
                <c:pt idx="157">
                  <c:v>1.911</c:v>
                </c:pt>
                <c:pt idx="158">
                  <c:v>1.8680000000000001</c:v>
                </c:pt>
                <c:pt idx="159">
                  <c:v>1.772</c:v>
                </c:pt>
                <c:pt idx="160">
                  <c:v>1.7869999999999999</c:v>
                </c:pt>
                <c:pt idx="161">
                  <c:v>1.7250000000000001</c:v>
                </c:pt>
                <c:pt idx="162">
                  <c:v>1.6619999999999999</c:v>
                </c:pt>
                <c:pt idx="163">
                  <c:v>1.712</c:v>
                </c:pt>
                <c:pt idx="164">
                  <c:v>1.8640000000000001</c:v>
                </c:pt>
                <c:pt idx="165">
                  <c:v>1.827</c:v>
                </c:pt>
                <c:pt idx="166">
                  <c:v>1.845</c:v>
                </c:pt>
                <c:pt idx="167">
                  <c:v>1.8520000000000001</c:v>
                </c:pt>
                <c:pt idx="168">
                  <c:v>1.74</c:v>
                </c:pt>
                <c:pt idx="169">
                  <c:v>1.6850000000000001</c:v>
                </c:pt>
                <c:pt idx="170">
                  <c:v>1.625</c:v>
                </c:pt>
                <c:pt idx="171">
                  <c:v>1.615</c:v>
                </c:pt>
                <c:pt idx="172">
                  <c:v>1.569</c:v>
                </c:pt>
                <c:pt idx="173">
                  <c:v>1.661</c:v>
                </c:pt>
                <c:pt idx="174">
                  <c:v>1.609</c:v>
                </c:pt>
                <c:pt idx="175">
                  <c:v>1.5529999999999999</c:v>
                </c:pt>
                <c:pt idx="176">
                  <c:v>1.5860000000000001</c:v>
                </c:pt>
                <c:pt idx="177">
                  <c:v>1.575</c:v>
                </c:pt>
                <c:pt idx="178">
                  <c:v>1.446</c:v>
                </c:pt>
                <c:pt idx="179">
                  <c:v>1.4390000000000001</c:v>
                </c:pt>
                <c:pt idx="180">
                  <c:v>1.478</c:v>
                </c:pt>
                <c:pt idx="181">
                  <c:v>1.4179999999999999</c:v>
                </c:pt>
                <c:pt idx="182">
                  <c:v>1.272</c:v>
                </c:pt>
                <c:pt idx="183">
                  <c:v>1.208</c:v>
                </c:pt>
                <c:pt idx="184">
                  <c:v>1.175</c:v>
                </c:pt>
                <c:pt idx="185">
                  <c:v>1.1339999999999999</c:v>
                </c:pt>
                <c:pt idx="186">
                  <c:v>1.1020000000000001</c:v>
                </c:pt>
                <c:pt idx="187">
                  <c:v>1.1040000000000001</c:v>
                </c:pt>
                <c:pt idx="188">
                  <c:v>1.022</c:v>
                </c:pt>
                <c:pt idx="189">
                  <c:v>0.99399999999999999</c:v>
                </c:pt>
                <c:pt idx="190">
                  <c:v>0.97899999999999998</c:v>
                </c:pt>
                <c:pt idx="191">
                  <c:v>0.91600000000000004</c:v>
                </c:pt>
                <c:pt idx="192">
                  <c:v>0.999</c:v>
                </c:pt>
                <c:pt idx="193">
                  <c:v>1.127</c:v>
                </c:pt>
                <c:pt idx="194">
                  <c:v>1.304</c:v>
                </c:pt>
                <c:pt idx="195">
                  <c:v>0.96599999999999997</c:v>
                </c:pt>
                <c:pt idx="196">
                  <c:v>1.0740000000000001</c:v>
                </c:pt>
                <c:pt idx="197">
                  <c:v>1.151</c:v>
                </c:pt>
                <c:pt idx="198">
                  <c:v>1.2030000000000001</c:v>
                </c:pt>
                <c:pt idx="199">
                  <c:v>1.331</c:v>
                </c:pt>
                <c:pt idx="200">
                  <c:v>1.125</c:v>
                </c:pt>
                <c:pt idx="201">
                  <c:v>1.071</c:v>
                </c:pt>
                <c:pt idx="202">
                  <c:v>1.113</c:v>
                </c:pt>
                <c:pt idx="203">
                  <c:v>1.119</c:v>
                </c:pt>
                <c:pt idx="204">
                  <c:v>1.278</c:v>
                </c:pt>
                <c:pt idx="205">
                  <c:v>1.169</c:v>
                </c:pt>
                <c:pt idx="206">
                  <c:v>1.1140000000000001</c:v>
                </c:pt>
                <c:pt idx="207">
                  <c:v>1.1519999999999999</c:v>
                </c:pt>
                <c:pt idx="208">
                  <c:v>1.1140000000000001</c:v>
                </c:pt>
                <c:pt idx="209">
                  <c:v>1.069</c:v>
                </c:pt>
                <c:pt idx="210">
                  <c:v>1.0940000000000001</c:v>
                </c:pt>
                <c:pt idx="211">
                  <c:v>1.1659999999999999</c:v>
                </c:pt>
                <c:pt idx="212">
                  <c:v>1.01</c:v>
                </c:pt>
                <c:pt idx="213">
                  <c:v>0.90600000000000003</c:v>
                </c:pt>
                <c:pt idx="214">
                  <c:v>0.83099999999999996</c:v>
                </c:pt>
                <c:pt idx="215">
                  <c:v>0.748</c:v>
                </c:pt>
                <c:pt idx="216">
                  <c:v>0.73299999999999998</c:v>
                </c:pt>
                <c:pt idx="217">
                  <c:v>0.81200000000000006</c:v>
                </c:pt>
                <c:pt idx="218">
                  <c:v>0.75600000000000001</c:v>
                </c:pt>
                <c:pt idx="219">
                  <c:v>0.67800000000000005</c:v>
                </c:pt>
                <c:pt idx="220">
                  <c:v>0.78</c:v>
                </c:pt>
                <c:pt idx="221">
                  <c:v>1.0529999999999999</c:v>
                </c:pt>
                <c:pt idx="222">
                  <c:v>1.0900000000000001</c:v>
                </c:pt>
                <c:pt idx="223">
                  <c:v>1.1319999999999999</c:v>
                </c:pt>
                <c:pt idx="224">
                  <c:v>1.246</c:v>
                </c:pt>
                <c:pt idx="225">
                  <c:v>1.268</c:v>
                </c:pt>
                <c:pt idx="226">
                  <c:v>1.3049999999999999</c:v>
                </c:pt>
                <c:pt idx="227">
                  <c:v>1.3280000000000001</c:v>
                </c:pt>
                <c:pt idx="228">
                  <c:v>1.3149999999999999</c:v>
                </c:pt>
                <c:pt idx="229">
                  <c:v>1.2549999999999999</c:v>
                </c:pt>
                <c:pt idx="230">
                  <c:v>1.375</c:v>
                </c:pt>
                <c:pt idx="231">
                  <c:v>1.5049999999999999</c:v>
                </c:pt>
                <c:pt idx="232">
                  <c:v>1.5169999999999999</c:v>
                </c:pt>
                <c:pt idx="233">
                  <c:v>1.423</c:v>
                </c:pt>
                <c:pt idx="234">
                  <c:v>1.476</c:v>
                </c:pt>
                <c:pt idx="235">
                  <c:v>1.6240000000000001</c:v>
                </c:pt>
                <c:pt idx="236">
                  <c:v>1.554</c:v>
                </c:pt>
                <c:pt idx="237">
                  <c:v>1.5940000000000001</c:v>
                </c:pt>
                <c:pt idx="238">
                  <c:v>1.75</c:v>
                </c:pt>
                <c:pt idx="239">
                  <c:v>1.69</c:v>
                </c:pt>
                <c:pt idx="240">
                  <c:v>1.64</c:v>
                </c:pt>
                <c:pt idx="241">
                  <c:v>1.7070000000000001</c:v>
                </c:pt>
                <c:pt idx="242">
                  <c:v>1.6559999999999999</c:v>
                </c:pt>
                <c:pt idx="243">
                  <c:v>1.679</c:v>
                </c:pt>
                <c:pt idx="244">
                  <c:v>1.7949999999999999</c:v>
                </c:pt>
                <c:pt idx="245">
                  <c:v>1.75</c:v>
                </c:pt>
                <c:pt idx="246">
                  <c:v>1.8120000000000001</c:v>
                </c:pt>
                <c:pt idx="247">
                  <c:v>1.6919999999999999</c:v>
                </c:pt>
                <c:pt idx="248">
                  <c:v>1.7609999999999999</c:v>
                </c:pt>
                <c:pt idx="249">
                  <c:v>1.4570000000000001</c:v>
                </c:pt>
                <c:pt idx="250">
                  <c:v>1.788</c:v>
                </c:pt>
                <c:pt idx="251">
                  <c:v>1.802</c:v>
                </c:pt>
                <c:pt idx="252">
                  <c:v>1.6970000000000001</c:v>
                </c:pt>
                <c:pt idx="253">
                  <c:v>1.401</c:v>
                </c:pt>
                <c:pt idx="254">
                  <c:v>2.2050000000000001</c:v>
                </c:pt>
                <c:pt idx="255">
                  <c:v>2.1480000000000001</c:v>
                </c:pt>
                <c:pt idx="256">
                  <c:v>2.3490000000000002</c:v>
                </c:pt>
                <c:pt idx="257">
                  <c:v>2.3610000000000002</c:v>
                </c:pt>
                <c:pt idx="258">
                  <c:v>2.569</c:v>
                </c:pt>
                <c:pt idx="259">
                  <c:v>2.4060000000000001</c:v>
                </c:pt>
                <c:pt idx="260">
                  <c:v>2.2480000000000002</c:v>
                </c:pt>
                <c:pt idx="261">
                  <c:v>2.8050000000000002</c:v>
                </c:pt>
                <c:pt idx="262">
                  <c:v>2.6190000000000002</c:v>
                </c:pt>
                <c:pt idx="263">
                  <c:v>3.0390000000000001</c:v>
                </c:pt>
                <c:pt idx="264">
                  <c:v>3.0259999999999998</c:v>
                </c:pt>
                <c:pt idx="265">
                  <c:v>3.0110000000000001</c:v>
                </c:pt>
                <c:pt idx="266">
                  <c:v>2.9929999999999999</c:v>
                </c:pt>
                <c:pt idx="267">
                  <c:v>3.13</c:v>
                </c:pt>
                <c:pt idx="268">
                  <c:v>2.9279999999999999</c:v>
                </c:pt>
                <c:pt idx="269">
                  <c:v>3.371</c:v>
                </c:pt>
                <c:pt idx="270">
                  <c:v>3.3109999999999999</c:v>
                </c:pt>
                <c:pt idx="271">
                  <c:v>3.3090000000000002</c:v>
                </c:pt>
                <c:pt idx="272">
                  <c:v>3.3660000000000001</c:v>
                </c:pt>
                <c:pt idx="273">
                  <c:v>3.2389999999999999</c:v>
                </c:pt>
                <c:pt idx="274">
                  <c:v>3.3250000000000002</c:v>
                </c:pt>
                <c:pt idx="275">
                  <c:v>3.5489999999999999</c:v>
                </c:pt>
                <c:pt idx="276">
                  <c:v>3.3980000000000001</c:v>
                </c:pt>
                <c:pt idx="277">
                  <c:v>2.5110000000000001</c:v>
                </c:pt>
                <c:pt idx="278">
                  <c:v>2.4220000000000002</c:v>
                </c:pt>
                <c:pt idx="279">
                  <c:v>2.6579999999999999</c:v>
                </c:pt>
                <c:pt idx="280">
                  <c:v>2.6920000000000002</c:v>
                </c:pt>
                <c:pt idx="281">
                  <c:v>3.1949999999999998</c:v>
                </c:pt>
                <c:pt idx="282">
                  <c:v>3.19</c:v>
                </c:pt>
                <c:pt idx="283">
                  <c:v>3.129</c:v>
                </c:pt>
                <c:pt idx="284">
                  <c:v>3.3889999999999998</c:v>
                </c:pt>
                <c:pt idx="285">
                  <c:v>3.9180000000000001</c:v>
                </c:pt>
                <c:pt idx="286">
                  <c:v>3.835</c:v>
                </c:pt>
                <c:pt idx="287">
                  <c:v>4.3140000000000001</c:v>
                </c:pt>
                <c:pt idx="288">
                  <c:v>4.1470000000000002</c:v>
                </c:pt>
                <c:pt idx="289">
                  <c:v>4.532</c:v>
                </c:pt>
                <c:pt idx="290">
                  <c:v>4.673</c:v>
                </c:pt>
                <c:pt idx="291">
                  <c:v>4.47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D-4A2B-8D6F-9440CC6AFF9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0.40007111416081109</c:v>
                </c:pt>
                <c:pt idx="1">
                  <c:v>0.40152399016081108</c:v>
                </c:pt>
                <c:pt idx="2">
                  <c:v>0.40704347634502164</c:v>
                </c:pt>
                <c:pt idx="3">
                  <c:v>0.39031405005930736</c:v>
                </c:pt>
                <c:pt idx="4">
                  <c:v>0.39557953535144219</c:v>
                </c:pt>
                <c:pt idx="5">
                  <c:v>0.39381150832612577</c:v>
                </c:pt>
                <c:pt idx="6">
                  <c:v>0.43851857309971065</c:v>
                </c:pt>
                <c:pt idx="7">
                  <c:v>0.46242766134318891</c:v>
                </c:pt>
                <c:pt idx="8">
                  <c:v>0.47050436712096666</c:v>
                </c:pt>
                <c:pt idx="9">
                  <c:v>0.47407398212096669</c:v>
                </c:pt>
                <c:pt idx="10">
                  <c:v>0.47155050116351988</c:v>
                </c:pt>
                <c:pt idx="11">
                  <c:v>0.47444446635500914</c:v>
                </c:pt>
                <c:pt idx="12">
                  <c:v>0.48721209551971506</c:v>
                </c:pt>
                <c:pt idx="13">
                  <c:v>0.48476793665014972</c:v>
                </c:pt>
                <c:pt idx="14">
                  <c:v>0.47802375094802207</c:v>
                </c:pt>
                <c:pt idx="15">
                  <c:v>0.50135560114032973</c:v>
                </c:pt>
                <c:pt idx="16">
                  <c:v>0.4854318539327826</c:v>
                </c:pt>
                <c:pt idx="17">
                  <c:v>0.4759950819327825</c:v>
                </c:pt>
                <c:pt idx="18">
                  <c:v>0.47533324949915423</c:v>
                </c:pt>
                <c:pt idx="19">
                  <c:v>0.47186845383248754</c:v>
                </c:pt>
                <c:pt idx="20">
                  <c:v>0.47434424066582087</c:v>
                </c:pt>
                <c:pt idx="21">
                  <c:v>0.47997269387374158</c:v>
                </c:pt>
                <c:pt idx="22">
                  <c:v>0.48733329802418413</c:v>
                </c:pt>
                <c:pt idx="23">
                  <c:v>0.49816310472938641</c:v>
                </c:pt>
                <c:pt idx="24">
                  <c:v>0.50262339350987428</c:v>
                </c:pt>
                <c:pt idx="25">
                  <c:v>0.50412032360863968</c:v>
                </c:pt>
                <c:pt idx="26">
                  <c:v>0.50036353107617215</c:v>
                </c:pt>
                <c:pt idx="27">
                  <c:v>0.49819485473331498</c:v>
                </c:pt>
                <c:pt idx="28">
                  <c:v>0.50098584762805176</c:v>
                </c:pt>
                <c:pt idx="29">
                  <c:v>0.50302626232920122</c:v>
                </c:pt>
                <c:pt idx="30">
                  <c:v>0.51162081703689355</c:v>
                </c:pt>
                <c:pt idx="31">
                  <c:v>0.52637517484511276</c:v>
                </c:pt>
                <c:pt idx="32">
                  <c:v>0.52383512260121023</c:v>
                </c:pt>
                <c:pt idx="33">
                  <c:v>0.51888965096484674</c:v>
                </c:pt>
                <c:pt idx="34">
                  <c:v>0.51808401659642567</c:v>
                </c:pt>
                <c:pt idx="35">
                  <c:v>0.52526766678104109</c:v>
                </c:pt>
                <c:pt idx="36">
                  <c:v>0.51978111366992996</c:v>
                </c:pt>
                <c:pt idx="37">
                  <c:v>0.52268970732377606</c:v>
                </c:pt>
                <c:pt idx="38">
                  <c:v>0.54228946649868104</c:v>
                </c:pt>
                <c:pt idx="39">
                  <c:v>0.54436438992725245</c:v>
                </c:pt>
                <c:pt idx="40">
                  <c:v>0.56577239969195825</c:v>
                </c:pt>
                <c:pt idx="41">
                  <c:v>0.56291642695282795</c:v>
                </c:pt>
                <c:pt idx="42">
                  <c:v>0.56244096698060575</c:v>
                </c:pt>
                <c:pt idx="43">
                  <c:v>0.57432637998060565</c:v>
                </c:pt>
                <c:pt idx="44">
                  <c:v>0.57684806663515109</c:v>
                </c:pt>
                <c:pt idx="45">
                  <c:v>0.58203017648700306</c:v>
                </c:pt>
                <c:pt idx="46">
                  <c:v>0.59833205589921667</c:v>
                </c:pt>
                <c:pt idx="47">
                  <c:v>0.60024811892553231</c:v>
                </c:pt>
                <c:pt idx="48">
                  <c:v>0.60324162342553245</c:v>
                </c:pt>
                <c:pt idx="49">
                  <c:v>0.60846349668694322</c:v>
                </c:pt>
                <c:pt idx="50">
                  <c:v>0.62381187892423129</c:v>
                </c:pt>
                <c:pt idx="51">
                  <c:v>0.62434288365150414</c:v>
                </c:pt>
                <c:pt idx="52">
                  <c:v>0.63907148404409675</c:v>
                </c:pt>
                <c:pt idx="53">
                  <c:v>0.62018744087428535</c:v>
                </c:pt>
                <c:pt idx="54">
                  <c:v>0.62455893399757312</c:v>
                </c:pt>
                <c:pt idx="55">
                  <c:v>0.61713599175787226</c:v>
                </c:pt>
                <c:pt idx="56">
                  <c:v>0.6304873966366602</c:v>
                </c:pt>
                <c:pt idx="57">
                  <c:v>0.62393313070808865</c:v>
                </c:pt>
                <c:pt idx="58">
                  <c:v>0.62651968595808871</c:v>
                </c:pt>
                <c:pt idx="59">
                  <c:v>0.62728997942747655</c:v>
                </c:pt>
                <c:pt idx="60">
                  <c:v>0.62228162621319083</c:v>
                </c:pt>
                <c:pt idx="61">
                  <c:v>0.61212011040069081</c:v>
                </c:pt>
                <c:pt idx="62">
                  <c:v>0.61439690196319074</c:v>
                </c:pt>
                <c:pt idx="63">
                  <c:v>0.63187960478672012</c:v>
                </c:pt>
                <c:pt idx="64">
                  <c:v>0.61525102031613199</c:v>
                </c:pt>
                <c:pt idx="65">
                  <c:v>0.61564016936876365</c:v>
                </c:pt>
                <c:pt idx="66">
                  <c:v>0.60848056075337897</c:v>
                </c:pt>
                <c:pt idx="67">
                  <c:v>0.61988636814161435</c:v>
                </c:pt>
                <c:pt idx="68">
                  <c:v>0.61595866143392186</c:v>
                </c:pt>
                <c:pt idx="69">
                  <c:v>0.60622848544444818</c:v>
                </c:pt>
                <c:pt idx="70">
                  <c:v>0.5941220784444482</c:v>
                </c:pt>
                <c:pt idx="71">
                  <c:v>0.59952593016827893</c:v>
                </c:pt>
                <c:pt idx="72">
                  <c:v>0.58778713452471454</c:v>
                </c:pt>
                <c:pt idx="73">
                  <c:v>0.58923501445804793</c:v>
                </c:pt>
                <c:pt idx="74">
                  <c:v>0.59095336968027012</c:v>
                </c:pt>
                <c:pt idx="75">
                  <c:v>0.58115095068027012</c:v>
                </c:pt>
                <c:pt idx="76">
                  <c:v>0.57652792858936108</c:v>
                </c:pt>
                <c:pt idx="77">
                  <c:v>0.57632748412269441</c:v>
                </c:pt>
                <c:pt idx="78">
                  <c:v>0.57687055183155511</c:v>
                </c:pt>
                <c:pt idx="79">
                  <c:v>0.58410839010700411</c:v>
                </c:pt>
                <c:pt idx="80">
                  <c:v>0.58692402981070768</c:v>
                </c:pt>
                <c:pt idx="81">
                  <c:v>0.57271634456070775</c:v>
                </c:pt>
                <c:pt idx="82">
                  <c:v>0.5758613103985456</c:v>
                </c:pt>
                <c:pt idx="83">
                  <c:v>0.56847267355854558</c:v>
                </c:pt>
                <c:pt idx="84">
                  <c:v>0.58569594129082903</c:v>
                </c:pt>
                <c:pt idx="85">
                  <c:v>0.57302190157120292</c:v>
                </c:pt>
                <c:pt idx="86">
                  <c:v>0.56942217140615425</c:v>
                </c:pt>
                <c:pt idx="87">
                  <c:v>0.57489047849975028</c:v>
                </c:pt>
                <c:pt idx="88">
                  <c:v>0.61412571896477086</c:v>
                </c:pt>
                <c:pt idx="89">
                  <c:v>0.61181483459634978</c:v>
                </c:pt>
                <c:pt idx="90">
                  <c:v>0.59503208046151834</c:v>
                </c:pt>
                <c:pt idx="91">
                  <c:v>0.59407629029130571</c:v>
                </c:pt>
                <c:pt idx="92">
                  <c:v>0.57772691175284407</c:v>
                </c:pt>
                <c:pt idx="93">
                  <c:v>0.60247190533082584</c:v>
                </c:pt>
                <c:pt idx="94">
                  <c:v>0.61370850382018749</c:v>
                </c:pt>
                <c:pt idx="95">
                  <c:v>0.59872058126018746</c:v>
                </c:pt>
                <c:pt idx="96">
                  <c:v>0.60600171047640372</c:v>
                </c:pt>
                <c:pt idx="97">
                  <c:v>0.60681533298202173</c:v>
                </c:pt>
                <c:pt idx="98">
                  <c:v>0.60257316505098724</c:v>
                </c:pt>
                <c:pt idx="99">
                  <c:v>0.61314917628502974</c:v>
                </c:pt>
                <c:pt idx="100">
                  <c:v>0.60220593161470015</c:v>
                </c:pt>
                <c:pt idx="101">
                  <c:v>0.59157532261470014</c:v>
                </c:pt>
                <c:pt idx="102">
                  <c:v>0.57891732083692227</c:v>
                </c:pt>
                <c:pt idx="103">
                  <c:v>0.58334057058692224</c:v>
                </c:pt>
                <c:pt idx="104">
                  <c:v>0.5918411986226364</c:v>
                </c:pt>
                <c:pt idx="105">
                  <c:v>0.60994358390432657</c:v>
                </c:pt>
                <c:pt idx="106">
                  <c:v>0.6060844576401756</c:v>
                </c:pt>
                <c:pt idx="107">
                  <c:v>0.58634636467142554</c:v>
                </c:pt>
                <c:pt idx="108">
                  <c:v>0.5750458917040786</c:v>
                </c:pt>
                <c:pt idx="109">
                  <c:v>0.57542612446407859</c:v>
                </c:pt>
                <c:pt idx="110">
                  <c:v>0.59582765386845016</c:v>
                </c:pt>
                <c:pt idx="111">
                  <c:v>0.62438457076256781</c:v>
                </c:pt>
                <c:pt idx="112">
                  <c:v>0.63821454580256776</c:v>
                </c:pt>
                <c:pt idx="113">
                  <c:v>0.63908929432311568</c:v>
                </c:pt>
                <c:pt idx="114">
                  <c:v>0.60830628508737428</c:v>
                </c:pt>
                <c:pt idx="115">
                  <c:v>0.58236568093153029</c:v>
                </c:pt>
                <c:pt idx="116">
                  <c:v>0.57107548274069053</c:v>
                </c:pt>
                <c:pt idx="117">
                  <c:v>0.56539727334363177</c:v>
                </c:pt>
                <c:pt idx="118">
                  <c:v>0.56507817447846331</c:v>
                </c:pt>
                <c:pt idx="119">
                  <c:v>0.54623084400332522</c:v>
                </c:pt>
                <c:pt idx="120">
                  <c:v>0.55006033121923426</c:v>
                </c:pt>
                <c:pt idx="121">
                  <c:v>0.52761298540105261</c:v>
                </c:pt>
                <c:pt idx="122">
                  <c:v>0.54717382237208712</c:v>
                </c:pt>
                <c:pt idx="123">
                  <c:v>0.5832643265826134</c:v>
                </c:pt>
                <c:pt idx="124">
                  <c:v>0.5676994509294343</c:v>
                </c:pt>
                <c:pt idx="125">
                  <c:v>0.56465924012092361</c:v>
                </c:pt>
                <c:pt idx="126">
                  <c:v>0.56680931982462746</c:v>
                </c:pt>
                <c:pt idx="127">
                  <c:v>0.55286587990973368</c:v>
                </c:pt>
                <c:pt idx="128">
                  <c:v>0.53132411670069424</c:v>
                </c:pt>
                <c:pt idx="129">
                  <c:v>0.54645366232226289</c:v>
                </c:pt>
                <c:pt idx="130">
                  <c:v>0.56201238479448512</c:v>
                </c:pt>
                <c:pt idx="131">
                  <c:v>0.580146729683374</c:v>
                </c:pt>
                <c:pt idx="132">
                  <c:v>0.5770716520167074</c:v>
                </c:pt>
                <c:pt idx="133">
                  <c:v>0.58153648585454532</c:v>
                </c:pt>
                <c:pt idx="134">
                  <c:v>0.58004732140678406</c:v>
                </c:pt>
                <c:pt idx="135">
                  <c:v>0.5701079562249658</c:v>
                </c:pt>
                <c:pt idx="136">
                  <c:v>0.5598503936496233</c:v>
                </c:pt>
                <c:pt idx="137">
                  <c:v>0.56258511100713637</c:v>
                </c:pt>
                <c:pt idx="138">
                  <c:v>0.55227360137298986</c:v>
                </c:pt>
                <c:pt idx="139">
                  <c:v>0.54435064139185785</c:v>
                </c:pt>
                <c:pt idx="140">
                  <c:v>0.55807852613975695</c:v>
                </c:pt>
                <c:pt idx="141">
                  <c:v>0.54572904613975692</c:v>
                </c:pt>
                <c:pt idx="142">
                  <c:v>0.53605863398681586</c:v>
                </c:pt>
                <c:pt idx="143">
                  <c:v>0.55020504404366966</c:v>
                </c:pt>
                <c:pt idx="144">
                  <c:v>0.54510129774955207</c:v>
                </c:pt>
                <c:pt idx="145">
                  <c:v>0.55193125569559842</c:v>
                </c:pt>
                <c:pt idx="146">
                  <c:v>0.54219626992955694</c:v>
                </c:pt>
                <c:pt idx="147">
                  <c:v>0.51158857706915239</c:v>
                </c:pt>
                <c:pt idx="148">
                  <c:v>0.53045713048654364</c:v>
                </c:pt>
                <c:pt idx="149">
                  <c:v>0.51250272348654358</c:v>
                </c:pt>
                <c:pt idx="150">
                  <c:v>0.51049202686977713</c:v>
                </c:pt>
                <c:pt idx="151">
                  <c:v>0.52095009223122291</c:v>
                </c:pt>
                <c:pt idx="152">
                  <c:v>0.5150494985405013</c:v>
                </c:pt>
                <c:pt idx="153">
                  <c:v>0.52149776594475672</c:v>
                </c:pt>
                <c:pt idx="154">
                  <c:v>0.49669907551796927</c:v>
                </c:pt>
                <c:pt idx="155">
                  <c:v>0.52836772656185815</c:v>
                </c:pt>
                <c:pt idx="156">
                  <c:v>0.50127548954746659</c:v>
                </c:pt>
                <c:pt idx="157">
                  <c:v>0.52033903582413321</c:v>
                </c:pt>
                <c:pt idx="158">
                  <c:v>0.50439128350234219</c:v>
                </c:pt>
                <c:pt idx="159">
                  <c:v>0.5014638839061516</c:v>
                </c:pt>
                <c:pt idx="160">
                  <c:v>0.51634270382565983</c:v>
                </c:pt>
                <c:pt idx="161">
                  <c:v>0.49658306133399316</c:v>
                </c:pt>
                <c:pt idx="162">
                  <c:v>0.47408443377808712</c:v>
                </c:pt>
                <c:pt idx="163">
                  <c:v>0.47942211964316178</c:v>
                </c:pt>
                <c:pt idx="164">
                  <c:v>0.50706972249339444</c:v>
                </c:pt>
                <c:pt idx="165">
                  <c:v>0.53836776345964421</c:v>
                </c:pt>
                <c:pt idx="166">
                  <c:v>0.52256927415392995</c:v>
                </c:pt>
                <c:pt idx="167">
                  <c:v>0.5032853480239301</c:v>
                </c:pt>
                <c:pt idx="168">
                  <c:v>0.48362798294326698</c:v>
                </c:pt>
                <c:pt idx="169">
                  <c:v>0.51403666816004523</c:v>
                </c:pt>
                <c:pt idx="170">
                  <c:v>0.5052286845418098</c:v>
                </c:pt>
                <c:pt idx="171">
                  <c:v>0.4882366405660204</c:v>
                </c:pt>
                <c:pt idx="172">
                  <c:v>0.46812012106006012</c:v>
                </c:pt>
                <c:pt idx="173">
                  <c:v>0.48289472650715687</c:v>
                </c:pt>
                <c:pt idx="174">
                  <c:v>0.48883067690613774</c:v>
                </c:pt>
                <c:pt idx="175">
                  <c:v>0.47608022024445229</c:v>
                </c:pt>
                <c:pt idx="176">
                  <c:v>0.46419196138206703</c:v>
                </c:pt>
                <c:pt idx="177">
                  <c:v>0.44135563177540038</c:v>
                </c:pt>
                <c:pt idx="178">
                  <c:v>0.39944732773704994</c:v>
                </c:pt>
                <c:pt idx="179">
                  <c:v>0.3790264173451201</c:v>
                </c:pt>
                <c:pt idx="180">
                  <c:v>0.45341511624495617</c:v>
                </c:pt>
                <c:pt idx="181">
                  <c:v>0.4294578764578843</c:v>
                </c:pt>
                <c:pt idx="182">
                  <c:v>0.41376327509045585</c:v>
                </c:pt>
                <c:pt idx="183">
                  <c:v>0.37235407302402107</c:v>
                </c:pt>
                <c:pt idx="184">
                  <c:v>0.36250740680797455</c:v>
                </c:pt>
                <c:pt idx="185">
                  <c:v>0.33799875295753978</c:v>
                </c:pt>
                <c:pt idx="186">
                  <c:v>0.38695375095180018</c:v>
                </c:pt>
                <c:pt idx="187">
                  <c:v>0.36940931051555015</c:v>
                </c:pt>
                <c:pt idx="188">
                  <c:v>0.35577093067415766</c:v>
                </c:pt>
                <c:pt idx="189">
                  <c:v>0.33533458283795509</c:v>
                </c:pt>
                <c:pt idx="190">
                  <c:v>0.31228732555582395</c:v>
                </c:pt>
                <c:pt idx="191">
                  <c:v>0.28681188241517358</c:v>
                </c:pt>
                <c:pt idx="192">
                  <c:v>0.29783143509419313</c:v>
                </c:pt>
                <c:pt idx="193">
                  <c:v>0.32477243535368677</c:v>
                </c:pt>
                <c:pt idx="194">
                  <c:v>0.39180089945368679</c:v>
                </c:pt>
                <c:pt idx="195">
                  <c:v>0.22097448742277767</c:v>
                </c:pt>
                <c:pt idx="196">
                  <c:v>0.25158264342018227</c:v>
                </c:pt>
                <c:pt idx="197">
                  <c:v>0.26733194393831783</c:v>
                </c:pt>
                <c:pt idx="198">
                  <c:v>0.26308726059152354</c:v>
                </c:pt>
                <c:pt idx="199">
                  <c:v>0.29770730964163844</c:v>
                </c:pt>
                <c:pt idx="200">
                  <c:v>0.20162239730279546</c:v>
                </c:pt>
                <c:pt idx="201">
                  <c:v>0.17877139895094354</c:v>
                </c:pt>
                <c:pt idx="202">
                  <c:v>0.19315820984921511</c:v>
                </c:pt>
                <c:pt idx="203">
                  <c:v>0.17611377044249973</c:v>
                </c:pt>
                <c:pt idx="204">
                  <c:v>0.20901789920112721</c:v>
                </c:pt>
                <c:pt idx="205">
                  <c:v>0.17991661046361423</c:v>
                </c:pt>
                <c:pt idx="206">
                  <c:v>0.14859453083003205</c:v>
                </c:pt>
                <c:pt idx="207">
                  <c:v>0.14967190719343007</c:v>
                </c:pt>
                <c:pt idx="208">
                  <c:v>0.13194693083182299</c:v>
                </c:pt>
                <c:pt idx="209">
                  <c:v>0.11576234694845221</c:v>
                </c:pt>
                <c:pt idx="210">
                  <c:v>0.10374272556045228</c:v>
                </c:pt>
                <c:pt idx="211">
                  <c:v>0.11310508196173717</c:v>
                </c:pt>
                <c:pt idx="212">
                  <c:v>5.355553975505515E-2</c:v>
                </c:pt>
                <c:pt idx="213">
                  <c:v>3.6326757774306467E-2</c:v>
                </c:pt>
                <c:pt idx="214">
                  <c:v>8.8279580279943624E-3</c:v>
                </c:pt>
                <c:pt idx="215">
                  <c:v>-1.6651743150313304E-2</c:v>
                </c:pt>
                <c:pt idx="216">
                  <c:v>-3.3739896764516206E-2</c:v>
                </c:pt>
                <c:pt idx="217">
                  <c:v>3.308347988424967E-3</c:v>
                </c:pt>
                <c:pt idx="218">
                  <c:v>-1.8106895953593438E-2</c:v>
                </c:pt>
                <c:pt idx="219">
                  <c:v>-3.8106417958926754E-2</c:v>
                </c:pt>
                <c:pt idx="220">
                  <c:v>-3.1808266467275415E-2</c:v>
                </c:pt>
                <c:pt idx="221">
                  <c:v>2.8069392212513315E-2</c:v>
                </c:pt>
                <c:pt idx="222">
                  <c:v>2.1172863606513336E-2</c:v>
                </c:pt>
                <c:pt idx="223">
                  <c:v>3.4369107598793969E-2</c:v>
                </c:pt>
                <c:pt idx="224">
                  <c:v>4.3875997172977022E-2</c:v>
                </c:pt>
                <c:pt idx="225">
                  <c:v>4.7815417592977062E-2</c:v>
                </c:pt>
                <c:pt idx="226">
                  <c:v>7.4440516290577088E-2</c:v>
                </c:pt>
                <c:pt idx="227">
                  <c:v>7.5459006416459487E-2</c:v>
                </c:pt>
                <c:pt idx="228">
                  <c:v>5.4689350943459406E-2</c:v>
                </c:pt>
                <c:pt idx="229">
                  <c:v>3.7241163192589855E-2</c:v>
                </c:pt>
                <c:pt idx="230">
                  <c:v>4.7622750468994363E-2</c:v>
                </c:pt>
                <c:pt idx="231">
                  <c:v>0.1004368610139233</c:v>
                </c:pt>
                <c:pt idx="232">
                  <c:v>9.1317279009449664E-2</c:v>
                </c:pt>
                <c:pt idx="233">
                  <c:v>6.9361862529724205E-2</c:v>
                </c:pt>
                <c:pt idx="234">
                  <c:v>6.1823838869202424E-2</c:v>
                </c:pt>
                <c:pt idx="235">
                  <c:v>7.9159714006311818E-2</c:v>
                </c:pt>
                <c:pt idx="236">
                  <c:v>9.1204442115555437E-2</c:v>
                </c:pt>
                <c:pt idx="237">
                  <c:v>9.4612738840326671E-2</c:v>
                </c:pt>
                <c:pt idx="238">
                  <c:v>0.1039091339407348</c:v>
                </c:pt>
                <c:pt idx="239">
                  <c:v>8.1552815153028313E-2</c:v>
                </c:pt>
                <c:pt idx="240">
                  <c:v>6.2776449258989939E-2</c:v>
                </c:pt>
                <c:pt idx="241">
                  <c:v>6.8026564493200506E-2</c:v>
                </c:pt>
                <c:pt idx="242">
                  <c:v>5.4606204366568364E-2</c:v>
                </c:pt>
                <c:pt idx="243">
                  <c:v>4.6080084493926872E-2</c:v>
                </c:pt>
                <c:pt idx="244">
                  <c:v>5.0414417323629813E-2</c:v>
                </c:pt>
                <c:pt idx="245">
                  <c:v>-2.3343221698484467E-3</c:v>
                </c:pt>
                <c:pt idx="246">
                  <c:v>-1.1603593583181779E-2</c:v>
                </c:pt>
                <c:pt idx="247">
                  <c:v>-4.2815740289589579E-2</c:v>
                </c:pt>
                <c:pt idx="248">
                  <c:v>-4.2292992336862276E-2</c:v>
                </c:pt>
                <c:pt idx="249">
                  <c:v>-9.0274940294856679E-2</c:v>
                </c:pt>
                <c:pt idx="250">
                  <c:v>-9.0274940294856693E-2</c:v>
                </c:pt>
                <c:pt idx="251">
                  <c:v>-0.10368588929905671</c:v>
                </c:pt>
                <c:pt idx="252">
                  <c:v>-0.14251787612789632</c:v>
                </c:pt>
                <c:pt idx="253">
                  <c:v>-0.18907969791761062</c:v>
                </c:pt>
                <c:pt idx="254">
                  <c:v>-0.14122153472973184</c:v>
                </c:pt>
                <c:pt idx="255">
                  <c:v>-0.13340330455935084</c:v>
                </c:pt>
                <c:pt idx="256">
                  <c:v>-0.12284167268531769</c:v>
                </c:pt>
                <c:pt idx="257">
                  <c:v>-0.12677183678275139</c:v>
                </c:pt>
                <c:pt idx="258">
                  <c:v>-9.5788852134285868E-2</c:v>
                </c:pt>
                <c:pt idx="259">
                  <c:v>-0.12541165884242267</c:v>
                </c:pt>
                <c:pt idx="260">
                  <c:v>-0.14008937593147766</c:v>
                </c:pt>
                <c:pt idx="261">
                  <c:v>-8.6818432717708713E-2</c:v>
                </c:pt>
                <c:pt idx="262">
                  <c:v>-0.11809325096975699</c:v>
                </c:pt>
                <c:pt idx="263">
                  <c:v>-0.1057237409304999</c:v>
                </c:pt>
                <c:pt idx="264">
                  <c:v>-0.11758860840974182</c:v>
                </c:pt>
                <c:pt idx="265">
                  <c:v>-7.6129504752294963E-2</c:v>
                </c:pt>
                <c:pt idx="266">
                  <c:v>-8.7059764868391495E-2</c:v>
                </c:pt>
                <c:pt idx="267">
                  <c:v>-6.4944883784529395E-2</c:v>
                </c:pt>
                <c:pt idx="268">
                  <c:v>-0.11910130394428176</c:v>
                </c:pt>
                <c:pt idx="269">
                  <c:v>-5.8692521222456273E-2</c:v>
                </c:pt>
                <c:pt idx="270">
                  <c:v>-1.9654213018376807E-2</c:v>
                </c:pt>
                <c:pt idx="271">
                  <c:v>-4.2093646715939306E-2</c:v>
                </c:pt>
                <c:pt idx="272">
                  <c:v>-5.1012639538672203E-2</c:v>
                </c:pt>
                <c:pt idx="273">
                  <c:v>-8.269158825582007E-2</c:v>
                </c:pt>
                <c:pt idx="274">
                  <c:v>-7.5686063747572585E-2</c:v>
                </c:pt>
                <c:pt idx="275">
                  <c:v>-8.2681172527572663E-2</c:v>
                </c:pt>
                <c:pt idx="276">
                  <c:v>-0.14502395070685833</c:v>
                </c:pt>
                <c:pt idx="277">
                  <c:v>-0.27349996107973285</c:v>
                </c:pt>
                <c:pt idx="278">
                  <c:v>-0.28731162496302692</c:v>
                </c:pt>
                <c:pt idx="279">
                  <c:v>-0.2215489923339361</c:v>
                </c:pt>
                <c:pt idx="280">
                  <c:v>-0.33706055834461635</c:v>
                </c:pt>
                <c:pt idx="281">
                  <c:v>-0.26983867786474214</c:v>
                </c:pt>
                <c:pt idx="282">
                  <c:v>-0.16693500106474218</c:v>
                </c:pt>
                <c:pt idx="283">
                  <c:v>-0.18264523203974212</c:v>
                </c:pt>
                <c:pt idx="284">
                  <c:v>-0.12943077837922995</c:v>
                </c:pt>
                <c:pt idx="285">
                  <c:v>-0.13205561182541778</c:v>
                </c:pt>
                <c:pt idx="286">
                  <c:v>-0.12113780285400405</c:v>
                </c:pt>
                <c:pt idx="287">
                  <c:v>-8.543265339113687E-2</c:v>
                </c:pt>
                <c:pt idx="288">
                  <c:v>-9.1994343185332991E-2</c:v>
                </c:pt>
                <c:pt idx="289">
                  <c:v>-5.5522056641834641E-2</c:v>
                </c:pt>
                <c:pt idx="290">
                  <c:v>-7.4145196027036897E-2</c:v>
                </c:pt>
                <c:pt idx="291">
                  <c:v>4.3233075687462631E-2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D-4A2B-8D6F-9440CC6AF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35216"/>
        <c:axId val="643134800"/>
      </c:lineChart>
      <c:dateAx>
        <c:axId val="643135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4800"/>
        <c:crosses val="autoZero"/>
        <c:auto val="1"/>
        <c:lblOffset val="100"/>
        <c:baseTimeUnit val="days"/>
      </c:dateAx>
      <c:valAx>
        <c:axId val="64313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24400A8-82F7-4A76-A47D-18D643ACE478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FEE3D5-0C01-4D29-8FD4-EB48A2DC517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5.6</v>
      </c>
      <c r="D2" s="4">
        <f>MIN(D3:D1912)</f>
        <v>0.57799999999999996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0.72499999999999998</v>
      </c>
      <c r="C5">
        <v>0.72899999999999998</v>
      </c>
      <c r="D5">
        <v>0.70399999999999996</v>
      </c>
      <c r="E5">
        <v>0.70399999999999996</v>
      </c>
      <c r="F5">
        <v>145287.6</v>
      </c>
      <c r="G5">
        <v>0.70399999999999996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-145287.6</v>
      </c>
      <c r="R5">
        <f t="shared" ref="R5" si="2">R6+Q5</f>
        <v>40007111.416081108</v>
      </c>
      <c r="S5">
        <f t="shared" ref="S5" si="3">R5/100000</f>
        <v>400.07111416081108</v>
      </c>
      <c r="T5">
        <f t="shared" ref="T5" si="4">S5/1000</f>
        <v>0.40007111416081109</v>
      </c>
    </row>
    <row r="6" spans="1:20" x14ac:dyDescent="0.25">
      <c r="A6" s="5">
        <v>44587</v>
      </c>
      <c r="B6">
        <v>0.71399999999999997</v>
      </c>
      <c r="C6">
        <v>0.77</v>
      </c>
      <c r="D6">
        <v>0.69399999999999995</v>
      </c>
      <c r="E6">
        <v>0.72499999999999998</v>
      </c>
      <c r="F6">
        <v>2996292.5</v>
      </c>
      <c r="G6">
        <v>0.72499999999999998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-0.18421052631578946</v>
      </c>
      <c r="Q6">
        <f t="shared" ref="Q6" si="6">F6*P6</f>
        <v>-551948.61842105258</v>
      </c>
      <c r="R6">
        <f t="shared" ref="R6" si="7">R7+Q6</f>
        <v>40152399.01608111</v>
      </c>
      <c r="S6">
        <f t="shared" ref="S6" si="8">R6/100000</f>
        <v>401.52399016081108</v>
      </c>
      <c r="T6">
        <f t="shared" ref="T6" si="9">S6/1000</f>
        <v>0.40152399016081108</v>
      </c>
    </row>
    <row r="7" spans="1:20" x14ac:dyDescent="0.25">
      <c r="A7" s="5">
        <v>44586</v>
      </c>
      <c r="B7">
        <v>0.72699999999999998</v>
      </c>
      <c r="C7">
        <v>0.73099999999999998</v>
      </c>
      <c r="D7">
        <v>0.66100000000000003</v>
      </c>
      <c r="E7">
        <v>0.71099999999999997</v>
      </c>
      <c r="F7">
        <v>3903532.8</v>
      </c>
      <c r="G7">
        <v>0.71099999999999997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0.42857142857142766</v>
      </c>
      <c r="Q7">
        <f t="shared" ref="Q7" si="11">F7*P7</f>
        <v>1672942.6285714249</v>
      </c>
      <c r="R7">
        <f t="shared" ref="R7" si="12">R8+Q7</f>
        <v>40704347.634502165</v>
      </c>
      <c r="S7">
        <f t="shared" ref="S7" si="13">R7/100000</f>
        <v>407.04347634502165</v>
      </c>
      <c r="T7">
        <f t="shared" ref="T7" si="14">S7/1000</f>
        <v>0.40704347634502164</v>
      </c>
    </row>
    <row r="8" spans="1:20" x14ac:dyDescent="0.25">
      <c r="A8" s="5">
        <v>44585</v>
      </c>
      <c r="B8">
        <v>0.75700000000000001</v>
      </c>
      <c r="C8">
        <v>0.82799999999999996</v>
      </c>
      <c r="D8">
        <v>0.65</v>
      </c>
      <c r="E8">
        <v>0.73</v>
      </c>
      <c r="F8">
        <v>5206979.9000000004</v>
      </c>
      <c r="G8">
        <v>0.73</v>
      </c>
      <c r="L8" t="s">
        <v>8</v>
      </c>
      <c r="M8" t="s">
        <v>8</v>
      </c>
      <c r="N8" t="s">
        <v>7</v>
      </c>
      <c r="P8">
        <f t="shared" ref="P8" si="15">IF(C8=D8,0,((E8-D8)-(C8-E8))/(C8-D8))</f>
        <v>-0.1011235955056181</v>
      </c>
      <c r="Q8">
        <f t="shared" ref="Q8" si="16">F8*P8</f>
        <v>-526548.52921348379</v>
      </c>
      <c r="R8">
        <f t="shared" ref="R8" si="17">R9+Q8</f>
        <v>39031405.005930737</v>
      </c>
      <c r="S8">
        <f t="shared" ref="S8" si="18">R8/100000</f>
        <v>390.31405005930736</v>
      </c>
      <c r="T8">
        <f t="shared" ref="T8" si="19">S8/1000</f>
        <v>0.39031405005930736</v>
      </c>
    </row>
    <row r="9" spans="1:20" x14ac:dyDescent="0.25">
      <c r="A9" s="5">
        <v>44584</v>
      </c>
      <c r="B9">
        <v>0.74299999999999999</v>
      </c>
      <c r="C9">
        <v>0.79400000000000004</v>
      </c>
      <c r="D9">
        <v>0.71499999999999997</v>
      </c>
      <c r="E9">
        <v>0.75700000000000001</v>
      </c>
      <c r="F9">
        <v>2793482.7</v>
      </c>
      <c r="G9">
        <v>0.75700000000000001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6.3291139240506333E-2</v>
      </c>
      <c r="Q9">
        <f t="shared" ref="Q9" si="21">F9*P9</f>
        <v>176802.7025316456</v>
      </c>
      <c r="R9">
        <f t="shared" ref="R9" si="22">R10+Q9</f>
        <v>39557953.535144217</v>
      </c>
      <c r="S9">
        <f t="shared" ref="S9" si="23">R9/100000</f>
        <v>395.57953535144219</v>
      </c>
      <c r="T9">
        <f t="shared" ref="T9" si="24">S9/1000</f>
        <v>0.39557953535144219</v>
      </c>
    </row>
    <row r="10" spans="1:20" x14ac:dyDescent="0.25">
      <c r="A10" s="5">
        <v>44583</v>
      </c>
      <c r="B10">
        <v>0.76800000000000002</v>
      </c>
      <c r="C10">
        <v>1.0049999999999999</v>
      </c>
      <c r="D10">
        <v>0.63400000000000001</v>
      </c>
      <c r="E10">
        <v>0.74299999999999999</v>
      </c>
      <c r="F10">
        <v>10840732.699999999</v>
      </c>
      <c r="G10">
        <v>0.74299999999999999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-0.41239892183288401</v>
      </c>
      <c r="Q10">
        <f t="shared" ref="Q10" si="26">F10*P10</f>
        <v>-4470706.4773584893</v>
      </c>
      <c r="R10">
        <f t="shared" ref="R10" si="27">R11+Q10</f>
        <v>39381150.832612574</v>
      </c>
      <c r="S10">
        <f t="shared" ref="S10" si="28">R10/100000</f>
        <v>393.81150832612576</v>
      </c>
      <c r="T10">
        <f t="shared" ref="T10" si="29">S10/1000</f>
        <v>0.39381150832612577</v>
      </c>
    </row>
    <row r="11" spans="1:20" x14ac:dyDescent="0.25">
      <c r="A11" s="5">
        <v>44582</v>
      </c>
      <c r="B11">
        <v>0.82899999999999996</v>
      </c>
      <c r="C11">
        <v>0.85899999999999999</v>
      </c>
      <c r="D11">
        <v>0.74399999999999999</v>
      </c>
      <c r="E11">
        <v>0.76600000000000001</v>
      </c>
      <c r="F11">
        <v>3872598.8</v>
      </c>
      <c r="G11">
        <v>0.76600000000000001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-0.61739130434782574</v>
      </c>
      <c r="Q11">
        <f t="shared" ref="Q11" si="31">F11*P11</f>
        <v>-2390908.8243478248</v>
      </c>
      <c r="R11">
        <f t="shared" ref="R11" si="32">R12+Q11</f>
        <v>43851857.309971064</v>
      </c>
      <c r="S11">
        <f t="shared" ref="S11" si="33">R11/100000</f>
        <v>438.51857309971064</v>
      </c>
      <c r="T11">
        <f t="shared" ref="T11" si="34">S11/1000</f>
        <v>0.43851857309971065</v>
      </c>
    </row>
    <row r="12" spans="1:20" x14ac:dyDescent="0.25">
      <c r="A12" s="5">
        <v>44581</v>
      </c>
      <c r="B12">
        <v>0.86699999999999999</v>
      </c>
      <c r="C12">
        <v>0.89900000000000002</v>
      </c>
      <c r="D12">
        <v>0.82699999999999996</v>
      </c>
      <c r="E12">
        <v>0.83099999999999996</v>
      </c>
      <c r="F12">
        <v>908629.4</v>
      </c>
      <c r="G12">
        <v>0.83099999999999996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-0.88888888888888884</v>
      </c>
      <c r="Q12">
        <f t="shared" ref="Q12" si="36">F12*P12</f>
        <v>-807670.5777777778</v>
      </c>
      <c r="R12">
        <f t="shared" ref="R12" si="37">R13+Q12</f>
        <v>46242766.134318888</v>
      </c>
      <c r="S12">
        <f t="shared" ref="S12" si="38">R12/100000</f>
        <v>462.4276613431889</v>
      </c>
      <c r="T12">
        <f t="shared" ref="T12" si="39">S12/1000</f>
        <v>0.46242766134318891</v>
      </c>
    </row>
    <row r="13" spans="1:20" x14ac:dyDescent="0.25">
      <c r="A13" s="5">
        <v>44580</v>
      </c>
      <c r="B13">
        <v>0.89800000000000002</v>
      </c>
      <c r="C13">
        <v>0.9</v>
      </c>
      <c r="D13">
        <v>0.85599999999999998</v>
      </c>
      <c r="E13">
        <v>0.86699999999999999</v>
      </c>
      <c r="F13">
        <v>713923</v>
      </c>
      <c r="G13">
        <v>0.86699999999999999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</v>
      </c>
      <c r="Q13">
        <f t="shared" ref="Q13" si="41">F13*P13</f>
        <v>-356961.5</v>
      </c>
      <c r="R13">
        <f t="shared" ref="R13" si="42">R14+Q13</f>
        <v>47050436.712096669</v>
      </c>
      <c r="S13">
        <f t="shared" ref="S13" si="43">R13/100000</f>
        <v>470.50436712096666</v>
      </c>
      <c r="T13">
        <f t="shared" ref="T13" si="44">S13/1000</f>
        <v>0.47050436712096666</v>
      </c>
    </row>
    <row r="14" spans="1:20" x14ac:dyDescent="0.25">
      <c r="A14" s="5">
        <v>44579</v>
      </c>
      <c r="B14">
        <v>0.91400000000000003</v>
      </c>
      <c r="C14">
        <v>0.91600000000000004</v>
      </c>
      <c r="D14">
        <v>0.86899999999999999</v>
      </c>
      <c r="E14">
        <v>0.9</v>
      </c>
      <c r="F14">
        <v>790690.7</v>
      </c>
      <c r="G14">
        <v>0.9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0.31914893617021278</v>
      </c>
      <c r="Q14">
        <f t="shared" ref="Q14" si="46">F14*P14</f>
        <v>252348.09574468085</v>
      </c>
      <c r="R14">
        <f t="shared" ref="R14" si="47">R15+Q14</f>
        <v>47407398.212096669</v>
      </c>
      <c r="S14">
        <f t="shared" ref="S14" si="48">R14/100000</f>
        <v>474.07398212096666</v>
      </c>
      <c r="T14">
        <f t="shared" ref="T14" si="49">S14/1000</f>
        <v>0.47407398212096669</v>
      </c>
    </row>
    <row r="15" spans="1:20" x14ac:dyDescent="0.25">
      <c r="A15" s="5">
        <v>44578</v>
      </c>
      <c r="B15">
        <v>0.93899999999999995</v>
      </c>
      <c r="C15">
        <v>0.94399999999999995</v>
      </c>
      <c r="D15">
        <v>0.89700000000000002</v>
      </c>
      <c r="E15">
        <v>0.91500000000000004</v>
      </c>
      <c r="F15">
        <v>1236512.3999999999</v>
      </c>
      <c r="G15">
        <v>0.91500000000000004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-0.23404255319148756</v>
      </c>
      <c r="Q15">
        <f t="shared" ref="Q15" si="51">F15*P15</f>
        <v>-289396.51914893393</v>
      </c>
      <c r="R15">
        <f t="shared" ref="R15" si="52">R16+Q15</f>
        <v>47155050.116351984</v>
      </c>
      <c r="S15">
        <f t="shared" ref="S15" si="53">R15/100000</f>
        <v>471.55050116351987</v>
      </c>
      <c r="T15">
        <f t="shared" ref="T15" si="54">S15/1000</f>
        <v>0.47155050116351988</v>
      </c>
    </row>
    <row r="16" spans="1:20" x14ac:dyDescent="0.25">
      <c r="A16" s="5">
        <v>44577</v>
      </c>
      <c r="B16">
        <v>0.93500000000000005</v>
      </c>
      <c r="C16">
        <v>1.008</v>
      </c>
      <c r="D16">
        <v>0.92300000000000004</v>
      </c>
      <c r="E16">
        <v>0.93700000000000006</v>
      </c>
      <c r="F16">
        <v>1903944.7</v>
      </c>
      <c r="G16">
        <v>0.93700000000000006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-0.67058823529411726</v>
      </c>
      <c r="Q16">
        <f t="shared" ref="Q16" si="56">F16*P16</f>
        <v>-1276762.9164705875</v>
      </c>
      <c r="R16">
        <f t="shared" ref="R16" si="57">R17+Q16</f>
        <v>47444446.635500915</v>
      </c>
      <c r="S16">
        <f t="shared" ref="S16" si="58">R16/100000</f>
        <v>474.44446635500913</v>
      </c>
      <c r="T16">
        <f t="shared" ref="T16" si="59">S16/1000</f>
        <v>0.47444446635500914</v>
      </c>
    </row>
    <row r="17" spans="1:20" x14ac:dyDescent="0.25">
      <c r="A17" s="5">
        <v>44576</v>
      </c>
      <c r="B17">
        <v>0.92700000000000005</v>
      </c>
      <c r="C17">
        <v>0.94099999999999995</v>
      </c>
      <c r="D17">
        <v>0.91800000000000004</v>
      </c>
      <c r="E17">
        <v>0.93500000000000005</v>
      </c>
      <c r="F17">
        <v>511051.4</v>
      </c>
      <c r="G17">
        <v>0.93500000000000005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0.47826086956522451</v>
      </c>
      <c r="Q17">
        <f t="shared" ref="Q17" si="61">F17*P17</f>
        <v>244415.88695652538</v>
      </c>
      <c r="R17">
        <f t="shared" ref="R17" si="62">R18+Q17</f>
        <v>48721209.551971503</v>
      </c>
      <c r="S17">
        <f t="shared" ref="S17" si="63">R17/100000</f>
        <v>487.21209551971504</v>
      </c>
      <c r="T17">
        <f t="shared" ref="T17" si="64">S17/1000</f>
        <v>0.48721209551971506</v>
      </c>
    </row>
    <row r="18" spans="1:20" x14ac:dyDescent="0.25">
      <c r="A18" s="5">
        <v>44575</v>
      </c>
      <c r="B18">
        <v>0.92100000000000004</v>
      </c>
      <c r="C18">
        <v>0.93600000000000005</v>
      </c>
      <c r="D18">
        <v>0.88900000000000001</v>
      </c>
      <c r="E18">
        <v>0.92700000000000005</v>
      </c>
      <c r="F18">
        <v>1093023.2</v>
      </c>
      <c r="G18">
        <v>0.92700000000000005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0.61702127659574468</v>
      </c>
      <c r="Q18">
        <f t="shared" ref="Q18" si="66">F18*P18</f>
        <v>674418.57021276595</v>
      </c>
      <c r="R18">
        <f t="shared" ref="R18" si="67">R19+Q18</f>
        <v>48476793.665014975</v>
      </c>
      <c r="S18">
        <f t="shared" ref="S18" si="68">R18/100000</f>
        <v>484.76793665014975</v>
      </c>
      <c r="T18">
        <f t="shared" ref="T18" si="69">S18/1000</f>
        <v>0.48476793665014972</v>
      </c>
    </row>
    <row r="19" spans="1:20" x14ac:dyDescent="0.25">
      <c r="A19" s="5">
        <v>44574</v>
      </c>
      <c r="B19">
        <v>0.93</v>
      </c>
      <c r="C19">
        <v>1.0189999999999999</v>
      </c>
      <c r="D19">
        <v>0.91500000000000004</v>
      </c>
      <c r="E19">
        <v>0.92100000000000004</v>
      </c>
      <c r="F19">
        <v>2637513.5</v>
      </c>
      <c r="G19">
        <v>0.92100000000000004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-0.88461538461538436</v>
      </c>
      <c r="Q19">
        <f t="shared" ref="Q19" si="71">F19*P19</f>
        <v>-2333185.0192307686</v>
      </c>
      <c r="R19">
        <f t="shared" ref="R19" si="72">R20+Q19</f>
        <v>47802375.094802208</v>
      </c>
      <c r="S19">
        <f t="shared" ref="S19" si="73">R19/100000</f>
        <v>478.0237509480221</v>
      </c>
      <c r="T19">
        <f t="shared" ref="T19" si="74">S19/1000</f>
        <v>0.47802375094802207</v>
      </c>
    </row>
    <row r="20" spans="1:20" x14ac:dyDescent="0.25">
      <c r="A20" s="5">
        <v>44573</v>
      </c>
      <c r="B20">
        <v>0.89</v>
      </c>
      <c r="C20">
        <v>0.93300000000000005</v>
      </c>
      <c r="D20">
        <v>0.88</v>
      </c>
      <c r="E20">
        <v>0.93</v>
      </c>
      <c r="F20">
        <v>1795656.6</v>
      </c>
      <c r="G20">
        <v>0.93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0.8867924528301887</v>
      </c>
      <c r="Q20">
        <f t="shared" ref="Q20" si="76">F20*P20</f>
        <v>1592374.720754717</v>
      </c>
      <c r="R20">
        <f t="shared" ref="R20" si="77">R21+Q20</f>
        <v>50135560.114032976</v>
      </c>
      <c r="S20">
        <f t="shared" ref="S20" si="78">R20/100000</f>
        <v>501.35560114032978</v>
      </c>
      <c r="T20">
        <f t="shared" ref="T20" si="79">S20/1000</f>
        <v>0.50135560114032973</v>
      </c>
    </row>
    <row r="21" spans="1:20" x14ac:dyDescent="0.25">
      <c r="A21" s="5">
        <v>44572</v>
      </c>
      <c r="B21">
        <v>0.87</v>
      </c>
      <c r="C21">
        <v>0.90900000000000003</v>
      </c>
      <c r="D21">
        <v>0.84199999999999997</v>
      </c>
      <c r="E21">
        <v>0.89100000000000001</v>
      </c>
      <c r="F21">
        <v>2039560.4</v>
      </c>
      <c r="G21">
        <v>0.89100000000000001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0.46268656716417911</v>
      </c>
      <c r="Q21">
        <f t="shared" ref="Q21" si="81">F21*P21</f>
        <v>943677.2</v>
      </c>
      <c r="R21">
        <f t="shared" ref="R21" si="82">R22+Q21</f>
        <v>48543185.393278256</v>
      </c>
      <c r="S21">
        <f t="shared" ref="S21" si="83">R21/100000</f>
        <v>485.43185393278259</v>
      </c>
      <c r="T21">
        <f t="shared" ref="T21" si="84">S21/1000</f>
        <v>0.4854318539327826</v>
      </c>
    </row>
    <row r="22" spans="1:20" x14ac:dyDescent="0.25">
      <c r="A22" s="5">
        <v>44571</v>
      </c>
      <c r="B22">
        <v>0.90900000000000003</v>
      </c>
      <c r="C22">
        <v>0.92300000000000004</v>
      </c>
      <c r="D22">
        <v>0.81</v>
      </c>
      <c r="E22">
        <v>0.86899999999999999</v>
      </c>
      <c r="F22">
        <v>1495741.3</v>
      </c>
      <c r="G22">
        <v>0.86899999999999999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4.4247787610618532E-2</v>
      </c>
      <c r="Q22">
        <f t="shared" ref="Q22" si="86">F22*P22</f>
        <v>66183.243362830457</v>
      </c>
      <c r="R22">
        <f t="shared" ref="R22" si="87">R23+Q22</f>
        <v>47599508.193278253</v>
      </c>
      <c r="S22">
        <f t="shared" ref="S22" si="88">R22/100000</f>
        <v>475.99508193278251</v>
      </c>
      <c r="T22">
        <f t="shared" ref="T22" si="89">S22/1000</f>
        <v>0.4759950819327825</v>
      </c>
    </row>
    <row r="23" spans="1:20" x14ac:dyDescent="0.25">
      <c r="A23" s="5">
        <v>44570</v>
      </c>
      <c r="B23">
        <v>0.89900000000000002</v>
      </c>
      <c r="C23">
        <v>0.92300000000000004</v>
      </c>
      <c r="D23">
        <v>0.88400000000000001</v>
      </c>
      <c r="E23">
        <v>0.91</v>
      </c>
      <c r="F23">
        <v>1039438.7</v>
      </c>
      <c r="G23">
        <v>0.91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0.33333333333333331</v>
      </c>
      <c r="Q23">
        <f t="shared" ref="Q23" si="91">F23*P23</f>
        <v>346479.56666666665</v>
      </c>
      <c r="R23">
        <f t="shared" ref="R23" si="92">R24+Q23</f>
        <v>47533324.949915424</v>
      </c>
      <c r="S23">
        <f t="shared" ref="S23" si="93">R23/100000</f>
        <v>475.33324949915425</v>
      </c>
      <c r="T23">
        <f t="shared" ref="T23" si="94">S23/1000</f>
        <v>0.47533324949915423</v>
      </c>
    </row>
    <row r="24" spans="1:20" x14ac:dyDescent="0.25">
      <c r="A24" s="5">
        <v>44569</v>
      </c>
      <c r="B24">
        <v>0.91400000000000003</v>
      </c>
      <c r="C24">
        <v>0.93400000000000005</v>
      </c>
      <c r="D24">
        <v>0.874</v>
      </c>
      <c r="E24">
        <v>0.89700000000000002</v>
      </c>
      <c r="F24">
        <v>1061051.5</v>
      </c>
      <c r="G24">
        <v>0.89700000000000002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-0.23333333333333334</v>
      </c>
      <c r="Q24">
        <f t="shared" ref="Q24" si="96">F24*P24</f>
        <v>-247578.68333333335</v>
      </c>
      <c r="R24">
        <f t="shared" ref="R24" si="97">R25+Q24</f>
        <v>47186845.383248754</v>
      </c>
      <c r="S24">
        <f t="shared" ref="S24" si="98">R24/100000</f>
        <v>471.86845383248755</v>
      </c>
      <c r="T24">
        <f t="shared" ref="T24" si="99">S24/1000</f>
        <v>0.47186845383248754</v>
      </c>
    </row>
    <row r="25" spans="1:20" x14ac:dyDescent="0.25">
      <c r="A25" s="5">
        <v>44568</v>
      </c>
      <c r="B25">
        <v>0.97899999999999998</v>
      </c>
      <c r="C25">
        <v>0.98099999999999998</v>
      </c>
      <c r="D25">
        <v>0.88</v>
      </c>
      <c r="E25">
        <v>0.91400000000000003</v>
      </c>
      <c r="F25">
        <v>1722647.8</v>
      </c>
      <c r="G25">
        <v>0.91400000000000003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-0.32673267326732597</v>
      </c>
      <c r="Q25">
        <f t="shared" ref="Q25" si="101">F25*P25</f>
        <v>-562845.32079207792</v>
      </c>
      <c r="R25">
        <f t="shared" ref="R25" si="102">R26+Q25</f>
        <v>47434424.066582084</v>
      </c>
      <c r="S25">
        <f t="shared" ref="S25" si="103">R25/100000</f>
        <v>474.34424066582085</v>
      </c>
      <c r="T25">
        <f t="shared" ref="T25" si="104">S25/1000</f>
        <v>0.47434424066582087</v>
      </c>
    </row>
    <row r="26" spans="1:20" x14ac:dyDescent="0.25">
      <c r="A26" s="5">
        <v>44567</v>
      </c>
      <c r="B26">
        <v>0.995</v>
      </c>
      <c r="C26">
        <v>1.0569999999999999</v>
      </c>
      <c r="D26">
        <v>0.94399999999999995</v>
      </c>
      <c r="E26">
        <v>0.97899999999999998</v>
      </c>
      <c r="F26">
        <v>1934298.3</v>
      </c>
      <c r="G26">
        <v>0.97899999999999998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-0.3805309734513268</v>
      </c>
      <c r="Q26">
        <f t="shared" ref="Q26" si="106">F26*P26</f>
        <v>-736060.41504424659</v>
      </c>
      <c r="R26">
        <f t="shared" ref="R26" si="107">R27+Q26</f>
        <v>47997269.387374163</v>
      </c>
      <c r="S26">
        <f t="shared" ref="S26" si="108">R26/100000</f>
        <v>479.9726938737416</v>
      </c>
      <c r="T26">
        <f t="shared" ref="T26" si="109">S26/1000</f>
        <v>0.47997269387374158</v>
      </c>
    </row>
    <row r="27" spans="1:20" x14ac:dyDescent="0.25">
      <c r="A27" s="5">
        <v>44566</v>
      </c>
      <c r="B27">
        <v>1.0620000000000001</v>
      </c>
      <c r="C27">
        <v>1.1279999999999999</v>
      </c>
      <c r="D27">
        <v>0.95499999999999996</v>
      </c>
      <c r="E27">
        <v>0.99399999999999999</v>
      </c>
      <c r="F27">
        <v>1972164.8</v>
      </c>
      <c r="G27">
        <v>0.99399999999999999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-0.54913294797687806</v>
      </c>
      <c r="Q27">
        <f t="shared" ref="Q27" si="111">F27*P27</f>
        <v>-1082980.6705202302</v>
      </c>
      <c r="R27">
        <f t="shared" ref="R27" si="112">R28+Q27</f>
        <v>48733329.802418411</v>
      </c>
      <c r="S27">
        <f t="shared" ref="S27" si="113">R27/100000</f>
        <v>487.3332980241841</v>
      </c>
      <c r="T27">
        <f t="shared" ref="T27" si="114">S27/1000</f>
        <v>0.48733329802418413</v>
      </c>
    </row>
    <row r="28" spans="1:20" x14ac:dyDescent="0.25">
      <c r="A28" s="5">
        <v>44565</v>
      </c>
      <c r="B28">
        <v>1.077</v>
      </c>
      <c r="C28">
        <v>1.1240000000000001</v>
      </c>
      <c r="D28">
        <v>1.042</v>
      </c>
      <c r="E28">
        <v>1.0629999999999999</v>
      </c>
      <c r="F28">
        <v>914359.2</v>
      </c>
      <c r="G28">
        <v>1.0629999999999999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-0.4878048780487832</v>
      </c>
      <c r="Q28">
        <f t="shared" ref="Q28" si="116">F28*P28</f>
        <v>-446028.87804878294</v>
      </c>
      <c r="R28">
        <f t="shared" ref="R28" si="117">R29+Q28</f>
        <v>49816310.472938642</v>
      </c>
      <c r="S28">
        <f t="shared" ref="S28" si="118">R28/100000</f>
        <v>498.16310472938642</v>
      </c>
      <c r="T28">
        <f t="shared" ref="T28" si="119">S28/1000</f>
        <v>0.49816310472938641</v>
      </c>
    </row>
    <row r="29" spans="1:20" x14ac:dyDescent="0.25">
      <c r="A29" s="5">
        <v>44564</v>
      </c>
      <c r="B29">
        <v>1.0820000000000001</v>
      </c>
      <c r="C29">
        <v>1.1220000000000001</v>
      </c>
      <c r="D29">
        <v>1.0409999999999999</v>
      </c>
      <c r="E29">
        <v>1.075</v>
      </c>
      <c r="F29">
        <v>932702.6</v>
      </c>
      <c r="G29">
        <v>1.075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-0.16049382716049498</v>
      </c>
      <c r="Q29">
        <f t="shared" ref="Q29" si="121">F29*P29</f>
        <v>-149693.0098765443</v>
      </c>
      <c r="R29">
        <f t="shared" ref="R29" si="122">R30+Q29</f>
        <v>50262339.350987427</v>
      </c>
      <c r="S29">
        <f t="shared" ref="S29" si="123">R29/100000</f>
        <v>502.62339350987429</v>
      </c>
      <c r="T29">
        <f t="shared" ref="T29" si="124">S29/1000</f>
        <v>0.50262339350987428</v>
      </c>
    </row>
    <row r="30" spans="1:20" x14ac:dyDescent="0.25">
      <c r="A30" s="5">
        <v>44563</v>
      </c>
      <c r="B30">
        <v>1.04</v>
      </c>
      <c r="C30">
        <v>1.105</v>
      </c>
      <c r="D30">
        <v>1.028</v>
      </c>
      <c r="E30">
        <v>1.079</v>
      </c>
      <c r="F30">
        <v>1157092.1000000001</v>
      </c>
      <c r="G30">
        <v>1.079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0.32467532467532373</v>
      </c>
      <c r="Q30">
        <f t="shared" ref="Q30" si="126">F30*P30</f>
        <v>375679.2532467522</v>
      </c>
      <c r="R30">
        <f t="shared" ref="R30" si="127">R31+Q30</f>
        <v>50412032.360863969</v>
      </c>
      <c r="S30">
        <f t="shared" ref="S30" si="128">R30/100000</f>
        <v>504.12032360863969</v>
      </c>
      <c r="T30">
        <f t="shared" ref="T30" si="129">S30/1000</f>
        <v>0.50412032360863968</v>
      </c>
    </row>
    <row r="31" spans="1:20" x14ac:dyDescent="0.25">
      <c r="A31" s="5">
        <v>44562</v>
      </c>
      <c r="B31">
        <v>1.016</v>
      </c>
      <c r="C31">
        <v>1.0509999999999999</v>
      </c>
      <c r="D31">
        <v>1.016</v>
      </c>
      <c r="E31">
        <v>1.04</v>
      </c>
      <c r="F31">
        <v>583874.4</v>
      </c>
      <c r="G31">
        <v>1.04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0.37142857142857577</v>
      </c>
      <c r="Q31">
        <f t="shared" ref="Q31" si="131">F31*P31</f>
        <v>216867.63428571683</v>
      </c>
      <c r="R31">
        <f t="shared" ref="R31" si="132">R32+Q31</f>
        <v>50036353.107617214</v>
      </c>
      <c r="S31">
        <f t="shared" ref="S31" si="133">R31/100000</f>
        <v>500.36353107617214</v>
      </c>
      <c r="T31">
        <f t="shared" ref="T31" si="134">S31/1000</f>
        <v>0.50036353107617215</v>
      </c>
    </row>
    <row r="32" spans="1:20" x14ac:dyDescent="0.25">
      <c r="A32" s="5">
        <v>44561</v>
      </c>
      <c r="B32">
        <v>1.0369999999999999</v>
      </c>
      <c r="C32">
        <v>1.0660000000000001</v>
      </c>
      <c r="D32">
        <v>0.99</v>
      </c>
      <c r="E32">
        <v>1.018</v>
      </c>
      <c r="F32">
        <v>1060577.3</v>
      </c>
      <c r="G32">
        <v>1.018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-0.26315789473684209</v>
      </c>
      <c r="Q32">
        <f t="shared" ref="Q32" si="136">F32*P32</f>
        <v>-279099.28947368421</v>
      </c>
      <c r="R32">
        <f t="shared" ref="R32" si="137">R33+Q32</f>
        <v>49819485.473331496</v>
      </c>
      <c r="S32">
        <f t="shared" ref="S32" si="138">R32/100000</f>
        <v>498.19485473331497</v>
      </c>
      <c r="T32">
        <f t="shared" ref="T32" si="139">S32/1000</f>
        <v>0.49819485473331498</v>
      </c>
    </row>
    <row r="33" spans="1:20" x14ac:dyDescent="0.25">
      <c r="A33" s="5">
        <v>44560</v>
      </c>
      <c r="B33">
        <v>1.01</v>
      </c>
      <c r="C33">
        <v>1.0880000000000001</v>
      </c>
      <c r="D33">
        <v>1.0009999999999999</v>
      </c>
      <c r="E33">
        <v>1.038</v>
      </c>
      <c r="F33">
        <v>1365508.3</v>
      </c>
      <c r="G33">
        <v>1.038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-0.14942528735632038</v>
      </c>
      <c r="Q33">
        <f t="shared" ref="Q33" si="141">F33*P33</f>
        <v>-204041.47011494054</v>
      </c>
      <c r="R33">
        <f t="shared" ref="R33" si="142">R34+Q33</f>
        <v>50098584.762805179</v>
      </c>
      <c r="S33">
        <f t="shared" ref="S33" si="143">R33/100000</f>
        <v>500.98584762805177</v>
      </c>
      <c r="T33">
        <f t="shared" ref="T33" si="144">S33/1000</f>
        <v>0.50098584762805176</v>
      </c>
    </row>
    <row r="34" spans="1:20" x14ac:dyDescent="0.25">
      <c r="A34" s="5">
        <v>44559</v>
      </c>
      <c r="B34">
        <v>1.0620000000000001</v>
      </c>
      <c r="C34">
        <v>1.071</v>
      </c>
      <c r="D34">
        <v>1.006</v>
      </c>
      <c r="E34">
        <v>1.01</v>
      </c>
      <c r="F34">
        <v>980080.8</v>
      </c>
      <c r="G34">
        <v>1.01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-0.87692307692307669</v>
      </c>
      <c r="Q34">
        <f t="shared" ref="Q34" si="146">F34*P34</f>
        <v>-859455.47076923063</v>
      </c>
      <c r="R34">
        <f t="shared" ref="R34" si="147">R35+Q34</f>
        <v>50302626.232920118</v>
      </c>
      <c r="S34">
        <f t="shared" ref="S34" si="148">R34/100000</f>
        <v>503.02626232920119</v>
      </c>
      <c r="T34">
        <f t="shared" ref="T34" si="149">S34/1000</f>
        <v>0.50302626232920122</v>
      </c>
    </row>
    <row r="35" spans="1:20" x14ac:dyDescent="0.25">
      <c r="A35" s="5">
        <v>44558</v>
      </c>
      <c r="B35">
        <v>1.161</v>
      </c>
      <c r="C35">
        <v>1.1879999999999999</v>
      </c>
      <c r="D35">
        <v>1.042</v>
      </c>
      <c r="E35">
        <v>1.0620000000000001</v>
      </c>
      <c r="F35">
        <v>2032204</v>
      </c>
      <c r="G35">
        <v>1.0620000000000001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-0.72602739726027354</v>
      </c>
      <c r="Q35">
        <f t="shared" ref="Q35" si="151">F35*P35</f>
        <v>-1475435.7808219169</v>
      </c>
      <c r="R35">
        <f t="shared" ref="R35" si="152">R36+Q35</f>
        <v>51162081.703689352</v>
      </c>
      <c r="S35">
        <f t="shared" ref="S35" si="153">R35/100000</f>
        <v>511.62081703689353</v>
      </c>
      <c r="T35">
        <f t="shared" ref="T35" si="154">S35/1000</f>
        <v>0.51162081703689355</v>
      </c>
    </row>
    <row r="36" spans="1:20" x14ac:dyDescent="0.25">
      <c r="A36" s="5">
        <v>44557</v>
      </c>
      <c r="B36">
        <v>1.1399999999999999</v>
      </c>
      <c r="C36">
        <v>1.1739999999999999</v>
      </c>
      <c r="D36">
        <v>1.133</v>
      </c>
      <c r="E36">
        <v>1.1599999999999999</v>
      </c>
      <c r="F36">
        <v>801093.4</v>
      </c>
      <c r="G36">
        <v>1.1599999999999999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0.31707317073170549</v>
      </c>
      <c r="Q36">
        <f t="shared" ref="Q36" si="156">F36*P36</f>
        <v>254005.22439024245</v>
      </c>
      <c r="R36">
        <f t="shared" ref="R36" si="157">R37+Q36</f>
        <v>52637517.484511271</v>
      </c>
      <c r="S36">
        <f t="shared" ref="S36" si="158">R36/100000</f>
        <v>526.37517484511272</v>
      </c>
      <c r="T36">
        <f t="shared" ref="T36" si="159">S36/1000</f>
        <v>0.52637517484511276</v>
      </c>
    </row>
    <row r="37" spans="1:20" x14ac:dyDescent="0.25">
      <c r="A37" s="5">
        <v>44556</v>
      </c>
      <c r="B37">
        <v>1.1519999999999999</v>
      </c>
      <c r="C37">
        <v>1.1539999999999999</v>
      </c>
      <c r="D37">
        <v>1.1100000000000001</v>
      </c>
      <c r="E37">
        <v>1.1399999999999999</v>
      </c>
      <c r="F37">
        <v>1360004.7</v>
      </c>
      <c r="G37">
        <v>1.1399999999999999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0.36363636363636043</v>
      </c>
      <c r="Q37">
        <f t="shared" ref="Q37" si="161">F37*P37</f>
        <v>494547.16363635927</v>
      </c>
      <c r="R37">
        <f t="shared" ref="R37" si="162">R38+Q37</f>
        <v>52383512.260121025</v>
      </c>
      <c r="S37">
        <f t="shared" ref="S37" si="163">R37/100000</f>
        <v>523.83512260121029</v>
      </c>
      <c r="T37">
        <f t="shared" ref="T37" si="164">S37/1000</f>
        <v>0.52383512260121023</v>
      </c>
    </row>
    <row r="38" spans="1:20" x14ac:dyDescent="0.25">
      <c r="A38" s="5">
        <v>44555</v>
      </c>
      <c r="B38">
        <v>1.139</v>
      </c>
      <c r="C38">
        <v>1.17</v>
      </c>
      <c r="D38">
        <v>1.1319999999999999</v>
      </c>
      <c r="E38">
        <v>1.1539999999999999</v>
      </c>
      <c r="F38">
        <v>510235.1</v>
      </c>
      <c r="G38">
        <v>1.1539999999999999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0.15789473684210525</v>
      </c>
      <c r="Q38">
        <f t="shared" ref="Q38" si="166">F38*P38</f>
        <v>80563.43684210525</v>
      </c>
      <c r="R38">
        <f t="shared" ref="R38" si="167">R39+Q38</f>
        <v>51888965.096484669</v>
      </c>
      <c r="S38">
        <f t="shared" ref="S38" si="168">R38/100000</f>
        <v>518.88965096484674</v>
      </c>
      <c r="T38">
        <f t="shared" ref="T38" si="169">S38/1000</f>
        <v>0.51888965096484674</v>
      </c>
    </row>
    <row r="39" spans="1:20" x14ac:dyDescent="0.25">
      <c r="A39" s="5">
        <v>44554</v>
      </c>
      <c r="B39">
        <v>1.131</v>
      </c>
      <c r="C39">
        <v>1.1879999999999999</v>
      </c>
      <c r="D39">
        <v>1.123</v>
      </c>
      <c r="E39">
        <v>1.139</v>
      </c>
      <c r="F39">
        <v>1414961.4</v>
      </c>
      <c r="G39">
        <v>1.139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-0.50769230769230689</v>
      </c>
      <c r="Q39">
        <f t="shared" ref="Q39" si="171">F39*P39</f>
        <v>-718365.01846153731</v>
      </c>
      <c r="R39">
        <f t="shared" ref="R39" si="172">R40+Q39</f>
        <v>51808401.659642562</v>
      </c>
      <c r="S39">
        <f t="shared" ref="S39" si="173">R39/100000</f>
        <v>518.08401659642561</v>
      </c>
      <c r="T39">
        <f t="shared" ref="T39" si="174">S39/1000</f>
        <v>0.51808401659642567</v>
      </c>
    </row>
    <row r="40" spans="1:20" x14ac:dyDescent="0.25">
      <c r="A40" s="5">
        <v>44553</v>
      </c>
      <c r="B40">
        <v>1.0840000000000001</v>
      </c>
      <c r="C40">
        <v>1.1519999999999999</v>
      </c>
      <c r="D40">
        <v>1.071</v>
      </c>
      <c r="E40">
        <v>1.1279999999999999</v>
      </c>
      <c r="F40">
        <v>1346699.4</v>
      </c>
      <c r="G40">
        <v>1.1279999999999999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0.40740740740740661</v>
      </c>
      <c r="Q40">
        <f t="shared" ref="Q40" si="176">F40*P40</f>
        <v>548655.31111111003</v>
      </c>
      <c r="R40">
        <f t="shared" ref="R40" si="177">R41+Q40</f>
        <v>52526766.678104103</v>
      </c>
      <c r="S40">
        <f t="shared" ref="S40" si="178">R40/100000</f>
        <v>525.26766678104104</v>
      </c>
      <c r="T40">
        <f t="shared" ref="T40" si="179">S40/1000</f>
        <v>0.52526766678104109</v>
      </c>
    </row>
    <row r="41" spans="1:20" x14ac:dyDescent="0.25">
      <c r="A41" s="5">
        <v>44552</v>
      </c>
      <c r="B41">
        <v>1.089</v>
      </c>
      <c r="C41">
        <v>1.117</v>
      </c>
      <c r="D41">
        <v>1.0649999999999999</v>
      </c>
      <c r="E41">
        <v>1.0860000000000001</v>
      </c>
      <c r="F41">
        <v>1512468.7</v>
      </c>
      <c r="G41">
        <v>1.0860000000000001</v>
      </c>
      <c r="L41" t="s">
        <v>7</v>
      </c>
      <c r="M41" t="s">
        <v>8</v>
      </c>
      <c r="N41" t="s">
        <v>8</v>
      </c>
      <c r="P41">
        <f t="shared" ref="P41" si="180">IF(C41=D41,0,((E41-D41)-(C41-E41))/(C41-D41))</f>
        <v>-0.19230769230768804</v>
      </c>
      <c r="Q41">
        <f t="shared" ref="Q41" si="181">F41*P41</f>
        <v>-290859.36538460891</v>
      </c>
      <c r="R41">
        <f t="shared" ref="R41" si="182">R42+Q41</f>
        <v>51978111.366992995</v>
      </c>
      <c r="S41">
        <f t="shared" ref="S41" si="183">R41/100000</f>
        <v>519.78111366992994</v>
      </c>
      <c r="T41">
        <f t="shared" ref="T41" si="184">S41/1000</f>
        <v>0.51978111366992996</v>
      </c>
    </row>
    <row r="42" spans="1:20" x14ac:dyDescent="0.25">
      <c r="A42" s="5">
        <v>44551</v>
      </c>
      <c r="B42">
        <v>1.014</v>
      </c>
      <c r="C42">
        <v>1.26</v>
      </c>
      <c r="D42">
        <v>0.997</v>
      </c>
      <c r="E42">
        <v>1.087</v>
      </c>
      <c r="F42">
        <v>6210526.0999999996</v>
      </c>
      <c r="G42">
        <v>1.087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-0.31558935361216756</v>
      </c>
      <c r="Q42">
        <f t="shared" ref="Q42" si="186">F42*P42</f>
        <v>-1959975.9174904958</v>
      </c>
      <c r="R42">
        <f t="shared" ref="R42" si="187">R43+Q42</f>
        <v>52268970.732377604</v>
      </c>
      <c r="S42">
        <f t="shared" ref="S42" si="188">R42/100000</f>
        <v>522.68970732377602</v>
      </c>
      <c r="T42">
        <f t="shared" ref="T42" si="189">S42/1000</f>
        <v>0.52268970732377606</v>
      </c>
    </row>
    <row r="43" spans="1:20" x14ac:dyDescent="0.25">
      <c r="A43" s="5">
        <v>44550</v>
      </c>
      <c r="B43">
        <v>1.052</v>
      </c>
      <c r="C43">
        <v>1.0580000000000001</v>
      </c>
      <c r="D43">
        <v>0.98099999999999998</v>
      </c>
      <c r="E43">
        <v>1.014</v>
      </c>
      <c r="F43">
        <v>1452446.4</v>
      </c>
      <c r="G43">
        <v>1.014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-0.14285714285714285</v>
      </c>
      <c r="Q43">
        <f t="shared" ref="Q43" si="191">F43*P43</f>
        <v>-207492.34285714282</v>
      </c>
      <c r="R43">
        <f t="shared" ref="R43" si="192">R44+Q43</f>
        <v>54228946.649868101</v>
      </c>
      <c r="S43">
        <f t="shared" ref="S43" si="193">R43/100000</f>
        <v>542.28946649868101</v>
      </c>
      <c r="T43">
        <f t="shared" ref="T43" si="194">S43/1000</f>
        <v>0.54228946649868104</v>
      </c>
    </row>
    <row r="44" spans="1:20" x14ac:dyDescent="0.25">
      <c r="A44" s="5">
        <v>44549</v>
      </c>
      <c r="B44">
        <v>1.0269999999999999</v>
      </c>
      <c r="C44">
        <v>1.163</v>
      </c>
      <c r="D44">
        <v>1.0269999999999999</v>
      </c>
      <c r="E44">
        <v>1.0509999999999999</v>
      </c>
      <c r="F44">
        <v>3308510.6</v>
      </c>
      <c r="G44">
        <v>1.0509999999999999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-0.6470588235294118</v>
      </c>
      <c r="Q44">
        <f t="shared" ref="Q44" si="196">F44*P44</f>
        <v>-2140800.9764705882</v>
      </c>
      <c r="R44">
        <f t="shared" ref="R44" si="197">R45+Q44</f>
        <v>54436438.992725246</v>
      </c>
      <c r="S44">
        <f t="shared" ref="S44" si="198">R44/100000</f>
        <v>544.36438992725243</v>
      </c>
      <c r="T44">
        <f t="shared" ref="T44" si="199">S44/1000</f>
        <v>0.54436438992725245</v>
      </c>
    </row>
    <row r="45" spans="1:20" x14ac:dyDescent="0.25">
      <c r="A45" s="5">
        <v>44548</v>
      </c>
      <c r="B45">
        <v>1.004</v>
      </c>
      <c r="C45">
        <v>1.04</v>
      </c>
      <c r="D45">
        <v>0.99399999999999999</v>
      </c>
      <c r="E45">
        <v>1.026</v>
      </c>
      <c r="F45">
        <v>729859.7</v>
      </c>
      <c r="G45">
        <v>1.026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0.39130434782608697</v>
      </c>
      <c r="Q45">
        <f t="shared" ref="Q45" si="201">F45*P45</f>
        <v>285597.27391304349</v>
      </c>
      <c r="R45">
        <f t="shared" ref="R45" si="202">R46+Q45</f>
        <v>56577239.969195835</v>
      </c>
      <c r="S45">
        <f t="shared" ref="S45" si="203">R45/100000</f>
        <v>565.7723996919583</v>
      </c>
      <c r="T45">
        <f t="shared" ref="T45" si="204">S45/1000</f>
        <v>0.56577239969195825</v>
      </c>
    </row>
    <row r="46" spans="1:20" x14ac:dyDescent="0.25">
      <c r="A46" s="5">
        <v>44547</v>
      </c>
      <c r="B46">
        <v>1.0089999999999999</v>
      </c>
      <c r="C46">
        <v>1.0389999999999999</v>
      </c>
      <c r="D46">
        <v>0.96699999999999997</v>
      </c>
      <c r="E46">
        <v>1.004</v>
      </c>
      <c r="F46">
        <v>1711655.9</v>
      </c>
      <c r="G46">
        <v>1.004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2.7777777777779362E-2</v>
      </c>
      <c r="Q46">
        <f t="shared" ref="Q46" si="206">F46*P46</f>
        <v>47545.997222224934</v>
      </c>
      <c r="R46">
        <f t="shared" ref="R46" si="207">R47+Q46</f>
        <v>56291642.695282795</v>
      </c>
      <c r="S46">
        <f t="shared" ref="S46" si="208">R46/100000</f>
        <v>562.91642695282792</v>
      </c>
      <c r="T46">
        <f t="shared" ref="T46" si="209">S46/1000</f>
        <v>0.56291642695282795</v>
      </c>
    </row>
    <row r="47" spans="1:20" x14ac:dyDescent="0.25">
      <c r="A47" s="5">
        <v>44546</v>
      </c>
      <c r="B47">
        <v>1.0369999999999999</v>
      </c>
      <c r="C47">
        <v>1.0629999999999999</v>
      </c>
      <c r="D47">
        <v>1.0069999999999999</v>
      </c>
      <c r="E47">
        <v>1.0069999999999999</v>
      </c>
      <c r="F47">
        <v>1188541.3</v>
      </c>
      <c r="G47">
        <v>1.0069999999999999</v>
      </c>
      <c r="L47" t="s">
        <v>7</v>
      </c>
      <c r="M47" t="s">
        <v>7</v>
      </c>
      <c r="N47" t="s">
        <v>8</v>
      </c>
      <c r="P47">
        <f t="shared" ref="P47" si="210">IF(C47=D47,0,((E47-D47)-(C47-E47))/(C47-D47))</f>
        <v>-1</v>
      </c>
      <c r="Q47">
        <f t="shared" ref="Q47" si="211">F47*P47</f>
        <v>-1188541.3</v>
      </c>
      <c r="R47">
        <f t="shared" ref="R47" si="212">R48+Q47</f>
        <v>56244096.698060572</v>
      </c>
      <c r="S47">
        <f t="shared" ref="S47" si="213">R47/100000</f>
        <v>562.44096698060571</v>
      </c>
      <c r="T47">
        <f t="shared" ref="T47" si="214">S47/1000</f>
        <v>0.56244096698060575</v>
      </c>
    </row>
    <row r="48" spans="1:20" x14ac:dyDescent="0.25">
      <c r="A48" s="5">
        <v>44545</v>
      </c>
      <c r="B48">
        <v>1.014</v>
      </c>
      <c r="C48">
        <v>1.1279999999999999</v>
      </c>
      <c r="D48">
        <v>0.96299999999999997</v>
      </c>
      <c r="E48">
        <v>1.0369999999999999</v>
      </c>
      <c r="F48">
        <v>2447519.4</v>
      </c>
      <c r="G48">
        <v>1.0369999999999999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-0.10303030303030317</v>
      </c>
      <c r="Q48">
        <f t="shared" ref="Q48" si="216">F48*P48</f>
        <v>-252168.66545454579</v>
      </c>
      <c r="R48">
        <f t="shared" ref="R48" si="217">R49+Q48</f>
        <v>57432637.998060569</v>
      </c>
      <c r="S48">
        <f t="shared" ref="S48" si="218">R48/100000</f>
        <v>574.32637998060568</v>
      </c>
      <c r="T48">
        <f t="shared" ref="T48" si="219">S48/1000</f>
        <v>0.57432637998060565</v>
      </c>
    </row>
    <row r="49" spans="1:20" x14ac:dyDescent="0.25">
      <c r="A49" s="5">
        <v>44544</v>
      </c>
      <c r="B49">
        <v>0.98599999999999999</v>
      </c>
      <c r="C49">
        <v>1.073</v>
      </c>
      <c r="D49">
        <v>0.96499999999999997</v>
      </c>
      <c r="E49">
        <v>1.012</v>
      </c>
      <c r="F49">
        <v>3997627.6</v>
      </c>
      <c r="G49">
        <v>1.012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-0.12962962962962873</v>
      </c>
      <c r="Q49">
        <f t="shared" ref="Q49" si="221">F49*P49</f>
        <v>-518210.98518518161</v>
      </c>
      <c r="R49">
        <f t="shared" ref="R49" si="222">R50+Q49</f>
        <v>57684806.663515113</v>
      </c>
      <c r="S49">
        <f t="shared" ref="S49" si="223">R49/100000</f>
        <v>576.8480666351511</v>
      </c>
      <c r="T49">
        <f t="shared" ref="T49" si="224">S49/1000</f>
        <v>0.57684806663515109</v>
      </c>
    </row>
    <row r="50" spans="1:20" x14ac:dyDescent="0.25">
      <c r="A50" s="5">
        <v>44543</v>
      </c>
      <c r="B50">
        <v>1.1040000000000001</v>
      </c>
      <c r="C50">
        <v>1.109</v>
      </c>
      <c r="D50">
        <v>0.97799999999999998</v>
      </c>
      <c r="E50">
        <v>0.98899999999999999</v>
      </c>
      <c r="F50">
        <v>1959216.7</v>
      </c>
      <c r="G50">
        <v>0.98899999999999999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-0.83206106870228991</v>
      </c>
      <c r="Q50">
        <f t="shared" ref="Q50" si="226">F50*P50</f>
        <v>-1630187.9412213736</v>
      </c>
      <c r="R50">
        <f t="shared" ref="R50" si="227">R51+Q50</f>
        <v>58203017.648700297</v>
      </c>
      <c r="S50">
        <f t="shared" ref="S50" si="228">R50/100000</f>
        <v>582.03017648700302</v>
      </c>
      <c r="T50">
        <f t="shared" ref="T50" si="229">S50/1000</f>
        <v>0.58203017648700306</v>
      </c>
    </row>
    <row r="51" spans="1:20" x14ac:dyDescent="0.25">
      <c r="A51" s="5">
        <v>44542</v>
      </c>
      <c r="B51">
        <v>1.1359999999999999</v>
      </c>
      <c r="C51">
        <v>1.149</v>
      </c>
      <c r="D51">
        <v>1.073</v>
      </c>
      <c r="E51">
        <v>1.1060000000000001</v>
      </c>
      <c r="F51">
        <v>1456207.9</v>
      </c>
      <c r="G51">
        <v>1.1060000000000001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-0.13157894736841813</v>
      </c>
      <c r="Q51">
        <f t="shared" ref="Q51" si="231">F51*P51</f>
        <v>-191606.30263157468</v>
      </c>
      <c r="R51">
        <f t="shared" ref="R51" si="232">R52+Q51</f>
        <v>59833205.589921668</v>
      </c>
      <c r="S51">
        <f t="shared" ref="S51" si="233">R51/100000</f>
        <v>598.3320558992167</v>
      </c>
      <c r="T51">
        <f t="shared" ref="T51" si="234">S51/1000</f>
        <v>0.59833205589921667</v>
      </c>
    </row>
    <row r="52" spans="1:20" x14ac:dyDescent="0.25">
      <c r="A52" s="5">
        <v>44541</v>
      </c>
      <c r="B52">
        <v>1.1599999999999999</v>
      </c>
      <c r="C52">
        <v>1.1970000000000001</v>
      </c>
      <c r="D52">
        <v>1.101</v>
      </c>
      <c r="E52">
        <v>1.1279999999999999</v>
      </c>
      <c r="F52">
        <v>684229.6</v>
      </c>
      <c r="G52">
        <v>1.1279999999999999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-0.43750000000000233</v>
      </c>
      <c r="Q52">
        <f t="shared" ref="Q52" si="236">F52*P52</f>
        <v>-299350.45000000158</v>
      </c>
      <c r="R52">
        <f t="shared" ref="R52" si="237">R53+Q52</f>
        <v>60024811.89255324</v>
      </c>
      <c r="S52">
        <f t="shared" ref="S52" si="238">R52/100000</f>
        <v>600.24811892553237</v>
      </c>
      <c r="T52">
        <f t="shared" ref="T52" si="239">S52/1000</f>
        <v>0.60024811892553231</v>
      </c>
    </row>
    <row r="53" spans="1:20" x14ac:dyDescent="0.25">
      <c r="A53" s="5">
        <v>44540</v>
      </c>
      <c r="B53">
        <v>1.0529999999999999</v>
      </c>
      <c r="C53">
        <v>1.284</v>
      </c>
      <c r="D53">
        <v>1.0429999999999999</v>
      </c>
      <c r="E53">
        <v>1.1579999999999999</v>
      </c>
      <c r="F53">
        <v>11440649.6</v>
      </c>
      <c r="G53">
        <v>1.1579999999999999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-4.5643153526971438E-2</v>
      </c>
      <c r="Q53">
        <f t="shared" ref="Q53" si="241">F53*P53</f>
        <v>-522187.32614108437</v>
      </c>
      <c r="R53">
        <f t="shared" ref="R53" si="242">R54+Q53</f>
        <v>60324162.342553243</v>
      </c>
      <c r="S53">
        <f t="shared" ref="S53" si="243">R53/100000</f>
        <v>603.24162342553245</v>
      </c>
      <c r="T53">
        <f t="shared" ref="T53" si="244">S53/1000</f>
        <v>0.60324162342553245</v>
      </c>
    </row>
    <row r="54" spans="1:20" x14ac:dyDescent="0.25">
      <c r="A54" s="5">
        <v>44539</v>
      </c>
      <c r="B54">
        <v>1.159</v>
      </c>
      <c r="C54">
        <v>1.167</v>
      </c>
      <c r="D54">
        <v>1.0489999999999999</v>
      </c>
      <c r="E54">
        <v>1.052</v>
      </c>
      <c r="F54">
        <v>1617061.7</v>
      </c>
      <c r="G54">
        <v>1.052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-0.94915254237287949</v>
      </c>
      <c r="Q54">
        <f t="shared" ref="Q54" si="246">F54*P54</f>
        <v>-1534838.2237288104</v>
      </c>
      <c r="R54">
        <f t="shared" ref="R54" si="247">R55+Q54</f>
        <v>60846349.668694325</v>
      </c>
      <c r="S54">
        <f t="shared" ref="S54" si="248">R54/100000</f>
        <v>608.46349668694324</v>
      </c>
      <c r="T54">
        <f t="shared" ref="T54" si="249">S54/1000</f>
        <v>0.60846349668694322</v>
      </c>
    </row>
    <row r="55" spans="1:20" x14ac:dyDescent="0.25">
      <c r="A55" s="5">
        <v>44538</v>
      </c>
      <c r="B55">
        <v>1.1539999999999999</v>
      </c>
      <c r="C55">
        <v>1.2250000000000001</v>
      </c>
      <c r="D55">
        <v>1.093</v>
      </c>
      <c r="E55">
        <v>1.1579999999999999</v>
      </c>
      <c r="F55">
        <v>3504631.2</v>
      </c>
      <c r="G55">
        <v>1.1579999999999999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-1.5151515151516833E-2</v>
      </c>
      <c r="Q55">
        <f t="shared" ref="Q55" si="251">F55*P55</f>
        <v>-53100.472727278626</v>
      </c>
      <c r="R55">
        <f t="shared" ref="R55" si="252">R56+Q55</f>
        <v>62381187.892423138</v>
      </c>
      <c r="S55">
        <f t="shared" ref="S55" si="253">R55/100000</f>
        <v>623.81187892423134</v>
      </c>
      <c r="T55">
        <f t="shared" ref="T55" si="254">S55/1000</f>
        <v>0.62381187892423129</v>
      </c>
    </row>
    <row r="56" spans="1:20" x14ac:dyDescent="0.25">
      <c r="A56" s="5">
        <v>44537</v>
      </c>
      <c r="B56">
        <v>1.149</v>
      </c>
      <c r="C56">
        <v>1.246</v>
      </c>
      <c r="D56">
        <v>1.111</v>
      </c>
      <c r="E56">
        <v>1.1539999999999999</v>
      </c>
      <c r="F56">
        <v>4057879.7</v>
      </c>
      <c r="G56">
        <v>1.1539999999999999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-0.3629629629629641</v>
      </c>
      <c r="Q56">
        <f t="shared" ref="Q56" si="256">F56*P56</f>
        <v>-1472860.039259264</v>
      </c>
      <c r="R56">
        <f t="shared" ref="R56" si="257">R57+Q56</f>
        <v>62434288.365150414</v>
      </c>
      <c r="S56">
        <f t="shared" ref="S56" si="258">R56/100000</f>
        <v>624.34288365150417</v>
      </c>
      <c r="T56">
        <f t="shared" ref="T56" si="259">S56/1000</f>
        <v>0.62434288365150414</v>
      </c>
    </row>
    <row r="57" spans="1:20" x14ac:dyDescent="0.25">
      <c r="A57" s="5">
        <v>44536</v>
      </c>
      <c r="B57">
        <v>1.0429999999999999</v>
      </c>
      <c r="C57">
        <v>1.28</v>
      </c>
      <c r="D57">
        <v>0.96199999999999997</v>
      </c>
      <c r="E57">
        <v>1.149</v>
      </c>
      <c r="F57">
        <v>10723438.800000001</v>
      </c>
      <c r="G57">
        <v>1.149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0.17610062893081774</v>
      </c>
      <c r="Q57">
        <f t="shared" ref="Q57" si="261">F57*P57</f>
        <v>1888404.3169811335</v>
      </c>
      <c r="R57">
        <f t="shared" ref="R57" si="262">R58+Q57</f>
        <v>63907148.404409677</v>
      </c>
      <c r="S57">
        <f t="shared" ref="S57" si="263">R57/100000</f>
        <v>639.07148404409679</v>
      </c>
      <c r="T57">
        <f t="shared" ref="T57" si="264">S57/1000</f>
        <v>0.63907148404409675</v>
      </c>
    </row>
    <row r="58" spans="1:20" x14ac:dyDescent="0.25">
      <c r="A58" s="5">
        <v>44535</v>
      </c>
      <c r="B58">
        <v>1.111</v>
      </c>
      <c r="C58">
        <v>1.1399999999999999</v>
      </c>
      <c r="D58">
        <v>0.99399999999999999</v>
      </c>
      <c r="E58">
        <v>1.0449999999999999</v>
      </c>
      <c r="F58">
        <v>1450540.9</v>
      </c>
      <c r="G58">
        <v>1.0449999999999999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-0.30136986301369911</v>
      </c>
      <c r="Q58">
        <f t="shared" ref="Q58" si="266">F58*P58</f>
        <v>-437149.31232876779</v>
      </c>
      <c r="R58">
        <f t="shared" ref="R58" si="267">R59+Q58</f>
        <v>62018744.08742854</v>
      </c>
      <c r="S58">
        <f t="shared" ref="S58" si="268">R58/100000</f>
        <v>620.18744087428536</v>
      </c>
      <c r="T58">
        <f t="shared" ref="T58" si="269">S58/1000</f>
        <v>0.62018744087428535</v>
      </c>
    </row>
    <row r="59" spans="1:20" x14ac:dyDescent="0.25">
      <c r="A59" s="5">
        <v>44534</v>
      </c>
      <c r="B59">
        <v>1.2969999999999999</v>
      </c>
      <c r="C59">
        <v>1.3</v>
      </c>
      <c r="D59">
        <v>0.83199999999999996</v>
      </c>
      <c r="E59">
        <v>1.115</v>
      </c>
      <c r="F59">
        <v>3544833.6409999998</v>
      </c>
      <c r="G59">
        <v>1.115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0.20940170940170932</v>
      </c>
      <c r="Q59">
        <f t="shared" ref="Q59" si="271">F59*P59</f>
        <v>742294.22397008515</v>
      </c>
      <c r="R59">
        <f t="shared" ref="R59" si="272">R60+Q59</f>
        <v>62455893.399757311</v>
      </c>
      <c r="S59">
        <f t="shared" ref="S59" si="273">R59/100000</f>
        <v>624.55893399757315</v>
      </c>
      <c r="T59">
        <f t="shared" ref="T59" si="274">S59/1000</f>
        <v>0.62455893399757312</v>
      </c>
    </row>
    <row r="60" spans="1:20" x14ac:dyDescent="0.25">
      <c r="A60" s="5">
        <v>44533</v>
      </c>
      <c r="B60">
        <v>1.401</v>
      </c>
      <c r="C60">
        <v>1.407</v>
      </c>
      <c r="D60">
        <v>1.2749999999999999</v>
      </c>
      <c r="E60">
        <v>1.298</v>
      </c>
      <c r="F60">
        <v>2049285.4</v>
      </c>
      <c r="G60">
        <v>1.298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-0.65151515151514983</v>
      </c>
      <c r="Q60">
        <f t="shared" ref="Q60" si="276">F60*P60</f>
        <v>-1335140.4878787843</v>
      </c>
      <c r="R60">
        <f t="shared" ref="R60" si="277">R61+Q60</f>
        <v>61713599.175787225</v>
      </c>
      <c r="S60">
        <f t="shared" ref="S60" si="278">R60/100000</f>
        <v>617.13599175787226</v>
      </c>
      <c r="T60">
        <f t="shared" ref="T60" si="279">S60/1000</f>
        <v>0.61713599175787226</v>
      </c>
    </row>
    <row r="61" spans="1:20" x14ac:dyDescent="0.25">
      <c r="A61" s="5">
        <v>44532</v>
      </c>
      <c r="B61">
        <v>1.3819999999999999</v>
      </c>
      <c r="C61">
        <v>1.4179999999999999</v>
      </c>
      <c r="D61">
        <v>1.3620000000000001</v>
      </c>
      <c r="E61">
        <v>1.401</v>
      </c>
      <c r="F61">
        <v>1668358.6</v>
      </c>
      <c r="G61">
        <v>1.401</v>
      </c>
      <c r="L61" t="s">
        <v>8</v>
      </c>
      <c r="M61" t="s">
        <v>7</v>
      </c>
      <c r="N61" t="s">
        <v>7</v>
      </c>
      <c r="P61">
        <f t="shared" ref="P61" si="280">IF(C61=D61,0,((E61-D61)-(C61-E61))/(C61-D61))</f>
        <v>0.3928571428571444</v>
      </c>
      <c r="Q61">
        <f t="shared" ref="Q61" si="281">F61*P61</f>
        <v>655426.59285714547</v>
      </c>
      <c r="R61">
        <f t="shared" ref="R61" si="282">R62+Q61</f>
        <v>63048739.66366601</v>
      </c>
      <c r="S61">
        <f t="shared" ref="S61" si="283">R61/100000</f>
        <v>630.48739663666015</v>
      </c>
      <c r="T61">
        <f t="shared" ref="T61" si="284">S61/1000</f>
        <v>0.6304873966366602</v>
      </c>
    </row>
    <row r="62" spans="1:20" x14ac:dyDescent="0.25">
      <c r="A62" s="5">
        <v>44531</v>
      </c>
      <c r="B62">
        <v>1.379</v>
      </c>
      <c r="C62">
        <v>1.4139999999999999</v>
      </c>
      <c r="D62">
        <v>1.3660000000000001</v>
      </c>
      <c r="E62">
        <v>1.3839999999999999</v>
      </c>
      <c r="F62">
        <v>1034622.1</v>
      </c>
      <c r="G62">
        <v>1.3839999999999999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-0.25000000000000577</v>
      </c>
      <c r="Q62">
        <f t="shared" ref="Q62" si="286">F62*P62</f>
        <v>-258655.52500000596</v>
      </c>
      <c r="R62">
        <f t="shared" ref="R62" si="287">R63+Q62</f>
        <v>62393313.070808865</v>
      </c>
      <c r="S62">
        <f t="shared" ref="S62" si="288">R62/100000</f>
        <v>623.9331307080887</v>
      </c>
      <c r="T62">
        <f t="shared" ref="T62" si="289">S62/1000</f>
        <v>0.62393313070808865</v>
      </c>
    </row>
    <row r="63" spans="1:20" x14ac:dyDescent="0.25">
      <c r="A63" s="5">
        <v>44530</v>
      </c>
      <c r="B63">
        <v>1.3939999999999999</v>
      </c>
      <c r="C63">
        <v>1.4079999999999999</v>
      </c>
      <c r="D63">
        <v>1.359</v>
      </c>
      <c r="E63">
        <v>1.3819999999999999</v>
      </c>
      <c r="F63">
        <v>1258146</v>
      </c>
      <c r="G63">
        <v>1.3819999999999999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-6.1224489795920774E-2</v>
      </c>
      <c r="Q63">
        <f t="shared" ref="Q63" si="291">F63*P63</f>
        <v>-77029.346938778544</v>
      </c>
      <c r="R63">
        <f t="shared" ref="R63" si="292">R64+Q63</f>
        <v>62651968.595808871</v>
      </c>
      <c r="S63">
        <f t="shared" ref="S63" si="293">R63/100000</f>
        <v>626.51968595808876</v>
      </c>
      <c r="T63">
        <f t="shared" ref="T63" si="294">S63/1000</f>
        <v>0.62651968595808871</v>
      </c>
    </row>
    <row r="64" spans="1:20" x14ac:dyDescent="0.25">
      <c r="A64" s="5">
        <v>44529</v>
      </c>
      <c r="B64">
        <v>1.3660000000000001</v>
      </c>
      <c r="C64">
        <v>1.407</v>
      </c>
      <c r="D64">
        <v>1.351</v>
      </c>
      <c r="E64">
        <v>1.3939999999999999</v>
      </c>
      <c r="F64">
        <v>934892.6</v>
      </c>
      <c r="G64">
        <v>1.3939999999999999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0.5357142857142817</v>
      </c>
      <c r="Q64">
        <f t="shared" ref="Q64" si="296">F64*P64</f>
        <v>500835.32142856764</v>
      </c>
      <c r="R64">
        <f t="shared" ref="R64" si="297">R65+Q64</f>
        <v>62728997.942747653</v>
      </c>
      <c r="S64">
        <f t="shared" ref="S64" si="298">R64/100000</f>
        <v>627.28997942747651</v>
      </c>
      <c r="T64">
        <f t="shared" ref="T64" si="299">S64/1000</f>
        <v>0.62728997942747655</v>
      </c>
    </row>
    <row r="65" spans="1:20" x14ac:dyDescent="0.25">
      <c r="A65" s="5">
        <v>44528</v>
      </c>
      <c r="B65">
        <v>1.3759999999999999</v>
      </c>
      <c r="C65">
        <v>1.377</v>
      </c>
      <c r="D65">
        <v>1.2809999999999999</v>
      </c>
      <c r="E65">
        <v>1.3660000000000001</v>
      </c>
      <c r="F65">
        <v>1318250.7</v>
      </c>
      <c r="G65">
        <v>1.3660000000000001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0.7708333333333357</v>
      </c>
      <c r="Q65">
        <f t="shared" ref="Q65" si="301">F65*P65</f>
        <v>1016151.5812500031</v>
      </c>
      <c r="R65">
        <f t="shared" ref="R65" si="302">R66+Q65</f>
        <v>62228162.621319085</v>
      </c>
      <c r="S65">
        <f t="shared" ref="S65" si="303">R65/100000</f>
        <v>622.28162621319086</v>
      </c>
      <c r="T65">
        <f t="shared" ref="T65" si="304">S65/1000</f>
        <v>0.62228162621319083</v>
      </c>
    </row>
    <row r="66" spans="1:20" x14ac:dyDescent="0.25">
      <c r="A66" s="5">
        <v>44527</v>
      </c>
      <c r="B66">
        <v>1.36</v>
      </c>
      <c r="C66">
        <v>1.417</v>
      </c>
      <c r="D66">
        <v>1.353</v>
      </c>
      <c r="E66">
        <v>1.3779999999999999</v>
      </c>
      <c r="F66">
        <v>1040819</v>
      </c>
      <c r="G66">
        <v>1.3779999999999999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-0.21875000000000347</v>
      </c>
      <c r="Q66">
        <f t="shared" ref="Q66" si="306">F66*P66</f>
        <v>-227679.15625000361</v>
      </c>
      <c r="R66">
        <f t="shared" ref="R66" si="307">R67+Q66</f>
        <v>61212011.040069081</v>
      </c>
      <c r="S66">
        <f t="shared" ref="S66" si="308">R66/100000</f>
        <v>612.12011040069081</v>
      </c>
      <c r="T66">
        <f t="shared" ref="T66" si="309">S66/1000</f>
        <v>0.61212011040069081</v>
      </c>
    </row>
    <row r="67" spans="1:20" x14ac:dyDescent="0.25">
      <c r="A67" s="5">
        <v>44526</v>
      </c>
      <c r="B67">
        <v>1.4870000000000001</v>
      </c>
      <c r="C67">
        <v>1.514</v>
      </c>
      <c r="D67">
        <v>1.31</v>
      </c>
      <c r="E67">
        <v>1.36</v>
      </c>
      <c r="F67">
        <v>3429299.4</v>
      </c>
      <c r="G67">
        <v>1.36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-0.50980392156862697</v>
      </c>
      <c r="Q67">
        <f t="shared" ref="Q67" si="311">F67*P67</f>
        <v>-1748270.2823529395</v>
      </c>
      <c r="R67">
        <f t="shared" ref="R67" si="312">R68+Q67</f>
        <v>61439690.196319081</v>
      </c>
      <c r="S67">
        <f t="shared" ref="S67" si="313">R67/100000</f>
        <v>614.39690196319077</v>
      </c>
      <c r="T67">
        <f t="shared" ref="T67" si="314">S67/1000</f>
        <v>0.61439690196319074</v>
      </c>
    </row>
    <row r="68" spans="1:20" x14ac:dyDescent="0.25">
      <c r="A68" s="5">
        <v>44525</v>
      </c>
      <c r="B68">
        <v>1.41</v>
      </c>
      <c r="C68">
        <v>1.496</v>
      </c>
      <c r="D68">
        <v>1.3939999999999999</v>
      </c>
      <c r="E68">
        <v>1.484</v>
      </c>
      <c r="F68">
        <v>2174507.2000000002</v>
      </c>
      <c r="G68">
        <v>1.484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0.76470588235294112</v>
      </c>
      <c r="Q68">
        <f t="shared" ref="Q68" si="316">F68*P68</f>
        <v>1662858.4470588237</v>
      </c>
      <c r="R68">
        <f t="shared" ref="R68" si="317">R69+Q68</f>
        <v>63187960.47867202</v>
      </c>
      <c r="S68">
        <f t="shared" ref="S68" si="318">R68/100000</f>
        <v>631.87960478672017</v>
      </c>
      <c r="T68">
        <f t="shared" ref="T68" si="319">S68/1000</f>
        <v>0.63187960478672012</v>
      </c>
    </row>
    <row r="69" spans="1:20" x14ac:dyDescent="0.25">
      <c r="A69" s="5">
        <v>44524</v>
      </c>
      <c r="B69">
        <v>1.4359999999999999</v>
      </c>
      <c r="C69">
        <v>1.4390000000000001</v>
      </c>
      <c r="D69">
        <v>1.401</v>
      </c>
      <c r="E69">
        <v>1.4179999999999999</v>
      </c>
      <c r="F69">
        <v>369691.6</v>
      </c>
      <c r="G69">
        <v>1.4179999999999999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-0.10526315789474268</v>
      </c>
      <c r="Q69">
        <f t="shared" ref="Q69" si="321">F69*P69</f>
        <v>-38914.90526316005</v>
      </c>
      <c r="R69">
        <f t="shared" ref="R69" si="322">R70+Q69</f>
        <v>61525102.031613193</v>
      </c>
      <c r="S69">
        <f t="shared" ref="S69" si="323">R69/100000</f>
        <v>615.25102031613199</v>
      </c>
      <c r="T69">
        <f t="shared" ref="T69" si="324">S69/1000</f>
        <v>0.61525102031613199</v>
      </c>
    </row>
    <row r="70" spans="1:20" x14ac:dyDescent="0.25">
      <c r="A70" s="5">
        <v>44523</v>
      </c>
      <c r="B70">
        <v>1.407</v>
      </c>
      <c r="C70">
        <v>1.4610000000000001</v>
      </c>
      <c r="D70">
        <v>1.37</v>
      </c>
      <c r="E70">
        <v>1.44</v>
      </c>
      <c r="F70">
        <v>1329641.6000000001</v>
      </c>
      <c r="G70">
        <v>1.44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0.53846153846153544</v>
      </c>
      <c r="Q70">
        <f t="shared" ref="Q70" si="326">F70*P70</f>
        <v>715960.86153845757</v>
      </c>
      <c r="R70">
        <f t="shared" ref="R70" si="327">R71+Q70</f>
        <v>61564016.936876357</v>
      </c>
      <c r="S70">
        <f t="shared" ref="S70" si="328">R70/100000</f>
        <v>615.64016936876362</v>
      </c>
      <c r="T70">
        <f t="shared" ref="T70" si="329">S70/1000</f>
        <v>0.61564016936876365</v>
      </c>
    </row>
    <row r="71" spans="1:20" x14ac:dyDescent="0.25">
      <c r="A71" s="5">
        <v>44522</v>
      </c>
      <c r="B71">
        <v>1.4750000000000001</v>
      </c>
      <c r="C71">
        <v>1.4750000000000001</v>
      </c>
      <c r="D71">
        <v>1.39</v>
      </c>
      <c r="E71">
        <v>1.409</v>
      </c>
      <c r="F71">
        <v>2062752.4</v>
      </c>
      <c r="G71">
        <v>1.409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-0.55294117647058616</v>
      </c>
      <c r="Q71">
        <f t="shared" ref="Q71" si="331">F71*P71</f>
        <v>-1140580.7388235251</v>
      </c>
      <c r="R71">
        <f t="shared" ref="R71" si="332">R72+Q71</f>
        <v>60848056.075337902</v>
      </c>
      <c r="S71">
        <f t="shared" ref="S71" si="333">R71/100000</f>
        <v>608.480560753379</v>
      </c>
      <c r="T71">
        <f t="shared" ref="T71" si="334">S71/1000</f>
        <v>0.60848056075337897</v>
      </c>
    </row>
    <row r="72" spans="1:20" x14ac:dyDescent="0.25">
      <c r="A72" s="5">
        <v>44521</v>
      </c>
      <c r="B72">
        <v>1.4850000000000001</v>
      </c>
      <c r="C72">
        <v>1.502</v>
      </c>
      <c r="D72">
        <v>1.4370000000000001</v>
      </c>
      <c r="E72">
        <v>1.4750000000000001</v>
      </c>
      <c r="F72">
        <v>2320917.6</v>
      </c>
      <c r="G72">
        <v>1.4750000000000001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0.16923076923077124</v>
      </c>
      <c r="Q72">
        <f t="shared" ref="Q72" si="336">F72*P72</f>
        <v>392770.67076923547</v>
      </c>
      <c r="R72">
        <f t="shared" ref="R72" si="337">R73+Q72</f>
        <v>61988636.814161427</v>
      </c>
      <c r="S72">
        <f t="shared" ref="S72" si="338">R72/100000</f>
        <v>619.8863681416143</v>
      </c>
      <c r="T72">
        <f t="shared" ref="T72" si="339">S72/1000</f>
        <v>0.61988636814161435</v>
      </c>
    </row>
    <row r="73" spans="1:20" x14ac:dyDescent="0.25">
      <c r="A73" s="5">
        <v>44520</v>
      </c>
      <c r="B73">
        <v>1.444</v>
      </c>
      <c r="C73">
        <v>1.51</v>
      </c>
      <c r="D73">
        <v>1.415</v>
      </c>
      <c r="E73">
        <v>1.486</v>
      </c>
      <c r="F73">
        <v>1966737.7</v>
      </c>
      <c r="G73">
        <v>1.486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0.49473684210526259</v>
      </c>
      <c r="Q73">
        <f t="shared" ref="Q73" si="341">F73*P73</f>
        <v>973017.59894736728</v>
      </c>
      <c r="R73">
        <f t="shared" ref="R73" si="342">R74+Q73</f>
        <v>61595866.14339219</v>
      </c>
      <c r="S73">
        <f t="shared" ref="S73" si="343">R73/100000</f>
        <v>615.95866143392186</v>
      </c>
      <c r="T73">
        <f t="shared" ref="T73" si="344">S73/1000</f>
        <v>0.61595866143392186</v>
      </c>
    </row>
    <row r="74" spans="1:20" x14ac:dyDescent="0.25">
      <c r="A74" s="5">
        <v>44519</v>
      </c>
      <c r="B74">
        <v>1.389</v>
      </c>
      <c r="C74">
        <v>1.4470000000000001</v>
      </c>
      <c r="D74">
        <v>1.3420000000000001</v>
      </c>
      <c r="E74">
        <v>1.4470000000000001</v>
      </c>
      <c r="F74">
        <v>1210640.7</v>
      </c>
      <c r="G74">
        <v>1.4470000000000001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1</v>
      </c>
      <c r="Q74">
        <f t="shared" ref="Q74" si="346">F74*P74</f>
        <v>1210640.7</v>
      </c>
      <c r="R74">
        <f t="shared" ref="R74" si="347">R75+Q74</f>
        <v>60622848.544444822</v>
      </c>
      <c r="S74">
        <f t="shared" ref="S74" si="348">R74/100000</f>
        <v>606.22848544444821</v>
      </c>
      <c r="T74">
        <f t="shared" ref="T74" si="349">S74/1000</f>
        <v>0.60622848544444818</v>
      </c>
    </row>
    <row r="75" spans="1:20" x14ac:dyDescent="0.25">
      <c r="A75" s="5">
        <v>44518</v>
      </c>
      <c r="B75">
        <v>1.5289999999999999</v>
      </c>
      <c r="C75">
        <v>1.649</v>
      </c>
      <c r="D75">
        <v>1.2</v>
      </c>
      <c r="E75">
        <v>1.391</v>
      </c>
      <c r="F75">
        <v>3621387.2</v>
      </c>
      <c r="G75">
        <v>1.391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-0.14922048997772816</v>
      </c>
      <c r="Q75">
        <f t="shared" ref="Q75" si="351">F75*P75</f>
        <v>-540385.17238307302</v>
      </c>
      <c r="R75">
        <f t="shared" ref="R75" si="352">R76+Q75</f>
        <v>59412207.844444819</v>
      </c>
      <c r="S75">
        <f t="shared" ref="S75" si="353">R75/100000</f>
        <v>594.12207844444822</v>
      </c>
      <c r="T75">
        <f t="shared" ref="T75" si="354">S75/1000</f>
        <v>0.5941220784444482</v>
      </c>
    </row>
    <row r="76" spans="1:20" x14ac:dyDescent="0.25">
      <c r="A76" s="5">
        <v>44517</v>
      </c>
      <c r="B76">
        <v>1.415</v>
      </c>
      <c r="C76">
        <v>1.6</v>
      </c>
      <c r="D76">
        <v>1.3979999999999999</v>
      </c>
      <c r="E76">
        <v>1.5289999999999999</v>
      </c>
      <c r="F76">
        <v>3952061.2</v>
      </c>
      <c r="G76">
        <v>1.5289999999999999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0.29702970297029591</v>
      </c>
      <c r="Q76">
        <f t="shared" ref="Q76" si="356">F76*P76</f>
        <v>1173879.5643564314</v>
      </c>
      <c r="R76">
        <f t="shared" ref="R76" si="357">R77+Q76</f>
        <v>59952593.016827889</v>
      </c>
      <c r="S76">
        <f t="shared" ref="S76" si="358">R76/100000</f>
        <v>599.52593016827893</v>
      </c>
      <c r="T76">
        <f t="shared" ref="T76" si="359">S76/1000</f>
        <v>0.59952593016827893</v>
      </c>
    </row>
    <row r="77" spans="1:20" x14ac:dyDescent="0.25">
      <c r="A77" s="5">
        <v>44516</v>
      </c>
      <c r="B77">
        <v>1.5029999999999999</v>
      </c>
      <c r="C77">
        <v>1.5029999999999999</v>
      </c>
      <c r="D77">
        <v>1.3380000000000001</v>
      </c>
      <c r="E77">
        <v>1.415</v>
      </c>
      <c r="F77">
        <v>2171819.9</v>
      </c>
      <c r="G77">
        <v>1.415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-6.6666666666666125E-2</v>
      </c>
      <c r="Q77">
        <f t="shared" ref="Q77" si="361">F77*P77</f>
        <v>-144787.99333333215</v>
      </c>
      <c r="R77">
        <f t="shared" ref="R77" si="362">R78+Q77</f>
        <v>58778713.452471457</v>
      </c>
      <c r="S77">
        <f t="shared" ref="S77" si="363">R77/100000</f>
        <v>587.78713452471459</v>
      </c>
      <c r="T77">
        <f t="shared" ref="T77" si="364">S77/1000</f>
        <v>0.58778713452471454</v>
      </c>
    </row>
    <row r="78" spans="1:20" x14ac:dyDescent="0.25">
      <c r="A78" s="5">
        <v>44515</v>
      </c>
      <c r="B78">
        <v>1.502</v>
      </c>
      <c r="C78">
        <v>1.5249999999999999</v>
      </c>
      <c r="D78">
        <v>1.48</v>
      </c>
      <c r="E78">
        <v>1.5</v>
      </c>
      <c r="F78">
        <v>1546519.7</v>
      </c>
      <c r="G78">
        <v>1.5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-0.11111111111110891</v>
      </c>
      <c r="Q78">
        <f t="shared" ref="Q78" si="366">F78*P78</f>
        <v>-171835.5222222188</v>
      </c>
      <c r="R78">
        <f t="shared" ref="R78" si="367">R79+Q78</f>
        <v>58923501.44580479</v>
      </c>
      <c r="S78">
        <f t="shared" ref="S78" si="368">R78/100000</f>
        <v>589.23501445804789</v>
      </c>
      <c r="T78">
        <f t="shared" ref="T78" si="369">S78/1000</f>
        <v>0.58923501445804793</v>
      </c>
    </row>
    <row r="79" spans="1:20" x14ac:dyDescent="0.25">
      <c r="A79" s="5">
        <v>44514</v>
      </c>
      <c r="B79">
        <v>1.4930000000000001</v>
      </c>
      <c r="C79">
        <v>1.502</v>
      </c>
      <c r="D79">
        <v>1.4510000000000001</v>
      </c>
      <c r="E79">
        <v>1.502</v>
      </c>
      <c r="F79">
        <v>980241.9</v>
      </c>
      <c r="G79">
        <v>1.502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1</v>
      </c>
      <c r="Q79">
        <f t="shared" ref="Q79" si="371">F79*P79</f>
        <v>980241.9</v>
      </c>
      <c r="R79">
        <f t="shared" ref="R79" si="372">R80+Q79</f>
        <v>59095336.968027011</v>
      </c>
      <c r="S79">
        <f t="shared" ref="S79" si="373">R79/100000</f>
        <v>590.95336968027016</v>
      </c>
      <c r="T79">
        <f t="shared" ref="T79" si="374">S79/1000</f>
        <v>0.59095336968027012</v>
      </c>
    </row>
    <row r="80" spans="1:20" x14ac:dyDescent="0.25">
      <c r="A80" s="5">
        <v>44513</v>
      </c>
      <c r="B80">
        <v>1.478</v>
      </c>
      <c r="C80">
        <v>1.5</v>
      </c>
      <c r="D80">
        <v>1.4670000000000001</v>
      </c>
      <c r="E80">
        <v>1.494</v>
      </c>
      <c r="F80">
        <v>726474.9</v>
      </c>
      <c r="G80">
        <v>1.494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0.63636363636363513</v>
      </c>
      <c r="Q80">
        <f t="shared" ref="Q80" si="376">F80*P80</f>
        <v>462302.20909090823</v>
      </c>
      <c r="R80">
        <f t="shared" ref="R80" si="377">R81+Q80</f>
        <v>58115095.068027012</v>
      </c>
      <c r="S80">
        <f t="shared" ref="S80" si="378">R80/100000</f>
        <v>581.15095068027017</v>
      </c>
      <c r="T80">
        <f t="shared" ref="T80" si="379">S80/1000</f>
        <v>0.58115095068027012</v>
      </c>
    </row>
    <row r="81" spans="1:20" x14ac:dyDescent="0.25">
      <c r="A81" s="5">
        <v>44512</v>
      </c>
      <c r="B81">
        <v>1.51</v>
      </c>
      <c r="C81">
        <v>1.516</v>
      </c>
      <c r="D81">
        <v>1.4410000000000001</v>
      </c>
      <c r="E81">
        <v>1.4790000000000001</v>
      </c>
      <c r="F81">
        <v>1503333.5</v>
      </c>
      <c r="G81">
        <v>1.4790000000000001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1.3333333333334833E-2</v>
      </c>
      <c r="Q81">
        <f t="shared" ref="Q81" si="381">F81*P81</f>
        <v>20044.446666668922</v>
      </c>
      <c r="R81">
        <f t="shared" ref="R81" si="382">R82+Q81</f>
        <v>57652792.858936101</v>
      </c>
      <c r="S81">
        <f t="shared" ref="S81" si="383">R81/100000</f>
        <v>576.52792858936107</v>
      </c>
      <c r="T81">
        <f t="shared" ref="T81" si="384">S81/1000</f>
        <v>0.57652792858936108</v>
      </c>
    </row>
    <row r="82" spans="1:20" x14ac:dyDescent="0.25">
      <c r="A82" s="5">
        <v>44511</v>
      </c>
      <c r="B82">
        <v>1.494</v>
      </c>
      <c r="C82">
        <v>1.5509999999999999</v>
      </c>
      <c r="D82">
        <v>1.472</v>
      </c>
      <c r="E82">
        <v>1.51</v>
      </c>
      <c r="F82">
        <v>1430078.3</v>
      </c>
      <c r="G82">
        <v>1.51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-3.7974683544302446E-2</v>
      </c>
      <c r="Q82">
        <f t="shared" ref="Q82" si="386">F82*P82</f>
        <v>-54306.770886074017</v>
      </c>
      <c r="R82">
        <f t="shared" ref="R82" si="387">R83+Q82</f>
        <v>57632748.412269436</v>
      </c>
      <c r="S82">
        <f t="shared" ref="S82" si="388">R82/100000</f>
        <v>576.32748412269439</v>
      </c>
      <c r="T82">
        <f t="shared" ref="T82" si="389">S82/1000</f>
        <v>0.57632748412269441</v>
      </c>
    </row>
    <row r="83" spans="1:20" x14ac:dyDescent="0.25">
      <c r="A83" s="5">
        <v>44510</v>
      </c>
      <c r="B83">
        <v>1.5880000000000001</v>
      </c>
      <c r="C83">
        <v>1.599</v>
      </c>
      <c r="D83">
        <v>1.4319999999999999</v>
      </c>
      <c r="E83">
        <v>1.494</v>
      </c>
      <c r="F83">
        <v>2810974.4</v>
      </c>
      <c r="G83">
        <v>1.494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-0.25748502994011929</v>
      </c>
      <c r="Q83">
        <f t="shared" ref="Q83" si="391">F83*P83</f>
        <v>-723783.82754490885</v>
      </c>
      <c r="R83">
        <f t="shared" ref="R83" si="392">R84+Q83</f>
        <v>57687055.183155507</v>
      </c>
      <c r="S83">
        <f t="shared" ref="S83" si="393">R83/100000</f>
        <v>576.87055183155508</v>
      </c>
      <c r="T83">
        <f t="shared" ref="T83" si="394">S83/1000</f>
        <v>0.57687055183155511</v>
      </c>
    </row>
    <row r="84" spans="1:20" x14ac:dyDescent="0.25">
      <c r="A84" s="5">
        <v>44509</v>
      </c>
      <c r="B84">
        <v>1.6180000000000001</v>
      </c>
      <c r="C84">
        <v>1.619</v>
      </c>
      <c r="D84">
        <v>1.5649999999999999</v>
      </c>
      <c r="E84">
        <v>1.5880000000000001</v>
      </c>
      <c r="F84">
        <v>1900556.8</v>
      </c>
      <c r="G84">
        <v>1.5880000000000001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-0.14814814814814403</v>
      </c>
      <c r="Q84">
        <f t="shared" ref="Q84" si="396">F84*P84</f>
        <v>-281563.97037036257</v>
      </c>
      <c r="R84">
        <f t="shared" ref="R84" si="397">R85+Q84</f>
        <v>58410839.010700412</v>
      </c>
      <c r="S84">
        <f t="shared" ref="S84" si="398">R84/100000</f>
        <v>584.10839010700408</v>
      </c>
      <c r="T84">
        <f t="shared" ref="T84" si="399">S84/1000</f>
        <v>0.58410839010700411</v>
      </c>
    </row>
    <row r="85" spans="1:20" x14ac:dyDescent="0.25">
      <c r="A85" s="5">
        <v>44508</v>
      </c>
      <c r="B85">
        <v>1.5589999999999999</v>
      </c>
      <c r="C85">
        <v>1.633</v>
      </c>
      <c r="D85">
        <v>1.5529999999999999</v>
      </c>
      <c r="E85">
        <v>1.615</v>
      </c>
      <c r="F85">
        <v>2583215.5</v>
      </c>
      <c r="G85">
        <v>1.615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0.55000000000000004</v>
      </c>
      <c r="Q85">
        <f t="shared" ref="Q85" si="401">F85*P85</f>
        <v>1420768.5250000001</v>
      </c>
      <c r="R85">
        <f t="shared" ref="R85" si="402">R86+Q85</f>
        <v>58692402.981070772</v>
      </c>
      <c r="S85">
        <f t="shared" ref="S85" si="403">R85/100000</f>
        <v>586.92402981070768</v>
      </c>
      <c r="T85">
        <f t="shared" ref="T85" si="404">S85/1000</f>
        <v>0.58692402981070768</v>
      </c>
    </row>
    <row r="86" spans="1:20" x14ac:dyDescent="0.25">
      <c r="A86" s="5">
        <v>44507</v>
      </c>
      <c r="B86">
        <v>1.5669999999999999</v>
      </c>
      <c r="C86">
        <v>1.5780000000000001</v>
      </c>
      <c r="D86">
        <v>1.5409999999999999</v>
      </c>
      <c r="E86">
        <v>1.5549999999999999</v>
      </c>
      <c r="F86">
        <v>1292930.3999999999</v>
      </c>
      <c r="G86">
        <v>1.5549999999999999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-0.2432432432432455</v>
      </c>
      <c r="Q86">
        <f t="shared" ref="Q86" si="406">F86*P86</f>
        <v>-314496.58378378669</v>
      </c>
      <c r="R86">
        <f t="shared" ref="R86" si="407">R87+Q86</f>
        <v>57271634.456070773</v>
      </c>
      <c r="S86">
        <f t="shared" ref="S86" si="408">R86/100000</f>
        <v>572.71634456070774</v>
      </c>
      <c r="T86">
        <f t="shared" ref="T86" si="409">S86/1000</f>
        <v>0.57271634456070775</v>
      </c>
    </row>
    <row r="87" spans="1:20" x14ac:dyDescent="0.25">
      <c r="A87" s="5">
        <v>44506</v>
      </c>
      <c r="B87">
        <v>1.587</v>
      </c>
      <c r="C87">
        <v>1.5920000000000001</v>
      </c>
      <c r="D87">
        <v>1.492</v>
      </c>
      <c r="E87">
        <v>1.5649999999999999</v>
      </c>
      <c r="F87">
        <v>1606225.4</v>
      </c>
      <c r="G87">
        <v>1.5649999999999999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0.4599999999999978</v>
      </c>
      <c r="Q87">
        <f t="shared" ref="Q87" si="411">F87*P87</f>
        <v>738863.6839999964</v>
      </c>
      <c r="R87">
        <f t="shared" ref="R87" si="412">R88+Q87</f>
        <v>57586131.039854556</v>
      </c>
      <c r="S87">
        <f t="shared" ref="S87" si="413">R87/100000</f>
        <v>575.86131039854558</v>
      </c>
      <c r="T87">
        <f t="shared" ref="T87" si="414">S87/1000</f>
        <v>0.5758613103985456</v>
      </c>
    </row>
    <row r="88" spans="1:20" x14ac:dyDescent="0.25">
      <c r="A88" s="5">
        <v>44505</v>
      </c>
      <c r="B88">
        <v>1.6040000000000001</v>
      </c>
      <c r="C88">
        <v>1.69</v>
      </c>
      <c r="D88">
        <v>1.5629999999999999</v>
      </c>
      <c r="E88">
        <v>1.587</v>
      </c>
      <c r="F88">
        <v>2768803.8</v>
      </c>
      <c r="G88">
        <v>1.587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-0.62204724409448786</v>
      </c>
      <c r="Q88">
        <f t="shared" ref="Q88" si="416">F88*P88</f>
        <v>-1722326.7732283454</v>
      </c>
      <c r="R88">
        <f t="shared" ref="R88" si="417">R89+Q88</f>
        <v>56847267.355854563</v>
      </c>
      <c r="S88">
        <f t="shared" ref="S88" si="418">R88/100000</f>
        <v>568.47267355854558</v>
      </c>
      <c r="T88">
        <f t="shared" ref="T88" si="419">S88/1000</f>
        <v>0.56847267355854558</v>
      </c>
    </row>
    <row r="89" spans="1:20" x14ac:dyDescent="0.25">
      <c r="A89" s="5">
        <v>44504</v>
      </c>
      <c r="B89">
        <v>1.5860000000000001</v>
      </c>
      <c r="C89">
        <v>1.633</v>
      </c>
      <c r="D89">
        <v>1.526</v>
      </c>
      <c r="E89">
        <v>1.6020000000000001</v>
      </c>
      <c r="F89">
        <v>3013605</v>
      </c>
      <c r="G89">
        <v>1.6020000000000001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0.42056074766355289</v>
      </c>
      <c r="Q89">
        <f t="shared" ref="Q89" si="421">F89*P89</f>
        <v>1267403.9719626212</v>
      </c>
      <c r="R89">
        <f t="shared" ref="R89" si="422">R90+Q89</f>
        <v>58569594.129082911</v>
      </c>
      <c r="S89">
        <f t="shared" ref="S89" si="423">R89/100000</f>
        <v>585.69594129082907</v>
      </c>
      <c r="T89">
        <f t="shared" ref="T89" si="424">S89/1000</f>
        <v>0.58569594129082903</v>
      </c>
    </row>
    <row r="90" spans="1:20" x14ac:dyDescent="0.25">
      <c r="A90" s="5">
        <v>44503</v>
      </c>
      <c r="B90">
        <v>1.593</v>
      </c>
      <c r="C90">
        <v>1.6279999999999999</v>
      </c>
      <c r="D90">
        <v>1.5249999999999999</v>
      </c>
      <c r="E90">
        <v>1.583</v>
      </c>
      <c r="F90">
        <v>2852093.9</v>
      </c>
      <c r="G90">
        <v>1.583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0.12621359223301093</v>
      </c>
      <c r="Q90">
        <f t="shared" ref="Q90" si="426">F90*P90</f>
        <v>359973.01650485786</v>
      </c>
      <c r="R90">
        <f t="shared" ref="R90" si="427">R91+Q90</f>
        <v>57302190.157120287</v>
      </c>
      <c r="S90">
        <f t="shared" ref="S90" si="428">R90/100000</f>
        <v>573.02190157120287</v>
      </c>
      <c r="T90">
        <f t="shared" ref="T90" si="429">S90/1000</f>
        <v>0.57302190157120292</v>
      </c>
    </row>
    <row r="91" spans="1:20" x14ac:dyDescent="0.25">
      <c r="A91" s="5">
        <v>44502</v>
      </c>
      <c r="B91">
        <v>1.538</v>
      </c>
      <c r="C91">
        <v>1.702</v>
      </c>
      <c r="D91">
        <v>1.4990000000000001</v>
      </c>
      <c r="E91">
        <v>1.5920000000000001</v>
      </c>
      <c r="F91">
        <v>6529802</v>
      </c>
      <c r="G91">
        <v>1.5920000000000001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-8.3743842364531612E-2</v>
      </c>
      <c r="Q91">
        <f t="shared" ref="Q91" si="431">F91*P91</f>
        <v>-546830.70935960324</v>
      </c>
      <c r="R91">
        <f t="shared" ref="R91" si="432">R92+Q91</f>
        <v>56942217.140615426</v>
      </c>
      <c r="S91">
        <f t="shared" ref="S91" si="433">R91/100000</f>
        <v>569.42217140615423</v>
      </c>
      <c r="T91">
        <f t="shared" ref="T91" si="434">S91/1000</f>
        <v>0.56942217140615425</v>
      </c>
    </row>
    <row r="92" spans="1:20" x14ac:dyDescent="0.25">
      <c r="A92" s="5">
        <v>44501</v>
      </c>
      <c r="B92">
        <v>1.5669999999999999</v>
      </c>
      <c r="C92">
        <v>1.95</v>
      </c>
      <c r="D92">
        <v>1.464</v>
      </c>
      <c r="E92">
        <v>1.54</v>
      </c>
      <c r="F92">
        <v>5709079.9000000004</v>
      </c>
      <c r="G92">
        <v>1.54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-0.68724279835390922</v>
      </c>
      <c r="Q92">
        <f t="shared" ref="Q92" si="436">F92*P92</f>
        <v>-3923524.0465020565</v>
      </c>
      <c r="R92">
        <f t="shared" ref="R92" si="437">R93+Q92</f>
        <v>57489047.849975027</v>
      </c>
      <c r="S92">
        <f t="shared" ref="S92" si="438">R92/100000</f>
        <v>574.89047849975032</v>
      </c>
      <c r="T92">
        <f t="shared" ref="T92" si="439">S92/1000</f>
        <v>0.57489047849975028</v>
      </c>
    </row>
    <row r="93" spans="1:20" x14ac:dyDescent="0.25">
      <c r="A93" s="5">
        <v>44500</v>
      </c>
      <c r="B93">
        <v>1.502</v>
      </c>
      <c r="C93">
        <v>1.659</v>
      </c>
      <c r="D93">
        <v>1.4690000000000001</v>
      </c>
      <c r="E93">
        <v>1.569</v>
      </c>
      <c r="F93">
        <v>4390680.3</v>
      </c>
      <c r="G93">
        <v>1.569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5.2631578947367315E-2</v>
      </c>
      <c r="Q93">
        <f t="shared" ref="Q93" si="441">F93*P93</f>
        <v>231088.4368421004</v>
      </c>
      <c r="R93">
        <f t="shared" ref="R93" si="442">R94+Q93</f>
        <v>61412571.896477081</v>
      </c>
      <c r="S93">
        <f t="shared" ref="S93" si="443">R93/100000</f>
        <v>614.12571896477084</v>
      </c>
      <c r="T93">
        <f t="shared" ref="T93" si="444">S93/1000</f>
        <v>0.61412571896477086</v>
      </c>
    </row>
    <row r="94" spans="1:20" x14ac:dyDescent="0.25">
      <c r="A94" s="5">
        <v>44499</v>
      </c>
      <c r="B94">
        <v>1.4530000000000001</v>
      </c>
      <c r="C94">
        <v>1.51</v>
      </c>
      <c r="D94">
        <v>1.421</v>
      </c>
      <c r="E94">
        <v>1.502</v>
      </c>
      <c r="F94">
        <v>2046116.6</v>
      </c>
      <c r="G94">
        <v>1.502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0.82022471910112338</v>
      </c>
      <c r="Q94">
        <f t="shared" ref="Q94" si="446">F94*P94</f>
        <v>1678275.4134831456</v>
      </c>
      <c r="R94">
        <f t="shared" ref="R94" si="447">R95+Q94</f>
        <v>61181483.459634982</v>
      </c>
      <c r="S94">
        <f t="shared" ref="S94" si="448">R94/100000</f>
        <v>611.81483459634978</v>
      </c>
      <c r="T94">
        <f t="shared" ref="T94" si="449">S94/1000</f>
        <v>0.61181483459634978</v>
      </c>
    </row>
    <row r="95" spans="1:20" x14ac:dyDescent="0.25">
      <c r="A95" s="5">
        <v>44498</v>
      </c>
      <c r="B95">
        <v>1.4079999999999999</v>
      </c>
      <c r="C95">
        <v>1.4970000000000001</v>
      </c>
      <c r="D95">
        <v>1.403</v>
      </c>
      <c r="E95">
        <v>1.452</v>
      </c>
      <c r="F95">
        <v>2246106.9</v>
      </c>
      <c r="G95">
        <v>1.452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4.2553191489359342E-2</v>
      </c>
      <c r="Q95">
        <f t="shared" ref="Q95" si="451">F95*P95</f>
        <v>95579.017021271284</v>
      </c>
      <c r="R95">
        <f t="shared" ref="R95" si="452">R96+Q95</f>
        <v>59503208.046151839</v>
      </c>
      <c r="S95">
        <f t="shared" ref="S95" si="453">R95/100000</f>
        <v>595.03208046151838</v>
      </c>
      <c r="T95">
        <f t="shared" ref="T95" si="454">S95/1000</f>
        <v>0.59503208046151834</v>
      </c>
    </row>
    <row r="96" spans="1:20" x14ac:dyDescent="0.25">
      <c r="A96" s="5">
        <v>44497</v>
      </c>
      <c r="B96">
        <v>1.3180000000000001</v>
      </c>
      <c r="C96">
        <v>1.4279999999999999</v>
      </c>
      <c r="D96">
        <v>1.298</v>
      </c>
      <c r="E96">
        <v>1.4079999999999999</v>
      </c>
      <c r="F96">
        <v>2361576.9</v>
      </c>
      <c r="G96">
        <v>1.4079999999999999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0.69230769230769174</v>
      </c>
      <c r="Q96">
        <f t="shared" ref="Q96" si="456">F96*P96</f>
        <v>1634937.8538461525</v>
      </c>
      <c r="R96">
        <f t="shared" ref="R96" si="457">R97+Q96</f>
        <v>59407629.029130571</v>
      </c>
      <c r="S96">
        <f t="shared" ref="S96" si="458">R96/100000</f>
        <v>594.07629029130567</v>
      </c>
      <c r="T96">
        <f t="shared" ref="T96" si="459">S96/1000</f>
        <v>0.59407629029130571</v>
      </c>
    </row>
    <row r="97" spans="1:20" x14ac:dyDescent="0.25">
      <c r="A97" s="5">
        <v>44496</v>
      </c>
      <c r="B97">
        <v>1.4990000000000001</v>
      </c>
      <c r="C97">
        <v>1.512</v>
      </c>
      <c r="D97">
        <v>1.294</v>
      </c>
      <c r="E97">
        <v>1.319</v>
      </c>
      <c r="F97">
        <v>3210957.5</v>
      </c>
      <c r="G97">
        <v>1.319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-0.77064220183486321</v>
      </c>
      <c r="Q97">
        <f t="shared" ref="Q97" si="461">F97*P97</f>
        <v>-2474499.357798168</v>
      </c>
      <c r="R97">
        <f t="shared" ref="R97" si="462">R98+Q97</f>
        <v>57772691.175284415</v>
      </c>
      <c r="S97">
        <f t="shared" ref="S97" si="463">R97/100000</f>
        <v>577.7269117528441</v>
      </c>
      <c r="T97">
        <f t="shared" ref="T97" si="464">S97/1000</f>
        <v>0.57772691175284407</v>
      </c>
    </row>
    <row r="98" spans="1:20" x14ac:dyDescent="0.25">
      <c r="A98" s="5">
        <v>44495</v>
      </c>
      <c r="B98">
        <v>1.532</v>
      </c>
      <c r="C98">
        <v>1.5409999999999999</v>
      </c>
      <c r="D98">
        <v>1.494</v>
      </c>
      <c r="E98">
        <v>1.4990000000000001</v>
      </c>
      <c r="F98">
        <v>1427351.7</v>
      </c>
      <c r="G98">
        <v>1.4990000000000001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-0.7872340425531863</v>
      </c>
      <c r="Q98">
        <f t="shared" ref="Q98" si="466">F98*P98</f>
        <v>-1123659.8489361627</v>
      </c>
      <c r="R98">
        <f t="shared" ref="R98" si="467">R99+Q98</f>
        <v>60247190.533082582</v>
      </c>
      <c r="S98">
        <f t="shared" ref="S98" si="468">R98/100000</f>
        <v>602.47190533082585</v>
      </c>
      <c r="T98">
        <f t="shared" ref="T98" si="469">S98/1000</f>
        <v>0.60247190533082584</v>
      </c>
    </row>
    <row r="99" spans="1:20" x14ac:dyDescent="0.25">
      <c r="A99" s="5">
        <v>44494</v>
      </c>
      <c r="B99">
        <v>1.52</v>
      </c>
      <c r="C99">
        <v>1.544</v>
      </c>
      <c r="D99">
        <v>1.494</v>
      </c>
      <c r="E99">
        <v>1.532</v>
      </c>
      <c r="F99">
        <v>2882292.8</v>
      </c>
      <c r="G99">
        <v>1.532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0.52</v>
      </c>
      <c r="Q99">
        <f t="shared" ref="Q99" si="471">F99*P99</f>
        <v>1498792.2560000001</v>
      </c>
      <c r="R99">
        <f t="shared" ref="R99" si="472">R100+Q99</f>
        <v>61370850.382018745</v>
      </c>
      <c r="S99">
        <f t="shared" ref="S99" si="473">R99/100000</f>
        <v>613.7085038201875</v>
      </c>
      <c r="T99">
        <f t="shared" ref="T99" si="474">S99/1000</f>
        <v>0.61370850382018749</v>
      </c>
    </row>
    <row r="100" spans="1:20" x14ac:dyDescent="0.25">
      <c r="A100" s="5">
        <v>44493</v>
      </c>
      <c r="B100">
        <v>1.5009999999999999</v>
      </c>
      <c r="C100">
        <v>1.6140000000000001</v>
      </c>
      <c r="D100">
        <v>1.466</v>
      </c>
      <c r="E100">
        <v>1.518</v>
      </c>
      <c r="F100">
        <v>2449107.1</v>
      </c>
      <c r="G100">
        <v>1.518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-0.29729729729729731</v>
      </c>
      <c r="Q100">
        <f t="shared" ref="Q100" si="476">F100*P100</f>
        <v>-728112.9216216217</v>
      </c>
      <c r="R100">
        <f t="shared" ref="R100" si="477">R101+Q100</f>
        <v>59872058.126018748</v>
      </c>
      <c r="S100">
        <f t="shared" ref="S100" si="478">R100/100000</f>
        <v>598.72058126018749</v>
      </c>
      <c r="T100">
        <f t="shared" ref="T100" si="479">S100/1000</f>
        <v>0.59872058126018746</v>
      </c>
    </row>
    <row r="101" spans="1:20" x14ac:dyDescent="0.25">
      <c r="A101" s="5">
        <v>44492</v>
      </c>
      <c r="B101">
        <v>1.5</v>
      </c>
      <c r="C101">
        <v>1.5489999999999999</v>
      </c>
      <c r="D101">
        <v>1.46</v>
      </c>
      <c r="E101">
        <v>1.5009999999999999</v>
      </c>
      <c r="F101">
        <v>1034462.9</v>
      </c>
      <c r="G101">
        <v>1.5009999999999999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-7.8651685393259771E-2</v>
      </c>
      <c r="Q101">
        <f t="shared" ref="Q101" si="481">F101*P101</f>
        <v>-81362.250561799141</v>
      </c>
      <c r="R101">
        <f t="shared" ref="R101" si="482">R102+Q101</f>
        <v>60600171.047640368</v>
      </c>
      <c r="S101">
        <f t="shared" ref="S101" si="483">R101/100000</f>
        <v>606.00171047640367</v>
      </c>
      <c r="T101">
        <f t="shared" ref="T101" si="484">S101/1000</f>
        <v>0.60600171047640372</v>
      </c>
    </row>
    <row r="102" spans="1:20" x14ac:dyDescent="0.25">
      <c r="A102" s="5">
        <v>44491</v>
      </c>
      <c r="B102">
        <v>1.474</v>
      </c>
      <c r="C102">
        <v>1.5209999999999999</v>
      </c>
      <c r="D102">
        <v>1.4630000000000001</v>
      </c>
      <c r="E102">
        <v>1.502</v>
      </c>
      <c r="F102">
        <v>1230228.7</v>
      </c>
      <c r="G102">
        <v>1.502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0.34482758620689785</v>
      </c>
      <c r="Q102">
        <f t="shared" ref="Q102" si="486">F102*P102</f>
        <v>424216.79310344986</v>
      </c>
      <c r="R102">
        <f t="shared" ref="R102" si="487">R103+Q102</f>
        <v>60681533.298202164</v>
      </c>
      <c r="S102">
        <f t="shared" ref="S102" si="488">R102/100000</f>
        <v>606.81533298202169</v>
      </c>
      <c r="T102">
        <f t="shared" ref="T102" si="489">S102/1000</f>
        <v>0.60681533298202173</v>
      </c>
    </row>
    <row r="103" spans="1:20" x14ac:dyDescent="0.25">
      <c r="A103" s="5">
        <v>44490</v>
      </c>
      <c r="B103">
        <v>1.536</v>
      </c>
      <c r="C103">
        <v>1.55</v>
      </c>
      <c r="D103">
        <v>1.456</v>
      </c>
      <c r="E103">
        <v>1.474</v>
      </c>
      <c r="F103">
        <v>1714043.2</v>
      </c>
      <c r="G103">
        <v>1.474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-0.61702127659574468</v>
      </c>
      <c r="Q103">
        <f t="shared" ref="Q103" si="491">F103*P103</f>
        <v>-1057601.1234042554</v>
      </c>
      <c r="R103">
        <f t="shared" ref="R103" si="492">R104+Q103</f>
        <v>60257316.505098715</v>
      </c>
      <c r="S103">
        <f t="shared" ref="S103" si="493">R103/100000</f>
        <v>602.5731650509872</v>
      </c>
      <c r="T103">
        <f t="shared" ref="T103" si="494">S103/1000</f>
        <v>0.60257316505098724</v>
      </c>
    </row>
    <row r="104" spans="1:20" x14ac:dyDescent="0.25">
      <c r="A104" s="5">
        <v>44489</v>
      </c>
      <c r="B104">
        <v>1.4970000000000001</v>
      </c>
      <c r="C104">
        <v>1.542</v>
      </c>
      <c r="D104">
        <v>1.4510000000000001</v>
      </c>
      <c r="E104">
        <v>1.5389999999999999</v>
      </c>
      <c r="F104">
        <v>1171570.8999999999</v>
      </c>
      <c r="G104">
        <v>1.5389999999999999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0.93406593406593152</v>
      </c>
      <c r="Q104">
        <f t="shared" ref="Q104" si="496">F104*P104</f>
        <v>1094324.4670329639</v>
      </c>
      <c r="R104">
        <f t="shared" ref="R104" si="497">R105+Q104</f>
        <v>61314917.628502972</v>
      </c>
      <c r="S104">
        <f t="shared" ref="S104" si="498">R104/100000</f>
        <v>613.14917628502974</v>
      </c>
      <c r="T104">
        <f t="shared" ref="T104" si="499">S104/1000</f>
        <v>0.61314917628502974</v>
      </c>
    </row>
    <row r="105" spans="1:20" x14ac:dyDescent="0.25">
      <c r="A105" s="5">
        <v>44488</v>
      </c>
      <c r="B105">
        <v>1.4830000000000001</v>
      </c>
      <c r="C105">
        <v>1.4970000000000001</v>
      </c>
      <c r="D105">
        <v>1.4470000000000001</v>
      </c>
      <c r="E105">
        <v>1.4970000000000001</v>
      </c>
      <c r="F105">
        <v>1063060.8999999999</v>
      </c>
      <c r="G105">
        <v>1.4970000000000001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1</v>
      </c>
      <c r="Q105">
        <f t="shared" ref="Q105" si="501">F105*P105</f>
        <v>1063060.8999999999</v>
      </c>
      <c r="R105">
        <f t="shared" ref="R105" si="502">R106+Q105</f>
        <v>60220593.161470011</v>
      </c>
      <c r="S105">
        <f t="shared" ref="S105" si="503">R105/100000</f>
        <v>602.20593161470015</v>
      </c>
      <c r="T105">
        <f t="shared" ref="T105" si="504">S105/1000</f>
        <v>0.60220593161470015</v>
      </c>
    </row>
    <row r="106" spans="1:20" x14ac:dyDescent="0.25">
      <c r="A106" s="5">
        <v>44487</v>
      </c>
      <c r="B106">
        <v>1.466</v>
      </c>
      <c r="C106">
        <v>1.488</v>
      </c>
      <c r="D106">
        <v>1.425</v>
      </c>
      <c r="E106">
        <v>1.4830000000000001</v>
      </c>
      <c r="F106">
        <v>1504630.4</v>
      </c>
      <c r="G106">
        <v>1.4830000000000001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0.8412698412698445</v>
      </c>
      <c r="Q106">
        <f t="shared" ref="Q106" si="506">F106*P106</f>
        <v>1265800.1777777825</v>
      </c>
      <c r="R106">
        <f t="shared" ref="R106" si="507">R107+Q106</f>
        <v>59157532.261470012</v>
      </c>
      <c r="S106">
        <f t="shared" ref="S106" si="508">R106/100000</f>
        <v>591.5753226147001</v>
      </c>
      <c r="T106">
        <f t="shared" ref="T106" si="509">S106/1000</f>
        <v>0.59157532261470014</v>
      </c>
    </row>
    <row r="107" spans="1:20" x14ac:dyDescent="0.25">
      <c r="A107" s="5">
        <v>44486</v>
      </c>
      <c r="B107">
        <v>1.5189999999999999</v>
      </c>
      <c r="C107">
        <v>1.53</v>
      </c>
      <c r="D107">
        <v>1.4259999999999999</v>
      </c>
      <c r="E107">
        <v>1.4650000000000001</v>
      </c>
      <c r="F107">
        <v>1769299.9</v>
      </c>
      <c r="G107">
        <v>1.4650000000000001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-0.24999999999999786</v>
      </c>
      <c r="Q107">
        <f t="shared" ref="Q107" si="511">F107*P107</f>
        <v>-442324.97499999619</v>
      </c>
      <c r="R107">
        <f t="shared" ref="R107" si="512">R108+Q107</f>
        <v>57891732.08369223</v>
      </c>
      <c r="S107">
        <f t="shared" ref="S107" si="513">R107/100000</f>
        <v>578.91732083692227</v>
      </c>
      <c r="T107">
        <f t="shared" ref="T107" si="514">S107/1000</f>
        <v>0.57891732083692227</v>
      </c>
    </row>
    <row r="108" spans="1:20" x14ac:dyDescent="0.25">
      <c r="A108" s="5">
        <v>44485</v>
      </c>
      <c r="B108">
        <v>1.544</v>
      </c>
      <c r="C108">
        <v>1.5589999999999999</v>
      </c>
      <c r="D108">
        <v>1.5029999999999999</v>
      </c>
      <c r="E108">
        <v>1.518</v>
      </c>
      <c r="F108">
        <v>1830904.5</v>
      </c>
      <c r="G108">
        <v>1.518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-0.4642857142857103</v>
      </c>
      <c r="Q108">
        <f t="shared" ref="Q108" si="516">F108*P108</f>
        <v>-850062.8035714213</v>
      </c>
      <c r="R108">
        <f t="shared" ref="R108" si="517">R109+Q108</f>
        <v>58334057.058692224</v>
      </c>
      <c r="S108">
        <f t="shared" ref="S108" si="518">R108/100000</f>
        <v>583.34057058692224</v>
      </c>
      <c r="T108">
        <f t="shared" ref="T108" si="519">S108/1000</f>
        <v>0.58334057058692224</v>
      </c>
    </row>
    <row r="109" spans="1:20" x14ac:dyDescent="0.25">
      <c r="A109" s="5">
        <v>44484</v>
      </c>
      <c r="B109">
        <v>1.6870000000000001</v>
      </c>
      <c r="C109">
        <v>1.7130000000000001</v>
      </c>
      <c r="D109">
        <v>1.5</v>
      </c>
      <c r="E109">
        <v>1.542</v>
      </c>
      <c r="F109">
        <v>2988998.5</v>
      </c>
      <c r="G109">
        <v>1.542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-0.60563380281690116</v>
      </c>
      <c r="Q109">
        <f t="shared" ref="Q109" si="521">F109*P109</f>
        <v>-1810238.5281690133</v>
      </c>
      <c r="R109">
        <f t="shared" ref="R109" si="522">R110+Q109</f>
        <v>59184119.862263642</v>
      </c>
      <c r="S109">
        <f t="shared" ref="S109" si="523">R109/100000</f>
        <v>591.8411986226364</v>
      </c>
      <c r="T109">
        <f t="shared" ref="T109" si="524">S109/1000</f>
        <v>0.5918411986226364</v>
      </c>
    </row>
    <row r="110" spans="1:20" x14ac:dyDescent="0.25">
      <c r="A110" s="5">
        <v>44483</v>
      </c>
      <c r="B110">
        <v>1.7030000000000001</v>
      </c>
      <c r="C110">
        <v>1.708</v>
      </c>
      <c r="D110">
        <v>1.655</v>
      </c>
      <c r="E110">
        <v>1.6870000000000001</v>
      </c>
      <c r="F110">
        <v>1859397.2</v>
      </c>
      <c r="G110">
        <v>1.6870000000000001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0.20754716981132329</v>
      </c>
      <c r="Q110">
        <f t="shared" ref="Q110" si="526">F110*P110</f>
        <v>385912.62641509902</v>
      </c>
      <c r="R110">
        <f t="shared" ref="R110" si="527">R111+Q110</f>
        <v>60994358.390432656</v>
      </c>
      <c r="S110">
        <f t="shared" ref="S110" si="528">R110/100000</f>
        <v>609.9435839043266</v>
      </c>
      <c r="T110">
        <f t="shared" ref="T110" si="529">S110/1000</f>
        <v>0.60994358390432657</v>
      </c>
    </row>
    <row r="111" spans="1:20" x14ac:dyDescent="0.25">
      <c r="A111" s="5">
        <v>44482</v>
      </c>
      <c r="B111">
        <v>1.6659999999999999</v>
      </c>
      <c r="C111">
        <v>1.7150000000000001</v>
      </c>
      <c r="D111">
        <v>1.587</v>
      </c>
      <c r="E111">
        <v>1.7010000000000001</v>
      </c>
      <c r="F111">
        <v>2526475.9</v>
      </c>
      <c r="G111">
        <v>1.7010000000000001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0.78125</v>
      </c>
      <c r="Q111">
        <f t="shared" ref="Q111" si="531">F111*P111</f>
        <v>1973809.296875</v>
      </c>
      <c r="R111">
        <f t="shared" ref="R111" si="532">R112+Q111</f>
        <v>60608445.76401756</v>
      </c>
      <c r="S111">
        <f t="shared" ref="S111" si="533">R111/100000</f>
        <v>606.08445764017563</v>
      </c>
      <c r="T111">
        <f t="shared" ref="T111" si="534">S111/1000</f>
        <v>0.6060844576401756</v>
      </c>
    </row>
    <row r="112" spans="1:20" x14ac:dyDescent="0.25">
      <c r="A112" s="5">
        <v>44481</v>
      </c>
      <c r="B112">
        <v>1.67</v>
      </c>
      <c r="C112">
        <v>1.75</v>
      </c>
      <c r="D112">
        <v>1.5049999999999999</v>
      </c>
      <c r="E112">
        <v>1.671</v>
      </c>
      <c r="F112">
        <v>3182317.1</v>
      </c>
      <c r="G112">
        <v>1.671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0.35510204081632712</v>
      </c>
      <c r="Q112">
        <f t="shared" ref="Q112" si="536">F112*P112</f>
        <v>1130047.2967346958</v>
      </c>
      <c r="R112">
        <f t="shared" ref="R112" si="537">R113+Q112</f>
        <v>58634636.46714256</v>
      </c>
      <c r="S112">
        <f t="shared" ref="S112" si="538">R112/100000</f>
        <v>586.34636467142559</v>
      </c>
      <c r="T112">
        <f t="shared" ref="T112" si="539">S112/1000</f>
        <v>0.58634636467142554</v>
      </c>
    </row>
    <row r="113" spans="1:20" x14ac:dyDescent="0.25">
      <c r="A113" s="5">
        <v>44480</v>
      </c>
      <c r="B113">
        <v>1.7210000000000001</v>
      </c>
      <c r="C113">
        <v>1.7210000000000001</v>
      </c>
      <c r="D113">
        <v>1.621</v>
      </c>
      <c r="E113">
        <v>1.67</v>
      </c>
      <c r="F113">
        <v>1901163.8</v>
      </c>
      <c r="G113">
        <v>1.67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-2.0000000000002221E-2</v>
      </c>
      <c r="Q113">
        <f t="shared" ref="Q113" si="541">F113*P113</f>
        <v>-38023.276000004225</v>
      </c>
      <c r="R113">
        <f t="shared" ref="R113" si="542">R114+Q113</f>
        <v>57504589.170407861</v>
      </c>
      <c r="S113">
        <f t="shared" ref="S113" si="543">R113/100000</f>
        <v>575.0458917040786</v>
      </c>
      <c r="T113">
        <f t="shared" ref="T113" si="544">S113/1000</f>
        <v>0.5750458917040786</v>
      </c>
    </row>
    <row r="114" spans="1:20" x14ac:dyDescent="0.25">
      <c r="A114" s="5">
        <v>44479</v>
      </c>
      <c r="B114">
        <v>1.7230000000000001</v>
      </c>
      <c r="C114">
        <v>1.87</v>
      </c>
      <c r="D114">
        <v>1.6870000000000001</v>
      </c>
      <c r="E114">
        <v>1.724</v>
      </c>
      <c r="F114">
        <v>3425210.9</v>
      </c>
      <c r="G114">
        <v>1.724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-0.59562841530054744</v>
      </c>
      <c r="Q114">
        <f t="shared" ref="Q114" si="546">F114*P114</f>
        <v>-2040152.9404371618</v>
      </c>
      <c r="R114">
        <f t="shared" ref="R114" si="547">R115+Q114</f>
        <v>57542612.446407862</v>
      </c>
      <c r="S114">
        <f t="shared" ref="S114" si="548">R114/100000</f>
        <v>575.42612446407861</v>
      </c>
      <c r="T114">
        <f t="shared" ref="T114" si="549">S114/1000</f>
        <v>0.57542612446407859</v>
      </c>
    </row>
    <row r="115" spans="1:20" x14ac:dyDescent="0.25">
      <c r="A115" s="5">
        <v>44478</v>
      </c>
      <c r="B115">
        <v>1.748</v>
      </c>
      <c r="C115">
        <v>1.909</v>
      </c>
      <c r="D115">
        <v>1.6539999999999999</v>
      </c>
      <c r="E115">
        <v>1.726</v>
      </c>
      <c r="F115">
        <v>6560372.7999999998</v>
      </c>
      <c r="G115">
        <v>1.726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-0.43529411764705855</v>
      </c>
      <c r="Q115">
        <f t="shared" ref="Q115" si="551">F115*P115</f>
        <v>-2855691.6894117626</v>
      </c>
      <c r="R115">
        <f t="shared" ref="R115" si="552">R116+Q115</f>
        <v>59582765.386845022</v>
      </c>
      <c r="S115">
        <f t="shared" ref="S115" si="553">R115/100000</f>
        <v>595.82765386845017</v>
      </c>
      <c r="T115">
        <f t="shared" ref="T115" si="554">S115/1000</f>
        <v>0.59582765386845016</v>
      </c>
    </row>
    <row r="116" spans="1:20" x14ac:dyDescent="0.25">
      <c r="A116" s="5">
        <v>44477</v>
      </c>
      <c r="B116">
        <v>1.6519999999999999</v>
      </c>
      <c r="C116">
        <v>1.9</v>
      </c>
      <c r="D116">
        <v>1.65</v>
      </c>
      <c r="E116">
        <v>1.7450000000000001</v>
      </c>
      <c r="F116">
        <v>5762489.5999999996</v>
      </c>
      <c r="G116">
        <v>1.7450000000000001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-0.23999999999999844</v>
      </c>
      <c r="Q116">
        <f t="shared" ref="Q116" si="556">F116*P116</f>
        <v>-1382997.5039999909</v>
      </c>
      <c r="R116">
        <f t="shared" ref="R116" si="557">R117+Q116</f>
        <v>62438457.076256782</v>
      </c>
      <c r="S116">
        <f t="shared" ref="S116" si="558">R116/100000</f>
        <v>624.38457076256782</v>
      </c>
      <c r="T116">
        <f t="shared" ref="T116" si="559">S116/1000</f>
        <v>0.62438457076256781</v>
      </c>
    </row>
    <row r="117" spans="1:20" x14ac:dyDescent="0.25">
      <c r="A117" s="5">
        <v>44476</v>
      </c>
      <c r="B117">
        <v>1.6739999999999999</v>
      </c>
      <c r="C117">
        <v>1.7270000000000001</v>
      </c>
      <c r="D117">
        <v>1.581</v>
      </c>
      <c r="E117">
        <v>1.6519999999999999</v>
      </c>
      <c r="F117">
        <v>3192832.1</v>
      </c>
      <c r="G117">
        <v>1.6519999999999999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-2.7397260273974124E-2</v>
      </c>
      <c r="Q117">
        <f t="shared" ref="Q117" si="561">F117*P117</f>
        <v>-87474.852054799383</v>
      </c>
      <c r="R117">
        <f t="shared" ref="R117" si="562">R118+Q117</f>
        <v>63821454.580256775</v>
      </c>
      <c r="S117">
        <f t="shared" ref="S117" si="563">R117/100000</f>
        <v>638.21454580256773</v>
      </c>
      <c r="T117">
        <f t="shared" ref="T117" si="564">S117/1000</f>
        <v>0.63821454580256776</v>
      </c>
    </row>
    <row r="118" spans="1:20" x14ac:dyDescent="0.25">
      <c r="A118" s="5">
        <v>44475</v>
      </c>
      <c r="B118">
        <v>1.5580000000000001</v>
      </c>
      <c r="C118">
        <v>1.7370000000000001</v>
      </c>
      <c r="D118">
        <v>1.474</v>
      </c>
      <c r="E118">
        <v>1.675</v>
      </c>
      <c r="F118">
        <v>5824411.0999999996</v>
      </c>
      <c r="G118">
        <v>1.675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0.52851711026615955</v>
      </c>
      <c r="Q118">
        <f t="shared" ref="Q118" si="566">F118*P118</f>
        <v>3078300.9235741436</v>
      </c>
      <c r="R118">
        <f t="shared" ref="R118" si="567">R119+Q118</f>
        <v>63908929.432311572</v>
      </c>
      <c r="S118">
        <f t="shared" ref="S118" si="568">R118/100000</f>
        <v>639.08929432311572</v>
      </c>
      <c r="T118">
        <f t="shared" ref="T118" si="569">S118/1000</f>
        <v>0.63908929432311568</v>
      </c>
    </row>
    <row r="119" spans="1:20" x14ac:dyDescent="0.25">
      <c r="A119" s="5">
        <v>44474</v>
      </c>
      <c r="B119">
        <v>1.4690000000000001</v>
      </c>
      <c r="C119">
        <v>1.5820000000000001</v>
      </c>
      <c r="D119">
        <v>1.4279999999999999</v>
      </c>
      <c r="E119">
        <v>1.5589999999999999</v>
      </c>
      <c r="F119">
        <v>3698938</v>
      </c>
      <c r="G119">
        <v>1.5589999999999999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0.70129870129869987</v>
      </c>
      <c r="Q119">
        <f t="shared" ref="Q119" si="571">F119*P119</f>
        <v>2594060.4155844101</v>
      </c>
      <c r="R119">
        <f t="shared" ref="R119" si="572">R120+Q119</f>
        <v>60830628.50873743</v>
      </c>
      <c r="S119">
        <f t="shared" ref="S119" si="573">R119/100000</f>
        <v>608.30628508737425</v>
      </c>
      <c r="T119">
        <f t="shared" ref="T119" si="574">S119/1000</f>
        <v>0.60830628508737428</v>
      </c>
    </row>
    <row r="120" spans="1:20" x14ac:dyDescent="0.25">
      <c r="A120" s="5">
        <v>44473</v>
      </c>
      <c r="B120">
        <v>1.514</v>
      </c>
      <c r="C120">
        <v>1.518</v>
      </c>
      <c r="D120">
        <v>1.387</v>
      </c>
      <c r="E120">
        <v>1.478</v>
      </c>
      <c r="F120">
        <v>2900031.3</v>
      </c>
      <c r="G120">
        <v>1.478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0.38931297709923612</v>
      </c>
      <c r="Q120">
        <f t="shared" ref="Q120" si="576">F120*P120</f>
        <v>1129019.8190839679</v>
      </c>
      <c r="R120">
        <f t="shared" ref="R120" si="577">R121+Q120</f>
        <v>58236568.093153022</v>
      </c>
      <c r="S120">
        <f t="shared" ref="S120" si="578">R120/100000</f>
        <v>582.36568093153028</v>
      </c>
      <c r="T120">
        <f t="shared" ref="T120" si="579">S120/1000</f>
        <v>0.58236568093153029</v>
      </c>
    </row>
    <row r="121" spans="1:20" x14ac:dyDescent="0.25">
      <c r="A121" s="5">
        <v>44472</v>
      </c>
      <c r="B121">
        <v>1.446</v>
      </c>
      <c r="C121">
        <v>1.58</v>
      </c>
      <c r="D121">
        <v>1.444</v>
      </c>
      <c r="E121">
        <v>1.5249999999999999</v>
      </c>
      <c r="F121">
        <v>2970140.3</v>
      </c>
      <c r="G121">
        <v>1.5249999999999999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0.19117647058823367</v>
      </c>
      <c r="Q121">
        <f t="shared" ref="Q121" si="581">F121*P121</f>
        <v>567820.93970587745</v>
      </c>
      <c r="R121">
        <f t="shared" ref="R121" si="582">R122+Q121</f>
        <v>57107548.274069056</v>
      </c>
      <c r="S121">
        <f t="shared" ref="S121" si="583">R121/100000</f>
        <v>571.07548274069052</v>
      </c>
      <c r="T121">
        <f t="shared" ref="T121" si="584">S121/1000</f>
        <v>0.57107548274069053</v>
      </c>
    </row>
    <row r="122" spans="1:20" x14ac:dyDescent="0.25">
      <c r="A122" s="5">
        <v>44471</v>
      </c>
      <c r="B122">
        <v>1.444</v>
      </c>
      <c r="C122">
        <v>1.49</v>
      </c>
      <c r="D122">
        <v>1.401</v>
      </c>
      <c r="E122">
        <v>1.446</v>
      </c>
      <c r="F122">
        <v>2839979.9</v>
      </c>
      <c r="G122">
        <v>1.446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1.1235955056178542E-2</v>
      </c>
      <c r="Q122">
        <f t="shared" ref="Q122" si="586">F122*P122</f>
        <v>31909.886516850427</v>
      </c>
      <c r="R122">
        <f t="shared" ref="R122" si="587">R123+Q122</f>
        <v>56539727.334363177</v>
      </c>
      <c r="S122">
        <f t="shared" ref="S122" si="588">R122/100000</f>
        <v>565.39727334363181</v>
      </c>
      <c r="T122">
        <f t="shared" ref="T122" si="589">S122/1000</f>
        <v>0.56539727334363177</v>
      </c>
    </row>
    <row r="123" spans="1:20" x14ac:dyDescent="0.25">
      <c r="A123" s="5">
        <v>44470</v>
      </c>
      <c r="B123">
        <v>1.2350000000000001</v>
      </c>
      <c r="C123">
        <v>1.5820000000000001</v>
      </c>
      <c r="D123">
        <v>1.22</v>
      </c>
      <c r="E123">
        <v>1.444</v>
      </c>
      <c r="F123">
        <v>7933411.2000000002</v>
      </c>
      <c r="G123">
        <v>1.444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0.2375690607734802</v>
      </c>
      <c r="Q123">
        <f t="shared" ref="Q123" si="591">F123*P123</f>
        <v>1884733.0475138086</v>
      </c>
      <c r="R123">
        <f t="shared" ref="R123" si="592">R124+Q123</f>
        <v>56507817.447846331</v>
      </c>
      <c r="S123">
        <f t="shared" ref="S123" si="593">R123/100000</f>
        <v>565.07817447846332</v>
      </c>
      <c r="T123">
        <f t="shared" ref="T123" si="594">S123/1000</f>
        <v>0.56507817447846331</v>
      </c>
    </row>
    <row r="124" spans="1:20" x14ac:dyDescent="0.25">
      <c r="A124" s="5">
        <v>44469</v>
      </c>
      <c r="B124">
        <v>1.1739999999999999</v>
      </c>
      <c r="C124">
        <v>1.3340000000000001</v>
      </c>
      <c r="D124">
        <v>1.1579999999999999</v>
      </c>
      <c r="E124">
        <v>1.2370000000000001</v>
      </c>
      <c r="F124">
        <v>3744387.5</v>
      </c>
      <c r="G124">
        <v>1.2370000000000001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-0.10227272727272602</v>
      </c>
      <c r="Q124">
        <f t="shared" ref="Q124" si="596">F124*P124</f>
        <v>-382948.7215909044</v>
      </c>
      <c r="R124">
        <f t="shared" ref="R124" si="597">R125+Q124</f>
        <v>54623084.400332525</v>
      </c>
      <c r="S124">
        <f t="shared" ref="S124" si="598">R124/100000</f>
        <v>546.23084400332527</v>
      </c>
      <c r="T124">
        <f t="shared" ref="T124" si="599">S124/1000</f>
        <v>0.54623084400332522</v>
      </c>
    </row>
    <row r="125" spans="1:20" x14ac:dyDescent="0.25">
      <c r="A125" s="5">
        <v>44468</v>
      </c>
      <c r="B125">
        <v>1.115</v>
      </c>
      <c r="C125">
        <v>1.181</v>
      </c>
      <c r="D125">
        <v>1.115</v>
      </c>
      <c r="E125">
        <v>1.1739999999999999</v>
      </c>
      <c r="F125">
        <v>2849086.2</v>
      </c>
      <c r="G125">
        <v>1.1739999999999999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0.78787878787878451</v>
      </c>
      <c r="Q125">
        <f t="shared" ref="Q125" si="601">F125*P125</f>
        <v>2244734.5818181722</v>
      </c>
      <c r="R125">
        <f t="shared" ref="R125" si="602">R126+Q125</f>
        <v>55006033.121923432</v>
      </c>
      <c r="S125">
        <f t="shared" ref="S125" si="603">R125/100000</f>
        <v>550.06033121923429</v>
      </c>
      <c r="T125">
        <f t="shared" ref="T125" si="604">S125/1000</f>
        <v>0.55006033121923426</v>
      </c>
    </row>
    <row r="126" spans="1:20" x14ac:dyDescent="0.25">
      <c r="A126" s="5">
        <v>44467</v>
      </c>
      <c r="B126">
        <v>1.208</v>
      </c>
      <c r="C126">
        <v>1.22</v>
      </c>
      <c r="D126">
        <v>1.1040000000000001</v>
      </c>
      <c r="E126">
        <v>1.1140000000000001</v>
      </c>
      <c r="F126">
        <v>2363601.1340000001</v>
      </c>
      <c r="G126">
        <v>1.1140000000000001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-0.82758620689655138</v>
      </c>
      <c r="Q126">
        <f t="shared" ref="Q126" si="606">F126*P126</f>
        <v>-1956083.6971034475</v>
      </c>
      <c r="R126">
        <f t="shared" ref="R126" si="607">R127+Q126</f>
        <v>52761298.540105261</v>
      </c>
      <c r="S126">
        <f t="shared" ref="S126" si="608">R126/100000</f>
        <v>527.61298540105258</v>
      </c>
      <c r="T126">
        <f t="shared" ref="T126" si="609">S126/1000</f>
        <v>0.52761298540105261</v>
      </c>
    </row>
    <row r="127" spans="1:20" x14ac:dyDescent="0.25">
      <c r="A127" s="5">
        <v>44466</v>
      </c>
      <c r="B127">
        <v>1.282</v>
      </c>
      <c r="C127">
        <v>1.3029999999999999</v>
      </c>
      <c r="D127">
        <v>1.208</v>
      </c>
      <c r="E127">
        <v>1.21</v>
      </c>
      <c r="F127">
        <v>3767690</v>
      </c>
      <c r="G127">
        <v>1.21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-0.95789473684210524</v>
      </c>
      <c r="Q127">
        <f t="shared" ref="Q127" si="611">F127*P127</f>
        <v>-3609050.4210526315</v>
      </c>
      <c r="R127">
        <f t="shared" ref="R127" si="612">R128+Q127</f>
        <v>54717382.237208709</v>
      </c>
      <c r="S127">
        <f t="shared" ref="S127" si="613">R127/100000</f>
        <v>547.1738223720871</v>
      </c>
      <c r="T127">
        <f t="shared" ref="T127" si="614">S127/1000</f>
        <v>0.54717382237208712</v>
      </c>
    </row>
    <row r="128" spans="1:20" x14ac:dyDescent="0.25">
      <c r="A128" s="5">
        <v>44465</v>
      </c>
      <c r="B128">
        <v>1.266</v>
      </c>
      <c r="C128">
        <v>1.3380000000000001</v>
      </c>
      <c r="D128">
        <v>1.165</v>
      </c>
      <c r="E128">
        <v>1.282</v>
      </c>
      <c r="F128">
        <v>4414300.8</v>
      </c>
      <c r="G128">
        <v>1.282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0.35260115606936376</v>
      </c>
      <c r="Q128">
        <f t="shared" ref="Q128" si="616">F128*P128</f>
        <v>1556487.5653179171</v>
      </c>
      <c r="R128">
        <f t="shared" ref="R128" si="617">R129+Q128</f>
        <v>58326432.658261344</v>
      </c>
      <c r="S128">
        <f t="shared" ref="S128" si="618">R128/100000</f>
        <v>583.26432658261342</v>
      </c>
      <c r="T128">
        <f t="shared" ref="T128" si="619">S128/1000</f>
        <v>0.5832643265826134</v>
      </c>
    </row>
    <row r="129" spans="1:20" x14ac:dyDescent="0.25">
      <c r="A129" s="5">
        <v>44464</v>
      </c>
      <c r="B129">
        <v>1.2749999999999999</v>
      </c>
      <c r="C129">
        <v>1.304</v>
      </c>
      <c r="D129">
        <v>1.21</v>
      </c>
      <c r="E129">
        <v>1.264</v>
      </c>
      <c r="F129">
        <v>2041284.4</v>
      </c>
      <c r="G129">
        <v>1.264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0.14893617021276595</v>
      </c>
      <c r="Q129">
        <f t="shared" ref="Q129" si="621">F129*P129</f>
        <v>304021.08085106377</v>
      </c>
      <c r="R129">
        <f t="shared" ref="R129" si="622">R130+Q129</f>
        <v>56769945.09294343</v>
      </c>
      <c r="S129">
        <f t="shared" ref="S129" si="623">R129/100000</f>
        <v>567.69945092943431</v>
      </c>
      <c r="T129">
        <f t="shared" ref="T129" si="624">S129/1000</f>
        <v>0.5676994509294343</v>
      </c>
    </row>
    <row r="130" spans="1:20" x14ac:dyDescent="0.25">
      <c r="A130" s="5">
        <v>44463</v>
      </c>
      <c r="B130">
        <v>1.389</v>
      </c>
      <c r="C130">
        <v>1.389</v>
      </c>
      <c r="D130">
        <v>1.173</v>
      </c>
      <c r="E130">
        <v>1.2729999999999999</v>
      </c>
      <c r="F130">
        <v>2902607.6</v>
      </c>
      <c r="G130">
        <v>1.2729999999999999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-7.407407407407518E-2</v>
      </c>
      <c r="Q130">
        <f t="shared" ref="Q130" si="626">F130*P130</f>
        <v>-215007.9703703736</v>
      </c>
      <c r="R130">
        <f t="shared" ref="R130" si="627">R131+Q130</f>
        <v>56465924.012092367</v>
      </c>
      <c r="S130">
        <f t="shared" ref="S130" si="628">R130/100000</f>
        <v>564.65924012092364</v>
      </c>
      <c r="T130">
        <f t="shared" ref="T130" si="629">S130/1000</f>
        <v>0.56465924012092361</v>
      </c>
    </row>
    <row r="131" spans="1:20" x14ac:dyDescent="0.25">
      <c r="A131" s="5">
        <v>44462</v>
      </c>
      <c r="B131">
        <v>1.355</v>
      </c>
      <c r="C131">
        <v>1.3919999999999999</v>
      </c>
      <c r="D131">
        <v>1.298</v>
      </c>
      <c r="E131">
        <v>1.389</v>
      </c>
      <c r="F131">
        <v>1489412.9</v>
      </c>
      <c r="G131">
        <v>1.389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0.93617021276595969</v>
      </c>
      <c r="Q131">
        <f t="shared" ref="Q131" si="631">F131*P131</f>
        <v>1394343.991489365</v>
      </c>
      <c r="R131">
        <f t="shared" ref="R131" si="632">R132+Q131</f>
        <v>56680931.982462741</v>
      </c>
      <c r="S131">
        <f t="shared" ref="S131" si="633">R131/100000</f>
        <v>566.80931982462744</v>
      </c>
      <c r="T131">
        <f t="shared" ref="T131" si="634">S131/1000</f>
        <v>0.56680931982462746</v>
      </c>
    </row>
    <row r="132" spans="1:20" x14ac:dyDescent="0.25">
      <c r="A132" s="5">
        <v>44461</v>
      </c>
      <c r="B132">
        <v>1.234</v>
      </c>
      <c r="C132">
        <v>1.3620000000000001</v>
      </c>
      <c r="D132">
        <v>1.1850000000000001</v>
      </c>
      <c r="E132">
        <v>1.355</v>
      </c>
      <c r="F132">
        <v>2339197.6</v>
      </c>
      <c r="G132">
        <v>1.355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0.92090395480225862</v>
      </c>
      <c r="Q132">
        <f t="shared" ref="Q132" si="636">F132*P132</f>
        <v>2154176.3209039518</v>
      </c>
      <c r="R132">
        <f t="shared" ref="R132" si="637">R133+Q132</f>
        <v>55286587.990973376</v>
      </c>
      <c r="S132">
        <f t="shared" ref="S132" si="638">R132/100000</f>
        <v>552.86587990973374</v>
      </c>
      <c r="T132">
        <f t="shared" ref="T132" si="639">S132/1000</f>
        <v>0.55286587990973368</v>
      </c>
    </row>
    <row r="133" spans="1:20" x14ac:dyDescent="0.25">
      <c r="A133" s="5">
        <v>44460</v>
      </c>
      <c r="B133">
        <v>1.369</v>
      </c>
      <c r="C133">
        <v>1.379</v>
      </c>
      <c r="D133">
        <v>1.175</v>
      </c>
      <c r="E133">
        <v>1.236</v>
      </c>
      <c r="F133">
        <v>3763935.74</v>
      </c>
      <c r="G133">
        <v>1.236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-0.40196078431372595</v>
      </c>
      <c r="Q133">
        <f t="shared" ref="Q133" si="641">F133*P133</f>
        <v>-1512954.5621568647</v>
      </c>
      <c r="R133">
        <f t="shared" ref="R133" si="642">R134+Q133</f>
        <v>53132411.670069426</v>
      </c>
      <c r="S133">
        <f t="shared" ref="S133" si="643">R133/100000</f>
        <v>531.32411670069428</v>
      </c>
      <c r="T133">
        <f t="shared" ref="T133" si="644">S133/1000</f>
        <v>0.53132411670069424</v>
      </c>
    </row>
    <row r="134" spans="1:20" x14ac:dyDescent="0.25">
      <c r="A134" s="5">
        <v>44459</v>
      </c>
      <c r="B134">
        <v>1.639</v>
      </c>
      <c r="C134">
        <v>1.641</v>
      </c>
      <c r="D134">
        <v>1.425</v>
      </c>
      <c r="E134">
        <v>1.4419999999999999</v>
      </c>
      <c r="F134">
        <v>1846529.7</v>
      </c>
      <c r="G134">
        <v>1.4419999999999999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-0.84259259259259345</v>
      </c>
      <c r="Q134">
        <f t="shared" ref="Q134" si="646">F134*P134</f>
        <v>-1555872.2472222238</v>
      </c>
      <c r="R134">
        <f t="shared" ref="R134" si="647">R135+Q134</f>
        <v>54645366.23222629</v>
      </c>
      <c r="S134">
        <f t="shared" ref="S134" si="648">R134/100000</f>
        <v>546.45366232226286</v>
      </c>
      <c r="T134">
        <f t="shared" ref="T134" si="649">S134/1000</f>
        <v>0.54645366232226289</v>
      </c>
    </row>
    <row r="135" spans="1:20" x14ac:dyDescent="0.25">
      <c r="A135" s="5">
        <v>44458</v>
      </c>
      <c r="B135">
        <v>1.641</v>
      </c>
      <c r="C135">
        <v>1.7490000000000001</v>
      </c>
      <c r="D135">
        <v>1.623</v>
      </c>
      <c r="E135">
        <v>1.64</v>
      </c>
      <c r="F135">
        <v>2483616.7999999998</v>
      </c>
      <c r="G135">
        <v>1.64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-0.73015873015873189</v>
      </c>
      <c r="Q135">
        <f t="shared" ref="Q135" si="651">F135*P135</f>
        <v>-1813434.488888893</v>
      </c>
      <c r="R135">
        <f t="shared" ref="R135" si="652">R136+Q135</f>
        <v>56201238.479448512</v>
      </c>
      <c r="S135">
        <f t="shared" ref="S135" si="653">R135/100000</f>
        <v>562.01238479448511</v>
      </c>
      <c r="T135">
        <f t="shared" ref="T135" si="654">S135/1000</f>
        <v>0.56201238479448512</v>
      </c>
    </row>
    <row r="136" spans="1:20" x14ac:dyDescent="0.25">
      <c r="A136" s="5">
        <v>44457</v>
      </c>
      <c r="B136">
        <v>1.5589999999999999</v>
      </c>
      <c r="C136">
        <v>1.714</v>
      </c>
      <c r="D136">
        <v>1.552</v>
      </c>
      <c r="E136">
        <v>1.6419999999999999</v>
      </c>
      <c r="F136">
        <v>2767569.9</v>
      </c>
      <c r="G136">
        <v>1.6419999999999999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0.1111111111111099</v>
      </c>
      <c r="Q136">
        <f t="shared" ref="Q136" si="656">F136*P136</f>
        <v>307507.76666666329</v>
      </c>
      <c r="R136">
        <f t="shared" ref="R136" si="657">R137+Q136</f>
        <v>58014672.968337402</v>
      </c>
      <c r="S136">
        <f t="shared" ref="S136" si="658">R136/100000</f>
        <v>580.14672968337402</v>
      </c>
      <c r="T136">
        <f t="shared" ref="T136" si="659">S136/1000</f>
        <v>0.580146729683374</v>
      </c>
    </row>
    <row r="137" spans="1:20" x14ac:dyDescent="0.25">
      <c r="A137" s="5">
        <v>44456</v>
      </c>
      <c r="B137">
        <v>1.5940000000000001</v>
      </c>
      <c r="C137">
        <v>1.611</v>
      </c>
      <c r="D137">
        <v>1.5369999999999999</v>
      </c>
      <c r="E137">
        <v>1.5609999999999999</v>
      </c>
      <c r="F137">
        <v>1270760.3999999999</v>
      </c>
      <c r="G137">
        <v>1.5609999999999999</v>
      </c>
      <c r="L137" t="s">
        <v>8</v>
      </c>
      <c r="M137" t="s">
        <v>7</v>
      </c>
      <c r="N137" t="s">
        <v>7</v>
      </c>
      <c r="P137">
        <f t="shared" ref="P137" si="660">IF(C137=D137,0,((E137-D137)-(C137-E137))/(C137-D137))</f>
        <v>-0.35135135135135137</v>
      </c>
      <c r="Q137">
        <f t="shared" ref="Q137" si="661">F137*P137</f>
        <v>-446483.38378378376</v>
      </c>
      <c r="R137">
        <f t="shared" ref="R137" si="662">R138+Q137</f>
        <v>57707165.201670736</v>
      </c>
      <c r="S137">
        <f t="shared" ref="S137" si="663">R137/100000</f>
        <v>577.07165201670739</v>
      </c>
      <c r="T137">
        <f t="shared" ref="T137" si="664">S137/1000</f>
        <v>0.5770716520167074</v>
      </c>
    </row>
    <row r="138" spans="1:20" x14ac:dyDescent="0.25">
      <c r="A138" s="5">
        <v>44455</v>
      </c>
      <c r="B138">
        <v>1.62</v>
      </c>
      <c r="C138">
        <v>1.623</v>
      </c>
      <c r="D138">
        <v>1.556</v>
      </c>
      <c r="E138">
        <v>1.5940000000000001</v>
      </c>
      <c r="F138">
        <v>1108600.2</v>
      </c>
      <c r="G138">
        <v>1.5940000000000001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0.13432835820895711</v>
      </c>
      <c r="Q138">
        <f t="shared" ref="Q138" si="666">F138*P138</f>
        <v>148916.4447761215</v>
      </c>
      <c r="R138">
        <f t="shared" ref="R138" si="667">R139+Q138</f>
        <v>58153648.585454524</v>
      </c>
      <c r="S138">
        <f t="shared" ref="S138" si="668">R138/100000</f>
        <v>581.53648585454528</v>
      </c>
      <c r="T138">
        <f t="shared" ref="T138" si="669">S138/1000</f>
        <v>0.58153648585454532</v>
      </c>
    </row>
    <row r="139" spans="1:20" x14ac:dyDescent="0.25">
      <c r="A139" s="5">
        <v>44454</v>
      </c>
      <c r="B139">
        <v>1.5660000000000001</v>
      </c>
      <c r="C139">
        <v>1.6279999999999999</v>
      </c>
      <c r="D139">
        <v>1.54</v>
      </c>
      <c r="E139">
        <v>1.62</v>
      </c>
      <c r="F139">
        <v>1214811.3</v>
      </c>
      <c r="G139">
        <v>1.62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0.81818181818182278</v>
      </c>
      <c r="Q139">
        <f t="shared" ref="Q139" si="671">F139*P139</f>
        <v>993936.51818182378</v>
      </c>
      <c r="R139">
        <f t="shared" ref="R139" si="672">R140+Q139</f>
        <v>58004732.140678406</v>
      </c>
      <c r="S139">
        <f t="shared" ref="S139" si="673">R139/100000</f>
        <v>580.04732140678402</v>
      </c>
      <c r="T139">
        <f t="shared" ref="T139" si="674">S139/1000</f>
        <v>0.58004732140678406</v>
      </c>
    </row>
    <row r="140" spans="1:20" x14ac:dyDescent="0.25">
      <c r="A140" s="5">
        <v>44453</v>
      </c>
      <c r="B140">
        <v>1.5109999999999999</v>
      </c>
      <c r="C140">
        <v>1.5669999999999999</v>
      </c>
      <c r="D140">
        <v>1.494</v>
      </c>
      <c r="E140">
        <v>1.5660000000000001</v>
      </c>
      <c r="F140">
        <v>1054650.8</v>
      </c>
      <c r="G140">
        <v>1.5660000000000001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0.9726027397260304</v>
      </c>
      <c r="Q140">
        <f t="shared" ref="Q140" si="676">F140*P140</f>
        <v>1025756.2575342498</v>
      </c>
      <c r="R140">
        <f t="shared" ref="R140" si="677">R141+Q140</f>
        <v>57010795.622496583</v>
      </c>
      <c r="S140">
        <f t="shared" ref="S140" si="678">R140/100000</f>
        <v>570.10795622496585</v>
      </c>
      <c r="T140">
        <f t="shared" ref="T140" si="679">S140/1000</f>
        <v>0.5701079562249658</v>
      </c>
    </row>
    <row r="141" spans="1:20" x14ac:dyDescent="0.25">
      <c r="A141" s="5">
        <v>44452</v>
      </c>
      <c r="B141">
        <v>1.619</v>
      </c>
      <c r="C141">
        <v>1.6220000000000001</v>
      </c>
      <c r="D141">
        <v>1.429</v>
      </c>
      <c r="E141">
        <v>1.5129999999999999</v>
      </c>
      <c r="F141">
        <v>2111201.7999999998</v>
      </c>
      <c r="G141">
        <v>1.5129999999999999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-0.12953367875647848</v>
      </c>
      <c r="Q141">
        <f t="shared" ref="Q141" si="681">F141*P141</f>
        <v>-273471.73575129907</v>
      </c>
      <c r="R141">
        <f t="shared" ref="R141" si="682">R142+Q141</f>
        <v>55985039.364962332</v>
      </c>
      <c r="S141">
        <f t="shared" ref="S141" si="683">R141/100000</f>
        <v>559.85039364962336</v>
      </c>
      <c r="T141">
        <f t="shared" ref="T141" si="684">S141/1000</f>
        <v>0.5598503936496233</v>
      </c>
    </row>
    <row r="142" spans="1:20" x14ac:dyDescent="0.25">
      <c r="A142" s="5">
        <v>44451</v>
      </c>
      <c r="B142">
        <v>1.607</v>
      </c>
      <c r="C142">
        <v>1.6279999999999999</v>
      </c>
      <c r="D142">
        <v>1.546</v>
      </c>
      <c r="E142">
        <v>1.6220000000000001</v>
      </c>
      <c r="F142">
        <v>1207919.7</v>
      </c>
      <c r="G142">
        <v>1.6220000000000001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0.85365853658537083</v>
      </c>
      <c r="Q142">
        <f t="shared" ref="Q142" si="686">F142*P142</f>
        <v>1031150.9634146402</v>
      </c>
      <c r="R142">
        <f t="shared" ref="R142" si="687">R143+Q142</f>
        <v>56258511.100713633</v>
      </c>
      <c r="S142">
        <f t="shared" ref="S142" si="688">R142/100000</f>
        <v>562.58511100713633</v>
      </c>
      <c r="T142">
        <f t="shared" ref="T142" si="689">S142/1000</f>
        <v>0.56258511100713637</v>
      </c>
    </row>
    <row r="143" spans="1:20" x14ac:dyDescent="0.25">
      <c r="A143" s="5">
        <v>44450</v>
      </c>
      <c r="B143">
        <v>1.5660000000000001</v>
      </c>
      <c r="C143">
        <v>1.6339999999999999</v>
      </c>
      <c r="D143">
        <v>1.528</v>
      </c>
      <c r="E143">
        <v>1.6080000000000001</v>
      </c>
      <c r="F143">
        <v>1555247.7</v>
      </c>
      <c r="G143">
        <v>1.6080000000000001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0.50943396226415405</v>
      </c>
      <c r="Q143">
        <f t="shared" ref="Q143" si="691">F143*P143</f>
        <v>792295.99811321241</v>
      </c>
      <c r="R143">
        <f t="shared" ref="R143" si="692">R144+Q143</f>
        <v>55227360.137298994</v>
      </c>
      <c r="S143">
        <f t="shared" ref="S143" si="693">R143/100000</f>
        <v>552.2736013729899</v>
      </c>
      <c r="T143">
        <f t="shared" ref="T143" si="694">S143/1000</f>
        <v>0.55227360137298986</v>
      </c>
    </row>
    <row r="144" spans="1:20" x14ac:dyDescent="0.25">
      <c r="A144" s="5">
        <v>44449</v>
      </c>
      <c r="B144">
        <v>1.698</v>
      </c>
      <c r="C144">
        <v>1.75</v>
      </c>
      <c r="D144">
        <v>1.512</v>
      </c>
      <c r="E144">
        <v>1.5660000000000001</v>
      </c>
      <c r="F144">
        <v>2513258.9</v>
      </c>
      <c r="G144">
        <v>1.5660000000000001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-0.5462184873949576</v>
      </c>
      <c r="Q144">
        <f t="shared" ref="Q144" si="696">F144*P144</f>
        <v>-1372788.4747899149</v>
      </c>
      <c r="R144">
        <f t="shared" ref="R144" si="697">R145+Q144</f>
        <v>54435064.139185779</v>
      </c>
      <c r="S144">
        <f t="shared" ref="S144" si="698">R144/100000</f>
        <v>544.35064139185783</v>
      </c>
      <c r="T144">
        <f t="shared" ref="T144" si="699">S144/1000</f>
        <v>0.54435064139185785</v>
      </c>
    </row>
    <row r="145" spans="1:20" x14ac:dyDescent="0.25">
      <c r="A145" s="5">
        <v>44448</v>
      </c>
      <c r="B145">
        <v>1.6519999999999999</v>
      </c>
      <c r="C145">
        <v>1.726</v>
      </c>
      <c r="D145">
        <v>1.6120000000000001</v>
      </c>
      <c r="E145">
        <v>1.6990000000000001</v>
      </c>
      <c r="F145">
        <v>2346401.2000000002</v>
      </c>
      <c r="G145">
        <v>1.6990000000000001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0.52631578947368518</v>
      </c>
      <c r="Q145">
        <f t="shared" ref="Q145" si="701">F145*P145</f>
        <v>1234948.0000000023</v>
      </c>
      <c r="R145">
        <f t="shared" ref="R145" si="702">R146+Q145</f>
        <v>55807852.613975696</v>
      </c>
      <c r="S145">
        <f t="shared" ref="S145" si="703">R145/100000</f>
        <v>558.07852613975695</v>
      </c>
      <c r="T145">
        <f t="shared" ref="T145" si="704">S145/1000</f>
        <v>0.55807852613975695</v>
      </c>
    </row>
    <row r="146" spans="1:20" x14ac:dyDescent="0.25">
      <c r="A146" s="5">
        <v>44447</v>
      </c>
      <c r="B146">
        <v>1.659</v>
      </c>
      <c r="C146">
        <v>1.7789999999999999</v>
      </c>
      <c r="D146">
        <v>1.4390000000000001</v>
      </c>
      <c r="E146">
        <v>1.6519999999999999</v>
      </c>
      <c r="F146">
        <v>3823186.2</v>
      </c>
      <c r="G146">
        <v>1.6519999999999999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0.25294117647058789</v>
      </c>
      <c r="Q146">
        <f t="shared" ref="Q146" si="706">F146*P146</f>
        <v>967041.21529411641</v>
      </c>
      <c r="R146">
        <f t="shared" ref="R146" si="707">R147+Q146</f>
        <v>54572904.613975696</v>
      </c>
      <c r="S146">
        <f t="shared" ref="S146" si="708">R146/100000</f>
        <v>545.72904613975697</v>
      </c>
      <c r="T146">
        <f t="shared" ref="T146" si="709">S146/1000</f>
        <v>0.54572904613975692</v>
      </c>
    </row>
    <row r="147" spans="1:20" x14ac:dyDescent="0.25">
      <c r="A147" s="5">
        <v>44446</v>
      </c>
      <c r="B147">
        <v>2.113</v>
      </c>
      <c r="C147">
        <v>2.113</v>
      </c>
      <c r="D147">
        <v>1.401</v>
      </c>
      <c r="E147">
        <v>1.653</v>
      </c>
      <c r="F147">
        <v>4842424.9809999997</v>
      </c>
      <c r="G147">
        <v>1.653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-0.29213483146067409</v>
      </c>
      <c r="Q147">
        <f t="shared" ref="Q147" si="711">F147*P147</f>
        <v>-1414641.0056853928</v>
      </c>
      <c r="R147">
        <f t="shared" ref="R147" si="712">R148+Q147</f>
        <v>53605863.398681581</v>
      </c>
      <c r="S147">
        <f t="shared" ref="S147" si="713">R147/100000</f>
        <v>536.05863398681583</v>
      </c>
      <c r="T147">
        <f t="shared" ref="T147" si="714">S147/1000</f>
        <v>0.53605863398681586</v>
      </c>
    </row>
    <row r="148" spans="1:20" x14ac:dyDescent="0.25">
      <c r="A148" s="5">
        <v>44445</v>
      </c>
      <c r="B148">
        <v>2.1030000000000002</v>
      </c>
      <c r="C148">
        <v>2.1880000000000002</v>
      </c>
      <c r="D148">
        <v>2.0009999999999999</v>
      </c>
      <c r="E148">
        <v>2.1110000000000002</v>
      </c>
      <c r="F148">
        <v>2892122.9</v>
      </c>
      <c r="G148">
        <v>2.1110000000000002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0.17647058823529579</v>
      </c>
      <c r="Q148">
        <f t="shared" ref="Q148" si="716">F148*P148</f>
        <v>510374.62941176957</v>
      </c>
      <c r="R148">
        <f t="shared" ref="R148" si="717">R149+Q148</f>
        <v>55020504.40436697</v>
      </c>
      <c r="S148">
        <f t="shared" ref="S148" si="718">R148/100000</f>
        <v>550.20504404366966</v>
      </c>
      <c r="T148">
        <f t="shared" ref="T148" si="719">S148/1000</f>
        <v>0.55020504404366966</v>
      </c>
    </row>
    <row r="149" spans="1:20" x14ac:dyDescent="0.25">
      <c r="A149" s="5">
        <v>44444</v>
      </c>
      <c r="B149">
        <v>2.044</v>
      </c>
      <c r="C149">
        <v>2.2450000000000001</v>
      </c>
      <c r="D149">
        <v>1.9870000000000001</v>
      </c>
      <c r="E149">
        <v>2.1</v>
      </c>
      <c r="F149">
        <v>5506653.5939999996</v>
      </c>
      <c r="G149">
        <v>2.1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-0.12403100775193809</v>
      </c>
      <c r="Q149">
        <f t="shared" ref="Q149" si="721">F149*P149</f>
        <v>-682995.79460465175</v>
      </c>
      <c r="R149">
        <f t="shared" ref="R149" si="722">R150+Q149</f>
        <v>54510129.774955198</v>
      </c>
      <c r="S149">
        <f t="shared" ref="S149" si="723">R149/100000</f>
        <v>545.10129774955203</v>
      </c>
      <c r="T149">
        <f t="shared" ref="T149" si="724">S149/1000</f>
        <v>0.54510129774955207</v>
      </c>
    </row>
    <row r="150" spans="1:20" x14ac:dyDescent="0.25">
      <c r="A150" s="5">
        <v>44443</v>
      </c>
      <c r="B150">
        <v>1.903</v>
      </c>
      <c r="C150">
        <v>2.169</v>
      </c>
      <c r="D150">
        <v>1.881</v>
      </c>
      <c r="E150">
        <v>2.0459999999999998</v>
      </c>
      <c r="F150">
        <v>6675418.8109999998</v>
      </c>
      <c r="G150">
        <v>2.0459999999999998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0.1458333333333319</v>
      </c>
      <c r="Q150">
        <f t="shared" ref="Q150" si="726">F150*P150</f>
        <v>973498.5766041571</v>
      </c>
      <c r="R150">
        <f t="shared" ref="R150" si="727">R151+Q150</f>
        <v>55193125.56955985</v>
      </c>
      <c r="S150">
        <f t="shared" ref="S150" si="728">R150/100000</f>
        <v>551.93125569559845</v>
      </c>
      <c r="T150">
        <f t="shared" ref="T150" si="729">S150/1000</f>
        <v>0.55193125569559842</v>
      </c>
    </row>
    <row r="151" spans="1:20" x14ac:dyDescent="0.25">
      <c r="A151" s="5">
        <v>44442</v>
      </c>
      <c r="B151">
        <v>1.8160000000000001</v>
      </c>
      <c r="C151">
        <v>1.9450000000000001</v>
      </c>
      <c r="D151">
        <v>1.772</v>
      </c>
      <c r="E151">
        <v>1.9059999999999999</v>
      </c>
      <c r="F151">
        <v>5573821.9630000005</v>
      </c>
      <c r="G151">
        <v>1.9059999999999999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0.54913294797687706</v>
      </c>
      <c r="Q151">
        <f t="shared" ref="Q151" si="731">F151*P151</f>
        <v>3060769.2860404542</v>
      </c>
      <c r="R151">
        <f t="shared" ref="R151" si="732">R152+Q151</f>
        <v>54219626.992955692</v>
      </c>
      <c r="S151">
        <f t="shared" ref="S151" si="733">R151/100000</f>
        <v>542.19626992955693</v>
      </c>
      <c r="T151">
        <f t="shared" ref="T151" si="734">S151/1000</f>
        <v>0.54219626992955694</v>
      </c>
    </row>
    <row r="152" spans="1:20" x14ac:dyDescent="0.25">
      <c r="A152" s="5">
        <v>44441</v>
      </c>
      <c r="B152">
        <v>1.8089999999999999</v>
      </c>
      <c r="C152">
        <v>1.8819999999999999</v>
      </c>
      <c r="D152">
        <v>1.79</v>
      </c>
      <c r="E152">
        <v>1.8160000000000001</v>
      </c>
      <c r="F152">
        <v>4339767.2860000003</v>
      </c>
      <c r="G152">
        <v>1.8160000000000001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-0.43478260869565083</v>
      </c>
      <c r="Q152">
        <f t="shared" ref="Q152" si="736">F152*P152</f>
        <v>-1886855.3417391249</v>
      </c>
      <c r="R152">
        <f t="shared" ref="R152" si="737">R153+Q152</f>
        <v>51158857.706915237</v>
      </c>
      <c r="S152">
        <f t="shared" ref="S152" si="738">R152/100000</f>
        <v>511.58857706915239</v>
      </c>
      <c r="T152">
        <f t="shared" ref="T152" si="739">S152/1000</f>
        <v>0.51158857706915239</v>
      </c>
    </row>
    <row r="153" spans="1:20" x14ac:dyDescent="0.25">
      <c r="A153" s="5">
        <v>44440</v>
      </c>
      <c r="B153">
        <v>1.754</v>
      </c>
      <c r="C153">
        <v>1.8120000000000001</v>
      </c>
      <c r="D153">
        <v>1.6830000000000001</v>
      </c>
      <c r="E153">
        <v>1.8120000000000001</v>
      </c>
      <c r="F153">
        <v>1795440.7</v>
      </c>
      <c r="G153">
        <v>1.8120000000000001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1</v>
      </c>
      <c r="Q153">
        <f t="shared" ref="Q153" si="741">F153*P153</f>
        <v>1795440.7</v>
      </c>
      <c r="R153">
        <f t="shared" ref="R153" si="742">R154+Q153</f>
        <v>53045713.048654363</v>
      </c>
      <c r="S153">
        <f t="shared" ref="S153" si="743">R153/100000</f>
        <v>530.45713048654363</v>
      </c>
      <c r="T153">
        <f t="shared" ref="T153" si="744">S153/1000</f>
        <v>0.53045713048654364</v>
      </c>
    </row>
    <row r="154" spans="1:20" x14ac:dyDescent="0.25">
      <c r="A154" s="5">
        <v>44439</v>
      </c>
      <c r="B154">
        <v>1.6950000000000001</v>
      </c>
      <c r="C154">
        <v>1.8280000000000001</v>
      </c>
      <c r="D154">
        <v>1.661</v>
      </c>
      <c r="E154">
        <v>1.754</v>
      </c>
      <c r="F154">
        <v>1767296.5</v>
      </c>
      <c r="G154">
        <v>1.754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0.11377245508981977</v>
      </c>
      <c r="Q154">
        <f t="shared" ref="Q154" si="746">F154*P154</f>
        <v>201069.66167664566</v>
      </c>
      <c r="R154">
        <f t="shared" ref="R154" si="747">R155+Q154</f>
        <v>51250272.34865436</v>
      </c>
      <c r="S154">
        <f t="shared" ref="S154" si="748">R154/100000</f>
        <v>512.50272348654357</v>
      </c>
      <c r="T154">
        <f t="shared" ref="T154" si="749">S154/1000</f>
        <v>0.51250272348654358</v>
      </c>
    </row>
    <row r="155" spans="1:20" x14ac:dyDescent="0.25">
      <c r="A155" s="5">
        <v>44438</v>
      </c>
      <c r="B155">
        <v>1.7689999999999999</v>
      </c>
      <c r="C155">
        <v>1.7689999999999999</v>
      </c>
      <c r="D155">
        <v>1.6859999999999999</v>
      </c>
      <c r="E155">
        <v>1.6950000000000001</v>
      </c>
      <c r="F155">
        <v>1335414.5</v>
      </c>
      <c r="G155">
        <v>1.6950000000000001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-0.78313253012047901</v>
      </c>
      <c r="Q155">
        <f t="shared" ref="Q155" si="751">F155*P155</f>
        <v>-1045806.5361445744</v>
      </c>
      <c r="R155">
        <f t="shared" ref="R155" si="752">R156+Q155</f>
        <v>51049202.686977714</v>
      </c>
      <c r="S155">
        <f t="shared" ref="S155" si="753">R155/100000</f>
        <v>510.49202686977713</v>
      </c>
      <c r="T155">
        <f t="shared" ref="T155" si="754">S155/1000</f>
        <v>0.51049202686977713</v>
      </c>
    </row>
    <row r="156" spans="1:20" x14ac:dyDescent="0.25">
      <c r="A156" s="5">
        <v>44437</v>
      </c>
      <c r="B156">
        <v>1.784</v>
      </c>
      <c r="C156">
        <v>1.7969999999999999</v>
      </c>
      <c r="D156">
        <v>1.7</v>
      </c>
      <c r="E156">
        <v>1.7669999999999999</v>
      </c>
      <c r="F156">
        <v>1546912.4</v>
      </c>
      <c r="G156">
        <v>1.7669999999999999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0.38144329896907148</v>
      </c>
      <c r="Q156">
        <f t="shared" ref="Q156" si="756">F156*P156</f>
        <v>590059.36907216383</v>
      </c>
      <c r="R156">
        <f t="shared" ref="R156" si="757">R157+Q156</f>
        <v>52095009.223122291</v>
      </c>
      <c r="S156">
        <f t="shared" ref="S156" si="758">R156/100000</f>
        <v>520.95009223122292</v>
      </c>
      <c r="T156">
        <f t="shared" ref="T156" si="759">S156/1000</f>
        <v>0.52095009223122291</v>
      </c>
    </row>
    <row r="157" spans="1:20" x14ac:dyDescent="0.25">
      <c r="A157" s="5">
        <v>44436</v>
      </c>
      <c r="B157">
        <v>1.8540000000000001</v>
      </c>
      <c r="C157">
        <v>1.8560000000000001</v>
      </c>
      <c r="D157">
        <v>1.762</v>
      </c>
      <c r="E157">
        <v>1.7849999999999999</v>
      </c>
      <c r="F157">
        <v>1262785.7</v>
      </c>
      <c r="G157">
        <v>1.7849999999999999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-0.51063829787234283</v>
      </c>
      <c r="Q157">
        <f t="shared" ref="Q157" si="761">F157*P157</f>
        <v>-644826.7404255349</v>
      </c>
      <c r="R157">
        <f t="shared" ref="R157" si="762">R158+Q157</f>
        <v>51504949.85405013</v>
      </c>
      <c r="S157">
        <f t="shared" ref="S157" si="763">R157/100000</f>
        <v>515.0494985405013</v>
      </c>
      <c r="T157">
        <f t="shared" ref="T157" si="764">S157/1000</f>
        <v>0.5150494985405013</v>
      </c>
    </row>
    <row r="158" spans="1:20" x14ac:dyDescent="0.25">
      <c r="A158" s="5">
        <v>44435</v>
      </c>
      <c r="B158">
        <v>1.764</v>
      </c>
      <c r="C158">
        <v>1.8580000000000001</v>
      </c>
      <c r="D158">
        <v>1.637</v>
      </c>
      <c r="E158">
        <v>1.8540000000000001</v>
      </c>
      <c r="F158">
        <v>2573009.6639999999</v>
      </c>
      <c r="G158">
        <v>1.8540000000000001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0.96380090497737558</v>
      </c>
      <c r="Q158">
        <f t="shared" ref="Q158" si="766">F158*P158</f>
        <v>2479869.0426787329</v>
      </c>
      <c r="R158">
        <f t="shared" ref="R158" si="767">R159+Q158</f>
        <v>52149776.594475664</v>
      </c>
      <c r="S158">
        <f t="shared" ref="S158" si="768">R158/100000</f>
        <v>521.49776594475668</v>
      </c>
      <c r="T158">
        <f t="shared" ref="T158" si="769">S158/1000</f>
        <v>0.52149776594475672</v>
      </c>
    </row>
    <row r="159" spans="1:20" x14ac:dyDescent="0.25">
      <c r="A159" s="5">
        <v>44434</v>
      </c>
      <c r="B159">
        <v>1.929</v>
      </c>
      <c r="C159">
        <v>2.1</v>
      </c>
      <c r="D159">
        <v>1.74</v>
      </c>
      <c r="E159">
        <v>1.762</v>
      </c>
      <c r="F159">
        <v>3607821.0049999999</v>
      </c>
      <c r="G159">
        <v>1.762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-0.87777777777777766</v>
      </c>
      <c r="Q159">
        <f t="shared" ref="Q159" si="771">F159*P159</f>
        <v>-3166865.1043888885</v>
      </c>
      <c r="R159">
        <f t="shared" ref="R159" si="772">R160+Q159</f>
        <v>49669907.551796928</v>
      </c>
      <c r="S159">
        <f t="shared" ref="S159" si="773">R159/100000</f>
        <v>496.69907551796928</v>
      </c>
      <c r="T159">
        <f t="shared" ref="T159" si="774">S159/1000</f>
        <v>0.49669907551796927</v>
      </c>
    </row>
    <row r="160" spans="1:20" x14ac:dyDescent="0.25">
      <c r="A160" s="5">
        <v>44433</v>
      </c>
      <c r="B160">
        <v>1.873</v>
      </c>
      <c r="C160">
        <v>1.93</v>
      </c>
      <c r="D160">
        <v>1.7410000000000001</v>
      </c>
      <c r="E160">
        <v>1.929</v>
      </c>
      <c r="F160">
        <v>2738199.3560000001</v>
      </c>
      <c r="G160">
        <v>1.929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0.98941798941799053</v>
      </c>
      <c r="Q160">
        <f t="shared" ref="Q160" si="776">F160*P160</f>
        <v>2709223.7014391567</v>
      </c>
      <c r="R160">
        <f t="shared" ref="R160" si="777">R161+Q160</f>
        <v>52836772.656185813</v>
      </c>
      <c r="S160">
        <f t="shared" ref="S160" si="778">R160/100000</f>
        <v>528.36772656185815</v>
      </c>
      <c r="T160">
        <f t="shared" ref="T160" si="779">S160/1000</f>
        <v>0.52836772656185815</v>
      </c>
    </row>
    <row r="161" spans="1:20" x14ac:dyDescent="0.25">
      <c r="A161" s="5">
        <v>44432</v>
      </c>
      <c r="B161">
        <v>1.9119999999999999</v>
      </c>
      <c r="C161">
        <v>2.0649999999999999</v>
      </c>
      <c r="D161">
        <v>1.78</v>
      </c>
      <c r="E161">
        <v>1.875</v>
      </c>
      <c r="F161">
        <v>5719063.8830000004</v>
      </c>
      <c r="G161">
        <v>1.875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-0.33333333333333331</v>
      </c>
      <c r="Q161">
        <f t="shared" ref="Q161" si="781">F161*P161</f>
        <v>-1906354.6276666666</v>
      </c>
      <c r="R161">
        <f t="shared" ref="R161" si="782">R162+Q161</f>
        <v>50127548.954746656</v>
      </c>
      <c r="S161">
        <f t="shared" ref="S161" si="783">R161/100000</f>
        <v>501.27548954746658</v>
      </c>
      <c r="T161">
        <f t="shared" ref="T161" si="784">S161/1000</f>
        <v>0.50127548954746659</v>
      </c>
    </row>
    <row r="162" spans="1:20" x14ac:dyDescent="0.25">
      <c r="A162" s="5">
        <v>44431</v>
      </c>
      <c r="B162">
        <v>1.8149999999999999</v>
      </c>
      <c r="C162">
        <v>1.9470000000000001</v>
      </c>
      <c r="D162">
        <v>1.8129999999999999</v>
      </c>
      <c r="E162">
        <v>1.911</v>
      </c>
      <c r="F162">
        <v>3446772.2760000001</v>
      </c>
      <c r="G162">
        <v>1.911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0.46268656716417911</v>
      </c>
      <c r="Q162">
        <f t="shared" ref="Q162" si="786">F162*P162</f>
        <v>1594775.2321791046</v>
      </c>
      <c r="R162">
        <f t="shared" ref="R162" si="787">R163+Q162</f>
        <v>52033903.582413323</v>
      </c>
      <c r="S162">
        <f t="shared" ref="S162" si="788">R162/100000</f>
        <v>520.33903582413325</v>
      </c>
      <c r="T162">
        <f t="shared" ref="T162" si="789">S162/1000</f>
        <v>0.52033903582413321</v>
      </c>
    </row>
    <row r="163" spans="1:20" x14ac:dyDescent="0.25">
      <c r="A163" s="5">
        <v>44430</v>
      </c>
      <c r="B163">
        <v>1.7689999999999999</v>
      </c>
      <c r="C163">
        <v>1.9359999999999999</v>
      </c>
      <c r="D163">
        <v>1.768</v>
      </c>
      <c r="E163">
        <v>1.8680000000000001</v>
      </c>
      <c r="F163">
        <v>1536884.7879999999</v>
      </c>
      <c r="G163">
        <v>1.8680000000000001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0.19047619047619205</v>
      </c>
      <c r="Q163">
        <f t="shared" ref="Q163" si="791">F163*P163</f>
        <v>292739.95961905003</v>
      </c>
      <c r="R163">
        <f t="shared" ref="R163" si="792">R164+Q163</f>
        <v>50439128.350234218</v>
      </c>
      <c r="S163">
        <f t="shared" ref="S163" si="793">R163/100000</f>
        <v>504.39128350234216</v>
      </c>
      <c r="T163">
        <f t="shared" ref="T163" si="794">S163/1000</f>
        <v>0.50439128350234219</v>
      </c>
    </row>
    <row r="164" spans="1:20" x14ac:dyDescent="0.25">
      <c r="A164" s="5">
        <v>44429</v>
      </c>
      <c r="B164">
        <v>1.7889999999999999</v>
      </c>
      <c r="C164">
        <v>1.86</v>
      </c>
      <c r="D164">
        <v>1.738</v>
      </c>
      <c r="E164">
        <v>1.772</v>
      </c>
      <c r="F164">
        <v>3361511.1669999999</v>
      </c>
      <c r="G164">
        <v>1.772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-0.44262295081967212</v>
      </c>
      <c r="Q164">
        <f t="shared" ref="Q164" si="796">F164*P164</f>
        <v>-1487881.9919508195</v>
      </c>
      <c r="R164">
        <f t="shared" ref="R164" si="797">R165+Q164</f>
        <v>50146388.390615165</v>
      </c>
      <c r="S164">
        <f t="shared" ref="S164" si="798">R164/100000</f>
        <v>501.46388390615164</v>
      </c>
      <c r="T164">
        <f t="shared" ref="T164" si="799">S164/1000</f>
        <v>0.5014638839061516</v>
      </c>
    </row>
    <row r="165" spans="1:20" x14ac:dyDescent="0.25">
      <c r="A165" s="5">
        <v>44428</v>
      </c>
      <c r="B165">
        <v>1.728</v>
      </c>
      <c r="C165">
        <v>1.7929999999999999</v>
      </c>
      <c r="D165">
        <v>1.7210000000000001</v>
      </c>
      <c r="E165">
        <v>1.7869999999999999</v>
      </c>
      <c r="F165">
        <v>2371157.0989999999</v>
      </c>
      <c r="G165">
        <v>1.7869999999999999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0.83333333333333282</v>
      </c>
      <c r="Q165">
        <f t="shared" ref="Q165" si="801">F165*P165</f>
        <v>1975964.2491666654</v>
      </c>
      <c r="R165">
        <f t="shared" ref="R165" si="802">R166+Q165</f>
        <v>51634270.382565983</v>
      </c>
      <c r="S165">
        <f t="shared" ref="S165" si="803">R165/100000</f>
        <v>516.34270382565978</v>
      </c>
      <c r="T165">
        <f t="shared" ref="T165" si="804">S165/1000</f>
        <v>0.51634270382565983</v>
      </c>
    </row>
    <row r="166" spans="1:20" x14ac:dyDescent="0.25">
      <c r="A166" s="5">
        <v>44427</v>
      </c>
      <c r="B166">
        <v>1.6619999999999999</v>
      </c>
      <c r="C166">
        <v>1.7430000000000001</v>
      </c>
      <c r="D166">
        <v>1.5940000000000001</v>
      </c>
      <c r="E166">
        <v>1.7250000000000001</v>
      </c>
      <c r="F166">
        <v>2966633.1910000001</v>
      </c>
      <c r="G166">
        <v>1.7250000000000001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0.75838926174496624</v>
      </c>
      <c r="Q166">
        <f t="shared" ref="Q166" si="806">F166*P166</f>
        <v>2249862.7555906037</v>
      </c>
      <c r="R166">
        <f t="shared" ref="R166" si="807">R167+Q166</f>
        <v>49658306.133399315</v>
      </c>
      <c r="S166">
        <f t="shared" ref="S166" si="808">R166/100000</f>
        <v>496.58306133399316</v>
      </c>
      <c r="T166">
        <f t="shared" ref="T166" si="809">S166/1000</f>
        <v>0.49658306133399316</v>
      </c>
    </row>
    <row r="167" spans="1:20" x14ac:dyDescent="0.25">
      <c r="A167" s="5">
        <v>44426</v>
      </c>
      <c r="B167">
        <v>1.716</v>
      </c>
      <c r="C167">
        <v>1.74</v>
      </c>
      <c r="D167">
        <v>1.6060000000000001</v>
      </c>
      <c r="E167">
        <v>1.6619999999999999</v>
      </c>
      <c r="F167">
        <v>3251135.9360000002</v>
      </c>
      <c r="G167">
        <v>1.6619999999999999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-0.16417910447761386</v>
      </c>
      <c r="Q167">
        <f t="shared" ref="Q167" si="811">F167*P167</f>
        <v>-533768.58650746895</v>
      </c>
      <c r="R167">
        <f t="shared" ref="R167" si="812">R168+Q167</f>
        <v>47408443.377808712</v>
      </c>
      <c r="S167">
        <f t="shared" ref="S167" si="813">R167/100000</f>
        <v>474.08443377808715</v>
      </c>
      <c r="T167">
        <f t="shared" ref="T167" si="814">S167/1000</f>
        <v>0.47408443377808712</v>
      </c>
    </row>
    <row r="168" spans="1:20" x14ac:dyDescent="0.25">
      <c r="A168" s="5">
        <v>44425</v>
      </c>
      <c r="B168">
        <v>1.863</v>
      </c>
      <c r="C168">
        <v>1.8640000000000001</v>
      </c>
      <c r="D168">
        <v>1.6919999999999999</v>
      </c>
      <c r="E168">
        <v>1.712</v>
      </c>
      <c r="F168">
        <v>3602566.432</v>
      </c>
      <c r="G168">
        <v>1.712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-0.76744186046511631</v>
      </c>
      <c r="Q168">
        <f t="shared" ref="Q168" si="816">F168*P168</f>
        <v>-2764760.2850232557</v>
      </c>
      <c r="R168">
        <f t="shared" ref="R168" si="817">R169+Q168</f>
        <v>47942211.964316182</v>
      </c>
      <c r="S168">
        <f t="shared" ref="S168" si="818">R168/100000</f>
        <v>479.42211964316181</v>
      </c>
      <c r="T168">
        <f t="shared" ref="T168" si="819">S168/1000</f>
        <v>0.47942211964316178</v>
      </c>
    </row>
    <row r="169" spans="1:20" x14ac:dyDescent="0.25">
      <c r="A169" s="5">
        <v>44424</v>
      </c>
      <c r="B169">
        <v>1.827</v>
      </c>
      <c r="C169">
        <v>2.0710000000000002</v>
      </c>
      <c r="D169">
        <v>1.8149999999999999</v>
      </c>
      <c r="E169">
        <v>1.8640000000000001</v>
      </c>
      <c r="F169">
        <v>5071074.9919999996</v>
      </c>
      <c r="G169">
        <v>1.8640000000000001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-0.61718749999999911</v>
      </c>
      <c r="Q169">
        <f t="shared" ref="Q169" si="821">F169*P169</f>
        <v>-3129804.0966249951</v>
      </c>
      <c r="R169">
        <f t="shared" ref="R169" si="822">R170+Q169</f>
        <v>50706972.249339439</v>
      </c>
      <c r="S169">
        <f t="shared" ref="S169" si="823">R169/100000</f>
        <v>507.06972249339441</v>
      </c>
      <c r="T169">
        <f t="shared" ref="T169" si="824">S169/1000</f>
        <v>0.50706972249339444</v>
      </c>
    </row>
    <row r="170" spans="1:20" x14ac:dyDescent="0.25">
      <c r="A170" s="5">
        <v>44423</v>
      </c>
      <c r="B170">
        <v>1.841</v>
      </c>
      <c r="C170">
        <v>1.845</v>
      </c>
      <c r="D170">
        <v>1.7330000000000001</v>
      </c>
      <c r="E170">
        <v>1.827</v>
      </c>
      <c r="F170">
        <v>2328198.4240000001</v>
      </c>
      <c r="G170">
        <v>1.827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0.67857142857142794</v>
      </c>
      <c r="Q170">
        <f t="shared" ref="Q170" si="826">F170*P170</f>
        <v>1579848.9305714271</v>
      </c>
      <c r="R170">
        <f t="shared" ref="R170" si="827">R171+Q170</f>
        <v>53836776.345964432</v>
      </c>
      <c r="S170">
        <f t="shared" ref="S170" si="828">R170/100000</f>
        <v>538.36776345964427</v>
      </c>
      <c r="T170">
        <f t="shared" ref="T170" si="829">S170/1000</f>
        <v>0.53836776345964421</v>
      </c>
    </row>
    <row r="171" spans="1:20" x14ac:dyDescent="0.25">
      <c r="A171" s="5">
        <v>44422</v>
      </c>
      <c r="B171">
        <v>1.8520000000000001</v>
      </c>
      <c r="C171">
        <v>1.863</v>
      </c>
      <c r="D171">
        <v>1.74</v>
      </c>
      <c r="E171">
        <v>1.845</v>
      </c>
      <c r="F171">
        <v>2726348.1770000001</v>
      </c>
      <c r="G171">
        <v>1.845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0.70731707317073145</v>
      </c>
      <c r="Q171">
        <f t="shared" ref="Q171" si="831">F171*P171</f>
        <v>1928392.6129999994</v>
      </c>
      <c r="R171">
        <f t="shared" ref="R171" si="832">R172+Q171</f>
        <v>52256927.415393002</v>
      </c>
      <c r="S171">
        <f t="shared" ref="S171" si="833">R171/100000</f>
        <v>522.56927415393</v>
      </c>
      <c r="T171">
        <f t="shared" ref="T171" si="834">S171/1000</f>
        <v>0.52256927415392995</v>
      </c>
    </row>
    <row r="172" spans="1:20" x14ac:dyDescent="0.25">
      <c r="A172" s="5">
        <v>44421</v>
      </c>
      <c r="B172">
        <v>1.74</v>
      </c>
      <c r="C172">
        <v>1.879</v>
      </c>
      <c r="D172">
        <v>1.698</v>
      </c>
      <c r="E172">
        <v>1.8520000000000001</v>
      </c>
      <c r="F172">
        <v>2801561.48</v>
      </c>
      <c r="G172">
        <v>1.8520000000000001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0.70165745856353701</v>
      </c>
      <c r="Q172">
        <f t="shared" ref="Q172" si="836">F172*P172</f>
        <v>1965736.5080663015</v>
      </c>
      <c r="R172">
        <f t="shared" ref="R172" si="837">R173+Q172</f>
        <v>50328534.802393004</v>
      </c>
      <c r="S172">
        <f t="shared" ref="S172" si="838">R172/100000</f>
        <v>503.28534802393006</v>
      </c>
      <c r="T172">
        <f t="shared" ref="T172" si="839">S172/1000</f>
        <v>0.5032853480239301</v>
      </c>
    </row>
    <row r="173" spans="1:20" x14ac:dyDescent="0.25">
      <c r="A173" s="5">
        <v>44420</v>
      </c>
      <c r="B173">
        <v>1.6850000000000001</v>
      </c>
      <c r="C173">
        <v>1.91</v>
      </c>
      <c r="D173">
        <v>1.671</v>
      </c>
      <c r="E173">
        <v>1.74</v>
      </c>
      <c r="F173">
        <v>7195718.5810000002</v>
      </c>
      <c r="G173">
        <v>1.74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-0.42259414225941433</v>
      </c>
      <c r="Q173">
        <f t="shared" ref="Q173" si="841">F173*P173</f>
        <v>-3040868.5216778251</v>
      </c>
      <c r="R173">
        <f t="shared" ref="R173" si="842">R174+Q173</f>
        <v>48362798.2943267</v>
      </c>
      <c r="S173">
        <f t="shared" ref="S173" si="843">R173/100000</f>
        <v>483.627982943267</v>
      </c>
      <c r="T173">
        <f t="shared" ref="T173" si="844">S173/1000</f>
        <v>0.48362798294326698</v>
      </c>
    </row>
    <row r="174" spans="1:20" x14ac:dyDescent="0.25">
      <c r="A174" s="5">
        <v>44419</v>
      </c>
      <c r="B174">
        <v>1.623</v>
      </c>
      <c r="C174">
        <v>1.748</v>
      </c>
      <c r="D174">
        <v>1.595</v>
      </c>
      <c r="E174">
        <v>1.6850000000000001</v>
      </c>
      <c r="F174">
        <v>4991190.7170000002</v>
      </c>
      <c r="G174">
        <v>1.6850000000000001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0.17647058823529496</v>
      </c>
      <c r="Q174">
        <f t="shared" ref="Q174" si="846">F174*P174</f>
        <v>880798.36182353366</v>
      </c>
      <c r="R174">
        <f t="shared" ref="R174" si="847">R175+Q174</f>
        <v>51403666.816004522</v>
      </c>
      <c r="S174">
        <f t="shared" ref="S174" si="848">R174/100000</f>
        <v>514.03666816004522</v>
      </c>
      <c r="T174">
        <f t="shared" ref="T174" si="849">S174/1000</f>
        <v>0.51403666816004523</v>
      </c>
    </row>
    <row r="175" spans="1:20" x14ac:dyDescent="0.25">
      <c r="A175" s="5">
        <v>44418</v>
      </c>
      <c r="B175">
        <v>1.615</v>
      </c>
      <c r="C175">
        <v>1.635</v>
      </c>
      <c r="D175">
        <v>1.5589999999999999</v>
      </c>
      <c r="E175">
        <v>1.625</v>
      </c>
      <c r="F175">
        <v>2306063.111</v>
      </c>
      <c r="G175">
        <v>1.625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0.73684210526315785</v>
      </c>
      <c r="Q175">
        <f t="shared" ref="Q175" si="851">F175*P175</f>
        <v>1699204.3975789472</v>
      </c>
      <c r="R175">
        <f t="shared" ref="R175" si="852">R176+Q175</f>
        <v>50522868.454180986</v>
      </c>
      <c r="S175">
        <f t="shared" ref="S175" si="853">R175/100000</f>
        <v>505.22868454180986</v>
      </c>
      <c r="T175">
        <f t="shared" ref="T175" si="854">S175/1000</f>
        <v>0.5052286845418098</v>
      </c>
    </row>
    <row r="176" spans="1:20" x14ac:dyDescent="0.25">
      <c r="A176" s="5">
        <v>44417</v>
      </c>
      <c r="B176">
        <v>1.571</v>
      </c>
      <c r="C176">
        <v>1.629</v>
      </c>
      <c r="D176">
        <v>1.478</v>
      </c>
      <c r="E176">
        <v>1.615</v>
      </c>
      <c r="F176">
        <v>2469588.98</v>
      </c>
      <c r="G176">
        <v>1.615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0.81456953642384089</v>
      </c>
      <c r="Q176">
        <f t="shared" ref="Q176" si="856">F176*P176</f>
        <v>2011651.9505960261</v>
      </c>
      <c r="R176">
        <f t="shared" ref="R176" si="857">R177+Q176</f>
        <v>48823664.056602038</v>
      </c>
      <c r="S176">
        <f t="shared" ref="S176" si="858">R176/100000</f>
        <v>488.23664056602041</v>
      </c>
      <c r="T176">
        <f t="shared" ref="T176" si="859">S176/1000</f>
        <v>0.4882366405660204</v>
      </c>
    </row>
    <row r="177" spans="1:20" x14ac:dyDescent="0.25">
      <c r="A177" s="5">
        <v>44416</v>
      </c>
      <c r="B177">
        <v>1.6639999999999999</v>
      </c>
      <c r="C177">
        <v>1.665</v>
      </c>
      <c r="D177">
        <v>1.5409999999999999</v>
      </c>
      <c r="E177">
        <v>1.569</v>
      </c>
      <c r="F177">
        <v>2694192.7579999999</v>
      </c>
      <c r="G177">
        <v>1.569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-0.54838709677419351</v>
      </c>
      <c r="Q177">
        <f t="shared" ref="Q177" si="861">F177*P177</f>
        <v>-1477460.5447096773</v>
      </c>
      <c r="R177">
        <f t="shared" ref="R177" si="862">R178+Q177</f>
        <v>46812012.106006011</v>
      </c>
      <c r="S177">
        <f t="shared" ref="S177" si="863">R177/100000</f>
        <v>468.12012106006011</v>
      </c>
      <c r="T177">
        <f t="shared" ref="T177" si="864">S177/1000</f>
        <v>0.46812012106006012</v>
      </c>
    </row>
    <row r="178" spans="1:20" x14ac:dyDescent="0.25">
      <c r="A178" s="5">
        <v>44415</v>
      </c>
      <c r="B178">
        <v>1.611</v>
      </c>
      <c r="C178">
        <v>1.75</v>
      </c>
      <c r="D178">
        <v>1.593</v>
      </c>
      <c r="E178">
        <v>1.661</v>
      </c>
      <c r="F178">
        <v>4437829.5839999998</v>
      </c>
      <c r="G178">
        <v>1.661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-0.13375796178343888</v>
      </c>
      <c r="Q178">
        <f t="shared" ref="Q178" si="866">F178*P178</f>
        <v>-593595.03989808646</v>
      </c>
      <c r="R178">
        <f t="shared" ref="R178" si="867">R179+Q178</f>
        <v>48289472.650715686</v>
      </c>
      <c r="S178">
        <f t="shared" ref="S178" si="868">R178/100000</f>
        <v>482.89472650715686</v>
      </c>
      <c r="T178">
        <f t="shared" ref="T178" si="869">S178/1000</f>
        <v>0.48289472650715687</v>
      </c>
    </row>
    <row r="179" spans="1:20" x14ac:dyDescent="0.25">
      <c r="A179" s="5">
        <v>44414</v>
      </c>
      <c r="B179">
        <v>1.5509999999999999</v>
      </c>
      <c r="C179">
        <v>1.64</v>
      </c>
      <c r="D179">
        <v>1.5509999999999999</v>
      </c>
      <c r="E179">
        <v>1.609</v>
      </c>
      <c r="F179">
        <v>4202928.307</v>
      </c>
      <c r="G179">
        <v>1.609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0.30337078651685556</v>
      </c>
      <c r="Q179">
        <f t="shared" ref="Q179" si="871">F179*P179</f>
        <v>1275045.6661685461</v>
      </c>
      <c r="R179">
        <f t="shared" ref="R179" si="872">R180+Q179</f>
        <v>48883067.690613776</v>
      </c>
      <c r="S179">
        <f t="shared" ref="S179" si="873">R179/100000</f>
        <v>488.83067690613774</v>
      </c>
      <c r="T179">
        <f t="shared" ref="T179" si="874">S179/1000</f>
        <v>0.48883067690613774</v>
      </c>
    </row>
    <row r="180" spans="1:20" x14ac:dyDescent="0.25">
      <c r="A180" s="5">
        <v>44413</v>
      </c>
      <c r="B180">
        <v>1.5860000000000001</v>
      </c>
      <c r="C180">
        <v>1.589</v>
      </c>
      <c r="D180">
        <v>1.48</v>
      </c>
      <c r="E180">
        <v>1.5529999999999999</v>
      </c>
      <c r="F180">
        <v>3502216.8</v>
      </c>
      <c r="G180">
        <v>1.5529999999999999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0.33944954128440302</v>
      </c>
      <c r="Q180">
        <f t="shared" ref="Q180" si="876">F180*P180</f>
        <v>1188825.8862385298</v>
      </c>
      <c r="R180">
        <f t="shared" ref="R180" si="877">R181+Q180</f>
        <v>47608022.024445228</v>
      </c>
      <c r="S180">
        <f t="shared" ref="S180" si="878">R180/100000</f>
        <v>476.08022024445228</v>
      </c>
      <c r="T180">
        <f t="shared" ref="T180" si="879">S180/1000</f>
        <v>0.47608022024445229</v>
      </c>
    </row>
    <row r="181" spans="1:20" x14ac:dyDescent="0.25">
      <c r="A181" s="5">
        <v>44412</v>
      </c>
      <c r="B181">
        <v>1.577</v>
      </c>
      <c r="C181">
        <v>1.6180000000000001</v>
      </c>
      <c r="D181">
        <v>1.4530000000000001</v>
      </c>
      <c r="E181">
        <v>1.5860000000000001</v>
      </c>
      <c r="F181">
        <v>3730687.51</v>
      </c>
      <c r="G181">
        <v>1.5860000000000001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0.61212121212121184</v>
      </c>
      <c r="Q181">
        <f t="shared" ref="Q181" si="881">F181*P181</f>
        <v>2283632.9606666653</v>
      </c>
      <c r="R181">
        <f t="shared" ref="R181" si="882">R182+Q181</f>
        <v>46419196.138206698</v>
      </c>
      <c r="S181">
        <f t="shared" ref="S181" si="883">R181/100000</f>
        <v>464.19196138206701</v>
      </c>
      <c r="T181">
        <f t="shared" ref="T181" si="884">S181/1000</f>
        <v>0.46419196138206703</v>
      </c>
    </row>
    <row r="182" spans="1:20" x14ac:dyDescent="0.25">
      <c r="A182" s="5">
        <v>44411</v>
      </c>
      <c r="B182">
        <v>1.4450000000000001</v>
      </c>
      <c r="C182">
        <v>1.62</v>
      </c>
      <c r="D182">
        <v>1.4259999999999999</v>
      </c>
      <c r="E182">
        <v>1.575</v>
      </c>
      <c r="F182">
        <v>7817510.5609999998</v>
      </c>
      <c r="G182">
        <v>1.575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0.536082474226803</v>
      </c>
      <c r="Q182">
        <f t="shared" ref="Q182" si="886">F182*P182</f>
        <v>4190830.4038350424</v>
      </c>
      <c r="R182">
        <f t="shared" ref="R182" si="887">R183+Q182</f>
        <v>44135563.177540034</v>
      </c>
      <c r="S182">
        <f t="shared" ref="S182" si="888">R182/100000</f>
        <v>441.35563177540035</v>
      </c>
      <c r="T182">
        <f t="shared" ref="T182" si="889">S182/1000</f>
        <v>0.44135563177540038</v>
      </c>
    </row>
    <row r="183" spans="1:20" x14ac:dyDescent="0.25">
      <c r="A183" s="5">
        <v>44410</v>
      </c>
      <c r="B183">
        <v>1.4370000000000001</v>
      </c>
      <c r="C183">
        <v>1.474</v>
      </c>
      <c r="D183">
        <v>1.36</v>
      </c>
      <c r="E183">
        <v>1.446</v>
      </c>
      <c r="F183">
        <v>4013765.1460000002</v>
      </c>
      <c r="G183">
        <v>1.446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0.50877192982456043</v>
      </c>
      <c r="Q183">
        <f t="shared" ref="Q183" si="891">F183*P183</f>
        <v>2042091.0391929788</v>
      </c>
      <c r="R183">
        <f t="shared" ref="R183" si="892">R184+Q183</f>
        <v>39944732.773704991</v>
      </c>
      <c r="S183">
        <f t="shared" ref="S183" si="893">R183/100000</f>
        <v>399.44732773704993</v>
      </c>
      <c r="T183">
        <f t="shared" ref="T183" si="894">S183/1000</f>
        <v>0.39944732773704994</v>
      </c>
    </row>
    <row r="184" spans="1:20" x14ac:dyDescent="0.25">
      <c r="A184" s="5">
        <v>44409</v>
      </c>
      <c r="B184">
        <v>1.478</v>
      </c>
      <c r="C184">
        <v>1.679</v>
      </c>
      <c r="D184">
        <v>1.4350000000000001</v>
      </c>
      <c r="E184">
        <v>1.4390000000000001</v>
      </c>
      <c r="F184">
        <v>7691034.9709999999</v>
      </c>
      <c r="G184">
        <v>1.4390000000000001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-0.96721311475409832</v>
      </c>
      <c r="Q184">
        <f t="shared" ref="Q184" si="896">F184*P184</f>
        <v>-7438869.8899836065</v>
      </c>
      <c r="R184">
        <f t="shared" ref="R184" si="897">R185+Q184</f>
        <v>37902641.734512009</v>
      </c>
      <c r="S184">
        <f t="shared" ref="S184" si="898">R184/100000</f>
        <v>379.02641734512008</v>
      </c>
      <c r="T184">
        <f t="shared" ref="T184" si="899">S184/1000</f>
        <v>0.3790264173451201</v>
      </c>
    </row>
    <row r="185" spans="1:20" x14ac:dyDescent="0.25">
      <c r="A185" s="5">
        <v>44408</v>
      </c>
      <c r="B185">
        <v>1.415</v>
      </c>
      <c r="C185">
        <v>1.5249999999999999</v>
      </c>
      <c r="D185">
        <v>1.3440000000000001</v>
      </c>
      <c r="E185">
        <v>1.478</v>
      </c>
      <c r="F185">
        <v>4984207.358</v>
      </c>
      <c r="G185">
        <v>1.478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0.48066298342541464</v>
      </c>
      <c r="Q185">
        <f t="shared" ref="Q185" si="901">F185*P185</f>
        <v>2395723.9787071836</v>
      </c>
      <c r="R185">
        <f t="shared" ref="R185" si="902">R186+Q185</f>
        <v>45341511.624495618</v>
      </c>
      <c r="S185">
        <f t="shared" ref="S185" si="903">R185/100000</f>
        <v>453.41511624495615</v>
      </c>
      <c r="T185">
        <f t="shared" ref="T185" si="904">S185/1000</f>
        <v>0.45341511624495617</v>
      </c>
    </row>
    <row r="186" spans="1:20" x14ac:dyDescent="0.25">
      <c r="A186" s="5">
        <v>44407</v>
      </c>
      <c r="B186">
        <v>1.2709999999999999</v>
      </c>
      <c r="C186">
        <v>1.55</v>
      </c>
      <c r="D186">
        <v>1.2350000000000001</v>
      </c>
      <c r="E186">
        <v>1.4179999999999999</v>
      </c>
      <c r="F186">
        <v>9693724.3739999998</v>
      </c>
      <c r="G186">
        <v>1.4179999999999999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0.16190476190476102</v>
      </c>
      <c r="Q186">
        <f t="shared" ref="Q186" si="906">F186*P186</f>
        <v>1569460.1367428487</v>
      </c>
      <c r="R186">
        <f t="shared" ref="R186" si="907">R187+Q186</f>
        <v>42945787.645788431</v>
      </c>
      <c r="S186">
        <f t="shared" ref="S186" si="908">R186/100000</f>
        <v>429.45787645788431</v>
      </c>
      <c r="T186">
        <f t="shared" ref="T186" si="909">S186/1000</f>
        <v>0.4294578764578843</v>
      </c>
    </row>
    <row r="187" spans="1:20" x14ac:dyDescent="0.25">
      <c r="A187" s="5">
        <v>44406</v>
      </c>
      <c r="B187">
        <v>1.2070000000000001</v>
      </c>
      <c r="C187">
        <v>1.28</v>
      </c>
      <c r="D187">
        <v>1.165</v>
      </c>
      <c r="E187">
        <v>1.272</v>
      </c>
      <c r="F187">
        <v>4810159.8360000001</v>
      </c>
      <c r="G187">
        <v>1.272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0.86086956521739122</v>
      </c>
      <c r="Q187">
        <f t="shared" ref="Q187" si="911">F187*P187</f>
        <v>4140920.206643478</v>
      </c>
      <c r="R187">
        <f t="shared" ref="R187" si="912">R188+Q187</f>
        <v>41376327.509045586</v>
      </c>
      <c r="S187">
        <f t="shared" ref="S187" si="913">R187/100000</f>
        <v>413.76327509045586</v>
      </c>
      <c r="T187">
        <f t="shared" ref="T187" si="914">S187/1000</f>
        <v>0.41376327509045585</v>
      </c>
    </row>
    <row r="188" spans="1:20" x14ac:dyDescent="0.25">
      <c r="A188" s="5">
        <v>44405</v>
      </c>
      <c r="B188">
        <v>1.1719999999999999</v>
      </c>
      <c r="C188">
        <v>1.24</v>
      </c>
      <c r="D188">
        <v>1.1539999999999999</v>
      </c>
      <c r="E188">
        <v>1.208</v>
      </c>
      <c r="F188">
        <v>3849151.3390000002</v>
      </c>
      <c r="G188">
        <v>1.208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0.2558139534883721</v>
      </c>
      <c r="Q188">
        <f t="shared" ref="Q188" si="916">F188*P188</f>
        <v>984666.62160465121</v>
      </c>
      <c r="R188">
        <f t="shared" ref="R188" si="917">R189+Q188</f>
        <v>37235407.302402109</v>
      </c>
      <c r="S188">
        <f t="shared" ref="S188" si="918">R188/100000</f>
        <v>372.35407302402109</v>
      </c>
      <c r="T188">
        <f t="shared" ref="T188" si="919">S188/1000</f>
        <v>0.37235407302402107</v>
      </c>
    </row>
    <row r="189" spans="1:20" x14ac:dyDescent="0.25">
      <c r="A189" s="5">
        <v>44404</v>
      </c>
      <c r="B189">
        <v>1.1339999999999999</v>
      </c>
      <c r="C189">
        <v>1.179</v>
      </c>
      <c r="D189">
        <v>1.087</v>
      </c>
      <c r="E189">
        <v>1.175</v>
      </c>
      <c r="F189">
        <v>2684281.1359999999</v>
      </c>
      <c r="G189">
        <v>1.175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0.91304347826086951</v>
      </c>
      <c r="Q189">
        <f t="shared" ref="Q189" si="921">F189*P189</f>
        <v>2450865.3850434781</v>
      </c>
      <c r="R189">
        <f t="shared" ref="R189" si="922">R190+Q189</f>
        <v>36250740.680797458</v>
      </c>
      <c r="S189">
        <f t="shared" ref="S189" si="923">R189/100000</f>
        <v>362.50740680797458</v>
      </c>
      <c r="T189">
        <f t="shared" ref="T189" si="924">S189/1000</f>
        <v>0.36250740680797455</v>
      </c>
    </row>
    <row r="190" spans="1:20" x14ac:dyDescent="0.25">
      <c r="A190" s="5">
        <v>44403</v>
      </c>
      <c r="B190">
        <v>1.103</v>
      </c>
      <c r="C190">
        <v>1.27</v>
      </c>
      <c r="D190">
        <v>1.101</v>
      </c>
      <c r="E190">
        <v>1.1339999999999999</v>
      </c>
      <c r="F190">
        <v>8032422.0010000002</v>
      </c>
      <c r="G190">
        <v>1.1339999999999999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-0.60946745562130278</v>
      </c>
      <c r="Q190">
        <f t="shared" ref="Q190" si="926">F190*P190</f>
        <v>-4895499.7994260434</v>
      </c>
      <c r="R190">
        <f t="shared" ref="R190" si="927">R191+Q190</f>
        <v>33799875.295753978</v>
      </c>
      <c r="S190">
        <f t="shared" ref="S190" si="928">R190/100000</f>
        <v>337.99875295753981</v>
      </c>
      <c r="T190">
        <f t="shared" ref="T190" si="929">S190/1000</f>
        <v>0.33799875295753978</v>
      </c>
    </row>
    <row r="191" spans="1:20" x14ac:dyDescent="0.25">
      <c r="A191" s="5">
        <v>44402</v>
      </c>
      <c r="B191">
        <v>1.101</v>
      </c>
      <c r="C191">
        <v>1.107</v>
      </c>
      <c r="D191">
        <v>1.0269999999999999</v>
      </c>
      <c r="E191">
        <v>1.1020000000000001</v>
      </c>
      <c r="F191">
        <v>2005078.9069999999</v>
      </c>
      <c r="G191">
        <v>1.1020000000000001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0.87500000000000278</v>
      </c>
      <c r="Q191">
        <f t="shared" ref="Q191" si="931">F191*P191</f>
        <v>1754444.0436250055</v>
      </c>
      <c r="R191">
        <f t="shared" ref="R191" si="932">R192+Q191</f>
        <v>38695375.09518002</v>
      </c>
      <c r="S191">
        <f t="shared" ref="S191" si="933">R191/100000</f>
        <v>386.9537509518002</v>
      </c>
      <c r="T191">
        <f t="shared" ref="T191:T197" si="934">S191/1000</f>
        <v>0.38695375095180018</v>
      </c>
    </row>
    <row r="192" spans="1:20" x14ac:dyDescent="0.25">
      <c r="A192" s="5">
        <v>44401</v>
      </c>
      <c r="B192">
        <v>1.0229999999999999</v>
      </c>
      <c r="C192">
        <v>1.1599999999999999</v>
      </c>
      <c r="D192">
        <v>1.002</v>
      </c>
      <c r="E192">
        <v>1.1040000000000001</v>
      </c>
      <c r="F192">
        <v>4684486.9890000001</v>
      </c>
      <c r="G192">
        <v>1.1040000000000001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0.29113924050633094</v>
      </c>
      <c r="Q192">
        <f t="shared" ref="Q192" si="936">F192*P192</f>
        <v>1363837.9841392492</v>
      </c>
      <c r="R192">
        <f t="shared" ref="R192" si="937">R193+Q192</f>
        <v>36940931.051555015</v>
      </c>
      <c r="S192">
        <f t="shared" ref="S192" si="938">R192/100000</f>
        <v>369.40931051555015</v>
      </c>
      <c r="T192">
        <f t="shared" si="934"/>
        <v>0.36940931051555015</v>
      </c>
    </row>
    <row r="193" spans="1:20" x14ac:dyDescent="0.25">
      <c r="A193" s="5">
        <v>44400</v>
      </c>
      <c r="B193">
        <v>0.99399999999999999</v>
      </c>
      <c r="C193">
        <v>1.0349999999999999</v>
      </c>
      <c r="D193">
        <v>0.95599999999999996</v>
      </c>
      <c r="E193">
        <v>1.022</v>
      </c>
      <c r="F193">
        <v>3046172.602</v>
      </c>
      <c r="G193">
        <v>1.022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0.67088607594936944</v>
      </c>
      <c r="Q193">
        <f t="shared" ref="Q193" si="940">F193*P193</f>
        <v>2043634.7836202602</v>
      </c>
      <c r="R193">
        <f t="shared" ref="R193" si="941">R194+Q193</f>
        <v>35577093.067415766</v>
      </c>
      <c r="S193">
        <f t="shared" ref="S193" si="942">R193/100000</f>
        <v>355.77093067415768</v>
      </c>
      <c r="T193">
        <f t="shared" si="934"/>
        <v>0.35577093067415766</v>
      </c>
    </row>
    <row r="194" spans="1:20" x14ac:dyDescent="0.25">
      <c r="A194" s="5">
        <v>44399</v>
      </c>
      <c r="B194">
        <v>0.97799999999999998</v>
      </c>
      <c r="C194">
        <v>0.998</v>
      </c>
      <c r="D194">
        <v>0.93700000000000006</v>
      </c>
      <c r="E194">
        <v>0.99399999999999999</v>
      </c>
      <c r="F194">
        <v>2652608.8569999998</v>
      </c>
      <c r="G194">
        <v>0.99399999999999999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0.86885245901639319</v>
      </c>
      <c r="Q194">
        <f t="shared" ref="Q194" si="944">F194*P194</f>
        <v>2304725.7282131137</v>
      </c>
      <c r="R194">
        <f t="shared" ref="R194" si="945">R195+Q194</f>
        <v>33533458.283795509</v>
      </c>
      <c r="S194">
        <f t="shared" ref="S194" si="946">R194/100000</f>
        <v>335.33458283795511</v>
      </c>
      <c r="T194">
        <f t="shared" si="934"/>
        <v>0.33533458283795509</v>
      </c>
    </row>
    <row r="195" spans="1:20" x14ac:dyDescent="0.25">
      <c r="A195" s="5">
        <v>44398</v>
      </c>
      <c r="B195">
        <v>0.91500000000000004</v>
      </c>
      <c r="C195">
        <v>0.998</v>
      </c>
      <c r="D195">
        <v>0.875</v>
      </c>
      <c r="E195">
        <v>0.97899999999999998</v>
      </c>
      <c r="F195">
        <v>3686446.4780000001</v>
      </c>
      <c r="G195">
        <v>0.97899999999999998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0.69105691056910545</v>
      </c>
      <c r="Q195">
        <f t="shared" ref="Q195" si="948">F195*P195</f>
        <v>2547544.3140650401</v>
      </c>
      <c r="R195">
        <f t="shared" ref="R195" si="949">R196+Q195</f>
        <v>31228732.555582397</v>
      </c>
      <c r="S195">
        <f t="shared" ref="S195" si="950">R195/100000</f>
        <v>312.28732555582394</v>
      </c>
      <c r="T195">
        <f t="shared" si="934"/>
        <v>0.31228732555582395</v>
      </c>
    </row>
    <row r="196" spans="1:20" x14ac:dyDescent="0.25">
      <c r="A196" s="5">
        <v>44397</v>
      </c>
      <c r="B196">
        <v>0.999</v>
      </c>
      <c r="C196">
        <v>1.0089999999999999</v>
      </c>
      <c r="D196">
        <v>0.85599999999999998</v>
      </c>
      <c r="E196">
        <v>0.91600000000000004</v>
      </c>
      <c r="F196">
        <v>5109065.3329999996</v>
      </c>
      <c r="G196">
        <v>0.91600000000000004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-0.21568627450980279</v>
      </c>
      <c r="Q196">
        <f t="shared" ref="Q196" si="952">F196*P196</f>
        <v>-1101955.2679019549</v>
      </c>
      <c r="R196">
        <f t="shared" ref="R196" si="953">R197+Q196</f>
        <v>28681188.241517358</v>
      </c>
      <c r="S196">
        <f t="shared" ref="S196" si="954">R196/100000</f>
        <v>286.81188241517356</v>
      </c>
      <c r="T196">
        <f t="shared" si="934"/>
        <v>0.28681188241517358</v>
      </c>
    </row>
    <row r="197" spans="1:20" x14ac:dyDescent="0.25">
      <c r="A197" s="5">
        <v>44396</v>
      </c>
      <c r="B197">
        <v>1.125</v>
      </c>
      <c r="C197">
        <v>1.133</v>
      </c>
      <c r="D197">
        <v>0.97499999999999998</v>
      </c>
      <c r="E197">
        <v>0.999</v>
      </c>
      <c r="F197">
        <v>3869707.31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-0.69620253164556944</v>
      </c>
      <c r="Q197">
        <f t="shared" ref="Q197" si="956">F197*P197</f>
        <v>-2694100.0259493664</v>
      </c>
      <c r="R197">
        <f t="shared" ref="R197" si="957">R198+Q197</f>
        <v>29783143.509419311</v>
      </c>
      <c r="S197">
        <f t="shared" ref="S197" si="958">R197/100000</f>
        <v>297.83143509419313</v>
      </c>
      <c r="T197">
        <f t="shared" si="934"/>
        <v>0.29783143509419313</v>
      </c>
    </row>
    <row r="198" spans="1:20" x14ac:dyDescent="0.25">
      <c r="A198" s="5">
        <v>44395</v>
      </c>
      <c r="B198">
        <v>1.3049999999999999</v>
      </c>
      <c r="C198">
        <v>1.409</v>
      </c>
      <c r="D198">
        <v>1.105</v>
      </c>
      <c r="E198">
        <v>1.127</v>
      </c>
      <c r="F198">
        <v>7837174.2640000004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-0.85526315789473673</v>
      </c>
      <c r="Q198">
        <f t="shared" ref="Q198:Q261" si="960">F198*P198</f>
        <v>-6702846.4099999992</v>
      </c>
      <c r="R198">
        <f t="shared" ref="R198:R261" si="961">R199+Q198</f>
        <v>32477243.535368677</v>
      </c>
      <c r="S198">
        <f t="shared" ref="S198:S261" si="962">R198/100000</f>
        <v>324.77243535368677</v>
      </c>
      <c r="T198">
        <f t="shared" ref="T198:T261" si="963">S198/1000</f>
        <v>0.32477243535368677</v>
      </c>
    </row>
    <row r="199" spans="1:20" x14ac:dyDescent="0.25">
      <c r="A199" s="5">
        <v>44394</v>
      </c>
      <c r="B199">
        <v>0.96599999999999997</v>
      </c>
      <c r="C199">
        <v>1.3120000000000001</v>
      </c>
      <c r="D199">
        <v>0.96</v>
      </c>
      <c r="E199">
        <v>1.304</v>
      </c>
      <c r="F199">
        <v>17896100.307999998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0.95454545454545447</v>
      </c>
      <c r="Q199">
        <f t="shared" si="960"/>
        <v>17082641.203090906</v>
      </c>
      <c r="R199">
        <f t="shared" si="961"/>
        <v>39180089.945368677</v>
      </c>
      <c r="S199">
        <f t="shared" si="962"/>
        <v>391.80089945368678</v>
      </c>
      <c r="T199">
        <f t="shared" si="963"/>
        <v>0.39180089945368679</v>
      </c>
    </row>
    <row r="200" spans="1:20" x14ac:dyDescent="0.25">
      <c r="A200" s="5">
        <v>44393</v>
      </c>
      <c r="B200">
        <v>1.0740000000000001</v>
      </c>
      <c r="C200">
        <v>1.087</v>
      </c>
      <c r="D200">
        <v>0.95599999999999996</v>
      </c>
      <c r="E200">
        <v>0.96599999999999997</v>
      </c>
      <c r="F200">
        <v>3612313.906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-0.84732824427480902</v>
      </c>
      <c r="Q200">
        <f t="shared" si="960"/>
        <v>-3060815.5997404573</v>
      </c>
      <c r="R200">
        <f t="shared" si="961"/>
        <v>22097448.742277768</v>
      </c>
      <c r="S200">
        <f t="shared" si="962"/>
        <v>220.97448742277768</v>
      </c>
      <c r="T200">
        <f t="shared" si="963"/>
        <v>0.22097448742277767</v>
      </c>
    </row>
    <row r="201" spans="1:20" x14ac:dyDescent="0.25">
      <c r="A201" s="5">
        <v>44392</v>
      </c>
      <c r="B201">
        <v>1.1499999999999999</v>
      </c>
      <c r="C201">
        <v>1.1559999999999999</v>
      </c>
      <c r="D201">
        <v>1.038</v>
      </c>
      <c r="E201">
        <v>1.0740000000000001</v>
      </c>
      <c r="F201">
        <v>4040037.9589999998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-0.38983050847457512</v>
      </c>
      <c r="Q201">
        <f t="shared" si="960"/>
        <v>-1574930.0518135545</v>
      </c>
      <c r="R201">
        <f t="shared" si="961"/>
        <v>25158264.342018224</v>
      </c>
      <c r="S201">
        <f t="shared" si="962"/>
        <v>251.58264342018225</v>
      </c>
      <c r="T201">
        <f t="shared" si="963"/>
        <v>0.25158264342018227</v>
      </c>
    </row>
    <row r="202" spans="1:20" x14ac:dyDescent="0.25">
      <c r="A202" s="5">
        <v>44391</v>
      </c>
      <c r="B202">
        <v>1.2070000000000001</v>
      </c>
      <c r="C202">
        <v>1.2470000000000001</v>
      </c>
      <c r="D202">
        <v>1.038</v>
      </c>
      <c r="E202">
        <v>1.151</v>
      </c>
      <c r="F202">
        <v>5218463.6440000003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8.1339712918659796E-2</v>
      </c>
      <c r="Q202">
        <f t="shared" si="960"/>
        <v>424468.33467942331</v>
      </c>
      <c r="R202">
        <f t="shared" si="961"/>
        <v>26733194.393831778</v>
      </c>
      <c r="S202">
        <f t="shared" si="962"/>
        <v>267.33194393831781</v>
      </c>
      <c r="T202">
        <f t="shared" si="963"/>
        <v>0.26733194393831783</v>
      </c>
    </row>
    <row r="203" spans="1:20" x14ac:dyDescent="0.25">
      <c r="A203" s="5">
        <v>44390</v>
      </c>
      <c r="B203">
        <v>1.331</v>
      </c>
      <c r="C203">
        <v>1.333</v>
      </c>
      <c r="D203">
        <v>1.159</v>
      </c>
      <c r="E203">
        <v>1.2030000000000001</v>
      </c>
      <c r="F203">
        <v>7004521.5520000001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-0.49425287356321773</v>
      </c>
      <c r="Q203">
        <f t="shared" si="960"/>
        <v>-3462004.9050114895</v>
      </c>
      <c r="R203">
        <f t="shared" si="961"/>
        <v>26308726.059152354</v>
      </c>
      <c r="S203">
        <f t="shared" si="962"/>
        <v>263.08726059152355</v>
      </c>
      <c r="T203">
        <f t="shared" si="963"/>
        <v>0.26308726059152354</v>
      </c>
    </row>
    <row r="204" spans="1:20" x14ac:dyDescent="0.25">
      <c r="A204" s="5">
        <v>44389</v>
      </c>
      <c r="B204">
        <v>1.125</v>
      </c>
      <c r="C204">
        <v>1.337</v>
      </c>
      <c r="D204">
        <v>1.095</v>
      </c>
      <c r="E204">
        <v>1.331</v>
      </c>
      <c r="F204">
        <v>10109803.82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0.95041322314049581</v>
      </c>
      <c r="Q204">
        <f t="shared" si="960"/>
        <v>9608491.2338842973</v>
      </c>
      <c r="R204">
        <f t="shared" si="961"/>
        <v>29770730.964163844</v>
      </c>
      <c r="S204">
        <f t="shared" si="962"/>
        <v>297.70730964163846</v>
      </c>
      <c r="T204">
        <f t="shared" si="963"/>
        <v>0.29770730964163844</v>
      </c>
    </row>
    <row r="205" spans="1:20" x14ac:dyDescent="0.25">
      <c r="A205" s="5">
        <v>44388</v>
      </c>
      <c r="B205">
        <v>1.069</v>
      </c>
      <c r="C205">
        <v>1.1279999999999999</v>
      </c>
      <c r="D205">
        <v>1.0469999999999999</v>
      </c>
      <c r="E205">
        <v>1.125</v>
      </c>
      <c r="F205">
        <v>2467907.8220000002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0.92592592592592859</v>
      </c>
      <c r="Q205">
        <f t="shared" si="960"/>
        <v>2285099.8351851921</v>
      </c>
      <c r="R205">
        <f t="shared" si="961"/>
        <v>20162239.730279546</v>
      </c>
      <c r="S205">
        <f t="shared" si="962"/>
        <v>201.62239730279546</v>
      </c>
      <c r="T205">
        <f t="shared" si="963"/>
        <v>0.20162239730279546</v>
      </c>
    </row>
    <row r="206" spans="1:20" x14ac:dyDescent="0.25">
      <c r="A206" s="5">
        <v>44387</v>
      </c>
      <c r="B206">
        <v>1.113</v>
      </c>
      <c r="C206">
        <v>1.1359999999999999</v>
      </c>
      <c r="D206">
        <v>1.0549999999999999</v>
      </c>
      <c r="E206">
        <v>1.071</v>
      </c>
      <c r="F206">
        <v>2378227.9240000001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-0.60493827160493774</v>
      </c>
      <c r="Q206">
        <f t="shared" si="960"/>
        <v>-1438681.0898271592</v>
      </c>
      <c r="R206">
        <f t="shared" si="961"/>
        <v>17877139.895094354</v>
      </c>
      <c r="S206">
        <f t="shared" si="962"/>
        <v>178.77139895094354</v>
      </c>
      <c r="T206">
        <f t="shared" si="963"/>
        <v>0.17877139895094354</v>
      </c>
    </row>
    <row r="207" spans="1:20" x14ac:dyDescent="0.25">
      <c r="A207" s="5">
        <v>44386</v>
      </c>
      <c r="B207">
        <v>1.1160000000000001</v>
      </c>
      <c r="C207">
        <v>1.1519999999999999</v>
      </c>
      <c r="D207">
        <v>1.0149999999999999</v>
      </c>
      <c r="E207">
        <v>1.113</v>
      </c>
      <c r="F207">
        <v>3957776.608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0.43065693430657048</v>
      </c>
      <c r="Q207">
        <f t="shared" si="960"/>
        <v>1704443.9406715373</v>
      </c>
      <c r="R207">
        <f t="shared" si="961"/>
        <v>19315820.984921511</v>
      </c>
      <c r="S207">
        <f t="shared" si="962"/>
        <v>193.15820984921513</v>
      </c>
      <c r="T207">
        <f t="shared" si="963"/>
        <v>0.19315820984921511</v>
      </c>
    </row>
    <row r="208" spans="1:20" x14ac:dyDescent="0.25">
      <c r="A208" s="5">
        <v>44385</v>
      </c>
      <c r="B208">
        <v>1.276</v>
      </c>
      <c r="C208">
        <v>1.2789999999999999</v>
      </c>
      <c r="D208">
        <v>1.075</v>
      </c>
      <c r="E208">
        <v>1.119</v>
      </c>
      <c r="F208">
        <v>5786588.1610000003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-0.56862745098039169</v>
      </c>
      <c r="Q208">
        <f t="shared" si="960"/>
        <v>-3290412.8758627428</v>
      </c>
      <c r="R208">
        <f t="shared" si="961"/>
        <v>17611377.044249974</v>
      </c>
      <c r="S208">
        <f t="shared" si="962"/>
        <v>176.11377044249974</v>
      </c>
      <c r="T208">
        <f t="shared" si="963"/>
        <v>0.17611377044249973</v>
      </c>
    </row>
    <row r="209" spans="1:20" x14ac:dyDescent="0.25">
      <c r="A209" s="5">
        <v>44384</v>
      </c>
      <c r="B209">
        <v>1.17</v>
      </c>
      <c r="C209">
        <v>1.33</v>
      </c>
      <c r="D209">
        <v>1.137</v>
      </c>
      <c r="E209">
        <v>1.278</v>
      </c>
      <c r="F209">
        <v>6310728.9060000004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0.46113989637305669</v>
      </c>
      <c r="Q209">
        <f t="shared" si="960"/>
        <v>2910128.8737512934</v>
      </c>
      <c r="R209">
        <f t="shared" si="961"/>
        <v>20901789.920112718</v>
      </c>
      <c r="S209">
        <f t="shared" si="962"/>
        <v>209.01789920112719</v>
      </c>
      <c r="T209">
        <f t="shared" si="963"/>
        <v>0.20901789920112721</v>
      </c>
    </row>
    <row r="210" spans="1:20" x14ac:dyDescent="0.25">
      <c r="A210" s="5">
        <v>44383</v>
      </c>
      <c r="B210">
        <v>1.1160000000000001</v>
      </c>
      <c r="C210">
        <v>1.17</v>
      </c>
      <c r="D210">
        <v>1.103</v>
      </c>
      <c r="E210">
        <v>1.169</v>
      </c>
      <c r="F210">
        <v>3228583.5929999999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0.97014925373134653</v>
      </c>
      <c r="Q210">
        <f t="shared" si="960"/>
        <v>3132207.9633582192</v>
      </c>
      <c r="R210">
        <f t="shared" si="961"/>
        <v>17991661.046361424</v>
      </c>
      <c r="S210">
        <f t="shared" si="962"/>
        <v>179.91661046361423</v>
      </c>
      <c r="T210">
        <f t="shared" si="963"/>
        <v>0.17991661046361423</v>
      </c>
    </row>
    <row r="211" spans="1:20" x14ac:dyDescent="0.25">
      <c r="A211" s="5">
        <v>44382</v>
      </c>
      <c r="B211">
        <v>1.153</v>
      </c>
      <c r="C211">
        <v>1.167</v>
      </c>
      <c r="D211">
        <v>1.0640000000000001</v>
      </c>
      <c r="E211">
        <v>1.1140000000000001</v>
      </c>
      <c r="F211">
        <v>3698992.1809999999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-2.9126213592231963E-2</v>
      </c>
      <c r="Q211">
        <f t="shared" si="960"/>
        <v>-107737.63633980195</v>
      </c>
      <c r="R211">
        <f t="shared" si="961"/>
        <v>14859453.083003204</v>
      </c>
      <c r="S211">
        <f t="shared" si="962"/>
        <v>148.59453083003206</v>
      </c>
      <c r="T211">
        <f t="shared" si="963"/>
        <v>0.14859453083003205</v>
      </c>
    </row>
    <row r="212" spans="1:20" x14ac:dyDescent="0.25">
      <c r="A212" s="5">
        <v>44381</v>
      </c>
      <c r="B212">
        <v>1.115</v>
      </c>
      <c r="C212">
        <v>1.1830000000000001</v>
      </c>
      <c r="D212">
        <v>1.071</v>
      </c>
      <c r="E212">
        <v>1.1519999999999999</v>
      </c>
      <c r="F212">
        <v>3970394.7050000001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0.44642857142856945</v>
      </c>
      <c r="Q212">
        <f t="shared" si="960"/>
        <v>1772497.6361607064</v>
      </c>
      <c r="R212">
        <f t="shared" si="961"/>
        <v>14967190.719343007</v>
      </c>
      <c r="S212">
        <f t="shared" si="962"/>
        <v>149.67190719343006</v>
      </c>
      <c r="T212">
        <f t="shared" si="963"/>
        <v>0.14967190719343007</v>
      </c>
    </row>
    <row r="213" spans="1:20" x14ac:dyDescent="0.25">
      <c r="A213" s="5">
        <v>44380</v>
      </c>
      <c r="B213">
        <v>1.07</v>
      </c>
      <c r="C213">
        <v>1.1220000000000001</v>
      </c>
      <c r="D213">
        <v>1.0329999999999999</v>
      </c>
      <c r="E213">
        <v>1.1140000000000001</v>
      </c>
      <c r="F213">
        <v>1973188.9939999999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0.82022471910112382</v>
      </c>
      <c r="Q213">
        <f t="shared" si="960"/>
        <v>1618458.388337079</v>
      </c>
      <c r="R213">
        <f t="shared" si="961"/>
        <v>13194693.0831823</v>
      </c>
      <c r="S213">
        <f t="shared" si="962"/>
        <v>131.94693083182298</v>
      </c>
      <c r="T213">
        <f t="shared" si="963"/>
        <v>0.13194693083182299</v>
      </c>
    </row>
    <row r="214" spans="1:20" x14ac:dyDescent="0.25">
      <c r="A214" s="5">
        <v>44379</v>
      </c>
      <c r="B214">
        <v>1.0940000000000001</v>
      </c>
      <c r="C214">
        <v>1.1000000000000001</v>
      </c>
      <c r="D214">
        <v>1</v>
      </c>
      <c r="E214">
        <v>1.069</v>
      </c>
      <c r="F214">
        <v>3163058.26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0.37999999999999778</v>
      </c>
      <c r="Q214">
        <f t="shared" si="960"/>
        <v>1201962.1387999929</v>
      </c>
      <c r="R214">
        <f t="shared" si="961"/>
        <v>11576234.69484522</v>
      </c>
      <c r="S214">
        <f t="shared" si="962"/>
        <v>115.7623469484522</v>
      </c>
      <c r="T214">
        <f t="shared" si="963"/>
        <v>0.11576234694845221</v>
      </c>
    </row>
    <row r="215" spans="1:20" x14ac:dyDescent="0.25">
      <c r="A215" s="5">
        <v>44378</v>
      </c>
      <c r="B215">
        <v>1.1659999999999999</v>
      </c>
      <c r="C215">
        <v>1.1990000000000001</v>
      </c>
      <c r="D215">
        <v>1.02</v>
      </c>
      <c r="E215">
        <v>1.0940000000000001</v>
      </c>
      <c r="F215">
        <v>5406005.7929999996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-0.17318435754189893</v>
      </c>
      <c r="Q215">
        <f t="shared" si="960"/>
        <v>-936235.64012848877</v>
      </c>
      <c r="R215">
        <f t="shared" si="961"/>
        <v>10374272.556045227</v>
      </c>
      <c r="S215">
        <f t="shared" si="962"/>
        <v>103.74272556045227</v>
      </c>
      <c r="T215">
        <f t="shared" si="963"/>
        <v>0.10374272556045228</v>
      </c>
    </row>
    <row r="216" spans="1:20" x14ac:dyDescent="0.25">
      <c r="A216" s="5">
        <v>44377</v>
      </c>
      <c r="B216">
        <v>1.008</v>
      </c>
      <c r="C216">
        <v>1.19</v>
      </c>
      <c r="D216">
        <v>0.97299999999999998</v>
      </c>
      <c r="E216">
        <v>1.1659999999999999</v>
      </c>
      <c r="F216">
        <v>7646302.165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0.77880184331797209</v>
      </c>
      <c r="Q216">
        <f t="shared" si="960"/>
        <v>5954954.2206682004</v>
      </c>
      <c r="R216">
        <f t="shared" si="961"/>
        <v>11310508.196173716</v>
      </c>
      <c r="S216">
        <f t="shared" si="962"/>
        <v>113.10508196173717</v>
      </c>
      <c r="T216">
        <f t="shared" si="963"/>
        <v>0.11310508196173717</v>
      </c>
    </row>
    <row r="217" spans="1:20" x14ac:dyDescent="0.25">
      <c r="A217" s="5">
        <v>44376</v>
      </c>
      <c r="B217">
        <v>0.90500000000000003</v>
      </c>
      <c r="C217">
        <v>1.083</v>
      </c>
      <c r="D217">
        <v>0.89600000000000002</v>
      </c>
      <c r="E217">
        <v>1.01</v>
      </c>
      <c r="F217">
        <v>7858005.4400000004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0.21925133689839599</v>
      </c>
      <c r="Q217">
        <f t="shared" si="960"/>
        <v>1722878.1980748684</v>
      </c>
      <c r="R217">
        <f t="shared" si="961"/>
        <v>5355553.975505515</v>
      </c>
      <c r="S217">
        <f t="shared" si="962"/>
        <v>53.55553975505515</v>
      </c>
      <c r="T217">
        <f t="shared" si="963"/>
        <v>5.355553975505515E-2</v>
      </c>
    </row>
    <row r="218" spans="1:20" x14ac:dyDescent="0.25">
      <c r="A218" s="5">
        <v>44375</v>
      </c>
      <c r="B218">
        <v>0.82899999999999996</v>
      </c>
      <c r="C218">
        <v>0.93799999999999994</v>
      </c>
      <c r="D218">
        <v>0.79700000000000004</v>
      </c>
      <c r="E218">
        <v>0.90600000000000003</v>
      </c>
      <c r="F218">
        <v>5035494.4989999998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0.54609929078014274</v>
      </c>
      <c r="Q218">
        <f t="shared" si="960"/>
        <v>2749879.9746312103</v>
      </c>
      <c r="R218">
        <f t="shared" si="961"/>
        <v>3632675.7774306466</v>
      </c>
      <c r="S218">
        <f t="shared" si="962"/>
        <v>36.326757774306465</v>
      </c>
      <c r="T218">
        <f t="shared" si="963"/>
        <v>3.6326757774306467E-2</v>
      </c>
    </row>
    <row r="219" spans="1:20" x14ac:dyDescent="0.25">
      <c r="A219" s="5">
        <v>44374</v>
      </c>
      <c r="B219">
        <v>0.748</v>
      </c>
      <c r="C219">
        <v>0.86499999999999999</v>
      </c>
      <c r="D219">
        <v>0.73499999999999999</v>
      </c>
      <c r="E219">
        <v>0.83099999999999996</v>
      </c>
      <c r="F219">
        <v>5342517.9890000001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0.47692307692307645</v>
      </c>
      <c r="Q219">
        <f t="shared" si="960"/>
        <v>2547970.1178307668</v>
      </c>
      <c r="R219">
        <f t="shared" si="961"/>
        <v>882795.80279943626</v>
      </c>
      <c r="S219">
        <f t="shared" si="962"/>
        <v>8.827958027994363</v>
      </c>
      <c r="T219">
        <f t="shared" si="963"/>
        <v>8.8279580279943624E-3</v>
      </c>
    </row>
    <row r="220" spans="1:20" x14ac:dyDescent="0.25">
      <c r="A220" s="5">
        <v>44373</v>
      </c>
      <c r="B220">
        <v>0.73299999999999998</v>
      </c>
      <c r="C220">
        <v>0.76200000000000001</v>
      </c>
      <c r="D220">
        <v>0.69299999999999995</v>
      </c>
      <c r="E220">
        <v>0.748</v>
      </c>
      <c r="F220">
        <v>2875811.2179999999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0.59420289855072461</v>
      </c>
      <c r="Q220">
        <f t="shared" si="960"/>
        <v>1708815.3614202896</v>
      </c>
      <c r="R220">
        <f t="shared" si="961"/>
        <v>-1665174.3150313306</v>
      </c>
      <c r="S220">
        <f t="shared" si="962"/>
        <v>-16.651743150313305</v>
      </c>
      <c r="T220">
        <f t="shared" si="963"/>
        <v>-1.6651743150313304E-2</v>
      </c>
    </row>
    <row r="221" spans="1:20" x14ac:dyDescent="0.25">
      <c r="A221" s="5">
        <v>44372</v>
      </c>
      <c r="B221">
        <v>0.81299999999999994</v>
      </c>
      <c r="C221">
        <v>0.86099999999999999</v>
      </c>
      <c r="D221">
        <v>0.72499999999999998</v>
      </c>
      <c r="E221">
        <v>0.73299999999999998</v>
      </c>
      <c r="F221">
        <v>4198801.0719999997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-0.88235294117647045</v>
      </c>
      <c r="Q221">
        <f t="shared" si="960"/>
        <v>-3704824.4752941169</v>
      </c>
      <c r="R221">
        <f t="shared" si="961"/>
        <v>-3373989.6764516202</v>
      </c>
      <c r="S221">
        <f t="shared" si="962"/>
        <v>-33.739896764516203</v>
      </c>
      <c r="T221">
        <f t="shared" si="963"/>
        <v>-3.3739896764516206E-2</v>
      </c>
    </row>
    <row r="222" spans="1:20" x14ac:dyDescent="0.25">
      <c r="A222" s="5">
        <v>44371</v>
      </c>
      <c r="B222">
        <v>0.75600000000000001</v>
      </c>
      <c r="C222">
        <v>0.83</v>
      </c>
      <c r="D222">
        <v>0.72099999999999997</v>
      </c>
      <c r="E222">
        <v>0.81200000000000006</v>
      </c>
      <c r="F222">
        <v>3197618.6159999999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0.66972477064220348</v>
      </c>
      <c r="Q222">
        <f t="shared" si="960"/>
        <v>2141524.3942018403</v>
      </c>
      <c r="R222">
        <f t="shared" si="961"/>
        <v>330834.7988424967</v>
      </c>
      <c r="S222">
        <f t="shared" si="962"/>
        <v>3.3083479884249671</v>
      </c>
      <c r="T222">
        <f t="shared" si="963"/>
        <v>3.308347988424967E-3</v>
      </c>
    </row>
    <row r="223" spans="1:20" x14ac:dyDescent="0.25">
      <c r="A223" s="5">
        <v>44370</v>
      </c>
      <c r="B223">
        <v>0.68</v>
      </c>
      <c r="C223">
        <v>0.78400000000000003</v>
      </c>
      <c r="D223">
        <v>0.66400000000000003</v>
      </c>
      <c r="E223">
        <v>0.75600000000000001</v>
      </c>
      <c r="F223">
        <v>3749910.3760000002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0.53333333333333288</v>
      </c>
      <c r="Q223">
        <f t="shared" si="960"/>
        <v>1999952.2005333318</v>
      </c>
      <c r="R223">
        <f t="shared" si="961"/>
        <v>-1810689.5953593436</v>
      </c>
      <c r="S223">
        <f t="shared" si="962"/>
        <v>-18.106895953593437</v>
      </c>
      <c r="T223">
        <f t="shared" si="963"/>
        <v>-1.8106895953593438E-2</v>
      </c>
    </row>
    <row r="224" spans="1:20" x14ac:dyDescent="0.25">
      <c r="A224" s="5">
        <v>44369</v>
      </c>
      <c r="B224">
        <v>0.77800000000000002</v>
      </c>
      <c r="C224">
        <v>0.79600000000000004</v>
      </c>
      <c r="D224">
        <v>0.57799999999999996</v>
      </c>
      <c r="E224">
        <v>0.67800000000000005</v>
      </c>
      <c r="F224">
        <v>7627761.2510000002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-8.2568807339449074E-2</v>
      </c>
      <c r="Q224">
        <f t="shared" si="960"/>
        <v>-629815.14916513406</v>
      </c>
      <c r="R224">
        <f t="shared" si="961"/>
        <v>-3810641.7958926754</v>
      </c>
      <c r="S224">
        <f t="shared" si="962"/>
        <v>-38.106417958926755</v>
      </c>
      <c r="T224">
        <f t="shared" si="963"/>
        <v>-3.8106417958926754E-2</v>
      </c>
    </row>
    <row r="225" spans="1:20" x14ac:dyDescent="0.25">
      <c r="A225" s="5">
        <v>44368</v>
      </c>
      <c r="B225">
        <v>1.054</v>
      </c>
      <c r="C225">
        <v>1.0589999999999999</v>
      </c>
      <c r="D225">
        <v>0.77500000000000002</v>
      </c>
      <c r="E225">
        <v>0.78</v>
      </c>
      <c r="F225">
        <v>6206297.4689999996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-0.96478873239436613</v>
      </c>
      <c r="Q225">
        <f t="shared" si="960"/>
        <v>-5987765.8679788727</v>
      </c>
      <c r="R225">
        <f t="shared" si="961"/>
        <v>-3180826.6467275415</v>
      </c>
      <c r="S225">
        <f t="shared" si="962"/>
        <v>-31.808266467275416</v>
      </c>
      <c r="T225">
        <f t="shared" si="963"/>
        <v>-3.1808266467275415E-2</v>
      </c>
    </row>
    <row r="226" spans="1:20" x14ac:dyDescent="0.25">
      <c r="A226" s="5">
        <v>44367</v>
      </c>
      <c r="B226">
        <v>1.0900000000000001</v>
      </c>
      <c r="C226">
        <v>1.109</v>
      </c>
      <c r="D226">
        <v>0.96899999999999997</v>
      </c>
      <c r="E226">
        <v>1.0529999999999999</v>
      </c>
      <c r="F226">
        <v>3448264.3029999998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0.19999999999999937</v>
      </c>
      <c r="Q226">
        <f t="shared" si="960"/>
        <v>689652.8605999978</v>
      </c>
      <c r="R226">
        <f t="shared" si="961"/>
        <v>2806939.2212513313</v>
      </c>
      <c r="S226">
        <f t="shared" si="962"/>
        <v>28.069392212513314</v>
      </c>
      <c r="T226">
        <f t="shared" si="963"/>
        <v>2.8069392212513315E-2</v>
      </c>
    </row>
    <row r="227" spans="1:20" x14ac:dyDescent="0.25">
      <c r="A227" s="5">
        <v>44366</v>
      </c>
      <c r="B227">
        <v>1.131</v>
      </c>
      <c r="C227">
        <v>1.1419999999999999</v>
      </c>
      <c r="D227">
        <v>1.085</v>
      </c>
      <c r="E227">
        <v>1.0900000000000001</v>
      </c>
      <c r="F227">
        <v>1600395.548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-0.82456140350876772</v>
      </c>
      <c r="Q227">
        <f t="shared" si="960"/>
        <v>-1319624.3992280634</v>
      </c>
      <c r="R227">
        <f t="shared" si="961"/>
        <v>2117286.3606513334</v>
      </c>
      <c r="S227">
        <f t="shared" si="962"/>
        <v>21.172863606513335</v>
      </c>
      <c r="T227">
        <f t="shared" si="963"/>
        <v>2.1172863606513336E-2</v>
      </c>
    </row>
    <row r="228" spans="1:20" x14ac:dyDescent="0.25">
      <c r="A228" s="5">
        <v>44365</v>
      </c>
      <c r="B228">
        <v>1.246</v>
      </c>
      <c r="C228">
        <v>1.2470000000000001</v>
      </c>
      <c r="D228">
        <v>1.0940000000000001</v>
      </c>
      <c r="E228">
        <v>1.1319999999999999</v>
      </c>
      <c r="F228">
        <v>1889031.3049999999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-0.50326797385621169</v>
      </c>
      <c r="Q228">
        <f t="shared" si="960"/>
        <v>-950688.95741830545</v>
      </c>
      <c r="R228">
        <f t="shared" si="961"/>
        <v>3436910.7598793968</v>
      </c>
      <c r="S228">
        <f t="shared" si="962"/>
        <v>34.369107598793967</v>
      </c>
      <c r="T228">
        <f t="shared" si="963"/>
        <v>3.4369107598793969E-2</v>
      </c>
    </row>
    <row r="229" spans="1:20" x14ac:dyDescent="0.25">
      <c r="A229" s="5">
        <v>44364</v>
      </c>
      <c r="B229">
        <v>1.2669999999999999</v>
      </c>
      <c r="C229">
        <v>1.28</v>
      </c>
      <c r="D229">
        <v>1.2250000000000001</v>
      </c>
      <c r="E229">
        <v>1.246</v>
      </c>
      <c r="F229">
        <v>1666677.87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-0.23636363636363886</v>
      </c>
      <c r="Q229">
        <f t="shared" si="960"/>
        <v>-393942.04200000421</v>
      </c>
      <c r="R229">
        <f t="shared" si="961"/>
        <v>4387599.7172977021</v>
      </c>
      <c r="S229">
        <f t="shared" si="962"/>
        <v>43.875997172977023</v>
      </c>
      <c r="T229">
        <f t="shared" si="963"/>
        <v>4.3875997172977022E-2</v>
      </c>
    </row>
    <row r="230" spans="1:20" x14ac:dyDescent="0.25">
      <c r="A230" s="5">
        <v>44363</v>
      </c>
      <c r="B230">
        <v>1.3029999999999999</v>
      </c>
      <c r="C230">
        <v>1.395</v>
      </c>
      <c r="D230">
        <v>1.2450000000000001</v>
      </c>
      <c r="E230">
        <v>1.268</v>
      </c>
      <c r="F230">
        <v>3840158.466</v>
      </c>
      <c r="G230">
        <v>0</v>
      </c>
      <c r="L230" t="s">
        <v>8</v>
      </c>
      <c r="M230" t="s">
        <v>7</v>
      </c>
      <c r="N230" t="s">
        <v>7</v>
      </c>
      <c r="P230">
        <f t="shared" si="959"/>
        <v>-0.69333333333333436</v>
      </c>
      <c r="Q230">
        <f t="shared" si="960"/>
        <v>-2662509.8697600039</v>
      </c>
      <c r="R230">
        <f t="shared" si="961"/>
        <v>4781541.7592977062</v>
      </c>
      <c r="S230">
        <f t="shared" si="962"/>
        <v>47.815417592977063</v>
      </c>
      <c r="T230">
        <f t="shared" si="963"/>
        <v>4.7815417592977062E-2</v>
      </c>
    </row>
    <row r="231" spans="1:20" x14ac:dyDescent="0.25">
      <c r="A231" s="5">
        <v>44362</v>
      </c>
      <c r="B231">
        <v>1.3260000000000001</v>
      </c>
      <c r="C231">
        <v>1.3320000000000001</v>
      </c>
      <c r="D231">
        <v>1.2809999999999999</v>
      </c>
      <c r="E231">
        <v>1.3049999999999999</v>
      </c>
      <c r="F231">
        <v>1731433.2139999999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-5.8823529411766752E-2</v>
      </c>
      <c r="Q231">
        <f t="shared" si="960"/>
        <v>-101849.01258823884</v>
      </c>
      <c r="R231">
        <f t="shared" si="961"/>
        <v>7444051.6290577101</v>
      </c>
      <c r="S231">
        <f t="shared" si="962"/>
        <v>74.440516290577094</v>
      </c>
      <c r="T231">
        <f t="shared" si="963"/>
        <v>7.4440516290577088E-2</v>
      </c>
    </row>
    <row r="232" spans="1:20" x14ac:dyDescent="0.25">
      <c r="A232" s="5">
        <v>44361</v>
      </c>
      <c r="B232">
        <v>1.3140000000000001</v>
      </c>
      <c r="C232">
        <v>1.331</v>
      </c>
      <c r="D232">
        <v>1.2709999999999999</v>
      </c>
      <c r="E232">
        <v>1.3280000000000001</v>
      </c>
      <c r="F232">
        <v>2307739.497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0.90000000000000369</v>
      </c>
      <c r="Q232">
        <f t="shared" si="960"/>
        <v>2076965.5473000086</v>
      </c>
      <c r="R232">
        <f t="shared" si="961"/>
        <v>7545900.6416459493</v>
      </c>
      <c r="S232">
        <f t="shared" si="962"/>
        <v>75.459006416459488</v>
      </c>
      <c r="T232">
        <f t="shared" si="963"/>
        <v>7.5459006416459487E-2</v>
      </c>
    </row>
    <row r="233" spans="1:20" x14ac:dyDescent="0.25">
      <c r="A233" s="5">
        <v>44360</v>
      </c>
      <c r="B233">
        <v>1.254</v>
      </c>
      <c r="C233">
        <v>1.333</v>
      </c>
      <c r="D233">
        <v>1.218</v>
      </c>
      <c r="E233">
        <v>1.3149999999999999</v>
      </c>
      <c r="F233">
        <v>2539926.0649999999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0.68695652173913013</v>
      </c>
      <c r="Q233">
        <f t="shared" si="960"/>
        <v>1744818.7750869556</v>
      </c>
      <c r="R233">
        <f t="shared" si="961"/>
        <v>5468935.0943459403</v>
      </c>
      <c r="S233">
        <f t="shared" si="962"/>
        <v>54.689350943459402</v>
      </c>
      <c r="T233">
        <f t="shared" si="963"/>
        <v>5.4689350943459406E-2</v>
      </c>
    </row>
    <row r="234" spans="1:20" x14ac:dyDescent="0.25">
      <c r="A234" s="5">
        <v>44359</v>
      </c>
      <c r="B234">
        <v>1.375</v>
      </c>
      <c r="C234">
        <v>1.3779999999999999</v>
      </c>
      <c r="D234">
        <v>1.2</v>
      </c>
      <c r="E234">
        <v>1.2549999999999999</v>
      </c>
      <c r="F234">
        <v>2717533.14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-0.38202247191011285</v>
      </c>
      <c r="Q234">
        <f t="shared" si="960"/>
        <v>-1038158.7276404508</v>
      </c>
      <c r="R234">
        <f t="shared" si="961"/>
        <v>3724116.3192589851</v>
      </c>
      <c r="S234">
        <f t="shared" si="962"/>
        <v>37.241163192589852</v>
      </c>
      <c r="T234">
        <f t="shared" si="963"/>
        <v>3.7241163192589855E-2</v>
      </c>
    </row>
    <row r="235" spans="1:20" x14ac:dyDescent="0.25">
      <c r="A235" s="5">
        <v>44358</v>
      </c>
      <c r="B235">
        <v>1.502</v>
      </c>
      <c r="C235">
        <v>1.76</v>
      </c>
      <c r="D235">
        <v>1.3380000000000001</v>
      </c>
      <c r="E235">
        <v>1.375</v>
      </c>
      <c r="F235">
        <v>6404469.727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-0.82464454976303347</v>
      </c>
      <c r="Q235">
        <f t="shared" si="960"/>
        <v>-5281411.0544928927</v>
      </c>
      <c r="R235">
        <f t="shared" si="961"/>
        <v>4762275.046899436</v>
      </c>
      <c r="S235">
        <f t="shared" si="962"/>
        <v>47.622750468994361</v>
      </c>
      <c r="T235">
        <f t="shared" si="963"/>
        <v>4.7622750468994363E-2</v>
      </c>
    </row>
    <row r="236" spans="1:20" x14ac:dyDescent="0.25">
      <c r="A236" s="5">
        <v>44357</v>
      </c>
      <c r="B236">
        <v>1.5169999999999999</v>
      </c>
      <c r="C236">
        <v>1.526</v>
      </c>
      <c r="D236">
        <v>1.45</v>
      </c>
      <c r="E236">
        <v>1.5049999999999999</v>
      </c>
      <c r="F236">
        <v>2038494.801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0.44736842105262864</v>
      </c>
      <c r="Q236">
        <f t="shared" si="960"/>
        <v>911958.20044736238</v>
      </c>
      <c r="R236">
        <f t="shared" si="961"/>
        <v>10043686.101392329</v>
      </c>
      <c r="S236">
        <f t="shared" si="962"/>
        <v>100.43686101392329</v>
      </c>
      <c r="T236">
        <f t="shared" si="963"/>
        <v>0.1004368610139233</v>
      </c>
    </row>
    <row r="237" spans="1:20" x14ac:dyDescent="0.25">
      <c r="A237" s="5">
        <v>44356</v>
      </c>
      <c r="B237">
        <v>1.419</v>
      </c>
      <c r="C237">
        <v>1.569</v>
      </c>
      <c r="D237">
        <v>1.3140000000000001</v>
      </c>
      <c r="E237">
        <v>1.5169999999999999</v>
      </c>
      <c r="F237">
        <v>3707702.7829999998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0.59215686274509749</v>
      </c>
      <c r="Q237">
        <f t="shared" si="960"/>
        <v>2195541.647972547</v>
      </c>
      <c r="R237">
        <f t="shared" si="961"/>
        <v>9131727.9009449668</v>
      </c>
      <c r="S237">
        <f t="shared" si="962"/>
        <v>91.317279009449663</v>
      </c>
      <c r="T237">
        <f t="shared" si="963"/>
        <v>9.1317279009449664E-2</v>
      </c>
    </row>
    <row r="238" spans="1:20" x14ac:dyDescent="0.25">
      <c r="A238" s="5">
        <v>44355</v>
      </c>
      <c r="B238">
        <v>1.478</v>
      </c>
      <c r="C238">
        <v>1.5069999999999999</v>
      </c>
      <c r="D238">
        <v>1.2769999999999999</v>
      </c>
      <c r="E238">
        <v>1.423</v>
      </c>
      <c r="F238">
        <v>2796363.6159999999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0.26956521739130557</v>
      </c>
      <c r="Q238">
        <f t="shared" si="960"/>
        <v>753802.36605217727</v>
      </c>
      <c r="R238">
        <f t="shared" si="961"/>
        <v>6936186.2529724203</v>
      </c>
      <c r="S238">
        <f t="shared" si="962"/>
        <v>69.361862529724206</v>
      </c>
      <c r="T238">
        <f t="shared" si="963"/>
        <v>6.9361862529724205E-2</v>
      </c>
    </row>
    <row r="239" spans="1:20" x14ac:dyDescent="0.25">
      <c r="A239" s="5">
        <v>44354</v>
      </c>
      <c r="B239">
        <v>1.6240000000000001</v>
      </c>
      <c r="C239">
        <v>1.7090000000000001</v>
      </c>
      <c r="D239">
        <v>1.4530000000000001</v>
      </c>
      <c r="E239">
        <v>1.476</v>
      </c>
      <c r="F239">
        <v>2113325.7310000001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-0.82031250000000067</v>
      </c>
      <c r="Q239">
        <f t="shared" si="960"/>
        <v>-1733587.5137109391</v>
      </c>
      <c r="R239">
        <f t="shared" si="961"/>
        <v>6182383.8869202426</v>
      </c>
      <c r="S239">
        <f t="shared" si="962"/>
        <v>61.823838869202426</v>
      </c>
      <c r="T239">
        <f t="shared" si="963"/>
        <v>6.1823838869202424E-2</v>
      </c>
    </row>
    <row r="240" spans="1:20" x14ac:dyDescent="0.25">
      <c r="A240" s="5">
        <v>44353</v>
      </c>
      <c r="B240">
        <v>1.556</v>
      </c>
      <c r="C240">
        <v>1.7729999999999999</v>
      </c>
      <c r="D240">
        <v>1.5349999999999999</v>
      </c>
      <c r="E240">
        <v>1.6240000000000001</v>
      </c>
      <c r="F240">
        <v>4777742.1500000004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-0.25210084033613284</v>
      </c>
      <c r="Q240">
        <f t="shared" si="960"/>
        <v>-1204472.8109243622</v>
      </c>
      <c r="R240">
        <f t="shared" si="961"/>
        <v>7915971.4006311819</v>
      </c>
      <c r="S240">
        <f t="shared" si="962"/>
        <v>79.159714006311816</v>
      </c>
      <c r="T240">
        <f t="shared" si="963"/>
        <v>7.9159714006311818E-2</v>
      </c>
    </row>
    <row r="241" spans="1:20" x14ac:dyDescent="0.25">
      <c r="A241" s="5">
        <v>44352</v>
      </c>
      <c r="B241">
        <v>1.5920000000000001</v>
      </c>
      <c r="C241">
        <v>1.645</v>
      </c>
      <c r="D241">
        <v>1.492</v>
      </c>
      <c r="E241">
        <v>1.554</v>
      </c>
      <c r="F241">
        <v>1798170.341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-0.18954248366013013</v>
      </c>
      <c r="Q241">
        <f t="shared" si="960"/>
        <v>-340829.67247712315</v>
      </c>
      <c r="R241">
        <f t="shared" si="961"/>
        <v>9120444.2115555443</v>
      </c>
      <c r="S241">
        <f t="shared" si="962"/>
        <v>91.204442115555437</v>
      </c>
      <c r="T241">
        <f t="shared" si="963"/>
        <v>9.1204442115555437E-2</v>
      </c>
    </row>
    <row r="242" spans="1:20" x14ac:dyDescent="0.25">
      <c r="A242" s="5">
        <v>44351</v>
      </c>
      <c r="B242">
        <v>1.75</v>
      </c>
      <c r="C242">
        <v>1.756</v>
      </c>
      <c r="D242">
        <v>1.5109999999999999</v>
      </c>
      <c r="E242">
        <v>1.5940000000000001</v>
      </c>
      <c r="F242">
        <v>2883059.24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-0.32244897959183549</v>
      </c>
      <c r="Q242">
        <f t="shared" si="960"/>
        <v>-929639.51004081278</v>
      </c>
      <c r="R242">
        <f t="shared" si="961"/>
        <v>9461273.8840326667</v>
      </c>
      <c r="S242">
        <f t="shared" si="962"/>
        <v>94.612738840326671</v>
      </c>
      <c r="T242">
        <f t="shared" si="963"/>
        <v>9.4612738840326671E-2</v>
      </c>
    </row>
    <row r="243" spans="1:20" x14ac:dyDescent="0.25">
      <c r="A243" s="5">
        <v>44350</v>
      </c>
      <c r="B243">
        <v>1.69</v>
      </c>
      <c r="C243">
        <v>1.7529999999999999</v>
      </c>
      <c r="D243">
        <v>1.6439999999999999</v>
      </c>
      <c r="E243">
        <v>1.75</v>
      </c>
      <c r="F243">
        <v>2365862.8620000002</v>
      </c>
      <c r="G243">
        <v>0</v>
      </c>
      <c r="L243" t="s">
        <v>8</v>
      </c>
      <c r="M243" t="s">
        <v>7</v>
      </c>
      <c r="N243" t="s">
        <v>8</v>
      </c>
      <c r="P243">
        <f t="shared" si="959"/>
        <v>0.94495412844036897</v>
      </c>
      <c r="Q243">
        <f t="shared" si="960"/>
        <v>2235631.8787706471</v>
      </c>
      <c r="R243">
        <f t="shared" si="961"/>
        <v>10390913.394073479</v>
      </c>
      <c r="S243">
        <f t="shared" si="962"/>
        <v>103.90913394073479</v>
      </c>
      <c r="T243">
        <f t="shared" si="963"/>
        <v>0.1039091339407348</v>
      </c>
    </row>
    <row r="244" spans="1:20" x14ac:dyDescent="0.25">
      <c r="A244" s="5">
        <v>44349</v>
      </c>
      <c r="B244">
        <v>1.64</v>
      </c>
      <c r="C244">
        <v>1.7150000000000001</v>
      </c>
      <c r="D244">
        <v>1.611</v>
      </c>
      <c r="E244">
        <v>1.69</v>
      </c>
      <c r="F244">
        <v>3616188.9870000002</v>
      </c>
      <c r="G244">
        <v>0</v>
      </c>
      <c r="L244" t="s">
        <v>8</v>
      </c>
      <c r="M244" t="s">
        <v>7</v>
      </c>
      <c r="N244" t="s">
        <v>8</v>
      </c>
      <c r="P244">
        <f t="shared" si="959"/>
        <v>0.51923076923076705</v>
      </c>
      <c r="Q244">
        <f t="shared" si="960"/>
        <v>1877636.5894038384</v>
      </c>
      <c r="R244">
        <f t="shared" si="961"/>
        <v>8155281.5153028313</v>
      </c>
      <c r="S244">
        <f t="shared" si="962"/>
        <v>81.55281515302832</v>
      </c>
      <c r="T244">
        <f t="shared" si="963"/>
        <v>8.1552815153028313E-2</v>
      </c>
    </row>
    <row r="245" spans="1:20" x14ac:dyDescent="0.25">
      <c r="A245" s="5">
        <v>44348</v>
      </c>
      <c r="B245">
        <v>1.706</v>
      </c>
      <c r="C245">
        <v>1.714</v>
      </c>
      <c r="D245">
        <v>1.6</v>
      </c>
      <c r="E245">
        <v>1.64</v>
      </c>
      <c r="F245">
        <v>1760332.7549999999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-0.29824561403509026</v>
      </c>
      <c r="Q245">
        <f t="shared" si="960"/>
        <v>-525011.52342105703</v>
      </c>
      <c r="R245">
        <f t="shared" si="961"/>
        <v>6277644.9258989934</v>
      </c>
      <c r="S245">
        <f t="shared" si="962"/>
        <v>62.776449258989935</v>
      </c>
      <c r="T245">
        <f t="shared" si="963"/>
        <v>6.2776449258989939E-2</v>
      </c>
    </row>
    <row r="246" spans="1:20" x14ac:dyDescent="0.25">
      <c r="A246" s="5">
        <v>44347</v>
      </c>
      <c r="B246">
        <v>1.655</v>
      </c>
      <c r="C246">
        <v>1.748</v>
      </c>
      <c r="D246">
        <v>1.5549999999999999</v>
      </c>
      <c r="E246">
        <v>1.7070000000000001</v>
      </c>
      <c r="F246">
        <v>2333450.0040000002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0.57512953367875741</v>
      </c>
      <c r="Q246">
        <f t="shared" si="960"/>
        <v>1342036.0126632147</v>
      </c>
      <c r="R246">
        <f t="shared" si="961"/>
        <v>6802656.4493200509</v>
      </c>
      <c r="S246">
        <f t="shared" si="962"/>
        <v>68.02656449320051</v>
      </c>
      <c r="T246">
        <f t="shared" si="963"/>
        <v>6.8026564493200506E-2</v>
      </c>
    </row>
    <row r="247" spans="1:20" x14ac:dyDescent="0.25">
      <c r="A247" s="5">
        <v>44346</v>
      </c>
      <c r="B247">
        <v>1.6819999999999999</v>
      </c>
      <c r="C247">
        <v>1.698</v>
      </c>
      <c r="D247">
        <v>1.5389999999999999</v>
      </c>
      <c r="E247">
        <v>1.6559999999999999</v>
      </c>
      <c r="F247">
        <v>1807537.4129999999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0.47169811320754679</v>
      </c>
      <c r="Q247">
        <f t="shared" si="960"/>
        <v>852611.98726415017</v>
      </c>
      <c r="R247">
        <f t="shared" si="961"/>
        <v>5460620.4366568364</v>
      </c>
      <c r="S247">
        <f t="shared" si="962"/>
        <v>54.606204366568363</v>
      </c>
      <c r="T247">
        <f t="shared" si="963"/>
        <v>5.4606204366568364E-2</v>
      </c>
    </row>
    <row r="248" spans="1:20" x14ac:dyDescent="0.25">
      <c r="A248" s="5">
        <v>44345</v>
      </c>
      <c r="B248">
        <v>1.7949999999999999</v>
      </c>
      <c r="C248">
        <v>1.7949999999999999</v>
      </c>
      <c r="D248">
        <v>1.593</v>
      </c>
      <c r="E248">
        <v>1.679</v>
      </c>
      <c r="F248">
        <v>2918450.7719999999</v>
      </c>
      <c r="G248">
        <v>0</v>
      </c>
      <c r="L248" t="s">
        <v>8</v>
      </c>
      <c r="M248" t="s">
        <v>7</v>
      </c>
      <c r="N248" t="s">
        <v>8</v>
      </c>
      <c r="P248">
        <f t="shared" si="959"/>
        <v>-0.14851485148514759</v>
      </c>
      <c r="Q248">
        <f t="shared" si="960"/>
        <v>-433433.2829702943</v>
      </c>
      <c r="R248">
        <f t="shared" si="961"/>
        <v>4608008.4493926866</v>
      </c>
      <c r="S248">
        <f t="shared" si="962"/>
        <v>46.080084493926869</v>
      </c>
      <c r="T248">
        <f t="shared" si="963"/>
        <v>4.6080084493926872E-2</v>
      </c>
    </row>
    <row r="249" spans="1:20" x14ac:dyDescent="0.25">
      <c r="A249" s="5">
        <v>44344</v>
      </c>
      <c r="B249">
        <v>1.752</v>
      </c>
      <c r="C249">
        <v>1.8029999999999999</v>
      </c>
      <c r="D249">
        <v>1.5269999999999999</v>
      </c>
      <c r="E249">
        <v>1.7949999999999999</v>
      </c>
      <c r="F249">
        <v>5599481.5769999996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0.94202898550724634</v>
      </c>
      <c r="Q249">
        <f t="shared" si="960"/>
        <v>5274873.9493478257</v>
      </c>
      <c r="R249">
        <f t="shared" si="961"/>
        <v>5041441.732362981</v>
      </c>
      <c r="S249">
        <f t="shared" si="962"/>
        <v>50.414417323629813</v>
      </c>
      <c r="T249">
        <f t="shared" si="963"/>
        <v>5.0414417323629813E-2</v>
      </c>
    </row>
    <row r="250" spans="1:20" x14ac:dyDescent="0.25">
      <c r="A250" s="5">
        <v>44343</v>
      </c>
      <c r="B250">
        <v>1.8069999999999999</v>
      </c>
      <c r="C250">
        <v>1.81</v>
      </c>
      <c r="D250">
        <v>1.63</v>
      </c>
      <c r="E250">
        <v>1.75</v>
      </c>
      <c r="F250">
        <v>2780781.4240000001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0.33333333333333331</v>
      </c>
      <c r="Q250">
        <f t="shared" si="960"/>
        <v>926927.14133333333</v>
      </c>
      <c r="R250">
        <f t="shared" si="961"/>
        <v>-233432.21698484465</v>
      </c>
      <c r="S250">
        <f t="shared" si="962"/>
        <v>-2.3343221698484466</v>
      </c>
      <c r="T250">
        <f t="shared" si="963"/>
        <v>-2.3343221698484467E-3</v>
      </c>
    </row>
    <row r="251" spans="1:20" x14ac:dyDescent="0.25">
      <c r="A251" s="5">
        <v>44342</v>
      </c>
      <c r="B251">
        <v>1.694</v>
      </c>
      <c r="C251">
        <v>1.829</v>
      </c>
      <c r="D251">
        <v>1.623</v>
      </c>
      <c r="E251">
        <v>1.8120000000000001</v>
      </c>
      <c r="F251">
        <v>3738198.966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0.83495145631068046</v>
      </c>
      <c r="Q251">
        <f t="shared" si="960"/>
        <v>3121214.6706407797</v>
      </c>
      <c r="R251">
        <f t="shared" si="961"/>
        <v>-1160359.358318178</v>
      </c>
      <c r="S251">
        <f t="shared" si="962"/>
        <v>-11.60359358318178</v>
      </c>
      <c r="T251">
        <f t="shared" si="963"/>
        <v>-1.1603593583181779E-2</v>
      </c>
    </row>
    <row r="252" spans="1:20" x14ac:dyDescent="0.25">
      <c r="A252" s="5">
        <v>44341</v>
      </c>
      <c r="B252">
        <v>1.7609999999999999</v>
      </c>
      <c r="C252">
        <v>1.87</v>
      </c>
      <c r="D252">
        <v>1.518</v>
      </c>
      <c r="E252">
        <v>1.6919999999999999</v>
      </c>
      <c r="F252">
        <v>4600181.9840000002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-1.1363636363637002E-2</v>
      </c>
      <c r="Q252">
        <f t="shared" si="960"/>
        <v>-52274.795272730211</v>
      </c>
      <c r="R252">
        <f t="shared" si="961"/>
        <v>-4281574.0289589576</v>
      </c>
      <c r="S252">
        <f t="shared" si="962"/>
        <v>-42.815740289589577</v>
      </c>
      <c r="T252">
        <f t="shared" si="963"/>
        <v>-4.2815740289589579E-2</v>
      </c>
    </row>
    <row r="253" spans="1:20" x14ac:dyDescent="0.25">
      <c r="A253" s="5">
        <v>44340</v>
      </c>
      <c r="B253">
        <v>1.456</v>
      </c>
      <c r="C253">
        <v>1.974</v>
      </c>
      <c r="D253">
        <v>1.256</v>
      </c>
      <c r="E253">
        <v>1.7609999999999999</v>
      </c>
      <c r="F253">
        <v>11798300.902000001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0.40668523676880197</v>
      </c>
      <c r="Q253">
        <f t="shared" si="960"/>
        <v>4798194.7957994398</v>
      </c>
      <c r="R253">
        <f t="shared" si="961"/>
        <v>-4229299.2336862274</v>
      </c>
      <c r="S253">
        <f t="shared" si="962"/>
        <v>-42.292992336862277</v>
      </c>
      <c r="T253">
        <f t="shared" si="963"/>
        <v>-4.2292992336862276E-2</v>
      </c>
    </row>
    <row r="254" spans="1:20" x14ac:dyDescent="0.25">
      <c r="A254" s="5">
        <v>44339</v>
      </c>
      <c r="B254">
        <v>1.7869999999999999</v>
      </c>
      <c r="C254">
        <v>1.788</v>
      </c>
      <c r="D254">
        <v>1.1259999999999999</v>
      </c>
      <c r="E254">
        <v>1.4570000000000001</v>
      </c>
      <c r="F254">
        <v>6406443.1490000002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3.3541481106500189E-16</v>
      </c>
      <c r="Q254">
        <f t="shared" si="960"/>
        <v>2.1488159184205107E-9</v>
      </c>
      <c r="R254">
        <f t="shared" si="961"/>
        <v>-9027494.0294856671</v>
      </c>
      <c r="S254">
        <f t="shared" si="962"/>
        <v>-90.274940294856677</v>
      </c>
      <c r="T254">
        <f t="shared" si="963"/>
        <v>-9.0274940294856679E-2</v>
      </c>
    </row>
    <row r="255" spans="1:20" x14ac:dyDescent="0.25">
      <c r="A255" s="5">
        <v>44338</v>
      </c>
      <c r="B255">
        <v>1.8009999999999999</v>
      </c>
      <c r="C255">
        <v>1.944</v>
      </c>
      <c r="D255">
        <v>1.544</v>
      </c>
      <c r="E255">
        <v>1.788</v>
      </c>
      <c r="F255">
        <v>6095885.9110000003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0.22000000000000025</v>
      </c>
      <c r="Q255">
        <f t="shared" si="960"/>
        <v>1341094.9004200017</v>
      </c>
      <c r="R255">
        <f t="shared" si="961"/>
        <v>-9027494.029485669</v>
      </c>
      <c r="S255">
        <f t="shared" si="962"/>
        <v>-90.274940294856691</v>
      </c>
      <c r="T255">
        <f t="shared" si="963"/>
        <v>-9.0274940294856693E-2</v>
      </c>
    </row>
    <row r="256" spans="1:20" x14ac:dyDescent="0.25">
      <c r="A256" s="5">
        <v>44337</v>
      </c>
      <c r="B256">
        <v>1.696</v>
      </c>
      <c r="C256">
        <v>1.986</v>
      </c>
      <c r="D256">
        <v>1.4</v>
      </c>
      <c r="E256">
        <v>1.802</v>
      </c>
      <c r="F256">
        <v>10438323.064999999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0.37201365187713337</v>
      </c>
      <c r="Q256">
        <f t="shared" si="960"/>
        <v>3883198.6828839616</v>
      </c>
      <c r="R256">
        <f t="shared" si="961"/>
        <v>-10368588.929905672</v>
      </c>
      <c r="S256">
        <f t="shared" si="962"/>
        <v>-103.68588929905671</v>
      </c>
      <c r="T256">
        <f t="shared" si="963"/>
        <v>-0.10368588929905671</v>
      </c>
    </row>
    <row r="257" spans="1:20" x14ac:dyDescent="0.25">
      <c r="A257" s="5">
        <v>44336</v>
      </c>
      <c r="B257">
        <v>1.411</v>
      </c>
      <c r="C257">
        <v>1.73</v>
      </c>
      <c r="D257">
        <v>1.24</v>
      </c>
      <c r="E257">
        <v>1.6970000000000001</v>
      </c>
      <c r="F257">
        <v>5380965.2539999997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0.86530612244897998</v>
      </c>
      <c r="Q257">
        <f t="shared" si="960"/>
        <v>4656182.1789714303</v>
      </c>
      <c r="R257">
        <f t="shared" si="961"/>
        <v>-14251787.612789633</v>
      </c>
      <c r="S257">
        <f t="shared" si="962"/>
        <v>-142.51787612789633</v>
      </c>
      <c r="T257">
        <f t="shared" si="963"/>
        <v>-0.14251787612789632</v>
      </c>
    </row>
    <row r="258" spans="1:20" x14ac:dyDescent="0.25">
      <c r="A258" s="5">
        <v>44335</v>
      </c>
      <c r="B258">
        <v>2.206</v>
      </c>
      <c r="C258">
        <v>2.2440000000000002</v>
      </c>
      <c r="D258">
        <v>1.056</v>
      </c>
      <c r="E258">
        <v>1.401</v>
      </c>
      <c r="F258">
        <v>11416766.640000001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-0.41919191919191934</v>
      </c>
      <c r="Q258">
        <f t="shared" si="960"/>
        <v>-4785816.3187878802</v>
      </c>
      <c r="R258">
        <f t="shared" si="961"/>
        <v>-18907969.791761063</v>
      </c>
      <c r="S258">
        <f t="shared" si="962"/>
        <v>-189.07969791761062</v>
      </c>
      <c r="T258">
        <f t="shared" si="963"/>
        <v>-0.18907969791761062</v>
      </c>
    </row>
    <row r="259" spans="1:20" x14ac:dyDescent="0.25">
      <c r="A259" s="5">
        <v>44334</v>
      </c>
      <c r="B259">
        <v>2.1480000000000001</v>
      </c>
      <c r="C259">
        <v>2.3780000000000001</v>
      </c>
      <c r="D259">
        <v>2.0630000000000002</v>
      </c>
      <c r="E259">
        <v>2.2050000000000001</v>
      </c>
      <c r="F259">
        <v>7944330.6569999997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-9.8412698412698868E-2</v>
      </c>
      <c r="Q259">
        <f t="shared" si="960"/>
        <v>-781823.01703809877</v>
      </c>
      <c r="R259">
        <f t="shared" si="961"/>
        <v>-14122153.472973185</v>
      </c>
      <c r="S259">
        <f t="shared" si="962"/>
        <v>-141.22153472973184</v>
      </c>
      <c r="T259">
        <f t="shared" si="963"/>
        <v>-0.14122153472973184</v>
      </c>
    </row>
    <row r="260" spans="1:20" x14ac:dyDescent="0.25">
      <c r="A260" s="5">
        <v>44333</v>
      </c>
      <c r="B260">
        <v>2.3490000000000002</v>
      </c>
      <c r="C260">
        <v>2.3530000000000002</v>
      </c>
      <c r="D260">
        <v>1.9910000000000001</v>
      </c>
      <c r="E260">
        <v>2.1480000000000001</v>
      </c>
      <c r="F260">
        <v>7965230.7050000001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-0.13259668508287301</v>
      </c>
      <c r="Q260">
        <f t="shared" si="960"/>
        <v>-1056163.1874033154</v>
      </c>
      <c r="R260">
        <f t="shared" si="961"/>
        <v>-13340330.455935085</v>
      </c>
      <c r="S260">
        <f t="shared" si="962"/>
        <v>-133.40330455935086</v>
      </c>
      <c r="T260">
        <f t="shared" si="963"/>
        <v>-0.13340330455935084</v>
      </c>
    </row>
    <row r="261" spans="1:20" x14ac:dyDescent="0.25">
      <c r="A261" s="5">
        <v>44332</v>
      </c>
      <c r="B261">
        <v>2.3620000000000001</v>
      </c>
      <c r="C261">
        <v>2.504</v>
      </c>
      <c r="D261">
        <v>2.165</v>
      </c>
      <c r="E261">
        <v>2.3490000000000002</v>
      </c>
      <c r="F261">
        <v>4594226.307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8.5545722713865374E-2</v>
      </c>
      <c r="Q261">
        <f t="shared" si="960"/>
        <v>393016.40974336775</v>
      </c>
      <c r="R261">
        <f t="shared" si="961"/>
        <v>-12284167.26853177</v>
      </c>
      <c r="S261">
        <f t="shared" si="962"/>
        <v>-122.84167268531769</v>
      </c>
      <c r="T261">
        <f t="shared" si="963"/>
        <v>-0.12284167268531769</v>
      </c>
    </row>
    <row r="262" spans="1:20" x14ac:dyDescent="0.25">
      <c r="A262" s="5">
        <v>44331</v>
      </c>
      <c r="B262">
        <v>2.5640000000000001</v>
      </c>
      <c r="C262">
        <v>2.6779999999999999</v>
      </c>
      <c r="D262">
        <v>2.2999999999999998</v>
      </c>
      <c r="E262">
        <v>2.3610000000000002</v>
      </c>
      <c r="F262">
        <v>4574831.3269999996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-0.67724867724867532</v>
      </c>
      <c r="Q262">
        <f t="shared" ref="Q262:Q325" si="965">F262*P262</f>
        <v>-3098298.4648465519</v>
      </c>
      <c r="R262">
        <f t="shared" ref="R262:R325" si="966">R263+Q262</f>
        <v>-12677183.678275138</v>
      </c>
      <c r="S262">
        <f t="shared" ref="S262:S325" si="967">R262/100000</f>
        <v>-126.77183678275138</v>
      </c>
      <c r="T262">
        <f t="shared" ref="T262:T325" si="968">S262/1000</f>
        <v>-0.12677183678275139</v>
      </c>
    </row>
    <row r="263" spans="1:20" x14ac:dyDescent="0.25">
      <c r="A263" s="5">
        <v>44330</v>
      </c>
      <c r="B263">
        <v>2.4049999999999998</v>
      </c>
      <c r="C263">
        <v>2.5990000000000002</v>
      </c>
      <c r="D263">
        <v>2.3359999999999999</v>
      </c>
      <c r="E263">
        <v>2.569</v>
      </c>
      <c r="F263">
        <v>3837831.608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0.77186311787072082</v>
      </c>
      <c r="Q263">
        <f t="shared" si="965"/>
        <v>2962280.670813682</v>
      </c>
      <c r="R263">
        <f t="shared" si="966"/>
        <v>-9578885.2134285867</v>
      </c>
      <c r="S263">
        <f t="shared" si="967"/>
        <v>-95.788852134285861</v>
      </c>
      <c r="T263">
        <f t="shared" si="968"/>
        <v>-9.5788852134285868E-2</v>
      </c>
    </row>
    <row r="264" spans="1:20" x14ac:dyDescent="0.25">
      <c r="A264" s="5">
        <v>44329</v>
      </c>
      <c r="B264">
        <v>2.2429999999999999</v>
      </c>
      <c r="C264">
        <v>2.58</v>
      </c>
      <c r="D264">
        <v>2.125</v>
      </c>
      <c r="E264">
        <v>2.4060000000000001</v>
      </c>
      <c r="F264">
        <v>6241459.1359999999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0.23516483516483558</v>
      </c>
      <c r="Q264">
        <f t="shared" si="965"/>
        <v>1467771.7089054971</v>
      </c>
      <c r="R264">
        <f t="shared" si="966"/>
        <v>-12541165.884242268</v>
      </c>
      <c r="S264">
        <f t="shared" si="967"/>
        <v>-125.41165884242268</v>
      </c>
      <c r="T264">
        <f t="shared" si="968"/>
        <v>-0.12541165884242267</v>
      </c>
    </row>
    <row r="265" spans="1:20" x14ac:dyDescent="0.25">
      <c r="A265" s="5">
        <v>44328</v>
      </c>
      <c r="B265">
        <v>2.8039999999999998</v>
      </c>
      <c r="C265">
        <v>3.0569999999999999</v>
      </c>
      <c r="D265">
        <v>2.2000000000000002</v>
      </c>
      <c r="E265">
        <v>2.2480000000000002</v>
      </c>
      <c r="F265">
        <v>5999106.2199999997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-0.88798133022170345</v>
      </c>
      <c r="Q265">
        <f t="shared" si="965"/>
        <v>-5327094.3213768946</v>
      </c>
      <c r="R265">
        <f t="shared" si="966"/>
        <v>-14008937.593147766</v>
      </c>
      <c r="S265">
        <f t="shared" si="967"/>
        <v>-140.08937593147766</v>
      </c>
      <c r="T265">
        <f t="shared" si="968"/>
        <v>-0.14008937593147766</v>
      </c>
    </row>
    <row r="266" spans="1:20" x14ac:dyDescent="0.25">
      <c r="A266" s="5">
        <v>44327</v>
      </c>
      <c r="B266">
        <v>2.6179999999999999</v>
      </c>
      <c r="C266">
        <v>2.9049999999999998</v>
      </c>
      <c r="D266">
        <v>2.4900000000000002</v>
      </c>
      <c r="E266">
        <v>2.8050000000000002</v>
      </c>
      <c r="F266">
        <v>6036767.2439999999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0.51807228915662773</v>
      </c>
      <c r="Q266">
        <f t="shared" si="965"/>
        <v>3127481.8252048264</v>
      </c>
      <c r="R266">
        <f t="shared" si="966"/>
        <v>-8681843.2717708722</v>
      </c>
      <c r="S266">
        <f t="shared" si="967"/>
        <v>-86.818432717708717</v>
      </c>
      <c r="T266">
        <f t="shared" si="968"/>
        <v>-8.6818432717708713E-2</v>
      </c>
    </row>
    <row r="267" spans="1:20" x14ac:dyDescent="0.25">
      <c r="A267" s="5">
        <v>44326</v>
      </c>
      <c r="B267">
        <v>3.04</v>
      </c>
      <c r="C267">
        <v>3.04</v>
      </c>
      <c r="D267">
        <v>2.34</v>
      </c>
      <c r="E267">
        <v>2.6190000000000002</v>
      </c>
      <c r="F267">
        <v>6097645.7939999998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-0.20285714285714204</v>
      </c>
      <c r="Q267">
        <f t="shared" si="965"/>
        <v>-1236951.0039257093</v>
      </c>
      <c r="R267">
        <f t="shared" si="966"/>
        <v>-11809325.096975699</v>
      </c>
      <c r="S267">
        <f t="shared" si="967"/>
        <v>-118.09325096975699</v>
      </c>
      <c r="T267">
        <f t="shared" si="968"/>
        <v>-0.11809325096975699</v>
      </c>
    </row>
    <row r="268" spans="1:20" x14ac:dyDescent="0.25">
      <c r="A268" s="5">
        <v>44325</v>
      </c>
      <c r="B268">
        <v>3.0289999999999999</v>
      </c>
      <c r="C268">
        <v>3.1419999999999999</v>
      </c>
      <c r="D268">
        <v>2.8650000000000002</v>
      </c>
      <c r="E268">
        <v>3.0390000000000001</v>
      </c>
      <c r="F268">
        <v>4628969.4249999998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0.25631768953068684</v>
      </c>
      <c r="Q268">
        <f t="shared" si="965"/>
        <v>1186486.7479241919</v>
      </c>
      <c r="R268">
        <f t="shared" si="966"/>
        <v>-10572374.09304999</v>
      </c>
      <c r="S268">
        <f t="shared" si="967"/>
        <v>-105.7237409304999</v>
      </c>
      <c r="T268">
        <f t="shared" si="968"/>
        <v>-0.1057237409304999</v>
      </c>
    </row>
    <row r="269" spans="1:20" x14ac:dyDescent="0.25">
      <c r="A269" s="5">
        <v>44324</v>
      </c>
      <c r="B269">
        <v>3.0110000000000001</v>
      </c>
      <c r="C269">
        <v>3.3090000000000002</v>
      </c>
      <c r="D269">
        <v>2.9329999999999998</v>
      </c>
      <c r="E269">
        <v>3.0259999999999998</v>
      </c>
      <c r="F269">
        <v>8204538.4079999998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-0.5053191489361708</v>
      </c>
      <c r="Q269">
        <f t="shared" si="965"/>
        <v>-4145910.3657446858</v>
      </c>
      <c r="R269">
        <f t="shared" si="966"/>
        <v>-11758860.840974182</v>
      </c>
      <c r="S269">
        <f t="shared" si="967"/>
        <v>-117.58860840974182</v>
      </c>
      <c r="T269">
        <f t="shared" si="968"/>
        <v>-0.11758860840974182</v>
      </c>
    </row>
    <row r="270" spans="1:20" x14ac:dyDescent="0.25">
      <c r="A270" s="5">
        <v>44323</v>
      </c>
      <c r="B270">
        <v>2.9929999999999999</v>
      </c>
      <c r="C270">
        <v>3.202</v>
      </c>
      <c r="D270">
        <v>2.746</v>
      </c>
      <c r="E270">
        <v>3.0110000000000001</v>
      </c>
      <c r="F270">
        <v>6735403.5310000004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0.16228070175438661</v>
      </c>
      <c r="Q270">
        <f t="shared" si="965"/>
        <v>1093026.0116096535</v>
      </c>
      <c r="R270">
        <f t="shared" si="966"/>
        <v>-7612950.4752294961</v>
      </c>
      <c r="S270">
        <f t="shared" si="967"/>
        <v>-76.129504752294963</v>
      </c>
      <c r="T270">
        <f t="shared" si="968"/>
        <v>-7.6129504752294963E-2</v>
      </c>
    </row>
    <row r="271" spans="1:20" x14ac:dyDescent="0.25">
      <c r="A271" s="5">
        <v>44322</v>
      </c>
      <c r="B271">
        <v>3.13</v>
      </c>
      <c r="C271">
        <v>3.19</v>
      </c>
      <c r="D271">
        <v>2.9</v>
      </c>
      <c r="E271">
        <v>2.9929999999999999</v>
      </c>
      <c r="F271">
        <v>6166649.5329999998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-0.35862068965517269</v>
      </c>
      <c r="Q271">
        <f t="shared" si="965"/>
        <v>-2211488.1083862083</v>
      </c>
      <c r="R271">
        <f t="shared" si="966"/>
        <v>-8705976.4868391491</v>
      </c>
      <c r="S271">
        <f t="shared" si="967"/>
        <v>-87.059764868391497</v>
      </c>
      <c r="T271">
        <f t="shared" si="968"/>
        <v>-8.7059764868391495E-2</v>
      </c>
    </row>
    <row r="272" spans="1:20" x14ac:dyDescent="0.25">
      <c r="A272" s="5">
        <v>44321</v>
      </c>
      <c r="B272">
        <v>2.93</v>
      </c>
      <c r="C272">
        <v>3.1589999999999998</v>
      </c>
      <c r="D272">
        <v>2.8359999999999999</v>
      </c>
      <c r="E272">
        <v>3.13</v>
      </c>
      <c r="F272">
        <v>6600952.3439999996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0.82043343653250822</v>
      </c>
      <c r="Q272">
        <f t="shared" si="965"/>
        <v>5415642.015975235</v>
      </c>
      <c r="R272">
        <f t="shared" si="966"/>
        <v>-6494488.3784529399</v>
      </c>
      <c r="S272">
        <f t="shared" si="967"/>
        <v>-64.944883784529395</v>
      </c>
      <c r="T272">
        <f t="shared" si="968"/>
        <v>-6.4944883784529395E-2</v>
      </c>
    </row>
    <row r="273" spans="1:20" x14ac:dyDescent="0.25">
      <c r="A273" s="5">
        <v>44320</v>
      </c>
      <c r="B273">
        <v>3.3650000000000002</v>
      </c>
      <c r="C273">
        <v>3.3730000000000002</v>
      </c>
      <c r="D273">
        <v>2.8690000000000002</v>
      </c>
      <c r="E273">
        <v>2.9279999999999999</v>
      </c>
      <c r="F273">
        <v>7887571.6299999999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-0.76587301587301704</v>
      </c>
      <c r="Q273">
        <f t="shared" si="965"/>
        <v>-6040878.2721825484</v>
      </c>
      <c r="R273">
        <f t="shared" si="966"/>
        <v>-11910130.394428175</v>
      </c>
      <c r="S273">
        <f t="shared" si="967"/>
        <v>-119.10130394428175</v>
      </c>
      <c r="T273">
        <f t="shared" si="968"/>
        <v>-0.11910130394428176</v>
      </c>
    </row>
    <row r="274" spans="1:20" x14ac:dyDescent="0.25">
      <c r="A274" s="5">
        <v>44319</v>
      </c>
      <c r="B274">
        <v>3.3119999999999998</v>
      </c>
      <c r="C274">
        <v>3.5790000000000002</v>
      </c>
      <c r="D274">
        <v>3.302</v>
      </c>
      <c r="E274">
        <v>3.371</v>
      </c>
      <c r="F274">
        <v>7779576.5269999998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-0.50180505415162513</v>
      </c>
      <c r="Q274">
        <f t="shared" si="965"/>
        <v>-3903830.8204079466</v>
      </c>
      <c r="R274">
        <f t="shared" si="966"/>
        <v>-5869252.1222456275</v>
      </c>
      <c r="S274">
        <f t="shared" si="967"/>
        <v>-58.692521222456271</v>
      </c>
      <c r="T274">
        <f t="shared" si="968"/>
        <v>-5.8692521222456273E-2</v>
      </c>
    </row>
    <row r="275" spans="1:20" x14ac:dyDescent="0.25">
      <c r="A275" s="5">
        <v>44318</v>
      </c>
      <c r="B275">
        <v>3.3069999999999999</v>
      </c>
      <c r="C275">
        <v>3.4</v>
      </c>
      <c r="D275">
        <v>3.08</v>
      </c>
      <c r="E275">
        <v>3.3109999999999999</v>
      </c>
      <c r="F275">
        <v>5056773.7910000002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0.44374999999999992</v>
      </c>
      <c r="Q275">
        <f t="shared" si="965"/>
        <v>2243943.3697562497</v>
      </c>
      <c r="R275">
        <f t="shared" si="966"/>
        <v>-1965421.3018376809</v>
      </c>
      <c r="S275">
        <f t="shared" si="967"/>
        <v>-19.654213018376808</v>
      </c>
      <c r="T275">
        <f t="shared" si="968"/>
        <v>-1.9654213018376807E-2</v>
      </c>
    </row>
    <row r="276" spans="1:20" x14ac:dyDescent="0.25">
      <c r="A276" s="5">
        <v>44317</v>
      </c>
      <c r="B276">
        <v>3.3690000000000002</v>
      </c>
      <c r="C276">
        <v>3.3690000000000002</v>
      </c>
      <c r="D276">
        <v>3.2080000000000002</v>
      </c>
      <c r="E276">
        <v>3.3090000000000002</v>
      </c>
      <c r="F276">
        <v>3502336.2059999998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0.25465838509316718</v>
      </c>
      <c r="Q276">
        <f t="shared" si="965"/>
        <v>891899.2822732901</v>
      </c>
      <c r="R276">
        <f t="shared" si="966"/>
        <v>-4209364.6715939306</v>
      </c>
      <c r="S276">
        <f t="shared" si="967"/>
        <v>-42.093646715939308</v>
      </c>
      <c r="T276">
        <f t="shared" si="968"/>
        <v>-4.2093646715939306E-2</v>
      </c>
    </row>
    <row r="277" spans="1:20" x14ac:dyDescent="0.25">
      <c r="A277" s="5">
        <v>44316</v>
      </c>
      <c r="B277">
        <v>3.238</v>
      </c>
      <c r="C277">
        <v>3.4209999999999998</v>
      </c>
      <c r="D277">
        <v>3.13</v>
      </c>
      <c r="E277">
        <v>3.3660000000000001</v>
      </c>
      <c r="F277">
        <v>5093134.8490000004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0.62199312714776822</v>
      </c>
      <c r="Q277">
        <f t="shared" si="965"/>
        <v>3167894.8717147866</v>
      </c>
      <c r="R277">
        <f t="shared" si="966"/>
        <v>-5101263.9538672203</v>
      </c>
      <c r="S277">
        <f t="shared" si="967"/>
        <v>-51.012639538672204</v>
      </c>
      <c r="T277">
        <f t="shared" si="968"/>
        <v>-5.1012639538672203E-2</v>
      </c>
    </row>
    <row r="278" spans="1:20" x14ac:dyDescent="0.25">
      <c r="A278" s="5">
        <v>44315</v>
      </c>
      <c r="B278">
        <v>3.3290000000000002</v>
      </c>
      <c r="C278">
        <v>3.4630000000000001</v>
      </c>
      <c r="D278">
        <v>3.0750000000000002</v>
      </c>
      <c r="E278">
        <v>3.2389999999999999</v>
      </c>
      <c r="F278">
        <v>4530239.182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-0.15463917525773327</v>
      </c>
      <c r="Q278">
        <f t="shared" si="965"/>
        <v>-700552.45082474826</v>
      </c>
      <c r="R278">
        <f t="shared" si="966"/>
        <v>-8269158.8255820069</v>
      </c>
      <c r="S278">
        <f t="shared" si="967"/>
        <v>-82.691588255820065</v>
      </c>
      <c r="T278">
        <f t="shared" si="968"/>
        <v>-8.269158825582007E-2</v>
      </c>
    </row>
    <row r="279" spans="1:20" x14ac:dyDescent="0.25">
      <c r="A279" s="5">
        <v>44314</v>
      </c>
      <c r="B279">
        <v>3.5489999999999999</v>
      </c>
      <c r="C279">
        <v>3.55</v>
      </c>
      <c r="D279">
        <v>3.0339999999999998</v>
      </c>
      <c r="E279">
        <v>3.3250000000000002</v>
      </c>
      <c r="F279">
        <v>5468903.2280000001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0.12790697674418744</v>
      </c>
      <c r="Q279">
        <f t="shared" si="965"/>
        <v>699510.87800000759</v>
      </c>
      <c r="R279">
        <f t="shared" si="966"/>
        <v>-7568606.3747572592</v>
      </c>
      <c r="S279">
        <f t="shared" si="967"/>
        <v>-75.686063747572589</v>
      </c>
      <c r="T279">
        <f t="shared" si="968"/>
        <v>-7.5686063747572585E-2</v>
      </c>
    </row>
    <row r="280" spans="1:20" x14ac:dyDescent="0.25">
      <c r="A280" s="5">
        <v>44313</v>
      </c>
      <c r="B280">
        <v>3.3969999999999998</v>
      </c>
      <c r="C280">
        <v>3.6</v>
      </c>
      <c r="D280">
        <v>3.18</v>
      </c>
      <c r="E280">
        <v>3.5489999999999999</v>
      </c>
      <c r="F280">
        <v>8233951.835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0.75714285714285634</v>
      </c>
      <c r="Q280">
        <f t="shared" si="965"/>
        <v>6234277.8179285647</v>
      </c>
      <c r="R280">
        <f t="shared" si="966"/>
        <v>-8268117.2527572671</v>
      </c>
      <c r="S280">
        <f t="shared" si="967"/>
        <v>-82.68117252757267</v>
      </c>
      <c r="T280">
        <f t="shared" si="968"/>
        <v>-8.2681172527572663E-2</v>
      </c>
    </row>
    <row r="281" spans="1:20" x14ac:dyDescent="0.25">
      <c r="A281" s="5">
        <v>44312</v>
      </c>
      <c r="B281">
        <v>2.5089999999999999</v>
      </c>
      <c r="C281">
        <v>3.6</v>
      </c>
      <c r="D281">
        <v>2.4449999999999998</v>
      </c>
      <c r="E281">
        <v>3.3980000000000001</v>
      </c>
      <c r="F281">
        <v>19758960.317000002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0.65021645021645036</v>
      </c>
      <c r="Q281">
        <f t="shared" si="965"/>
        <v>12847601.037287449</v>
      </c>
      <c r="R281">
        <f t="shared" si="966"/>
        <v>-14502395.070685832</v>
      </c>
      <c r="S281">
        <f t="shared" si="967"/>
        <v>-145.02395070685833</v>
      </c>
      <c r="T281">
        <f t="shared" si="968"/>
        <v>-0.14502395070685833</v>
      </c>
    </row>
    <row r="282" spans="1:20" x14ac:dyDescent="0.25">
      <c r="A282" s="5">
        <v>44311</v>
      </c>
      <c r="B282">
        <v>2.4209999999999998</v>
      </c>
      <c r="C282">
        <v>2.71</v>
      </c>
      <c r="D282">
        <v>2.2000000000000002</v>
      </c>
      <c r="E282">
        <v>2.5110000000000001</v>
      </c>
      <c r="F282">
        <v>6289239.8039999995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0.21960784313725518</v>
      </c>
      <c r="Q282">
        <f t="shared" si="965"/>
        <v>1381166.3883294135</v>
      </c>
      <c r="R282">
        <f t="shared" si="966"/>
        <v>-27349996.107973281</v>
      </c>
      <c r="S282">
        <f t="shared" si="967"/>
        <v>-273.49996107973283</v>
      </c>
      <c r="T282">
        <f t="shared" si="968"/>
        <v>-0.27349996107973285</v>
      </c>
    </row>
    <row r="283" spans="1:20" x14ac:dyDescent="0.25">
      <c r="A283" s="5">
        <v>44310</v>
      </c>
      <c r="B283">
        <v>2.6539999999999999</v>
      </c>
      <c r="C283">
        <v>2.9470000000000001</v>
      </c>
      <c r="D283">
        <v>2.3639999999999999</v>
      </c>
      <c r="E283">
        <v>2.4220000000000002</v>
      </c>
      <c r="F283">
        <v>8209767.6279999996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-0.80102915951972464</v>
      </c>
      <c r="Q283">
        <f t="shared" si="965"/>
        <v>-6576263.2629090827</v>
      </c>
      <c r="R283">
        <f t="shared" si="966"/>
        <v>-28731162.496302694</v>
      </c>
      <c r="S283">
        <f t="shared" si="967"/>
        <v>-287.31162496302693</v>
      </c>
      <c r="T283">
        <f t="shared" si="968"/>
        <v>-0.28731162496302692</v>
      </c>
    </row>
    <row r="284" spans="1:20" x14ac:dyDescent="0.25">
      <c r="A284" s="5">
        <v>44309</v>
      </c>
      <c r="B284">
        <v>2.6949999999999998</v>
      </c>
      <c r="C284">
        <v>2.7879999999999998</v>
      </c>
      <c r="D284">
        <v>1.7589999999999999</v>
      </c>
      <c r="E284">
        <v>2.6579999999999999</v>
      </c>
      <c r="F284">
        <v>15456619.171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0.74732750242954338</v>
      </c>
      <c r="Q284">
        <f t="shared" si="965"/>
        <v>11551156.601068029</v>
      </c>
      <c r="R284">
        <f t="shared" si="966"/>
        <v>-22154899.23339361</v>
      </c>
      <c r="S284">
        <f t="shared" si="967"/>
        <v>-221.5489923339361</v>
      </c>
      <c r="T284">
        <f t="shared" si="968"/>
        <v>-0.2215489923339361</v>
      </c>
    </row>
    <row r="285" spans="1:20" x14ac:dyDescent="0.25">
      <c r="A285" s="5">
        <v>44308</v>
      </c>
      <c r="B285">
        <v>3.1960000000000002</v>
      </c>
      <c r="C285">
        <v>3.3</v>
      </c>
      <c r="D285">
        <v>2.6640000000000001</v>
      </c>
      <c r="E285">
        <v>2.6920000000000002</v>
      </c>
      <c r="F285">
        <v>7371226.8940000003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-0.9119496855345911</v>
      </c>
      <c r="Q285">
        <f t="shared" si="965"/>
        <v>-6722188.047987421</v>
      </c>
      <c r="R285">
        <f t="shared" si="966"/>
        <v>-33706055.834461637</v>
      </c>
      <c r="S285">
        <f t="shared" si="967"/>
        <v>-337.06055834461637</v>
      </c>
      <c r="T285">
        <f t="shared" si="968"/>
        <v>-0.33706055834461635</v>
      </c>
    </row>
    <row r="286" spans="1:20" x14ac:dyDescent="0.25">
      <c r="A286" s="5">
        <v>44307</v>
      </c>
      <c r="B286">
        <v>3.1890000000000001</v>
      </c>
      <c r="C286">
        <v>3.7349999999999999</v>
      </c>
      <c r="D286">
        <v>3.1349999999999998</v>
      </c>
      <c r="E286">
        <v>3.1949999999999998</v>
      </c>
      <c r="F286">
        <v>12862959.6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-0.79999999999999982</v>
      </c>
      <c r="Q286">
        <f t="shared" si="965"/>
        <v>-10290367.679999998</v>
      </c>
      <c r="R286">
        <f t="shared" si="966"/>
        <v>-26983867.786474213</v>
      </c>
      <c r="S286">
        <f t="shared" si="967"/>
        <v>-269.83867786474212</v>
      </c>
      <c r="T286">
        <f t="shared" si="968"/>
        <v>-0.26983867786474214</v>
      </c>
    </row>
    <row r="287" spans="1:20" x14ac:dyDescent="0.25">
      <c r="A287" s="5">
        <v>44306</v>
      </c>
      <c r="B287">
        <v>3.13</v>
      </c>
      <c r="C287">
        <v>3.54</v>
      </c>
      <c r="D287">
        <v>2.7</v>
      </c>
      <c r="E287">
        <v>3.19</v>
      </c>
      <c r="F287">
        <v>9426138.5850000009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0.16666666666666632</v>
      </c>
      <c r="Q287">
        <f t="shared" si="965"/>
        <v>1571023.0974999969</v>
      </c>
      <c r="R287">
        <f t="shared" si="966"/>
        <v>-16693500.106474217</v>
      </c>
      <c r="S287">
        <f t="shared" si="967"/>
        <v>-166.93500106474218</v>
      </c>
      <c r="T287">
        <f t="shared" si="968"/>
        <v>-0.16693500106474218</v>
      </c>
    </row>
    <row r="288" spans="1:20" x14ac:dyDescent="0.25">
      <c r="A288" s="5">
        <v>44305</v>
      </c>
      <c r="B288">
        <v>3.39</v>
      </c>
      <c r="C288">
        <v>3.8</v>
      </c>
      <c r="D288">
        <v>2.98</v>
      </c>
      <c r="E288">
        <v>3.129</v>
      </c>
      <c r="F288">
        <v>8359358.6210000003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-0.63658536585365844</v>
      </c>
      <c r="Q288">
        <f t="shared" si="965"/>
        <v>-5321445.3660512185</v>
      </c>
      <c r="R288">
        <f t="shared" si="966"/>
        <v>-18264523.203974213</v>
      </c>
      <c r="S288">
        <f t="shared" si="967"/>
        <v>-182.64523203974213</v>
      </c>
      <c r="T288">
        <f t="shared" si="968"/>
        <v>-0.18264523203974212</v>
      </c>
    </row>
    <row r="289" spans="1:20" x14ac:dyDescent="0.25">
      <c r="A289" s="5">
        <v>44304</v>
      </c>
      <c r="B289">
        <v>3.9020000000000001</v>
      </c>
      <c r="C289">
        <v>3.9159999999999999</v>
      </c>
      <c r="D289">
        <v>2.83</v>
      </c>
      <c r="E289">
        <v>3.3889999999999998</v>
      </c>
      <c r="F289">
        <v>8908028.5079999994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2.9465930018415829E-2</v>
      </c>
      <c r="Q289">
        <f t="shared" si="965"/>
        <v>262483.34461878118</v>
      </c>
      <c r="R289">
        <f t="shared" si="966"/>
        <v>-12943077.837922996</v>
      </c>
      <c r="S289">
        <f t="shared" si="967"/>
        <v>-129.43077837922996</v>
      </c>
      <c r="T289">
        <f t="shared" si="968"/>
        <v>-0.12943077837922995</v>
      </c>
    </row>
    <row r="290" spans="1:20" x14ac:dyDescent="0.25">
      <c r="A290" s="5">
        <v>44303</v>
      </c>
      <c r="B290">
        <v>3.8410000000000002</v>
      </c>
      <c r="C290">
        <v>4.2409999999999997</v>
      </c>
      <c r="D290">
        <v>3.661</v>
      </c>
      <c r="E290">
        <v>3.9180000000000001</v>
      </c>
      <c r="F290">
        <v>9594438.1870000008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-0.11379310344827488</v>
      </c>
      <c r="Q290">
        <f t="shared" si="965"/>
        <v>-1091780.89714137</v>
      </c>
      <c r="R290">
        <f t="shared" si="966"/>
        <v>-13205561.182541776</v>
      </c>
      <c r="S290">
        <f t="shared" si="967"/>
        <v>-132.05561182541777</v>
      </c>
      <c r="T290">
        <f t="shared" si="968"/>
        <v>-0.13205561182541778</v>
      </c>
    </row>
    <row r="291" spans="1:20" x14ac:dyDescent="0.25">
      <c r="A291" s="5">
        <v>44302</v>
      </c>
      <c r="B291">
        <v>4.3099999999999996</v>
      </c>
      <c r="C291">
        <v>4.3150000000000004</v>
      </c>
      <c r="D291">
        <v>3.6</v>
      </c>
      <c r="E291">
        <v>3.835</v>
      </c>
      <c r="F291">
        <v>10420074.231000001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-0.34265734265734327</v>
      </c>
      <c r="Q291">
        <f t="shared" si="965"/>
        <v>-3570514.9462867198</v>
      </c>
      <c r="R291">
        <f t="shared" si="966"/>
        <v>-12113780.285400406</v>
      </c>
      <c r="S291">
        <f t="shared" si="967"/>
        <v>-121.13780285400405</v>
      </c>
      <c r="T291">
        <f t="shared" si="968"/>
        <v>-0.12113780285400405</v>
      </c>
    </row>
    <row r="292" spans="1:20" x14ac:dyDescent="0.25">
      <c r="A292" s="5">
        <v>44301</v>
      </c>
      <c r="B292">
        <v>4.1449999999999996</v>
      </c>
      <c r="C292">
        <v>4.55</v>
      </c>
      <c r="D292">
        <v>4.04</v>
      </c>
      <c r="E292">
        <v>4.3140000000000001</v>
      </c>
      <c r="F292">
        <v>8806478.4079999998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7.4509803921569154E-2</v>
      </c>
      <c r="Q292">
        <f t="shared" si="965"/>
        <v>656168.97941961244</v>
      </c>
      <c r="R292">
        <f t="shared" si="966"/>
        <v>-8543265.3391136862</v>
      </c>
      <c r="S292">
        <f t="shared" si="967"/>
        <v>-85.432653391136867</v>
      </c>
      <c r="T292">
        <f t="shared" si="968"/>
        <v>-8.543265339113687E-2</v>
      </c>
    </row>
    <row r="293" spans="1:20" x14ac:dyDescent="0.25">
      <c r="A293" s="5">
        <v>44300</v>
      </c>
      <c r="B293">
        <v>4.5460000000000003</v>
      </c>
      <c r="C293">
        <v>4.7889999999999997</v>
      </c>
      <c r="D293">
        <v>3.82</v>
      </c>
      <c r="E293">
        <v>4.1470000000000002</v>
      </c>
      <c r="F293">
        <v>11219570.051000001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-0.32507739938080404</v>
      </c>
      <c r="Q293">
        <f t="shared" si="965"/>
        <v>-3647228.6543498351</v>
      </c>
      <c r="R293">
        <f t="shared" si="966"/>
        <v>-9199434.3185332995</v>
      </c>
      <c r="S293">
        <f t="shared" si="967"/>
        <v>-91.994343185332994</v>
      </c>
      <c r="T293">
        <f t="shared" si="968"/>
        <v>-9.1994343185332991E-2</v>
      </c>
    </row>
    <row r="294" spans="1:20" x14ac:dyDescent="0.25">
      <c r="A294" s="5">
        <v>44299</v>
      </c>
      <c r="B294">
        <v>4.6630000000000003</v>
      </c>
      <c r="C294">
        <v>4.74</v>
      </c>
      <c r="D294">
        <v>4.2210000000000001</v>
      </c>
      <c r="E294">
        <v>4.532</v>
      </c>
      <c r="F294">
        <v>9383892.5639999993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0.19845857418111701</v>
      </c>
      <c r="Q294">
        <f t="shared" si="965"/>
        <v>1862313.9385202262</v>
      </c>
      <c r="R294">
        <f t="shared" si="966"/>
        <v>-5552205.6641834639</v>
      </c>
      <c r="S294">
        <f t="shared" si="967"/>
        <v>-55.522056641834638</v>
      </c>
      <c r="T294">
        <f t="shared" si="968"/>
        <v>-5.5522056641834641E-2</v>
      </c>
    </row>
    <row r="295" spans="1:20" x14ac:dyDescent="0.25">
      <c r="A295" s="5">
        <v>44298</v>
      </c>
      <c r="B295">
        <v>4.4749999999999996</v>
      </c>
      <c r="C295">
        <v>5.6</v>
      </c>
      <c r="D295">
        <v>4.431</v>
      </c>
      <c r="E295">
        <v>4.673</v>
      </c>
      <c r="F295">
        <v>20031416.004999999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-0.58597091531223255</v>
      </c>
      <c r="Q295">
        <f t="shared" si="965"/>
        <v>-11737827.171449954</v>
      </c>
      <c r="R295">
        <f t="shared" si="966"/>
        <v>-7414519.6027036905</v>
      </c>
      <c r="S295">
        <f t="shared" si="967"/>
        <v>-74.145196027036903</v>
      </c>
      <c r="T295">
        <f t="shared" si="968"/>
        <v>-7.4145196027036897E-2</v>
      </c>
    </row>
    <row r="296" spans="1:20" x14ac:dyDescent="0.25">
      <c r="A296" s="5">
        <v>44297</v>
      </c>
      <c r="B296">
        <v>4.7670000000000003</v>
      </c>
      <c r="C296">
        <v>4.8</v>
      </c>
      <c r="D296">
        <v>3.8620000000000001</v>
      </c>
      <c r="E296">
        <v>4.47</v>
      </c>
      <c r="F296">
        <v>14587275.177999999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0.2963752665245199</v>
      </c>
      <c r="Q296">
        <f t="shared" si="965"/>
        <v>4323307.5687462632</v>
      </c>
      <c r="R296">
        <f>R297+Q296</f>
        <v>4323307.5687462632</v>
      </c>
      <c r="S296">
        <f t="shared" si="967"/>
        <v>43.23307568746263</v>
      </c>
      <c r="T296">
        <f t="shared" si="968"/>
        <v>4.3233075687462631E-2</v>
      </c>
    </row>
    <row r="297" spans="1:20" x14ac:dyDescent="0.25">
      <c r="A297" s="5"/>
      <c r="C297"/>
      <c r="D297"/>
    </row>
    <row r="298" spans="1:20" x14ac:dyDescent="0.25">
      <c r="A298" s="5"/>
      <c r="C298"/>
      <c r="D298"/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F604" sqref="FF60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$A$603</v>
      </c>
      <c r="D111" s="1" t="str">
        <f>ADDRESS(C121-1,D121,1,1)</f>
        <v>$FF$603</v>
      </c>
      <c r="E111"/>
    </row>
    <row r="112" spans="1:5" x14ac:dyDescent="0.25">
      <c r="A112" s="7">
        <v>12164.144957890772</v>
      </c>
      <c r="C112" s="1" t="str">
        <f>ADDRESS(C121,1,1,1)</f>
        <v>$A$604</v>
      </c>
      <c r="D112" s="1" t="str">
        <f>ADDRESS(C121,D121-1,1,1)</f>
        <v>$FE$604</v>
      </c>
      <c r="E112"/>
    </row>
    <row r="113" spans="1:5" x14ac:dyDescent="0.25">
      <c r="A113" s="7">
        <v>11925.63231165762</v>
      </c>
      <c r="C113" s="1" t="str">
        <f>ADDRESS(C121+1,1,1,1)</f>
        <v>$A$605</v>
      </c>
      <c r="D113" s="1" t="str">
        <f>ADDRESS(C121-1,D121+1,1,1)</f>
        <v>$FG$603</v>
      </c>
    </row>
    <row r="114" spans="1:5" x14ac:dyDescent="0.25">
      <c r="A114" s="7">
        <v>11691.796383978059</v>
      </c>
      <c r="C114" s="1" t="str">
        <f>ADDRESS(C121,D121,1,1)</f>
        <v>$FF$604</v>
      </c>
      <c r="D114" s="1" t="str">
        <f>ADDRESS(C121+1,D121+1,1,1)</f>
        <v>$FG$605</v>
      </c>
    </row>
    <row r="115" spans="1:5" x14ac:dyDescent="0.25">
      <c r="A115" s="7">
        <v>11462.545474488292</v>
      </c>
      <c r="C115" s="1" t="str">
        <f>ADDRESS(C121+1,D121,1,1)</f>
        <v>$FF$605</v>
      </c>
    </row>
    <row r="116" spans="1:5" x14ac:dyDescent="0.25">
      <c r="A116" s="7">
        <v>11237.789680870874</v>
      </c>
      <c r="C116" s="1">
        <f>C117-1</f>
        <v>603</v>
      </c>
    </row>
    <row r="117" spans="1:5" x14ac:dyDescent="0.25">
      <c r="A117" s="7">
        <v>11017.440863598895</v>
      </c>
      <c r="C117" s="1">
        <f>C121</f>
        <v>604</v>
      </c>
      <c r="D117" s="1">
        <f>D121</f>
        <v>162</v>
      </c>
    </row>
    <row r="118" spans="1:5" x14ac:dyDescent="0.25">
      <c r="A118" s="7">
        <v>10801.412611371465</v>
      </c>
      <c r="C118" s="1">
        <f>C117+1</f>
        <v>605</v>
      </c>
      <c r="D118" s="1">
        <f>D117+1</f>
        <v>163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604</v>
      </c>
      <c r="D121" s="19">
        <v>162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R604</v>
      </c>
      <c r="D123" s="1" t="str">
        <f>"C"&amp;D121</f>
        <v>C162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0.71416256246493581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10" x14ac:dyDescent="0.25">
      <c r="A497" s="7">
        <v>5.9431331263054545</v>
      </c>
      <c r="B497"/>
      <c r="C497"/>
      <c r="D497"/>
      <c r="E497"/>
    </row>
    <row r="498" spans="1:10" x14ac:dyDescent="0.25">
      <c r="A498" s="7">
        <v>5.8266011042210337</v>
      </c>
      <c r="B498"/>
      <c r="C498"/>
      <c r="D498"/>
      <c r="E498"/>
    </row>
    <row r="499" spans="1:10" x14ac:dyDescent="0.25">
      <c r="A499" s="7">
        <v>5.7123540237461112</v>
      </c>
      <c r="B499"/>
      <c r="C499"/>
      <c r="D499"/>
      <c r="E499"/>
    </row>
    <row r="500" spans="1:10" x14ac:dyDescent="0.25">
      <c r="A500" s="7">
        <v>5.6003470821040304</v>
      </c>
      <c r="B500"/>
      <c r="C500"/>
      <c r="D500"/>
      <c r="E500" t="s">
        <v>8</v>
      </c>
    </row>
    <row r="501" spans="1:10" x14ac:dyDescent="0.25">
      <c r="A501" s="7">
        <v>5.4905363550039512</v>
      </c>
      <c r="B501"/>
      <c r="C501"/>
      <c r="D501"/>
      <c r="E501" t="s">
        <v>8</v>
      </c>
      <c r="F501" s="27" t="s">
        <v>7</v>
      </c>
      <c r="G501" s="27" t="s">
        <v>8</v>
      </c>
    </row>
    <row r="502" spans="1:10" x14ac:dyDescent="0.25">
      <c r="A502" s="7">
        <v>5.3828787794156385</v>
      </c>
      <c r="B502"/>
      <c r="C502"/>
      <c r="D502"/>
      <c r="E502" t="s">
        <v>8</v>
      </c>
      <c r="F502" s="27" t="s">
        <v>7</v>
      </c>
      <c r="G502" s="27" t="s">
        <v>8</v>
      </c>
      <c r="H502" s="27" t="s">
        <v>7</v>
      </c>
    </row>
    <row r="503" spans="1:10" x14ac:dyDescent="0.25">
      <c r="A503" s="7">
        <v>5.2773321366819985</v>
      </c>
      <c r="B503"/>
      <c r="C503"/>
      <c r="D503"/>
      <c r="E503" t="s">
        <v>8</v>
      </c>
      <c r="F503" s="27" t="s">
        <v>7</v>
      </c>
      <c r="G503" s="27" t="s">
        <v>8</v>
      </c>
      <c r="H503" s="27" t="s">
        <v>7</v>
      </c>
    </row>
    <row r="504" spans="1:10" x14ac:dyDescent="0.25">
      <c r="A504" s="7">
        <v>5.1738550359627435</v>
      </c>
      <c r="B504"/>
      <c r="C504"/>
      <c r="D504"/>
      <c r="E504" t="s">
        <v>8</v>
      </c>
      <c r="F504" s="27" t="s">
        <v>7</v>
      </c>
      <c r="G504" s="27" t="s">
        <v>8</v>
      </c>
      <c r="H504" s="27" t="s">
        <v>7</v>
      </c>
    </row>
    <row r="505" spans="1:10" x14ac:dyDescent="0.25">
      <c r="A505" s="7">
        <v>5.07240689800269</v>
      </c>
      <c r="B505"/>
      <c r="C505"/>
      <c r="D505"/>
      <c r="E505" t="s">
        <v>8</v>
      </c>
      <c r="F505" s="27" t="s">
        <v>7</v>
      </c>
      <c r="G505" s="27" t="s">
        <v>8</v>
      </c>
      <c r="H505" s="27" t="s">
        <v>7</v>
      </c>
    </row>
    <row r="506" spans="1:10" x14ac:dyDescent="0.25">
      <c r="A506" s="7">
        <v>4.9729479392183231</v>
      </c>
      <c r="B506"/>
      <c r="C506"/>
      <c r="D506"/>
      <c r="E506" t="s">
        <v>8</v>
      </c>
      <c r="F506" s="27" t="s">
        <v>7</v>
      </c>
      <c r="G506" s="27" t="s">
        <v>8</v>
      </c>
      <c r="H506" s="27" t="s">
        <v>7</v>
      </c>
    </row>
    <row r="507" spans="1:10" x14ac:dyDescent="0.25">
      <c r="A507" s="7">
        <v>4.8754391560963954</v>
      </c>
      <c r="B507"/>
      <c r="C507"/>
      <c r="D507"/>
      <c r="E507" t="s">
        <v>8</v>
      </c>
      <c r="F507" s="27" t="s">
        <v>7</v>
      </c>
      <c r="G507" s="27" t="s">
        <v>8</v>
      </c>
      <c r="H507" s="27" t="s">
        <v>7</v>
      </c>
    </row>
    <row r="508" spans="1:10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G508" s="27" t="s">
        <v>8</v>
      </c>
      <c r="H508" s="27" t="s">
        <v>7</v>
      </c>
    </row>
    <row r="509" spans="1:10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G509" s="27" t="s">
        <v>8</v>
      </c>
      <c r="H509" s="27" t="s">
        <v>7</v>
      </c>
    </row>
    <row r="510" spans="1:10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</row>
    <row r="511" spans="1:10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  <c r="I511" s="27" t="s">
        <v>8</v>
      </c>
    </row>
    <row r="512" spans="1:10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  <c r="I512" s="27" t="s">
        <v>8</v>
      </c>
      <c r="J512" s="27" t="s">
        <v>7</v>
      </c>
    </row>
    <row r="513" spans="1:30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  <c r="I513" s="27" t="s">
        <v>8</v>
      </c>
      <c r="J513" s="27" t="s">
        <v>7</v>
      </c>
    </row>
    <row r="514" spans="1:30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H514" s="27" t="s">
        <v>7</v>
      </c>
      <c r="I514" s="27" t="s">
        <v>8</v>
      </c>
      <c r="J514" s="27" t="s">
        <v>7</v>
      </c>
    </row>
    <row r="515" spans="1:30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H515" s="27" t="s">
        <v>7</v>
      </c>
      <c r="I515" s="27" t="s">
        <v>8</v>
      </c>
      <c r="J515" s="27" t="s">
        <v>7</v>
      </c>
      <c r="K515" s="27" t="s">
        <v>8</v>
      </c>
    </row>
    <row r="516" spans="1:30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H516" s="27" t="s">
        <v>7</v>
      </c>
      <c r="I516" s="27" t="s">
        <v>8</v>
      </c>
      <c r="J516" s="27" t="s">
        <v>7</v>
      </c>
      <c r="K516" s="27" t="s">
        <v>8</v>
      </c>
      <c r="L516" s="27" t="s">
        <v>7</v>
      </c>
    </row>
    <row r="517" spans="1:30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H517" s="27" t="s">
        <v>7</v>
      </c>
      <c r="I517" s="27" t="s">
        <v>8</v>
      </c>
      <c r="J517" s="27" t="s">
        <v>7</v>
      </c>
      <c r="K517" s="27" t="s">
        <v>8</v>
      </c>
      <c r="L517" s="27" t="s">
        <v>7</v>
      </c>
    </row>
    <row r="518" spans="1:30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H518" s="27" t="s">
        <v>7</v>
      </c>
      <c r="I518" s="27" t="s">
        <v>8</v>
      </c>
      <c r="J518" s="27" t="s">
        <v>7</v>
      </c>
      <c r="K518" s="27" t="s">
        <v>8</v>
      </c>
      <c r="L518" s="27" t="s">
        <v>7</v>
      </c>
    </row>
    <row r="519" spans="1:30" x14ac:dyDescent="0.25">
      <c r="A519" s="7">
        <v>3.844250502545596</v>
      </c>
      <c r="B519"/>
      <c r="C519"/>
      <c r="D519"/>
      <c r="E519" t="s">
        <v>8</v>
      </c>
      <c r="H519" s="27" t="s">
        <v>7</v>
      </c>
      <c r="J519" s="27" t="s">
        <v>7</v>
      </c>
      <c r="K519" s="27" t="s">
        <v>8</v>
      </c>
      <c r="L519" s="27" t="s">
        <v>7</v>
      </c>
    </row>
    <row r="520" spans="1:30" x14ac:dyDescent="0.25">
      <c r="A520" s="7">
        <v>3.7688730417113687</v>
      </c>
      <c r="B520"/>
      <c r="C520"/>
      <c r="D520"/>
      <c r="E520" t="s">
        <v>8</v>
      </c>
      <c r="J520" s="27" t="s">
        <v>7</v>
      </c>
      <c r="K520" s="27" t="s">
        <v>8</v>
      </c>
      <c r="L520" s="27" t="s">
        <v>7</v>
      </c>
      <c r="M520" s="27" t="s">
        <v>8</v>
      </c>
    </row>
    <row r="521" spans="1:30" x14ac:dyDescent="0.25">
      <c r="A521" s="7">
        <v>3.6949735703052635</v>
      </c>
      <c r="B521"/>
      <c r="C521"/>
      <c r="D521"/>
      <c r="E521" t="s">
        <v>8</v>
      </c>
      <c r="J521" s="27" t="s">
        <v>7</v>
      </c>
      <c r="K521" s="27" t="s">
        <v>8</v>
      </c>
      <c r="L521" s="27" t="s">
        <v>7</v>
      </c>
      <c r="M521" s="27" t="s">
        <v>8</v>
      </c>
      <c r="N521" s="27" t="s">
        <v>7</v>
      </c>
      <c r="O521" s="27" t="s">
        <v>8</v>
      </c>
    </row>
    <row r="522" spans="1:30" x14ac:dyDescent="0.25">
      <c r="A522" s="7">
        <v>3.6225231081424152</v>
      </c>
      <c r="B522"/>
      <c r="C522"/>
      <c r="D522"/>
      <c r="E522" t="s">
        <v>8</v>
      </c>
      <c r="J522" s="27" t="s">
        <v>7</v>
      </c>
      <c r="L522" s="27" t="s">
        <v>7</v>
      </c>
      <c r="M522" s="27" t="s">
        <v>8</v>
      </c>
      <c r="N522" s="27" t="s">
        <v>7</v>
      </c>
      <c r="O522" s="27" t="s">
        <v>8</v>
      </c>
      <c r="P522" s="27" t="s">
        <v>7</v>
      </c>
    </row>
    <row r="523" spans="1:30" x14ac:dyDescent="0.25">
      <c r="A523" s="7">
        <v>3.5514932432768775</v>
      </c>
      <c r="B523"/>
      <c r="C523"/>
      <c r="D523"/>
      <c r="E523" t="s">
        <v>8</v>
      </c>
      <c r="L523" s="27" t="s">
        <v>7</v>
      </c>
      <c r="M523" s="27" t="s">
        <v>8</v>
      </c>
      <c r="N523" s="27" t="s">
        <v>7</v>
      </c>
      <c r="O523" s="27" t="s">
        <v>8</v>
      </c>
      <c r="P523" s="27" t="s">
        <v>7</v>
      </c>
      <c r="S523" s="27" t="s">
        <v>8</v>
      </c>
      <c r="Y523" s="27" t="s">
        <v>8</v>
      </c>
    </row>
    <row r="524" spans="1:30" x14ac:dyDescent="0.25">
      <c r="A524" s="7">
        <v>3.4818561208596837</v>
      </c>
      <c r="B524"/>
      <c r="C524"/>
      <c r="D524"/>
      <c r="E524" t="s">
        <v>8</v>
      </c>
      <c r="L524" s="27" t="s">
        <v>7</v>
      </c>
      <c r="M524" s="27" t="s">
        <v>8</v>
      </c>
      <c r="N524" s="27" t="s">
        <v>7</v>
      </c>
      <c r="O524" s="27" t="s">
        <v>8</v>
      </c>
      <c r="P524" s="27" t="s">
        <v>7</v>
      </c>
      <c r="S524" s="27" t="s">
        <v>8</v>
      </c>
      <c r="T524" s="27" t="s">
        <v>7</v>
      </c>
      <c r="Y524" s="27" t="s">
        <v>8</v>
      </c>
      <c r="Z524" s="27" t="s">
        <v>7</v>
      </c>
    </row>
    <row r="525" spans="1:30" x14ac:dyDescent="0.25">
      <c r="A525" s="7">
        <v>3.4135844322153761</v>
      </c>
      <c r="B525"/>
      <c r="C525"/>
      <c r="D525"/>
      <c r="E525" t="s">
        <v>8</v>
      </c>
      <c r="L525" s="27" t="s">
        <v>7</v>
      </c>
      <c r="M525" s="27" t="s">
        <v>8</v>
      </c>
      <c r="N525" s="27" t="s">
        <v>7</v>
      </c>
      <c r="O525" s="27" t="s">
        <v>8</v>
      </c>
      <c r="P525" s="27" t="s">
        <v>7</v>
      </c>
      <c r="S525" s="27" t="s">
        <v>8</v>
      </c>
      <c r="T525" s="27" t="s">
        <v>7</v>
      </c>
      <c r="U525" s="27" t="s">
        <v>8</v>
      </c>
      <c r="Y525" s="27" t="s">
        <v>8</v>
      </c>
      <c r="Z525" s="27" t="s">
        <v>7</v>
      </c>
    </row>
    <row r="526" spans="1:30" x14ac:dyDescent="0.25">
      <c r="A526" s="7">
        <v>3.3466514041327216</v>
      </c>
      <c r="B526"/>
      <c r="C526"/>
      <c r="D526"/>
      <c r="E526" t="s">
        <v>8</v>
      </c>
      <c r="L526" s="27" t="s">
        <v>7</v>
      </c>
      <c r="M526" s="27" t="s">
        <v>8</v>
      </c>
      <c r="N526" s="27" t="s">
        <v>7</v>
      </c>
      <c r="O526" s="27" t="s">
        <v>8</v>
      </c>
      <c r="P526" s="27" t="s">
        <v>7</v>
      </c>
      <c r="S526" s="27" t="s">
        <v>8</v>
      </c>
      <c r="T526" s="27" t="s">
        <v>7</v>
      </c>
      <c r="U526" s="27" t="s">
        <v>8</v>
      </c>
      <c r="V526" s="27" t="s">
        <v>7</v>
      </c>
      <c r="W526" s="27" t="s">
        <v>8</v>
      </c>
      <c r="Y526" s="27" t="s">
        <v>8</v>
      </c>
      <c r="Z526" s="27" t="s">
        <v>7</v>
      </c>
    </row>
    <row r="527" spans="1:30" x14ac:dyDescent="0.25">
      <c r="A527" s="7">
        <v>3.2810307883654133</v>
      </c>
      <c r="B527"/>
      <c r="C527"/>
      <c r="D527"/>
      <c r="E527" t="s">
        <v>8</v>
      </c>
      <c r="L527" s="27" t="s">
        <v>7</v>
      </c>
      <c r="M527" s="27" t="s">
        <v>8</v>
      </c>
      <c r="N527" s="27" t="s">
        <v>7</v>
      </c>
      <c r="O527" s="27" t="s">
        <v>8</v>
      </c>
      <c r="P527" s="27" t="s">
        <v>7</v>
      </c>
      <c r="S527" s="27" t="s">
        <v>8</v>
      </c>
      <c r="T527" s="27" t="s">
        <v>7</v>
      </c>
      <c r="U527" s="27" t="s">
        <v>8</v>
      </c>
      <c r="V527" s="27" t="s">
        <v>7</v>
      </c>
      <c r="W527" s="27" t="s">
        <v>8</v>
      </c>
      <c r="X527" s="27" t="s">
        <v>7</v>
      </c>
      <c r="Y527" s="27" t="s">
        <v>8</v>
      </c>
      <c r="Z527" s="27" t="s">
        <v>7</v>
      </c>
      <c r="AC527" s="27" t="s">
        <v>8</v>
      </c>
    </row>
    <row r="528" spans="1:30" x14ac:dyDescent="0.25">
      <c r="A528" s="7">
        <v>3.2166968513386403</v>
      </c>
      <c r="B528"/>
      <c r="C528"/>
      <c r="D528"/>
      <c r="E528" t="s">
        <v>8</v>
      </c>
      <c r="L528" s="27" t="s">
        <v>7</v>
      </c>
      <c r="M528" s="27" t="s">
        <v>8</v>
      </c>
      <c r="N528" s="27" t="s">
        <v>7</v>
      </c>
      <c r="O528" s="27" t="s">
        <v>8</v>
      </c>
      <c r="P528" s="27" t="s">
        <v>7</v>
      </c>
      <c r="S528" s="27" t="s">
        <v>8</v>
      </c>
      <c r="T528" s="27" t="s">
        <v>7</v>
      </c>
      <c r="U528" s="27" t="s">
        <v>8</v>
      </c>
      <c r="V528" s="27" t="s">
        <v>7</v>
      </c>
      <c r="W528" s="27" t="s">
        <v>8</v>
      </c>
      <c r="X528" s="27" t="s">
        <v>7</v>
      </c>
      <c r="Y528" s="27" t="s">
        <v>8</v>
      </c>
      <c r="Z528" s="27" t="s">
        <v>7</v>
      </c>
      <c r="AC528" s="27" t="s">
        <v>8</v>
      </c>
      <c r="AD528" s="27" t="s">
        <v>7</v>
      </c>
    </row>
    <row r="529" spans="1:35" x14ac:dyDescent="0.25">
      <c r="A529" s="7">
        <v>3.1536243640574906</v>
      </c>
      <c r="B529"/>
      <c r="C529"/>
      <c r="D529"/>
      <c r="E529" t="s">
        <v>8</v>
      </c>
      <c r="L529" s="27" t="s">
        <v>7</v>
      </c>
      <c r="M529" s="27" t="s">
        <v>8</v>
      </c>
      <c r="N529" s="27" t="s">
        <v>7</v>
      </c>
      <c r="O529" s="27" t="s">
        <v>8</v>
      </c>
      <c r="P529" s="27" t="s">
        <v>7</v>
      </c>
      <c r="S529" s="27" t="s">
        <v>8</v>
      </c>
      <c r="T529" s="27" t="s">
        <v>7</v>
      </c>
      <c r="U529" s="27" t="s">
        <v>8</v>
      </c>
      <c r="V529" s="27" t="s">
        <v>7</v>
      </c>
      <c r="X529" s="27" t="s">
        <v>7</v>
      </c>
      <c r="Y529" s="27" t="s">
        <v>8</v>
      </c>
      <c r="Z529" s="27" t="s">
        <v>7</v>
      </c>
      <c r="AA529" s="27" t="s">
        <v>8</v>
      </c>
      <c r="AC529" s="27" t="s">
        <v>8</v>
      </c>
      <c r="AD529" s="27" t="s">
        <v>7</v>
      </c>
    </row>
    <row r="530" spans="1:35" x14ac:dyDescent="0.25">
      <c r="A530" s="7">
        <v>3.0917885922132262</v>
      </c>
      <c r="B530"/>
      <c r="C530"/>
      <c r="D530"/>
      <c r="E530" t="s">
        <v>8</v>
      </c>
      <c r="L530" s="27" t="s">
        <v>7</v>
      </c>
      <c r="M530" s="27" t="s">
        <v>8</v>
      </c>
      <c r="N530" s="27" t="s">
        <v>7</v>
      </c>
      <c r="O530" s="27" t="s">
        <v>8</v>
      </c>
      <c r="P530" s="27" t="s">
        <v>7</v>
      </c>
      <c r="S530" s="27" t="s">
        <v>8</v>
      </c>
      <c r="T530" s="27" t="s">
        <v>7</v>
      </c>
      <c r="X530" s="27" t="s">
        <v>7</v>
      </c>
      <c r="Z530" s="27" t="s">
        <v>7</v>
      </c>
      <c r="AA530" s="27" t="s">
        <v>8</v>
      </c>
      <c r="AB530" s="27" t="s">
        <v>7</v>
      </c>
      <c r="AC530" s="27" t="s">
        <v>8</v>
      </c>
      <c r="AD530" s="27" t="s">
        <v>7</v>
      </c>
    </row>
    <row r="531" spans="1:35" x14ac:dyDescent="0.25">
      <c r="A531" s="7">
        <v>3.0311652864835552</v>
      </c>
      <c r="B531"/>
      <c r="C531"/>
      <c r="D531"/>
      <c r="E531" t="s">
        <v>8</v>
      </c>
      <c r="L531" s="27" t="s">
        <v>7</v>
      </c>
      <c r="M531" s="27" t="s">
        <v>8</v>
      </c>
      <c r="N531" s="27" t="s">
        <v>7</v>
      </c>
      <c r="O531" s="27" t="s">
        <v>8</v>
      </c>
      <c r="P531" s="27" t="s">
        <v>7</v>
      </c>
      <c r="S531" s="27" t="s">
        <v>8</v>
      </c>
      <c r="Z531" s="27" t="s">
        <v>7</v>
      </c>
      <c r="AA531" s="27" t="s">
        <v>8</v>
      </c>
      <c r="AB531" s="27" t="s">
        <v>7</v>
      </c>
      <c r="AC531" s="27" t="s">
        <v>8</v>
      </c>
      <c r="AD531" s="27" t="s">
        <v>7</v>
      </c>
      <c r="AE531" s="27" t="s">
        <v>8</v>
      </c>
    </row>
    <row r="532" spans="1:35" x14ac:dyDescent="0.25">
      <c r="A532" s="7">
        <v>2.9717306730230932</v>
      </c>
      <c r="B532"/>
      <c r="C532"/>
      <c r="D532"/>
      <c r="E532" t="s">
        <v>8</v>
      </c>
      <c r="L532" s="27" t="s">
        <v>7</v>
      </c>
      <c r="M532" s="27" t="s">
        <v>8</v>
      </c>
      <c r="N532" s="27" t="s">
        <v>7</v>
      </c>
      <c r="O532" s="27" t="s">
        <v>8</v>
      </c>
      <c r="P532" s="27" t="s">
        <v>7</v>
      </c>
      <c r="S532" s="27" t="s">
        <v>8</v>
      </c>
      <c r="Z532" s="27" t="s">
        <v>7</v>
      </c>
      <c r="AA532" s="27" t="s">
        <v>8</v>
      </c>
      <c r="AB532" s="27" t="s">
        <v>7</v>
      </c>
      <c r="AC532" s="27" t="s">
        <v>8</v>
      </c>
      <c r="AD532" s="27" t="s">
        <v>7</v>
      </c>
      <c r="AE532" s="27" t="s">
        <v>8</v>
      </c>
      <c r="AF532" s="27" t="s">
        <v>7</v>
      </c>
    </row>
    <row r="533" spans="1:35" x14ac:dyDescent="0.25">
      <c r="A533" s="7">
        <v>2.9134614441402875</v>
      </c>
      <c r="B533"/>
      <c r="C533"/>
      <c r="D533"/>
      <c r="E533" t="s">
        <v>8</v>
      </c>
      <c r="L533" s="27" t="s">
        <v>7</v>
      </c>
      <c r="M533" s="27" t="s">
        <v>8</v>
      </c>
      <c r="N533" s="27" t="s">
        <v>7</v>
      </c>
      <c r="O533" s="27" t="s">
        <v>8</v>
      </c>
      <c r="P533" s="27" t="s">
        <v>7</v>
      </c>
      <c r="Q533" s="27" t="s">
        <v>8</v>
      </c>
      <c r="S533" s="27" t="s">
        <v>8</v>
      </c>
      <c r="Z533" s="27" t="s">
        <v>7</v>
      </c>
      <c r="AA533" s="27" t="s">
        <v>8</v>
      </c>
      <c r="AB533" s="27" t="s">
        <v>7</v>
      </c>
      <c r="AC533" s="27" t="s">
        <v>8</v>
      </c>
      <c r="AD533" s="27" t="s">
        <v>7</v>
      </c>
      <c r="AE533" s="27" t="s">
        <v>8</v>
      </c>
      <c r="AF533" s="27" t="s">
        <v>7</v>
      </c>
    </row>
    <row r="534" spans="1:35" x14ac:dyDescent="0.25">
      <c r="A534" s="7">
        <v>2.8563347491571447</v>
      </c>
      <c r="B534"/>
      <c r="C534"/>
      <c r="D534"/>
      <c r="E534" t="s">
        <v>8</v>
      </c>
      <c r="L534" s="27" t="s">
        <v>7</v>
      </c>
      <c r="N534" s="27" t="s">
        <v>7</v>
      </c>
      <c r="O534" s="27" t="s">
        <v>8</v>
      </c>
      <c r="P534" s="27" t="s">
        <v>7</v>
      </c>
      <c r="Q534" s="27" t="s">
        <v>8</v>
      </c>
      <c r="R534" s="27" t="s">
        <v>7</v>
      </c>
      <c r="S534" s="27" t="s">
        <v>8</v>
      </c>
      <c r="Z534" s="27" t="s">
        <v>7</v>
      </c>
      <c r="AB534" s="27" t="s">
        <v>7</v>
      </c>
      <c r="AC534" s="27" t="s">
        <v>8</v>
      </c>
      <c r="AD534" s="27" t="s">
        <v>7</v>
      </c>
      <c r="AE534" s="27" t="s">
        <v>8</v>
      </c>
      <c r="AF534" s="27" t="s">
        <v>7</v>
      </c>
    </row>
    <row r="535" spans="1:35" x14ac:dyDescent="0.25">
      <c r="A535" s="7">
        <v>2.8003281854481812</v>
      </c>
      <c r="B535"/>
      <c r="C535"/>
      <c r="D535"/>
      <c r="E535" t="s">
        <v>8</v>
      </c>
      <c r="N535" s="27" t="s">
        <v>7</v>
      </c>
      <c r="O535" s="27" t="s">
        <v>8</v>
      </c>
      <c r="P535" s="27" t="s">
        <v>7</v>
      </c>
      <c r="Q535" s="27" t="s">
        <v>8</v>
      </c>
      <c r="R535" s="27" t="s">
        <v>7</v>
      </c>
      <c r="S535" s="27" t="s">
        <v>8</v>
      </c>
      <c r="AB535" s="27" t="s">
        <v>7</v>
      </c>
      <c r="AD535" s="27" t="s">
        <v>7</v>
      </c>
      <c r="AE535" s="27" t="s">
        <v>8</v>
      </c>
      <c r="AF535" s="27" t="s">
        <v>7</v>
      </c>
    </row>
    <row r="536" spans="1:35" x14ac:dyDescent="0.25">
      <c r="A536" s="7">
        <v>2.7454197896550796</v>
      </c>
      <c r="B536"/>
      <c r="C536"/>
      <c r="D536"/>
      <c r="E536" t="s">
        <v>8</v>
      </c>
      <c r="N536" s="27" t="s">
        <v>7</v>
      </c>
      <c r="P536" s="27" t="s">
        <v>7</v>
      </c>
      <c r="Q536" s="27" t="s">
        <v>8</v>
      </c>
      <c r="R536" s="27" t="s">
        <v>7</v>
      </c>
      <c r="S536" s="27" t="s">
        <v>8</v>
      </c>
      <c r="AD536" s="27" t="s">
        <v>7</v>
      </c>
      <c r="AE536" s="27" t="s">
        <v>8</v>
      </c>
      <c r="AF536" s="27" t="s">
        <v>7</v>
      </c>
    </row>
    <row r="537" spans="1:35" x14ac:dyDescent="0.25">
      <c r="A537" s="7">
        <v>2.6915880290736074</v>
      </c>
      <c r="B537"/>
      <c r="C537"/>
      <c r="D537"/>
      <c r="E537" t="s">
        <v>8</v>
      </c>
      <c r="P537" s="27" t="s">
        <v>7</v>
      </c>
      <c r="Q537" s="27" t="s">
        <v>8</v>
      </c>
      <c r="R537" s="27" t="s">
        <v>7</v>
      </c>
      <c r="S537" s="27" t="s">
        <v>8</v>
      </c>
      <c r="AD537" s="27" t="s">
        <v>7</v>
      </c>
      <c r="AE537" s="27" t="s">
        <v>8</v>
      </c>
      <c r="AF537" s="27" t="s">
        <v>7</v>
      </c>
    </row>
    <row r="538" spans="1:35" x14ac:dyDescent="0.25">
      <c r="A538" s="7">
        <v>2.6388117932094191</v>
      </c>
      <c r="B538"/>
      <c r="C538"/>
      <c r="D538"/>
      <c r="E538" t="s">
        <v>8</v>
      </c>
      <c r="P538" s="27" t="s">
        <v>7</v>
      </c>
      <c r="Q538" s="27" t="s">
        <v>8</v>
      </c>
      <c r="R538" s="27" t="s">
        <v>7</v>
      </c>
      <c r="S538" s="27" t="s">
        <v>8</v>
      </c>
      <c r="AD538" s="27" t="s">
        <v>7</v>
      </c>
      <c r="AE538" s="27" t="s">
        <v>8</v>
      </c>
      <c r="AF538" s="27" t="s">
        <v>7</v>
      </c>
      <c r="AG538" s="27" t="s">
        <v>8</v>
      </c>
    </row>
    <row r="539" spans="1:35" x14ac:dyDescent="0.25">
      <c r="A539" s="7">
        <v>2.5870703854994304</v>
      </c>
      <c r="B539"/>
      <c r="C539"/>
      <c r="D539"/>
      <c r="E539" t="s">
        <v>8</v>
      </c>
      <c r="P539" s="27" t="s">
        <v>7</v>
      </c>
      <c r="Q539" s="27" t="s">
        <v>8</v>
      </c>
      <c r="R539" s="27" t="s">
        <v>7</v>
      </c>
      <c r="S539" s="27" t="s">
        <v>8</v>
      </c>
      <c r="AD539" s="27" t="s">
        <v>7</v>
      </c>
      <c r="AE539" s="27" t="s">
        <v>8</v>
      </c>
      <c r="AF539" s="27" t="s">
        <v>7</v>
      </c>
      <c r="AG539" s="27" t="s">
        <v>8</v>
      </c>
      <c r="AH539" s="27" t="s">
        <v>7</v>
      </c>
    </row>
    <row r="540" spans="1:35" x14ac:dyDescent="0.25">
      <c r="A540" s="7">
        <v>2.53634351519552</v>
      </c>
      <c r="B540"/>
      <c r="C540"/>
      <c r="D540"/>
      <c r="E540" t="s">
        <v>8</v>
      </c>
      <c r="P540" s="27" t="s">
        <v>7</v>
      </c>
      <c r="Q540" s="27" t="s">
        <v>8</v>
      </c>
      <c r="R540" s="27" t="s">
        <v>7</v>
      </c>
      <c r="S540" s="27" t="s">
        <v>8</v>
      </c>
      <c r="AD540" s="27" t="s">
        <v>7</v>
      </c>
      <c r="AE540" s="27" t="s">
        <v>8</v>
      </c>
      <c r="AF540" s="27" t="s">
        <v>7</v>
      </c>
      <c r="AG540" s="27" t="s">
        <v>8</v>
      </c>
      <c r="AH540" s="27" t="s">
        <v>7</v>
      </c>
    </row>
    <row r="541" spans="1:35" x14ac:dyDescent="0.25">
      <c r="A541" s="7">
        <v>2.4866112894073726</v>
      </c>
      <c r="B541"/>
      <c r="C541"/>
      <c r="D541"/>
      <c r="E541" t="s">
        <v>8</v>
      </c>
      <c r="P541" s="27" t="s">
        <v>7</v>
      </c>
      <c r="Q541" s="27" t="s">
        <v>8</v>
      </c>
      <c r="R541" s="27" t="s">
        <v>7</v>
      </c>
      <c r="S541" s="27" t="s">
        <v>8</v>
      </c>
      <c r="AD541" s="27" t="s">
        <v>7</v>
      </c>
      <c r="AE541" s="27" t="s">
        <v>8</v>
      </c>
      <c r="AF541" s="27" t="s">
        <v>7</v>
      </c>
      <c r="AG541" s="27" t="s">
        <v>8</v>
      </c>
      <c r="AH541" s="27" t="s">
        <v>7</v>
      </c>
    </row>
    <row r="542" spans="1:35" x14ac:dyDescent="0.25">
      <c r="A542" s="7">
        <v>2.4378542053013459</v>
      </c>
      <c r="B542"/>
      <c r="C542"/>
      <c r="D542"/>
      <c r="E542" t="s">
        <v>8</v>
      </c>
      <c r="P542" s="27" t="s">
        <v>7</v>
      </c>
      <c r="Q542" s="27" t="s">
        <v>8</v>
      </c>
      <c r="R542" s="27" t="s">
        <v>7</v>
      </c>
      <c r="S542" s="27" t="s">
        <v>8</v>
      </c>
      <c r="AD542" s="27" t="s">
        <v>7</v>
      </c>
      <c r="AE542" s="27" t="s">
        <v>8</v>
      </c>
      <c r="AF542" s="27" t="s">
        <v>7</v>
      </c>
      <c r="AG542" s="27" t="s">
        <v>8</v>
      </c>
      <c r="AH542" s="27" t="s">
        <v>7</v>
      </c>
    </row>
    <row r="543" spans="1:35" x14ac:dyDescent="0.25">
      <c r="A543" s="7">
        <v>2.3900531424522997</v>
      </c>
      <c r="B543"/>
      <c r="C543"/>
      <c r="D543"/>
      <c r="E543" t="s">
        <v>8</v>
      </c>
      <c r="P543" s="27" t="s">
        <v>7</v>
      </c>
      <c r="Q543" s="27" t="s">
        <v>8</v>
      </c>
      <c r="R543" s="27" t="s">
        <v>7</v>
      </c>
      <c r="S543" s="27" t="s">
        <v>8</v>
      </c>
      <c r="AD543" s="27" t="s">
        <v>7</v>
      </c>
      <c r="AE543" s="27" t="s">
        <v>8</v>
      </c>
      <c r="AF543" s="27" t="s">
        <v>7</v>
      </c>
      <c r="AG543" s="27" t="s">
        <v>8</v>
      </c>
      <c r="AH543" s="27" t="s">
        <v>7</v>
      </c>
    </row>
    <row r="544" spans="1:35" x14ac:dyDescent="0.25">
      <c r="A544" s="7">
        <v>2.343189355345392</v>
      </c>
      <c r="B544"/>
      <c r="C544"/>
      <c r="D544"/>
      <c r="E544" t="s">
        <v>8</v>
      </c>
      <c r="P544" s="27" t="s">
        <v>7</v>
      </c>
      <c r="Q544" s="27" t="s">
        <v>8</v>
      </c>
      <c r="R544" s="27" t="s">
        <v>7</v>
      </c>
      <c r="S544" s="27" t="s">
        <v>8</v>
      </c>
      <c r="AD544" s="27" t="s">
        <v>7</v>
      </c>
      <c r="AF544" s="27" t="s">
        <v>7</v>
      </c>
      <c r="AG544" s="27" t="s">
        <v>8</v>
      </c>
      <c r="AH544" s="27" t="s">
        <v>7</v>
      </c>
      <c r="AI544" s="27" t="s">
        <v>8</v>
      </c>
    </row>
    <row r="545" spans="1:122" x14ac:dyDescent="0.25">
      <c r="A545" s="7">
        <v>2.2972444660248938</v>
      </c>
      <c r="B545"/>
      <c r="C545"/>
      <c r="D545"/>
      <c r="E545" t="s">
        <v>8</v>
      </c>
      <c r="P545" s="27" t="s">
        <v>7</v>
      </c>
      <c r="Q545" s="27" t="s">
        <v>8</v>
      </c>
      <c r="R545" s="27" t="s">
        <v>7</v>
      </c>
      <c r="S545" s="27" t="s">
        <v>8</v>
      </c>
      <c r="AF545" s="27" t="s">
        <v>7</v>
      </c>
      <c r="AG545" s="27" t="s">
        <v>8</v>
      </c>
      <c r="AH545" s="27" t="s">
        <v>7</v>
      </c>
      <c r="AI545" s="27" t="s">
        <v>8</v>
      </c>
      <c r="AJ545" s="27" t="s">
        <v>7</v>
      </c>
    </row>
    <row r="546" spans="1:122" x14ac:dyDescent="0.25">
      <c r="A546" s="7">
        <v>2.252200456887151</v>
      </c>
      <c r="B546"/>
      <c r="C546"/>
      <c r="D546"/>
      <c r="E546" t="s">
        <v>8</v>
      </c>
      <c r="P546" s="27" t="s">
        <v>7</v>
      </c>
      <c r="Q546" s="27" t="s">
        <v>8</v>
      </c>
      <c r="R546" s="27" t="s">
        <v>7</v>
      </c>
      <c r="S546" s="27" t="s">
        <v>8</v>
      </c>
      <c r="AF546" s="27" t="s">
        <v>7</v>
      </c>
      <c r="AG546" s="27" t="s">
        <v>8</v>
      </c>
      <c r="AH546" s="27" t="s">
        <v>7</v>
      </c>
      <c r="AI546" s="27" t="s">
        <v>8</v>
      </c>
      <c r="AJ546" s="27" t="s">
        <v>7</v>
      </c>
    </row>
    <row r="547" spans="1:122" x14ac:dyDescent="0.25">
      <c r="A547" s="7">
        <v>2.208039663614854</v>
      </c>
      <c r="B547"/>
      <c r="C547"/>
      <c r="D547"/>
      <c r="E547" t="s">
        <v>8</v>
      </c>
      <c r="P547" s="27" t="s">
        <v>7</v>
      </c>
      <c r="Q547" s="27" t="s">
        <v>8</v>
      </c>
      <c r="R547" s="27" t="s">
        <v>7</v>
      </c>
      <c r="AF547" s="27" t="s">
        <v>7</v>
      </c>
      <c r="AG547" s="27" t="s">
        <v>8</v>
      </c>
      <c r="AH547" s="27" t="s">
        <v>7</v>
      </c>
      <c r="AI547" s="27" t="s">
        <v>8</v>
      </c>
      <c r="AJ547" s="27" t="s">
        <v>7</v>
      </c>
      <c r="CQ547" s="27" t="s">
        <v>8</v>
      </c>
    </row>
    <row r="548" spans="1:122" x14ac:dyDescent="0.25">
      <c r="A548" s="7">
        <v>2.1647447682498568</v>
      </c>
      <c r="B548"/>
      <c r="C548"/>
      <c r="D548"/>
      <c r="E548" t="s">
        <v>8</v>
      </c>
      <c r="P548" s="27" t="s">
        <v>7</v>
      </c>
      <c r="Q548" s="27" t="s">
        <v>8</v>
      </c>
      <c r="AF548" s="27" t="s">
        <v>7</v>
      </c>
      <c r="AH548" s="27" t="s">
        <v>7</v>
      </c>
      <c r="AI548" s="27" t="s">
        <v>8</v>
      </c>
      <c r="AJ548" s="27" t="s">
        <v>7</v>
      </c>
      <c r="CQ548" s="27" t="s">
        <v>8</v>
      </c>
      <c r="CR548" s="27" t="s">
        <v>7</v>
      </c>
    </row>
    <row r="549" spans="1:122" x14ac:dyDescent="0.25">
      <c r="A549" s="7">
        <v>2.1222987924018204</v>
      </c>
      <c r="B549"/>
      <c r="C549"/>
      <c r="D549"/>
      <c r="E549" t="s">
        <v>8</v>
      </c>
      <c r="P549" s="27" t="s">
        <v>7</v>
      </c>
      <c r="Q549" s="27" t="s">
        <v>8</v>
      </c>
      <c r="AH549" s="27" t="s">
        <v>7</v>
      </c>
      <c r="AI549" s="27" t="s">
        <v>8</v>
      </c>
      <c r="AJ549" s="27" t="s">
        <v>7</v>
      </c>
      <c r="CQ549" s="27" t="s">
        <v>8</v>
      </c>
      <c r="CR549" s="27" t="s">
        <v>7</v>
      </c>
    </row>
    <row r="550" spans="1:122" x14ac:dyDescent="0.25">
      <c r="A550" s="7">
        <v>2.0806850905900198</v>
      </c>
      <c r="B550"/>
      <c r="C550"/>
      <c r="D550"/>
      <c r="E550" t="s">
        <v>8</v>
      </c>
      <c r="P550" s="27" t="s">
        <v>7</v>
      </c>
      <c r="Q550" s="27" t="s">
        <v>8</v>
      </c>
      <c r="AH550" s="27" t="s">
        <v>7</v>
      </c>
      <c r="AI550" s="27" t="s">
        <v>8</v>
      </c>
      <c r="AJ550" s="27" t="s">
        <v>7</v>
      </c>
      <c r="CM550" s="27" t="s">
        <v>8</v>
      </c>
      <c r="CQ550" s="27" t="s">
        <v>8</v>
      </c>
      <c r="CR550" s="27" t="s">
        <v>7</v>
      </c>
    </row>
    <row r="551" spans="1:122" x14ac:dyDescent="0.25">
      <c r="A551" s="7">
        <v>2.0398873437157055</v>
      </c>
      <c r="B551"/>
      <c r="C551"/>
      <c r="D551"/>
      <c r="E551" t="s">
        <v>8</v>
      </c>
      <c r="P551" s="27" t="s">
        <v>7</v>
      </c>
      <c r="Q551" s="27" t="s">
        <v>8</v>
      </c>
      <c r="AH551" s="27" t="s">
        <v>7</v>
      </c>
      <c r="AI551" s="27" t="s">
        <v>8</v>
      </c>
      <c r="AJ551" s="27" t="s">
        <v>7</v>
      </c>
      <c r="CI551" s="27" t="s">
        <v>8</v>
      </c>
      <c r="CK551" s="27" t="s">
        <v>8</v>
      </c>
      <c r="CM551" s="27" t="s">
        <v>8</v>
      </c>
      <c r="CN551" s="27" t="s">
        <v>7</v>
      </c>
      <c r="CQ551" s="27" t="s">
        <v>8</v>
      </c>
      <c r="CR551" s="27" t="s">
        <v>7</v>
      </c>
    </row>
    <row r="552" spans="1:122" x14ac:dyDescent="0.25">
      <c r="A552" s="7">
        <v>1.9998895526624565</v>
      </c>
      <c r="B552"/>
      <c r="C552"/>
      <c r="D552"/>
      <c r="E552" t="s">
        <v>8</v>
      </c>
      <c r="P552" s="27" t="s">
        <v>7</v>
      </c>
      <c r="Q552" s="27" t="s">
        <v>8</v>
      </c>
      <c r="AH552" s="27" t="s">
        <v>7</v>
      </c>
      <c r="AJ552" s="27" t="s">
        <v>7</v>
      </c>
      <c r="CI552" s="27" t="s">
        <v>8</v>
      </c>
      <c r="CJ552" s="27" t="s">
        <v>7</v>
      </c>
      <c r="CK552" s="27" t="s">
        <v>8</v>
      </c>
      <c r="CL552" s="27" t="s">
        <v>7</v>
      </c>
      <c r="CM552" s="27" t="s">
        <v>8</v>
      </c>
      <c r="CN552" s="27" t="s">
        <v>7</v>
      </c>
      <c r="CQ552" s="27" t="s">
        <v>8</v>
      </c>
      <c r="CR552" s="27" t="s">
        <v>7</v>
      </c>
    </row>
    <row r="553" spans="1:122" x14ac:dyDescent="0.25">
      <c r="A553" s="7">
        <v>1.9606760320220162</v>
      </c>
      <c r="B553"/>
      <c r="C553"/>
      <c r="D553"/>
      <c r="E553" t="s">
        <v>8</v>
      </c>
      <c r="P553" s="27" t="s">
        <v>7</v>
      </c>
      <c r="Q553" s="27" t="s">
        <v>8</v>
      </c>
      <c r="AJ553" s="27" t="s">
        <v>7</v>
      </c>
      <c r="AK553" s="27" t="s">
        <v>8</v>
      </c>
      <c r="AM553" s="27" t="s">
        <v>8</v>
      </c>
      <c r="CI553" s="27" t="s">
        <v>8</v>
      </c>
      <c r="CJ553" s="27" t="s">
        <v>7</v>
      </c>
      <c r="CK553" s="27" t="s">
        <v>8</v>
      </c>
      <c r="CL553" s="27" t="s">
        <v>7</v>
      </c>
      <c r="CM553" s="27" t="s">
        <v>8</v>
      </c>
      <c r="CN553" s="27" t="s">
        <v>7</v>
      </c>
      <c r="CQ553" s="27" t="s">
        <v>8</v>
      </c>
      <c r="CR553" s="27" t="s">
        <v>7</v>
      </c>
    </row>
    <row r="554" spans="1:122" x14ac:dyDescent="0.25">
      <c r="A554" s="7">
        <v>1.9222314039431532</v>
      </c>
      <c r="B554"/>
      <c r="C554"/>
      <c r="D554"/>
      <c r="E554" t="s">
        <v>8</v>
      </c>
      <c r="P554" s="27" t="s">
        <v>7</v>
      </c>
      <c r="Q554" s="27" t="s">
        <v>8</v>
      </c>
      <c r="AJ554" s="27" t="s">
        <v>7</v>
      </c>
      <c r="AK554" s="27" t="s">
        <v>8</v>
      </c>
      <c r="AL554" s="27" t="s">
        <v>7</v>
      </c>
      <c r="AM554" s="27" t="s">
        <v>8</v>
      </c>
      <c r="AN554" s="27" t="s">
        <v>7</v>
      </c>
      <c r="CI554" s="27" t="s">
        <v>8</v>
      </c>
      <c r="CJ554" s="27" t="s">
        <v>7</v>
      </c>
      <c r="CK554" s="27" t="s">
        <v>8</v>
      </c>
      <c r="CL554" s="27" t="s">
        <v>7</v>
      </c>
      <c r="CM554" s="27" t="s">
        <v>8</v>
      </c>
      <c r="CN554" s="27" t="s">
        <v>7</v>
      </c>
      <c r="CQ554" s="27" t="s">
        <v>8</v>
      </c>
      <c r="CR554" s="27" t="s">
        <v>7</v>
      </c>
      <c r="DQ554" s="27" t="s">
        <v>8</v>
      </c>
    </row>
    <row r="555" spans="1:122" x14ac:dyDescent="0.25">
      <c r="A555" s="7">
        <v>1.8845405921011305</v>
      </c>
      <c r="B555"/>
      <c r="C555"/>
      <c r="D555"/>
      <c r="E555" t="s">
        <v>8</v>
      </c>
      <c r="P555" s="27" t="s">
        <v>7</v>
      </c>
      <c r="Q555" s="27" t="s">
        <v>8</v>
      </c>
      <c r="AJ555" s="27" t="s">
        <v>7</v>
      </c>
      <c r="AK555" s="27" t="s">
        <v>8</v>
      </c>
      <c r="AL555" s="27" t="s">
        <v>7</v>
      </c>
      <c r="AM555" s="27" t="s">
        <v>8</v>
      </c>
      <c r="AN555" s="27" t="s">
        <v>7</v>
      </c>
      <c r="CE555" s="27" t="s">
        <v>8</v>
      </c>
      <c r="CI555" s="27" t="s">
        <v>8</v>
      </c>
      <c r="CJ555" s="27" t="s">
        <v>7</v>
      </c>
      <c r="CK555" s="27" t="s">
        <v>8</v>
      </c>
      <c r="CL555" s="27" t="s">
        <v>7</v>
      </c>
      <c r="CM555" s="27" t="s">
        <v>8</v>
      </c>
      <c r="CN555" s="27" t="s">
        <v>7</v>
      </c>
      <c r="CQ555" s="27" t="s">
        <v>8</v>
      </c>
      <c r="CR555" s="27" t="s">
        <v>7</v>
      </c>
      <c r="DI555" s="27" t="s">
        <v>8</v>
      </c>
      <c r="DQ555" s="27" t="s">
        <v>8</v>
      </c>
      <c r="DR555" s="27" t="s">
        <v>7</v>
      </c>
    </row>
    <row r="556" spans="1:122" x14ac:dyDescent="0.25">
      <c r="A556" s="7">
        <v>1.8475888157854219</v>
      </c>
      <c r="B556"/>
      <c r="C556"/>
      <c r="D556"/>
      <c r="E556" t="s">
        <v>8</v>
      </c>
      <c r="P556" s="27" t="s">
        <v>7</v>
      </c>
      <c r="Q556" s="27" t="s">
        <v>8</v>
      </c>
      <c r="AJ556" s="27" t="s">
        <v>7</v>
      </c>
      <c r="AK556" s="27" t="s">
        <v>8</v>
      </c>
      <c r="AL556" s="27" t="s">
        <v>7</v>
      </c>
      <c r="AM556" s="27" t="s">
        <v>8</v>
      </c>
      <c r="AN556" s="27" t="s">
        <v>7</v>
      </c>
      <c r="CE556" s="27" t="s">
        <v>8</v>
      </c>
      <c r="CF556" s="27" t="s">
        <v>7</v>
      </c>
      <c r="CG556" s="27" t="s">
        <v>8</v>
      </c>
      <c r="CI556" s="27" t="s">
        <v>8</v>
      </c>
      <c r="CJ556" s="27" t="s">
        <v>7</v>
      </c>
      <c r="CK556" s="27" t="s">
        <v>8</v>
      </c>
      <c r="CL556" s="27" t="s">
        <v>7</v>
      </c>
      <c r="CM556" s="27" t="s">
        <v>8</v>
      </c>
      <c r="CN556" s="27" t="s">
        <v>7</v>
      </c>
      <c r="CO556" s="27" t="s">
        <v>8</v>
      </c>
      <c r="CQ556" s="27" t="s">
        <v>8</v>
      </c>
      <c r="CR556" s="27" t="s">
        <v>7</v>
      </c>
      <c r="DI556" s="27" t="s">
        <v>8</v>
      </c>
      <c r="DJ556" s="27" t="s">
        <v>7</v>
      </c>
      <c r="DK556" s="27" t="s">
        <v>8</v>
      </c>
      <c r="DQ556" s="27" t="s">
        <v>8</v>
      </c>
      <c r="DR556" s="27" t="s">
        <v>7</v>
      </c>
    </row>
    <row r="557" spans="1:122" x14ac:dyDescent="0.25">
      <c r="A557" s="7">
        <v>1.8113615841033548</v>
      </c>
      <c r="B557"/>
      <c r="C557"/>
      <c r="D557"/>
      <c r="E557" t="s">
        <v>8</v>
      </c>
      <c r="P557" s="27" t="s">
        <v>7</v>
      </c>
      <c r="Q557" s="27" t="s">
        <v>8</v>
      </c>
      <c r="AJ557" s="27" t="s">
        <v>7</v>
      </c>
      <c r="AK557" s="27" t="s">
        <v>8</v>
      </c>
      <c r="AL557" s="27" t="s">
        <v>7</v>
      </c>
      <c r="AM557" s="27" t="s">
        <v>8</v>
      </c>
      <c r="AN557" s="27" t="s">
        <v>7</v>
      </c>
      <c r="AO557" s="27" t="s">
        <v>8</v>
      </c>
      <c r="CE557" s="27" t="s">
        <v>8</v>
      </c>
      <c r="CF557" s="27" t="s">
        <v>7</v>
      </c>
      <c r="CG557" s="27" t="s">
        <v>8</v>
      </c>
      <c r="CH557" s="27" t="s">
        <v>7</v>
      </c>
      <c r="CI557" s="27" t="s">
        <v>8</v>
      </c>
      <c r="CJ557" s="27" t="s">
        <v>7</v>
      </c>
      <c r="CK557" s="27" t="s">
        <v>8</v>
      </c>
      <c r="CL557" s="27" t="s">
        <v>7</v>
      </c>
      <c r="CM557" s="27" t="s">
        <v>8</v>
      </c>
      <c r="CN557" s="27" t="s">
        <v>7</v>
      </c>
      <c r="CO557" s="27" t="s">
        <v>8</v>
      </c>
      <c r="CP557" s="27" t="s">
        <v>7</v>
      </c>
      <c r="CQ557" s="27" t="s">
        <v>8</v>
      </c>
      <c r="CR557" s="27" t="s">
        <v>7</v>
      </c>
      <c r="DI557" s="27" t="s">
        <v>8</v>
      </c>
      <c r="DJ557" s="27" t="s">
        <v>7</v>
      </c>
      <c r="DK557" s="27" t="s">
        <v>8</v>
      </c>
      <c r="DL557" s="27" t="s">
        <v>7</v>
      </c>
      <c r="DQ557" s="27" t="s">
        <v>8</v>
      </c>
      <c r="DR557" s="27" t="s">
        <v>7</v>
      </c>
    </row>
    <row r="558" spans="1:122" x14ac:dyDescent="0.25">
      <c r="A558" s="7">
        <v>1.7758446902974065</v>
      </c>
      <c r="B558"/>
      <c r="C558"/>
      <c r="D558"/>
      <c r="E558" t="s">
        <v>8</v>
      </c>
      <c r="P558" s="27" t="s">
        <v>7</v>
      </c>
      <c r="AJ558" s="27" t="s">
        <v>7</v>
      </c>
      <c r="AK558" s="27" t="s">
        <v>8</v>
      </c>
      <c r="AL558" s="27" t="s">
        <v>7</v>
      </c>
      <c r="AM558" s="27" t="s">
        <v>8</v>
      </c>
      <c r="AN558" s="27" t="s">
        <v>7</v>
      </c>
      <c r="AO558" s="27" t="s">
        <v>8</v>
      </c>
      <c r="AP558" s="27" t="s">
        <v>7</v>
      </c>
      <c r="AQ558" s="27" t="s">
        <v>8</v>
      </c>
      <c r="CE558" s="27" t="s">
        <v>8</v>
      </c>
      <c r="CF558" s="27" t="s">
        <v>7</v>
      </c>
      <c r="CG558" s="27" t="s">
        <v>8</v>
      </c>
      <c r="CH558" s="27" t="s">
        <v>7</v>
      </c>
      <c r="CI558" s="27" t="s">
        <v>8</v>
      </c>
      <c r="CJ558" s="27" t="s">
        <v>7</v>
      </c>
      <c r="CK558" s="27" t="s">
        <v>8</v>
      </c>
      <c r="CL558" s="27" t="s">
        <v>7</v>
      </c>
      <c r="CM558" s="27" t="s">
        <v>8</v>
      </c>
      <c r="CN558" s="27" t="s">
        <v>7</v>
      </c>
      <c r="CO558" s="27" t="s">
        <v>8</v>
      </c>
      <c r="CP558" s="27" t="s">
        <v>7</v>
      </c>
      <c r="CQ558" s="27" t="s">
        <v>8</v>
      </c>
      <c r="CR558" s="27" t="s">
        <v>7</v>
      </c>
      <c r="CS558" s="27" t="s">
        <v>8</v>
      </c>
      <c r="DI558" s="27" t="s">
        <v>8</v>
      </c>
      <c r="DJ558" s="27" t="s">
        <v>7</v>
      </c>
      <c r="DK558" s="27" t="s">
        <v>8</v>
      </c>
      <c r="DL558" s="27" t="s">
        <v>7</v>
      </c>
      <c r="DQ558" s="27" t="s">
        <v>8</v>
      </c>
      <c r="DR558" s="27" t="s">
        <v>7</v>
      </c>
    </row>
    <row r="559" spans="1:122" x14ac:dyDescent="0.25">
      <c r="A559" s="7">
        <v>1.7410242061739281</v>
      </c>
      <c r="B559"/>
      <c r="C559"/>
      <c r="D559"/>
      <c r="E559" t="s">
        <v>8</v>
      </c>
      <c r="AJ559" s="27" t="s">
        <v>7</v>
      </c>
      <c r="AK559" s="27" t="s">
        <v>8</v>
      </c>
      <c r="AL559" s="27" t="s">
        <v>7</v>
      </c>
      <c r="AM559" s="27" t="s">
        <v>8</v>
      </c>
      <c r="AN559" s="27" t="s">
        <v>7</v>
      </c>
      <c r="AO559" s="27" t="s">
        <v>8</v>
      </c>
      <c r="AP559" s="27" t="s">
        <v>7</v>
      </c>
      <c r="AQ559" s="27" t="s">
        <v>8</v>
      </c>
      <c r="AR559" s="27" t="s">
        <v>7</v>
      </c>
      <c r="AS559" s="27" t="s">
        <v>8</v>
      </c>
      <c r="AU559" s="27" t="s">
        <v>8</v>
      </c>
      <c r="AW559" s="27" t="s">
        <v>8</v>
      </c>
      <c r="CC559" s="27" t="s">
        <v>8</v>
      </c>
      <c r="CE559" s="27" t="s">
        <v>8</v>
      </c>
      <c r="CF559" s="27" t="s">
        <v>7</v>
      </c>
      <c r="CG559" s="27" t="s">
        <v>8</v>
      </c>
      <c r="CH559" s="27" t="s">
        <v>7</v>
      </c>
      <c r="CJ559" s="27" t="s">
        <v>7</v>
      </c>
      <c r="CK559" s="27" t="s">
        <v>8</v>
      </c>
      <c r="CL559" s="27" t="s">
        <v>7</v>
      </c>
      <c r="CN559" s="27" t="s">
        <v>7</v>
      </c>
      <c r="CO559" s="27" t="s">
        <v>8</v>
      </c>
      <c r="CP559" s="27" t="s">
        <v>7</v>
      </c>
      <c r="CQ559" s="27" t="s">
        <v>8</v>
      </c>
      <c r="CR559" s="27" t="s">
        <v>7</v>
      </c>
      <c r="CS559" s="27" t="s">
        <v>8</v>
      </c>
      <c r="CT559" s="27" t="s">
        <v>7</v>
      </c>
      <c r="CW559" s="27" t="s">
        <v>8</v>
      </c>
      <c r="DI559" s="27" t="s">
        <v>8</v>
      </c>
      <c r="DJ559" s="27" t="s">
        <v>7</v>
      </c>
      <c r="DK559" s="27" t="s">
        <v>8</v>
      </c>
      <c r="DL559" s="27" t="s">
        <v>7</v>
      </c>
      <c r="DQ559" s="27" t="s">
        <v>8</v>
      </c>
      <c r="DR559" s="27" t="s">
        <v>7</v>
      </c>
    </row>
    <row r="560" spans="1:122" x14ac:dyDescent="0.25">
      <c r="A560" s="7">
        <v>1.7068864766411058</v>
      </c>
      <c r="B560"/>
      <c r="C560"/>
      <c r="D560"/>
      <c r="E560" t="s">
        <v>8</v>
      </c>
      <c r="AJ560" s="27" t="s">
        <v>7</v>
      </c>
      <c r="AK560" s="27" t="s">
        <v>8</v>
      </c>
      <c r="AL560" s="27" t="s">
        <v>7</v>
      </c>
      <c r="AM560" s="27" t="s">
        <v>8</v>
      </c>
      <c r="AN560" s="27" t="s">
        <v>7</v>
      </c>
      <c r="AO560" s="27" t="s">
        <v>8</v>
      </c>
      <c r="AP560" s="27" t="s">
        <v>7</v>
      </c>
      <c r="AQ560" s="27" t="s">
        <v>8</v>
      </c>
      <c r="AR560" s="27" t="s">
        <v>7</v>
      </c>
      <c r="AS560" s="27" t="s">
        <v>8</v>
      </c>
      <c r="AT560" s="27" t="s">
        <v>7</v>
      </c>
      <c r="AU560" s="27" t="s">
        <v>8</v>
      </c>
      <c r="AV560" s="27" t="s">
        <v>7</v>
      </c>
      <c r="AW560" s="27" t="s">
        <v>8</v>
      </c>
      <c r="AX560" s="27" t="s">
        <v>7</v>
      </c>
      <c r="CC560" s="27" t="s">
        <v>8</v>
      </c>
      <c r="CD560" s="27" t="s">
        <v>7</v>
      </c>
      <c r="CE560" s="27" t="s">
        <v>8</v>
      </c>
      <c r="CF560" s="27" t="s">
        <v>7</v>
      </c>
      <c r="CJ560" s="27" t="s">
        <v>7</v>
      </c>
      <c r="CK560" s="27" t="s">
        <v>8</v>
      </c>
      <c r="CN560" s="27" t="s">
        <v>7</v>
      </c>
      <c r="CO560" s="27" t="s">
        <v>8</v>
      </c>
      <c r="CP560" s="27" t="s">
        <v>7</v>
      </c>
      <c r="CQ560" s="27" t="s">
        <v>8</v>
      </c>
      <c r="CR560" s="27" t="s">
        <v>7</v>
      </c>
      <c r="CS560" s="27" t="s">
        <v>8</v>
      </c>
      <c r="CT560" s="27" t="s">
        <v>7</v>
      </c>
      <c r="CW560" s="27" t="s">
        <v>8</v>
      </c>
      <c r="CX560" s="27" t="s">
        <v>7</v>
      </c>
      <c r="DG560" s="27" t="s">
        <v>8</v>
      </c>
      <c r="DI560" s="27" t="s">
        <v>8</v>
      </c>
      <c r="DJ560" s="27" t="s">
        <v>7</v>
      </c>
      <c r="DK560" s="27" t="s">
        <v>8</v>
      </c>
      <c r="DL560" s="27" t="s">
        <v>7</v>
      </c>
      <c r="DM560" s="27" t="s">
        <v>8</v>
      </c>
      <c r="DQ560" s="27" t="s">
        <v>8</v>
      </c>
      <c r="DR560" s="27" t="s">
        <v>7</v>
      </c>
    </row>
    <row r="561" spans="1:147" x14ac:dyDescent="0.25">
      <c r="A561" s="7">
        <v>1.6734181143540252</v>
      </c>
      <c r="B561"/>
      <c r="C561"/>
      <c r="D561"/>
      <c r="E561" t="s">
        <v>8</v>
      </c>
      <c r="AJ561" s="27" t="s">
        <v>7</v>
      </c>
      <c r="AK561" s="27" t="s">
        <v>8</v>
      </c>
      <c r="AL561" s="27" t="s">
        <v>7</v>
      </c>
      <c r="AM561" s="27" t="s">
        <v>8</v>
      </c>
      <c r="AN561" s="27" t="s">
        <v>7</v>
      </c>
      <c r="AO561" s="27" t="s">
        <v>8</v>
      </c>
      <c r="AP561" s="27" t="s">
        <v>7</v>
      </c>
      <c r="AQ561" s="27" t="s">
        <v>8</v>
      </c>
      <c r="AR561" s="27" t="s">
        <v>7</v>
      </c>
      <c r="AS561" s="27" t="s">
        <v>8</v>
      </c>
      <c r="AT561" s="27" t="s">
        <v>7</v>
      </c>
      <c r="AU561" s="27" t="s">
        <v>8</v>
      </c>
      <c r="AV561" s="27" t="s">
        <v>7</v>
      </c>
      <c r="AW561" s="27" t="s">
        <v>8</v>
      </c>
      <c r="AX561" s="27" t="s">
        <v>7</v>
      </c>
      <c r="BY561" s="27" t="s">
        <v>8</v>
      </c>
      <c r="CC561" s="27" t="s">
        <v>8</v>
      </c>
      <c r="CD561" s="27" t="s">
        <v>7</v>
      </c>
      <c r="CE561" s="27" t="s">
        <v>8</v>
      </c>
      <c r="CJ561" s="27" t="s">
        <v>7</v>
      </c>
      <c r="CK561" s="27" t="s">
        <v>8</v>
      </c>
      <c r="CN561" s="27" t="s">
        <v>7</v>
      </c>
      <c r="CO561" s="27" t="s">
        <v>8</v>
      </c>
      <c r="CP561" s="27" t="s">
        <v>7</v>
      </c>
      <c r="CR561" s="27" t="s">
        <v>7</v>
      </c>
      <c r="CS561" s="27" t="s">
        <v>8</v>
      </c>
      <c r="CT561" s="27" t="s">
        <v>7</v>
      </c>
      <c r="CW561" s="27" t="s">
        <v>8</v>
      </c>
      <c r="CX561" s="27" t="s">
        <v>7</v>
      </c>
      <c r="DG561" s="27" t="s">
        <v>8</v>
      </c>
      <c r="DH561" s="27" t="s">
        <v>7</v>
      </c>
      <c r="DI561" s="27" t="s">
        <v>8</v>
      </c>
      <c r="DJ561" s="27" t="s">
        <v>7</v>
      </c>
      <c r="DL561" s="27" t="s">
        <v>7</v>
      </c>
      <c r="DM561" s="27" t="s">
        <v>8</v>
      </c>
      <c r="DN561" s="27" t="s">
        <v>7</v>
      </c>
      <c r="DQ561" s="27" t="s">
        <v>8</v>
      </c>
      <c r="DR561" s="27" t="s">
        <v>7</v>
      </c>
      <c r="DS561" s="27" t="s">
        <v>8</v>
      </c>
    </row>
    <row r="562" spans="1:147" x14ac:dyDescent="0.25">
      <c r="A562" s="7">
        <v>1.6406059944647307</v>
      </c>
      <c r="B562"/>
      <c r="C562"/>
      <c r="D562"/>
      <c r="E562" t="s">
        <v>8</v>
      </c>
      <c r="AJ562" s="27" t="s">
        <v>7</v>
      </c>
      <c r="AK562" s="27" t="s">
        <v>8</v>
      </c>
      <c r="AL562" s="27" t="s">
        <v>7</v>
      </c>
      <c r="AM562" s="27" t="s">
        <v>8</v>
      </c>
      <c r="AN562" s="27" t="s">
        <v>7</v>
      </c>
      <c r="AO562" s="27" t="s">
        <v>8</v>
      </c>
      <c r="AP562" s="27" t="s">
        <v>7</v>
      </c>
      <c r="AQ562" s="27" t="s">
        <v>8</v>
      </c>
      <c r="AR562" s="27" t="s">
        <v>7</v>
      </c>
      <c r="AS562" s="27" t="s">
        <v>8</v>
      </c>
      <c r="AT562" s="27" t="s">
        <v>7</v>
      </c>
      <c r="AU562" s="27" t="s">
        <v>8</v>
      </c>
      <c r="AV562" s="27" t="s">
        <v>7</v>
      </c>
      <c r="AW562" s="27" t="s">
        <v>8</v>
      </c>
      <c r="AX562" s="27" t="s">
        <v>7</v>
      </c>
      <c r="BY562" s="27" t="s">
        <v>8</v>
      </c>
      <c r="BZ562" s="27" t="s">
        <v>7</v>
      </c>
      <c r="CC562" s="27" t="s">
        <v>8</v>
      </c>
      <c r="CD562" s="27" t="s">
        <v>7</v>
      </c>
      <c r="CE562" s="27" t="s">
        <v>8</v>
      </c>
      <c r="CJ562" s="27" t="s">
        <v>7</v>
      </c>
      <c r="CK562" s="27" t="s">
        <v>8</v>
      </c>
      <c r="CN562" s="27" t="s">
        <v>7</v>
      </c>
      <c r="CR562" s="27" t="s">
        <v>7</v>
      </c>
      <c r="CS562" s="27" t="s">
        <v>8</v>
      </c>
      <c r="CT562" s="27" t="s">
        <v>7</v>
      </c>
      <c r="CW562" s="27" t="s">
        <v>8</v>
      </c>
      <c r="CX562" s="27" t="s">
        <v>7</v>
      </c>
      <c r="DG562" s="27" t="s">
        <v>8</v>
      </c>
      <c r="DH562" s="27" t="s">
        <v>7</v>
      </c>
      <c r="DI562" s="27" t="s">
        <v>8</v>
      </c>
      <c r="DL562" s="27" t="s">
        <v>7</v>
      </c>
      <c r="DM562" s="27" t="s">
        <v>8</v>
      </c>
      <c r="DN562" s="27" t="s">
        <v>7</v>
      </c>
      <c r="DQ562" s="27" t="s">
        <v>8</v>
      </c>
      <c r="DR562" s="27" t="s">
        <v>7</v>
      </c>
      <c r="DS562" s="27" t="s">
        <v>8</v>
      </c>
      <c r="DT562" s="27" t="s">
        <v>7</v>
      </c>
      <c r="DY562" s="27" t="s">
        <v>8</v>
      </c>
    </row>
    <row r="563" spans="1:147" x14ac:dyDescent="0.25">
      <c r="A563" s="7">
        <v>1.6084372494752261</v>
      </c>
      <c r="B563"/>
      <c r="C563"/>
      <c r="D563"/>
      <c r="E563" t="s">
        <v>8</v>
      </c>
      <c r="AJ563" s="27" t="s">
        <v>7</v>
      </c>
      <c r="AK563" s="27" t="s">
        <v>8</v>
      </c>
      <c r="AL563" s="27" t="s">
        <v>7</v>
      </c>
      <c r="AM563" s="27" t="s">
        <v>8</v>
      </c>
      <c r="AN563" s="27" t="s">
        <v>7</v>
      </c>
      <c r="AO563" s="27" t="s">
        <v>8</v>
      </c>
      <c r="AP563" s="27" t="s">
        <v>7</v>
      </c>
      <c r="AQ563" s="27" t="s">
        <v>8</v>
      </c>
      <c r="AR563" s="27" t="s">
        <v>7</v>
      </c>
      <c r="AS563" s="27" t="s">
        <v>8</v>
      </c>
      <c r="AT563" s="27" t="s">
        <v>7</v>
      </c>
      <c r="AV563" s="27" t="s">
        <v>7</v>
      </c>
      <c r="AW563" s="27" t="s">
        <v>8</v>
      </c>
      <c r="AX563" s="27" t="s">
        <v>7</v>
      </c>
      <c r="BY563" s="27" t="s">
        <v>8</v>
      </c>
      <c r="BZ563" s="27" t="s">
        <v>7</v>
      </c>
      <c r="CA563" s="27" t="s">
        <v>8</v>
      </c>
      <c r="CC563" s="27" t="s">
        <v>8</v>
      </c>
      <c r="CD563" s="27" t="s">
        <v>7</v>
      </c>
      <c r="CE563" s="27" t="s">
        <v>8</v>
      </c>
      <c r="CJ563" s="27" t="s">
        <v>7</v>
      </c>
      <c r="CR563" s="27" t="s">
        <v>7</v>
      </c>
      <c r="CS563" s="27" t="s">
        <v>8</v>
      </c>
      <c r="CT563" s="27" t="s">
        <v>7</v>
      </c>
      <c r="CU563" s="27" t="s">
        <v>8</v>
      </c>
      <c r="CW563" s="27" t="s">
        <v>8</v>
      </c>
      <c r="CX563" s="27" t="s">
        <v>7</v>
      </c>
      <c r="DG563" s="27" t="s">
        <v>8</v>
      </c>
      <c r="DH563" s="27" t="s">
        <v>7</v>
      </c>
      <c r="DL563" s="27" t="s">
        <v>7</v>
      </c>
      <c r="DM563" s="27" t="s">
        <v>8</v>
      </c>
      <c r="DN563" s="27" t="s">
        <v>7</v>
      </c>
      <c r="DO563" s="27" t="s">
        <v>8</v>
      </c>
      <c r="DQ563" s="27" t="s">
        <v>8</v>
      </c>
      <c r="DR563" s="27" t="s">
        <v>7</v>
      </c>
      <c r="DS563" s="27" t="s">
        <v>8</v>
      </c>
      <c r="DT563" s="27" t="s">
        <v>7</v>
      </c>
      <c r="DU563" s="27" t="s">
        <v>8</v>
      </c>
      <c r="DY563" s="27" t="s">
        <v>8</v>
      </c>
      <c r="DZ563" s="27" t="s">
        <v>7</v>
      </c>
    </row>
    <row r="564" spans="1:147" x14ac:dyDescent="0.25">
      <c r="A564" s="7">
        <v>1.5768992641913981</v>
      </c>
      <c r="B564"/>
      <c r="C564"/>
      <c r="D564"/>
      <c r="E564" t="s">
        <v>8</v>
      </c>
      <c r="AJ564" s="27" t="s">
        <v>7</v>
      </c>
      <c r="AK564" s="27" t="s">
        <v>8</v>
      </c>
      <c r="AL564" s="27" t="s">
        <v>7</v>
      </c>
      <c r="AM564" s="27" t="s">
        <v>8</v>
      </c>
      <c r="AN564" s="27" t="s">
        <v>7</v>
      </c>
      <c r="AO564" s="27" t="s">
        <v>8</v>
      </c>
      <c r="AP564" s="27" t="s">
        <v>7</v>
      </c>
      <c r="AQ564" s="27" t="s">
        <v>8</v>
      </c>
      <c r="AR564" s="27" t="s">
        <v>7</v>
      </c>
      <c r="AS564" s="27" t="s">
        <v>8</v>
      </c>
      <c r="AV564" s="27" t="s">
        <v>7</v>
      </c>
      <c r="AW564" s="27" t="s">
        <v>8</v>
      </c>
      <c r="AX564" s="27" t="s">
        <v>7</v>
      </c>
      <c r="BY564" s="27" t="s">
        <v>8</v>
      </c>
      <c r="BZ564" s="27" t="s">
        <v>7</v>
      </c>
      <c r="CA564" s="27" t="s">
        <v>8</v>
      </c>
      <c r="CB564" s="27" t="s">
        <v>7</v>
      </c>
      <c r="CC564" s="27" t="s">
        <v>8</v>
      </c>
      <c r="CD564" s="27" t="s">
        <v>7</v>
      </c>
      <c r="CE564" s="27" t="s">
        <v>8</v>
      </c>
      <c r="CR564" s="27" t="s">
        <v>7</v>
      </c>
      <c r="CS564" s="27" t="s">
        <v>8</v>
      </c>
      <c r="CT564" s="27" t="s">
        <v>7</v>
      </c>
      <c r="CU564" s="27" t="s">
        <v>8</v>
      </c>
      <c r="CV564" s="27" t="s">
        <v>7</v>
      </c>
      <c r="CW564" s="27" t="s">
        <v>8</v>
      </c>
      <c r="CX564" s="27" t="s">
        <v>7</v>
      </c>
      <c r="DC564" s="27" t="s">
        <v>8</v>
      </c>
      <c r="DE564" s="27" t="s">
        <v>8</v>
      </c>
      <c r="DG564" s="27" t="s">
        <v>8</v>
      </c>
      <c r="DL564" s="27" t="s">
        <v>7</v>
      </c>
      <c r="DM564" s="27" t="s">
        <v>8</v>
      </c>
      <c r="DN564" s="27" t="s">
        <v>7</v>
      </c>
      <c r="DO564" s="27" t="s">
        <v>8</v>
      </c>
      <c r="DP564" s="27" t="s">
        <v>7</v>
      </c>
      <c r="DQ564" s="27" t="s">
        <v>8</v>
      </c>
      <c r="DR564" s="27" t="s">
        <v>7</v>
      </c>
      <c r="DS564" s="27" t="s">
        <v>8</v>
      </c>
      <c r="DT564" s="27" t="s">
        <v>7</v>
      </c>
      <c r="DU564" s="27" t="s">
        <v>8</v>
      </c>
      <c r="DV564" s="27" t="s">
        <v>7</v>
      </c>
      <c r="DY564" s="27" t="s">
        <v>8</v>
      </c>
      <c r="DZ564" s="27" t="s">
        <v>7</v>
      </c>
    </row>
    <row r="565" spans="1:147" x14ac:dyDescent="0.25">
      <c r="A565" s="7">
        <v>1.5459796707758806</v>
      </c>
      <c r="B565"/>
      <c r="C565"/>
      <c r="D565"/>
      <c r="E565" t="s">
        <v>8</v>
      </c>
      <c r="AJ565" s="27" t="s">
        <v>7</v>
      </c>
      <c r="AK565" s="27" t="s">
        <v>8</v>
      </c>
      <c r="AL565" s="27" t="s">
        <v>7</v>
      </c>
      <c r="AM565" s="27" t="s">
        <v>8</v>
      </c>
      <c r="AN565" s="27" t="s">
        <v>7</v>
      </c>
      <c r="AP565" s="27" t="s">
        <v>7</v>
      </c>
      <c r="AR565" s="27" t="s">
        <v>7</v>
      </c>
      <c r="AV565" s="27" t="s">
        <v>7</v>
      </c>
      <c r="AW565" s="27" t="s">
        <v>8</v>
      </c>
      <c r="AX565" s="27" t="s">
        <v>7</v>
      </c>
      <c r="AY565" s="27" t="s">
        <v>8</v>
      </c>
      <c r="BW565" s="27" t="s">
        <v>8</v>
      </c>
      <c r="BY565" s="27" t="s">
        <v>8</v>
      </c>
      <c r="BZ565" s="27" t="s">
        <v>7</v>
      </c>
      <c r="CA565" s="27" t="s">
        <v>8</v>
      </c>
      <c r="CB565" s="27" t="s">
        <v>7</v>
      </c>
      <c r="CC565" s="27" t="s">
        <v>8</v>
      </c>
      <c r="CD565" s="27" t="s">
        <v>7</v>
      </c>
      <c r="CE565" s="27" t="s">
        <v>8</v>
      </c>
      <c r="CR565" s="27" t="s">
        <v>7</v>
      </c>
      <c r="CS565" s="27" t="s">
        <v>8</v>
      </c>
      <c r="CT565" s="27" t="s">
        <v>7</v>
      </c>
      <c r="CU565" s="27" t="s">
        <v>8</v>
      </c>
      <c r="CV565" s="27" t="s">
        <v>7</v>
      </c>
      <c r="CW565" s="27" t="s">
        <v>8</v>
      </c>
      <c r="CX565" s="27" t="s">
        <v>7</v>
      </c>
      <c r="DC565" s="27" t="s">
        <v>8</v>
      </c>
      <c r="DD565" s="27" t="s">
        <v>7</v>
      </c>
      <c r="DE565" s="27" t="s">
        <v>8</v>
      </c>
      <c r="DF565" s="27" t="s">
        <v>7</v>
      </c>
      <c r="DG565" s="27" t="s">
        <v>8</v>
      </c>
      <c r="DL565" s="27" t="s">
        <v>7</v>
      </c>
      <c r="DM565" s="27" t="s">
        <v>8</v>
      </c>
      <c r="DN565" s="27" t="s">
        <v>7</v>
      </c>
      <c r="DO565" s="27" t="s">
        <v>8</v>
      </c>
      <c r="DP565" s="27" t="s">
        <v>7</v>
      </c>
      <c r="DQ565" s="27" t="s">
        <v>8</v>
      </c>
      <c r="DR565" s="27" t="s">
        <v>7</v>
      </c>
      <c r="DS565" s="27" t="s">
        <v>8</v>
      </c>
      <c r="DT565" s="27" t="s">
        <v>7</v>
      </c>
      <c r="DU565" s="27" t="s">
        <v>8</v>
      </c>
      <c r="DV565" s="27" t="s">
        <v>7</v>
      </c>
      <c r="DW565" s="27" t="s">
        <v>8</v>
      </c>
      <c r="DY565" s="27" t="s">
        <v>8</v>
      </c>
      <c r="DZ565" s="27" t="s">
        <v>7</v>
      </c>
    </row>
    <row r="566" spans="1:147" x14ac:dyDescent="0.25">
      <c r="A566" s="7">
        <v>1.5156663438979221</v>
      </c>
      <c r="B566"/>
      <c r="C566"/>
      <c r="D566"/>
      <c r="E566" t="s">
        <v>8</v>
      </c>
      <c r="AJ566" s="27" t="s">
        <v>7</v>
      </c>
      <c r="AK566" s="27" t="s">
        <v>8</v>
      </c>
      <c r="AL566" s="27" t="s">
        <v>7</v>
      </c>
      <c r="AM566" s="27" t="s">
        <v>8</v>
      </c>
      <c r="AV566" s="27" t="s">
        <v>7</v>
      </c>
      <c r="AX566" s="27" t="s">
        <v>7</v>
      </c>
      <c r="AY566" s="27" t="s">
        <v>8</v>
      </c>
      <c r="AZ566" s="27" t="s">
        <v>7</v>
      </c>
      <c r="BW566" s="27" t="s">
        <v>8</v>
      </c>
      <c r="BX566" s="27" t="s">
        <v>7</v>
      </c>
      <c r="BY566" s="27" t="s">
        <v>8</v>
      </c>
      <c r="BZ566" s="27" t="s">
        <v>7</v>
      </c>
      <c r="CA566" s="27" t="s">
        <v>8</v>
      </c>
      <c r="CB566" s="27" t="s">
        <v>7</v>
      </c>
      <c r="CC566" s="27" t="s">
        <v>8</v>
      </c>
      <c r="CD566" s="27" t="s">
        <v>7</v>
      </c>
      <c r="CE566" s="27" t="s">
        <v>8</v>
      </c>
      <c r="CR566" s="27" t="s">
        <v>7</v>
      </c>
      <c r="CS566" s="27" t="s">
        <v>8</v>
      </c>
      <c r="CT566" s="27" t="s">
        <v>7</v>
      </c>
      <c r="CV566" s="27" t="s">
        <v>7</v>
      </c>
      <c r="CW566" s="27" t="s">
        <v>8</v>
      </c>
      <c r="CX566" s="27" t="s">
        <v>7</v>
      </c>
      <c r="DC566" s="27" t="s">
        <v>8</v>
      </c>
      <c r="DD566" s="27" t="s">
        <v>7</v>
      </c>
      <c r="DE566" s="27" t="s">
        <v>8</v>
      </c>
      <c r="DF566" s="27" t="s">
        <v>7</v>
      </c>
      <c r="DG566" s="27" t="s">
        <v>8</v>
      </c>
      <c r="DL566" s="27" t="s">
        <v>7</v>
      </c>
      <c r="DN566" s="27" t="s">
        <v>7</v>
      </c>
      <c r="DO566" s="27" t="s">
        <v>8</v>
      </c>
      <c r="DP566" s="27" t="s">
        <v>7</v>
      </c>
      <c r="DQ566" s="27" t="s">
        <v>8</v>
      </c>
      <c r="DR566" s="27" t="s">
        <v>7</v>
      </c>
      <c r="DT566" s="27" t="s">
        <v>7</v>
      </c>
      <c r="DV566" s="27" t="s">
        <v>7</v>
      </c>
      <c r="DW566" s="27" t="s">
        <v>8</v>
      </c>
      <c r="DX566" s="27" t="s">
        <v>7</v>
      </c>
      <c r="DY566" s="27" t="s">
        <v>8</v>
      </c>
      <c r="DZ566" s="27" t="s">
        <v>7</v>
      </c>
    </row>
    <row r="567" spans="1:147" x14ac:dyDescent="0.25">
      <c r="A567" s="7">
        <v>1.4859473959783549</v>
      </c>
      <c r="B567"/>
      <c r="C567"/>
      <c r="D567"/>
      <c r="E567" t="s">
        <v>8</v>
      </c>
      <c r="AJ567" s="27" t="s">
        <v>7</v>
      </c>
      <c r="AK567" s="27" t="s">
        <v>8</v>
      </c>
      <c r="AL567" s="27" t="s">
        <v>7</v>
      </c>
      <c r="AM567" s="27" t="s">
        <v>8</v>
      </c>
      <c r="AX567" s="27" t="s">
        <v>7</v>
      </c>
      <c r="AY567" s="27" t="s">
        <v>8</v>
      </c>
      <c r="AZ567" s="27" t="s">
        <v>7</v>
      </c>
      <c r="BW567" s="27" t="s">
        <v>8</v>
      </c>
      <c r="BX567" s="27" t="s">
        <v>7</v>
      </c>
      <c r="BY567" s="27" t="s">
        <v>8</v>
      </c>
      <c r="BZ567" s="27" t="s">
        <v>7</v>
      </c>
      <c r="CA567" s="27" t="s">
        <v>8</v>
      </c>
      <c r="CB567" s="27" t="s">
        <v>7</v>
      </c>
      <c r="CC567" s="27" t="s">
        <v>8</v>
      </c>
      <c r="CD567" s="27" t="s">
        <v>7</v>
      </c>
      <c r="CR567" s="27" t="s">
        <v>7</v>
      </c>
      <c r="CS567" s="27" t="s">
        <v>8</v>
      </c>
      <c r="CV567" s="27" t="s">
        <v>7</v>
      </c>
      <c r="CW567" s="27" t="s">
        <v>8</v>
      </c>
      <c r="CX567" s="27" t="s">
        <v>7</v>
      </c>
      <c r="DC567" s="27" t="s">
        <v>8</v>
      </c>
      <c r="DD567" s="27" t="s">
        <v>7</v>
      </c>
      <c r="DE567" s="27" t="s">
        <v>8</v>
      </c>
      <c r="DF567" s="27" t="s">
        <v>7</v>
      </c>
      <c r="DG567" s="27" t="s">
        <v>8</v>
      </c>
      <c r="DN567" s="27" t="s">
        <v>7</v>
      </c>
      <c r="DO567" s="27" t="s">
        <v>8</v>
      </c>
      <c r="DP567" s="27" t="s">
        <v>7</v>
      </c>
      <c r="DQ567" s="27" t="s">
        <v>8</v>
      </c>
      <c r="DV567" s="27" t="s">
        <v>7</v>
      </c>
      <c r="DW567" s="27" t="s">
        <v>8</v>
      </c>
      <c r="DX567" s="27" t="s">
        <v>7</v>
      </c>
      <c r="DY567" s="27" t="s">
        <v>8</v>
      </c>
      <c r="DZ567" s="27" t="s">
        <v>7</v>
      </c>
      <c r="EA567" s="27" t="s">
        <v>8</v>
      </c>
      <c r="EC567" s="27" t="s">
        <v>8</v>
      </c>
    </row>
    <row r="568" spans="1:147" x14ac:dyDescent="0.25">
      <c r="A568" s="7">
        <v>1.4568111725277988</v>
      </c>
      <c r="B568"/>
      <c r="C568"/>
      <c r="D568"/>
      <c r="E568" t="s">
        <v>8</v>
      </c>
      <c r="AJ568" s="27" t="s">
        <v>7</v>
      </c>
      <c r="AK568" s="27" t="s">
        <v>8</v>
      </c>
      <c r="AL568" s="27" t="s">
        <v>7</v>
      </c>
      <c r="AM568" s="27" t="s">
        <v>8</v>
      </c>
      <c r="AX568" s="27" t="s">
        <v>7</v>
      </c>
      <c r="AY568" s="27" t="s">
        <v>8</v>
      </c>
      <c r="AZ568" s="27" t="s">
        <v>7</v>
      </c>
      <c r="BW568" s="27" t="s">
        <v>8</v>
      </c>
      <c r="BX568" s="27" t="s">
        <v>7</v>
      </c>
      <c r="BY568" s="27" t="s">
        <v>8</v>
      </c>
      <c r="BZ568" s="27" t="s">
        <v>7</v>
      </c>
      <c r="CA568" s="27" t="s">
        <v>8</v>
      </c>
      <c r="CB568" s="27" t="s">
        <v>7</v>
      </c>
      <c r="CR568" s="27" t="s">
        <v>7</v>
      </c>
      <c r="CS568" s="27" t="s">
        <v>8</v>
      </c>
      <c r="CV568" s="27" t="s">
        <v>7</v>
      </c>
      <c r="CX568" s="27" t="s">
        <v>7</v>
      </c>
      <c r="DC568" s="27" t="s">
        <v>8</v>
      </c>
      <c r="DD568" s="27" t="s">
        <v>7</v>
      </c>
      <c r="DE568" s="27" t="s">
        <v>8</v>
      </c>
      <c r="DF568" s="27" t="s">
        <v>7</v>
      </c>
      <c r="DG568" s="27" t="s">
        <v>8</v>
      </c>
      <c r="DN568" s="27" t="s">
        <v>7</v>
      </c>
      <c r="DO568" s="27" t="s">
        <v>8</v>
      </c>
      <c r="DP568" s="27" t="s">
        <v>7</v>
      </c>
      <c r="DQ568" s="27" t="s">
        <v>8</v>
      </c>
      <c r="DV568" s="27" t="s">
        <v>7</v>
      </c>
      <c r="DX568" s="27" t="s">
        <v>7</v>
      </c>
      <c r="DY568" s="27" t="s">
        <v>8</v>
      </c>
      <c r="DZ568" s="27" t="s">
        <v>7</v>
      </c>
      <c r="EA568" s="27" t="s">
        <v>8</v>
      </c>
      <c r="EB568" s="27" t="s">
        <v>7</v>
      </c>
      <c r="EC568" s="27" t="s">
        <v>8</v>
      </c>
      <c r="ED568" s="27" t="s">
        <v>7</v>
      </c>
    </row>
    <row r="569" spans="1:147" x14ac:dyDescent="0.25">
      <c r="A569" s="7">
        <v>1.4282462475762734</v>
      </c>
      <c r="B569"/>
      <c r="C569"/>
      <c r="D569"/>
      <c r="E569" t="s">
        <v>8</v>
      </c>
      <c r="AJ569" s="27" t="s">
        <v>7</v>
      </c>
      <c r="AK569" s="27" t="s">
        <v>8</v>
      </c>
      <c r="AL569" s="27" t="s">
        <v>7</v>
      </c>
      <c r="AM569" s="27" t="s">
        <v>8</v>
      </c>
      <c r="AX569" s="27" t="s">
        <v>7</v>
      </c>
      <c r="AY569" s="27" t="s">
        <v>8</v>
      </c>
      <c r="AZ569" s="27" t="s">
        <v>7</v>
      </c>
      <c r="BW569" s="27" t="s">
        <v>8</v>
      </c>
      <c r="BX569" s="27" t="s">
        <v>7</v>
      </c>
      <c r="BY569" s="27" t="s">
        <v>8</v>
      </c>
      <c r="BZ569" s="27" t="s">
        <v>7</v>
      </c>
      <c r="CA569" s="27" t="s">
        <v>8</v>
      </c>
      <c r="CR569" s="27" t="s">
        <v>7</v>
      </c>
      <c r="CX569" s="27" t="s">
        <v>7</v>
      </c>
      <c r="DC569" s="27" t="s">
        <v>8</v>
      </c>
      <c r="DD569" s="27" t="s">
        <v>7</v>
      </c>
      <c r="DF569" s="27" t="s">
        <v>7</v>
      </c>
      <c r="DG569" s="27" t="s">
        <v>8</v>
      </c>
      <c r="DN569" s="27" t="s">
        <v>7</v>
      </c>
      <c r="DP569" s="27" t="s">
        <v>7</v>
      </c>
      <c r="DQ569" s="27" t="s">
        <v>8</v>
      </c>
      <c r="DX569" s="27" t="s">
        <v>7</v>
      </c>
      <c r="DY569" s="27" t="s">
        <v>8</v>
      </c>
      <c r="DZ569" s="27" t="s">
        <v>7</v>
      </c>
      <c r="EA569" s="27" t="s">
        <v>8</v>
      </c>
      <c r="EB569" s="27" t="s">
        <v>7</v>
      </c>
      <c r="EC569" s="27" t="s">
        <v>8</v>
      </c>
      <c r="ED569" s="27" t="s">
        <v>7</v>
      </c>
    </row>
    <row r="570" spans="1:147" x14ac:dyDescent="0.25">
      <c r="A570" s="7">
        <v>1.4002414191924248</v>
      </c>
      <c r="B570"/>
      <c r="C570"/>
      <c r="D570"/>
      <c r="E570" t="s">
        <v>8</v>
      </c>
      <c r="AJ570" s="27" t="s">
        <v>7</v>
      </c>
      <c r="AK570" s="27" t="s">
        <v>8</v>
      </c>
      <c r="AL570" s="27" t="s">
        <v>7</v>
      </c>
      <c r="AM570" s="27" t="s">
        <v>8</v>
      </c>
      <c r="AX570" s="27" t="s">
        <v>7</v>
      </c>
      <c r="AY570" s="27" t="s">
        <v>8</v>
      </c>
      <c r="AZ570" s="27" t="s">
        <v>7</v>
      </c>
      <c r="BQ570" s="27" t="s">
        <v>8</v>
      </c>
      <c r="BW570" s="27" t="s">
        <v>8</v>
      </c>
      <c r="BX570" s="27" t="s">
        <v>7</v>
      </c>
      <c r="BY570" s="27" t="s">
        <v>8</v>
      </c>
      <c r="BZ570" s="27" t="s">
        <v>7</v>
      </c>
      <c r="CA570" s="27" t="s">
        <v>8</v>
      </c>
      <c r="CX570" s="27" t="s">
        <v>7</v>
      </c>
      <c r="DC570" s="27" t="s">
        <v>8</v>
      </c>
      <c r="DF570" s="27" t="s">
        <v>7</v>
      </c>
      <c r="DP570" s="27" t="s">
        <v>7</v>
      </c>
      <c r="DQ570" s="27" t="s">
        <v>8</v>
      </c>
      <c r="DX570" s="27" t="s">
        <v>7</v>
      </c>
      <c r="DY570" s="27" t="s">
        <v>8</v>
      </c>
      <c r="DZ570" s="27" t="s">
        <v>7</v>
      </c>
      <c r="EA570" s="27" t="s">
        <v>8</v>
      </c>
      <c r="EB570" s="27" t="s">
        <v>7</v>
      </c>
      <c r="EC570" s="27" t="s">
        <v>8</v>
      </c>
      <c r="ED570" s="27" t="s">
        <v>7</v>
      </c>
      <c r="EE570" s="27" t="s">
        <v>8</v>
      </c>
      <c r="EG570" s="27" t="s">
        <v>8</v>
      </c>
    </row>
    <row r="571" spans="1:147" x14ac:dyDescent="0.25">
      <c r="A571" s="7">
        <v>1.3727857050906125</v>
      </c>
      <c r="B571"/>
      <c r="C571"/>
      <c r="D571"/>
      <c r="E571" t="s">
        <v>8</v>
      </c>
      <c r="AJ571" s="27" t="s">
        <v>7</v>
      </c>
      <c r="AK571" s="27" t="s">
        <v>8</v>
      </c>
      <c r="AL571" s="27" t="s">
        <v>7</v>
      </c>
      <c r="AM571" s="27" t="s">
        <v>8</v>
      </c>
      <c r="AX571" s="27" t="s">
        <v>7</v>
      </c>
      <c r="AY571" s="27" t="s">
        <v>8</v>
      </c>
      <c r="AZ571" s="27" t="s">
        <v>7</v>
      </c>
      <c r="BA571" s="27" t="s">
        <v>8</v>
      </c>
      <c r="BQ571" s="27" t="s">
        <v>8</v>
      </c>
      <c r="BR571" s="27" t="s">
        <v>7</v>
      </c>
      <c r="BW571" s="27" t="s">
        <v>8</v>
      </c>
      <c r="BX571" s="27" t="s">
        <v>7</v>
      </c>
      <c r="BY571" s="27" t="s">
        <v>8</v>
      </c>
      <c r="BZ571" s="27" t="s">
        <v>7</v>
      </c>
      <c r="CX571" s="27" t="s">
        <v>7</v>
      </c>
      <c r="CY571" s="27" t="s">
        <v>8</v>
      </c>
      <c r="DC571" s="27" t="s">
        <v>8</v>
      </c>
      <c r="DP571" s="27" t="s">
        <v>7</v>
      </c>
      <c r="DQ571" s="27" t="s">
        <v>8</v>
      </c>
      <c r="DX571" s="27" t="s">
        <v>7</v>
      </c>
      <c r="DY571" s="27" t="s">
        <v>8</v>
      </c>
      <c r="DZ571" s="27" t="s">
        <v>7</v>
      </c>
      <c r="EA571" s="27" t="s">
        <v>8</v>
      </c>
      <c r="EB571" s="27" t="s">
        <v>7</v>
      </c>
      <c r="ED571" s="27" t="s">
        <v>7</v>
      </c>
      <c r="EE571" s="27" t="s">
        <v>8</v>
      </c>
      <c r="EF571" s="27" t="s">
        <v>7</v>
      </c>
      <c r="EG571" s="27" t="s">
        <v>8</v>
      </c>
      <c r="EH571" s="27" t="s">
        <v>7</v>
      </c>
    </row>
    <row r="572" spans="1:147" x14ac:dyDescent="0.25">
      <c r="A572" s="7">
        <v>1.3458683383241299</v>
      </c>
      <c r="B572"/>
      <c r="C572"/>
      <c r="D572"/>
      <c r="E572" t="s">
        <v>8</v>
      </c>
      <c r="AJ572" s="27" t="s">
        <v>7</v>
      </c>
      <c r="AK572" s="27" t="s">
        <v>8</v>
      </c>
      <c r="AL572" s="27" t="s">
        <v>7</v>
      </c>
      <c r="AM572" s="27" t="s">
        <v>8</v>
      </c>
      <c r="AX572" s="27" t="s">
        <v>7</v>
      </c>
      <c r="AY572" s="27" t="s">
        <v>8</v>
      </c>
      <c r="AZ572" s="27" t="s">
        <v>7</v>
      </c>
      <c r="BA572" s="27" t="s">
        <v>8</v>
      </c>
      <c r="BB572" s="27" t="s">
        <v>7</v>
      </c>
      <c r="BQ572" s="27" t="s">
        <v>8</v>
      </c>
      <c r="BR572" s="27" t="s">
        <v>7</v>
      </c>
      <c r="BW572" s="27" t="s">
        <v>8</v>
      </c>
      <c r="BX572" s="27" t="s">
        <v>7</v>
      </c>
      <c r="CX572" s="27" t="s">
        <v>7</v>
      </c>
      <c r="CY572" s="27" t="s">
        <v>8</v>
      </c>
      <c r="CZ572" s="27" t="s">
        <v>7</v>
      </c>
      <c r="DC572" s="27" t="s">
        <v>8</v>
      </c>
      <c r="DP572" s="27" t="s">
        <v>7</v>
      </c>
      <c r="DQ572" s="27" t="s">
        <v>8</v>
      </c>
      <c r="DX572" s="27" t="s">
        <v>7</v>
      </c>
      <c r="DZ572" s="27" t="s">
        <v>7</v>
      </c>
      <c r="ED572" s="27" t="s">
        <v>7</v>
      </c>
      <c r="EE572" s="27" t="s">
        <v>8</v>
      </c>
      <c r="EF572" s="27" t="s">
        <v>7</v>
      </c>
      <c r="EG572" s="27" t="s">
        <v>8</v>
      </c>
      <c r="EH572" s="27" t="s">
        <v>7</v>
      </c>
    </row>
    <row r="573" spans="1:147" x14ac:dyDescent="0.25">
      <c r="A573" s="7">
        <v>1.3194787630628724</v>
      </c>
      <c r="B573"/>
      <c r="C573"/>
      <c r="D573"/>
      <c r="E573" t="s">
        <v>8</v>
      </c>
      <c r="AJ573" s="27" t="s">
        <v>7</v>
      </c>
      <c r="AK573" s="27" t="s">
        <v>8</v>
      </c>
      <c r="AL573" s="27" t="s">
        <v>7</v>
      </c>
      <c r="AM573" s="27" t="s">
        <v>8</v>
      </c>
      <c r="AX573" s="27" t="s">
        <v>7</v>
      </c>
      <c r="AY573" s="27" t="s">
        <v>8</v>
      </c>
      <c r="AZ573" s="27" t="s">
        <v>7</v>
      </c>
      <c r="BA573" s="27" t="s">
        <v>8</v>
      </c>
      <c r="BB573" s="27" t="s">
        <v>7</v>
      </c>
      <c r="BI573" s="27" t="s">
        <v>8</v>
      </c>
      <c r="BM573" s="27" t="s">
        <v>8</v>
      </c>
      <c r="BQ573" s="27" t="s">
        <v>8</v>
      </c>
      <c r="BR573" s="27" t="s">
        <v>7</v>
      </c>
      <c r="BW573" s="27" t="s">
        <v>8</v>
      </c>
      <c r="CX573" s="27" t="s">
        <v>7</v>
      </c>
      <c r="CY573" s="27" t="s">
        <v>8</v>
      </c>
      <c r="CZ573" s="27" t="s">
        <v>7</v>
      </c>
      <c r="DA573" s="27" t="s">
        <v>8</v>
      </c>
      <c r="DC573" s="27" t="s">
        <v>8</v>
      </c>
      <c r="DP573" s="27" t="s">
        <v>7</v>
      </c>
      <c r="ED573" s="27" t="s">
        <v>7</v>
      </c>
      <c r="EF573" s="27" t="s">
        <v>7</v>
      </c>
      <c r="EG573" s="27" t="s">
        <v>8</v>
      </c>
      <c r="EH573" s="27" t="s">
        <v>7</v>
      </c>
    </row>
    <row r="574" spans="1:147" x14ac:dyDescent="0.25">
      <c r="A574" s="7">
        <v>1.2936066304537963</v>
      </c>
      <c r="B574"/>
      <c r="C574"/>
      <c r="D574"/>
      <c r="E574" t="s">
        <v>8</v>
      </c>
      <c r="AJ574" s="27" t="s">
        <v>7</v>
      </c>
      <c r="AK574" s="27" t="s">
        <v>8</v>
      </c>
      <c r="AL574" s="27" t="s">
        <v>7</v>
      </c>
      <c r="AM574" s="27" t="s">
        <v>8</v>
      </c>
      <c r="AX574" s="27" t="s">
        <v>7</v>
      </c>
      <c r="AZ574" s="27" t="s">
        <v>7</v>
      </c>
      <c r="BA574" s="27" t="s">
        <v>8</v>
      </c>
      <c r="BB574" s="27" t="s">
        <v>7</v>
      </c>
      <c r="BI574" s="27" t="s">
        <v>8</v>
      </c>
      <c r="BJ574" s="27" t="s">
        <v>7</v>
      </c>
      <c r="BM574" s="27" t="s">
        <v>8</v>
      </c>
      <c r="BN574" s="27" t="s">
        <v>7</v>
      </c>
      <c r="BQ574" s="27" t="s">
        <v>8</v>
      </c>
      <c r="BR574" s="27" t="s">
        <v>7</v>
      </c>
      <c r="BW574" s="27" t="s">
        <v>8</v>
      </c>
      <c r="CX574" s="27" t="s">
        <v>7</v>
      </c>
      <c r="CY574" s="27" t="s">
        <v>8</v>
      </c>
      <c r="CZ574" s="27" t="s">
        <v>7</v>
      </c>
      <c r="DA574" s="27" t="s">
        <v>8</v>
      </c>
      <c r="DB574" s="27" t="s">
        <v>7</v>
      </c>
      <c r="DC574" s="27" t="s">
        <v>8</v>
      </c>
      <c r="EF574" s="27" t="s">
        <v>7</v>
      </c>
      <c r="EH574" s="27" t="s">
        <v>7</v>
      </c>
    </row>
    <row r="575" spans="1:147" x14ac:dyDescent="0.25">
      <c r="A575" s="7">
        <v>1.2682417945625455</v>
      </c>
      <c r="B575"/>
      <c r="C575"/>
      <c r="D575"/>
      <c r="E575" t="s">
        <v>8</v>
      </c>
      <c r="AJ575" s="27" t="s">
        <v>7</v>
      </c>
      <c r="AK575" s="27" t="s">
        <v>8</v>
      </c>
      <c r="AL575" s="27" t="s">
        <v>7</v>
      </c>
      <c r="AM575" s="27" t="s">
        <v>8</v>
      </c>
      <c r="AZ575" s="27" t="s">
        <v>7</v>
      </c>
      <c r="BA575" s="27" t="s">
        <v>8</v>
      </c>
      <c r="BB575" s="27" t="s">
        <v>7</v>
      </c>
      <c r="BI575" s="27" t="s">
        <v>8</v>
      </c>
      <c r="BJ575" s="27" t="s">
        <v>7</v>
      </c>
      <c r="BM575" s="27" t="s">
        <v>8</v>
      </c>
      <c r="BN575" s="27" t="s">
        <v>7</v>
      </c>
      <c r="BQ575" s="27" t="s">
        <v>8</v>
      </c>
      <c r="BR575" s="27" t="s">
        <v>7</v>
      </c>
      <c r="BU575" s="27" t="s">
        <v>8</v>
      </c>
      <c r="BW575" s="27" t="s">
        <v>8</v>
      </c>
      <c r="CX575" s="27" t="s">
        <v>7</v>
      </c>
      <c r="CY575" s="27" t="s">
        <v>8</v>
      </c>
      <c r="CZ575" s="27" t="s">
        <v>7</v>
      </c>
      <c r="DA575" s="27" t="s">
        <v>8</v>
      </c>
      <c r="DB575" s="27" t="s">
        <v>7</v>
      </c>
      <c r="DC575" s="27" t="s">
        <v>8</v>
      </c>
      <c r="EH575" s="27" t="s">
        <v>7</v>
      </c>
      <c r="EI575" s="27" t="s">
        <v>8</v>
      </c>
      <c r="EK575" s="27" t="s">
        <v>8</v>
      </c>
    </row>
    <row r="576" spans="1:147" x14ac:dyDescent="0.25">
      <c r="A576" s="7">
        <v>1.2433743083946525</v>
      </c>
      <c r="B576"/>
      <c r="C576"/>
      <c r="D576"/>
      <c r="E576" t="s">
        <v>8</v>
      </c>
      <c r="AJ576" s="27" t="s">
        <v>7</v>
      </c>
      <c r="AK576" s="27" t="s">
        <v>8</v>
      </c>
      <c r="AL576" s="27" t="s">
        <v>7</v>
      </c>
      <c r="AM576" s="27" t="s">
        <v>8</v>
      </c>
      <c r="AZ576" s="27" t="s">
        <v>7</v>
      </c>
      <c r="BA576" s="27" t="s">
        <v>8</v>
      </c>
      <c r="BB576" s="27" t="s">
        <v>7</v>
      </c>
      <c r="BI576" s="27" t="s">
        <v>8</v>
      </c>
      <c r="BJ576" s="27" t="s">
        <v>7</v>
      </c>
      <c r="BM576" s="27" t="s">
        <v>8</v>
      </c>
      <c r="BN576" s="27" t="s">
        <v>7</v>
      </c>
      <c r="BQ576" s="27" t="s">
        <v>8</v>
      </c>
      <c r="BR576" s="27" t="s">
        <v>7</v>
      </c>
      <c r="BU576" s="27" t="s">
        <v>8</v>
      </c>
      <c r="BV576" s="27" t="s">
        <v>7</v>
      </c>
      <c r="BW576" s="27" t="s">
        <v>8</v>
      </c>
      <c r="CX576" s="27" t="s">
        <v>7</v>
      </c>
      <c r="CY576" s="27" t="s">
        <v>8</v>
      </c>
      <c r="CZ576" s="27" t="s">
        <v>7</v>
      </c>
      <c r="DA576" s="27" t="s">
        <v>8</v>
      </c>
      <c r="DB576" s="27" t="s">
        <v>7</v>
      </c>
      <c r="DC576" s="27" t="s">
        <v>8</v>
      </c>
      <c r="EH576" s="27" t="s">
        <v>7</v>
      </c>
      <c r="EI576" s="27" t="s">
        <v>8</v>
      </c>
      <c r="EJ576" s="27" t="s">
        <v>7</v>
      </c>
      <c r="EK576" s="27" t="s">
        <v>8</v>
      </c>
      <c r="EL576" s="27" t="s">
        <v>7</v>
      </c>
      <c r="EQ576" s="27" t="s">
        <v>8</v>
      </c>
    </row>
    <row r="577" spans="1:158" x14ac:dyDescent="0.25">
      <c r="A577" s="7">
        <v>1.2189944199947573</v>
      </c>
      <c r="B577"/>
      <c r="C577"/>
      <c r="D577"/>
      <c r="E577" t="s">
        <v>8</v>
      </c>
      <c r="AJ577" s="27" t="s">
        <v>7</v>
      </c>
      <c r="AK577" s="27" t="s">
        <v>8</v>
      </c>
      <c r="AL577" s="27" t="s">
        <v>7</v>
      </c>
      <c r="AM577" s="27" t="s">
        <v>8</v>
      </c>
      <c r="AZ577" s="27" t="s">
        <v>7</v>
      </c>
      <c r="BB577" s="27" t="s">
        <v>7</v>
      </c>
      <c r="BI577" s="27" t="s">
        <v>8</v>
      </c>
      <c r="BJ577" s="27" t="s">
        <v>7</v>
      </c>
      <c r="BM577" s="27" t="s">
        <v>8</v>
      </c>
      <c r="BN577" s="27" t="s">
        <v>7</v>
      </c>
      <c r="BQ577" s="27" t="s">
        <v>8</v>
      </c>
      <c r="BR577" s="27" t="s">
        <v>7</v>
      </c>
      <c r="BU577" s="27" t="s">
        <v>8</v>
      </c>
      <c r="BV577" s="27" t="s">
        <v>7</v>
      </c>
      <c r="BW577" s="27" t="s">
        <v>8</v>
      </c>
      <c r="CX577" s="27" t="s">
        <v>7</v>
      </c>
      <c r="CY577" s="27" t="s">
        <v>8</v>
      </c>
      <c r="CZ577" s="27" t="s">
        <v>7</v>
      </c>
      <c r="DA577" s="27" t="s">
        <v>8</v>
      </c>
      <c r="DB577" s="27" t="s">
        <v>7</v>
      </c>
      <c r="DC577" s="27" t="s">
        <v>8</v>
      </c>
      <c r="EH577" s="27" t="s">
        <v>7</v>
      </c>
      <c r="EI577" s="27" t="s">
        <v>8</v>
      </c>
      <c r="EJ577" s="27" t="s">
        <v>7</v>
      </c>
      <c r="EK577" s="27" t="s">
        <v>8</v>
      </c>
      <c r="EL577" s="27" t="s">
        <v>7</v>
      </c>
      <c r="EQ577" s="27" t="s">
        <v>8</v>
      </c>
      <c r="ER577" s="27" t="s">
        <v>7</v>
      </c>
    </row>
    <row r="578" spans="1:158" x14ac:dyDescent="0.25">
      <c r="A578" s="7">
        <v>1.1950925686223111</v>
      </c>
      <c r="B578"/>
      <c r="C578"/>
      <c r="D578"/>
      <c r="E578" t="s">
        <v>8</v>
      </c>
      <c r="AJ578" s="27" t="s">
        <v>7</v>
      </c>
      <c r="AK578" s="27" t="s">
        <v>8</v>
      </c>
      <c r="AL578" s="27" t="s">
        <v>7</v>
      </c>
      <c r="AM578" s="27" t="s">
        <v>8</v>
      </c>
      <c r="BB578" s="27" t="s">
        <v>7</v>
      </c>
      <c r="BE578" s="27" t="s">
        <v>8</v>
      </c>
      <c r="BI578" s="27" t="s">
        <v>8</v>
      </c>
      <c r="BJ578" s="27" t="s">
        <v>7</v>
      </c>
      <c r="BM578" s="27" t="s">
        <v>8</v>
      </c>
      <c r="BN578" s="27" t="s">
        <v>7</v>
      </c>
      <c r="BQ578" s="27" t="s">
        <v>8</v>
      </c>
      <c r="BR578" s="27" t="s">
        <v>7</v>
      </c>
      <c r="BU578" s="27" t="s">
        <v>8</v>
      </c>
      <c r="BV578" s="27" t="s">
        <v>7</v>
      </c>
      <c r="BW578" s="27" t="s">
        <v>8</v>
      </c>
      <c r="CX578" s="27" t="s">
        <v>7</v>
      </c>
      <c r="CZ578" s="27" t="s">
        <v>7</v>
      </c>
      <c r="DB578" s="27" t="s">
        <v>7</v>
      </c>
      <c r="DC578" s="27" t="s">
        <v>8</v>
      </c>
      <c r="EH578" s="27" t="s">
        <v>7</v>
      </c>
      <c r="EI578" s="27" t="s">
        <v>8</v>
      </c>
      <c r="EJ578" s="27" t="s">
        <v>7</v>
      </c>
      <c r="EK578" s="27" t="s">
        <v>8</v>
      </c>
      <c r="EL578" s="27" t="s">
        <v>7</v>
      </c>
      <c r="EQ578" s="27" t="s">
        <v>8</v>
      </c>
      <c r="ER578" s="27" t="s">
        <v>7</v>
      </c>
    </row>
    <row r="579" spans="1:158" x14ac:dyDescent="0.25">
      <c r="A579" s="7">
        <v>1.1716593810022657</v>
      </c>
      <c r="B579"/>
      <c r="C579"/>
      <c r="D579"/>
      <c r="E579" t="s">
        <v>8</v>
      </c>
      <c r="AJ579" s="27" t="s">
        <v>7</v>
      </c>
      <c r="AK579" s="27" t="s">
        <v>8</v>
      </c>
      <c r="AL579" s="27" t="s">
        <v>7</v>
      </c>
      <c r="AM579" s="27" t="s">
        <v>8</v>
      </c>
      <c r="BB579" s="27" t="s">
        <v>7</v>
      </c>
      <c r="BE579" s="27" t="s">
        <v>8</v>
      </c>
      <c r="BF579" s="27" t="s">
        <v>7</v>
      </c>
      <c r="BG579" s="27" t="s">
        <v>8</v>
      </c>
      <c r="BI579" s="27" t="s">
        <v>8</v>
      </c>
      <c r="BJ579" s="27" t="s">
        <v>7</v>
      </c>
      <c r="BM579" s="27" t="s">
        <v>8</v>
      </c>
      <c r="BN579" s="27" t="s">
        <v>7</v>
      </c>
      <c r="BQ579" s="27" t="s">
        <v>8</v>
      </c>
      <c r="BR579" s="27" t="s">
        <v>7</v>
      </c>
      <c r="BU579" s="27" t="s">
        <v>8</v>
      </c>
      <c r="BV579" s="27" t="s">
        <v>7</v>
      </c>
      <c r="BW579" s="27" t="s">
        <v>8</v>
      </c>
      <c r="DB579" s="27" t="s">
        <v>7</v>
      </c>
      <c r="DC579" s="27" t="s">
        <v>8</v>
      </c>
      <c r="EH579" s="27" t="s">
        <v>7</v>
      </c>
      <c r="EI579" s="27" t="s">
        <v>8</v>
      </c>
      <c r="EJ579" s="27" t="s">
        <v>7</v>
      </c>
      <c r="EK579" s="27" t="s">
        <v>8</v>
      </c>
      <c r="EL579" s="27" t="s">
        <v>7</v>
      </c>
      <c r="EQ579" s="27" t="s">
        <v>8</v>
      </c>
      <c r="ER579" s="27" t="s">
        <v>7</v>
      </c>
      <c r="ES579" s="27" t="s">
        <v>8</v>
      </c>
    </row>
    <row r="580" spans="1:158" x14ac:dyDescent="0.25">
      <c r="A580" s="7">
        <v>1.14868566764928</v>
      </c>
      <c r="B580"/>
      <c r="C580"/>
      <c r="D580"/>
      <c r="E580" t="s">
        <v>8</v>
      </c>
      <c r="AJ580" s="27" t="s">
        <v>7</v>
      </c>
      <c r="AK580" s="27" t="s">
        <v>8</v>
      </c>
      <c r="AL580" s="27" t="s">
        <v>7</v>
      </c>
      <c r="AM580" s="27" t="s">
        <v>8</v>
      </c>
      <c r="BB580" s="27" t="s">
        <v>7</v>
      </c>
      <c r="BE580" s="27" t="s">
        <v>8</v>
      </c>
      <c r="BF580" s="27" t="s">
        <v>7</v>
      </c>
      <c r="BG580" s="27" t="s">
        <v>8</v>
      </c>
      <c r="BH580" s="27" t="s">
        <v>7</v>
      </c>
      <c r="BI580" s="27" t="s">
        <v>8</v>
      </c>
      <c r="BJ580" s="27" t="s">
        <v>7</v>
      </c>
      <c r="BM580" s="27" t="s">
        <v>8</v>
      </c>
      <c r="BN580" s="27" t="s">
        <v>7</v>
      </c>
      <c r="BO580" s="27" t="s">
        <v>8</v>
      </c>
      <c r="BQ580" s="27" t="s">
        <v>8</v>
      </c>
      <c r="BR580" s="27" t="s">
        <v>7</v>
      </c>
      <c r="BS580" s="27" t="s">
        <v>8</v>
      </c>
      <c r="BU580" s="27" t="s">
        <v>8</v>
      </c>
      <c r="BV580" s="27" t="s">
        <v>7</v>
      </c>
      <c r="BW580" s="27" t="s">
        <v>8</v>
      </c>
      <c r="DB580" s="27" t="s">
        <v>7</v>
      </c>
      <c r="DC580" s="27" t="s">
        <v>8</v>
      </c>
      <c r="EH580" s="27" t="s">
        <v>7</v>
      </c>
      <c r="EI580" s="27" t="s">
        <v>8</v>
      </c>
      <c r="EJ580" s="27" t="s">
        <v>7</v>
      </c>
      <c r="EK580" s="27" t="s">
        <v>8</v>
      </c>
      <c r="EL580" s="27" t="s">
        <v>7</v>
      </c>
      <c r="EO580" s="27" t="s">
        <v>8</v>
      </c>
      <c r="EQ580" s="27" t="s">
        <v>8</v>
      </c>
      <c r="ER580" s="27" t="s">
        <v>7</v>
      </c>
      <c r="ES580" s="27" t="s">
        <v>8</v>
      </c>
      <c r="ET580" s="27" t="s">
        <v>7</v>
      </c>
    </row>
    <row r="581" spans="1:158" x14ac:dyDescent="0.25">
      <c r="A581" s="7">
        <v>1.1261624192640001</v>
      </c>
      <c r="B581"/>
      <c r="C581"/>
      <c r="D581"/>
      <c r="E581" t="s">
        <v>8</v>
      </c>
      <c r="AJ581" s="27" t="s">
        <v>7</v>
      </c>
      <c r="AK581" s="27" t="s">
        <v>8</v>
      </c>
      <c r="AL581" s="27" t="s">
        <v>7</v>
      </c>
      <c r="BB581" s="27" t="s">
        <v>7</v>
      </c>
      <c r="BE581" s="27" t="s">
        <v>8</v>
      </c>
      <c r="BF581" s="27" t="s">
        <v>7</v>
      </c>
      <c r="BG581" s="27" t="s">
        <v>8</v>
      </c>
      <c r="BH581" s="27" t="s">
        <v>7</v>
      </c>
      <c r="BI581" s="27" t="s">
        <v>8</v>
      </c>
      <c r="BJ581" s="27" t="s">
        <v>7</v>
      </c>
      <c r="BK581" s="27" t="s">
        <v>8</v>
      </c>
      <c r="BM581" s="27" t="s">
        <v>8</v>
      </c>
      <c r="BN581" s="27" t="s">
        <v>7</v>
      </c>
      <c r="BO581" s="27" t="s">
        <v>8</v>
      </c>
      <c r="BP581" s="27" t="s">
        <v>7</v>
      </c>
      <c r="BQ581" s="27" t="s">
        <v>8</v>
      </c>
      <c r="BR581" s="27" t="s">
        <v>7</v>
      </c>
      <c r="BS581" s="27" t="s">
        <v>8</v>
      </c>
      <c r="BT581" s="27" t="s">
        <v>7</v>
      </c>
      <c r="BU581" s="27" t="s">
        <v>8</v>
      </c>
      <c r="BV581" s="27" t="s">
        <v>7</v>
      </c>
      <c r="BW581" s="27" t="s">
        <v>8</v>
      </c>
      <c r="DB581" s="27" t="s">
        <v>7</v>
      </c>
      <c r="DC581" s="27" t="s">
        <v>8</v>
      </c>
      <c r="EH581" s="27" t="s">
        <v>7</v>
      </c>
      <c r="EI581" s="27" t="s">
        <v>8</v>
      </c>
      <c r="EJ581" s="27" t="s">
        <v>7</v>
      </c>
      <c r="EK581" s="27" t="s">
        <v>8</v>
      </c>
      <c r="EL581" s="27" t="s">
        <v>7</v>
      </c>
      <c r="EM581" s="27" t="s">
        <v>8</v>
      </c>
      <c r="EO581" s="27" t="s">
        <v>8</v>
      </c>
      <c r="EP581" s="27" t="s">
        <v>7</v>
      </c>
      <c r="EQ581" s="27" t="s">
        <v>8</v>
      </c>
      <c r="ER581" s="27" t="s">
        <v>7</v>
      </c>
      <c r="ES581" s="27" t="s">
        <v>8</v>
      </c>
      <c r="ET581" s="27" t="s">
        <v>7</v>
      </c>
      <c r="EW581" s="27" t="s">
        <v>8</v>
      </c>
    </row>
    <row r="582" spans="1:158" x14ac:dyDescent="0.25">
      <c r="A582" s="7">
        <v>1.1040808032</v>
      </c>
      <c r="B582"/>
      <c r="C582"/>
      <c r="D582"/>
      <c r="E582" t="s">
        <v>8</v>
      </c>
      <c r="AJ582" s="27" t="s">
        <v>7</v>
      </c>
      <c r="AK582" s="27" t="s">
        <v>8</v>
      </c>
      <c r="BB582" s="27" t="s">
        <v>7</v>
      </c>
      <c r="BE582" s="27" t="s">
        <v>8</v>
      </c>
      <c r="BF582" s="27" t="s">
        <v>7</v>
      </c>
      <c r="BG582" s="27" t="s">
        <v>8</v>
      </c>
      <c r="BH582" s="27" t="s">
        <v>7</v>
      </c>
      <c r="BI582" s="27" t="s">
        <v>8</v>
      </c>
      <c r="BJ582" s="27" t="s">
        <v>7</v>
      </c>
      <c r="BK582" s="27" t="s">
        <v>8</v>
      </c>
      <c r="BL582" s="27" t="s">
        <v>7</v>
      </c>
      <c r="BM582" s="27" t="s">
        <v>8</v>
      </c>
      <c r="BN582" s="27" t="s">
        <v>7</v>
      </c>
      <c r="BO582" s="27" t="s">
        <v>8</v>
      </c>
      <c r="BP582" s="27" t="s">
        <v>7</v>
      </c>
      <c r="BQ582" s="27" t="s">
        <v>8</v>
      </c>
      <c r="BR582" s="27" t="s">
        <v>7</v>
      </c>
      <c r="BS582" s="27" t="s">
        <v>8</v>
      </c>
      <c r="BT582" s="27" t="s">
        <v>7</v>
      </c>
      <c r="BU582" s="27" t="s">
        <v>8</v>
      </c>
      <c r="BV582" s="27" t="s">
        <v>7</v>
      </c>
      <c r="DB582" s="27" t="s">
        <v>7</v>
      </c>
      <c r="EH582" s="27" t="s">
        <v>7</v>
      </c>
      <c r="EI582" s="27" t="s">
        <v>8</v>
      </c>
      <c r="EJ582" s="27" t="s">
        <v>7</v>
      </c>
      <c r="EK582" s="27" t="s">
        <v>8</v>
      </c>
      <c r="EL582" s="27" t="s">
        <v>7</v>
      </c>
      <c r="EM582" s="27" t="s">
        <v>8</v>
      </c>
      <c r="EN582" s="27" t="s">
        <v>7</v>
      </c>
      <c r="EO582" s="27" t="s">
        <v>8</v>
      </c>
      <c r="EP582" s="27" t="s">
        <v>7</v>
      </c>
      <c r="EQ582" s="27" t="s">
        <v>8</v>
      </c>
      <c r="ER582" s="27" t="s">
        <v>7</v>
      </c>
      <c r="ES582" s="27" t="s">
        <v>8</v>
      </c>
      <c r="ET582" s="27" t="s">
        <v>7</v>
      </c>
      <c r="EW582" s="27" t="s">
        <v>8</v>
      </c>
      <c r="EX582" s="27" t="s">
        <v>7</v>
      </c>
    </row>
    <row r="583" spans="1:158" x14ac:dyDescent="0.25">
      <c r="A583" s="7">
        <v>1.08243216</v>
      </c>
      <c r="B583"/>
      <c r="C583"/>
      <c r="D583"/>
      <c r="E583" t="s">
        <v>8</v>
      </c>
      <c r="AJ583" s="27" t="s">
        <v>7</v>
      </c>
      <c r="AK583" s="27" t="s">
        <v>8</v>
      </c>
      <c r="BB583" s="27" t="s">
        <v>7</v>
      </c>
      <c r="BE583" s="27" t="s">
        <v>8</v>
      </c>
      <c r="BF583" s="27" t="s">
        <v>7</v>
      </c>
      <c r="BG583" s="27" t="s">
        <v>8</v>
      </c>
      <c r="BH583" s="27" t="s">
        <v>7</v>
      </c>
      <c r="BJ583" s="27" t="s">
        <v>7</v>
      </c>
      <c r="BK583" s="27" t="s">
        <v>8</v>
      </c>
      <c r="BL583" s="27" t="s">
        <v>7</v>
      </c>
      <c r="BM583" s="27" t="s">
        <v>8</v>
      </c>
      <c r="BN583" s="27" t="s">
        <v>7</v>
      </c>
      <c r="BO583" s="27" t="s">
        <v>8</v>
      </c>
      <c r="BP583" s="27" t="s">
        <v>7</v>
      </c>
      <c r="BQ583" s="27" t="s">
        <v>8</v>
      </c>
      <c r="BR583" s="27" t="s">
        <v>7</v>
      </c>
      <c r="BS583" s="27" t="s">
        <v>8</v>
      </c>
      <c r="BT583" s="27" t="s">
        <v>7</v>
      </c>
      <c r="BU583" s="27" t="s">
        <v>8</v>
      </c>
      <c r="EH583" s="27" t="s">
        <v>7</v>
      </c>
      <c r="EI583" s="27" t="s">
        <v>8</v>
      </c>
      <c r="EJ583" s="27" t="s">
        <v>7</v>
      </c>
      <c r="EK583" s="27" t="s">
        <v>8</v>
      </c>
      <c r="EL583" s="27" t="s">
        <v>7</v>
      </c>
      <c r="EM583" s="27" t="s">
        <v>8</v>
      </c>
      <c r="EN583" s="27" t="s">
        <v>7</v>
      </c>
      <c r="EO583" s="27" t="s">
        <v>8</v>
      </c>
      <c r="EP583" s="27" t="s">
        <v>7</v>
      </c>
      <c r="EQ583" s="27" t="s">
        <v>8</v>
      </c>
      <c r="ER583" s="27" t="s">
        <v>7</v>
      </c>
      <c r="ET583" s="27" t="s">
        <v>7</v>
      </c>
      <c r="EU583" s="27" t="s">
        <v>8</v>
      </c>
      <c r="EW583" s="27" t="s">
        <v>8</v>
      </c>
      <c r="EX583" s="27" t="s">
        <v>7</v>
      </c>
    </row>
    <row r="584" spans="1:158" x14ac:dyDescent="0.25">
      <c r="A584" s="7">
        <v>1.0612079999999999</v>
      </c>
      <c r="B584"/>
      <c r="C584"/>
      <c r="D584"/>
      <c r="E584" t="s">
        <v>8</v>
      </c>
      <c r="AJ584" s="27" t="s">
        <v>7</v>
      </c>
      <c r="BB584" s="27" t="s">
        <v>7</v>
      </c>
      <c r="BE584" s="27" t="s">
        <v>8</v>
      </c>
      <c r="BF584" s="27" t="s">
        <v>7</v>
      </c>
      <c r="BG584" s="27" t="s">
        <v>8</v>
      </c>
      <c r="BJ584" s="27" t="s">
        <v>7</v>
      </c>
      <c r="BK584" s="27" t="s">
        <v>8</v>
      </c>
      <c r="BL584" s="27" t="s">
        <v>7</v>
      </c>
      <c r="BN584" s="27" t="s">
        <v>7</v>
      </c>
      <c r="BO584" s="27" t="s">
        <v>8</v>
      </c>
      <c r="BP584" s="27" t="s">
        <v>7</v>
      </c>
      <c r="BQ584" s="27" t="s">
        <v>8</v>
      </c>
      <c r="BR584" s="27" t="s">
        <v>7</v>
      </c>
      <c r="BS584" s="27" t="s">
        <v>8</v>
      </c>
      <c r="BT584" s="27" t="s">
        <v>7</v>
      </c>
      <c r="BU584" s="27" t="s">
        <v>8</v>
      </c>
      <c r="EH584" s="27" t="s">
        <v>7</v>
      </c>
      <c r="EI584" s="27" t="s">
        <v>8</v>
      </c>
      <c r="EJ584" s="27" t="s">
        <v>7</v>
      </c>
      <c r="EL584" s="27" t="s">
        <v>7</v>
      </c>
      <c r="EM584" s="27" t="s">
        <v>8</v>
      </c>
      <c r="EN584" s="27" t="s">
        <v>7</v>
      </c>
      <c r="EO584" s="27" t="s">
        <v>8</v>
      </c>
      <c r="EP584" s="27" t="s">
        <v>7</v>
      </c>
      <c r="EQ584" s="27" t="s">
        <v>8</v>
      </c>
      <c r="ET584" s="27" t="s">
        <v>7</v>
      </c>
      <c r="EU584" s="27" t="s">
        <v>8</v>
      </c>
      <c r="EV584" s="27" t="s">
        <v>7</v>
      </c>
      <c r="EW584" s="27" t="s">
        <v>8</v>
      </c>
      <c r="EX584" s="27" t="s">
        <v>7</v>
      </c>
    </row>
    <row r="585" spans="1:158" x14ac:dyDescent="0.25">
      <c r="A585" s="7">
        <v>1.0404</v>
      </c>
      <c r="B585"/>
      <c r="C585"/>
      <c r="D585"/>
      <c r="E585" t="s">
        <v>8</v>
      </c>
      <c r="BB585" s="27" t="s">
        <v>7</v>
      </c>
      <c r="BE585" s="27" t="s">
        <v>8</v>
      </c>
      <c r="BF585" s="27" t="s">
        <v>7</v>
      </c>
      <c r="BG585" s="27" t="s">
        <v>8</v>
      </c>
      <c r="BJ585" s="27" t="s">
        <v>7</v>
      </c>
      <c r="BK585" s="27" t="s">
        <v>8</v>
      </c>
      <c r="BN585" s="27" t="s">
        <v>7</v>
      </c>
      <c r="BP585" s="27" t="s">
        <v>7</v>
      </c>
      <c r="BQ585" s="27" t="s">
        <v>8</v>
      </c>
      <c r="BR585" s="27" t="s">
        <v>7</v>
      </c>
      <c r="BS585" s="27" t="s">
        <v>8</v>
      </c>
      <c r="BT585" s="27" t="s">
        <v>7</v>
      </c>
      <c r="EH585" s="27" t="s">
        <v>7</v>
      </c>
      <c r="EI585" s="27" t="s">
        <v>8</v>
      </c>
      <c r="EL585" s="27" t="s">
        <v>7</v>
      </c>
      <c r="EM585" s="27" t="s">
        <v>8</v>
      </c>
      <c r="EN585" s="27" t="s">
        <v>7</v>
      </c>
      <c r="EO585" s="27" t="s">
        <v>8</v>
      </c>
      <c r="EP585" s="27" t="s">
        <v>7</v>
      </c>
      <c r="EQ585" s="27" t="s">
        <v>8</v>
      </c>
      <c r="ET585" s="27" t="s">
        <v>7</v>
      </c>
      <c r="EU585" s="27" t="s">
        <v>8</v>
      </c>
      <c r="EV585" s="27" t="s">
        <v>7</v>
      </c>
      <c r="EW585" s="27" t="s">
        <v>8</v>
      </c>
      <c r="EX585" s="27" t="s">
        <v>7</v>
      </c>
    </row>
    <row r="586" spans="1:158" x14ac:dyDescent="0.25">
      <c r="A586" s="7">
        <v>1.02</v>
      </c>
      <c r="B586"/>
      <c r="C586"/>
      <c r="D586"/>
      <c r="E586" t="s">
        <v>8</v>
      </c>
      <c r="BB586" s="27" t="s">
        <v>7</v>
      </c>
      <c r="BE586" s="27" t="s">
        <v>8</v>
      </c>
      <c r="BF586" s="27" t="s">
        <v>7</v>
      </c>
      <c r="BJ586" s="27" t="s">
        <v>7</v>
      </c>
      <c r="BP586" s="27" t="s">
        <v>7</v>
      </c>
      <c r="BQ586" s="27" t="s">
        <v>8</v>
      </c>
      <c r="BR586" s="27" t="s">
        <v>7</v>
      </c>
      <c r="BS586" s="27" t="s">
        <v>8</v>
      </c>
      <c r="EH586" s="27" t="s">
        <v>7</v>
      </c>
      <c r="EI586" s="27" t="s">
        <v>8</v>
      </c>
      <c r="EL586" s="27" t="s">
        <v>7</v>
      </c>
      <c r="EM586" s="27" t="s">
        <v>8</v>
      </c>
      <c r="EN586" s="27" t="s">
        <v>7</v>
      </c>
      <c r="EO586" s="27" t="s">
        <v>8</v>
      </c>
      <c r="EP586" s="27" t="s">
        <v>7</v>
      </c>
      <c r="EQ586" s="27" t="s">
        <v>8</v>
      </c>
      <c r="ET586" s="27" t="s">
        <v>7</v>
      </c>
      <c r="EV586" s="27" t="s">
        <v>7</v>
      </c>
      <c r="EW586" s="27" t="s">
        <v>8</v>
      </c>
      <c r="EX586" s="27" t="s">
        <v>7</v>
      </c>
    </row>
    <row r="587" spans="1:158" x14ac:dyDescent="0.25">
      <c r="A587" s="7">
        <v>1</v>
      </c>
      <c r="B587"/>
      <c r="C587"/>
      <c r="D587"/>
      <c r="E587" s="29" t="s">
        <v>8</v>
      </c>
      <c r="BB587" s="27" t="s">
        <v>7</v>
      </c>
      <c r="BE587" s="27" t="s">
        <v>8</v>
      </c>
      <c r="BP587" s="27" t="s">
        <v>7</v>
      </c>
      <c r="BQ587" s="27" t="s">
        <v>8</v>
      </c>
      <c r="BR587" s="27" t="s">
        <v>7</v>
      </c>
      <c r="BS587" s="27" t="s">
        <v>8</v>
      </c>
      <c r="EH587" s="27" t="s">
        <v>7</v>
      </c>
      <c r="EI587" s="27" t="s">
        <v>8</v>
      </c>
      <c r="EL587" s="27" t="s">
        <v>7</v>
      </c>
      <c r="EM587" s="27" t="s">
        <v>8</v>
      </c>
      <c r="EN587" s="27" t="s">
        <v>7</v>
      </c>
      <c r="EO587" s="27" t="s">
        <v>8</v>
      </c>
      <c r="EP587" s="27" t="s">
        <v>7</v>
      </c>
      <c r="EV587" s="27" t="s">
        <v>7</v>
      </c>
      <c r="EX587" s="27" t="s">
        <v>7</v>
      </c>
      <c r="EY587" s="27" t="s">
        <v>8</v>
      </c>
      <c r="FA587" s="27" t="s">
        <v>8</v>
      </c>
    </row>
    <row r="588" spans="1:158" x14ac:dyDescent="0.25">
      <c r="A588" s="7">
        <v>0.98039215686274506</v>
      </c>
      <c r="B588"/>
      <c r="C588"/>
      <c r="D588"/>
      <c r="E588"/>
      <c r="BB588" s="27" t="s">
        <v>7</v>
      </c>
      <c r="BE588" s="27" t="s">
        <v>8</v>
      </c>
      <c r="BP588" s="27" t="s">
        <v>7</v>
      </c>
      <c r="BQ588" s="27" t="s">
        <v>8</v>
      </c>
      <c r="BR588" s="18" t="s">
        <v>7</v>
      </c>
      <c r="BS588" s="27" t="s">
        <v>8</v>
      </c>
      <c r="EH588" s="27" t="s">
        <v>7</v>
      </c>
      <c r="EI588" s="27" t="s">
        <v>8</v>
      </c>
      <c r="EL588" s="27" t="s">
        <v>7</v>
      </c>
      <c r="EN588" s="27" t="s">
        <v>7</v>
      </c>
      <c r="EX588" s="27" t="s">
        <v>7</v>
      </c>
      <c r="EY588" s="27" t="s">
        <v>8</v>
      </c>
      <c r="EZ588" s="27" t="s">
        <v>7</v>
      </c>
      <c r="FA588" s="27" t="s">
        <v>8</v>
      </c>
      <c r="FB588" s="27" t="s">
        <v>7</v>
      </c>
    </row>
    <row r="589" spans="1:158" x14ac:dyDescent="0.25">
      <c r="A589" s="7">
        <v>0.96116878123798544</v>
      </c>
      <c r="B589"/>
      <c r="C589"/>
      <c r="D589"/>
      <c r="E589"/>
      <c r="BB589" s="27" t="s">
        <v>7</v>
      </c>
      <c r="BE589" s="27" t="s">
        <v>8</v>
      </c>
      <c r="BP589" s="27" t="s">
        <v>7</v>
      </c>
      <c r="BR589" s="27" t="s">
        <v>7</v>
      </c>
      <c r="BS589" s="27" t="s">
        <v>8</v>
      </c>
      <c r="EH589" s="27" t="s">
        <v>7</v>
      </c>
      <c r="EI589" s="27" t="s">
        <v>8</v>
      </c>
      <c r="EX589" s="27" t="s">
        <v>7</v>
      </c>
      <c r="EY589" s="27" t="s">
        <v>8</v>
      </c>
      <c r="EZ589" s="27" t="s">
        <v>7</v>
      </c>
      <c r="FA589" s="27" t="s">
        <v>8</v>
      </c>
      <c r="FB589" s="27" t="s">
        <v>7</v>
      </c>
    </row>
    <row r="590" spans="1:158" x14ac:dyDescent="0.25">
      <c r="A590" s="7">
        <v>0.94232233454704462</v>
      </c>
      <c r="B590"/>
      <c r="C590"/>
      <c r="D590"/>
      <c r="E590"/>
      <c r="BB590" s="27" t="s">
        <v>7</v>
      </c>
      <c r="BE590" s="27" t="s">
        <v>8</v>
      </c>
      <c r="BR590" s="27" t="s">
        <v>7</v>
      </c>
      <c r="BS590" s="27" t="s">
        <v>8</v>
      </c>
      <c r="EH590" s="27" t="s">
        <v>7</v>
      </c>
      <c r="EI590" s="27" t="s">
        <v>8</v>
      </c>
      <c r="EX590" s="27" t="s">
        <v>7</v>
      </c>
      <c r="EY590" s="27" t="s">
        <v>8</v>
      </c>
      <c r="EZ590" s="27" t="s">
        <v>7</v>
      </c>
      <c r="FA590" s="27" t="s">
        <v>8</v>
      </c>
      <c r="FB590" s="27" t="s">
        <v>7</v>
      </c>
    </row>
    <row r="591" spans="1:158" x14ac:dyDescent="0.25">
      <c r="A591" s="7">
        <v>0.92384542602651432</v>
      </c>
      <c r="B591"/>
      <c r="C591"/>
      <c r="D591"/>
      <c r="E591"/>
      <c r="BB591" s="27" t="s">
        <v>7</v>
      </c>
      <c r="BE591" s="27" t="s">
        <v>8</v>
      </c>
      <c r="BR591" s="27" t="s">
        <v>7</v>
      </c>
      <c r="BS591" s="27" t="s">
        <v>8</v>
      </c>
      <c r="EH591" s="27" t="s">
        <v>7</v>
      </c>
      <c r="EI591" s="27" t="s">
        <v>8</v>
      </c>
      <c r="EX591" s="27" t="s">
        <v>7</v>
      </c>
      <c r="EY591" s="27" t="s">
        <v>8</v>
      </c>
      <c r="EZ591" s="27" t="s">
        <v>7</v>
      </c>
      <c r="FA591" s="27" t="s">
        <v>8</v>
      </c>
      <c r="FB591" s="27" t="s">
        <v>7</v>
      </c>
    </row>
    <row r="592" spans="1:158" x14ac:dyDescent="0.25">
      <c r="A592" s="7">
        <v>0.90573080982991594</v>
      </c>
      <c r="B592"/>
      <c r="C592"/>
      <c r="D592"/>
      <c r="E592"/>
      <c r="BB592" s="27" t="s">
        <v>7</v>
      </c>
      <c r="BE592" s="27" t="s">
        <v>8</v>
      </c>
      <c r="BR592" s="27" t="s">
        <v>7</v>
      </c>
      <c r="BS592" s="27" t="s">
        <v>8</v>
      </c>
      <c r="EH592" s="27" t="s">
        <v>7</v>
      </c>
      <c r="EI592" s="27" t="s">
        <v>8</v>
      </c>
      <c r="EX592" s="27" t="s">
        <v>7</v>
      </c>
      <c r="EY592" s="27" t="s">
        <v>8</v>
      </c>
      <c r="EZ592" s="27" t="s">
        <v>7</v>
      </c>
      <c r="FB592" s="27" t="s">
        <v>7</v>
      </c>
    </row>
    <row r="593" spans="1:162" x14ac:dyDescent="0.25">
      <c r="A593" s="7">
        <v>0.8879713821861922</v>
      </c>
      <c r="B593"/>
      <c r="C593"/>
      <c r="D593"/>
      <c r="E593"/>
      <c r="BB593" s="27" t="s">
        <v>7</v>
      </c>
      <c r="BE593" s="27" t="s">
        <v>8</v>
      </c>
      <c r="BR593" s="27" t="s">
        <v>7</v>
      </c>
      <c r="BS593" s="27" t="s">
        <v>8</v>
      </c>
      <c r="EH593" s="27" t="s">
        <v>7</v>
      </c>
      <c r="EI593" s="27" t="s">
        <v>8</v>
      </c>
      <c r="EX593" s="27" t="s">
        <v>7</v>
      </c>
      <c r="EY593" s="27" t="s">
        <v>8</v>
      </c>
      <c r="FB593" s="27" t="s">
        <v>7</v>
      </c>
    </row>
    <row r="594" spans="1:162" x14ac:dyDescent="0.25">
      <c r="A594" s="7">
        <v>0.87056017861391399</v>
      </c>
      <c r="B594"/>
      <c r="C594"/>
      <c r="D594"/>
      <c r="E594"/>
      <c r="BB594" s="27" t="s">
        <v>7</v>
      </c>
      <c r="BE594" s="27" t="s">
        <v>8</v>
      </c>
      <c r="BR594" s="27" t="s">
        <v>7</v>
      </c>
      <c r="EH594" s="27" t="s">
        <v>7</v>
      </c>
      <c r="EI594" s="27" t="s">
        <v>8</v>
      </c>
      <c r="EX594" s="27" t="s">
        <v>7</v>
      </c>
      <c r="EY594" s="27" t="s">
        <v>8</v>
      </c>
      <c r="FB594" s="27" t="s">
        <v>7</v>
      </c>
    </row>
    <row r="595" spans="1:162" x14ac:dyDescent="0.25">
      <c r="A595" s="7">
        <v>0.85349037119011173</v>
      </c>
      <c r="B595"/>
      <c r="C595"/>
      <c r="D595"/>
      <c r="E595"/>
      <c r="BB595" s="27" t="s">
        <v>7</v>
      </c>
      <c r="BC595" s="27" t="s">
        <v>8</v>
      </c>
      <c r="BE595" s="27" t="s">
        <v>8</v>
      </c>
      <c r="EH595" s="27" t="s">
        <v>7</v>
      </c>
      <c r="EI595" s="27" t="s">
        <v>8</v>
      </c>
      <c r="EX595" s="27" t="s">
        <v>7</v>
      </c>
      <c r="EY595" s="27" t="s">
        <v>8</v>
      </c>
      <c r="FB595" s="27" t="s">
        <v>7</v>
      </c>
    </row>
    <row r="596" spans="1:162" x14ac:dyDescent="0.25">
      <c r="A596" s="7">
        <v>0.83675526587265858</v>
      </c>
      <c r="B596"/>
      <c r="C596"/>
      <c r="D596"/>
      <c r="E596"/>
      <c r="BB596" s="27" t="s">
        <v>7</v>
      </c>
      <c r="BC596" s="27" t="s">
        <v>8</v>
      </c>
      <c r="BD596" s="27" t="s">
        <v>7</v>
      </c>
      <c r="BE596" s="27" t="s">
        <v>8</v>
      </c>
      <c r="EH596" s="27" t="s">
        <v>7</v>
      </c>
      <c r="EX596" s="27" t="s">
        <v>7</v>
      </c>
      <c r="EY596" s="27" t="s">
        <v>8</v>
      </c>
      <c r="FB596" s="27" t="s">
        <v>7</v>
      </c>
    </row>
    <row r="597" spans="1:162" x14ac:dyDescent="0.25">
      <c r="A597" s="7">
        <v>0.82034829987515545</v>
      </c>
      <c r="B597"/>
      <c r="C597"/>
      <c r="D597"/>
      <c r="E597"/>
      <c r="BB597" s="27" t="s">
        <v>7</v>
      </c>
      <c r="BC597" s="27" t="s">
        <v>8</v>
      </c>
      <c r="BD597" s="27" t="s">
        <v>7</v>
      </c>
      <c r="BE597" s="27" t="s">
        <v>8</v>
      </c>
      <c r="EX597" s="27" t="s">
        <v>7</v>
      </c>
      <c r="FB597" s="27" t="s">
        <v>7</v>
      </c>
      <c r="FC597" s="27" t="s">
        <v>8</v>
      </c>
    </row>
    <row r="598" spans="1:162" x14ac:dyDescent="0.25">
      <c r="A598" s="7">
        <v>0.80426303909328967</v>
      </c>
      <c r="B598"/>
      <c r="C598"/>
      <c r="D598"/>
      <c r="E598"/>
      <c r="BB598" s="27" t="s">
        <v>7</v>
      </c>
      <c r="BC598" s="27" t="s">
        <v>8</v>
      </c>
      <c r="BD598" s="27" t="s">
        <v>7</v>
      </c>
      <c r="BE598" s="27" t="s">
        <v>8</v>
      </c>
      <c r="FB598" s="27" t="s">
        <v>7</v>
      </c>
      <c r="FC598" s="27" t="s">
        <v>8</v>
      </c>
      <c r="FD598" s="27" t="s">
        <v>7</v>
      </c>
    </row>
    <row r="599" spans="1:162" x14ac:dyDescent="0.25">
      <c r="A599" s="7">
        <v>0.78849317558165644</v>
      </c>
      <c r="B599"/>
      <c r="C599"/>
      <c r="D599"/>
      <c r="E599"/>
      <c r="BB599" s="27" t="s">
        <v>7</v>
      </c>
      <c r="BC599" s="27" t="s">
        <v>8</v>
      </c>
      <c r="BD599" s="27" t="s">
        <v>7</v>
      </c>
      <c r="BE599" s="27" t="s">
        <v>8</v>
      </c>
      <c r="FB599" s="27" t="s">
        <v>7</v>
      </c>
      <c r="FC599" s="27" t="s">
        <v>8</v>
      </c>
      <c r="FD599" s="27" t="s">
        <v>7</v>
      </c>
    </row>
    <row r="600" spans="1:162" x14ac:dyDescent="0.25">
      <c r="A600" s="7">
        <v>0.77303252508005538</v>
      </c>
      <c r="B600"/>
      <c r="C600"/>
      <c r="D600"/>
      <c r="E600"/>
      <c r="BB600" s="27" t="s">
        <v>7</v>
      </c>
      <c r="BC600" s="27" t="s">
        <v>8</v>
      </c>
      <c r="BD600" s="27" t="s">
        <v>7</v>
      </c>
      <c r="BE600" s="27" t="s">
        <v>8</v>
      </c>
      <c r="FB600" s="27" t="s">
        <v>7</v>
      </c>
      <c r="FC600" s="27" t="s">
        <v>8</v>
      </c>
      <c r="FD600" s="27" t="s">
        <v>7</v>
      </c>
    </row>
    <row r="601" spans="1:162" x14ac:dyDescent="0.25">
      <c r="A601" s="7">
        <v>0.75787502458828959</v>
      </c>
      <c r="B601"/>
      <c r="C601"/>
      <c r="D601"/>
      <c r="E601"/>
      <c r="BB601" s="27" t="s">
        <v>7</v>
      </c>
      <c r="BC601" s="27" t="s">
        <v>8</v>
      </c>
      <c r="BD601" s="27" t="s">
        <v>7</v>
      </c>
      <c r="BE601" s="27" t="s">
        <v>8</v>
      </c>
      <c r="FB601" s="27" t="s">
        <v>7</v>
      </c>
      <c r="FC601" s="27" t="s">
        <v>8</v>
      </c>
      <c r="FD601" s="27" t="s">
        <v>7</v>
      </c>
      <c r="FE601" s="27" t="s">
        <v>8</v>
      </c>
    </row>
    <row r="602" spans="1:162" x14ac:dyDescent="0.25">
      <c r="A602" s="7">
        <v>0.74301472998851925</v>
      </c>
      <c r="B602"/>
      <c r="C602"/>
      <c r="D602"/>
      <c r="E602"/>
      <c r="BB602" s="27" t="s">
        <v>7</v>
      </c>
      <c r="BC602" s="27" t="s">
        <v>8</v>
      </c>
      <c r="BD602" s="27" t="s">
        <v>7</v>
      </c>
      <c r="BE602" s="27" t="s">
        <v>8</v>
      </c>
      <c r="FB602" s="27" t="s">
        <v>7</v>
      </c>
      <c r="FC602" s="27" t="s">
        <v>8</v>
      </c>
      <c r="FD602" s="27" t="s">
        <v>7</v>
      </c>
      <c r="FE602" s="27" t="s">
        <v>8</v>
      </c>
      <c r="FF602" s="27" t="s">
        <v>7</v>
      </c>
    </row>
    <row r="603" spans="1:162" x14ac:dyDescent="0.25">
      <c r="A603" s="7">
        <v>0.72844581371423456</v>
      </c>
      <c r="B603"/>
      <c r="C603"/>
      <c r="D603"/>
      <c r="E603"/>
      <c r="BB603" s="27" t="s">
        <v>7</v>
      </c>
      <c r="BC603" s="27" t="s">
        <v>8</v>
      </c>
      <c r="BD603" s="27" t="s">
        <v>7</v>
      </c>
      <c r="BE603" s="27" t="s">
        <v>8</v>
      </c>
      <c r="FB603" s="27" t="s">
        <v>7</v>
      </c>
      <c r="FC603" s="27" t="s">
        <v>8</v>
      </c>
      <c r="FD603" s="27" t="s">
        <v>7</v>
      </c>
      <c r="FE603" s="27" t="s">
        <v>8</v>
      </c>
      <c r="FF603" s="27" t="s">
        <v>7</v>
      </c>
    </row>
    <row r="604" spans="1:162" x14ac:dyDescent="0.25">
      <c r="A604" s="7">
        <v>0.71416256246493581</v>
      </c>
      <c r="B604"/>
      <c r="C604"/>
      <c r="D604"/>
      <c r="E604"/>
      <c r="BB604" s="27" t="s">
        <v>7</v>
      </c>
      <c r="BC604" s="27" t="s">
        <v>8</v>
      </c>
      <c r="BD604" s="27" t="s">
        <v>7</v>
      </c>
      <c r="BE604" s="27" t="s">
        <v>8</v>
      </c>
      <c r="FB604" s="27" t="s">
        <v>7</v>
      </c>
      <c r="FC604" s="27" t="s">
        <v>8</v>
      </c>
      <c r="FD604" s="27" t="s">
        <v>7</v>
      </c>
      <c r="FE604" s="27" t="s">
        <v>8</v>
      </c>
      <c r="FF604" s="27" t="s">
        <v>7</v>
      </c>
    </row>
    <row r="605" spans="1:162" x14ac:dyDescent="0.25">
      <c r="A605" s="7">
        <v>0.7001593749656233</v>
      </c>
      <c r="B605"/>
      <c r="C605"/>
      <c r="D605"/>
      <c r="E605"/>
      <c r="BB605" s="27" t="s">
        <v>7</v>
      </c>
      <c r="BC605" s="27" t="s">
        <v>8</v>
      </c>
      <c r="BD605" s="27" t="s">
        <v>7</v>
      </c>
      <c r="FB605" s="27" t="s">
        <v>7</v>
      </c>
      <c r="FC605" s="27" t="s">
        <v>8</v>
      </c>
      <c r="FD605" s="27" t="s">
        <v>7</v>
      </c>
      <c r="FE605" s="27" t="s">
        <v>8</v>
      </c>
    </row>
    <row r="606" spans="1:162" x14ac:dyDescent="0.25">
      <c r="A606" s="7">
        <v>0.68643075977021883</v>
      </c>
      <c r="B606"/>
      <c r="C606"/>
      <c r="D606"/>
      <c r="E606"/>
      <c r="BB606" s="27" t="s">
        <v>7</v>
      </c>
      <c r="BC606" s="27" t="s">
        <v>8</v>
      </c>
      <c r="FB606" s="27" t="s">
        <v>7</v>
      </c>
      <c r="FC606" s="27" t="s">
        <v>8</v>
      </c>
      <c r="FD606" s="27" t="s">
        <v>7</v>
      </c>
      <c r="FE606" s="27" t="s">
        <v>8</v>
      </c>
    </row>
    <row r="607" spans="1:162" x14ac:dyDescent="0.25">
      <c r="A607" s="7">
        <v>0.67297133310805768</v>
      </c>
      <c r="B607"/>
      <c r="C607"/>
      <c r="D607"/>
      <c r="E607"/>
      <c r="BB607" s="27" t="s">
        <v>7</v>
      </c>
      <c r="BC607" s="27" t="s">
        <v>8</v>
      </c>
      <c r="FB607" s="27" t="s">
        <v>7</v>
      </c>
      <c r="FC607" s="27" t="s">
        <v>8</v>
      </c>
      <c r="FD607" s="27" t="s">
        <v>7</v>
      </c>
    </row>
    <row r="608" spans="1:162" x14ac:dyDescent="0.25">
      <c r="A608" s="7">
        <v>0.65977581677260566</v>
      </c>
      <c r="B608"/>
      <c r="C608"/>
      <c r="D608"/>
      <c r="E608"/>
      <c r="BB608" s="27" t="s">
        <v>7</v>
      </c>
      <c r="BC608" s="27" t="s">
        <v>8</v>
      </c>
      <c r="FB608" s="27" t="s">
        <v>7</v>
      </c>
      <c r="FC608" s="27" t="s">
        <v>8</v>
      </c>
    </row>
    <row r="609" spans="1:159" x14ac:dyDescent="0.25">
      <c r="A609" s="7">
        <v>0.64683903605157422</v>
      </c>
      <c r="B609"/>
      <c r="C609"/>
      <c r="D609"/>
      <c r="E609"/>
      <c r="BB609" s="27" t="s">
        <v>7</v>
      </c>
      <c r="BC609" s="27" t="s">
        <v>8</v>
      </c>
      <c r="FB609" s="27" t="s">
        <v>7</v>
      </c>
      <c r="FC609" s="27" t="s">
        <v>8</v>
      </c>
    </row>
    <row r="610" spans="1:159" x14ac:dyDescent="0.25">
      <c r="A610" s="7">
        <v>0.63415591769762181</v>
      </c>
      <c r="B610"/>
      <c r="C610"/>
      <c r="D610"/>
      <c r="E610"/>
      <c r="BB610" s="27" t="s">
        <v>7</v>
      </c>
      <c r="BC610" s="27" t="s">
        <v>8</v>
      </c>
      <c r="FB610" s="27" t="s">
        <v>7</v>
      </c>
    </row>
    <row r="611" spans="1:159" x14ac:dyDescent="0.25">
      <c r="A611" s="7">
        <v>0.62172148793884496</v>
      </c>
      <c r="B611"/>
      <c r="C611"/>
      <c r="D611"/>
      <c r="E611"/>
      <c r="BB611" s="27" t="s">
        <v>7</v>
      </c>
      <c r="BC611" s="27" t="s">
        <v>8</v>
      </c>
    </row>
    <row r="612" spans="1:159" x14ac:dyDescent="0.25">
      <c r="A612" s="7">
        <v>0.60953087052827937</v>
      </c>
      <c r="B612"/>
      <c r="C612"/>
      <c r="D612"/>
      <c r="E612"/>
      <c r="BB612" s="27" t="s">
        <v>7</v>
      </c>
      <c r="BC612" s="27" t="s">
        <v>8</v>
      </c>
    </row>
    <row r="613" spans="1:159" x14ac:dyDescent="0.25">
      <c r="A613" s="7">
        <v>0.59757928483164646</v>
      </c>
      <c r="B613"/>
      <c r="C613"/>
      <c r="D613"/>
      <c r="E613"/>
      <c r="BB613" s="27" t="s">
        <v>7</v>
      </c>
      <c r="BC613" s="27" t="s">
        <v>8</v>
      </c>
    </row>
    <row r="614" spans="1:159" x14ac:dyDescent="0.25">
      <c r="A614" s="7">
        <v>0.58586204395259456</v>
      </c>
      <c r="B614"/>
      <c r="C614"/>
      <c r="D614"/>
      <c r="E614"/>
      <c r="BB614" s="27" t="s">
        <v>7</v>
      </c>
    </row>
    <row r="615" spans="1:159" x14ac:dyDescent="0.25">
      <c r="A615" s="7">
        <v>0.57437455289470052</v>
      </c>
      <c r="B615"/>
      <c r="C615"/>
      <c r="D615"/>
      <c r="E615"/>
    </row>
    <row r="616" spans="1:159" x14ac:dyDescent="0.25">
      <c r="A616" s="7">
        <v>0.56311230675951029</v>
      </c>
      <c r="B616"/>
      <c r="C616"/>
      <c r="D616"/>
      <c r="E616"/>
    </row>
    <row r="617" spans="1:159" x14ac:dyDescent="0.25">
      <c r="A617" s="7">
        <v>0.55207088897991208</v>
      </c>
      <c r="B617"/>
      <c r="C617"/>
      <c r="D617"/>
      <c r="E617"/>
    </row>
    <row r="618" spans="1:159" x14ac:dyDescent="0.25">
      <c r="A618" s="7">
        <v>0.54124596958814908</v>
      </c>
      <c r="B618"/>
      <c r="C618"/>
      <c r="D618"/>
      <c r="E618"/>
    </row>
    <row r="619" spans="1:159" x14ac:dyDescent="0.25">
      <c r="A619" s="7">
        <v>0.53063330351779314</v>
      </c>
      <c r="B619"/>
      <c r="C619"/>
      <c r="D619"/>
      <c r="E619"/>
    </row>
    <row r="620" spans="1:159" x14ac:dyDescent="0.25">
      <c r="A620" s="7">
        <v>0.52022872893901284</v>
      </c>
      <c r="B620"/>
      <c r="C620"/>
      <c r="D620"/>
      <c r="E620"/>
    </row>
    <row r="621" spans="1:159" x14ac:dyDescent="0.25">
      <c r="A621" s="7">
        <v>0.51002816562648323</v>
      </c>
      <c r="B621"/>
      <c r="C621"/>
      <c r="D621"/>
      <c r="E621"/>
    </row>
    <row r="622" spans="1:159" x14ac:dyDescent="0.25">
      <c r="A622" s="7">
        <v>0.50002761335929735</v>
      </c>
      <c r="B622"/>
      <c r="C622"/>
      <c r="D622"/>
      <c r="E622"/>
    </row>
    <row r="623" spans="1:159" x14ac:dyDescent="0.25">
      <c r="A623" s="7">
        <v>0.49022315035225228</v>
      </c>
      <c r="B623"/>
      <c r="C623"/>
      <c r="D623"/>
      <c r="E623"/>
    </row>
    <row r="624" spans="1:159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99" operator="equal">
      <formula>$U$1</formula>
    </cfRule>
    <cfRule type="cellIs" dxfId="89" priority="700" operator="equal">
      <formula>$S$1</formula>
    </cfRule>
  </conditionalFormatting>
  <conditionalFormatting sqref="D27">
    <cfRule type="cellIs" dxfId="88" priority="697" operator="equal">
      <formula>$S$1</formula>
    </cfRule>
    <cfRule type="cellIs" dxfId="87" priority="698" operator="equal">
      <formula>$U$1</formula>
    </cfRule>
  </conditionalFormatting>
  <conditionalFormatting sqref="C164">
    <cfRule type="cellIs" dxfId="86" priority="695" operator="equal">
      <formula>$U$1</formula>
    </cfRule>
    <cfRule type="cellIs" dxfId="85" priority="696" operator="equal">
      <formula>$S$1</formula>
    </cfRule>
  </conditionalFormatting>
  <conditionalFormatting sqref="D164">
    <cfRule type="cellIs" dxfId="84" priority="693" operator="equal">
      <formula>$S$1</formula>
    </cfRule>
    <cfRule type="cellIs" dxfId="83" priority="694" operator="equal">
      <formula>$U$1</formula>
    </cfRule>
  </conditionalFormatting>
  <conditionalFormatting sqref="C55">
    <cfRule type="cellIs" dxfId="82" priority="691" operator="equal">
      <formula>$U$1</formula>
    </cfRule>
    <cfRule type="cellIs" dxfId="81" priority="692" operator="equal">
      <formula>$S$1</formula>
    </cfRule>
  </conditionalFormatting>
  <conditionalFormatting sqref="D55">
    <cfRule type="cellIs" dxfId="80" priority="689" operator="equal">
      <formula>$S$1</formula>
    </cfRule>
    <cfRule type="cellIs" dxfId="79" priority="690" operator="equal">
      <formula>$U$1</formula>
    </cfRule>
  </conditionalFormatting>
  <conditionalFormatting sqref="C89">
    <cfRule type="cellIs" dxfId="78" priority="687" operator="equal">
      <formula>$U$1</formula>
    </cfRule>
    <cfRule type="cellIs" dxfId="77" priority="688" operator="equal">
      <formula>$S$1</formula>
    </cfRule>
  </conditionalFormatting>
  <conditionalFormatting sqref="D89">
    <cfRule type="cellIs" dxfId="76" priority="685" operator="equal">
      <formula>$S$1</formula>
    </cfRule>
    <cfRule type="cellIs" dxfId="75" priority="686" operator="equal">
      <formula>$U$1</formula>
    </cfRule>
  </conditionalFormatting>
  <conditionalFormatting sqref="C136">
    <cfRule type="cellIs" dxfId="74" priority="683" operator="equal">
      <formula>$U$1</formula>
    </cfRule>
    <cfRule type="cellIs" dxfId="73" priority="684" operator="equal">
      <formula>$S$1</formula>
    </cfRule>
  </conditionalFormatting>
  <conditionalFormatting sqref="D136">
    <cfRule type="cellIs" dxfId="72" priority="681" operator="equal">
      <formula>$S$1</formula>
    </cfRule>
    <cfRule type="cellIs" dxfId="71" priority="682" operator="equal">
      <formula>$U$1</formula>
    </cfRule>
  </conditionalFormatting>
  <conditionalFormatting sqref="C1">
    <cfRule type="cellIs" dxfId="70" priority="68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T248" sqref="BT24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$A$247</v>
      </c>
      <c r="D111" s="1" t="str">
        <f>ADDRESS(C121-1,D121,1,1)</f>
        <v>$BT$247</v>
      </c>
      <c r="E111"/>
    </row>
    <row r="112" spans="1:5" x14ac:dyDescent="0.25">
      <c r="A112" s="30">
        <v>515.50191262726139</v>
      </c>
      <c r="C112" s="1" t="str">
        <f>ADDRESS(C121,1,1,1)</f>
        <v>$A$248</v>
      </c>
      <c r="D112" s="1" t="str">
        <f>ADDRESS(C121,D121-1,1,1)</f>
        <v>$BS$248</v>
      </c>
      <c r="E112"/>
    </row>
    <row r="113" spans="1:5" x14ac:dyDescent="0.25">
      <c r="A113" s="30">
        <v>490.95420250215363</v>
      </c>
      <c r="C113" s="1" t="str">
        <f>ADDRESS(C121+1,1,1,1)</f>
        <v>$A$249</v>
      </c>
      <c r="D113" s="1" t="str">
        <f>ADDRESS(C121-1,D121+1,1,1)</f>
        <v>$BU$247</v>
      </c>
    </row>
    <row r="114" spans="1:5" x14ac:dyDescent="0.25">
      <c r="A114" s="30">
        <v>467.57543095443202</v>
      </c>
      <c r="C114" s="1" t="str">
        <f>ADDRESS(C121,D121,1,1)</f>
        <v>$BT$248</v>
      </c>
      <c r="D114" s="1" t="str">
        <f>ADDRESS(C121+1,D121+1,1,1)</f>
        <v>$BU$249</v>
      </c>
    </row>
    <row r="115" spans="1:5" x14ac:dyDescent="0.25">
      <c r="A115" s="30">
        <v>445.30993424231622</v>
      </c>
      <c r="C115" s="1" t="str">
        <f>ADDRESS(C121+1,D121,1,1)</f>
        <v>$BT$249</v>
      </c>
    </row>
    <row r="116" spans="1:5" x14ac:dyDescent="0.25">
      <c r="A116" s="30">
        <v>424.10469927839637</v>
      </c>
      <c r="C116" s="1">
        <f>C117-1</f>
        <v>247</v>
      </c>
    </row>
    <row r="117" spans="1:5" x14ac:dyDescent="0.25">
      <c r="A117" s="30">
        <v>403.9092374079965</v>
      </c>
      <c r="C117" s="1">
        <f>C121</f>
        <v>248</v>
      </c>
      <c r="D117" s="1">
        <f>D121</f>
        <v>72</v>
      </c>
    </row>
    <row r="118" spans="1:5" x14ac:dyDescent="0.25">
      <c r="A118" s="30">
        <v>384.6754641980919</v>
      </c>
      <c r="C118" s="1">
        <f>C117+1</f>
        <v>249</v>
      </c>
      <c r="D118" s="1">
        <f>D117+1</f>
        <v>73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248</v>
      </c>
      <c r="D121" s="19">
        <v>72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R248</v>
      </c>
      <c r="D123" s="1" t="str">
        <f>"C"&amp;D121</f>
        <v>C72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0.676839362028685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8" x14ac:dyDescent="0.25">
      <c r="A193" s="30">
        <v>9.9059710923258422</v>
      </c>
      <c r="E193"/>
    </row>
    <row r="194" spans="1:8" x14ac:dyDescent="0.25">
      <c r="A194" s="30">
        <v>9.4342581831674686</v>
      </c>
      <c r="E194"/>
    </row>
    <row r="195" spans="1:8" x14ac:dyDescent="0.25">
      <c r="A195" s="30">
        <v>8.9850077934928265</v>
      </c>
      <c r="E195"/>
    </row>
    <row r="196" spans="1:8" x14ac:dyDescent="0.25">
      <c r="A196" s="30">
        <v>8.5571502795169767</v>
      </c>
      <c r="E196"/>
    </row>
    <row r="197" spans="1:8" x14ac:dyDescent="0.25">
      <c r="A197" s="30">
        <v>8.1496669328733109</v>
      </c>
      <c r="E197"/>
    </row>
    <row r="198" spans="1:8" x14ac:dyDescent="0.25">
      <c r="A198" s="30">
        <v>7.7615875551174378</v>
      </c>
      <c r="E198"/>
    </row>
    <row r="199" spans="1:8" x14ac:dyDescent="0.25">
      <c r="A199" s="30">
        <v>7.3919881477308929</v>
      </c>
      <c r="E199"/>
    </row>
    <row r="200" spans="1:8" x14ac:dyDescent="0.25">
      <c r="A200" s="30">
        <v>7.0399887121246598</v>
      </c>
      <c r="E200"/>
    </row>
    <row r="201" spans="1:8" x14ac:dyDescent="0.25">
      <c r="A201" s="30">
        <v>6.7047511544044376</v>
      </c>
      <c r="E201"/>
    </row>
    <row r="202" spans="1:8" x14ac:dyDescent="0.25">
      <c r="A202" s="30">
        <v>6.3854772899089882</v>
      </c>
      <c r="E202"/>
    </row>
    <row r="203" spans="1:8" x14ac:dyDescent="0.25">
      <c r="A203" s="30">
        <v>6.0814069427704647</v>
      </c>
      <c r="C203" s="7"/>
      <c r="D203"/>
      <c r="E203"/>
    </row>
    <row r="204" spans="1:8" x14ac:dyDescent="0.25">
      <c r="A204" s="30">
        <v>5.7918161359718709</v>
      </c>
      <c r="E204"/>
    </row>
    <row r="205" spans="1:8" x14ac:dyDescent="0.25">
      <c r="A205" s="30">
        <v>5.5160153675922574</v>
      </c>
      <c r="E205" t="s">
        <v>8</v>
      </c>
      <c r="G205" s="27" t="s">
        <v>8</v>
      </c>
    </row>
    <row r="206" spans="1:8" x14ac:dyDescent="0.25">
      <c r="A206" s="30">
        <v>5.2533479691354827</v>
      </c>
      <c r="C206"/>
      <c r="D206"/>
      <c r="E206" t="s">
        <v>8</v>
      </c>
      <c r="F206" s="27" t="s">
        <v>7</v>
      </c>
      <c r="G206" s="27" t="s">
        <v>8</v>
      </c>
      <c r="H206" s="27" t="s">
        <v>7</v>
      </c>
    </row>
    <row r="207" spans="1:8" x14ac:dyDescent="0.25">
      <c r="A207" s="30">
        <v>5.0031885420337927</v>
      </c>
      <c r="E207" t="s">
        <v>8</v>
      </c>
      <c r="F207" s="27" t="s">
        <v>7</v>
      </c>
      <c r="G207" s="27" t="s">
        <v>8</v>
      </c>
      <c r="H207" s="27" t="s">
        <v>7</v>
      </c>
    </row>
    <row r="208" spans="1:8" x14ac:dyDescent="0.25">
      <c r="A208" s="30">
        <v>4.7649414686036122</v>
      </c>
      <c r="E208" t="s">
        <v>8</v>
      </c>
      <c r="F208" s="27" t="s">
        <v>7</v>
      </c>
      <c r="G208" s="27" t="s">
        <v>8</v>
      </c>
      <c r="H208" s="27" t="s">
        <v>7</v>
      </c>
    </row>
    <row r="209" spans="1:49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  <c r="I209" s="27" t="s">
        <v>8</v>
      </c>
    </row>
    <row r="210" spans="1:49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  <c r="I210" s="27" t="s">
        <v>8</v>
      </c>
      <c r="J210" s="27" t="s">
        <v>7</v>
      </c>
    </row>
    <row r="211" spans="1:49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  <c r="I211" s="27" t="s">
        <v>8</v>
      </c>
      <c r="J211" s="27" t="s">
        <v>7</v>
      </c>
    </row>
    <row r="212" spans="1:49" x14ac:dyDescent="0.25">
      <c r="A212" s="30">
        <v>3.9201291384586554</v>
      </c>
      <c r="E212" t="s">
        <v>8</v>
      </c>
      <c r="F212" s="27" t="s">
        <v>7</v>
      </c>
      <c r="H212" s="27" t="s">
        <v>7</v>
      </c>
      <c r="J212" s="27" t="s">
        <v>7</v>
      </c>
    </row>
    <row r="213" spans="1:49" x14ac:dyDescent="0.25">
      <c r="A213" s="30">
        <v>3.7334563223415764</v>
      </c>
      <c r="E213" t="s">
        <v>8</v>
      </c>
      <c r="J213" s="27" t="s">
        <v>7</v>
      </c>
      <c r="K213" s="27" t="s">
        <v>8</v>
      </c>
      <c r="M213" s="27" t="s">
        <v>8</v>
      </c>
    </row>
    <row r="214" spans="1:49" x14ac:dyDescent="0.25">
      <c r="A214" s="30">
        <v>3.5556726879443583</v>
      </c>
      <c r="E214" t="s">
        <v>8</v>
      </c>
      <c r="J214" s="27" t="s">
        <v>7</v>
      </c>
      <c r="K214" s="27" t="s">
        <v>8</v>
      </c>
      <c r="L214" s="27" t="s">
        <v>7</v>
      </c>
      <c r="M214" s="27" t="s">
        <v>8</v>
      </c>
      <c r="N214" s="27" t="s">
        <v>7</v>
      </c>
      <c r="Q214" s="27" t="s">
        <v>8</v>
      </c>
      <c r="S214" s="27" t="s">
        <v>8</v>
      </c>
    </row>
    <row r="215" spans="1:49" x14ac:dyDescent="0.25">
      <c r="A215" s="30">
        <v>3.3863549408993889</v>
      </c>
      <c r="E215" t="s">
        <v>8</v>
      </c>
      <c r="J215" s="27" t="s">
        <v>7</v>
      </c>
      <c r="K215" s="27" t="s">
        <v>8</v>
      </c>
      <c r="L215" s="27" t="s">
        <v>7</v>
      </c>
      <c r="M215" s="27" t="s">
        <v>8</v>
      </c>
      <c r="N215" s="27" t="s">
        <v>7</v>
      </c>
      <c r="Q215" s="27" t="s">
        <v>8</v>
      </c>
      <c r="R215" s="27" t="s">
        <v>7</v>
      </c>
      <c r="S215" s="27" t="s">
        <v>8</v>
      </c>
      <c r="T215" s="27" t="s">
        <v>7</v>
      </c>
    </row>
    <row r="216" spans="1:49" x14ac:dyDescent="0.25">
      <c r="A216" s="30">
        <v>3.2250999437137038</v>
      </c>
      <c r="E216" t="s">
        <v>8</v>
      </c>
      <c r="J216" s="27" t="s">
        <v>7</v>
      </c>
      <c r="K216" s="27" t="s">
        <v>8</v>
      </c>
      <c r="L216" s="27" t="s">
        <v>7</v>
      </c>
      <c r="M216" s="27" t="s">
        <v>8</v>
      </c>
      <c r="N216" s="27" t="s">
        <v>7</v>
      </c>
      <c r="Q216" s="27" t="s">
        <v>8</v>
      </c>
      <c r="R216" s="27" t="s">
        <v>7</v>
      </c>
      <c r="S216" s="27" t="s">
        <v>8</v>
      </c>
      <c r="T216" s="27" t="s">
        <v>7</v>
      </c>
      <c r="U216" s="27" t="s">
        <v>8</v>
      </c>
    </row>
    <row r="217" spans="1:49" x14ac:dyDescent="0.25">
      <c r="A217" s="30">
        <v>3.0715237559178128</v>
      </c>
      <c r="E217" t="s">
        <v>8</v>
      </c>
      <c r="J217" s="27" t="s">
        <v>7</v>
      </c>
      <c r="K217" s="27" t="s">
        <v>8</v>
      </c>
      <c r="L217" s="27" t="s">
        <v>7</v>
      </c>
      <c r="M217" s="27" t="s">
        <v>8</v>
      </c>
      <c r="N217" s="27" t="s">
        <v>7</v>
      </c>
      <c r="Q217" s="27" t="s">
        <v>8</v>
      </c>
      <c r="R217" s="27" t="s">
        <v>7</v>
      </c>
      <c r="T217" s="27" t="s">
        <v>7</v>
      </c>
      <c r="U217" s="27" t="s">
        <v>8</v>
      </c>
      <c r="V217" s="27" t="s">
        <v>7</v>
      </c>
    </row>
    <row r="218" spans="1:49" x14ac:dyDescent="0.25">
      <c r="A218" s="30">
        <v>2.9252607199217264</v>
      </c>
      <c r="E218" t="s">
        <v>8</v>
      </c>
      <c r="J218" s="27" t="s">
        <v>7</v>
      </c>
      <c r="L218" s="27" t="s">
        <v>7</v>
      </c>
      <c r="M218" s="27" t="s">
        <v>8</v>
      </c>
      <c r="N218" s="27" t="s">
        <v>7</v>
      </c>
      <c r="O218" s="27" t="s">
        <v>8</v>
      </c>
      <c r="Q218" s="27" t="s">
        <v>8</v>
      </c>
      <c r="T218" s="27" t="s">
        <v>7</v>
      </c>
      <c r="U218" s="27" t="s">
        <v>8</v>
      </c>
      <c r="V218" s="27" t="s">
        <v>7</v>
      </c>
      <c r="W218" s="27" t="s">
        <v>8</v>
      </c>
    </row>
    <row r="219" spans="1:49" x14ac:dyDescent="0.25">
      <c r="A219" s="30">
        <v>2.7859625904016441</v>
      </c>
      <c r="E219" t="s">
        <v>8</v>
      </c>
      <c r="L219" s="27" t="s">
        <v>7</v>
      </c>
      <c r="N219" s="27" t="s">
        <v>7</v>
      </c>
      <c r="O219" s="27" t="s">
        <v>8</v>
      </c>
      <c r="P219" s="27" t="s">
        <v>7</v>
      </c>
      <c r="Q219" s="27" t="s">
        <v>8</v>
      </c>
      <c r="T219" s="27" t="s">
        <v>7</v>
      </c>
      <c r="V219" s="27" t="s">
        <v>7</v>
      </c>
      <c r="W219" s="27" t="s">
        <v>8</v>
      </c>
      <c r="X219" s="27" t="s">
        <v>7</v>
      </c>
    </row>
    <row r="220" spans="1:49" x14ac:dyDescent="0.25">
      <c r="A220" s="30">
        <v>2.6532977051444226</v>
      </c>
      <c r="E220" t="s">
        <v>8</v>
      </c>
      <c r="N220" s="27" t="s">
        <v>7</v>
      </c>
      <c r="O220" s="27" t="s">
        <v>8</v>
      </c>
      <c r="P220" s="27" t="s">
        <v>7</v>
      </c>
      <c r="Q220" s="27" t="s">
        <v>8</v>
      </c>
      <c r="V220" s="27" t="s">
        <v>7</v>
      </c>
      <c r="W220" s="27" t="s">
        <v>8</v>
      </c>
      <c r="X220" s="27" t="s">
        <v>7</v>
      </c>
      <c r="Y220" s="27" t="s">
        <v>8</v>
      </c>
    </row>
    <row r="221" spans="1:49" x14ac:dyDescent="0.25">
      <c r="A221" s="30">
        <v>2.5269501953756404</v>
      </c>
      <c r="E221" t="s">
        <v>8</v>
      </c>
      <c r="N221" s="27" t="s">
        <v>7</v>
      </c>
      <c r="O221" s="27" t="s">
        <v>8</v>
      </c>
      <c r="P221" s="27" t="s">
        <v>7</v>
      </c>
      <c r="Q221" s="27" t="s">
        <v>8</v>
      </c>
      <c r="V221" s="27" t="s">
        <v>7</v>
      </c>
      <c r="W221" s="27" t="s">
        <v>8</v>
      </c>
      <c r="X221" s="27" t="s">
        <v>7</v>
      </c>
      <c r="Y221" s="27" t="s">
        <v>8</v>
      </c>
      <c r="Z221" s="27" t="s">
        <v>7</v>
      </c>
    </row>
    <row r="222" spans="1:49" x14ac:dyDescent="0.25">
      <c r="A222" s="30">
        <v>2.4066192336910861</v>
      </c>
      <c r="E222" t="s">
        <v>8</v>
      </c>
      <c r="N222" s="27" t="s">
        <v>7</v>
      </c>
      <c r="O222" s="27" t="s">
        <v>8</v>
      </c>
      <c r="P222" s="27" t="s">
        <v>7</v>
      </c>
      <c r="Q222" s="27" t="s">
        <v>8</v>
      </c>
      <c r="V222" s="27" t="s">
        <v>7</v>
      </c>
      <c r="X222" s="27" t="s">
        <v>7</v>
      </c>
      <c r="Y222" s="27" t="s">
        <v>8</v>
      </c>
      <c r="Z222" s="27" t="s">
        <v>7</v>
      </c>
    </row>
    <row r="223" spans="1:49" x14ac:dyDescent="0.25">
      <c r="A223" s="30">
        <v>2.2920183178010345</v>
      </c>
      <c r="E223" t="s">
        <v>8</v>
      </c>
      <c r="N223" s="27" t="s">
        <v>7</v>
      </c>
      <c r="O223" s="27" t="s">
        <v>8</v>
      </c>
      <c r="P223" s="27" t="s">
        <v>7</v>
      </c>
      <c r="X223" s="27" t="s">
        <v>7</v>
      </c>
      <c r="Y223" s="27" t="s">
        <v>8</v>
      </c>
      <c r="Z223" s="27" t="s">
        <v>7</v>
      </c>
    </row>
    <row r="224" spans="1:49" x14ac:dyDescent="0.25">
      <c r="A224" s="30">
        <v>2.1828745883819374</v>
      </c>
      <c r="E224" t="s">
        <v>8</v>
      </c>
      <c r="N224" s="27" t="s">
        <v>7</v>
      </c>
      <c r="O224" s="27" t="s">
        <v>8</v>
      </c>
      <c r="X224" s="27" t="s">
        <v>7</v>
      </c>
      <c r="Z224" s="27" t="s">
        <v>7</v>
      </c>
      <c r="AW224" s="27" t="s">
        <v>8</v>
      </c>
    </row>
    <row r="225" spans="1:69" x14ac:dyDescent="0.25">
      <c r="A225" s="30">
        <v>2.0789281794113688</v>
      </c>
      <c r="E225" t="s">
        <v>8</v>
      </c>
      <c r="N225" s="27" t="s">
        <v>7</v>
      </c>
      <c r="O225" s="27" t="s">
        <v>8</v>
      </c>
      <c r="Z225" s="27" t="s">
        <v>7</v>
      </c>
      <c r="AU225" s="27" t="s">
        <v>8</v>
      </c>
      <c r="AW225" s="27" t="s">
        <v>8</v>
      </c>
      <c r="AX225" s="27" t="s">
        <v>7</v>
      </c>
    </row>
    <row r="226" spans="1:69" x14ac:dyDescent="0.25">
      <c r="A226" s="30">
        <v>1.9799315994393987</v>
      </c>
      <c r="E226" t="s">
        <v>8</v>
      </c>
      <c r="N226" s="27" t="s">
        <v>7</v>
      </c>
      <c r="O226" s="27" t="s">
        <v>8</v>
      </c>
      <c r="Z226" s="27" t="s">
        <v>7</v>
      </c>
      <c r="AA226" s="27" t="s">
        <v>8</v>
      </c>
      <c r="AS226" s="27" t="s">
        <v>8</v>
      </c>
      <c r="AU226" s="27" t="s">
        <v>8</v>
      </c>
      <c r="AV226" s="27" t="s">
        <v>7</v>
      </c>
      <c r="AW226" s="27" t="s">
        <v>8</v>
      </c>
      <c r="AX226" s="27" t="s">
        <v>7</v>
      </c>
    </row>
    <row r="227" spans="1:69" x14ac:dyDescent="0.25">
      <c r="A227" s="30">
        <v>1.8856491423232367</v>
      </c>
      <c r="E227" t="s">
        <v>8</v>
      </c>
      <c r="N227" s="27" t="s">
        <v>7</v>
      </c>
      <c r="O227" s="27" t="s">
        <v>8</v>
      </c>
      <c r="Z227" s="27" t="s">
        <v>7</v>
      </c>
      <c r="AA227" s="27" t="s">
        <v>8</v>
      </c>
      <c r="AB227" s="27" t="s">
        <v>7</v>
      </c>
      <c r="AC227" s="27" t="s">
        <v>8</v>
      </c>
      <c r="AS227" s="27" t="s">
        <v>8</v>
      </c>
      <c r="AT227" s="27" t="s">
        <v>7</v>
      </c>
      <c r="AU227" s="27" t="s">
        <v>8</v>
      </c>
      <c r="AV227" s="27" t="s">
        <v>7</v>
      </c>
      <c r="AW227" s="27" t="s">
        <v>8</v>
      </c>
      <c r="AX227" s="27" t="s">
        <v>7</v>
      </c>
      <c r="BC227" s="27" t="s">
        <v>8</v>
      </c>
      <c r="BE227" s="27" t="s">
        <v>8</v>
      </c>
    </row>
    <row r="228" spans="1:69" x14ac:dyDescent="0.25">
      <c r="A228" s="30">
        <v>1.7958563260221301</v>
      </c>
      <c r="C228" s="7"/>
      <c r="D228"/>
      <c r="E228" t="s">
        <v>8</v>
      </c>
      <c r="N228" s="27" t="s">
        <v>7</v>
      </c>
      <c r="Z228" s="27" t="s">
        <v>7</v>
      </c>
      <c r="AA228" s="27" t="s">
        <v>8</v>
      </c>
      <c r="AB228" s="27" t="s">
        <v>7</v>
      </c>
      <c r="AC228" s="27" t="s">
        <v>8</v>
      </c>
      <c r="AD228" s="27" t="s">
        <v>7</v>
      </c>
      <c r="AE228" s="27" t="s">
        <v>8</v>
      </c>
      <c r="AS228" s="27" t="s">
        <v>8</v>
      </c>
      <c r="AT228" s="27" t="s">
        <v>7</v>
      </c>
      <c r="AU228" s="27" t="s">
        <v>8</v>
      </c>
      <c r="AV228" s="27" t="s">
        <v>7</v>
      </c>
      <c r="AW228" s="27" t="s">
        <v>8</v>
      </c>
      <c r="AX228" s="27" t="s">
        <v>7</v>
      </c>
      <c r="BC228" s="27" t="s">
        <v>8</v>
      </c>
      <c r="BD228" s="27" t="s">
        <v>7</v>
      </c>
      <c r="BE228" s="27" t="s">
        <v>8</v>
      </c>
      <c r="BF228" s="27" t="s">
        <v>7</v>
      </c>
    </row>
    <row r="229" spans="1:69" x14ac:dyDescent="0.25">
      <c r="A229" s="30">
        <v>1.7103393581163142</v>
      </c>
      <c r="E229" t="s">
        <v>8</v>
      </c>
      <c r="Z229" s="27" t="s">
        <v>7</v>
      </c>
      <c r="AA229" s="27" t="s">
        <v>8</v>
      </c>
      <c r="AB229" s="27" t="s">
        <v>7</v>
      </c>
      <c r="AC229" s="27" t="s">
        <v>8</v>
      </c>
      <c r="AD229" s="27" t="s">
        <v>7</v>
      </c>
      <c r="AE229" s="27" t="s">
        <v>8</v>
      </c>
      <c r="AF229" s="27" t="s">
        <v>7</v>
      </c>
      <c r="AG229" s="27" t="s">
        <v>8</v>
      </c>
      <c r="AS229" s="27" t="s">
        <v>8</v>
      </c>
      <c r="AT229" s="27" t="s">
        <v>7</v>
      </c>
      <c r="AU229" s="27" t="s">
        <v>8</v>
      </c>
      <c r="AV229" s="27" t="s">
        <v>7</v>
      </c>
      <c r="AX229" s="27" t="s">
        <v>7</v>
      </c>
      <c r="AY229" s="27" t="s">
        <v>8</v>
      </c>
      <c r="BA229" s="27" t="s">
        <v>8</v>
      </c>
      <c r="BC229" s="27" t="s">
        <v>8</v>
      </c>
      <c r="BD229" s="27" t="s">
        <v>7</v>
      </c>
      <c r="BE229" s="27" t="s">
        <v>8</v>
      </c>
      <c r="BF229" s="27" t="s">
        <v>7</v>
      </c>
    </row>
    <row r="230" spans="1:69" x14ac:dyDescent="0.25">
      <c r="A230" s="30">
        <v>1.628894626777442</v>
      </c>
      <c r="E230" t="s">
        <v>8</v>
      </c>
      <c r="Z230" s="27" t="s">
        <v>7</v>
      </c>
      <c r="AA230" s="27" t="s">
        <v>8</v>
      </c>
      <c r="AB230" s="27" t="s">
        <v>7</v>
      </c>
      <c r="AC230" s="27" t="s">
        <v>8</v>
      </c>
      <c r="AD230" s="27" t="s">
        <v>7</v>
      </c>
      <c r="AE230" s="27" t="s">
        <v>8</v>
      </c>
      <c r="AF230" s="27" t="s">
        <v>7</v>
      </c>
      <c r="AG230" s="27" t="s">
        <v>8</v>
      </c>
      <c r="AH230" s="27" t="s">
        <v>7</v>
      </c>
      <c r="AQ230" s="27" t="s">
        <v>8</v>
      </c>
      <c r="AS230" s="27" t="s">
        <v>8</v>
      </c>
      <c r="AT230" s="27" t="s">
        <v>7</v>
      </c>
      <c r="AX230" s="27" t="s">
        <v>7</v>
      </c>
      <c r="AY230" s="27" t="s">
        <v>8</v>
      </c>
      <c r="AZ230" s="27" t="s">
        <v>7</v>
      </c>
      <c r="BA230" s="27" t="s">
        <v>8</v>
      </c>
      <c r="BB230" s="27" t="s">
        <v>7</v>
      </c>
      <c r="BC230" s="27" t="s">
        <v>8</v>
      </c>
      <c r="BD230" s="27" t="s">
        <v>7</v>
      </c>
      <c r="BE230" s="27" t="s">
        <v>8</v>
      </c>
      <c r="BF230" s="27" t="s">
        <v>7</v>
      </c>
      <c r="BG230" s="27" t="s">
        <v>8</v>
      </c>
    </row>
    <row r="231" spans="1:69" x14ac:dyDescent="0.25">
      <c r="A231" s="30">
        <v>1.5513282159785162</v>
      </c>
      <c r="C231"/>
      <c r="D231"/>
      <c r="E231" t="s">
        <v>8</v>
      </c>
      <c r="Z231" s="27" t="s">
        <v>7</v>
      </c>
      <c r="AA231" s="27" t="s">
        <v>8</v>
      </c>
      <c r="AB231" s="27" t="s">
        <v>7</v>
      </c>
      <c r="AC231" s="27" t="s">
        <v>8</v>
      </c>
      <c r="AD231" s="27" t="s">
        <v>7</v>
      </c>
      <c r="AF231" s="27" t="s">
        <v>7</v>
      </c>
      <c r="AG231" s="27" t="s">
        <v>8</v>
      </c>
      <c r="AH231" s="27" t="s">
        <v>7</v>
      </c>
      <c r="AQ231" s="27" t="s">
        <v>8</v>
      </c>
      <c r="AR231" s="27" t="s">
        <v>7</v>
      </c>
      <c r="AS231" s="27" t="s">
        <v>8</v>
      </c>
      <c r="AX231" s="27" t="s">
        <v>7</v>
      </c>
      <c r="AY231" s="27" t="s">
        <v>8</v>
      </c>
      <c r="AZ231" s="27" t="s">
        <v>7</v>
      </c>
      <c r="BA231" s="27" t="s">
        <v>8</v>
      </c>
      <c r="BB231" s="27" t="s">
        <v>7</v>
      </c>
      <c r="BC231" s="27" t="s">
        <v>8</v>
      </c>
      <c r="BD231" s="27" t="s">
        <v>7</v>
      </c>
      <c r="BE231" s="27" t="s">
        <v>8</v>
      </c>
      <c r="BF231" s="27" t="s">
        <v>7</v>
      </c>
      <c r="BG231" s="27" t="s">
        <v>8</v>
      </c>
      <c r="BH231" s="27" t="s">
        <v>7</v>
      </c>
    </row>
    <row r="232" spans="1:69" x14ac:dyDescent="0.25">
      <c r="A232" s="30">
        <v>1.477455443789063</v>
      </c>
      <c r="E232" t="s">
        <v>8</v>
      </c>
      <c r="Z232" s="27" t="s">
        <v>7</v>
      </c>
      <c r="AA232" s="27" t="s">
        <v>8</v>
      </c>
      <c r="AB232" s="27" t="s">
        <v>7</v>
      </c>
      <c r="AC232" s="27" t="s">
        <v>8</v>
      </c>
      <c r="AF232" s="27" t="s">
        <v>7</v>
      </c>
      <c r="AG232" s="27" t="s">
        <v>8</v>
      </c>
      <c r="AH232" s="27" t="s">
        <v>7</v>
      </c>
      <c r="AQ232" s="27" t="s">
        <v>8</v>
      </c>
      <c r="AR232" s="27" t="s">
        <v>7</v>
      </c>
      <c r="AS232" s="27" t="s">
        <v>8</v>
      </c>
      <c r="AX232" s="27" t="s">
        <v>7</v>
      </c>
      <c r="AY232" s="27" t="s">
        <v>8</v>
      </c>
      <c r="AZ232" s="27" t="s">
        <v>7</v>
      </c>
      <c r="BB232" s="27" t="s">
        <v>7</v>
      </c>
      <c r="BC232" s="27" t="s">
        <v>8</v>
      </c>
      <c r="BD232" s="27" t="s">
        <v>7</v>
      </c>
      <c r="BE232" s="27" t="s">
        <v>8</v>
      </c>
      <c r="BF232" s="27" t="s">
        <v>7</v>
      </c>
      <c r="BG232" s="27" t="s">
        <v>8</v>
      </c>
      <c r="BH232" s="27" t="s">
        <v>7</v>
      </c>
    </row>
    <row r="233" spans="1:69" x14ac:dyDescent="0.25">
      <c r="A233" s="30">
        <v>1.4071004226562505</v>
      </c>
      <c r="E233" t="s">
        <v>8</v>
      </c>
      <c r="Z233" s="27" t="s">
        <v>7</v>
      </c>
      <c r="AA233" s="27" t="s">
        <v>8</v>
      </c>
      <c r="AB233" s="27" t="s">
        <v>7</v>
      </c>
      <c r="AC233" s="27" t="s">
        <v>8</v>
      </c>
      <c r="AF233" s="27" t="s">
        <v>7</v>
      </c>
      <c r="AG233" s="27" t="s">
        <v>8</v>
      </c>
      <c r="AH233" s="27" t="s">
        <v>7</v>
      </c>
      <c r="AO233" s="27" t="s">
        <v>8</v>
      </c>
      <c r="AQ233" s="27" t="s">
        <v>8</v>
      </c>
      <c r="AR233" s="27" t="s">
        <v>7</v>
      </c>
      <c r="AX233" s="27" t="s">
        <v>7</v>
      </c>
      <c r="BB233" s="27" t="s">
        <v>7</v>
      </c>
      <c r="BC233" s="27" t="s">
        <v>8</v>
      </c>
      <c r="BD233" s="27" t="s">
        <v>7</v>
      </c>
      <c r="BE233" s="27" t="s">
        <v>8</v>
      </c>
      <c r="BF233" s="27" t="s">
        <v>7</v>
      </c>
      <c r="BG233" s="27" t="s">
        <v>8</v>
      </c>
      <c r="BH233" s="27" t="s">
        <v>7</v>
      </c>
    </row>
    <row r="234" spans="1:69" x14ac:dyDescent="0.25">
      <c r="A234" s="30">
        <v>1.3400956406250004</v>
      </c>
      <c r="E234" t="s">
        <v>8</v>
      </c>
      <c r="Z234" s="27" t="s">
        <v>7</v>
      </c>
      <c r="AA234" s="27" t="s">
        <v>8</v>
      </c>
      <c r="AB234" s="27" t="s">
        <v>7</v>
      </c>
      <c r="AC234" s="27" t="s">
        <v>8</v>
      </c>
      <c r="AF234" s="27" t="s">
        <v>7</v>
      </c>
      <c r="AH234" s="27" t="s">
        <v>7</v>
      </c>
      <c r="AO234" s="27" t="s">
        <v>8</v>
      </c>
      <c r="AP234" s="27" t="s">
        <v>7</v>
      </c>
      <c r="AQ234" s="27" t="s">
        <v>8</v>
      </c>
      <c r="BB234" s="27" t="s">
        <v>7</v>
      </c>
      <c r="BC234" s="27" t="s">
        <v>8</v>
      </c>
      <c r="BD234" s="27" t="s">
        <v>7</v>
      </c>
      <c r="BF234" s="27" t="s">
        <v>7</v>
      </c>
      <c r="BH234" s="27" t="s">
        <v>7</v>
      </c>
    </row>
    <row r="235" spans="1:69" x14ac:dyDescent="0.25">
      <c r="A235" s="30">
        <v>1.2762815625000004</v>
      </c>
      <c r="C235"/>
      <c r="E235" t="s">
        <v>8</v>
      </c>
      <c r="Z235" s="27" t="s">
        <v>7</v>
      </c>
      <c r="AA235" s="27" t="s">
        <v>8</v>
      </c>
      <c r="AB235" s="27" t="s">
        <v>7</v>
      </c>
      <c r="AC235" s="27" t="s">
        <v>8</v>
      </c>
      <c r="AH235" s="27" t="s">
        <v>7</v>
      </c>
      <c r="AK235" s="27" t="s">
        <v>8</v>
      </c>
      <c r="AM235" s="27" t="s">
        <v>8</v>
      </c>
      <c r="AO235" s="27" t="s">
        <v>8</v>
      </c>
      <c r="AP235" s="27" t="s">
        <v>7</v>
      </c>
      <c r="AQ235" s="27" t="s">
        <v>8</v>
      </c>
      <c r="BB235" s="27" t="s">
        <v>7</v>
      </c>
      <c r="BC235" s="27" t="s">
        <v>8</v>
      </c>
      <c r="BH235" s="27" t="s">
        <v>7</v>
      </c>
      <c r="BI235" s="27" t="s">
        <v>8</v>
      </c>
      <c r="BK235" s="27" t="s">
        <v>8</v>
      </c>
    </row>
    <row r="236" spans="1:69" x14ac:dyDescent="0.25">
      <c r="A236" s="30">
        <v>1.2155062500000002</v>
      </c>
      <c r="E236" t="s">
        <v>8</v>
      </c>
      <c r="Z236" s="27" t="s">
        <v>7</v>
      </c>
      <c r="AA236" s="27" t="s">
        <v>8</v>
      </c>
      <c r="AB236" s="27" t="s">
        <v>7</v>
      </c>
      <c r="AC236" s="27" t="s">
        <v>8</v>
      </c>
      <c r="AH236" s="27" t="s">
        <v>7</v>
      </c>
      <c r="AK236" s="27" t="s">
        <v>8</v>
      </c>
      <c r="AL236" s="27" t="s">
        <v>7</v>
      </c>
      <c r="AM236" s="27" t="s">
        <v>8</v>
      </c>
      <c r="AN236" s="27" t="s">
        <v>7</v>
      </c>
      <c r="AO236" s="27" t="s">
        <v>8</v>
      </c>
      <c r="AP236" s="27" t="s">
        <v>7</v>
      </c>
      <c r="AQ236" s="27" t="s">
        <v>8</v>
      </c>
      <c r="BB236" s="27" t="s">
        <v>7</v>
      </c>
      <c r="BC236" s="27" t="s">
        <v>8</v>
      </c>
      <c r="BH236" s="27" t="s">
        <v>7</v>
      </c>
      <c r="BI236" s="27" t="s">
        <v>8</v>
      </c>
      <c r="BJ236" s="27" t="s">
        <v>7</v>
      </c>
      <c r="BK236" s="27" t="s">
        <v>8</v>
      </c>
      <c r="BL236" s="27" t="s">
        <v>7</v>
      </c>
      <c r="BO236" s="27" t="s">
        <v>8</v>
      </c>
    </row>
    <row r="237" spans="1:6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Z237" s="27" t="s">
        <v>7</v>
      </c>
      <c r="AA237" s="27" t="s">
        <v>8</v>
      </c>
      <c r="AB237" s="27" t="s">
        <v>7</v>
      </c>
      <c r="AH237" s="27" t="s">
        <v>7</v>
      </c>
      <c r="AK237" s="27" t="s">
        <v>8</v>
      </c>
      <c r="AL237" s="27" t="s">
        <v>7</v>
      </c>
      <c r="AM237" s="27" t="s">
        <v>8</v>
      </c>
      <c r="AN237" s="27" t="s">
        <v>7</v>
      </c>
      <c r="AO237" s="27" t="s">
        <v>8</v>
      </c>
      <c r="AP237" s="27" t="s">
        <v>7</v>
      </c>
      <c r="AQ237" s="27" t="s">
        <v>8</v>
      </c>
      <c r="BB237" s="27" t="s">
        <v>7</v>
      </c>
      <c r="BH237" s="27" t="s">
        <v>7</v>
      </c>
      <c r="BI237" s="27" t="s">
        <v>8</v>
      </c>
      <c r="BJ237" s="27" t="s">
        <v>7</v>
      </c>
      <c r="BK237" s="27" t="s">
        <v>8</v>
      </c>
      <c r="BL237" s="27" t="s">
        <v>7</v>
      </c>
      <c r="BM237" s="27" t="s">
        <v>8</v>
      </c>
      <c r="BO237" s="27" t="s">
        <v>8</v>
      </c>
      <c r="BP237" s="27" t="s">
        <v>7</v>
      </c>
    </row>
    <row r="238" spans="1:69" x14ac:dyDescent="0.25">
      <c r="A238" s="30">
        <v>1.1025</v>
      </c>
      <c r="E238" t="s">
        <v>8</v>
      </c>
      <c r="Z238" s="27" t="s">
        <v>7</v>
      </c>
      <c r="AH238" s="27" t="s">
        <v>7</v>
      </c>
      <c r="AK238" s="27" t="s">
        <v>8</v>
      </c>
      <c r="AL238" s="27" t="s">
        <v>7</v>
      </c>
      <c r="AM238" s="27" t="s">
        <v>8</v>
      </c>
      <c r="AN238" s="27" t="s">
        <v>7</v>
      </c>
      <c r="AO238" s="27" t="s">
        <v>8</v>
      </c>
      <c r="AP238" s="27" t="s">
        <v>7</v>
      </c>
      <c r="AQ238" s="27" t="s">
        <v>8</v>
      </c>
      <c r="BH238" s="27" t="s">
        <v>7</v>
      </c>
      <c r="BI238" s="27" t="s">
        <v>8</v>
      </c>
      <c r="BJ238" s="27" t="s">
        <v>7</v>
      </c>
      <c r="BK238" s="27" t="s">
        <v>8</v>
      </c>
      <c r="BL238" s="27" t="s">
        <v>7</v>
      </c>
      <c r="BM238" s="27" t="s">
        <v>8</v>
      </c>
      <c r="BN238" s="27" t="s">
        <v>7</v>
      </c>
      <c r="BO238" s="27" t="s">
        <v>8</v>
      </c>
      <c r="BP238" s="27" t="s">
        <v>7</v>
      </c>
    </row>
    <row r="239" spans="1:69" x14ac:dyDescent="0.25">
      <c r="A239" s="30">
        <v>1.05</v>
      </c>
      <c r="E239" t="s">
        <v>8</v>
      </c>
      <c r="AH239" s="27" t="s">
        <v>7</v>
      </c>
      <c r="AK239" s="27" t="s">
        <v>8</v>
      </c>
      <c r="AL239" s="27" t="s">
        <v>7</v>
      </c>
      <c r="AN239" s="27" t="s">
        <v>7</v>
      </c>
      <c r="AO239" s="27" t="s">
        <v>8</v>
      </c>
      <c r="AP239" s="27" t="s">
        <v>7</v>
      </c>
      <c r="AQ239" s="27" t="s">
        <v>8</v>
      </c>
      <c r="BH239" s="27" t="s">
        <v>7</v>
      </c>
      <c r="BI239" s="27" t="s">
        <v>8</v>
      </c>
      <c r="BJ239" s="27" t="s">
        <v>7</v>
      </c>
      <c r="BL239" s="27" t="s">
        <v>7</v>
      </c>
      <c r="BM239" s="27" t="s">
        <v>8</v>
      </c>
      <c r="BN239" s="27" t="s">
        <v>7</v>
      </c>
      <c r="BO239" s="27" t="s">
        <v>8</v>
      </c>
      <c r="BP239" s="27" t="s">
        <v>7</v>
      </c>
    </row>
    <row r="240" spans="1:69" x14ac:dyDescent="0.25">
      <c r="A240" s="30">
        <v>1</v>
      </c>
      <c r="E240" s="29" t="s">
        <v>8</v>
      </c>
      <c r="AH240" s="27" t="s">
        <v>7</v>
      </c>
      <c r="AK240" s="27" t="s">
        <v>8</v>
      </c>
      <c r="AN240" s="27" t="s">
        <v>7</v>
      </c>
      <c r="AP240" s="18" t="s">
        <v>7</v>
      </c>
      <c r="AQ240" s="27" t="s">
        <v>8</v>
      </c>
      <c r="BH240" s="27" t="s">
        <v>7</v>
      </c>
      <c r="BI240" s="27" t="s">
        <v>8</v>
      </c>
      <c r="BL240" s="27" t="s">
        <v>7</v>
      </c>
      <c r="BN240" s="27" t="s">
        <v>7</v>
      </c>
      <c r="BP240" s="27" t="s">
        <v>7</v>
      </c>
      <c r="BQ240" s="27" t="s">
        <v>8</v>
      </c>
    </row>
    <row r="241" spans="1:72" x14ac:dyDescent="0.25">
      <c r="A241" s="30">
        <v>0.952380952380952</v>
      </c>
      <c r="B241"/>
      <c r="C241"/>
      <c r="D241"/>
      <c r="E241"/>
      <c r="AH241" s="27" t="s">
        <v>7</v>
      </c>
      <c r="AK241" s="27" t="s">
        <v>8</v>
      </c>
      <c r="AP241" s="27" t="s">
        <v>7</v>
      </c>
      <c r="AQ241" s="27" t="s">
        <v>8</v>
      </c>
      <c r="BH241" s="27" t="s">
        <v>7</v>
      </c>
      <c r="BI241" s="27" t="s">
        <v>8</v>
      </c>
      <c r="BP241" s="27" t="s">
        <v>7</v>
      </c>
      <c r="BQ241" s="27" t="s">
        <v>8</v>
      </c>
      <c r="BR241" s="27" t="s">
        <v>7</v>
      </c>
    </row>
    <row r="242" spans="1:72" x14ac:dyDescent="0.25">
      <c r="A242" s="30">
        <v>0.90702947845804915</v>
      </c>
      <c r="B242"/>
      <c r="C242"/>
      <c r="D242"/>
      <c r="E242"/>
      <c r="AH242" s="27" t="s">
        <v>7</v>
      </c>
      <c r="AK242" s="27" t="s">
        <v>8</v>
      </c>
      <c r="AP242" s="27" t="s">
        <v>7</v>
      </c>
      <c r="AQ242" s="27" t="s">
        <v>8</v>
      </c>
      <c r="BH242" s="27" t="s">
        <v>7</v>
      </c>
      <c r="BI242" s="27" t="s">
        <v>8</v>
      </c>
      <c r="BP242" s="27" t="s">
        <v>7</v>
      </c>
      <c r="BQ242" s="27" t="s">
        <v>8</v>
      </c>
      <c r="BR242" s="27" t="s">
        <v>7</v>
      </c>
    </row>
    <row r="243" spans="1:72" x14ac:dyDescent="0.25">
      <c r="A243" s="30">
        <v>0.86383759853147501</v>
      </c>
      <c r="B243"/>
      <c r="C243"/>
      <c r="D243"/>
      <c r="E243"/>
      <c r="AH243" s="27" t="s">
        <v>7</v>
      </c>
      <c r="AK243" s="27" t="s">
        <v>8</v>
      </c>
      <c r="AP243" s="27" t="s">
        <v>7</v>
      </c>
      <c r="BH243" s="27" t="s">
        <v>7</v>
      </c>
      <c r="BP243" s="27" t="s">
        <v>7</v>
      </c>
      <c r="BQ243" s="27" t="s">
        <v>8</v>
      </c>
      <c r="BR243" s="27" t="s">
        <v>7</v>
      </c>
    </row>
    <row r="244" spans="1:72" x14ac:dyDescent="0.25">
      <c r="A244" s="30">
        <v>0.82270247479188063</v>
      </c>
      <c r="B244"/>
      <c r="C244"/>
      <c r="D244"/>
      <c r="E244"/>
      <c r="AH244" s="27" t="s">
        <v>7</v>
      </c>
      <c r="AI244" s="27" t="s">
        <v>8</v>
      </c>
      <c r="AK244" s="27" t="s">
        <v>8</v>
      </c>
      <c r="BP244" s="27" t="s">
        <v>7</v>
      </c>
      <c r="BR244" s="27" t="s">
        <v>7</v>
      </c>
      <c r="BS244" s="27" t="s">
        <v>8</v>
      </c>
    </row>
    <row r="245" spans="1:72" x14ac:dyDescent="0.25">
      <c r="A245" s="30">
        <v>0.78352616646845741</v>
      </c>
      <c r="B245"/>
      <c r="C245"/>
      <c r="D245"/>
      <c r="E245"/>
      <c r="AH245" s="27" t="s">
        <v>7</v>
      </c>
      <c r="AI245" s="27" t="s">
        <v>8</v>
      </c>
      <c r="AJ245" s="27" t="s">
        <v>7</v>
      </c>
      <c r="AK245" s="27" t="s">
        <v>8</v>
      </c>
      <c r="BR245" s="27" t="s">
        <v>7</v>
      </c>
      <c r="BS245" s="27" t="s">
        <v>8</v>
      </c>
      <c r="BT245" s="27" t="s">
        <v>7</v>
      </c>
    </row>
    <row r="246" spans="1:72" x14ac:dyDescent="0.25">
      <c r="A246" s="30">
        <v>0.74621539663662584</v>
      </c>
      <c r="B246"/>
      <c r="C246"/>
      <c r="D246"/>
      <c r="E246"/>
      <c r="AH246" s="27" t="s">
        <v>7</v>
      </c>
      <c r="AI246" s="27" t="s">
        <v>8</v>
      </c>
      <c r="AJ246" s="27" t="s">
        <v>7</v>
      </c>
      <c r="AK246" s="27" t="s">
        <v>8</v>
      </c>
      <c r="BR246" s="27" t="s">
        <v>7</v>
      </c>
      <c r="BS246" s="27" t="s">
        <v>8</v>
      </c>
      <c r="BT246" s="27" t="s">
        <v>7</v>
      </c>
    </row>
    <row r="247" spans="1:72" x14ac:dyDescent="0.25">
      <c r="A247" s="30">
        <v>0.71068133013011958</v>
      </c>
      <c r="B247"/>
      <c r="C247"/>
      <c r="D247"/>
      <c r="E247"/>
      <c r="AH247" s="27" t="s">
        <v>7</v>
      </c>
      <c r="AI247" s="27" t="s">
        <v>8</v>
      </c>
      <c r="AJ247" s="27" t="s">
        <v>7</v>
      </c>
      <c r="BR247" s="27" t="s">
        <v>7</v>
      </c>
      <c r="BS247" s="27" t="s">
        <v>8</v>
      </c>
      <c r="BT247" s="27" t="s">
        <v>7</v>
      </c>
    </row>
    <row r="248" spans="1:72" x14ac:dyDescent="0.25">
      <c r="A248" s="30">
        <v>0.676839362028685</v>
      </c>
      <c r="B248"/>
      <c r="C248"/>
      <c r="D248"/>
      <c r="E248"/>
      <c r="AH248" s="27" t="s">
        <v>7</v>
      </c>
      <c r="AI248" s="27" t="s">
        <v>8</v>
      </c>
      <c r="BR248" s="27" t="s">
        <v>7</v>
      </c>
      <c r="BS248" s="27" t="s">
        <v>8</v>
      </c>
      <c r="BT248" s="27" t="s">
        <v>7</v>
      </c>
    </row>
    <row r="249" spans="1:72" x14ac:dyDescent="0.25">
      <c r="A249" s="30">
        <v>0.64460891621779492</v>
      </c>
      <c r="B249"/>
      <c r="C249"/>
      <c r="D249"/>
      <c r="E249"/>
      <c r="AH249" s="27" t="s">
        <v>7</v>
      </c>
      <c r="AI249" s="27" t="s">
        <v>8</v>
      </c>
      <c r="BR249" s="27" t="s">
        <v>7</v>
      </c>
    </row>
    <row r="250" spans="1:72" x14ac:dyDescent="0.25">
      <c r="A250" s="30">
        <v>0.61391325354075688</v>
      </c>
      <c r="B250"/>
      <c r="C250"/>
      <c r="D250"/>
      <c r="E250"/>
      <c r="AH250" s="27" t="s">
        <v>7</v>
      </c>
      <c r="AI250" s="27" t="s">
        <v>8</v>
      </c>
    </row>
    <row r="251" spans="1:72" x14ac:dyDescent="0.25">
      <c r="A251" s="30">
        <v>0.58467928908643485</v>
      </c>
      <c r="B251"/>
      <c r="C251"/>
      <c r="D251"/>
      <c r="E251"/>
      <c r="AH251" s="27" t="s">
        <v>7</v>
      </c>
    </row>
    <row r="252" spans="1:72" x14ac:dyDescent="0.25">
      <c r="A252" s="30">
        <v>0.55683741817755672</v>
      </c>
      <c r="B252"/>
      <c r="C252"/>
      <c r="D252"/>
      <c r="E252"/>
    </row>
    <row r="253" spans="1:72" x14ac:dyDescent="0.25">
      <c r="A253" s="30">
        <v>0.53032135064529184</v>
      </c>
      <c r="B253"/>
      <c r="C253"/>
      <c r="D253"/>
      <c r="E253"/>
    </row>
    <row r="254" spans="1:72" x14ac:dyDescent="0.25">
      <c r="A254" s="30">
        <v>0.50506795299551588</v>
      </c>
      <c r="B254"/>
      <c r="C254"/>
      <c r="D254"/>
      <c r="E254"/>
    </row>
    <row r="255" spans="1:72" x14ac:dyDescent="0.25">
      <c r="A255" s="30">
        <v>0.48101709809096732</v>
      </c>
      <c r="E255"/>
    </row>
    <row r="256" spans="1:72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14" operator="equal">
      <formula>$U$1</formula>
    </cfRule>
    <cfRule type="cellIs" dxfId="67" priority="715" operator="equal">
      <formula>$S$1</formula>
    </cfRule>
  </conditionalFormatting>
  <conditionalFormatting sqref="D136">
    <cfRule type="cellIs" dxfId="66" priority="712" operator="equal">
      <formula>$S$1</formula>
    </cfRule>
    <cfRule type="cellIs" dxfId="65" priority="713" operator="equal">
      <formula>$U$1</formula>
    </cfRule>
  </conditionalFormatting>
  <conditionalFormatting sqref="C162">
    <cfRule type="cellIs" dxfId="64" priority="710" operator="equal">
      <formula>$U$1</formula>
    </cfRule>
    <cfRule type="cellIs" dxfId="63" priority="711" operator="equal">
      <formula>$S$1</formula>
    </cfRule>
  </conditionalFormatting>
  <conditionalFormatting sqref="D162">
    <cfRule type="cellIs" dxfId="62" priority="708" operator="equal">
      <formula>$S$1</formula>
    </cfRule>
    <cfRule type="cellIs" dxfId="61" priority="709" operator="equal">
      <formula>$U$1</formula>
    </cfRule>
  </conditionalFormatting>
  <conditionalFormatting sqref="C187">
    <cfRule type="cellIs" dxfId="60" priority="706" operator="equal">
      <formula>$U$1</formula>
    </cfRule>
    <cfRule type="cellIs" dxfId="59" priority="707" operator="equal">
      <formula>$S$1</formula>
    </cfRule>
  </conditionalFormatting>
  <conditionalFormatting sqref="D187">
    <cfRule type="cellIs" dxfId="58" priority="704" operator="equal">
      <formula>$S$1</formula>
    </cfRule>
    <cfRule type="cellIs" dxfId="57" priority="705" operator="equal">
      <formula>$U$1</formula>
    </cfRule>
  </conditionalFormatting>
  <conditionalFormatting sqref="C212">
    <cfRule type="cellIs" dxfId="56" priority="702" operator="equal">
      <formula>$U$1</formula>
    </cfRule>
    <cfRule type="cellIs" dxfId="55" priority="703" operator="equal">
      <formula>$S$1</formula>
    </cfRule>
  </conditionalFormatting>
  <conditionalFormatting sqref="D212">
    <cfRule type="cellIs" dxfId="54" priority="700" operator="equal">
      <formula>$S$1</formula>
    </cfRule>
    <cfRule type="cellIs" dxfId="53" priority="701" operator="equal">
      <formula>$U$1</formula>
    </cfRule>
  </conditionalFormatting>
  <conditionalFormatting sqref="C237">
    <cfRule type="cellIs" dxfId="52" priority="698" operator="equal">
      <formula>$U$1</formula>
    </cfRule>
    <cfRule type="cellIs" dxfId="51" priority="699" operator="equal">
      <formula>$S$1</formula>
    </cfRule>
  </conditionalFormatting>
  <conditionalFormatting sqref="D237">
    <cfRule type="cellIs" dxfId="50" priority="696" operator="equal">
      <formula>$S$1</formula>
    </cfRule>
    <cfRule type="cellIs" dxfId="49" priority="697" operator="equal">
      <formula>$U$1</formula>
    </cfRule>
  </conditionalFormatting>
  <conditionalFormatting sqref="C106">
    <cfRule type="cellIs" dxfId="48" priority="694" operator="equal">
      <formula>$U$1</formula>
    </cfRule>
    <cfRule type="cellIs" dxfId="47" priority="695" operator="equal">
      <formula>$S$1</formula>
    </cfRule>
  </conditionalFormatting>
  <conditionalFormatting sqref="D106">
    <cfRule type="cellIs" dxfId="46" priority="692" operator="equal">
      <formula>$S$1</formula>
    </cfRule>
    <cfRule type="cellIs" dxfId="45" priority="693" operator="equal">
      <formula>$U$1</formula>
    </cfRule>
  </conditionalFormatting>
  <conditionalFormatting sqref="C81">
    <cfRule type="cellIs" dxfId="44" priority="690" operator="equal">
      <formula>$U$1</formula>
    </cfRule>
    <cfRule type="cellIs" dxfId="43" priority="691" operator="equal">
      <formula>$S$1</formula>
    </cfRule>
  </conditionalFormatting>
  <conditionalFormatting sqref="D81">
    <cfRule type="cellIs" dxfId="42" priority="688" operator="equal">
      <formula>$S$1</formula>
    </cfRule>
    <cfRule type="cellIs" dxfId="41" priority="689" operator="equal">
      <formula>$U$1</formula>
    </cfRule>
  </conditionalFormatting>
  <conditionalFormatting sqref="C56">
    <cfRule type="cellIs" dxfId="40" priority="686" operator="equal">
      <formula>$U$1</formula>
    </cfRule>
    <cfRule type="cellIs" dxfId="39" priority="687" operator="equal">
      <formula>$S$1</formula>
    </cfRule>
  </conditionalFormatting>
  <conditionalFormatting sqref="D56">
    <cfRule type="cellIs" dxfId="38" priority="684" operator="equal">
      <formula>$S$1</formula>
    </cfRule>
    <cfRule type="cellIs" dxfId="37" priority="685" operator="equal">
      <formula>$U$1</formula>
    </cfRule>
  </conditionalFormatting>
  <conditionalFormatting sqref="C31">
    <cfRule type="cellIs" dxfId="36" priority="682" operator="equal">
      <formula>$U$1</formula>
    </cfRule>
    <cfRule type="cellIs" dxfId="35" priority="683" operator="equal">
      <formula>$S$1</formula>
    </cfRule>
  </conditionalFormatting>
  <conditionalFormatting sqref="D31">
    <cfRule type="cellIs" dxfId="34" priority="680" operator="equal">
      <formula>$S$1</formula>
    </cfRule>
    <cfRule type="cellIs" dxfId="33" priority="68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B125" sqref="AB12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12" x14ac:dyDescent="0.25">
      <c r="A97" s="30">
        <v>9.849732675807628</v>
      </c>
      <c r="E97"/>
    </row>
    <row r="98" spans="1:12" x14ac:dyDescent="0.25">
      <c r="A98" s="30">
        <v>8.9543024325523888</v>
      </c>
      <c r="C98" s="1" t="s">
        <v>13</v>
      </c>
      <c r="E98"/>
    </row>
    <row r="99" spans="1:12" x14ac:dyDescent="0.25">
      <c r="A99" s="30">
        <v>8.140274938683989</v>
      </c>
      <c r="C99" s="1">
        <f>C88</f>
        <v>0</v>
      </c>
      <c r="E99"/>
    </row>
    <row r="100" spans="1:12" x14ac:dyDescent="0.25">
      <c r="A100" s="30">
        <v>7.4002499442581717</v>
      </c>
      <c r="C100"/>
      <c r="D100"/>
      <c r="E100"/>
    </row>
    <row r="101" spans="1:12" x14ac:dyDescent="0.25">
      <c r="A101" s="30">
        <v>6.72749994932561</v>
      </c>
      <c r="C101" s="1" t="s">
        <v>14</v>
      </c>
      <c r="E101"/>
    </row>
    <row r="102" spans="1:1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12" x14ac:dyDescent="0.25">
      <c r="A103" s="30">
        <v>5.5599173134922388</v>
      </c>
      <c r="E103" t="s">
        <v>8</v>
      </c>
      <c r="G103" s="27" t="s">
        <v>8</v>
      </c>
    </row>
    <row r="104" spans="1:12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</row>
    <row r="105" spans="1:12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</row>
    <row r="106" spans="1:12" x14ac:dyDescent="0.25">
      <c r="A106" s="30">
        <v>4.1772481694156562</v>
      </c>
      <c r="E106" t="s">
        <v>8</v>
      </c>
      <c r="F106" s="27" t="s">
        <v>7</v>
      </c>
      <c r="H106" s="27" t="s">
        <v>7</v>
      </c>
    </row>
    <row r="107" spans="1:12" x14ac:dyDescent="0.25">
      <c r="A107" s="30">
        <v>3.7974983358324148</v>
      </c>
      <c r="E107" t="s">
        <v>8</v>
      </c>
      <c r="H107" s="27" t="s">
        <v>7</v>
      </c>
      <c r="I107" s="27" t="s">
        <v>8</v>
      </c>
    </row>
    <row r="108" spans="1:12" x14ac:dyDescent="0.25">
      <c r="A108" s="30">
        <v>3.4522712143931042</v>
      </c>
      <c r="E108" t="s">
        <v>8</v>
      </c>
      <c r="H108" s="27" t="s">
        <v>7</v>
      </c>
      <c r="I108" s="27" t="s">
        <v>8</v>
      </c>
      <c r="J108" s="27" t="s">
        <v>7</v>
      </c>
      <c r="K108" s="27" t="s">
        <v>8</v>
      </c>
    </row>
    <row r="109" spans="1:12" x14ac:dyDescent="0.25">
      <c r="A109" s="30">
        <v>3.1384283767210035</v>
      </c>
      <c r="E109" t="s">
        <v>8</v>
      </c>
      <c r="H109" s="27" t="s">
        <v>7</v>
      </c>
      <c r="I109" s="27" t="s">
        <v>8</v>
      </c>
      <c r="J109" s="27" t="s">
        <v>7</v>
      </c>
      <c r="K109" s="27" t="s">
        <v>8</v>
      </c>
      <c r="L109" s="27" t="s">
        <v>7</v>
      </c>
    </row>
    <row r="110" spans="1:12" x14ac:dyDescent="0.25">
      <c r="A110" s="30">
        <v>2.8531167061100029</v>
      </c>
      <c r="E110" t="s">
        <v>8</v>
      </c>
      <c r="H110" s="27" t="s">
        <v>7</v>
      </c>
      <c r="J110" s="27" t="s">
        <v>7</v>
      </c>
      <c r="K110" s="27" t="s">
        <v>8</v>
      </c>
      <c r="L110" s="27" t="s">
        <v>7</v>
      </c>
    </row>
    <row r="111" spans="1:12" x14ac:dyDescent="0.25">
      <c r="A111" s="30">
        <v>2.5937424601000023</v>
      </c>
      <c r="C111" s="1" t="str">
        <f>ADDRESS(C121-1,1,1,1)</f>
        <v>$A$124</v>
      </c>
      <c r="D111" s="1" t="str">
        <f>ADDRESS(C121-1,D121,1,1)</f>
        <v>$AB$124</v>
      </c>
      <c r="E111" t="s">
        <v>8</v>
      </c>
      <c r="J111" s="27" t="s">
        <v>7</v>
      </c>
      <c r="K111" s="27" t="s">
        <v>8</v>
      </c>
      <c r="L111" s="27" t="s">
        <v>7</v>
      </c>
    </row>
    <row r="112" spans="1:12" x14ac:dyDescent="0.25">
      <c r="A112" s="30">
        <v>2.3579476910000019</v>
      </c>
      <c r="C112" s="1" t="str">
        <f>ADDRESS(C121,1,1,1)</f>
        <v>$A$125</v>
      </c>
      <c r="D112" s="1" t="str">
        <f>ADDRESS(C121,D121-1,1,1)</f>
        <v>$AA$125</v>
      </c>
      <c r="E112" t="s">
        <v>8</v>
      </c>
      <c r="J112" s="27" t="s">
        <v>7</v>
      </c>
      <c r="K112" s="27" t="s">
        <v>8</v>
      </c>
      <c r="L112" s="27" t="s">
        <v>7</v>
      </c>
    </row>
    <row r="113" spans="1:28" x14ac:dyDescent="0.25">
      <c r="A113" s="30">
        <v>2.1435888100000016</v>
      </c>
      <c r="C113" s="1" t="str">
        <f>ADDRESS(C121+1,1,1,1)</f>
        <v>$A$126</v>
      </c>
      <c r="D113" s="1" t="str">
        <f>ADDRESS(C121-1,D121+1,1,1)</f>
        <v>$AC$124</v>
      </c>
      <c r="E113" s="1" t="s">
        <v>8</v>
      </c>
      <c r="J113" s="27" t="s">
        <v>7</v>
      </c>
      <c r="K113" s="27" t="s">
        <v>8</v>
      </c>
      <c r="L113" s="27" t="s">
        <v>7</v>
      </c>
      <c r="U113" s="27" t="s">
        <v>8</v>
      </c>
    </row>
    <row r="114" spans="1:28" x14ac:dyDescent="0.25">
      <c r="A114" s="30">
        <v>1.9487171000000014</v>
      </c>
      <c r="C114" s="1" t="str">
        <f>ADDRESS(C121,D121,1,1)</f>
        <v>$AB$125</v>
      </c>
      <c r="D114" s="1" t="str">
        <f>ADDRESS(C121+1,D121+1,1,1)</f>
        <v>$AC$126</v>
      </c>
      <c r="E114" s="1" t="s">
        <v>8</v>
      </c>
      <c r="J114" s="27" t="s">
        <v>7</v>
      </c>
      <c r="K114" s="27" t="s">
        <v>8</v>
      </c>
      <c r="L114" s="27" t="s">
        <v>7</v>
      </c>
      <c r="M114" s="27" t="s">
        <v>8</v>
      </c>
      <c r="O114" s="27" t="s">
        <v>8</v>
      </c>
      <c r="U114" s="27" t="s">
        <v>8</v>
      </c>
      <c r="V114" s="27" t="s">
        <v>7</v>
      </c>
      <c r="Y114" s="27" t="s">
        <v>8</v>
      </c>
    </row>
    <row r="115" spans="1:28" x14ac:dyDescent="0.25">
      <c r="A115" s="30">
        <v>1.7715610000000011</v>
      </c>
      <c r="C115" s="1" t="str">
        <f>ADDRESS(C121+1,D121,1,1)</f>
        <v>$AB$126</v>
      </c>
      <c r="E115" s="1" t="s">
        <v>8</v>
      </c>
      <c r="J115" s="27" t="s">
        <v>7</v>
      </c>
      <c r="L115" s="27" t="s">
        <v>7</v>
      </c>
      <c r="M115" s="27" t="s">
        <v>8</v>
      </c>
      <c r="N115" s="27" t="s">
        <v>7</v>
      </c>
      <c r="O115" s="27" t="s">
        <v>8</v>
      </c>
      <c r="P115" s="27" t="s">
        <v>7</v>
      </c>
      <c r="U115" s="27" t="s">
        <v>8</v>
      </c>
      <c r="V115" s="27" t="s">
        <v>7</v>
      </c>
      <c r="W115" s="27" t="s">
        <v>8</v>
      </c>
      <c r="Y115" s="27" t="s">
        <v>8</v>
      </c>
      <c r="Z115" s="27" t="s">
        <v>7</v>
      </c>
    </row>
    <row r="116" spans="1:28" x14ac:dyDescent="0.25">
      <c r="A116" s="30">
        <v>1.6105100000000008</v>
      </c>
      <c r="C116" s="1">
        <f>C117-1</f>
        <v>124</v>
      </c>
      <c r="E116" s="1" t="s">
        <v>8</v>
      </c>
      <c r="L116" s="27" t="s">
        <v>7</v>
      </c>
      <c r="M116" s="27" t="s">
        <v>8</v>
      </c>
      <c r="N116" s="27" t="s">
        <v>7</v>
      </c>
      <c r="O116" s="27" t="s">
        <v>8</v>
      </c>
      <c r="P116" s="27" t="s">
        <v>7</v>
      </c>
      <c r="U116" s="27" t="s">
        <v>8</v>
      </c>
      <c r="V116" s="27" t="s">
        <v>7</v>
      </c>
      <c r="W116" s="27" t="s">
        <v>8</v>
      </c>
      <c r="X116" s="27" t="s">
        <v>7</v>
      </c>
      <c r="Y116" s="27" t="s">
        <v>8</v>
      </c>
      <c r="Z116" s="27" t="s">
        <v>7</v>
      </c>
    </row>
    <row r="117" spans="1:28" x14ac:dyDescent="0.25">
      <c r="A117" s="30">
        <v>1.4641000000000006</v>
      </c>
      <c r="C117" s="1">
        <f>C121</f>
        <v>125</v>
      </c>
      <c r="D117" s="1">
        <f>D121</f>
        <v>28</v>
      </c>
      <c r="E117" s="1" t="s">
        <v>8</v>
      </c>
      <c r="L117" s="27" t="s">
        <v>7</v>
      </c>
      <c r="M117" s="27" t="s">
        <v>8</v>
      </c>
      <c r="N117" s="27" t="s">
        <v>7</v>
      </c>
      <c r="O117" s="27" t="s">
        <v>8</v>
      </c>
      <c r="P117" s="27" t="s">
        <v>7</v>
      </c>
      <c r="U117" s="27" t="s">
        <v>8</v>
      </c>
      <c r="V117" s="27" t="s">
        <v>7</v>
      </c>
      <c r="W117" s="27" t="s">
        <v>8</v>
      </c>
      <c r="X117" s="27" t="s">
        <v>7</v>
      </c>
      <c r="Y117" s="27" t="s">
        <v>8</v>
      </c>
      <c r="Z117" s="27" t="s">
        <v>7</v>
      </c>
    </row>
    <row r="118" spans="1:28" x14ac:dyDescent="0.25">
      <c r="A118" s="30">
        <v>1.3310000000000004</v>
      </c>
      <c r="C118" s="1">
        <f>C117+1</f>
        <v>126</v>
      </c>
      <c r="D118" s="1">
        <f>D117+1</f>
        <v>29</v>
      </c>
      <c r="E118" s="1" t="s">
        <v>8</v>
      </c>
      <c r="L118" s="27" t="s">
        <v>7</v>
      </c>
      <c r="M118" s="27" t="s">
        <v>8</v>
      </c>
      <c r="N118" s="27" t="s">
        <v>7</v>
      </c>
      <c r="O118" s="27" t="s">
        <v>8</v>
      </c>
      <c r="P118" s="27" t="s">
        <v>7</v>
      </c>
      <c r="Q118" s="27" t="s">
        <v>8</v>
      </c>
      <c r="S118" s="27" t="s">
        <v>8</v>
      </c>
      <c r="U118" s="27" t="s">
        <v>8</v>
      </c>
      <c r="V118" s="27" t="s">
        <v>7</v>
      </c>
      <c r="W118" s="27" t="s">
        <v>8</v>
      </c>
      <c r="X118" s="27" t="s">
        <v>7</v>
      </c>
      <c r="Z118" s="27" t="s">
        <v>7</v>
      </c>
    </row>
    <row r="119" spans="1:28" x14ac:dyDescent="0.25">
      <c r="A119" s="30">
        <v>1.2100000000000002</v>
      </c>
      <c r="E119" s="1" t="s">
        <v>8</v>
      </c>
      <c r="L119" s="27" t="s">
        <v>7</v>
      </c>
      <c r="M119" s="27" t="s">
        <v>8</v>
      </c>
      <c r="N119" s="27" t="s">
        <v>7</v>
      </c>
      <c r="P119" s="27" t="s">
        <v>7</v>
      </c>
      <c r="Q119" s="27" t="s">
        <v>8</v>
      </c>
      <c r="R119" s="27" t="s">
        <v>7</v>
      </c>
      <c r="S119" s="27" t="s">
        <v>8</v>
      </c>
      <c r="T119" s="27" t="s">
        <v>7</v>
      </c>
      <c r="U119" s="27" t="s">
        <v>8</v>
      </c>
      <c r="V119" s="27" t="s">
        <v>7</v>
      </c>
      <c r="Z119" s="27" t="s">
        <v>7</v>
      </c>
      <c r="AA119" s="27" t="s">
        <v>8</v>
      </c>
    </row>
    <row r="120" spans="1:28" x14ac:dyDescent="0.25">
      <c r="A120" s="30">
        <v>1.1000000000000001</v>
      </c>
      <c r="C120" s="1" t="s">
        <v>9</v>
      </c>
      <c r="E120" s="1" t="s">
        <v>8</v>
      </c>
      <c r="L120" s="27" t="s">
        <v>7</v>
      </c>
      <c r="P120" s="27" t="s">
        <v>7</v>
      </c>
      <c r="Q120" s="27" t="s">
        <v>8</v>
      </c>
      <c r="R120" s="27" t="s">
        <v>7</v>
      </c>
      <c r="S120" s="27" t="s">
        <v>8</v>
      </c>
      <c r="T120" s="27" t="s">
        <v>7</v>
      </c>
      <c r="U120" s="27" t="s">
        <v>8</v>
      </c>
      <c r="Z120" s="27" t="s">
        <v>7</v>
      </c>
      <c r="AA120" s="27" t="s">
        <v>8</v>
      </c>
      <c r="AB120" s="27" t="s">
        <v>7</v>
      </c>
    </row>
    <row r="121" spans="1:28" x14ac:dyDescent="0.25">
      <c r="A121" s="30">
        <v>1</v>
      </c>
      <c r="C121" s="18">
        <v>125</v>
      </c>
      <c r="D121" s="19">
        <v>28</v>
      </c>
      <c r="E121" s="18" t="s">
        <v>8</v>
      </c>
      <c r="P121" s="27" t="s">
        <v>7</v>
      </c>
      <c r="Q121" s="27" t="s">
        <v>8</v>
      </c>
      <c r="R121" s="27" t="s">
        <v>7</v>
      </c>
      <c r="T121" s="18" t="s">
        <v>7</v>
      </c>
      <c r="U121" s="27" t="s">
        <v>8</v>
      </c>
      <c r="Z121" s="27" t="s">
        <v>7</v>
      </c>
      <c r="AA121" s="27" t="s">
        <v>8</v>
      </c>
      <c r="AB121" s="27" t="s">
        <v>7</v>
      </c>
    </row>
    <row r="122" spans="1:28" x14ac:dyDescent="0.25">
      <c r="A122" s="30">
        <v>0.90909090909090895</v>
      </c>
      <c r="C122" s="1" t="str">
        <f>INDEX(1:1048576,C117,D117)</f>
        <v>O</v>
      </c>
      <c r="P122" s="27" t="s">
        <v>7</v>
      </c>
      <c r="Q122" s="27" t="s">
        <v>8</v>
      </c>
      <c r="T122" s="27" t="s">
        <v>7</v>
      </c>
      <c r="Z122" s="27" t="s">
        <v>7</v>
      </c>
      <c r="AB122" s="27" t="s">
        <v>7</v>
      </c>
    </row>
    <row r="123" spans="1:28" x14ac:dyDescent="0.25">
      <c r="A123" s="30">
        <v>0.82644628099173523</v>
      </c>
      <c r="C123" s="1" t="str">
        <f>"R"&amp;C121</f>
        <v>R125</v>
      </c>
      <c r="D123" s="1" t="str">
        <f>"C"&amp;D121</f>
        <v>C28</v>
      </c>
      <c r="P123" s="27" t="s">
        <v>7</v>
      </c>
      <c r="Q123" s="27" t="s">
        <v>8</v>
      </c>
      <c r="AB123" s="27" t="s">
        <v>7</v>
      </c>
    </row>
    <row r="124" spans="1:28" x14ac:dyDescent="0.25">
      <c r="A124" s="30">
        <v>0.75131480090157732</v>
      </c>
      <c r="C124" s="1">
        <f>SUM(C130:D130)</f>
        <v>0</v>
      </c>
      <c r="D124" s="1">
        <f>IF(C124=0,0,1)</f>
        <v>0</v>
      </c>
      <c r="P124" s="27" t="s">
        <v>7</v>
      </c>
      <c r="Q124" s="27" t="s">
        <v>8</v>
      </c>
      <c r="AB124" s="27" t="s">
        <v>7</v>
      </c>
    </row>
    <row r="125" spans="1:28" x14ac:dyDescent="0.25">
      <c r="A125" s="30">
        <v>0.68301345536507019</v>
      </c>
      <c r="P125" s="27" t="s">
        <v>7</v>
      </c>
      <c r="Q125" s="27" t="s">
        <v>8</v>
      </c>
      <c r="AB125" s="27" t="s">
        <v>7</v>
      </c>
    </row>
    <row r="126" spans="1:28" x14ac:dyDescent="0.25">
      <c r="A126" s="30">
        <v>0.6209213230591546</v>
      </c>
      <c r="C126" s="1" t="s">
        <v>10</v>
      </c>
      <c r="P126" s="27" t="s">
        <v>7</v>
      </c>
    </row>
    <row r="127" spans="1:28" x14ac:dyDescent="0.25">
      <c r="A127" s="30">
        <v>0.56447393005377677</v>
      </c>
      <c r="C127" s="30">
        <v>0.68301345536507019</v>
      </c>
      <c r="D127"/>
    </row>
    <row r="128" spans="1:28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98" operator="equal">
      <formula>$U$1</formula>
    </cfRule>
    <cfRule type="cellIs" dxfId="30" priority="699" operator="equal">
      <formula>$S$1</formula>
    </cfRule>
  </conditionalFormatting>
  <conditionalFormatting sqref="D136">
    <cfRule type="cellIs" dxfId="29" priority="696" operator="equal">
      <formula>$S$1</formula>
    </cfRule>
    <cfRule type="cellIs" dxfId="28" priority="697" operator="equal">
      <formula>$U$1</formula>
    </cfRule>
  </conditionalFormatting>
  <conditionalFormatting sqref="C102">
    <cfRule type="cellIs" dxfId="27" priority="694" operator="equal">
      <formula>$U$1</formula>
    </cfRule>
    <cfRule type="cellIs" dxfId="26" priority="695" operator="equal">
      <formula>$S$1</formula>
    </cfRule>
  </conditionalFormatting>
  <conditionalFormatting sqref="D102">
    <cfRule type="cellIs" dxfId="25" priority="692" operator="equal">
      <formula>$S$1</formula>
    </cfRule>
    <cfRule type="cellIs" dxfId="24" priority="693" operator="equal">
      <formula>$U$1</formula>
    </cfRule>
  </conditionalFormatting>
  <conditionalFormatting sqref="C77">
    <cfRule type="cellIs" dxfId="23" priority="690" operator="equal">
      <formula>$U$1</formula>
    </cfRule>
    <cfRule type="cellIs" dxfId="22" priority="691" operator="equal">
      <formula>$S$1</formula>
    </cfRule>
  </conditionalFormatting>
  <conditionalFormatting sqref="D77">
    <cfRule type="cellIs" dxfId="21" priority="688" operator="equal">
      <formula>$S$1</formula>
    </cfRule>
    <cfRule type="cellIs" dxfId="20" priority="689" operator="equal">
      <formula>$U$1</formula>
    </cfRule>
  </conditionalFormatting>
  <conditionalFormatting sqref="C52">
    <cfRule type="cellIs" dxfId="19" priority="686" operator="equal">
      <formula>$U$1</formula>
    </cfRule>
    <cfRule type="cellIs" dxfId="18" priority="687" operator="equal">
      <formula>$S$1</formula>
    </cfRule>
  </conditionalFormatting>
  <conditionalFormatting sqref="D52">
    <cfRule type="cellIs" dxfId="17" priority="684" operator="equal">
      <formula>$S$1</formula>
    </cfRule>
    <cfRule type="cellIs" dxfId="16" priority="685" operator="equal">
      <formula>$U$1</formula>
    </cfRule>
  </conditionalFormatting>
  <conditionalFormatting sqref="C26">
    <cfRule type="cellIs" dxfId="15" priority="682" operator="equal">
      <formula>$U$1</formula>
    </cfRule>
    <cfRule type="cellIs" dxfId="14" priority="683" operator="equal">
      <formula>$S$1</formula>
    </cfRule>
  </conditionalFormatting>
  <conditionalFormatting sqref="D26">
    <cfRule type="cellIs" dxfId="13" priority="680" operator="equal">
      <formula>$S$1</formula>
    </cfRule>
    <cfRule type="cellIs" dxfId="12" priority="68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2022-01-28T01:20:23Z</dcterms:modified>
</cp:coreProperties>
</file>