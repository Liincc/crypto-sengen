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417F48E3-52BB-45F0-8189-0623AAE45679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C136" i="4" s="1"/>
  <c r="C118" i="3"/>
  <c r="C122" i="5"/>
  <c r="C133" i="5" s="1"/>
  <c r="D136" i="5" s="1"/>
  <c r="C118" i="4"/>
  <c r="C116" i="4"/>
  <c r="C116" i="5"/>
  <c r="C122" i="3"/>
  <c r="C133" i="3" s="1"/>
  <c r="D136" i="3" s="1"/>
  <c r="R765" i="1"/>
  <c r="D136" i="4" l="1"/>
  <c r="C138" i="4" s="1"/>
  <c r="C136" i="5"/>
  <c r="C138" i="5" s="1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S183" i="1" l="1"/>
  <c r="T183" i="1" s="1"/>
  <c r="R182" i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S88" i="1" l="1"/>
  <c r="T88" i="1" s="1"/>
  <c r="R87" i="1"/>
  <c r="S87" i="1" l="1"/>
  <c r="T87" i="1" s="1"/>
  <c r="R86" i="1"/>
  <c r="S86" i="1" l="1"/>
  <c r="T86" i="1" s="1"/>
  <c r="R85" i="1"/>
  <c r="S85" i="1" l="1"/>
  <c r="T85" i="1" s="1"/>
  <c r="R84" i="1"/>
  <c r="S84" i="1" l="1"/>
  <c r="T84" i="1" s="1"/>
  <c r="R83" i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S76" i="1" l="1"/>
  <c r="T76" i="1" s="1"/>
  <c r="R75" i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R66" i="1" l="1"/>
  <c r="S67" i="1"/>
  <c r="T67" i="1" s="1"/>
  <c r="R65" i="1" l="1"/>
  <c r="S66" i="1"/>
  <c r="T66" i="1" s="1"/>
  <c r="R64" i="1" l="1"/>
  <c r="S65" i="1"/>
  <c r="T65" i="1" s="1"/>
  <c r="S64" i="1" l="1"/>
  <c r="T64" i="1" s="1"/>
  <c r="R63" i="1"/>
  <c r="S63" i="1" l="1"/>
  <c r="T63" i="1" s="1"/>
  <c r="R62" i="1"/>
  <c r="S62" i="1" l="1"/>
  <c r="T62" i="1" s="1"/>
  <c r="R61" i="1"/>
  <c r="S61" i="1" l="1"/>
  <c r="T61" i="1" s="1"/>
  <c r="R60" i="1"/>
  <c r="S60" i="1" l="1"/>
  <c r="T60" i="1" s="1"/>
  <c r="R59" i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S52" i="1" l="1"/>
  <c r="T52" i="1" s="1"/>
  <c r="R51" i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<sst xmlns="http://schemas.openxmlformats.org/spreadsheetml/2006/main" count="5450" uniqueCount="34">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</sst>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19.98</c:v>
                </c:pt>
                <c:pt idx="1">
                  <c:v>20.34</c:v>
                </c:pt>
                <c:pt idx="2">
                  <c:v>20.440000000000001</c:v>
                </c:pt>
                <c:pt idx="3">
                  <c:v>20.83</c:v>
                </c:pt>
                <c:pt idx="4">
                  <c:v>22.29</c:v>
                </c:pt>
                <c:pt idx="5">
                  <c:v>21.52</c:v>
                </c:pt>
                <c:pt idx="6">
                  <c:v>23.33</c:v>
                </c:pt>
                <c:pt idx="7">
                  <c:v>25.42</c:v>
                </c:pt>
                <c:pt idx="8">
                  <c:v>26.76</c:v>
                </c:pt>
                <c:pt idx="9">
                  <c:v>27.28</c:v>
                </c:pt>
                <c:pt idx="10">
                  <c:v>27.85</c:v>
                </c:pt>
                <c:pt idx="11">
                  <c:v>28.39</c:v>
                </c:pt>
                <c:pt idx="12">
                  <c:v>28.78</c:v>
                </c:pt>
                <c:pt idx="13">
                  <c:v>28.38</c:v>
                </c:pt>
                <c:pt idx="14">
                  <c:v>27.78</c:v>
                </c:pt>
                <c:pt idx="15">
                  <c:v>28.89</c:v>
                </c:pt>
                <c:pt idx="16">
                  <c:v>28.41</c:v>
                </c:pt>
                <c:pt idx="17">
                  <c:v>27.36</c:v>
                </c:pt>
                <c:pt idx="18">
                  <c:v>28.07</c:v>
                </c:pt>
                <c:pt idx="19">
                  <c:v>27.98</c:v>
                </c:pt>
                <c:pt idx="20">
                  <c:v>27.9</c:v>
                </c:pt>
                <c:pt idx="21">
                  <c:v>29.35</c:v>
                </c:pt>
                <c:pt idx="22">
                  <c:v>29.77</c:v>
                </c:pt>
                <c:pt idx="23">
                  <c:v>31.33</c:v>
                </c:pt>
                <c:pt idx="24">
                  <c:v>31.66</c:v>
                </c:pt>
                <c:pt idx="25">
                  <c:v>32.200000000000003</c:v>
                </c:pt>
                <c:pt idx="26">
                  <c:v>32.380000000000003</c:v>
                </c:pt>
                <c:pt idx="27">
                  <c:v>31.7</c:v>
                </c:pt>
                <c:pt idx="28">
                  <c:v>32.04</c:v>
                </c:pt>
                <c:pt idx="29">
                  <c:v>31.52</c:v>
                </c:pt>
                <c:pt idx="30">
                  <c:v>33.51</c:v>
                </c:pt>
                <c:pt idx="31">
                  <c:v>34.61</c:v>
                </c:pt>
                <c:pt idx="32">
                  <c:v>34.380000000000003</c:v>
                </c:pt>
                <c:pt idx="33">
                  <c:v>34.43</c:v>
                </c:pt>
                <c:pt idx="34">
                  <c:v>33.93</c:v>
                </c:pt>
                <c:pt idx="35">
                  <c:v>34.18</c:v>
                </c:pt>
                <c:pt idx="36">
                  <c:v>33.07</c:v>
                </c:pt>
                <c:pt idx="37">
                  <c:v>33.14</c:v>
                </c:pt>
                <c:pt idx="38">
                  <c:v>31.99</c:v>
                </c:pt>
                <c:pt idx="39">
                  <c:v>32.22</c:v>
                </c:pt>
                <c:pt idx="40">
                  <c:v>32.47</c:v>
                </c:pt>
                <c:pt idx="41">
                  <c:v>32.54</c:v>
                </c:pt>
                <c:pt idx="42">
                  <c:v>31.4</c:v>
                </c:pt>
                <c:pt idx="43">
                  <c:v>32.35</c:v>
                </c:pt>
                <c:pt idx="44">
                  <c:v>32.11</c:v>
                </c:pt>
                <c:pt idx="45">
                  <c:v>31.78</c:v>
                </c:pt>
                <c:pt idx="46">
                  <c:v>34.07</c:v>
                </c:pt>
                <c:pt idx="47">
                  <c:v>33.28</c:v>
                </c:pt>
                <c:pt idx="48">
                  <c:v>33.07</c:v>
                </c:pt>
                <c:pt idx="49">
                  <c:v>34.51</c:v>
                </c:pt>
                <c:pt idx="50">
                  <c:v>35.78</c:v>
                </c:pt>
                <c:pt idx="51">
                  <c:v>35.01</c:v>
                </c:pt>
                <c:pt idx="52">
                  <c:v>36.25</c:v>
                </c:pt>
                <c:pt idx="53">
                  <c:v>36.42</c:v>
                </c:pt>
                <c:pt idx="54">
                  <c:v>37.64</c:v>
                </c:pt>
                <c:pt idx="55">
                  <c:v>40.11</c:v>
                </c:pt>
                <c:pt idx="56">
                  <c:v>40.33</c:v>
                </c:pt>
                <c:pt idx="57">
                  <c:v>39.590000000000003</c:v>
                </c:pt>
                <c:pt idx="58">
                  <c:v>39.880000000000003</c:v>
                </c:pt>
                <c:pt idx="59">
                  <c:v>40.69</c:v>
                </c:pt>
                <c:pt idx="60">
                  <c:v>39.799999999999997</c:v>
                </c:pt>
                <c:pt idx="61">
                  <c:v>39.24</c:v>
                </c:pt>
                <c:pt idx="62">
                  <c:v>37.82</c:v>
                </c:pt>
                <c:pt idx="63">
                  <c:v>41.23</c:v>
                </c:pt>
                <c:pt idx="64">
                  <c:v>40.74</c:v>
                </c:pt>
                <c:pt idx="65">
                  <c:v>39.79</c:v>
                </c:pt>
                <c:pt idx="66">
                  <c:v>39.49</c:v>
                </c:pt>
                <c:pt idx="67">
                  <c:v>41.17</c:v>
                </c:pt>
                <c:pt idx="68">
                  <c:v>40.71</c:v>
                </c:pt>
                <c:pt idx="69">
                  <c:v>39.479999999999997</c:v>
                </c:pt>
                <c:pt idx="70">
                  <c:v>38.47</c:v>
                </c:pt>
                <c:pt idx="71">
                  <c:v>40.520000000000003</c:v>
                </c:pt>
                <c:pt idx="72">
                  <c:v>40.75</c:v>
                </c:pt>
                <c:pt idx="73">
                  <c:v>43.94</c:v>
                </c:pt>
                <c:pt idx="74">
                  <c:v>43.75</c:v>
                </c:pt>
                <c:pt idx="75">
                  <c:v>43.31</c:v>
                </c:pt>
                <c:pt idx="76">
                  <c:v>43.4</c:v>
                </c:pt>
                <c:pt idx="77">
                  <c:v>44.13</c:v>
                </c:pt>
                <c:pt idx="78">
                  <c:v>43.19</c:v>
                </c:pt>
                <c:pt idx="79">
                  <c:v>45.33</c:v>
                </c:pt>
                <c:pt idx="80">
                  <c:v>45.94</c:v>
                </c:pt>
                <c:pt idx="81">
                  <c:v>44.83</c:v>
                </c:pt>
                <c:pt idx="82">
                  <c:v>45.44</c:v>
                </c:pt>
                <c:pt idx="83">
                  <c:v>44.38</c:v>
                </c:pt>
                <c:pt idx="84">
                  <c:v>44.17</c:v>
                </c:pt>
                <c:pt idx="85">
                  <c:v>45.27</c:v>
                </c:pt>
                <c:pt idx="86">
                  <c:v>44.4</c:v>
                </c:pt>
                <c:pt idx="87">
                  <c:v>43.79</c:v>
                </c:pt>
                <c:pt idx="88">
                  <c:v>43.09</c:v>
                </c:pt>
                <c:pt idx="89">
                  <c:v>42.58</c:v>
                </c:pt>
                <c:pt idx="90">
                  <c:v>42</c:v>
                </c:pt>
                <c:pt idx="91">
                  <c:v>41.93</c:v>
                </c:pt>
                <c:pt idx="92">
                  <c:v>40.520000000000003</c:v>
                </c:pt>
                <c:pt idx="93">
                  <c:v>43.14</c:v>
                </c:pt>
                <c:pt idx="94">
                  <c:v>43.57</c:v>
                </c:pt>
                <c:pt idx="95">
                  <c:v>42.92</c:v>
                </c:pt>
                <c:pt idx="96">
                  <c:v>43.65</c:v>
                </c:pt>
                <c:pt idx="97">
                  <c:v>43.39</c:v>
                </c:pt>
                <c:pt idx="98">
                  <c:v>43.44</c:v>
                </c:pt>
                <c:pt idx="99">
                  <c:v>43.43</c:v>
                </c:pt>
                <c:pt idx="100">
                  <c:v>43.05</c:v>
                </c:pt>
                <c:pt idx="101">
                  <c:v>43.07</c:v>
                </c:pt>
                <c:pt idx="102">
                  <c:v>44.08</c:v>
                </c:pt>
                <c:pt idx="103">
                  <c:v>43.13</c:v>
                </c:pt>
                <c:pt idx="104">
                  <c:v>44.08</c:v>
                </c:pt>
                <c:pt idx="105">
                  <c:v>43.24</c:v>
                </c:pt>
                <c:pt idx="106">
                  <c:v>45.08</c:v>
                </c:pt>
                <c:pt idx="107">
                  <c:v>45.47</c:v>
                </c:pt>
                <c:pt idx="108">
                  <c:v>43.24</c:v>
                </c:pt>
                <c:pt idx="109">
                  <c:v>43.38</c:v>
                </c:pt>
                <c:pt idx="110">
                  <c:v>45.78</c:v>
                </c:pt>
                <c:pt idx="111">
                  <c:v>44.86</c:v>
                </c:pt>
                <c:pt idx="112">
                  <c:v>45.27</c:v>
                </c:pt>
                <c:pt idx="113">
                  <c:v>45.12</c:v>
                </c:pt>
                <c:pt idx="114">
                  <c:v>45.25</c:v>
                </c:pt>
                <c:pt idx="115">
                  <c:v>45.74</c:v>
                </c:pt>
                <c:pt idx="116">
                  <c:v>43.8</c:v>
                </c:pt>
                <c:pt idx="117">
                  <c:v>44.5</c:v>
                </c:pt>
                <c:pt idx="118">
                  <c:v>44.89</c:v>
                </c:pt>
                <c:pt idx="119">
                  <c:v>41.32</c:v>
                </c:pt>
                <c:pt idx="120">
                  <c:v>40.08</c:v>
                </c:pt>
                <c:pt idx="121">
                  <c:v>39.1</c:v>
                </c:pt>
                <c:pt idx="122">
                  <c:v>39.909999999999997</c:v>
                </c:pt>
                <c:pt idx="123">
                  <c:v>41.32</c:v>
                </c:pt>
                <c:pt idx="124">
                  <c:v>41.85</c:v>
                </c:pt>
                <c:pt idx="125">
                  <c:v>41.21</c:v>
                </c:pt>
                <c:pt idx="126">
                  <c:v>42.75</c:v>
                </c:pt>
                <c:pt idx="127">
                  <c:v>41.58</c:v>
                </c:pt>
                <c:pt idx="128">
                  <c:v>37.409999999999997</c:v>
                </c:pt>
                <c:pt idx="129">
                  <c:v>42.6</c:v>
                </c:pt>
                <c:pt idx="130">
                  <c:v>44.78</c:v>
                </c:pt>
                <c:pt idx="131">
                  <c:v>46.14</c:v>
                </c:pt>
                <c:pt idx="132">
                  <c:v>44.84</c:v>
                </c:pt>
                <c:pt idx="133">
                  <c:v>44.08</c:v>
                </c:pt>
                <c:pt idx="134">
                  <c:v>45.28</c:v>
                </c:pt>
                <c:pt idx="135">
                  <c:v>43.7</c:v>
                </c:pt>
                <c:pt idx="136">
                  <c:v>43.29</c:v>
                </c:pt>
                <c:pt idx="137">
                  <c:v>45.62</c:v>
                </c:pt>
                <c:pt idx="138">
                  <c:v>47.43</c:v>
                </c:pt>
                <c:pt idx="139">
                  <c:v>51.7</c:v>
                </c:pt>
                <c:pt idx="140">
                  <c:v>41.23</c:v>
                </c:pt>
                <c:pt idx="141">
                  <c:v>41.44</c:v>
                </c:pt>
                <c:pt idx="142">
                  <c:v>42.39</c:v>
                </c:pt>
                <c:pt idx="143">
                  <c:v>50.24</c:v>
                </c:pt>
                <c:pt idx="144">
                  <c:v>48.64</c:v>
                </c:pt>
                <c:pt idx="145">
                  <c:v>48.07</c:v>
                </c:pt>
                <c:pt idx="146">
                  <c:v>47.84</c:v>
                </c:pt>
                <c:pt idx="147">
                  <c:v>46.56</c:v>
                </c:pt>
                <c:pt idx="148">
                  <c:v>46.48</c:v>
                </c:pt>
                <c:pt idx="149">
                  <c:v>43.88</c:v>
                </c:pt>
                <c:pt idx="150">
                  <c:v>42.86</c:v>
                </c:pt>
                <c:pt idx="151">
                  <c:v>43.11</c:v>
                </c:pt>
                <c:pt idx="152">
                  <c:v>42.65</c:v>
                </c:pt>
                <c:pt idx="153">
                  <c:v>43.29</c:v>
                </c:pt>
                <c:pt idx="154">
                  <c:v>41.46</c:v>
                </c:pt>
                <c:pt idx="155">
                  <c:v>44.234999999999999</c:v>
                </c:pt>
                <c:pt idx="156">
                  <c:v>42.543999999999997</c:v>
                </c:pt>
                <c:pt idx="157">
                  <c:v>44.753999999999998</c:v>
                </c:pt>
                <c:pt idx="158">
                  <c:v>42.899000000000001</c:v>
                </c:pt>
                <c:pt idx="159">
                  <c:v>42.621000000000002</c:v>
                </c:pt>
                <c:pt idx="160">
                  <c:v>42.863</c:v>
                </c:pt>
                <c:pt idx="161">
                  <c:v>40.956000000000003</c:v>
                </c:pt>
                <c:pt idx="162">
                  <c:v>38.505000000000003</c:v>
                </c:pt>
                <c:pt idx="163">
                  <c:v>39.371000000000002</c:v>
                </c:pt>
                <c:pt idx="164">
                  <c:v>40.622</c:v>
                </c:pt>
                <c:pt idx="165">
                  <c:v>42.091000000000001</c:v>
                </c:pt>
                <c:pt idx="166">
                  <c:v>41.65</c:v>
                </c:pt>
                <c:pt idx="167">
                  <c:v>42.779000000000003</c:v>
                </c:pt>
                <c:pt idx="168">
                  <c:v>39.619</c:v>
                </c:pt>
                <c:pt idx="169">
                  <c:v>41.408000000000001</c:v>
                </c:pt>
                <c:pt idx="170">
                  <c:v>39.609000000000002</c:v>
                </c:pt>
                <c:pt idx="171">
                  <c:v>39.274000000000001</c:v>
                </c:pt>
                <c:pt idx="172">
                  <c:v>38.293999999999997</c:v>
                </c:pt>
                <c:pt idx="173">
                  <c:v>39.594000000000001</c:v>
                </c:pt>
                <c:pt idx="174">
                  <c:v>38.96</c:v>
                </c:pt>
                <c:pt idx="175">
                  <c:v>39.15</c:v>
                </c:pt>
                <c:pt idx="176">
                  <c:v>38.890999999999998</c:v>
                </c:pt>
                <c:pt idx="177">
                  <c:v>37.895000000000003</c:v>
                </c:pt>
                <c:pt idx="178">
                  <c:v>38.491</c:v>
                </c:pt>
                <c:pt idx="179">
                  <c:v>38.576999999999998</c:v>
                </c:pt>
                <c:pt idx="180">
                  <c:v>38.338000000000001</c:v>
                </c:pt>
                <c:pt idx="181">
                  <c:v>38.719000000000001</c:v>
                </c:pt>
                <c:pt idx="182">
                  <c:v>38.042000000000002</c:v>
                </c:pt>
                <c:pt idx="183">
                  <c:v>36.338000000000001</c:v>
                </c:pt>
                <c:pt idx="184">
                  <c:v>37.197000000000003</c:v>
                </c:pt>
                <c:pt idx="185">
                  <c:v>33.866</c:v>
                </c:pt>
                <c:pt idx="186">
                  <c:v>35.055</c:v>
                </c:pt>
                <c:pt idx="187">
                  <c:v>32.825000000000003</c:v>
                </c:pt>
                <c:pt idx="188">
                  <c:v>32.36</c:v>
                </c:pt>
                <c:pt idx="189">
                  <c:v>31.14</c:v>
                </c:pt>
                <c:pt idx="190">
                  <c:v>30.978000000000002</c:v>
                </c:pt>
                <c:pt idx="191">
                  <c:v>29.795000000000002</c:v>
                </c:pt>
                <c:pt idx="192">
                  <c:v>28.59</c:v>
                </c:pt>
                <c:pt idx="193">
                  <c:v>30.56</c:v>
                </c:pt>
                <c:pt idx="194">
                  <c:v>30.611000000000001</c:v>
                </c:pt>
                <c:pt idx="195">
                  <c:v>32.9</c:v>
                </c:pt>
                <c:pt idx="196">
                  <c:v>30.23</c:v>
                </c:pt>
                <c:pt idx="197">
                  <c:v>31.401</c:v>
                </c:pt>
                <c:pt idx="198">
                  <c:v>31.585999999999999</c:v>
                </c:pt>
                <c:pt idx="199">
                  <c:v>31.079000000000001</c:v>
                </c:pt>
                <c:pt idx="200">
                  <c:v>31.518000000000001</c:v>
                </c:pt>
                <c:pt idx="201">
                  <c:v>31.376999999999999</c:v>
                </c:pt>
                <c:pt idx="202">
                  <c:v>32.113999999999997</c:v>
                </c:pt>
                <c:pt idx="203">
                  <c:v>30.369</c:v>
                </c:pt>
                <c:pt idx="204">
                  <c:v>33.087000000000003</c:v>
                </c:pt>
                <c:pt idx="205">
                  <c:v>33.003</c:v>
                </c:pt>
                <c:pt idx="206">
                  <c:v>33.433999999999997</c:v>
                </c:pt>
                <c:pt idx="207">
                  <c:v>32.22</c:v>
                </c:pt>
                <c:pt idx="208">
                  <c:v>31.834</c:v>
                </c:pt>
                <c:pt idx="209">
                  <c:v>31.7</c:v>
                </c:pt>
                <c:pt idx="210">
                  <c:v>33.363999999999997</c:v>
                </c:pt>
                <c:pt idx="211">
                  <c:v>36.103999999999999</c:v>
                </c:pt>
                <c:pt idx="212">
                  <c:v>29.356000000000002</c:v>
                </c:pt>
                <c:pt idx="213">
                  <c:v>29.109000000000002</c:v>
                </c:pt>
                <c:pt idx="214">
                  <c:v>28.404</c:v>
                </c:pt>
                <c:pt idx="215">
                  <c:v>27.111000000000001</c:v>
                </c:pt>
                <c:pt idx="216">
                  <c:v>26.838000000000001</c:v>
                </c:pt>
                <c:pt idx="217">
                  <c:v>28.638999999999999</c:v>
                </c:pt>
                <c:pt idx="218">
                  <c:v>28.77</c:v>
                </c:pt>
                <c:pt idx="219">
                  <c:v>27.298999999999999</c:v>
                </c:pt>
                <c:pt idx="220">
                  <c:v>30.393000000000001</c:v>
                </c:pt>
                <c:pt idx="221">
                  <c:v>36.703000000000003</c:v>
                </c:pt>
                <c:pt idx="222">
                  <c:v>36.545000000000002</c:v>
                </c:pt>
                <c:pt idx="223">
                  <c:v>38.643999999999998</c:v>
                </c:pt>
                <c:pt idx="224">
                  <c:v>38.655000000000001</c:v>
                </c:pt>
                <c:pt idx="225">
                  <c:v>38.338999999999999</c:v>
                </c:pt>
                <c:pt idx="226">
                  <c:v>40.738999999999997</c:v>
                </c:pt>
                <c:pt idx="227">
                  <c:v>40.692999999999998</c:v>
                </c:pt>
                <c:pt idx="228">
                  <c:v>39.456000000000003</c:v>
                </c:pt>
                <c:pt idx="229">
                  <c:v>38.292000000000002</c:v>
                </c:pt>
                <c:pt idx="230">
                  <c:v>39.168999999999997</c:v>
                </c:pt>
                <c:pt idx="231">
                  <c:v>40.86</c:v>
                </c:pt>
                <c:pt idx="232">
                  <c:v>45.728000000000002</c:v>
                </c:pt>
                <c:pt idx="233">
                  <c:v>42.668999999999997</c:v>
                </c:pt>
                <c:pt idx="234">
                  <c:v>43.587000000000003</c:v>
                </c:pt>
                <c:pt idx="235">
                  <c:v>48.326999999999998</c:v>
                </c:pt>
                <c:pt idx="236">
                  <c:v>48.756</c:v>
                </c:pt>
                <c:pt idx="237">
                  <c:v>47.168999999999997</c:v>
                </c:pt>
                <c:pt idx="238">
                  <c:v>50.173999999999999</c:v>
                </c:pt>
                <c:pt idx="239">
                  <c:v>49.331000000000003</c:v>
                </c:pt>
                <c:pt idx="240">
                  <c:v>49.231999999999999</c:v>
                </c:pt>
                <c:pt idx="241">
                  <c:v>52.2</c:v>
                </c:pt>
                <c:pt idx="242">
                  <c:v>52.68</c:v>
                </c:pt>
                <c:pt idx="243">
                  <c:v>54.603999999999999</c:v>
                </c:pt>
                <c:pt idx="244">
                  <c:v>40.542000000000002</c:v>
                </c:pt>
                <c:pt idx="245">
                  <c:v>47.722999999999999</c:v>
                </c:pt>
                <c:pt idx="246">
                  <c:v>53.183</c:v>
                </c:pt>
                <c:pt idx="247">
                  <c:v>42.512999999999998</c:v>
                </c:pt>
                <c:pt idx="248">
                  <c:v>40.323</c:v>
                </c:pt>
                <c:pt idx="249">
                  <c:v>34.332000000000001</c:v>
                </c:pt>
                <c:pt idx="250">
                  <c:v>37.914000000000001</c:v>
                </c:pt>
                <c:pt idx="251">
                  <c:v>40.392000000000003</c:v>
                </c:pt>
                <c:pt idx="252">
                  <c:v>48.634999999999998</c:v>
                </c:pt>
                <c:pt idx="253">
                  <c:v>40.511000000000003</c:v>
                </c:pt>
                <c:pt idx="254">
                  <c:v>61.957999999999998</c:v>
                </c:pt>
                <c:pt idx="255">
                  <c:v>66.793000000000006</c:v>
                </c:pt>
                <c:pt idx="256">
                  <c:v>76.2</c:v>
                </c:pt>
                <c:pt idx="257">
                  <c:v>54.381</c:v>
                </c:pt>
                <c:pt idx="258">
                  <c:v>58.267000000000003</c:v>
                </c:pt>
                <c:pt idx="259">
                  <c:v>55.768999999999998</c:v>
                </c:pt>
                <c:pt idx="260">
                  <c:v>58.287999999999997</c:v>
                </c:pt>
                <c:pt idx="261">
                  <c:v>65.37</c:v>
                </c:pt>
                <c:pt idx="262">
                  <c:v>59.715000000000003</c:v>
                </c:pt>
                <c:pt idx="263">
                  <c:v>66.971000000000004</c:v>
                </c:pt>
                <c:pt idx="264">
                  <c:v>66.010000000000005</c:v>
                </c:pt>
                <c:pt idx="265">
                  <c:v>68.099000000000004</c:v>
                </c:pt>
                <c:pt idx="266">
                  <c:v>68.766000000000005</c:v>
                </c:pt>
                <c:pt idx="267">
                  <c:v>68.340999999999994</c:v>
                </c:pt>
                <c:pt idx="268">
                  <c:v>65.203000000000003</c:v>
                </c:pt>
                <c:pt idx="269">
                  <c:v>71.888999999999996</c:v>
                </c:pt>
                <c:pt idx="270">
                  <c:v>66.361000000000004</c:v>
                </c:pt>
                <c:pt idx="271">
                  <c:v>68.649000000000001</c:v>
                </c:pt>
                <c:pt idx="272">
                  <c:v>69.677000000000007</c:v>
                </c:pt>
                <c:pt idx="273">
                  <c:v>64.344999999999999</c:v>
                </c:pt>
                <c:pt idx="274">
                  <c:v>65.688000000000002</c:v>
                </c:pt>
                <c:pt idx="275">
                  <c:v>67.402000000000001</c:v>
                </c:pt>
                <c:pt idx="276">
                  <c:v>63.923000000000002</c:v>
                </c:pt>
                <c:pt idx="277">
                  <c:v>55.363</c:v>
                </c:pt>
                <c:pt idx="278">
                  <c:v>57.555</c:v>
                </c:pt>
                <c:pt idx="279">
                  <c:v>62.509</c:v>
                </c:pt>
                <c:pt idx="280">
                  <c:v>66</c:v>
                </c:pt>
                <c:pt idx="281">
                  <c:v>70.53</c:v>
                </c:pt>
                <c:pt idx="282">
                  <c:v>78.52</c:v>
                </c:pt>
                <c:pt idx="283">
                  <c:v>84.578999999999994</c:v>
                </c:pt>
                <c:pt idx="284">
                  <c:v>73.382999999999996</c:v>
                </c:pt>
                <c:pt idx="285">
                  <c:v>88.799000000000007</c:v>
                </c:pt>
                <c:pt idx="286">
                  <c:v>74.210999999999999</c:v>
                </c:pt>
                <c:pt idx="287">
                  <c:v>74.787999999999997</c:v>
                </c:pt>
                <c:pt idx="288">
                  <c:v>72.009</c:v>
                </c:pt>
                <c:pt idx="289">
                  <c:v>72.954999999999998</c:v>
                </c:pt>
                <c:pt idx="290">
                  <c:v>75.695999999999998</c:v>
                </c:pt>
                <c:pt idx="291">
                  <c:v>72.56</c:v>
                </c:pt>
                <c:pt idx="292">
                  <c:v>72.25</c:v>
                </c:pt>
                <c:pt idx="293">
                  <c:v>76.677999999999997</c:v>
                </c:pt>
                <c:pt idx="294">
                  <c:v>72.653999999999996</c:v>
                </c:pt>
                <c:pt idx="295">
                  <c:v>63.03</c:v>
                </c:pt>
                <c:pt idx="296">
                  <c:v>69.099999999999994</c:v>
                </c:pt>
                <c:pt idx="297">
                  <c:v>67.878</c:v>
                </c:pt>
                <c:pt idx="298">
                  <c:v>66.022000000000006</c:v>
                </c:pt>
                <c:pt idx="299">
                  <c:v>50.253</c:v>
                </c:pt>
                <c:pt idx="300">
                  <c:v>54.335000000000001</c:v>
                </c:pt>
                <c:pt idx="301">
                  <c:v>53.893999999999998</c:v>
                </c:pt>
                <c:pt idx="302">
                  <c:v>52.338999999999999</c:v>
                </c:pt>
                <c:pt idx="303">
                  <c:v>52.811999999999998</c:v>
                </c:pt>
                <c:pt idx="304">
                  <c:v>48.317999999999998</c:v>
                </c:pt>
                <c:pt idx="305">
                  <c:v>45.811</c:v>
                </c:pt>
                <c:pt idx="306">
                  <c:v>43.863999999999997</c:v>
                </c:pt>
                <c:pt idx="307">
                  <c:v>46.826999999999998</c:v>
                </c:pt>
                <c:pt idx="308">
                  <c:v>38.933999999999997</c:v>
                </c:pt>
                <c:pt idx="309">
                  <c:v>42.874000000000002</c:v>
                </c:pt>
                <c:pt idx="310">
                  <c:v>45.402999999999999</c:v>
                </c:pt>
                <c:pt idx="311">
                  <c:v>46.695</c:v>
                </c:pt>
                <c:pt idx="312">
                  <c:v>50.067999999999998</c:v>
                </c:pt>
                <c:pt idx="313">
                  <c:v>51.401000000000003</c:v>
                </c:pt>
                <c:pt idx="314">
                  <c:v>54.219000000000001</c:v>
                </c:pt>
                <c:pt idx="315">
                  <c:v>59.3</c:v>
                </c:pt>
                <c:pt idx="316">
                  <c:v>47.825000000000003</c:v>
                </c:pt>
                <c:pt idx="317">
                  <c:v>44.97</c:v>
                </c:pt>
                <c:pt idx="318">
                  <c:v>43.613</c:v>
                </c:pt>
                <c:pt idx="319">
                  <c:v>41.652999999999999</c:v>
                </c:pt>
                <c:pt idx="320">
                  <c:v>42.838000000000001</c:v>
                </c:pt>
                <c:pt idx="321">
                  <c:v>41.076000000000001</c:v>
                </c:pt>
                <c:pt idx="322">
                  <c:v>44.09</c:v>
                </c:pt>
                <c:pt idx="323">
                  <c:v>40.433999999999997</c:v>
                </c:pt>
                <c:pt idx="324">
                  <c:v>41.759</c:v>
                </c:pt>
                <c:pt idx="325">
                  <c:v>41.332999999999998</c:v>
                </c:pt>
                <c:pt idx="326">
                  <c:v>39.42</c:v>
                </c:pt>
                <c:pt idx="327">
                  <c:v>39.076999999999998</c:v>
                </c:pt>
                <c:pt idx="328">
                  <c:v>39.606000000000002</c:v>
                </c:pt>
                <c:pt idx="329">
                  <c:v>39.048999999999999</c:v>
                </c:pt>
                <c:pt idx="330">
                  <c:v>42.643000000000001</c:v>
                </c:pt>
                <c:pt idx="331">
                  <c:v>40.415999999999997</c:v>
                </c:pt>
                <c:pt idx="332">
                  <c:v>41.786000000000001</c:v>
                </c:pt>
                <c:pt idx="333">
                  <c:v>39.472999999999999</c:v>
                </c:pt>
                <c:pt idx="334">
                  <c:v>40.442</c:v>
                </c:pt>
                <c:pt idx="335">
                  <c:v>39.612000000000002</c:v>
                </c:pt>
                <c:pt idx="336">
                  <c:v>36.570999999999998</c:v>
                </c:pt>
                <c:pt idx="337">
                  <c:v>38.353000000000002</c:v>
                </c:pt>
                <c:pt idx="338">
                  <c:v>36.941000000000003</c:v>
                </c:pt>
                <c:pt idx="339">
                  <c:v>44.301000000000002</c:v>
                </c:pt>
                <c:pt idx="340">
                  <c:v>40.648000000000003</c:v>
                </c:pt>
                <c:pt idx="341">
                  <c:v>39.996000000000002</c:v>
                </c:pt>
                <c:pt idx="342">
                  <c:v>41.529000000000003</c:v>
                </c:pt>
                <c:pt idx="343">
                  <c:v>41.805</c:v>
                </c:pt>
                <c:pt idx="344">
                  <c:v>42.622</c:v>
                </c:pt>
                <c:pt idx="345">
                  <c:v>42.91</c:v>
                </c:pt>
                <c:pt idx="346">
                  <c:v>41.22</c:v>
                </c:pt>
                <c:pt idx="347">
                  <c:v>44.079000000000001</c:v>
                </c:pt>
                <c:pt idx="348">
                  <c:v>48.716000000000001</c:v>
                </c:pt>
                <c:pt idx="349">
                  <c:v>43.462000000000003</c:v>
                </c:pt>
                <c:pt idx="350">
                  <c:v>42.612000000000002</c:v>
                </c:pt>
                <c:pt idx="351">
                  <c:v>42.201000000000001</c:v>
                </c:pt>
                <c:pt idx="352">
                  <c:v>37.978999999999999</c:v>
                </c:pt>
                <c:pt idx="353">
                  <c:v>35.216000000000001</c:v>
                </c:pt>
                <c:pt idx="354">
                  <c:v>34.442</c:v>
                </c:pt>
                <c:pt idx="355">
                  <c:v>32.851999999999997</c:v>
                </c:pt>
                <c:pt idx="356">
                  <c:v>34.863</c:v>
                </c:pt>
                <c:pt idx="357">
                  <c:v>32.499000000000002</c:v>
                </c:pt>
                <c:pt idx="358">
                  <c:v>29.861999999999998</c:v>
                </c:pt>
                <c:pt idx="359">
                  <c:v>27.523</c:v>
                </c:pt>
                <c:pt idx="360">
                  <c:v>27.989000000000001</c:v>
                </c:pt>
                <c:pt idx="361">
                  <c:v>26.933</c:v>
                </c:pt>
                <c:pt idx="362">
                  <c:v>26.411999999999999</c:v>
                </c:pt>
                <c:pt idx="363">
                  <c:v>26.175000000000001</c:v>
                </c:pt>
                <c:pt idx="364">
                  <c:v>26.396000000000001</c:v>
                </c:pt>
                <c:pt idx="365">
                  <c:v>25.545000000000002</c:v>
                </c:pt>
                <c:pt idx="366">
                  <c:v>27</c:v>
                </c:pt>
                <c:pt idx="367">
                  <c:v>26.831</c:v>
                </c:pt>
                <c:pt idx="368">
                  <c:v>27.428000000000001</c:v>
                </c:pt>
                <c:pt idx="369">
                  <c:v>28.012</c:v>
                </c:pt>
                <c:pt idx="370">
                  <c:v>26.875</c:v>
                </c:pt>
                <c:pt idx="371">
                  <c:v>26.216000000000001</c:v>
                </c:pt>
                <c:pt idx="372">
                  <c:v>28.62</c:v>
                </c:pt>
                <c:pt idx="373">
                  <c:v>28.265000000000001</c:v>
                </c:pt>
                <c:pt idx="374">
                  <c:v>30.096</c:v>
                </c:pt>
                <c:pt idx="375">
                  <c:v>27.75</c:v>
                </c:pt>
                <c:pt idx="376">
                  <c:v>28.123999999999999</c:v>
                </c:pt>
                <c:pt idx="377">
                  <c:v>27.158000000000001</c:v>
                </c:pt>
                <c:pt idx="378">
                  <c:v>27.702999999999999</c:v>
                </c:pt>
                <c:pt idx="379">
                  <c:v>28.201000000000001</c:v>
                </c:pt>
                <c:pt idx="380">
                  <c:v>27.094999999999999</c:v>
                </c:pt>
                <c:pt idx="381">
                  <c:v>26.463999999999999</c:v>
                </c:pt>
                <c:pt idx="382">
                  <c:v>27.565999999999999</c:v>
                </c:pt>
                <c:pt idx="383">
                  <c:v>28.155999999999999</c:v>
                </c:pt>
                <c:pt idx="384">
                  <c:v>26.545000000000002</c:v>
                </c:pt>
                <c:pt idx="385">
                  <c:v>28.408000000000001</c:v>
                </c:pt>
                <c:pt idx="386">
                  <c:v>28.696000000000002</c:v>
                </c:pt>
                <c:pt idx="387">
                  <c:v>28.353999999999999</c:v>
                </c:pt>
                <c:pt idx="388">
                  <c:v>27.98</c:v>
                </c:pt>
                <c:pt idx="389">
                  <c:v>24.097999999999999</c:v>
                </c:pt>
                <c:pt idx="390">
                  <c:v>22.620999999999999</c:v>
                </c:pt>
                <c:pt idx="391">
                  <c:v>22.925999999999998</c:v>
                </c:pt>
                <c:pt idx="392">
                  <c:v>22.393999999999998</c:v>
                </c:pt>
                <c:pt idx="393">
                  <c:v>23.056000000000001</c:v>
                </c:pt>
                <c:pt idx="394">
                  <c:v>23.513999999999999</c:v>
                </c:pt>
                <c:pt idx="395">
                  <c:v>24.030999999999999</c:v>
                </c:pt>
                <c:pt idx="396">
                  <c:v>23.577999999999999</c:v>
                </c:pt>
                <c:pt idx="397">
                  <c:v>23.582000000000001</c:v>
                </c:pt>
                <c:pt idx="398">
                  <c:v>24.067</c:v>
                </c:pt>
                <c:pt idx="399">
                  <c:v>23.902000000000001</c:v>
                </c:pt>
                <c:pt idx="400">
                  <c:v>22.123000000000001</c:v>
                </c:pt>
                <c:pt idx="401">
                  <c:v>25.257000000000001</c:v>
                </c:pt>
                <c:pt idx="402">
                  <c:v>25.509</c:v>
                </c:pt>
                <c:pt idx="403">
                  <c:v>27.018999999999998</c:v>
                </c:pt>
                <c:pt idx="404">
                  <c:v>29.225000000000001</c:v>
                </c:pt>
                <c:pt idx="405">
                  <c:v>27.114999999999998</c:v>
                </c:pt>
                <c:pt idx="406">
                  <c:v>27.283000000000001</c:v>
                </c:pt>
                <c:pt idx="407">
                  <c:v>27.167000000000002</c:v>
                </c:pt>
                <c:pt idx="408">
                  <c:v>27.158999999999999</c:v>
                </c:pt>
                <c:pt idx="409">
                  <c:v>28.619</c:v>
                </c:pt>
                <c:pt idx="410">
                  <c:v>29.178999999999998</c:v>
                </c:pt>
                <c:pt idx="411">
                  <c:v>26.504999999999999</c:v>
                </c:pt>
                <c:pt idx="412">
                  <c:v>26.309000000000001</c:v>
                </c:pt>
                <c:pt idx="413">
                  <c:v>26.812999999999999</c:v>
                </c:pt>
                <c:pt idx="414">
                  <c:v>28.547999999999998</c:v>
                </c:pt>
                <c:pt idx="415">
                  <c:v>28.408999999999999</c:v>
                </c:pt>
                <c:pt idx="416">
                  <c:v>30.393999999999998</c:v>
                </c:pt>
                <c:pt idx="417">
                  <c:v>31.181000000000001</c:v>
                </c:pt>
                <c:pt idx="418">
                  <c:v>31.35</c:v>
                </c:pt>
                <c:pt idx="419">
                  <c:v>29.963999999999999</c:v>
                </c:pt>
                <c:pt idx="420">
                  <c:v>31.38</c:v>
                </c:pt>
                <c:pt idx="421">
                  <c:v>31.67</c:v>
                </c:pt>
                <c:pt idx="422">
                  <c:v>31.254000000000001</c:v>
                </c:pt>
                <c:pt idx="423">
                  <c:v>33.534999999999997</c:v>
                </c:pt>
                <c:pt idx="424">
                  <c:v>35.447000000000003</c:v>
                </c:pt>
                <c:pt idx="425">
                  <c:v>38.299999999999997</c:v>
                </c:pt>
                <c:pt idx="426">
                  <c:v>27.163</c:v>
                </c:pt>
                <c:pt idx="427">
                  <c:v>28.003</c:v>
                </c:pt>
                <c:pt idx="428">
                  <c:v>29.626999999999999</c:v>
                </c:pt>
                <c:pt idx="429">
                  <c:v>32.773000000000003</c:v>
                </c:pt>
                <c:pt idx="430">
                  <c:v>34.139000000000003</c:v>
                </c:pt>
                <c:pt idx="431">
                  <c:v>32.472999999999999</c:v>
                </c:pt>
                <c:pt idx="432">
                  <c:v>27.184999999999999</c:v>
                </c:pt>
                <c:pt idx="433">
                  <c:v>23.988</c:v>
                </c:pt>
                <c:pt idx="434">
                  <c:v>23.530999999999999</c:v>
                </c:pt>
                <c:pt idx="435">
                  <c:v>23.789000000000001</c:v>
                </c:pt>
                <c:pt idx="436">
                  <c:v>24.356000000000002</c:v>
                </c:pt>
                <c:pt idx="437">
                  <c:v>24.158000000000001</c:v>
                </c:pt>
                <c:pt idx="438">
                  <c:v>24.052</c:v>
                </c:pt>
                <c:pt idx="439">
                  <c:v>24.199000000000002</c:v>
                </c:pt>
                <c:pt idx="440">
                  <c:v>24.77</c:v>
                </c:pt>
                <c:pt idx="441">
                  <c:v>23.687999999999999</c:v>
                </c:pt>
                <c:pt idx="442">
                  <c:v>24.634</c:v>
                </c:pt>
                <c:pt idx="443">
                  <c:v>24.536000000000001</c:v>
                </c:pt>
                <c:pt idx="444">
                  <c:v>23.619</c:v>
                </c:pt>
                <c:pt idx="445">
                  <c:v>23.312000000000001</c:v>
                </c:pt>
                <c:pt idx="446">
                  <c:v>22.815999999999999</c:v>
                </c:pt>
                <c:pt idx="447">
                  <c:v>24.094999999999999</c:v>
                </c:pt>
                <c:pt idx="448">
                  <c:v>23.469000000000001</c:v>
                </c:pt>
                <c:pt idx="449">
                  <c:v>24.312000000000001</c:v>
                </c:pt>
                <c:pt idx="450">
                  <c:v>25.968</c:v>
                </c:pt>
                <c:pt idx="451">
                  <c:v>22.94</c:v>
                </c:pt>
                <c:pt idx="452">
                  <c:v>23.239000000000001</c:v>
                </c:pt>
                <c:pt idx="453">
                  <c:v>23.233000000000001</c:v>
                </c:pt>
                <c:pt idx="454">
                  <c:v>24.228999999999999</c:v>
                </c:pt>
                <c:pt idx="455">
                  <c:v>23.975999999999999</c:v>
                </c:pt>
                <c:pt idx="456">
                  <c:v>24.995999999999999</c:v>
                </c:pt>
                <c:pt idx="457">
                  <c:v>25.189</c:v>
                </c:pt>
                <c:pt idx="458">
                  <c:v>26.004000000000001</c:v>
                </c:pt>
                <c:pt idx="459">
                  <c:v>25.97</c:v>
                </c:pt>
                <c:pt idx="460">
                  <c:v>26.460999999999999</c:v>
                </c:pt>
                <c:pt idx="461">
                  <c:v>26.346</c:v>
                </c:pt>
                <c:pt idx="462">
                  <c:v>26.771000000000001</c:v>
                </c:pt>
                <c:pt idx="463">
                  <c:v>26.550999999999998</c:v>
                </c:pt>
                <c:pt idx="464">
                  <c:v>26.419</c:v>
                </c:pt>
                <c:pt idx="465">
                  <c:v>29.068999999999999</c:v>
                </c:pt>
                <c:pt idx="466">
                  <c:v>29.128</c:v>
                </c:pt>
                <c:pt idx="467">
                  <c:v>28.635999999999999</c:v>
                </c:pt>
                <c:pt idx="468">
                  <c:v>28.311</c:v>
                </c:pt>
                <c:pt idx="469">
                  <c:v>29.356000000000002</c:v>
                </c:pt>
                <c:pt idx="470">
                  <c:v>29.806000000000001</c:v>
                </c:pt>
                <c:pt idx="471">
                  <c:v>31.65</c:v>
                </c:pt>
                <c:pt idx="472">
                  <c:v>31.204000000000001</c:v>
                </c:pt>
                <c:pt idx="473">
                  <c:v>28.751999999999999</c:v>
                </c:pt>
                <c:pt idx="474">
                  <c:v>28.838999999999999</c:v>
                </c:pt>
                <c:pt idx="475">
                  <c:v>28.858000000000001</c:v>
                </c:pt>
                <c:pt idx="476">
                  <c:v>27.33</c:v>
                </c:pt>
                <c:pt idx="477">
                  <c:v>27.359000000000002</c:v>
                </c:pt>
                <c:pt idx="478">
                  <c:v>27.065000000000001</c:v>
                </c:pt>
                <c:pt idx="479">
                  <c:v>28.795000000000002</c:v>
                </c:pt>
                <c:pt idx="480">
                  <c:v>28.952999999999999</c:v>
                </c:pt>
                <c:pt idx="481">
                  <c:v>28.533999999999999</c:v>
                </c:pt>
                <c:pt idx="482">
                  <c:v>28.616</c:v>
                </c:pt>
                <c:pt idx="483">
                  <c:v>30.648</c:v>
                </c:pt>
                <c:pt idx="484">
                  <c:v>30.824000000000002</c:v>
                </c:pt>
                <c:pt idx="485">
                  <c:v>30.736000000000001</c:v>
                </c:pt>
                <c:pt idx="486">
                  <c:v>31.346</c:v>
                </c:pt>
                <c:pt idx="487">
                  <c:v>31.675000000000001</c:v>
                </c:pt>
                <c:pt idx="488">
                  <c:v>31.478999999999999</c:v>
                </c:pt>
                <c:pt idx="489">
                  <c:v>31.128</c:v>
                </c:pt>
                <c:pt idx="490">
                  <c:v>31.687999999999999</c:v>
                </c:pt>
                <c:pt idx="491">
                  <c:v>29.100999999999999</c:v>
                </c:pt>
                <c:pt idx="492">
                  <c:v>30.7</c:v>
                </c:pt>
                <c:pt idx="493">
                  <c:v>31.196000000000002</c:v>
                </c:pt>
                <c:pt idx="494">
                  <c:v>33.265999999999998</c:v>
                </c:pt>
                <c:pt idx="495">
                  <c:v>29.222999999999999</c:v>
                </c:pt>
                <c:pt idx="496">
                  <c:v>29.381</c:v>
                </c:pt>
                <c:pt idx="497">
                  <c:v>32.061</c:v>
                </c:pt>
                <c:pt idx="498">
                  <c:v>32.216000000000001</c:v>
                </c:pt>
                <c:pt idx="499">
                  <c:v>34.979999999999997</c:v>
                </c:pt>
                <c:pt idx="500">
                  <c:v>35.259</c:v>
                </c:pt>
                <c:pt idx="501">
                  <c:v>35.546999999999997</c:v>
                </c:pt>
                <c:pt idx="502">
                  <c:v>37.762</c:v>
                </c:pt>
                <c:pt idx="503">
                  <c:v>36.283000000000001</c:v>
                </c:pt>
                <c:pt idx="504">
                  <c:v>36.473999999999997</c:v>
                </c:pt>
                <c:pt idx="505">
                  <c:v>35.962000000000003</c:v>
                </c:pt>
                <c:pt idx="506">
                  <c:v>35.656999999999996</c:v>
                </c:pt>
                <c:pt idx="507">
                  <c:v>37.396000000000001</c:v>
                </c:pt>
                <c:pt idx="508">
                  <c:v>38.255000000000003</c:v>
                </c:pt>
                <c:pt idx="509">
                  <c:v>37.637999999999998</c:v>
                </c:pt>
                <c:pt idx="510">
                  <c:v>42.744999999999997</c:v>
                </c:pt>
                <c:pt idx="511">
                  <c:v>40.710999999999999</c:v>
                </c:pt>
                <c:pt idx="512">
                  <c:v>48.997999999999998</c:v>
                </c:pt>
                <c:pt idx="513">
                  <c:v>50.890999999999998</c:v>
                </c:pt>
                <c:pt idx="514">
                  <c:v>55.249000000000002</c:v>
                </c:pt>
                <c:pt idx="515">
                  <c:v>51.354999999999997</c:v>
                </c:pt>
                <c:pt idx="516">
                  <c:v>52.45</c:v>
                </c:pt>
                <c:pt idx="517">
                  <c:v>54.69</c:v>
                </c:pt>
                <c:pt idx="518">
                  <c:v>52.436999999999998</c:v>
                </c:pt>
                <c:pt idx="519">
                  <c:v>43.707999999999998</c:v>
                </c:pt>
                <c:pt idx="520">
                  <c:v>42.231000000000002</c:v>
                </c:pt>
                <c:pt idx="521">
                  <c:v>44.728999999999999</c:v>
                </c:pt>
                <c:pt idx="522">
                  <c:v>43.591000000000001</c:v>
                </c:pt>
                <c:pt idx="523">
                  <c:v>47.978000000000002</c:v>
                </c:pt>
                <c:pt idx="524">
                  <c:v>41.896000000000001</c:v>
                </c:pt>
                <c:pt idx="525">
                  <c:v>46.93</c:v>
                </c:pt>
                <c:pt idx="526">
                  <c:v>42.079000000000001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CD-42DA-B5CF-0B86DDC0E89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-7.280886654990501E-2</c:v>
                </c:pt>
                <c:pt idx="1">
                  <c:v>-7.2806312692762137E-2</c:v>
                </c:pt>
                <c:pt idx="2">
                  <c:v>-7.2675668457597292E-2</c:v>
                </c:pt>
                <c:pt idx="3">
                  <c:v>-7.2401018344344287E-2</c:v>
                </c:pt>
                <c:pt idx="4">
                  <c:v>-7.2387261017852145E-2</c:v>
                </c:pt>
                <c:pt idx="5">
                  <c:v>-7.2143389197967409E-2</c:v>
                </c:pt>
                <c:pt idx="6">
                  <c:v>-7.2102237535409272E-2</c:v>
                </c:pt>
                <c:pt idx="7">
                  <c:v>-7.2014784817764479E-2</c:v>
                </c:pt>
                <c:pt idx="8">
                  <c:v>-7.19620249121041E-2</c:v>
                </c:pt>
                <c:pt idx="9">
                  <c:v>-7.1929365370048029E-2</c:v>
                </c:pt>
                <c:pt idx="10">
                  <c:v>-7.1893045013526294E-2</c:v>
                </c:pt>
                <c:pt idx="11">
                  <c:v>-7.1876212281383439E-2</c:v>
                </c:pt>
                <c:pt idx="12">
                  <c:v>-7.1866997165056914E-2</c:v>
                </c:pt>
                <c:pt idx="13">
                  <c:v>-7.1888814969934961E-2</c:v>
                </c:pt>
                <c:pt idx="14">
                  <c:v>-7.192541749625074E-2</c:v>
                </c:pt>
                <c:pt idx="15">
                  <c:v>-7.1872380443869788E-2</c:v>
                </c:pt>
                <c:pt idx="16">
                  <c:v>-7.1905502610536465E-2</c:v>
                </c:pt>
                <c:pt idx="17">
                  <c:v>-7.1955793737672136E-2</c:v>
                </c:pt>
                <c:pt idx="18">
                  <c:v>-7.1938947775970014E-2</c:v>
                </c:pt>
                <c:pt idx="19">
                  <c:v>-7.1933715273405904E-2</c:v>
                </c:pt>
                <c:pt idx="20">
                  <c:v>-7.1963524888790528E-2</c:v>
                </c:pt>
                <c:pt idx="21">
                  <c:v>-7.1853592136029806E-2</c:v>
                </c:pt>
                <c:pt idx="22">
                  <c:v>-7.1836909182541431E-2</c:v>
                </c:pt>
                <c:pt idx="23">
                  <c:v>-7.1768444149903382E-2</c:v>
                </c:pt>
                <c:pt idx="24">
                  <c:v>-7.1680614632204265E-2</c:v>
                </c:pt>
                <c:pt idx="25">
                  <c:v>-7.1605270193494594E-2</c:v>
                </c:pt>
                <c:pt idx="26">
                  <c:v>-7.1606192079106096E-2</c:v>
                </c:pt>
                <c:pt idx="27">
                  <c:v>-7.1621536520485404E-2</c:v>
                </c:pt>
                <c:pt idx="28">
                  <c:v>-7.1593493379766837E-2</c:v>
                </c:pt>
                <c:pt idx="29">
                  <c:v>-7.1573231608153931E-2</c:v>
                </c:pt>
                <c:pt idx="30">
                  <c:v>-7.1421740708153936E-2</c:v>
                </c:pt>
                <c:pt idx="31">
                  <c:v>-7.0955105675709493E-2</c:v>
                </c:pt>
                <c:pt idx="32">
                  <c:v>-7.0877890282092459E-2</c:v>
                </c:pt>
                <c:pt idx="33">
                  <c:v>-7.0892827922279397E-2</c:v>
                </c:pt>
                <c:pt idx="34">
                  <c:v>-7.0911798504803655E-2</c:v>
                </c:pt>
                <c:pt idx="35">
                  <c:v>-7.0873852264378132E-2</c:v>
                </c:pt>
                <c:pt idx="36">
                  <c:v>-7.0937724950894995E-2</c:v>
                </c:pt>
                <c:pt idx="37">
                  <c:v>-7.0920037873117209E-2</c:v>
                </c:pt>
                <c:pt idx="38">
                  <c:v>-7.0960809097340802E-2</c:v>
                </c:pt>
                <c:pt idx="39">
                  <c:v>-7.1028719020628475E-2</c:v>
                </c:pt>
                <c:pt idx="40">
                  <c:v>-7.0937957586666198E-2</c:v>
                </c:pt>
                <c:pt idx="41">
                  <c:v>-7.094848631814768E-2</c:v>
                </c:pt>
                <c:pt idx="42">
                  <c:v>-7.0771744462794606E-2</c:v>
                </c:pt>
                <c:pt idx="43">
                  <c:v>-7.0727187850564394E-2</c:v>
                </c:pt>
                <c:pt idx="44">
                  <c:v>-7.0843264080194021E-2</c:v>
                </c:pt>
                <c:pt idx="45">
                  <c:v>-7.0893802173297479E-2</c:v>
                </c:pt>
                <c:pt idx="46">
                  <c:v>-7.079075965360733E-2</c:v>
                </c:pt>
                <c:pt idx="47">
                  <c:v>-7.0808041068532696E-2</c:v>
                </c:pt>
                <c:pt idx="48">
                  <c:v>-7.0812962846310473E-2</c:v>
                </c:pt>
                <c:pt idx="49">
                  <c:v>-7.0639029877560475E-2</c:v>
                </c:pt>
                <c:pt idx="50">
                  <c:v>-7.0271648728662664E-2</c:v>
                </c:pt>
                <c:pt idx="51">
                  <c:v>-7.0301935879515914E-2</c:v>
                </c:pt>
                <c:pt idx="52">
                  <c:v>-7.0058571629515912E-2</c:v>
                </c:pt>
                <c:pt idx="53">
                  <c:v>-6.9370975955259498E-2</c:v>
                </c:pt>
                <c:pt idx="54">
                  <c:v>-6.9318593347272278E-2</c:v>
                </c:pt>
                <c:pt idx="55">
                  <c:v>-6.9252821230902858E-2</c:v>
                </c:pt>
                <c:pt idx="56">
                  <c:v>-6.8517152396011888E-2</c:v>
                </c:pt>
                <c:pt idx="57">
                  <c:v>-6.8770015453982911E-2</c:v>
                </c:pt>
                <c:pt idx="58">
                  <c:v>-6.8653140309367533E-2</c:v>
                </c:pt>
                <c:pt idx="59">
                  <c:v>-6.8602791652514719E-2</c:v>
                </c:pt>
                <c:pt idx="60">
                  <c:v>-6.8674004404514738E-2</c:v>
                </c:pt>
                <c:pt idx="61">
                  <c:v>-6.8840002439466183E-2</c:v>
                </c:pt>
                <c:pt idx="62">
                  <c:v>-6.8851883049222282E-2</c:v>
                </c:pt>
                <c:pt idx="63">
                  <c:v>-6.872775760271066E-2</c:v>
                </c:pt>
                <c:pt idx="64">
                  <c:v>-6.8805755602710642E-2</c:v>
                </c:pt>
                <c:pt idx="65">
                  <c:v>-6.882963835306527E-2</c:v>
                </c:pt>
                <c:pt idx="66">
                  <c:v>-6.8880069256170837E-2</c:v>
                </c:pt>
                <c:pt idx="67">
                  <c:v>-6.8560589368221597E-2</c:v>
                </c:pt>
                <c:pt idx="68">
                  <c:v>-6.855118360480697E-2</c:v>
                </c:pt>
                <c:pt idx="69">
                  <c:v>-6.8600787173393352E-2</c:v>
                </c:pt>
                <c:pt idx="70">
                  <c:v>-6.8625081346978256E-2</c:v>
                </c:pt>
                <c:pt idx="71">
                  <c:v>-6.8511008602399934E-2</c:v>
                </c:pt>
                <c:pt idx="72">
                  <c:v>-6.8630516466983274E-2</c:v>
                </c:pt>
                <c:pt idx="73">
                  <c:v>-6.846804055031662E-2</c:v>
                </c:pt>
                <c:pt idx="74">
                  <c:v>-6.8412212188474514E-2</c:v>
                </c:pt>
                <c:pt idx="75">
                  <c:v>-6.8389229017351505E-2</c:v>
                </c:pt>
                <c:pt idx="76">
                  <c:v>-6.8392537902806055E-2</c:v>
                </c:pt>
                <c:pt idx="77">
                  <c:v>-6.8389741635682774E-2</c:v>
                </c:pt>
                <c:pt idx="78">
                  <c:v>-6.8420369552349439E-2</c:v>
                </c:pt>
                <c:pt idx="79">
                  <c:v>-6.8295500402349427E-2</c:v>
                </c:pt>
                <c:pt idx="80">
                  <c:v>-6.8095503448503292E-2</c:v>
                </c:pt>
                <c:pt idx="81">
                  <c:v>-6.824881469022108E-2</c:v>
                </c:pt>
                <c:pt idx="82">
                  <c:v>-6.8196037940221083E-2</c:v>
                </c:pt>
                <c:pt idx="83">
                  <c:v>-6.8200701117540674E-2</c:v>
                </c:pt>
                <c:pt idx="84">
                  <c:v>-6.8197591035000976E-2</c:v>
                </c:pt>
                <c:pt idx="85">
                  <c:v>-6.8152404868334335E-2</c:v>
                </c:pt>
                <c:pt idx="86">
                  <c:v>-6.8249465457808009E-2</c:v>
                </c:pt>
                <c:pt idx="87">
                  <c:v>-6.80261034412286E-2</c:v>
                </c:pt>
                <c:pt idx="88">
                  <c:v>-6.8112866337740233E-2</c:v>
                </c:pt>
                <c:pt idx="89">
                  <c:v>-6.8212344593295796E-2</c:v>
                </c:pt>
                <c:pt idx="90">
                  <c:v>-6.8269057736152924E-2</c:v>
                </c:pt>
                <c:pt idx="91">
                  <c:v>-6.8252769069486269E-2</c:v>
                </c:pt>
                <c:pt idx="92">
                  <c:v>-6.8426404206927027E-2</c:v>
                </c:pt>
                <c:pt idx="93">
                  <c:v>-6.8040695608917082E-2</c:v>
                </c:pt>
                <c:pt idx="94">
                  <c:v>-6.7559135683917082E-2</c:v>
                </c:pt>
                <c:pt idx="95">
                  <c:v>-6.7550782463917075E-2</c:v>
                </c:pt>
                <c:pt idx="96">
                  <c:v>-6.6772390756846378E-2</c:v>
                </c:pt>
                <c:pt idx="97">
                  <c:v>-6.678804184943897E-2</c:v>
                </c:pt>
                <c:pt idx="98">
                  <c:v>-6.6688626049438968E-2</c:v>
                </c:pt>
                <c:pt idx="99">
                  <c:v>-6.6580956990615434E-2</c:v>
                </c:pt>
                <c:pt idx="100">
                  <c:v>-6.6604954651632381E-2</c:v>
                </c:pt>
                <c:pt idx="101">
                  <c:v>-6.6714263651632397E-2</c:v>
                </c:pt>
                <c:pt idx="102">
                  <c:v>-6.6573819697786238E-2</c:v>
                </c:pt>
                <c:pt idx="103">
                  <c:v>-6.6617316628897347E-2</c:v>
                </c:pt>
                <c:pt idx="104">
                  <c:v>-6.6418291103500518E-2</c:v>
                </c:pt>
                <c:pt idx="105">
                  <c:v>-6.6624690736833844E-2</c:v>
                </c:pt>
                <c:pt idx="106">
                  <c:v>-6.59849019455295E-2</c:v>
                </c:pt>
                <c:pt idx="107">
                  <c:v>-6.5920124455356083E-2</c:v>
                </c:pt>
                <c:pt idx="108">
                  <c:v>-6.6085003287992078E-2</c:v>
                </c:pt>
                <c:pt idx="109">
                  <c:v>-6.5811350213966113E-2</c:v>
                </c:pt>
                <c:pt idx="110">
                  <c:v>-6.5537601425773348E-2</c:v>
                </c:pt>
                <c:pt idx="111">
                  <c:v>-6.5311800142754478E-2</c:v>
                </c:pt>
                <c:pt idx="112">
                  <c:v>-6.5346122287928229E-2</c:v>
                </c:pt>
                <c:pt idx="113">
                  <c:v>-6.5389728417752799E-2</c:v>
                </c:pt>
                <c:pt idx="114">
                  <c:v>-6.5574164340609919E-2</c:v>
                </c:pt>
                <c:pt idx="115">
                  <c:v>-6.5785118556949795E-2</c:v>
                </c:pt>
                <c:pt idx="116">
                  <c:v>-6.6125297231472091E-2</c:v>
                </c:pt>
                <c:pt idx="117">
                  <c:v>-6.6006005646106231E-2</c:v>
                </c:pt>
                <c:pt idx="118">
                  <c:v>-6.5883989421106237E-2</c:v>
                </c:pt>
                <c:pt idx="119">
                  <c:v>-6.5792866171740599E-2</c:v>
                </c:pt>
                <c:pt idx="120">
                  <c:v>-6.5898966929903866E-2</c:v>
                </c:pt>
                <c:pt idx="121">
                  <c:v>-6.5871341432046718E-2</c:v>
                </c:pt>
                <c:pt idx="122">
                  <c:v>-6.3413839186284002E-2</c:v>
                </c:pt>
                <c:pt idx="123">
                  <c:v>-6.2980980876996079E-2</c:v>
                </c:pt>
                <c:pt idx="124">
                  <c:v>-6.3125660184070051E-2</c:v>
                </c:pt>
                <c:pt idx="125">
                  <c:v>-6.294034548027258E-2</c:v>
                </c:pt>
                <c:pt idx="126">
                  <c:v>-6.3016548048272586E-2</c:v>
                </c:pt>
                <c:pt idx="127">
                  <c:v>-6.2856177816104766E-2</c:v>
                </c:pt>
                <c:pt idx="128">
                  <c:v>-5.9593539291046646E-2</c:v>
                </c:pt>
                <c:pt idx="129">
                  <c:v>-5.9042578497195713E-2</c:v>
                </c:pt>
                <c:pt idx="130">
                  <c:v>-5.8798690791870264E-2</c:v>
                </c:pt>
                <c:pt idx="131">
                  <c:v>-5.8376631758766818E-2</c:v>
                </c:pt>
                <c:pt idx="132">
                  <c:v>-5.3549257633107444E-2</c:v>
                </c:pt>
                <c:pt idx="133">
                  <c:v>-5.3885537781107447E-2</c:v>
                </c:pt>
                <c:pt idx="134">
                  <c:v>-5.3522279142707449E-2</c:v>
                </c:pt>
                <c:pt idx="135">
                  <c:v>-5.3703630812882888E-2</c:v>
                </c:pt>
                <c:pt idx="136">
                  <c:v>-5.3651503839909909E-2</c:v>
                </c:pt>
                <c:pt idx="137">
                  <c:v>-5.3455601403972403E-2</c:v>
                </c:pt>
                <c:pt idx="138">
                  <c:v>-5.3317296555353617E-2</c:v>
                </c:pt>
                <c:pt idx="139">
                  <c:v>-5.2700621908704823E-2</c:v>
                </c:pt>
                <c:pt idx="140">
                  <c:v>-5.4578970342957785E-2</c:v>
                </c:pt>
                <c:pt idx="141">
                  <c:v>-5.4554600094395472E-2</c:v>
                </c:pt>
                <c:pt idx="142">
                  <c:v>-5.4807066542999251E-2</c:v>
                </c:pt>
                <c:pt idx="143">
                  <c:v>-5.4485928243250367E-2</c:v>
                </c:pt>
                <c:pt idx="144">
                  <c:v>-5.4718907606626177E-2</c:v>
                </c:pt>
                <c:pt idx="145">
                  <c:v>-5.4848275195756614E-2</c:v>
                </c:pt>
                <c:pt idx="146">
                  <c:v>-5.485859985559597E-2</c:v>
                </c:pt>
                <c:pt idx="147">
                  <c:v>-5.4735742414834067E-2</c:v>
                </c:pt>
                <c:pt idx="148">
                  <c:v>-5.4754818173717301E-2</c:v>
                </c:pt>
                <c:pt idx="149">
                  <c:v>-5.4933147311263322E-2</c:v>
                </c:pt>
                <c:pt idx="150">
                  <c:v>-5.4880557117912537E-2</c:v>
                </c:pt>
                <c:pt idx="151">
                  <c:v>-5.4374729216968093E-2</c:v>
                </c:pt>
                <c:pt idx="152">
                  <c:v>-5.4553620653242596E-2</c:v>
                </c:pt>
                <c:pt idx="153">
                  <c:v>-5.4339518759137791E-2</c:v>
                </c:pt>
                <c:pt idx="154">
                  <c:v>-5.4707173179960135E-2</c:v>
                </c:pt>
                <c:pt idx="155">
                  <c:v>-5.4103168051953712E-2</c:v>
                </c:pt>
                <c:pt idx="156">
                  <c:v>-5.4358416326850102E-2</c:v>
                </c:pt>
                <c:pt idx="157">
                  <c:v>-5.4108262820283526E-2</c:v>
                </c:pt>
                <c:pt idx="158">
                  <c:v>-5.4431688655004334E-2</c:v>
                </c:pt>
                <c:pt idx="159">
                  <c:v>-5.4423967222970819E-2</c:v>
                </c:pt>
                <c:pt idx="160">
                  <c:v>-5.3797233962367581E-2</c:v>
                </c:pt>
                <c:pt idx="161">
                  <c:v>-5.4089023624142502E-2</c:v>
                </c:pt>
                <c:pt idx="162">
                  <c:v>-5.4445796066460064E-2</c:v>
                </c:pt>
                <c:pt idx="163">
                  <c:v>-5.4088126472164468E-2</c:v>
                </c:pt>
                <c:pt idx="164">
                  <c:v>-5.3644661602349382E-2</c:v>
                </c:pt>
                <c:pt idx="165">
                  <c:v>-5.2987180693114054E-2</c:v>
                </c:pt>
                <c:pt idx="166">
                  <c:v>-5.3776456728155148E-2</c:v>
                </c:pt>
                <c:pt idx="167">
                  <c:v>-5.3777486819768697E-2</c:v>
                </c:pt>
                <c:pt idx="168">
                  <c:v>-5.4182584365346925E-2</c:v>
                </c:pt>
                <c:pt idx="169">
                  <c:v>-5.3910957818713266E-2</c:v>
                </c:pt>
                <c:pt idx="170">
                  <c:v>-5.3744491691168579E-2</c:v>
                </c:pt>
                <c:pt idx="171">
                  <c:v>-5.3625778664563493E-2</c:v>
                </c:pt>
                <c:pt idx="172">
                  <c:v>-5.4030716189638228E-2</c:v>
                </c:pt>
                <c:pt idx="173">
                  <c:v>-5.3268890597564227E-2</c:v>
                </c:pt>
                <c:pt idx="174">
                  <c:v>-5.2722134294237062E-2</c:v>
                </c:pt>
                <c:pt idx="175">
                  <c:v>-5.3046864907172891E-2</c:v>
                </c:pt>
                <c:pt idx="176">
                  <c:v>-5.3478604429363773E-2</c:v>
                </c:pt>
                <c:pt idx="177">
                  <c:v>-5.259067889204027E-2</c:v>
                </c:pt>
                <c:pt idx="178">
                  <c:v>-4.5294407567049229E-2</c:v>
                </c:pt>
                <c:pt idx="179">
                  <c:v>-4.5676473750225453E-2</c:v>
                </c:pt>
                <c:pt idx="180">
                  <c:v>-4.5492478012682941E-2</c:v>
                </c:pt>
                <c:pt idx="181">
                  <c:v>-4.5122607882862119E-2</c:v>
                </c:pt>
                <c:pt idx="182">
                  <c:v>-4.5570049111364912E-2</c:v>
                </c:pt>
                <c:pt idx="183">
                  <c:v>-4.5873797296256257E-2</c:v>
                </c:pt>
                <c:pt idx="184">
                  <c:v>-4.5992749937145139E-2</c:v>
                </c:pt>
                <c:pt idx="185">
                  <c:v>-4.6384193546481524E-2</c:v>
                </c:pt>
                <c:pt idx="186">
                  <c:v>-4.5394848684527506E-2</c:v>
                </c:pt>
                <c:pt idx="187">
                  <c:v>-4.4999355447508202E-2</c:v>
                </c:pt>
                <c:pt idx="188">
                  <c:v>-4.4946439599432064E-2</c:v>
                </c:pt>
                <c:pt idx="189">
                  <c:v>-4.5313430859432062E-2</c:v>
                </c:pt>
                <c:pt idx="190">
                  <c:v>-4.5376995899127054E-2</c:v>
                </c:pt>
                <c:pt idx="191">
                  <c:v>-4.5409807563715474E-2</c:v>
                </c:pt>
                <c:pt idx="192">
                  <c:v>-4.5514922002542979E-2</c:v>
                </c:pt>
                <c:pt idx="193">
                  <c:v>-4.5330994365209334E-2</c:v>
                </c:pt>
                <c:pt idx="194">
                  <c:v>-4.5082100617490857E-2</c:v>
                </c:pt>
                <c:pt idx="195">
                  <c:v>-4.4823289236021475E-2</c:v>
                </c:pt>
                <c:pt idx="196">
                  <c:v>-4.5197285401470173E-2</c:v>
                </c:pt>
                <c:pt idx="197">
                  <c:v>-4.4963219332953525E-2</c:v>
                </c:pt>
                <c:pt idx="198">
                  <c:v>-4.569980162609822E-2</c:v>
                </c:pt>
                <c:pt idx="199">
                  <c:v>-4.4308382330405363E-2</c:v>
                </c:pt>
                <c:pt idx="200">
                  <c:v>-4.4381178979070596E-2</c:v>
                </c:pt>
                <c:pt idx="201">
                  <c:v>-4.4157466150277824E-2</c:v>
                </c:pt>
                <c:pt idx="202">
                  <c:v>-4.4061983077738148E-2</c:v>
                </c:pt>
                <c:pt idx="203">
                  <c:v>-4.402207491356766E-2</c:v>
                </c:pt>
                <c:pt idx="204">
                  <c:v>-4.3754628771009968E-2</c:v>
                </c:pt>
                <c:pt idx="205">
                  <c:v>-4.2311755660482502E-2</c:v>
                </c:pt>
                <c:pt idx="206">
                  <c:v>-4.1808101497197464E-2</c:v>
                </c:pt>
                <c:pt idx="207">
                  <c:v>-4.1872821096212216E-2</c:v>
                </c:pt>
                <c:pt idx="208">
                  <c:v>-4.1628571551896497E-2</c:v>
                </c:pt>
                <c:pt idx="209">
                  <c:v>-4.1495753802445003E-2</c:v>
                </c:pt>
                <c:pt idx="210">
                  <c:v>-4.1348418088377331E-2</c:v>
                </c:pt>
                <c:pt idx="211">
                  <c:v>-4.0557216653684836E-2</c:v>
                </c:pt>
                <c:pt idx="212">
                  <c:v>-4.0923634827726915E-2</c:v>
                </c:pt>
                <c:pt idx="213">
                  <c:v>-4.0630309167674926E-2</c:v>
                </c:pt>
                <c:pt idx="214">
                  <c:v>-4.0925528354713574E-2</c:v>
                </c:pt>
                <c:pt idx="215">
                  <c:v>-4.149813899030412E-2</c:v>
                </c:pt>
                <c:pt idx="216">
                  <c:v>-4.2040321265131707E-2</c:v>
                </c:pt>
                <c:pt idx="217">
                  <c:v>-4.1766766943693336E-2</c:v>
                </c:pt>
                <c:pt idx="218">
                  <c:v>-4.1800661751724755E-2</c:v>
                </c:pt>
                <c:pt idx="219">
                  <c:v>-4.1779590375219534E-2</c:v>
                </c:pt>
                <c:pt idx="220">
                  <c:v>-4.1474577481020722E-2</c:v>
                </c:pt>
                <c:pt idx="221">
                  <c:v>-4.1123325446338108E-2</c:v>
                </c:pt>
                <c:pt idx="222">
                  <c:v>-4.133671758961982E-2</c:v>
                </c:pt>
                <c:pt idx="223">
                  <c:v>-4.0089887929456988E-2</c:v>
                </c:pt>
                <c:pt idx="224">
                  <c:v>-3.8672095557925924E-2</c:v>
                </c:pt>
                <c:pt idx="225">
                  <c:v>-3.8323878859274241E-2</c:v>
                </c:pt>
                <c:pt idx="226">
                  <c:v>-3.7706796878182645E-2</c:v>
                </c:pt>
                <c:pt idx="227">
                  <c:v>-3.7378951324772605E-2</c:v>
                </c:pt>
                <c:pt idx="228">
                  <c:v>-3.7478701675557391E-2</c:v>
                </c:pt>
                <c:pt idx="229">
                  <c:v>-3.7815163390078094E-2</c:v>
                </c:pt>
                <c:pt idx="230">
                  <c:v>-3.7869594867558906E-2</c:v>
                </c:pt>
                <c:pt idx="231">
                  <c:v>-3.7469843267682615E-2</c:v>
                </c:pt>
                <c:pt idx="232">
                  <c:v>-3.6919017752051773E-2</c:v>
                </c:pt>
                <c:pt idx="233">
                  <c:v>-3.7245388095389256E-2</c:v>
                </c:pt>
                <c:pt idx="234">
                  <c:v>-3.7320298644772439E-2</c:v>
                </c:pt>
                <c:pt idx="235">
                  <c:v>-3.6885236926486022E-2</c:v>
                </c:pt>
                <c:pt idx="236">
                  <c:v>-3.6021533334371858E-2</c:v>
                </c:pt>
                <c:pt idx="237">
                  <c:v>-3.4723350180671554E-2</c:v>
                </c:pt>
                <c:pt idx="238">
                  <c:v>-3.4595775902437925E-2</c:v>
                </c:pt>
                <c:pt idx="239">
                  <c:v>-3.4184814849702164E-2</c:v>
                </c:pt>
                <c:pt idx="240">
                  <c:v>-3.4080947700974897E-2</c:v>
                </c:pt>
                <c:pt idx="241">
                  <c:v>-3.3468701849348019E-2</c:v>
                </c:pt>
                <c:pt idx="242">
                  <c:v>-3.3294606160536491E-2</c:v>
                </c:pt>
                <c:pt idx="243">
                  <c:v>-2.8393847042223239E-2</c:v>
                </c:pt>
                <c:pt idx="244">
                  <c:v>-2.858382247193085E-2</c:v>
                </c:pt>
                <c:pt idx="245">
                  <c:v>-2.8184145597740112E-2</c:v>
                </c:pt>
                <c:pt idx="246">
                  <c:v>-2.4624185308831252E-2</c:v>
                </c:pt>
                <c:pt idx="247">
                  <c:v>-2.5696247748256504E-2</c:v>
                </c:pt>
                <c:pt idx="248">
                  <c:v>-2.6150801765942089E-2</c:v>
                </c:pt>
                <c:pt idx="249">
                  <c:v>-2.6632566839680287E-2</c:v>
                </c:pt>
                <c:pt idx="250">
                  <c:v>-2.624156538102217E-2</c:v>
                </c:pt>
                <c:pt idx="251">
                  <c:v>-2.6177670004747265E-2</c:v>
                </c:pt>
                <c:pt idx="252">
                  <c:v>-2.5628903351000685E-2</c:v>
                </c:pt>
                <c:pt idx="253">
                  <c:v>-2.6214109912880826E-2</c:v>
                </c:pt>
                <c:pt idx="254">
                  <c:v>-2.4868242545880461E-2</c:v>
                </c:pt>
                <c:pt idx="255">
                  <c:v>-2.320306521421496E-2</c:v>
                </c:pt>
                <c:pt idx="256">
                  <c:v>-1.691428568645138E-2</c:v>
                </c:pt>
                <c:pt idx="257">
                  <c:v>-1.7140571669028992E-2</c:v>
                </c:pt>
                <c:pt idx="258">
                  <c:v>-1.6969942006333453E-2</c:v>
                </c:pt>
                <c:pt idx="259">
                  <c:v>-1.6971551876816735E-2</c:v>
                </c:pt>
                <c:pt idx="260">
                  <c:v>-1.674824413942742E-2</c:v>
                </c:pt>
                <c:pt idx="261">
                  <c:v>-1.5739844396275161E-2</c:v>
                </c:pt>
                <c:pt idx="262">
                  <c:v>-1.6083316343683381E-2</c:v>
                </c:pt>
                <c:pt idx="263">
                  <c:v>-1.5684948830011338E-2</c:v>
                </c:pt>
                <c:pt idx="264">
                  <c:v>-1.5869264893750495E-2</c:v>
                </c:pt>
                <c:pt idx="265">
                  <c:v>-1.5525896527782145E-2</c:v>
                </c:pt>
                <c:pt idx="266">
                  <c:v>-1.5496621889482644E-2</c:v>
                </c:pt>
                <c:pt idx="267">
                  <c:v>-1.5317020022508039E-2</c:v>
                </c:pt>
                <c:pt idx="268">
                  <c:v>-1.5920268664975552E-2</c:v>
                </c:pt>
                <c:pt idx="269">
                  <c:v>-1.5333329437687825E-2</c:v>
                </c:pt>
                <c:pt idx="270">
                  <c:v>-1.5333643897377654E-2</c:v>
                </c:pt>
                <c:pt idx="271">
                  <c:v>-1.5253101593656207E-2</c:v>
                </c:pt>
                <c:pt idx="272">
                  <c:v>-1.5096842951856985E-2</c:v>
                </c:pt>
                <c:pt idx="273">
                  <c:v>-1.5470435993822498E-2</c:v>
                </c:pt>
                <c:pt idx="274">
                  <c:v>-1.5523230846262866E-2</c:v>
                </c:pt>
                <c:pt idx="275">
                  <c:v>-1.5517394235801302E-2</c:v>
                </c:pt>
                <c:pt idx="276">
                  <c:v>-1.564415005499413E-2</c:v>
                </c:pt>
                <c:pt idx="277">
                  <c:v>-1.5927741802648554E-2</c:v>
                </c:pt>
                <c:pt idx="278">
                  <c:v>-1.5717422245212113E-2</c:v>
                </c:pt>
                <c:pt idx="279">
                  <c:v>-1.5438277619474541E-2</c:v>
                </c:pt>
                <c:pt idx="280">
                  <c:v>-1.5534066860342423E-2</c:v>
                </c:pt>
                <c:pt idx="281">
                  <c:v>-1.519887142850334E-2</c:v>
                </c:pt>
                <c:pt idx="282">
                  <c:v>-1.4724130781560461E-2</c:v>
                </c:pt>
                <c:pt idx="283">
                  <c:v>-1.4715938122535422E-2</c:v>
                </c:pt>
                <c:pt idx="284">
                  <c:v>-1.5662547444586672E-2</c:v>
                </c:pt>
                <c:pt idx="285">
                  <c:v>-1.5125583136203203E-2</c:v>
                </c:pt>
                <c:pt idx="286">
                  <c:v>-1.6117123826609438E-2</c:v>
                </c:pt>
                <c:pt idx="287">
                  <c:v>-1.6186236793909976E-2</c:v>
                </c:pt>
                <c:pt idx="288">
                  <c:v>-1.6272399577867636E-2</c:v>
                </c:pt>
                <c:pt idx="289">
                  <c:v>-1.6251280419578712E-2</c:v>
                </c:pt>
                <c:pt idx="290">
                  <c:v>-1.6168660992486972E-2</c:v>
                </c:pt>
                <c:pt idx="291">
                  <c:v>-1.6192884175163031E-2</c:v>
                </c:pt>
                <c:pt idx="292">
                  <c:v>-1.6379130829644328E-2</c:v>
                </c:pt>
                <c:pt idx="293">
                  <c:v>-1.5882652955319133E-2</c:v>
                </c:pt>
                <c:pt idx="294">
                  <c:v>-1.5986112063552934E-2</c:v>
                </c:pt>
                <c:pt idx="295">
                  <c:v>-1.6349971599627856E-2</c:v>
                </c:pt>
                <c:pt idx="296">
                  <c:v>-1.5701353541223612E-2</c:v>
                </c:pt>
                <c:pt idx="297">
                  <c:v>-1.5466257700390278E-2</c:v>
                </c:pt>
                <c:pt idx="298">
                  <c:v>-1.4317556127746678E-2</c:v>
                </c:pt>
                <c:pt idx="299">
                  <c:v>-1.5041196795409733E-2</c:v>
                </c:pt>
                <c:pt idx="300">
                  <c:v>-1.4707905225649831E-2</c:v>
                </c:pt>
                <c:pt idx="301">
                  <c:v>-1.4615341682963698E-2</c:v>
                </c:pt>
                <c:pt idx="302">
                  <c:v>-1.4439628229747948E-2</c:v>
                </c:pt>
                <c:pt idx="303">
                  <c:v>-1.4520136975563197E-2</c:v>
                </c:pt>
                <c:pt idx="304">
                  <c:v>-1.4683405654357617E-2</c:v>
                </c:pt>
                <c:pt idx="305">
                  <c:v>-1.4953569506436351E-2</c:v>
                </c:pt>
                <c:pt idx="306">
                  <c:v>-1.5081964607573845E-2</c:v>
                </c:pt>
                <c:pt idx="307">
                  <c:v>-1.4729666144654383E-2</c:v>
                </c:pt>
                <c:pt idx="308">
                  <c:v>-1.5155790990132964E-2</c:v>
                </c:pt>
                <c:pt idx="309">
                  <c:v>-1.4774658480892842E-2</c:v>
                </c:pt>
                <c:pt idx="310">
                  <c:v>-1.4502064302951163E-2</c:v>
                </c:pt>
                <c:pt idx="311">
                  <c:v>-1.4302485372281046E-2</c:v>
                </c:pt>
                <c:pt idx="312">
                  <c:v>-1.3952927914320961E-2</c:v>
                </c:pt>
                <c:pt idx="313">
                  <c:v>-1.385999473733395E-2</c:v>
                </c:pt>
                <c:pt idx="314">
                  <c:v>-1.3101613087333949E-2</c:v>
                </c:pt>
                <c:pt idx="315">
                  <c:v>-1.2770549541776935E-2</c:v>
                </c:pt>
                <c:pt idx="316">
                  <c:v>-1.350035078508981E-2</c:v>
                </c:pt>
                <c:pt idx="317">
                  <c:v>-1.375119934183981E-2</c:v>
                </c:pt>
                <c:pt idx="318">
                  <c:v>-1.3362621525412573E-2</c:v>
                </c:pt>
                <c:pt idx="319">
                  <c:v>-1.3446584610250917E-2</c:v>
                </c:pt>
                <c:pt idx="320">
                  <c:v>-1.2854093772094665E-2</c:v>
                </c:pt>
                <c:pt idx="321">
                  <c:v>-1.293471121768483E-2</c:v>
                </c:pt>
                <c:pt idx="322">
                  <c:v>-1.2629191643462736E-2</c:v>
                </c:pt>
                <c:pt idx="323">
                  <c:v>-1.3095506784686616E-2</c:v>
                </c:pt>
                <c:pt idx="324">
                  <c:v>-1.2490228035907229E-2</c:v>
                </c:pt>
                <c:pt idx="325">
                  <c:v>-1.2533030206052858E-2</c:v>
                </c:pt>
                <c:pt idx="326">
                  <c:v>-1.2800608459894306E-2</c:v>
                </c:pt>
                <c:pt idx="327">
                  <c:v>-1.2641185793227641E-2</c:v>
                </c:pt>
                <c:pt idx="328">
                  <c:v>-1.2672147520945701E-2</c:v>
                </c:pt>
                <c:pt idx="329">
                  <c:v>-1.2807801237060107E-2</c:v>
                </c:pt>
                <c:pt idx="330">
                  <c:v>-1.2417174343834428E-2</c:v>
                </c:pt>
                <c:pt idx="331">
                  <c:v>-1.243164854784028E-2</c:v>
                </c:pt>
                <c:pt idx="332">
                  <c:v>-1.2371724332297992E-2</c:v>
                </c:pt>
                <c:pt idx="333">
                  <c:v>-1.2393173075440165E-2</c:v>
                </c:pt>
                <c:pt idx="334">
                  <c:v>-1.2338833679222597E-2</c:v>
                </c:pt>
                <c:pt idx="335">
                  <c:v>-1.1538207180991741E-2</c:v>
                </c:pt>
                <c:pt idx="336">
                  <c:v>-1.2110920439821326E-2</c:v>
                </c:pt>
                <c:pt idx="337">
                  <c:v>-1.2015374707027867E-2</c:v>
                </c:pt>
                <c:pt idx="338">
                  <c:v>-1.1978609042119868E-2</c:v>
                </c:pt>
                <c:pt idx="339">
                  <c:v>-1.1426249212269583E-2</c:v>
                </c:pt>
                <c:pt idx="340">
                  <c:v>-1.1871725476463969E-2</c:v>
                </c:pt>
                <c:pt idx="341">
                  <c:v>-1.2028023091465639E-2</c:v>
                </c:pt>
                <c:pt idx="342">
                  <c:v>-1.2076415827799102E-2</c:v>
                </c:pt>
                <c:pt idx="343">
                  <c:v>-1.2039735775102946E-2</c:v>
                </c:pt>
                <c:pt idx="344">
                  <c:v>-1.1468437474022796E-2</c:v>
                </c:pt>
                <c:pt idx="345">
                  <c:v>-1.176221621717698E-2</c:v>
                </c:pt>
                <c:pt idx="346">
                  <c:v>-1.0445578339647349E-2</c:v>
                </c:pt>
                <c:pt idx="347">
                  <c:v>-1.05476123944673E-2</c:v>
                </c:pt>
                <c:pt idx="348">
                  <c:v>-1.0178918037586073E-2</c:v>
                </c:pt>
                <c:pt idx="349">
                  <c:v>-1.0191822766716187E-2</c:v>
                </c:pt>
                <c:pt idx="350">
                  <c:v>-1.0298150651973129E-2</c:v>
                </c:pt>
                <c:pt idx="351">
                  <c:v>-1.0100798802969995E-2</c:v>
                </c:pt>
                <c:pt idx="352">
                  <c:v>-1.0286123971456448E-2</c:v>
                </c:pt>
                <c:pt idx="353">
                  <c:v>-1.0747510679749377E-2</c:v>
                </c:pt>
                <c:pt idx="354">
                  <c:v>-1.0562994332421456E-2</c:v>
                </c:pt>
                <c:pt idx="355">
                  <c:v>-9.9822966080573856E-3</c:v>
                </c:pt>
                <c:pt idx="356">
                  <c:v>-9.7244293778278538E-3</c:v>
                </c:pt>
                <c:pt idx="357">
                  <c:v>-1.002914850965529E-2</c:v>
                </c:pt>
                <c:pt idx="358">
                  <c:v>-9.6258199036294741E-3</c:v>
                </c:pt>
                <c:pt idx="359">
                  <c:v>-1.0127366315550003E-2</c:v>
                </c:pt>
                <c:pt idx="360">
                  <c:v>-1.014083858246257E-2</c:v>
                </c:pt>
                <c:pt idx="361">
                  <c:v>-1.0376948554983492E-2</c:v>
                </c:pt>
                <c:pt idx="362">
                  <c:v>-1.024986032294329E-2</c:v>
                </c:pt>
                <c:pt idx="363">
                  <c:v>-1.0258366903218817E-2</c:v>
                </c:pt>
                <c:pt idx="364">
                  <c:v>-1.0166312146278306E-2</c:v>
                </c:pt>
                <c:pt idx="365">
                  <c:v>-1.0198684572161153E-2</c:v>
                </c:pt>
                <c:pt idx="366">
                  <c:v>-1.0137926976423298E-2</c:v>
                </c:pt>
                <c:pt idx="367">
                  <c:v>-1.0245882789597571E-2</c:v>
                </c:pt>
                <c:pt idx="368">
                  <c:v>-1.0114528474982187E-2</c:v>
                </c:pt>
                <c:pt idx="369">
                  <c:v>-9.9538164901663423E-3</c:v>
                </c:pt>
                <c:pt idx="370">
                  <c:v>-9.9929296749155065E-3</c:v>
                </c:pt>
                <c:pt idx="371">
                  <c:v>-1.0065550810592103E-2</c:v>
                </c:pt>
                <c:pt idx="372">
                  <c:v>-9.9268538135985924E-3</c:v>
                </c:pt>
                <c:pt idx="373">
                  <c:v>-9.977667718304474E-3</c:v>
                </c:pt>
                <c:pt idx="374">
                  <c:v>-9.7722697288209689E-3</c:v>
                </c:pt>
                <c:pt idx="375">
                  <c:v>-9.9732904324269286E-3</c:v>
                </c:pt>
                <c:pt idx="376">
                  <c:v>-9.9877552627606423E-3</c:v>
                </c:pt>
                <c:pt idx="377">
                  <c:v>-9.9557993761828448E-3</c:v>
                </c:pt>
                <c:pt idx="378">
                  <c:v>-9.8759471091943388E-3</c:v>
                </c:pt>
                <c:pt idx="379">
                  <c:v>-9.7306387544838311E-3</c:v>
                </c:pt>
                <c:pt idx="380">
                  <c:v>-9.7553574996733644E-3</c:v>
                </c:pt>
                <c:pt idx="381">
                  <c:v>-8.2057229266244303E-3</c:v>
                </c:pt>
                <c:pt idx="382">
                  <c:v>-8.2533901803232314E-3</c:v>
                </c:pt>
                <c:pt idx="383">
                  <c:v>-7.8419137914449103E-3</c:v>
                </c:pt>
                <c:pt idx="384">
                  <c:v>-7.9358436113343735E-3</c:v>
                </c:pt>
                <c:pt idx="385">
                  <c:v>-7.7786780431174686E-3</c:v>
                </c:pt>
                <c:pt idx="386">
                  <c:v>-7.8333586248855568E-3</c:v>
                </c:pt>
                <c:pt idx="387">
                  <c:v>-7.728948451979154E-3</c:v>
                </c:pt>
                <c:pt idx="388">
                  <c:v>-7.5196411846262679E-3</c:v>
                </c:pt>
                <c:pt idx="389">
                  <c:v>-8.022137279055104E-3</c:v>
                </c:pt>
                <c:pt idx="390">
                  <c:v>-8.2307932930036388E-3</c:v>
                </c:pt>
                <c:pt idx="391">
                  <c:v>-8.2018575278567287E-3</c:v>
                </c:pt>
                <c:pt idx="392">
                  <c:v>-8.1906519978336336E-3</c:v>
                </c:pt>
                <c:pt idx="393">
                  <c:v>-8.1240514096140876E-3</c:v>
                </c:pt>
                <c:pt idx="394">
                  <c:v>-8.0746092472345713E-3</c:v>
                </c:pt>
                <c:pt idx="395">
                  <c:v>-8.0731258018675433E-3</c:v>
                </c:pt>
                <c:pt idx="396">
                  <c:v>-7.9619242099836108E-3</c:v>
                </c:pt>
                <c:pt idx="397">
                  <c:v>-8.0485988098106618E-3</c:v>
                </c:pt>
                <c:pt idx="398">
                  <c:v>-8.0330006848809161E-3</c:v>
                </c:pt>
                <c:pt idx="399">
                  <c:v>-8.0566417956545542E-3</c:v>
                </c:pt>
                <c:pt idx="400">
                  <c:v>-8.238397433046345E-3</c:v>
                </c:pt>
                <c:pt idx="401">
                  <c:v>-7.8831967723122492E-3</c:v>
                </c:pt>
                <c:pt idx="402">
                  <c:v>-7.768746119329332E-3</c:v>
                </c:pt>
                <c:pt idx="403">
                  <c:v>-7.550083089594665E-3</c:v>
                </c:pt>
                <c:pt idx="404">
                  <c:v>-7.3721324560173046E-3</c:v>
                </c:pt>
                <c:pt idx="405">
                  <c:v>-7.5223531316390832E-3</c:v>
                </c:pt>
                <c:pt idx="406">
                  <c:v>-7.4240372461778278E-3</c:v>
                </c:pt>
                <c:pt idx="407">
                  <c:v>-7.3738318453075305E-3</c:v>
                </c:pt>
                <c:pt idx="408">
                  <c:v>-7.4261359821374447E-3</c:v>
                </c:pt>
                <c:pt idx="409">
                  <c:v>-7.1906106497050121E-3</c:v>
                </c:pt>
                <c:pt idx="410">
                  <c:v>-7.1349994863773971E-3</c:v>
                </c:pt>
                <c:pt idx="411">
                  <c:v>-6.8186551809703965E-3</c:v>
                </c:pt>
                <c:pt idx="412">
                  <c:v>-6.7447028881440852E-3</c:v>
                </c:pt>
                <c:pt idx="413">
                  <c:v>-6.502092422315562E-3</c:v>
                </c:pt>
                <c:pt idx="414">
                  <c:v>-6.3747069149512206E-3</c:v>
                </c:pt>
                <c:pt idx="415">
                  <c:v>-6.4194601028344312E-3</c:v>
                </c:pt>
                <c:pt idx="416">
                  <c:v>-6.2120344509476386E-3</c:v>
                </c:pt>
                <c:pt idx="417">
                  <c:v>-6.099574149240867E-3</c:v>
                </c:pt>
                <c:pt idx="418">
                  <c:v>-5.8019934464520126E-3</c:v>
                </c:pt>
                <c:pt idx="419">
                  <c:v>-5.7578068729546026E-3</c:v>
                </c:pt>
                <c:pt idx="420">
                  <c:v>-5.6533395560997958E-3</c:v>
                </c:pt>
                <c:pt idx="421">
                  <c:v>-5.4392294976742641E-3</c:v>
                </c:pt>
                <c:pt idx="422">
                  <c:v>-5.4159098101154738E-3</c:v>
                </c:pt>
                <c:pt idx="423">
                  <c:v>-5.2419504938008548E-3</c:v>
                </c:pt>
                <c:pt idx="424">
                  <c:v>-5.0770367850055077E-3</c:v>
                </c:pt>
                <c:pt idx="425">
                  <c:v>-4.8652522884070131E-3</c:v>
                </c:pt>
                <c:pt idx="426">
                  <c:v>-5.9894967932863042E-3</c:v>
                </c:pt>
                <c:pt idx="427">
                  <c:v>-6.0002804561087768E-3</c:v>
                </c:pt>
                <c:pt idx="428">
                  <c:v>-5.9501851288489482E-3</c:v>
                </c:pt>
                <c:pt idx="429">
                  <c:v>-5.8677352991144335E-3</c:v>
                </c:pt>
                <c:pt idx="430">
                  <c:v>-5.7219229031050456E-3</c:v>
                </c:pt>
                <c:pt idx="431">
                  <c:v>-5.4538937203800096E-3</c:v>
                </c:pt>
                <c:pt idx="432">
                  <c:v>-5.1327229121831E-3</c:v>
                </c:pt>
                <c:pt idx="433">
                  <c:v>-4.6986995712022302E-3</c:v>
                </c:pt>
                <c:pt idx="434">
                  <c:v>-4.7625043829465545E-3</c:v>
                </c:pt>
                <c:pt idx="435">
                  <c:v>-4.7185449538039636E-3</c:v>
                </c:pt>
                <c:pt idx="436">
                  <c:v>-4.7139891773613574E-3</c:v>
                </c:pt>
                <c:pt idx="437">
                  <c:v>-4.6676209544747596E-3</c:v>
                </c:pt>
                <c:pt idx="438">
                  <c:v>-4.6535878998639818E-3</c:v>
                </c:pt>
                <c:pt idx="439">
                  <c:v>-4.5998375596970056E-3</c:v>
                </c:pt>
                <c:pt idx="440">
                  <c:v>-4.5928676432283868E-3</c:v>
                </c:pt>
                <c:pt idx="441">
                  <c:v>-4.636062763663169E-3</c:v>
                </c:pt>
                <c:pt idx="442">
                  <c:v>-4.605011308706785E-3</c:v>
                </c:pt>
                <c:pt idx="443">
                  <c:v>-4.4414677423555886E-3</c:v>
                </c:pt>
                <c:pt idx="444">
                  <c:v>-4.5396986562077574E-3</c:v>
                </c:pt>
                <c:pt idx="445">
                  <c:v>-4.5560694091990742E-3</c:v>
                </c:pt>
                <c:pt idx="446">
                  <c:v>-4.5613305212869864E-3</c:v>
                </c:pt>
                <c:pt idx="447">
                  <c:v>-4.5044903675301243E-3</c:v>
                </c:pt>
                <c:pt idx="448">
                  <c:v>-4.6343572958684664E-3</c:v>
                </c:pt>
                <c:pt idx="449">
                  <c:v>-4.3538334931082856E-3</c:v>
                </c:pt>
                <c:pt idx="450">
                  <c:v>-4.3383999332571614E-3</c:v>
                </c:pt>
                <c:pt idx="451">
                  <c:v>-4.3746066524396844E-3</c:v>
                </c:pt>
                <c:pt idx="452">
                  <c:v>-4.2807362273872733E-3</c:v>
                </c:pt>
                <c:pt idx="453">
                  <c:v>-4.1961702449891608E-3</c:v>
                </c:pt>
                <c:pt idx="454">
                  <c:v>-4.1147568683224944E-3</c:v>
                </c:pt>
                <c:pt idx="455">
                  <c:v>-4.1031845136166121E-3</c:v>
                </c:pt>
                <c:pt idx="456">
                  <c:v>-4.012566151693344E-3</c:v>
                </c:pt>
                <c:pt idx="457">
                  <c:v>-3.9966328572196589E-3</c:v>
                </c:pt>
                <c:pt idx="458">
                  <c:v>-3.9612441919391946E-3</c:v>
                </c:pt>
                <c:pt idx="459">
                  <c:v>-3.8918151922072222E-3</c:v>
                </c:pt>
                <c:pt idx="460">
                  <c:v>-3.8406888274358677E-3</c:v>
                </c:pt>
                <c:pt idx="461">
                  <c:v>-3.8312615875097855E-3</c:v>
                </c:pt>
                <c:pt idx="462">
                  <c:v>-3.7956579091851781E-3</c:v>
                </c:pt>
                <c:pt idx="463">
                  <c:v>-3.8027728377262541E-3</c:v>
                </c:pt>
                <c:pt idx="464">
                  <c:v>-3.7127122825705815E-3</c:v>
                </c:pt>
                <c:pt idx="465">
                  <c:v>-3.5880230625705807E-3</c:v>
                </c:pt>
                <c:pt idx="466">
                  <c:v>-3.576904211373882E-3</c:v>
                </c:pt>
                <c:pt idx="467">
                  <c:v>-3.5882008644666659E-3</c:v>
                </c:pt>
                <c:pt idx="468">
                  <c:v>-3.6053960344666659E-3</c:v>
                </c:pt>
                <c:pt idx="469">
                  <c:v>-3.5185100147755951E-3</c:v>
                </c:pt>
                <c:pt idx="470">
                  <c:v>-3.4704683633563996E-3</c:v>
                </c:pt>
                <c:pt idx="471">
                  <c:v>-3.4352196201084617E-3</c:v>
                </c:pt>
                <c:pt idx="472">
                  <c:v>-3.4368766999734028E-3</c:v>
                </c:pt>
                <c:pt idx="473">
                  <c:v>-3.3390608465023166E-3</c:v>
                </c:pt>
                <c:pt idx="474">
                  <c:v>-3.3288835630761325E-3</c:v>
                </c:pt>
                <c:pt idx="475">
                  <c:v>-3.3019918592370094E-3</c:v>
                </c:pt>
                <c:pt idx="476">
                  <c:v>-3.3811505457611271E-3</c:v>
                </c:pt>
                <c:pt idx="477">
                  <c:v>-3.3813357436349827E-3</c:v>
                </c:pt>
                <c:pt idx="478">
                  <c:v>-3.3878433963540834E-3</c:v>
                </c:pt>
                <c:pt idx="479">
                  <c:v>-3.3389813447576096E-3</c:v>
                </c:pt>
                <c:pt idx="480">
                  <c:v>-3.3358033718018576E-3</c:v>
                </c:pt>
                <c:pt idx="481">
                  <c:v>-3.3742602250128669E-3</c:v>
                </c:pt>
                <c:pt idx="482">
                  <c:v>-3.3574889154451434E-3</c:v>
                </c:pt>
                <c:pt idx="483">
                  <c:v>-3.2589136202471063E-3</c:v>
                </c:pt>
                <c:pt idx="484">
                  <c:v>-3.2692765398808807E-3</c:v>
                </c:pt>
                <c:pt idx="485">
                  <c:v>-3.2621085043570723E-3</c:v>
                </c:pt>
                <c:pt idx="486">
                  <c:v>-3.2423269700427326E-3</c:v>
                </c:pt>
                <c:pt idx="487">
                  <c:v>-3.216472687408275E-3</c:v>
                </c:pt>
                <c:pt idx="488">
                  <c:v>-3.2204087632549377E-3</c:v>
                </c:pt>
                <c:pt idx="489">
                  <c:v>-3.210651238164732E-3</c:v>
                </c:pt>
                <c:pt idx="490">
                  <c:v>-3.2164298497556411E-3</c:v>
                </c:pt>
                <c:pt idx="491">
                  <c:v>-3.3089366835003949E-3</c:v>
                </c:pt>
                <c:pt idx="492">
                  <c:v>-2.9840157986853479E-3</c:v>
                </c:pt>
                <c:pt idx="493">
                  <c:v>-2.8482653170671434E-3</c:v>
                </c:pt>
                <c:pt idx="494">
                  <c:v>-2.6729327329912279E-3</c:v>
                </c:pt>
                <c:pt idx="495">
                  <c:v>-2.1855037180812842E-3</c:v>
                </c:pt>
                <c:pt idx="496">
                  <c:v>-2.1899760117769364E-3</c:v>
                </c:pt>
                <c:pt idx="497">
                  <c:v>-1.9330394565962139E-3</c:v>
                </c:pt>
                <c:pt idx="498">
                  <c:v>-1.7588081664973265E-3</c:v>
                </c:pt>
                <c:pt idx="499">
                  <c:v>-1.6280828030283401E-3</c:v>
                </c:pt>
                <c:pt idx="500">
                  <c:v>-1.5817932283708981E-3</c:v>
                </c:pt>
                <c:pt idx="501">
                  <c:v>-1.4894626068501205E-3</c:v>
                </c:pt>
                <c:pt idx="502">
                  <c:v>-1.4398802529804664E-3</c:v>
                </c:pt>
                <c:pt idx="503">
                  <c:v>-1.4216717068698281E-3</c:v>
                </c:pt>
                <c:pt idx="504">
                  <c:v>-1.455665622787394E-3</c:v>
                </c:pt>
                <c:pt idx="505">
                  <c:v>-1.3830243835873939E-3</c:v>
                </c:pt>
                <c:pt idx="506">
                  <c:v>-1.3835400775816962E-3</c:v>
                </c:pt>
                <c:pt idx="507">
                  <c:v>-1.3817017263407388E-3</c:v>
                </c:pt>
                <c:pt idx="508">
                  <c:v>-1.3923482651669815E-3</c:v>
                </c:pt>
                <c:pt idx="509">
                  <c:v>-1.4275586850033457E-3</c:v>
                </c:pt>
                <c:pt idx="510">
                  <c:v>-1.3116768885354769E-3</c:v>
                </c:pt>
                <c:pt idx="511">
                  <c:v>-1.3158886065601284E-3</c:v>
                </c:pt>
                <c:pt idx="512">
                  <c:v>-1.2055816434446485E-3</c:v>
                </c:pt>
                <c:pt idx="513">
                  <c:v>-1.1882790251082343E-3</c:v>
                </c:pt>
                <c:pt idx="514">
                  <c:v>-9.8605283516462502E-4</c:v>
                </c:pt>
                <c:pt idx="515">
                  <c:v>-1.0477130389223125E-3</c:v>
                </c:pt>
                <c:pt idx="516">
                  <c:v>-1.1530275012777954E-3</c:v>
                </c:pt>
                <c:pt idx="517">
                  <c:v>-9.8629460531656811E-4</c:v>
                </c:pt>
                <c:pt idx="518">
                  <c:v>-4.5564321738413526E-4</c:v>
                </c:pt>
                <c:pt idx="519">
                  <c:v>-4.2004300892756354E-4</c:v>
                </c:pt>
                <c:pt idx="520">
                  <c:v>-5.2080349924066803E-4</c:v>
                </c:pt>
                <c:pt idx="521">
                  <c:v>-5.002663956786993E-4</c:v>
                </c:pt>
                <c:pt idx="522">
                  <c:v>-4.9009314432114665E-4</c:v>
                </c:pt>
                <c:pt idx="523">
                  <c:v>-3.6768767852462717E-4</c:v>
                </c:pt>
                <c:pt idx="524">
                  <c:v>-4.4566557835137985E-4</c:v>
                </c:pt>
                <c:pt idx="525">
                  <c:v>-1.8495453081562548E-5</c:v>
                </c:pt>
                <c:pt idx="526">
                  <c:v>-3.7732418580237187E-5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CD-42DA-B5CF-0B86DDC0E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8339920"/>
        <c:axId val="918339504"/>
      </c:lineChart>
      <c:dateAx>
        <c:axId val="918339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8339504"/>
        <c:crosses val="autoZero"/>
        <c:auto val="1"/>
        <c:lblOffset val="100"/>
        <c:baseTimeUnit val="days"/>
      </c:dateAx>
      <c:valAx>
        <c:axId val="91833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833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5F5C1FC-3A6A-4EDA-A278-0F749F069913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B575F6-9268-4DBD-B6D5-394203823D7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97.7</v>
      </c>
      <c r="D2" s="4">
        <f>MIN(D3:D1912)</f>
        <v>19.010000000000002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20.39</v>
      </c>
      <c r="C5">
        <v>20.59</v>
      </c>
      <c r="D5">
        <v>19.96</v>
      </c>
      <c r="E5">
        <v>19.98</v>
      </c>
      <c r="F5">
        <v>272.7</v>
      </c>
      <c r="G5">
        <v>19.98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-0.93650793650793773</v>
      </c>
      <c r="Q5">
        <f t="shared" ref="Q5" si="1">F5*P5</f>
        <v>-255.38571428571461</v>
      </c>
      <c r="R5">
        <f t="shared" ref="R5" si="2">R6+Q5</f>
        <v>-7280886.6549904998</v>
      </c>
      <c r="S5">
        <f t="shared" ref="S5" si="3">R5/100000</f>
        <v>-72.808866549905005</v>
      </c>
      <c r="T5">
        <f t="shared" ref="T5" si="4">S5/1000</f>
        <v>-7.280886654990501E-2</v>
      </c>
    </row>
    <row r="6" spans="1:20" x14ac:dyDescent="0.25">
      <c r="A6" s="5">
        <v>44587</v>
      </c>
      <c r="B6">
        <v>20.46</v>
      </c>
      <c r="C6">
        <v>21.99</v>
      </c>
      <c r="D6">
        <v>20.170000000000002</v>
      </c>
      <c r="E6">
        <v>20.34</v>
      </c>
      <c r="F6">
        <v>16065.71</v>
      </c>
      <c r="G6">
        <v>20.34</v>
      </c>
      <c r="L6" t="s">
        <v>7</v>
      </c>
      <c r="M6" t="s">
        <v>7</v>
      </c>
      <c r="N6" t="s">
        <v>7</v>
      </c>
      <c r="P6">
        <f t="shared" ref="P6" si="5">IF(C6=D6,0,((E6-D6)-(C6-E6))/(C6-D6))</f>
        <v>-0.81318681318681485</v>
      </c>
      <c r="Q6">
        <f t="shared" ref="Q6" si="6">F6*P6</f>
        <v>-13064.423516483543</v>
      </c>
      <c r="R6">
        <f t="shared" ref="R6" si="7">R7+Q6</f>
        <v>-7280631.2692762138</v>
      </c>
      <c r="S6">
        <f t="shared" ref="S6" si="8">R6/100000</f>
        <v>-72.806312692762134</v>
      </c>
      <c r="T6">
        <f t="shared" ref="T6" si="9">S6/1000</f>
        <v>-7.2806312692762137E-2</v>
      </c>
    </row>
    <row r="7" spans="1:20" x14ac:dyDescent="0.25">
      <c r="A7" s="5">
        <v>44586</v>
      </c>
      <c r="B7">
        <v>20.83</v>
      </c>
      <c r="C7">
        <v>22.69</v>
      </c>
      <c r="D7">
        <v>20.2</v>
      </c>
      <c r="E7">
        <v>20.440000000000001</v>
      </c>
      <c r="F7">
        <v>34023.82</v>
      </c>
      <c r="G7">
        <v>20.440000000000001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-0.8072289156626492</v>
      </c>
      <c r="Q7">
        <f t="shared" ref="Q7" si="11">F7*P7</f>
        <v>-27465.011325301159</v>
      </c>
      <c r="R7">
        <f t="shared" ref="R7" si="12">R8+Q7</f>
        <v>-7267566.8457597299</v>
      </c>
      <c r="S7">
        <f t="shared" ref="S7" si="13">R7/100000</f>
        <v>-72.675668457597297</v>
      </c>
      <c r="T7">
        <f t="shared" ref="T7" si="14">S7/1000</f>
        <v>-7.2675668457597292E-2</v>
      </c>
    </row>
    <row r="8" spans="1:20" x14ac:dyDescent="0.25">
      <c r="A8" s="5">
        <v>44585</v>
      </c>
      <c r="B8">
        <v>22.29</v>
      </c>
      <c r="C8">
        <v>22.83</v>
      </c>
      <c r="D8">
        <v>19.010000000000002</v>
      </c>
      <c r="E8">
        <v>20.83</v>
      </c>
      <c r="F8">
        <v>29196.103999999999</v>
      </c>
      <c r="G8">
        <v>20.83</v>
      </c>
      <c r="L8" t="s">
        <v>7</v>
      </c>
      <c r="M8" t="s">
        <v>7</v>
      </c>
      <c r="N8" t="s">
        <v>7</v>
      </c>
      <c r="P8">
        <f t="shared" ref="P8" si="15">IF(C8=D8,0,((E8-D8)-(C8-E8))/(C8-D8))</f>
        <v>-4.7120418848168436E-2</v>
      </c>
      <c r="Q8">
        <f t="shared" ref="Q8" si="16">F8*P8</f>
        <v>-1375.7326492146858</v>
      </c>
      <c r="R8">
        <f t="shared" ref="R8" si="17">R9+Q8</f>
        <v>-7240101.8344344283</v>
      </c>
      <c r="S8">
        <f t="shared" ref="S8" si="18">R8/100000</f>
        <v>-72.40101834434428</v>
      </c>
      <c r="T8">
        <f t="shared" ref="T8" si="19">S8/1000</f>
        <v>-7.2401018344344287E-2</v>
      </c>
    </row>
    <row r="9" spans="1:20" x14ac:dyDescent="0.25">
      <c r="A9" s="5">
        <v>44584</v>
      </c>
      <c r="B9">
        <v>21.54</v>
      </c>
      <c r="C9">
        <v>24.97</v>
      </c>
      <c r="D9">
        <v>21.5</v>
      </c>
      <c r="E9">
        <v>22.29</v>
      </c>
      <c r="F9">
        <v>44774.35</v>
      </c>
      <c r="G9">
        <v>22.29</v>
      </c>
      <c r="L9" t="s">
        <v>8</v>
      </c>
      <c r="M9" t="s">
        <v>8</v>
      </c>
      <c r="N9" t="s">
        <v>7</v>
      </c>
      <c r="P9">
        <f t="shared" ref="P9" si="20">IF(C9=D9,0,((E9-D9)-(C9-E9))/(C9-D9))</f>
        <v>-0.54466858789625394</v>
      </c>
      <c r="Q9">
        <f t="shared" ref="Q9" si="21">F9*P9</f>
        <v>-24387.181988472636</v>
      </c>
      <c r="R9">
        <f t="shared" ref="R9" si="22">R10+Q9</f>
        <v>-7238726.1017852137</v>
      </c>
      <c r="S9">
        <f t="shared" ref="S9" si="23">R9/100000</f>
        <v>-72.38726101785214</v>
      </c>
      <c r="T9">
        <f t="shared" ref="T9" si="24">S9/1000</f>
        <v>-7.2387261017852145E-2</v>
      </c>
    </row>
    <row r="10" spans="1:20" x14ac:dyDescent="0.25">
      <c r="A10" s="5">
        <v>44583</v>
      </c>
      <c r="B10">
        <v>23.28</v>
      </c>
      <c r="C10">
        <v>23.41</v>
      </c>
      <c r="D10">
        <v>20.399999999999999</v>
      </c>
      <c r="E10">
        <v>21.52</v>
      </c>
      <c r="F10">
        <v>16086.558999999999</v>
      </c>
      <c r="G10">
        <v>21.52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-0.25581395348837183</v>
      </c>
      <c r="Q10">
        <f t="shared" ref="Q10" si="26">F10*P10</f>
        <v>-4115.1662558139487</v>
      </c>
      <c r="R10">
        <f t="shared" ref="R10" si="27">R11+Q10</f>
        <v>-7214338.9197967406</v>
      </c>
      <c r="S10">
        <f t="shared" ref="S10" si="28">R10/100000</f>
        <v>-72.143389197967409</v>
      </c>
      <c r="T10">
        <f t="shared" ref="T10" si="29">S10/1000</f>
        <v>-7.2143389197967409E-2</v>
      </c>
    </row>
    <row r="11" spans="1:20" x14ac:dyDescent="0.25">
      <c r="A11" s="5">
        <v>44582</v>
      </c>
      <c r="B11">
        <v>25.32</v>
      </c>
      <c r="C11">
        <v>25.79</v>
      </c>
      <c r="D11">
        <v>23.2</v>
      </c>
      <c r="E11">
        <v>23.33</v>
      </c>
      <c r="F11">
        <v>9721.1389999999992</v>
      </c>
      <c r="G11">
        <v>23.33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-0.89961389961390037</v>
      </c>
      <c r="Q11">
        <f t="shared" ref="Q11" si="31">F11*P11</f>
        <v>-8745.2717644787717</v>
      </c>
      <c r="R11">
        <f t="shared" ref="R11" si="32">R12+Q11</f>
        <v>-7210223.7535409266</v>
      </c>
      <c r="S11">
        <f t="shared" ref="S11" si="33">R11/100000</f>
        <v>-72.102237535409273</v>
      </c>
      <c r="T11">
        <f t="shared" ref="T11" si="34">S11/1000</f>
        <v>-7.2102237535409272E-2</v>
      </c>
    </row>
    <row r="12" spans="1:20" x14ac:dyDescent="0.25">
      <c r="A12" s="5">
        <v>44581</v>
      </c>
      <c r="B12">
        <v>26.76</v>
      </c>
      <c r="C12">
        <v>27.48</v>
      </c>
      <c r="D12">
        <v>25.36</v>
      </c>
      <c r="E12">
        <v>25.42</v>
      </c>
      <c r="F12">
        <v>5592.55</v>
      </c>
      <c r="G12">
        <v>25.42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-0.94339622641509224</v>
      </c>
      <c r="Q12">
        <f t="shared" ref="Q12" si="36">F12*P12</f>
        <v>-5275.9905660377244</v>
      </c>
      <c r="R12">
        <f t="shared" ref="R12" si="37">R13+Q12</f>
        <v>-7201478.481776448</v>
      </c>
      <c r="S12">
        <f t="shared" ref="S12" si="38">R12/100000</f>
        <v>-72.014784817764479</v>
      </c>
      <c r="T12">
        <f t="shared" ref="T12" si="39">S12/1000</f>
        <v>-7.2014784817764479E-2</v>
      </c>
    </row>
    <row r="13" spans="1:20" x14ac:dyDescent="0.25">
      <c r="A13" s="5">
        <v>44580</v>
      </c>
      <c r="B13">
        <v>27.26</v>
      </c>
      <c r="C13">
        <v>27.55</v>
      </c>
      <c r="D13">
        <v>26.48</v>
      </c>
      <c r="E13">
        <v>26.76</v>
      </c>
      <c r="F13">
        <v>6852.1</v>
      </c>
      <c r="G13">
        <v>26.76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-0.47663551401868959</v>
      </c>
      <c r="Q13">
        <f t="shared" ref="Q13" si="41">F13*P13</f>
        <v>-3265.9542056074629</v>
      </c>
      <c r="R13">
        <f t="shared" ref="R13" si="42">R14+Q13</f>
        <v>-7196202.4912104104</v>
      </c>
      <c r="S13">
        <f t="shared" ref="S13" si="43">R13/100000</f>
        <v>-71.962024912104098</v>
      </c>
      <c r="T13">
        <f t="shared" ref="T13" si="44">S13/1000</f>
        <v>-7.19620249121041E-2</v>
      </c>
    </row>
    <row r="14" spans="1:20" x14ac:dyDescent="0.25">
      <c r="A14" s="5">
        <v>44579</v>
      </c>
      <c r="B14">
        <v>27.99</v>
      </c>
      <c r="C14">
        <v>28.03</v>
      </c>
      <c r="D14">
        <v>27.11</v>
      </c>
      <c r="E14">
        <v>27.28</v>
      </c>
      <c r="F14">
        <v>5761.16</v>
      </c>
      <c r="G14">
        <v>27.28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-0.63043478260869268</v>
      </c>
      <c r="Q14">
        <f t="shared" ref="Q14" si="46">F14*P14</f>
        <v>-3632.0356521738959</v>
      </c>
      <c r="R14">
        <f t="shared" ref="R14" si="47">R15+Q14</f>
        <v>-7192936.5370048033</v>
      </c>
      <c r="S14">
        <f t="shared" ref="S14" si="48">R14/100000</f>
        <v>-71.929365370048032</v>
      </c>
      <c r="T14">
        <f t="shared" ref="T14" si="49">S14/1000</f>
        <v>-7.1929365370048029E-2</v>
      </c>
    </row>
    <row r="15" spans="1:20" x14ac:dyDescent="0.25">
      <c r="A15" s="5">
        <v>44578</v>
      </c>
      <c r="B15">
        <v>28.48</v>
      </c>
      <c r="C15">
        <v>28.56</v>
      </c>
      <c r="D15">
        <v>27.44</v>
      </c>
      <c r="E15">
        <v>27.85</v>
      </c>
      <c r="F15">
        <v>6284.22</v>
      </c>
      <c r="G15">
        <v>27.85</v>
      </c>
      <c r="L15" t="s">
        <v>8</v>
      </c>
      <c r="M15" t="s">
        <v>7</v>
      </c>
      <c r="N15" t="s">
        <v>7</v>
      </c>
      <c r="P15">
        <f t="shared" ref="P15" si="50">IF(C15=D15,0,((E15-D15)-(C15-E15))/(C15-D15))</f>
        <v>-0.26785714285714091</v>
      </c>
      <c r="Q15">
        <f t="shared" ref="Q15" si="51">F15*P15</f>
        <v>-1683.2732142857021</v>
      </c>
      <c r="R15">
        <f t="shared" ref="R15" si="52">R16+Q15</f>
        <v>-7189304.5013526296</v>
      </c>
      <c r="S15">
        <f t="shared" ref="S15" si="53">R15/100000</f>
        <v>-71.89304501352629</v>
      </c>
      <c r="T15">
        <f t="shared" ref="T15" si="54">S15/1000</f>
        <v>-7.1893045013526294E-2</v>
      </c>
    </row>
    <row r="16" spans="1:20" x14ac:dyDescent="0.25">
      <c r="A16" s="5">
        <v>44577</v>
      </c>
      <c r="B16">
        <v>28.72</v>
      </c>
      <c r="C16">
        <v>28.73</v>
      </c>
      <c r="D16">
        <v>28.24</v>
      </c>
      <c r="E16">
        <v>28.39</v>
      </c>
      <c r="F16">
        <v>2376.5300000000002</v>
      </c>
      <c r="G16">
        <v>28.39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-0.3877551020408101</v>
      </c>
      <c r="Q16">
        <f t="shared" ref="Q16" si="56">F16*P16</f>
        <v>-921.51163265304649</v>
      </c>
      <c r="R16">
        <f t="shared" ref="R16" si="57">R17+Q16</f>
        <v>-7187621.2281383444</v>
      </c>
      <c r="S16">
        <f t="shared" ref="S16" si="58">R16/100000</f>
        <v>-71.876212281383445</v>
      </c>
      <c r="T16">
        <f t="shared" ref="T16" si="59">S16/1000</f>
        <v>-7.1876212281383439E-2</v>
      </c>
    </row>
    <row r="17" spans="1:20" x14ac:dyDescent="0.25">
      <c r="A17" s="5">
        <v>44576</v>
      </c>
      <c r="B17">
        <v>28.46</v>
      </c>
      <c r="C17">
        <v>28.99</v>
      </c>
      <c r="D17">
        <v>28.17</v>
      </c>
      <c r="E17">
        <v>28.78</v>
      </c>
      <c r="F17">
        <v>4472.6499999999996</v>
      </c>
      <c r="G17">
        <v>28.78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0.48780487804878503</v>
      </c>
      <c r="Q17">
        <f t="shared" ref="Q17" si="61">F17*P17</f>
        <v>2181.7804878048983</v>
      </c>
      <c r="R17">
        <f t="shared" ref="R17" si="62">R18+Q17</f>
        <v>-7186699.7165056914</v>
      </c>
      <c r="S17">
        <f t="shared" ref="S17" si="63">R17/100000</f>
        <v>-71.866997165056915</v>
      </c>
      <c r="T17">
        <f t="shared" ref="T17" si="64">S17/1000</f>
        <v>-7.1866997165056914E-2</v>
      </c>
    </row>
    <row r="18" spans="1:20" x14ac:dyDescent="0.25">
      <c r="A18" s="5">
        <v>44575</v>
      </c>
      <c r="B18">
        <v>27.72</v>
      </c>
      <c r="C18">
        <v>28.56</v>
      </c>
      <c r="D18">
        <v>27.42</v>
      </c>
      <c r="E18">
        <v>28.38</v>
      </c>
      <c r="F18">
        <v>5349.6</v>
      </c>
      <c r="G18">
        <v>28.38</v>
      </c>
      <c r="L18" t="s">
        <v>8</v>
      </c>
      <c r="M18" t="s">
        <v>7</v>
      </c>
      <c r="N18" t="s">
        <v>7</v>
      </c>
      <c r="P18">
        <f t="shared" ref="P18" si="65">IF(C18=D18,0,((E18-D18)-(C18-E18))/(C18-D18))</f>
        <v>0.68421052631578916</v>
      </c>
      <c r="Q18">
        <f t="shared" ref="Q18" si="66">F18*P18</f>
        <v>3660.252631578946</v>
      </c>
      <c r="R18">
        <f t="shared" ref="R18" si="67">R19+Q18</f>
        <v>-7188881.4969934961</v>
      </c>
      <c r="S18">
        <f t="shared" ref="S18" si="68">R18/100000</f>
        <v>-71.888814969934955</v>
      </c>
      <c r="T18">
        <f t="shared" ref="T18" si="69">S18/1000</f>
        <v>-7.1888814969934961E-2</v>
      </c>
    </row>
    <row r="19" spans="1:20" x14ac:dyDescent="0.25">
      <c r="A19" s="5">
        <v>44574</v>
      </c>
      <c r="B19">
        <v>28.84</v>
      </c>
      <c r="C19">
        <v>28.98</v>
      </c>
      <c r="D19">
        <v>27.72</v>
      </c>
      <c r="E19">
        <v>27.78</v>
      </c>
      <c r="F19">
        <v>5861.99</v>
      </c>
      <c r="G19">
        <v>27.78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-0.90476190476190133</v>
      </c>
      <c r="Q19">
        <f t="shared" ref="Q19" si="71">F19*P19</f>
        <v>-5303.7052380952182</v>
      </c>
      <c r="R19">
        <f t="shared" ref="R19" si="72">R20+Q19</f>
        <v>-7192541.7496250747</v>
      </c>
      <c r="S19">
        <f t="shared" ref="S19" si="73">R19/100000</f>
        <v>-71.925417496250745</v>
      </c>
      <c r="T19">
        <f t="shared" ref="T19" si="74">S19/1000</f>
        <v>-7.192541749625074E-2</v>
      </c>
    </row>
    <row r="20" spans="1:20" x14ac:dyDescent="0.25">
      <c r="A20" s="5">
        <v>44573</v>
      </c>
      <c r="B20">
        <v>28.4</v>
      </c>
      <c r="C20">
        <v>29.3</v>
      </c>
      <c r="D20">
        <v>28.07</v>
      </c>
      <c r="E20">
        <v>28.89</v>
      </c>
      <c r="F20">
        <v>9936.65</v>
      </c>
      <c r="G20">
        <v>28.89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0.33333333333333331</v>
      </c>
      <c r="Q20">
        <f t="shared" ref="Q20" si="76">F20*P20</f>
        <v>3312.2166666666662</v>
      </c>
      <c r="R20">
        <f t="shared" ref="R20" si="77">R21+Q20</f>
        <v>-7187238.0443869792</v>
      </c>
      <c r="S20">
        <f t="shared" ref="S20" si="78">R20/100000</f>
        <v>-71.872380443869787</v>
      </c>
      <c r="T20">
        <f t="shared" ref="T20" si="79">S20/1000</f>
        <v>-7.1872380443869788E-2</v>
      </c>
    </row>
    <row r="21" spans="1:20" x14ac:dyDescent="0.25">
      <c r="A21" s="5">
        <v>44572</v>
      </c>
      <c r="B21">
        <v>27.27</v>
      </c>
      <c r="C21">
        <v>28.96</v>
      </c>
      <c r="D21">
        <v>26.97</v>
      </c>
      <c r="E21">
        <v>28.41</v>
      </c>
      <c r="F21">
        <v>11244.87</v>
      </c>
      <c r="G21">
        <v>28.41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0.44723618090452244</v>
      </c>
      <c r="Q21">
        <f t="shared" ref="Q21" si="81">F21*P21</f>
        <v>5029.112713567838</v>
      </c>
      <c r="R21">
        <f t="shared" ref="R21" si="82">R22+Q21</f>
        <v>-7190550.261053646</v>
      </c>
      <c r="S21">
        <f t="shared" ref="S21" si="83">R21/100000</f>
        <v>-71.905502610536459</v>
      </c>
      <c r="T21">
        <f t="shared" ref="T21" si="84">S21/1000</f>
        <v>-7.1905502610536465E-2</v>
      </c>
    </row>
    <row r="22" spans="1:20" x14ac:dyDescent="0.25">
      <c r="A22" s="5">
        <v>44571</v>
      </c>
      <c r="B22">
        <v>28.07</v>
      </c>
      <c r="C22">
        <v>28.44</v>
      </c>
      <c r="D22">
        <v>26.56</v>
      </c>
      <c r="E22">
        <v>27.36</v>
      </c>
      <c r="F22">
        <v>11310.86</v>
      </c>
      <c r="G22">
        <v>27.36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-0.14893617021276637</v>
      </c>
      <c r="Q22">
        <f t="shared" ref="Q22" si="86">F22*P22</f>
        <v>-1684.5961702127706</v>
      </c>
      <c r="R22">
        <f t="shared" ref="R22" si="87">R23+Q22</f>
        <v>-7195579.3737672139</v>
      </c>
      <c r="S22">
        <f t="shared" ref="S22" si="88">R22/100000</f>
        <v>-71.955793737672138</v>
      </c>
      <c r="T22">
        <f t="shared" ref="T22" si="89">S22/1000</f>
        <v>-7.1955793737672136E-2</v>
      </c>
    </row>
    <row r="23" spans="1:20" x14ac:dyDescent="0.25">
      <c r="A23" s="5">
        <v>44570</v>
      </c>
      <c r="B23">
        <v>27.94</v>
      </c>
      <c r="C23">
        <v>28.93</v>
      </c>
      <c r="D23">
        <v>27.37</v>
      </c>
      <c r="E23">
        <v>28.07</v>
      </c>
      <c r="F23">
        <v>5101.6899999999996</v>
      </c>
      <c r="G23">
        <v>28.07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-0.10256410256410274</v>
      </c>
      <c r="Q23">
        <f t="shared" ref="Q23" si="91">F23*P23</f>
        <v>-523.25025641025729</v>
      </c>
      <c r="R23">
        <f t="shared" ref="R23" si="92">R24+Q23</f>
        <v>-7193894.7775970008</v>
      </c>
      <c r="S23">
        <f t="shared" ref="S23" si="93">R23/100000</f>
        <v>-71.938947775970007</v>
      </c>
      <c r="T23">
        <f t="shared" ref="T23" si="94">S23/1000</f>
        <v>-7.1938947775970014E-2</v>
      </c>
    </row>
    <row r="24" spans="1:20" x14ac:dyDescent="0.25">
      <c r="A24" s="5">
        <v>44569</v>
      </c>
      <c r="B24">
        <v>28.01</v>
      </c>
      <c r="C24">
        <v>28.42</v>
      </c>
      <c r="D24">
        <v>26.99</v>
      </c>
      <c r="E24">
        <v>27.98</v>
      </c>
      <c r="F24">
        <v>7750.5</v>
      </c>
      <c r="G24">
        <v>27.98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0.38461538461538425</v>
      </c>
      <c r="Q24">
        <f t="shared" ref="Q24" si="96">F24*P24</f>
        <v>2980.9615384615358</v>
      </c>
      <c r="R24">
        <f t="shared" ref="R24" si="97">R25+Q24</f>
        <v>-7193371.527340591</v>
      </c>
      <c r="S24">
        <f t="shared" ref="S24" si="98">R24/100000</f>
        <v>-71.933715273405909</v>
      </c>
      <c r="T24">
        <f t="shared" ref="T24" si="99">S24/1000</f>
        <v>-7.1933715273405904E-2</v>
      </c>
    </row>
    <row r="25" spans="1:20" x14ac:dyDescent="0.25">
      <c r="A25" s="5">
        <v>44568</v>
      </c>
      <c r="B25">
        <v>29.28</v>
      </c>
      <c r="C25">
        <v>29.48</v>
      </c>
      <c r="D25">
        <v>27.85</v>
      </c>
      <c r="E25">
        <v>27.9</v>
      </c>
      <c r="F25">
        <v>11711.79</v>
      </c>
      <c r="G25">
        <v>27.9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-0.93865030674846972</v>
      </c>
      <c r="Q25">
        <f t="shared" ref="Q25" si="101">F25*P25</f>
        <v>-10993.27527607366</v>
      </c>
      <c r="R25">
        <f t="shared" ref="R25" si="102">R26+Q25</f>
        <v>-7196352.4888790529</v>
      </c>
      <c r="S25">
        <f t="shared" ref="S25" si="103">R25/100000</f>
        <v>-71.963524888790531</v>
      </c>
      <c r="T25">
        <f t="shared" ref="T25" si="104">S25/1000</f>
        <v>-7.1963524888790528E-2</v>
      </c>
    </row>
    <row r="26" spans="1:20" x14ac:dyDescent="0.25">
      <c r="A26" s="5">
        <v>44567</v>
      </c>
      <c r="B26">
        <v>29.82</v>
      </c>
      <c r="C26">
        <v>30.1</v>
      </c>
      <c r="D26">
        <v>28.81</v>
      </c>
      <c r="E26">
        <v>29.35</v>
      </c>
      <c r="F26">
        <v>10248.1</v>
      </c>
      <c r="G26">
        <v>29.35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-0.16279069767441617</v>
      </c>
      <c r="Q26">
        <f t="shared" ref="Q26" si="106">F26*P26</f>
        <v>-1668.2953488371845</v>
      </c>
      <c r="R26">
        <f t="shared" ref="R26" si="107">R27+Q26</f>
        <v>-7185359.2136029797</v>
      </c>
      <c r="S26">
        <f t="shared" ref="S26" si="108">R26/100000</f>
        <v>-71.853592136029803</v>
      </c>
      <c r="T26">
        <f t="shared" ref="T26" si="109">S26/1000</f>
        <v>-7.1853592136029806E-2</v>
      </c>
    </row>
    <row r="27" spans="1:20" x14ac:dyDescent="0.25">
      <c r="A27" s="5">
        <v>44566</v>
      </c>
      <c r="B27">
        <v>31.33</v>
      </c>
      <c r="C27">
        <v>32.26</v>
      </c>
      <c r="D27">
        <v>29</v>
      </c>
      <c r="E27">
        <v>29.77</v>
      </c>
      <c r="F27">
        <v>12976.512000000001</v>
      </c>
      <c r="G27">
        <v>29.77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-0.52760736196319014</v>
      </c>
      <c r="Q27">
        <f t="shared" ref="Q27" si="111">F27*P27</f>
        <v>-6846.503263803681</v>
      </c>
      <c r="R27">
        <f t="shared" ref="R27" si="112">R28+Q27</f>
        <v>-7183690.9182541426</v>
      </c>
      <c r="S27">
        <f t="shared" ref="S27" si="113">R27/100000</f>
        <v>-71.836909182541433</v>
      </c>
      <c r="T27">
        <f t="shared" ref="T27" si="114">S27/1000</f>
        <v>-7.1836909182541431E-2</v>
      </c>
    </row>
    <row r="28" spans="1:20" x14ac:dyDescent="0.25">
      <c r="A28" s="5">
        <v>44565</v>
      </c>
      <c r="B28">
        <v>31.72</v>
      </c>
      <c r="C28">
        <v>32.369999999999997</v>
      </c>
      <c r="D28">
        <v>31.24</v>
      </c>
      <c r="E28">
        <v>31.33</v>
      </c>
      <c r="F28">
        <v>10447.09</v>
      </c>
      <c r="G28">
        <v>31.33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-0.84070796460177</v>
      </c>
      <c r="Q28">
        <f t="shared" ref="Q28" si="116">F28*P28</f>
        <v>-8782.9517699115058</v>
      </c>
      <c r="R28">
        <f t="shared" ref="R28" si="117">R29+Q28</f>
        <v>-7176844.4149903385</v>
      </c>
      <c r="S28">
        <f t="shared" ref="S28" si="118">R28/100000</f>
        <v>-71.768444149903388</v>
      </c>
      <c r="T28">
        <f t="shared" ref="T28" si="119">S28/1000</f>
        <v>-7.1768444149903382E-2</v>
      </c>
    </row>
    <row r="29" spans="1:20" x14ac:dyDescent="0.25">
      <c r="A29" s="5">
        <v>44564</v>
      </c>
      <c r="B29">
        <v>32.15</v>
      </c>
      <c r="C29">
        <v>32.79</v>
      </c>
      <c r="D29">
        <v>31.55</v>
      </c>
      <c r="E29">
        <v>31.66</v>
      </c>
      <c r="F29">
        <v>9159.52</v>
      </c>
      <c r="G29">
        <v>31.66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-0.82258064516129104</v>
      </c>
      <c r="Q29">
        <f t="shared" ref="Q29" si="121">F29*P29</f>
        <v>-7534.4438709677488</v>
      </c>
      <c r="R29">
        <f t="shared" ref="R29" si="122">R30+Q29</f>
        <v>-7168061.4632204268</v>
      </c>
      <c r="S29">
        <f t="shared" ref="S29" si="123">R29/100000</f>
        <v>-71.680614632204268</v>
      </c>
      <c r="T29">
        <f t="shared" ref="T29" si="124">S29/1000</f>
        <v>-7.1680614632204265E-2</v>
      </c>
    </row>
    <row r="30" spans="1:20" x14ac:dyDescent="0.25">
      <c r="A30" s="5">
        <v>44563</v>
      </c>
      <c r="B30">
        <v>32.51</v>
      </c>
      <c r="C30">
        <v>32.89</v>
      </c>
      <c r="D30">
        <v>31.5</v>
      </c>
      <c r="E30">
        <v>32.200000000000003</v>
      </c>
      <c r="F30">
        <v>12814.21</v>
      </c>
      <c r="G30">
        <v>32.200000000000003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7.1942446043202248E-3</v>
      </c>
      <c r="Q30">
        <f t="shared" ref="Q30" si="126">F30*P30</f>
        <v>92.188561151126265</v>
      </c>
      <c r="R30">
        <f t="shared" ref="R30" si="127">R31+Q30</f>
        <v>-7160527.0193494586</v>
      </c>
      <c r="S30">
        <f t="shared" ref="S30" si="128">R30/100000</f>
        <v>-71.60527019349459</v>
      </c>
      <c r="T30">
        <f t="shared" ref="T30" si="129">S30/1000</f>
        <v>-7.1605270193494594E-2</v>
      </c>
    </row>
    <row r="31" spans="1:20" x14ac:dyDescent="0.25">
      <c r="A31" s="5">
        <v>44562</v>
      </c>
      <c r="B31">
        <v>31.48</v>
      </c>
      <c r="C31">
        <v>32.880000000000003</v>
      </c>
      <c r="D31">
        <v>31.43</v>
      </c>
      <c r="E31">
        <v>32.380000000000003</v>
      </c>
      <c r="F31">
        <v>4944.32</v>
      </c>
      <c r="G31">
        <v>32.380000000000003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0.31034482758620824</v>
      </c>
      <c r="Q31">
        <f t="shared" ref="Q31" si="131">F31*P31</f>
        <v>1534.444137931041</v>
      </c>
      <c r="R31">
        <f t="shared" ref="R31" si="132">R32+Q31</f>
        <v>-7160619.2079106094</v>
      </c>
      <c r="S31">
        <f t="shared" ref="S31" si="133">R31/100000</f>
        <v>-71.606192079106094</v>
      </c>
      <c r="T31">
        <f t="shared" ref="T31" si="134">S31/1000</f>
        <v>-7.1606192079106096E-2</v>
      </c>
    </row>
    <row r="32" spans="1:20" x14ac:dyDescent="0.25">
      <c r="A32" s="5">
        <v>44561</v>
      </c>
      <c r="B32">
        <v>31.97</v>
      </c>
      <c r="C32">
        <v>32.86</v>
      </c>
      <c r="D32">
        <v>31.19</v>
      </c>
      <c r="E32">
        <v>31.7</v>
      </c>
      <c r="F32">
        <v>7204.93</v>
      </c>
      <c r="G32">
        <v>31.7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-0.38922155688622923</v>
      </c>
      <c r="Q32">
        <f t="shared" ref="Q32" si="136">F32*P32</f>
        <v>-2804.3140718562995</v>
      </c>
      <c r="R32">
        <f t="shared" ref="R32" si="137">R33+Q32</f>
        <v>-7162153.6520485403</v>
      </c>
      <c r="S32">
        <f t="shared" ref="S32" si="138">R32/100000</f>
        <v>-71.621536520485407</v>
      </c>
      <c r="T32">
        <f t="shared" ref="T32" si="139">S32/1000</f>
        <v>-7.1621536520485404E-2</v>
      </c>
    </row>
    <row r="33" spans="1:20" x14ac:dyDescent="0.25">
      <c r="A33" s="5">
        <v>44560</v>
      </c>
      <c r="B33">
        <v>31.74</v>
      </c>
      <c r="C33">
        <v>33.1</v>
      </c>
      <c r="D33">
        <v>31.55</v>
      </c>
      <c r="E33">
        <v>32.04</v>
      </c>
      <c r="F33">
        <v>5509.78</v>
      </c>
      <c r="G33">
        <v>32.04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-0.36774193548387329</v>
      </c>
      <c r="Q33">
        <f t="shared" ref="Q33" si="141">F33*P33</f>
        <v>-2026.1771612903353</v>
      </c>
      <c r="R33">
        <f t="shared" ref="R33" si="142">R34+Q33</f>
        <v>-7159349.3379766839</v>
      </c>
      <c r="S33">
        <f t="shared" ref="S33" si="143">R33/100000</f>
        <v>-71.593493379766841</v>
      </c>
      <c r="T33">
        <f t="shared" ref="T33" si="144">S33/1000</f>
        <v>-7.1593493379766837E-2</v>
      </c>
    </row>
    <row r="34" spans="1:20" x14ac:dyDescent="0.25">
      <c r="A34" s="5">
        <v>44559</v>
      </c>
      <c r="B34">
        <v>33.5</v>
      </c>
      <c r="C34">
        <v>34.32</v>
      </c>
      <c r="D34">
        <v>31.52</v>
      </c>
      <c r="E34">
        <v>31.52</v>
      </c>
      <c r="F34">
        <v>15149.09</v>
      </c>
      <c r="G34">
        <v>31.52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-1</v>
      </c>
      <c r="Q34">
        <f t="shared" ref="Q34" si="146">F34*P34</f>
        <v>-15149.09</v>
      </c>
      <c r="R34">
        <f t="shared" ref="R34" si="147">R35+Q34</f>
        <v>-7157323.1608153936</v>
      </c>
      <c r="S34">
        <f t="shared" ref="S34" si="148">R34/100000</f>
        <v>-71.573231608153932</v>
      </c>
      <c r="T34">
        <f t="shared" ref="T34" si="149">S34/1000</f>
        <v>-7.1573231608153931E-2</v>
      </c>
    </row>
    <row r="35" spans="1:20" x14ac:dyDescent="0.25">
      <c r="A35" s="5">
        <v>44558</v>
      </c>
      <c r="B35">
        <v>34.61</v>
      </c>
      <c r="C35">
        <v>37.99</v>
      </c>
      <c r="D35">
        <v>33.49</v>
      </c>
      <c r="E35">
        <v>33.51</v>
      </c>
      <c r="F35">
        <v>47082.01</v>
      </c>
      <c r="G35">
        <v>33.51</v>
      </c>
      <c r="L35" t="s">
        <v>8</v>
      </c>
      <c r="M35" t="s">
        <v>8</v>
      </c>
      <c r="N35" t="s">
        <v>7</v>
      </c>
      <c r="P35">
        <f t="shared" ref="P35" si="150">IF(C35=D35,0,((E35-D35)-(C35-E35))/(C35-D35))</f>
        <v>-0.99111111111111283</v>
      </c>
      <c r="Q35">
        <f t="shared" ref="Q35" si="151">F35*P35</f>
        <v>-46663.503244444524</v>
      </c>
      <c r="R35">
        <f t="shared" ref="R35" si="152">R36+Q35</f>
        <v>-7142174.0708153937</v>
      </c>
      <c r="S35">
        <f t="shared" ref="S35" si="153">R35/100000</f>
        <v>-71.421740708153933</v>
      </c>
      <c r="T35">
        <f t="shared" ref="T35" si="154">S35/1000</f>
        <v>-7.1421740708153936E-2</v>
      </c>
    </row>
    <row r="36" spans="1:20" x14ac:dyDescent="0.25">
      <c r="A36" s="5">
        <v>44557</v>
      </c>
      <c r="B36">
        <v>34.44</v>
      </c>
      <c r="C36">
        <v>36.17</v>
      </c>
      <c r="D36">
        <v>34.29</v>
      </c>
      <c r="E36">
        <v>34.61</v>
      </c>
      <c r="F36">
        <v>11706.85</v>
      </c>
      <c r="G36">
        <v>34.61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-0.65957446808510656</v>
      </c>
      <c r="Q36">
        <f t="shared" ref="Q36" si="156">F36*P36</f>
        <v>-7721.53936170213</v>
      </c>
      <c r="R36">
        <f t="shared" ref="R36" si="157">R37+Q36</f>
        <v>-7095510.567570949</v>
      </c>
      <c r="S36">
        <f t="shared" ref="S36" si="158">R36/100000</f>
        <v>-70.95510567570949</v>
      </c>
      <c r="T36">
        <f t="shared" ref="T36" si="159">S36/1000</f>
        <v>-7.0955105675709493E-2</v>
      </c>
    </row>
    <row r="37" spans="1:20" x14ac:dyDescent="0.25">
      <c r="A37" s="5">
        <v>44556</v>
      </c>
      <c r="B37">
        <v>34.46</v>
      </c>
      <c r="C37">
        <v>34.79</v>
      </c>
      <c r="D37">
        <v>33.72</v>
      </c>
      <c r="E37">
        <v>34.380000000000003</v>
      </c>
      <c r="F37">
        <v>6393.31</v>
      </c>
      <c r="G37">
        <v>34.380000000000003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0.23364485981309069</v>
      </c>
      <c r="Q37">
        <f t="shared" ref="Q37" si="161">F37*P37</f>
        <v>1493.764018691631</v>
      </c>
      <c r="R37">
        <f t="shared" ref="R37" si="162">R38+Q37</f>
        <v>-7087789.0282092467</v>
      </c>
      <c r="S37">
        <f t="shared" ref="S37" si="163">R37/100000</f>
        <v>-70.877890282092466</v>
      </c>
      <c r="T37">
        <f t="shared" ref="T37" si="164">S37/1000</f>
        <v>-7.0877890282092459E-2</v>
      </c>
    </row>
    <row r="38" spans="1:20" x14ac:dyDescent="0.25">
      <c r="A38" s="5">
        <v>44555</v>
      </c>
      <c r="B38">
        <v>33.93</v>
      </c>
      <c r="C38">
        <v>34.76</v>
      </c>
      <c r="D38">
        <v>33.729999999999997</v>
      </c>
      <c r="E38">
        <v>34.43</v>
      </c>
      <c r="F38">
        <v>5281</v>
      </c>
      <c r="G38">
        <v>34.43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0.35922330097087779</v>
      </c>
      <c r="Q38">
        <f t="shared" ref="Q38" si="166">F38*P38</f>
        <v>1897.0582524272056</v>
      </c>
      <c r="R38">
        <f t="shared" ref="R38" si="167">R39+Q38</f>
        <v>-7089282.7922279388</v>
      </c>
      <c r="S38">
        <f t="shared" ref="S38" si="168">R38/100000</f>
        <v>-70.892827922279395</v>
      </c>
      <c r="T38">
        <f t="shared" ref="T38" si="169">S38/1000</f>
        <v>-7.0892827922279397E-2</v>
      </c>
    </row>
    <row r="39" spans="1:20" x14ac:dyDescent="0.25">
      <c r="A39" s="5">
        <v>44554</v>
      </c>
      <c r="B39">
        <v>34.24</v>
      </c>
      <c r="C39">
        <v>34.61</v>
      </c>
      <c r="D39">
        <v>33.67</v>
      </c>
      <c r="E39">
        <v>33.93</v>
      </c>
      <c r="F39">
        <v>8492.73</v>
      </c>
      <c r="G39">
        <v>33.93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-0.44680851063830079</v>
      </c>
      <c r="Q39">
        <f t="shared" ref="Q39" si="171">F39*P39</f>
        <v>-3794.624042553216</v>
      </c>
      <c r="R39">
        <f t="shared" ref="R39" si="172">R40+Q39</f>
        <v>-7091179.8504803656</v>
      </c>
      <c r="S39">
        <f t="shared" ref="S39" si="173">R39/100000</f>
        <v>-70.911798504803656</v>
      </c>
      <c r="T39">
        <f t="shared" ref="T39" si="174">S39/1000</f>
        <v>-7.0911798504803655E-2</v>
      </c>
    </row>
    <row r="40" spans="1:20" x14ac:dyDescent="0.25">
      <c r="A40" s="5">
        <v>44553</v>
      </c>
      <c r="B40">
        <v>33.06</v>
      </c>
      <c r="C40">
        <v>34.56</v>
      </c>
      <c r="D40">
        <v>32.78</v>
      </c>
      <c r="E40">
        <v>34.18</v>
      </c>
      <c r="F40">
        <v>11146.41</v>
      </c>
      <c r="G40">
        <v>34.18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0.57303370786516594</v>
      </c>
      <c r="Q40">
        <f t="shared" ref="Q40" si="176">F40*P40</f>
        <v>6387.2686516853646</v>
      </c>
      <c r="R40">
        <f t="shared" ref="R40" si="177">R41+Q40</f>
        <v>-7087385.2264378127</v>
      </c>
      <c r="S40">
        <f t="shared" ref="S40" si="178">R40/100000</f>
        <v>-70.873852264378129</v>
      </c>
      <c r="T40">
        <f t="shared" ref="T40" si="179">S40/1000</f>
        <v>-7.0873852264378132E-2</v>
      </c>
    </row>
    <row r="41" spans="1:20" x14ac:dyDescent="0.25">
      <c r="A41" s="5">
        <v>44552</v>
      </c>
      <c r="B41">
        <v>33.19</v>
      </c>
      <c r="C41">
        <v>33.450000000000003</v>
      </c>
      <c r="D41">
        <v>32.82</v>
      </c>
      <c r="E41">
        <v>33.07</v>
      </c>
      <c r="F41">
        <v>8571.43</v>
      </c>
      <c r="G41">
        <v>33.07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-0.20634920634920959</v>
      </c>
      <c r="Q41">
        <f t="shared" ref="Q41" si="181">F41*P41</f>
        <v>-1768.7077777778056</v>
      </c>
      <c r="R41">
        <f t="shared" ref="R41" si="182">R42+Q41</f>
        <v>-7093772.4950894983</v>
      </c>
      <c r="S41">
        <f t="shared" ref="S41" si="183">R41/100000</f>
        <v>-70.937724950894989</v>
      </c>
      <c r="T41">
        <f t="shared" ref="T41" si="184">S41/1000</f>
        <v>-7.0937724950894995E-2</v>
      </c>
    </row>
    <row r="42" spans="1:20" x14ac:dyDescent="0.25">
      <c r="A42" s="5">
        <v>44551</v>
      </c>
      <c r="B42">
        <v>32</v>
      </c>
      <c r="C42">
        <v>33.54</v>
      </c>
      <c r="D42">
        <v>31.93</v>
      </c>
      <c r="E42">
        <v>33.14</v>
      </c>
      <c r="F42">
        <v>8103.91</v>
      </c>
      <c r="G42">
        <v>33.14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0.50310559006211342</v>
      </c>
      <c r="Q42">
        <f t="shared" ref="Q42" si="186">F42*P42</f>
        <v>4077.1224223602617</v>
      </c>
      <c r="R42">
        <f t="shared" ref="R42" si="187">R43+Q42</f>
        <v>-7092003.7873117207</v>
      </c>
      <c r="S42">
        <f t="shared" ref="S42" si="188">R42/100000</f>
        <v>-70.920037873117209</v>
      </c>
      <c r="T42">
        <f t="shared" ref="T42" si="189">S42/1000</f>
        <v>-7.0920037873117209E-2</v>
      </c>
    </row>
    <row r="43" spans="1:20" x14ac:dyDescent="0.25">
      <c r="A43" s="5">
        <v>44550</v>
      </c>
      <c r="B43">
        <v>32.19</v>
      </c>
      <c r="C43">
        <v>32.21</v>
      </c>
      <c r="D43">
        <v>30.75</v>
      </c>
      <c r="E43">
        <v>31.99</v>
      </c>
      <c r="F43">
        <v>9720.44</v>
      </c>
      <c r="G43">
        <v>31.99</v>
      </c>
      <c r="L43" t="s">
        <v>7</v>
      </c>
      <c r="M43" t="s">
        <v>8</v>
      </c>
      <c r="N43" t="s">
        <v>7</v>
      </c>
      <c r="P43">
        <f t="shared" ref="P43" si="190">IF(C43=D43,0,((E43-D43)-(C43-E43))/(C43-D43))</f>
        <v>0.69863013698629828</v>
      </c>
      <c r="Q43">
        <f t="shared" ref="Q43" si="191">F43*P43</f>
        <v>6790.9923287670936</v>
      </c>
      <c r="R43">
        <f t="shared" ref="R43" si="192">R44+Q43</f>
        <v>-7096080.9097340805</v>
      </c>
      <c r="S43">
        <f t="shared" ref="S43" si="193">R43/100000</f>
        <v>-70.9608090973408</v>
      </c>
      <c r="T43">
        <f t="shared" ref="T43" si="194">S43/1000</f>
        <v>-7.0960809097340802E-2</v>
      </c>
    </row>
    <row r="44" spans="1:20" x14ac:dyDescent="0.25">
      <c r="A44" s="5">
        <v>44549</v>
      </c>
      <c r="B44">
        <v>32.44</v>
      </c>
      <c r="C44">
        <v>33.72</v>
      </c>
      <c r="D44">
        <v>32.130000000000003</v>
      </c>
      <c r="E44">
        <v>32.22</v>
      </c>
      <c r="F44">
        <v>10234.799999999999</v>
      </c>
      <c r="G44">
        <v>32.22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-0.88679245283019303</v>
      </c>
      <c r="Q44">
        <f t="shared" ref="Q44" si="196">F44*P44</f>
        <v>-9076.1433962264582</v>
      </c>
      <c r="R44">
        <f t="shared" ref="R44" si="197">R45+Q44</f>
        <v>-7102871.9020628473</v>
      </c>
      <c r="S44">
        <f t="shared" ref="S44" si="198">R44/100000</f>
        <v>-71.028719020628472</v>
      </c>
      <c r="T44">
        <f t="shared" ref="T44" si="199">S44/1000</f>
        <v>-7.1028719020628475E-2</v>
      </c>
    </row>
    <row r="45" spans="1:20" x14ac:dyDescent="0.25">
      <c r="A45" s="5">
        <v>44548</v>
      </c>
      <c r="B45">
        <v>32.58</v>
      </c>
      <c r="C45">
        <v>32.96</v>
      </c>
      <c r="D45">
        <v>31.88</v>
      </c>
      <c r="E45">
        <v>32.47</v>
      </c>
      <c r="F45">
        <v>11371.03</v>
      </c>
      <c r="G45">
        <v>32.47</v>
      </c>
      <c r="L45" t="s">
        <v>7</v>
      </c>
      <c r="M45" t="s">
        <v>8</v>
      </c>
      <c r="N45" t="s">
        <v>7</v>
      </c>
      <c r="P45">
        <f t="shared" ref="P45" si="200">IF(C45=D45,0,((E45-D45)-(C45-E45))/(C45-D45))</f>
        <v>9.2592592592590464E-2</v>
      </c>
      <c r="Q45">
        <f t="shared" ref="Q45" si="201">F45*P45</f>
        <v>1052.8731481481241</v>
      </c>
      <c r="R45">
        <f t="shared" ref="R45" si="202">R46+Q45</f>
        <v>-7093795.7586666206</v>
      </c>
      <c r="S45">
        <f t="shared" ref="S45" si="203">R45/100000</f>
        <v>-70.937957586666201</v>
      </c>
      <c r="T45">
        <f t="shared" ref="T45" si="204">S45/1000</f>
        <v>-7.0937957586666198E-2</v>
      </c>
    </row>
    <row r="46" spans="1:20" x14ac:dyDescent="0.25">
      <c r="A46" s="5">
        <v>44547</v>
      </c>
      <c r="B46">
        <v>31.21</v>
      </c>
      <c r="C46">
        <v>35.58</v>
      </c>
      <c r="D46">
        <v>31.19</v>
      </c>
      <c r="E46">
        <v>32.54</v>
      </c>
      <c r="F46">
        <v>45911.05</v>
      </c>
      <c r="G46">
        <v>32.54</v>
      </c>
      <c r="L46" t="s">
        <v>8</v>
      </c>
      <c r="M46" t="s">
        <v>8</v>
      </c>
      <c r="N46" t="s">
        <v>7</v>
      </c>
      <c r="P46">
        <f t="shared" ref="P46" si="205">IF(C46=D46,0,((E46-D46)-(C46-E46))/(C46-D46))</f>
        <v>-0.38496583143508029</v>
      </c>
      <c r="Q46">
        <f t="shared" ref="Q46" si="206">F46*P46</f>
        <v>-17674.185535307544</v>
      </c>
      <c r="R46">
        <f t="shared" ref="R46" si="207">R47+Q46</f>
        <v>-7094848.6318147685</v>
      </c>
      <c r="S46">
        <f t="shared" ref="S46" si="208">R46/100000</f>
        <v>-70.948486318147687</v>
      </c>
      <c r="T46">
        <f t="shared" ref="T46" si="209">S46/1000</f>
        <v>-7.094848631814768E-2</v>
      </c>
    </row>
    <row r="47" spans="1:20" x14ac:dyDescent="0.25">
      <c r="A47" s="5">
        <v>44546</v>
      </c>
      <c r="B47">
        <v>32.26</v>
      </c>
      <c r="C47">
        <v>32.64</v>
      </c>
      <c r="D47">
        <v>31.25</v>
      </c>
      <c r="E47">
        <v>31.4</v>
      </c>
      <c r="F47">
        <v>5681.99</v>
      </c>
      <c r="G47">
        <v>31.4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-0.78417266187050572</v>
      </c>
      <c r="Q47">
        <f t="shared" ref="Q47" si="211">F47*P47</f>
        <v>-4455.6612230215942</v>
      </c>
      <c r="R47">
        <f t="shared" ref="R47" si="212">R48+Q47</f>
        <v>-7077174.4462794606</v>
      </c>
      <c r="S47">
        <f t="shared" ref="S47" si="213">R47/100000</f>
        <v>-70.771744462794601</v>
      </c>
      <c r="T47">
        <f t="shared" ref="T47" si="214">S47/1000</f>
        <v>-7.0771744462794606E-2</v>
      </c>
    </row>
    <row r="48" spans="1:20" x14ac:dyDescent="0.25">
      <c r="A48" s="5">
        <v>44545</v>
      </c>
      <c r="B48">
        <v>32.090000000000003</v>
      </c>
      <c r="C48">
        <v>32.51</v>
      </c>
      <c r="D48">
        <v>30.35</v>
      </c>
      <c r="E48">
        <v>32.35</v>
      </c>
      <c r="F48">
        <v>13626.34</v>
      </c>
      <c r="G48">
        <v>32.35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0.85185185185185475</v>
      </c>
      <c r="Q48">
        <f t="shared" ref="Q48" si="216">F48*P48</f>
        <v>11607.622962963003</v>
      </c>
      <c r="R48">
        <f t="shared" ref="R48" si="217">R49+Q48</f>
        <v>-7072718.7850564392</v>
      </c>
      <c r="S48">
        <f t="shared" ref="S48" si="218">R48/100000</f>
        <v>-70.727187850564391</v>
      </c>
      <c r="T48">
        <f t="shared" ref="T48" si="219">S48/1000</f>
        <v>-7.0727187850564394E-2</v>
      </c>
    </row>
    <row r="49" spans="1:20" x14ac:dyDescent="0.25">
      <c r="A49" s="5">
        <v>44544</v>
      </c>
      <c r="B49">
        <v>31.83</v>
      </c>
      <c r="C49">
        <v>32.270000000000003</v>
      </c>
      <c r="D49">
        <v>31.11</v>
      </c>
      <c r="E49">
        <v>32.11</v>
      </c>
      <c r="F49">
        <v>6979.07</v>
      </c>
      <c r="G49">
        <v>32.11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0.72413793103447732</v>
      </c>
      <c r="Q49">
        <f t="shared" ref="Q49" si="221">F49*P49</f>
        <v>5053.8093103447891</v>
      </c>
      <c r="R49">
        <f t="shared" ref="R49" si="222">R50+Q49</f>
        <v>-7084326.4080194021</v>
      </c>
      <c r="S49">
        <f t="shared" ref="S49" si="223">R49/100000</f>
        <v>-70.843264080194018</v>
      </c>
      <c r="T49">
        <f t="shared" ref="T49" si="224">S49/1000</f>
        <v>-7.0843264080194021E-2</v>
      </c>
    </row>
    <row r="50" spans="1:20" x14ac:dyDescent="0.25">
      <c r="A50" s="5">
        <v>44543</v>
      </c>
      <c r="B50">
        <v>34.03</v>
      </c>
      <c r="C50">
        <v>34.799999999999997</v>
      </c>
      <c r="D50">
        <v>31.25</v>
      </c>
      <c r="E50">
        <v>31.78</v>
      </c>
      <c r="F50">
        <v>14690.800999999999</v>
      </c>
      <c r="G50">
        <v>31.78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-0.70140845070422442</v>
      </c>
      <c r="Q50">
        <f t="shared" ref="Q50" si="226">F50*P50</f>
        <v>-10304.251969014071</v>
      </c>
      <c r="R50">
        <f t="shared" ref="R50" si="227">R51+Q50</f>
        <v>-7089380.217329747</v>
      </c>
      <c r="S50">
        <f t="shared" ref="S50" si="228">R50/100000</f>
        <v>-70.893802173297473</v>
      </c>
      <c r="T50">
        <f t="shared" ref="T50" si="229">S50/1000</f>
        <v>-7.0893802173297479E-2</v>
      </c>
    </row>
    <row r="51" spans="1:20" x14ac:dyDescent="0.25">
      <c r="A51" s="5">
        <v>44542</v>
      </c>
      <c r="B51">
        <v>34.409999999999997</v>
      </c>
      <c r="C51">
        <v>34.619999999999997</v>
      </c>
      <c r="D51">
        <v>33.28</v>
      </c>
      <c r="E51">
        <v>34.07</v>
      </c>
      <c r="F51">
        <v>9648.7900000000009</v>
      </c>
      <c r="G51">
        <v>34.07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0.17910447761194229</v>
      </c>
      <c r="Q51">
        <f t="shared" ref="Q51" si="231">F51*P51</f>
        <v>1728.1414925373329</v>
      </c>
      <c r="R51">
        <f t="shared" ref="R51" si="232">R52+Q51</f>
        <v>-7079075.9653607327</v>
      </c>
      <c r="S51">
        <f t="shared" ref="S51" si="233">R51/100000</f>
        <v>-70.790759653607324</v>
      </c>
      <c r="T51">
        <f t="shared" ref="T51" si="234">S51/1000</f>
        <v>-7.079075965360733E-2</v>
      </c>
    </row>
    <row r="52" spans="1:20" x14ac:dyDescent="0.25">
      <c r="A52" s="5">
        <v>44541</v>
      </c>
      <c r="B52">
        <v>33.04</v>
      </c>
      <c r="C52">
        <v>33.36</v>
      </c>
      <c r="D52">
        <v>33</v>
      </c>
      <c r="E52">
        <v>33.28</v>
      </c>
      <c r="F52">
        <v>885.92</v>
      </c>
      <c r="G52">
        <v>33.28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0.55555555555556435</v>
      </c>
      <c r="Q52">
        <f t="shared" ref="Q52" si="236">F52*P52</f>
        <v>492.17777777778554</v>
      </c>
      <c r="R52">
        <f t="shared" ref="R52" si="237">R53+Q52</f>
        <v>-7080804.10685327</v>
      </c>
      <c r="S52">
        <f t="shared" ref="S52" si="238">R52/100000</f>
        <v>-70.808041068532702</v>
      </c>
      <c r="T52">
        <f t="shared" ref="T52" si="239">S52/1000</f>
        <v>-7.0808041068532696E-2</v>
      </c>
    </row>
    <row r="53" spans="1:20" x14ac:dyDescent="0.25">
      <c r="A53" s="5">
        <v>44540</v>
      </c>
      <c r="B53">
        <v>34.51</v>
      </c>
      <c r="C53">
        <v>35.24</v>
      </c>
      <c r="D53">
        <v>33</v>
      </c>
      <c r="E53">
        <v>33.07</v>
      </c>
      <c r="F53">
        <v>18552.849999999999</v>
      </c>
      <c r="G53">
        <v>33.07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-0.93749999999999978</v>
      </c>
      <c r="Q53">
        <f t="shared" ref="Q53" si="241">F53*P53</f>
        <v>-17393.296874999993</v>
      </c>
      <c r="R53">
        <f t="shared" ref="R53" si="242">R54+Q53</f>
        <v>-7081296.2846310474</v>
      </c>
      <c r="S53">
        <f t="shared" ref="S53" si="243">R53/100000</f>
        <v>-70.812962846310469</v>
      </c>
      <c r="T53">
        <f t="shared" ref="T53" si="244">S53/1000</f>
        <v>-7.0812962846310473E-2</v>
      </c>
    </row>
    <row r="54" spans="1:20" x14ac:dyDescent="0.25">
      <c r="A54" s="5">
        <v>44539</v>
      </c>
      <c r="B54">
        <v>35.89</v>
      </c>
      <c r="C54">
        <v>39.409999999999997</v>
      </c>
      <c r="D54">
        <v>34.42</v>
      </c>
      <c r="E54">
        <v>34.51</v>
      </c>
      <c r="F54">
        <v>38112.93</v>
      </c>
      <c r="G54">
        <v>34.51</v>
      </c>
      <c r="L54" t="s">
        <v>8</v>
      </c>
      <c r="M54" t="s">
        <v>8</v>
      </c>
      <c r="N54" t="s">
        <v>7</v>
      </c>
      <c r="P54">
        <f t="shared" ref="P54" si="245">IF(C54=D54,0,((E54-D54)-(C54-E54))/(C54-D54))</f>
        <v>-0.96392785571142425</v>
      </c>
      <c r="Q54">
        <f t="shared" ref="Q54" si="246">F54*P54</f>
        <v>-36738.114889779616</v>
      </c>
      <c r="R54">
        <f t="shared" ref="R54" si="247">R55+Q54</f>
        <v>-7063902.9877560474</v>
      </c>
      <c r="S54">
        <f t="shared" ref="S54" si="248">R54/100000</f>
        <v>-70.639029877560475</v>
      </c>
      <c r="T54">
        <f t="shared" ref="T54" si="249">S54/1000</f>
        <v>-7.0639029877560475E-2</v>
      </c>
    </row>
    <row r="55" spans="1:20" x14ac:dyDescent="0.25">
      <c r="A55" s="5">
        <v>44538</v>
      </c>
      <c r="B55">
        <v>35.06</v>
      </c>
      <c r="C55">
        <v>37</v>
      </c>
      <c r="D55">
        <v>34.07</v>
      </c>
      <c r="E55">
        <v>35.78</v>
      </c>
      <c r="F55">
        <v>18110.48</v>
      </c>
      <c r="G55">
        <v>35.78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0.16723549488054676</v>
      </c>
      <c r="Q55">
        <f t="shared" ref="Q55" si="251">F55*P55</f>
        <v>3028.7150853242442</v>
      </c>
      <c r="R55">
        <f t="shared" ref="R55" si="252">R56+Q55</f>
        <v>-7027164.8728662673</v>
      </c>
      <c r="S55">
        <f t="shared" ref="S55" si="253">R55/100000</f>
        <v>-70.271648728662669</v>
      </c>
      <c r="T55">
        <f t="shared" ref="T55" si="254">S55/1000</f>
        <v>-7.0271648728662664E-2</v>
      </c>
    </row>
    <row r="56" spans="1:20" x14ac:dyDescent="0.25">
      <c r="A56" s="5">
        <v>44537</v>
      </c>
      <c r="B56">
        <v>36.25</v>
      </c>
      <c r="C56">
        <v>37.43</v>
      </c>
      <c r="D56">
        <v>34.79</v>
      </c>
      <c r="E56">
        <v>35.01</v>
      </c>
      <c r="F56">
        <v>29203.71</v>
      </c>
      <c r="G56">
        <v>35.01</v>
      </c>
      <c r="L56" t="s">
        <v>7</v>
      </c>
      <c r="M56" t="s">
        <v>7</v>
      </c>
      <c r="N56" t="s">
        <v>7</v>
      </c>
      <c r="P56">
        <f t="shared" ref="P56" si="255">IF(C56=D56,0,((E56-D56)-(C56-E56))/(C56-D56))</f>
        <v>-0.83333333333333426</v>
      </c>
      <c r="Q56">
        <f t="shared" ref="Q56" si="256">F56*P56</f>
        <v>-24336.425000000025</v>
      </c>
      <c r="R56">
        <f t="shared" ref="R56" si="257">R57+Q56</f>
        <v>-7030193.5879515912</v>
      </c>
      <c r="S56">
        <f t="shared" ref="S56" si="258">R56/100000</f>
        <v>-70.301935879515909</v>
      </c>
      <c r="T56">
        <f t="shared" ref="T56" si="259">S56/1000</f>
        <v>-7.0301935879515914E-2</v>
      </c>
    </row>
    <row r="57" spans="1:20" x14ac:dyDescent="0.25">
      <c r="A57" s="5">
        <v>44536</v>
      </c>
      <c r="B57">
        <v>36.61</v>
      </c>
      <c r="C57">
        <v>45.06</v>
      </c>
      <c r="D57">
        <v>33.36</v>
      </c>
      <c r="E57">
        <v>36.25</v>
      </c>
      <c r="F57">
        <v>135893.06400000001</v>
      </c>
      <c r="G57">
        <v>36.25</v>
      </c>
      <c r="L57" t="s">
        <v>8</v>
      </c>
      <c r="M57" t="s">
        <v>7</v>
      </c>
      <c r="N57" t="s">
        <v>7</v>
      </c>
      <c r="P57">
        <f t="shared" ref="P57" si="260">IF(C57=D57,0,((E57-D57)-(C57-E57))/(C57-D57))</f>
        <v>-0.50598290598290596</v>
      </c>
      <c r="Q57">
        <f t="shared" ref="Q57" si="261">F57*P57</f>
        <v>-68759.567425641028</v>
      </c>
      <c r="R57">
        <f t="shared" ref="R57" si="262">R58+Q57</f>
        <v>-7005857.1629515914</v>
      </c>
      <c r="S57">
        <f t="shared" ref="S57" si="263">R57/100000</f>
        <v>-70.05857162951591</v>
      </c>
      <c r="T57">
        <f t="shared" ref="T57" si="264">S57/1000</f>
        <v>-7.0058571629515912E-2</v>
      </c>
    </row>
    <row r="58" spans="1:20" x14ac:dyDescent="0.25">
      <c r="A58" s="5">
        <v>44535</v>
      </c>
      <c r="B58">
        <v>37.72</v>
      </c>
      <c r="C58">
        <v>38.5</v>
      </c>
      <c r="D58">
        <v>35.369999999999997</v>
      </c>
      <c r="E58">
        <v>36.42</v>
      </c>
      <c r="F58">
        <v>15918.21</v>
      </c>
      <c r="G58">
        <v>36.42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-0.32907348242811285</v>
      </c>
      <c r="Q58">
        <f t="shared" ref="Q58" si="266">F58*P58</f>
        <v>-5238.2607987220099</v>
      </c>
      <c r="R58">
        <f t="shared" ref="R58" si="267">R59+Q58</f>
        <v>-6937097.5955259502</v>
      </c>
      <c r="S58">
        <f t="shared" ref="S58" si="268">R58/100000</f>
        <v>-69.370975955259496</v>
      </c>
      <c r="T58">
        <f t="shared" ref="T58" si="269">S58/1000</f>
        <v>-6.9370975955259498E-2</v>
      </c>
    </row>
    <row r="59" spans="1:20" x14ac:dyDescent="0.25">
      <c r="A59" s="5">
        <v>44534</v>
      </c>
      <c r="B59">
        <v>40.299999999999997</v>
      </c>
      <c r="C59">
        <v>42.09</v>
      </c>
      <c r="D59">
        <v>34.24</v>
      </c>
      <c r="E59">
        <v>37.64</v>
      </c>
      <c r="F59">
        <v>49172.487000000001</v>
      </c>
      <c r="G59">
        <v>37.64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-0.13375796178344002</v>
      </c>
      <c r="Q59">
        <f t="shared" ref="Q59" si="271">F59*P59</f>
        <v>-6577.2116369427013</v>
      </c>
      <c r="R59">
        <f t="shared" ref="R59" si="272">R60+Q59</f>
        <v>-6931859.3347272286</v>
      </c>
      <c r="S59">
        <f t="shared" ref="S59" si="273">R59/100000</f>
        <v>-69.318593347272284</v>
      </c>
      <c r="T59">
        <f t="shared" ref="T59" si="274">S59/1000</f>
        <v>-6.9318593347272278E-2</v>
      </c>
    </row>
    <row r="60" spans="1:20" x14ac:dyDescent="0.25">
      <c r="A60" s="5">
        <v>44533</v>
      </c>
      <c r="B60">
        <v>40.33</v>
      </c>
      <c r="C60">
        <v>46.52</v>
      </c>
      <c r="D60">
        <v>40.1</v>
      </c>
      <c r="E60">
        <v>40.11</v>
      </c>
      <c r="F60">
        <v>73796.78</v>
      </c>
      <c r="G60">
        <v>40.11</v>
      </c>
      <c r="L60" t="s">
        <v>8</v>
      </c>
      <c r="M60" t="s">
        <v>8</v>
      </c>
      <c r="N60" t="s">
        <v>7</v>
      </c>
      <c r="P60">
        <f t="shared" ref="P60" si="275">IF(C60=D60,0,((E60-D60)-(C60-E60))/(C60-D60))</f>
        <v>-0.99688473520249288</v>
      </c>
      <c r="Q60">
        <f t="shared" ref="Q60" si="276">F60*P60</f>
        <v>-73566.883489096625</v>
      </c>
      <c r="R60">
        <f t="shared" ref="R60" si="277">R61+Q60</f>
        <v>-6925282.1230902858</v>
      </c>
      <c r="S60">
        <f t="shared" ref="S60" si="278">R60/100000</f>
        <v>-69.252821230902853</v>
      </c>
      <c r="T60">
        <f t="shared" ref="T60" si="279">S60/1000</f>
        <v>-6.9252821230902858E-2</v>
      </c>
    </row>
    <row r="61" spans="1:20" x14ac:dyDescent="0.25">
      <c r="A61" s="5">
        <v>44532</v>
      </c>
      <c r="B61">
        <v>39.54</v>
      </c>
      <c r="C61">
        <v>41.16</v>
      </c>
      <c r="D61">
        <v>38.4</v>
      </c>
      <c r="E61">
        <v>40.33</v>
      </c>
      <c r="F61">
        <v>63445.64</v>
      </c>
      <c r="G61">
        <v>40.33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0.39855072463768199</v>
      </c>
      <c r="Q61">
        <f t="shared" ref="Q61" si="281">F61*P61</f>
        <v>25286.305797101501</v>
      </c>
      <c r="R61">
        <f t="shared" ref="R61" si="282">R62+Q61</f>
        <v>-6851715.2396011893</v>
      </c>
      <c r="S61">
        <f t="shared" ref="S61" si="283">R61/100000</f>
        <v>-68.517152396011895</v>
      </c>
      <c r="T61">
        <f t="shared" ref="T61" si="284">S61/1000</f>
        <v>-6.8517152396011888E-2</v>
      </c>
    </row>
    <row r="62" spans="1:20" x14ac:dyDescent="0.25">
      <c r="A62" s="5">
        <v>44531</v>
      </c>
      <c r="B62">
        <v>39.81</v>
      </c>
      <c r="C62">
        <v>42</v>
      </c>
      <c r="D62">
        <v>39.4</v>
      </c>
      <c r="E62">
        <v>39.590000000000003</v>
      </c>
      <c r="F62">
        <v>13688.08</v>
      </c>
      <c r="G62">
        <v>39.590000000000003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-0.85384615384615026</v>
      </c>
      <c r="Q62">
        <f t="shared" ref="Q62" si="286">F62*P62</f>
        <v>-11687.514461538412</v>
      </c>
      <c r="R62">
        <f t="shared" ref="R62" si="287">R63+Q62</f>
        <v>-6877001.5453982912</v>
      </c>
      <c r="S62">
        <f t="shared" ref="S62" si="288">R62/100000</f>
        <v>-68.770015453982907</v>
      </c>
      <c r="T62">
        <f t="shared" ref="T62" si="289">S62/1000</f>
        <v>-6.8770015453982911E-2</v>
      </c>
    </row>
    <row r="63" spans="1:20" x14ac:dyDescent="0.25">
      <c r="A63" s="5">
        <v>44530</v>
      </c>
      <c r="B63">
        <v>40.64</v>
      </c>
      <c r="C63">
        <v>41.17</v>
      </c>
      <c r="D63">
        <v>39.200000000000003</v>
      </c>
      <c r="E63">
        <v>39.880000000000003</v>
      </c>
      <c r="F63">
        <v>16260.14</v>
      </c>
      <c r="G63">
        <v>39.880000000000003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-0.30964467005076129</v>
      </c>
      <c r="Q63">
        <f t="shared" ref="Q63" si="291">F63*P63</f>
        <v>-5034.8656852791855</v>
      </c>
      <c r="R63">
        <f t="shared" ref="R63" si="292">R64+Q63</f>
        <v>-6865314.0309367524</v>
      </c>
      <c r="S63">
        <f t="shared" ref="S63" si="293">R63/100000</f>
        <v>-68.653140309367529</v>
      </c>
      <c r="T63">
        <f t="shared" ref="T63" si="294">S63/1000</f>
        <v>-6.8653140309367533E-2</v>
      </c>
    </row>
    <row r="64" spans="1:20" x14ac:dyDescent="0.25">
      <c r="A64" s="5">
        <v>44529</v>
      </c>
      <c r="B64">
        <v>39.92</v>
      </c>
      <c r="C64">
        <v>41.17</v>
      </c>
      <c r="D64">
        <v>39.17</v>
      </c>
      <c r="E64">
        <v>40.69</v>
      </c>
      <c r="F64">
        <v>13694.76</v>
      </c>
      <c r="G64">
        <v>40.69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0.51999999999999602</v>
      </c>
      <c r="Q64">
        <f t="shared" ref="Q64" si="296">F64*P64</f>
        <v>7121.2751999999455</v>
      </c>
      <c r="R64">
        <f t="shared" ref="R64" si="297">R65+Q64</f>
        <v>-6860279.165251473</v>
      </c>
      <c r="S64">
        <f t="shared" ref="S64" si="298">R64/100000</f>
        <v>-68.602791652514725</v>
      </c>
      <c r="T64">
        <f t="shared" ref="T64" si="299">S64/1000</f>
        <v>-6.8602791652514719E-2</v>
      </c>
    </row>
    <row r="65" spans="1:20" x14ac:dyDescent="0.25">
      <c r="A65" s="5">
        <v>44528</v>
      </c>
      <c r="B65">
        <v>39.299999999999997</v>
      </c>
      <c r="C65">
        <v>39.97</v>
      </c>
      <c r="D65">
        <v>37.909999999999997</v>
      </c>
      <c r="E65">
        <v>39.799999999999997</v>
      </c>
      <c r="F65">
        <v>19881.16</v>
      </c>
      <c r="G65">
        <v>39.799999999999997</v>
      </c>
      <c r="L65" t="s">
        <v>8</v>
      </c>
      <c r="M65" t="s">
        <v>7</v>
      </c>
      <c r="N65" t="s">
        <v>7</v>
      </c>
      <c r="P65">
        <f t="shared" ref="P65" si="300">IF(C65=D65,0,((E65-D65)-(C65-E65))/(C65-D65))</f>
        <v>0.83495145631067813</v>
      </c>
      <c r="Q65">
        <f t="shared" ref="Q65" si="301">F65*P65</f>
        <v>16599.803495145603</v>
      </c>
      <c r="R65">
        <f t="shared" ref="R65" si="302">R66+Q65</f>
        <v>-6867400.440451473</v>
      </c>
      <c r="S65">
        <f t="shared" ref="S65" si="303">R65/100000</f>
        <v>-68.674004404514733</v>
      </c>
      <c r="T65">
        <f t="shared" ref="T65" si="304">S65/1000</f>
        <v>-6.8674004404514738E-2</v>
      </c>
    </row>
    <row r="66" spans="1:20" x14ac:dyDescent="0.25">
      <c r="A66" s="5">
        <v>44527</v>
      </c>
      <c r="B66">
        <v>37.72</v>
      </c>
      <c r="C66">
        <v>40.5</v>
      </c>
      <c r="D66">
        <v>37.630000000000003</v>
      </c>
      <c r="E66">
        <v>39.24</v>
      </c>
      <c r="F66">
        <v>9742.1</v>
      </c>
      <c r="G66">
        <v>39.24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0.12195121951219573</v>
      </c>
      <c r="Q66">
        <f t="shared" ref="Q66" si="306">F66*P66</f>
        <v>1188.060975609762</v>
      </c>
      <c r="R66">
        <f t="shared" ref="R66" si="307">R67+Q66</f>
        <v>-6884000.2439466184</v>
      </c>
      <c r="S66">
        <f t="shared" ref="S66" si="308">R66/100000</f>
        <v>-68.84000243946619</v>
      </c>
      <c r="T66">
        <f t="shared" ref="T66" si="309">S66/1000</f>
        <v>-6.8840002439466183E-2</v>
      </c>
    </row>
    <row r="67" spans="1:20" x14ac:dyDescent="0.25">
      <c r="A67" s="5">
        <v>44526</v>
      </c>
      <c r="B67">
        <v>41.27</v>
      </c>
      <c r="C67">
        <v>41.31</v>
      </c>
      <c r="D67">
        <v>37.01</v>
      </c>
      <c r="E67">
        <v>37.82</v>
      </c>
      <c r="F67">
        <v>19915.650000000001</v>
      </c>
      <c r="G67">
        <v>37.82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-0.62325581395348773</v>
      </c>
      <c r="Q67">
        <f t="shared" ref="Q67" si="311">F67*P67</f>
        <v>-12412.544651162778</v>
      </c>
      <c r="R67">
        <f t="shared" ref="R67" si="312">R68+Q67</f>
        <v>-6885188.3049222277</v>
      </c>
      <c r="S67">
        <f t="shared" ref="S67" si="313">R67/100000</f>
        <v>-68.85188304922228</v>
      </c>
      <c r="T67">
        <f t="shared" ref="T67" si="314">S67/1000</f>
        <v>-6.8851883049222282E-2</v>
      </c>
    </row>
    <row r="68" spans="1:20" x14ac:dyDescent="0.25">
      <c r="A68" s="5">
        <v>44525</v>
      </c>
      <c r="B68">
        <v>39.979999999999997</v>
      </c>
      <c r="C68">
        <v>41.74</v>
      </c>
      <c r="D68">
        <v>39.36</v>
      </c>
      <c r="E68">
        <v>41.23</v>
      </c>
      <c r="F68">
        <v>13649.65</v>
      </c>
      <c r="G68">
        <v>41.23</v>
      </c>
      <c r="L68" t="s">
        <v>8</v>
      </c>
      <c r="M68" t="s">
        <v>7</v>
      </c>
      <c r="N68" t="s">
        <v>7</v>
      </c>
      <c r="P68">
        <f t="shared" ref="P68" si="315">IF(C68=D68,0,((E68-D68)-(C68-E68))/(C68-D68))</f>
        <v>0.57142857142856762</v>
      </c>
      <c r="Q68">
        <f t="shared" ref="Q68" si="316">F68*P68</f>
        <v>7799.7999999999474</v>
      </c>
      <c r="R68">
        <f t="shared" ref="R68" si="317">R69+Q68</f>
        <v>-6872775.7602710649</v>
      </c>
      <c r="S68">
        <f t="shared" ref="S68" si="318">R68/100000</f>
        <v>-68.727757602710653</v>
      </c>
      <c r="T68">
        <f t="shared" ref="T68" si="319">S68/1000</f>
        <v>-6.872775760271066E-2</v>
      </c>
    </row>
    <row r="69" spans="1:20" x14ac:dyDescent="0.25">
      <c r="A69" s="5">
        <v>44524</v>
      </c>
      <c r="B69">
        <v>39.81</v>
      </c>
      <c r="C69">
        <v>40.880000000000003</v>
      </c>
      <c r="D69">
        <v>39.47</v>
      </c>
      <c r="E69">
        <v>40.74</v>
      </c>
      <c r="F69">
        <v>2980.06</v>
      </c>
      <c r="G69">
        <v>40.74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0.80141843971631177</v>
      </c>
      <c r="Q69">
        <f t="shared" ref="Q69" si="321">F69*P69</f>
        <v>2388.2750354609921</v>
      </c>
      <c r="R69">
        <f t="shared" ref="R69" si="322">R70+Q69</f>
        <v>-6880575.5602710648</v>
      </c>
      <c r="S69">
        <f t="shared" ref="S69" si="323">R69/100000</f>
        <v>-68.805755602710647</v>
      </c>
      <c r="T69">
        <f t="shared" ref="T69" si="324">S69/1000</f>
        <v>-6.8805755602710642E-2</v>
      </c>
    </row>
    <row r="70" spans="1:20" x14ac:dyDescent="0.25">
      <c r="A70" s="5">
        <v>44523</v>
      </c>
      <c r="B70">
        <v>39.590000000000003</v>
      </c>
      <c r="C70">
        <v>40.24</v>
      </c>
      <c r="D70">
        <v>38.630000000000003</v>
      </c>
      <c r="E70">
        <v>39.79</v>
      </c>
      <c r="F70">
        <v>11435.74</v>
      </c>
      <c r="G70">
        <v>39.79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0.44099378881987206</v>
      </c>
      <c r="Q70">
        <f t="shared" ref="Q70" si="326">F70*P70</f>
        <v>5043.0903105589632</v>
      </c>
      <c r="R70">
        <f t="shared" ref="R70" si="327">R71+Q70</f>
        <v>-6882963.8353065262</v>
      </c>
      <c r="S70">
        <f t="shared" ref="S70" si="328">R70/100000</f>
        <v>-68.829638353065263</v>
      </c>
      <c r="T70">
        <f t="shared" ref="T70" si="329">S70/1000</f>
        <v>-6.882963835306527E-2</v>
      </c>
    </row>
    <row r="71" spans="1:20" x14ac:dyDescent="0.25">
      <c r="A71" s="5">
        <v>44522</v>
      </c>
      <c r="B71">
        <v>41.18</v>
      </c>
      <c r="C71">
        <v>43.7</v>
      </c>
      <c r="D71">
        <v>38.97</v>
      </c>
      <c r="E71">
        <v>39.49</v>
      </c>
      <c r="F71">
        <v>40952.300000000003</v>
      </c>
      <c r="G71">
        <v>39.49</v>
      </c>
      <c r="L71" t="s">
        <v>8</v>
      </c>
      <c r="M71" t="s">
        <v>7</v>
      </c>
      <c r="N71" t="s">
        <v>7</v>
      </c>
      <c r="P71">
        <f t="shared" ref="P71" si="330">IF(C71=D71,0,((E71-D71)-(C71-E71))/(C71-D71))</f>
        <v>-0.7801268498942906</v>
      </c>
      <c r="Q71">
        <f t="shared" ref="Q71" si="331">F71*P71</f>
        <v>-31947.988794925957</v>
      </c>
      <c r="R71">
        <f t="shared" ref="R71" si="332">R72+Q71</f>
        <v>-6888006.9256170848</v>
      </c>
      <c r="S71">
        <f t="shared" ref="S71" si="333">R71/100000</f>
        <v>-68.880069256170842</v>
      </c>
      <c r="T71">
        <f t="shared" ref="T71" si="334">S71/1000</f>
        <v>-6.8880069256170837E-2</v>
      </c>
    </row>
    <row r="72" spans="1:20" x14ac:dyDescent="0.25">
      <c r="A72" s="5">
        <v>44521</v>
      </c>
      <c r="B72">
        <v>40.58</v>
      </c>
      <c r="C72">
        <v>42.47</v>
      </c>
      <c r="D72">
        <v>40.01</v>
      </c>
      <c r="E72">
        <v>41.17</v>
      </c>
      <c r="F72">
        <v>16527.27</v>
      </c>
      <c r="G72">
        <v>41.17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-5.6910569105688383E-2</v>
      </c>
      <c r="Q72">
        <f t="shared" ref="Q72" si="336">F72*P72</f>
        <v>-940.57634146337045</v>
      </c>
      <c r="R72">
        <f t="shared" ref="R72" si="337">R73+Q72</f>
        <v>-6856058.9368221592</v>
      </c>
      <c r="S72">
        <f t="shared" ref="S72" si="338">R72/100000</f>
        <v>-68.560589368221599</v>
      </c>
      <c r="T72">
        <f t="shared" ref="T72" si="339">S72/1000</f>
        <v>-6.8560589368221597E-2</v>
      </c>
    </row>
    <row r="73" spans="1:20" x14ac:dyDescent="0.25">
      <c r="A73" s="5">
        <v>44520</v>
      </c>
      <c r="B73">
        <v>39.520000000000003</v>
      </c>
      <c r="C73">
        <v>41</v>
      </c>
      <c r="D73">
        <v>39.090000000000003</v>
      </c>
      <c r="E73">
        <v>40.71</v>
      </c>
      <c r="F73">
        <v>7123.52</v>
      </c>
      <c r="G73">
        <v>40.71</v>
      </c>
      <c r="L73" t="s">
        <v>7</v>
      </c>
      <c r="M73" t="s">
        <v>7</v>
      </c>
      <c r="N73" t="s">
        <v>7</v>
      </c>
      <c r="P73">
        <f t="shared" ref="P73" si="340">IF(C73=D73,0,((E73-D73)-(C73-E73))/(C73-D73))</f>
        <v>0.69633507853403176</v>
      </c>
      <c r="Q73">
        <f t="shared" ref="Q73" si="341">F73*P73</f>
        <v>4960.3568586387464</v>
      </c>
      <c r="R73">
        <f t="shared" ref="R73" si="342">R74+Q73</f>
        <v>-6855118.360480696</v>
      </c>
      <c r="S73">
        <f t="shared" ref="S73" si="343">R73/100000</f>
        <v>-68.551183604806965</v>
      </c>
      <c r="T73">
        <f t="shared" ref="T73" si="344">S73/1000</f>
        <v>-6.855118360480697E-2</v>
      </c>
    </row>
    <row r="74" spans="1:20" x14ac:dyDescent="0.25">
      <c r="A74" s="5">
        <v>44519</v>
      </c>
      <c r="B74">
        <v>38.4</v>
      </c>
      <c r="C74">
        <v>40.380000000000003</v>
      </c>
      <c r="D74">
        <v>38.26</v>
      </c>
      <c r="E74">
        <v>39.479999999999997</v>
      </c>
      <c r="F74">
        <v>16094.89</v>
      </c>
      <c r="G74">
        <v>39.479999999999997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0.15094339622641156</v>
      </c>
      <c r="Q74">
        <f t="shared" ref="Q74" si="346">F74*P74</f>
        <v>2429.4173584905093</v>
      </c>
      <c r="R74">
        <f t="shared" ref="R74" si="347">R75+Q74</f>
        <v>-6860078.717339335</v>
      </c>
      <c r="S74">
        <f t="shared" ref="S74" si="348">R74/100000</f>
        <v>-68.600787173393357</v>
      </c>
      <c r="T74">
        <f t="shared" ref="T74" si="349">S74/1000</f>
        <v>-6.8600787173393352E-2</v>
      </c>
    </row>
    <row r="75" spans="1:20" x14ac:dyDescent="0.25">
      <c r="A75" s="5">
        <v>44518</v>
      </c>
      <c r="B75">
        <v>40.450000000000003</v>
      </c>
      <c r="C75">
        <v>40.82</v>
      </c>
      <c r="D75">
        <v>38.33</v>
      </c>
      <c r="E75">
        <v>38.47</v>
      </c>
      <c r="F75">
        <v>12852.54</v>
      </c>
      <c r="G75">
        <v>38.47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-0.88755020080321245</v>
      </c>
      <c r="Q75">
        <f t="shared" ref="Q75" si="351">F75*P75</f>
        <v>-11407.274457831321</v>
      </c>
      <c r="R75">
        <f t="shared" ref="R75" si="352">R76+Q75</f>
        <v>-6862508.1346978256</v>
      </c>
      <c r="S75">
        <f t="shared" ref="S75" si="353">R75/100000</f>
        <v>-68.625081346978263</v>
      </c>
      <c r="T75">
        <f t="shared" ref="T75" si="354">S75/1000</f>
        <v>-6.8625081346978256E-2</v>
      </c>
    </row>
    <row r="76" spans="1:20" x14ac:dyDescent="0.25">
      <c r="A76" s="5">
        <v>44517</v>
      </c>
      <c r="B76">
        <v>40.69</v>
      </c>
      <c r="C76">
        <v>40.98</v>
      </c>
      <c r="D76">
        <v>39.06</v>
      </c>
      <c r="E76">
        <v>40.520000000000003</v>
      </c>
      <c r="F76">
        <v>22945.51</v>
      </c>
      <c r="G76">
        <v>40.520000000000003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0.52083333333333848</v>
      </c>
      <c r="Q76">
        <f t="shared" ref="Q76" si="356">F76*P76</f>
        <v>11950.78645833345</v>
      </c>
      <c r="R76">
        <f t="shared" ref="R76" si="357">R77+Q76</f>
        <v>-6851100.8602399947</v>
      </c>
      <c r="S76">
        <f t="shared" ref="S76" si="358">R76/100000</f>
        <v>-68.51100860239994</v>
      </c>
      <c r="T76">
        <f t="shared" ref="T76" si="359">S76/1000</f>
        <v>-6.8511008602399934E-2</v>
      </c>
    </row>
    <row r="77" spans="1:20" x14ac:dyDescent="0.25">
      <c r="A77" s="5">
        <v>44516</v>
      </c>
      <c r="B77">
        <v>43.94</v>
      </c>
      <c r="C77">
        <v>43.94</v>
      </c>
      <c r="D77">
        <v>40.46</v>
      </c>
      <c r="E77">
        <v>40.75</v>
      </c>
      <c r="F77">
        <v>19497.11</v>
      </c>
      <c r="G77">
        <v>40.75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-0.8333333333333337</v>
      </c>
      <c r="Q77">
        <f t="shared" ref="Q77" si="361">F77*P77</f>
        <v>-16247.591666666674</v>
      </c>
      <c r="R77">
        <f t="shared" ref="R77" si="362">R78+Q77</f>
        <v>-6863051.6466983277</v>
      </c>
      <c r="S77">
        <f t="shared" ref="S77" si="363">R77/100000</f>
        <v>-68.630516466983281</v>
      </c>
      <c r="T77">
        <f t="shared" ref="T77" si="364">S77/1000</f>
        <v>-6.8630516466983274E-2</v>
      </c>
    </row>
    <row r="78" spans="1:20" x14ac:dyDescent="0.25">
      <c r="A78" s="5">
        <v>44515</v>
      </c>
      <c r="B78">
        <v>43.75</v>
      </c>
      <c r="C78">
        <v>44.97</v>
      </c>
      <c r="D78">
        <v>43.45</v>
      </c>
      <c r="E78">
        <v>43.94</v>
      </c>
      <c r="F78">
        <v>15714.65</v>
      </c>
      <c r="G78">
        <v>43.94</v>
      </c>
      <c r="L78" t="s">
        <v>7</v>
      </c>
      <c r="M78" t="s">
        <v>8</v>
      </c>
      <c r="N78" t="s">
        <v>7</v>
      </c>
      <c r="P78">
        <f t="shared" ref="P78" si="365">IF(C78=D78,0,((E78-D78)-(C78-E78))/(C78-D78))</f>
        <v>-0.35526315789474189</v>
      </c>
      <c r="Q78">
        <f t="shared" ref="Q78" si="366">F78*P78</f>
        <v>-5582.8361842106051</v>
      </c>
      <c r="R78">
        <f t="shared" ref="R78" si="367">R79+Q78</f>
        <v>-6846804.0550316609</v>
      </c>
      <c r="S78">
        <f t="shared" ref="S78" si="368">R78/100000</f>
        <v>-68.468040550316616</v>
      </c>
      <c r="T78">
        <f t="shared" ref="T78" si="369">S78/1000</f>
        <v>-6.846804055031662E-2</v>
      </c>
    </row>
    <row r="79" spans="1:20" x14ac:dyDescent="0.25">
      <c r="A79" s="5">
        <v>44514</v>
      </c>
      <c r="B79">
        <v>43.23</v>
      </c>
      <c r="C79">
        <v>44.86</v>
      </c>
      <c r="D79">
        <v>42.99</v>
      </c>
      <c r="E79">
        <v>43.75</v>
      </c>
      <c r="F79">
        <v>12279.58</v>
      </c>
      <c r="G79">
        <v>43.75</v>
      </c>
      <c r="L79" t="s">
        <v>7</v>
      </c>
      <c r="M79" t="s">
        <v>8</v>
      </c>
      <c r="N79" t="s">
        <v>7</v>
      </c>
      <c r="P79">
        <f t="shared" ref="P79" si="370">IF(C79=D79,0,((E79-D79)-(C79-E79))/(C79-D79))</f>
        <v>-0.18716577540107054</v>
      </c>
      <c r="Q79">
        <f t="shared" ref="Q79" si="371">F79*P79</f>
        <v>-2298.3171122994777</v>
      </c>
      <c r="R79">
        <f t="shared" ref="R79" si="372">R80+Q79</f>
        <v>-6841221.2188474508</v>
      </c>
      <c r="S79">
        <f t="shared" ref="S79" si="373">R79/100000</f>
        <v>-68.412212188474513</v>
      </c>
      <c r="T79">
        <f t="shared" ref="T79" si="374">S79/1000</f>
        <v>-6.8412212188474514E-2</v>
      </c>
    </row>
    <row r="80" spans="1:20" x14ac:dyDescent="0.25">
      <c r="A80" s="5">
        <v>44513</v>
      </c>
      <c r="B80">
        <v>43.46</v>
      </c>
      <c r="C80">
        <v>43.83</v>
      </c>
      <c r="D80">
        <v>42.73</v>
      </c>
      <c r="E80">
        <v>43.31</v>
      </c>
      <c r="F80">
        <v>6066.29</v>
      </c>
      <c r="G80">
        <v>43.31</v>
      </c>
      <c r="L80" t="s">
        <v>7</v>
      </c>
      <c r="M80" t="s">
        <v>8</v>
      </c>
      <c r="N80" t="s">
        <v>7</v>
      </c>
      <c r="P80">
        <f t="shared" ref="P80" si="375">IF(C80=D80,0,((E80-D80)-(C80-E80))/(C80-D80))</f>
        <v>5.4545454545463001E-2</v>
      </c>
      <c r="Q80">
        <f t="shared" ref="Q80" si="376">F80*P80</f>
        <v>330.88854545459674</v>
      </c>
      <c r="R80">
        <f t="shared" ref="R80" si="377">R81+Q80</f>
        <v>-6838922.9017351512</v>
      </c>
      <c r="S80">
        <f t="shared" ref="S80" si="378">R80/100000</f>
        <v>-68.389229017351511</v>
      </c>
      <c r="T80">
        <f t="shared" ref="T80" si="379">S80/1000</f>
        <v>-6.8389229017351505E-2</v>
      </c>
    </row>
    <row r="81" spans="1:20" x14ac:dyDescent="0.25">
      <c r="A81" s="5">
        <v>44512</v>
      </c>
      <c r="B81">
        <v>44.1</v>
      </c>
      <c r="C81">
        <v>44.52</v>
      </c>
      <c r="D81">
        <v>42.33</v>
      </c>
      <c r="E81">
        <v>43.4</v>
      </c>
      <c r="F81">
        <v>12247.65</v>
      </c>
      <c r="G81">
        <v>43.4</v>
      </c>
      <c r="L81" t="s">
        <v>7</v>
      </c>
      <c r="M81" t="s">
        <v>8</v>
      </c>
      <c r="N81" t="s">
        <v>7</v>
      </c>
      <c r="P81">
        <f t="shared" ref="P81" si="380">IF(C81=D81,0,((E81-D81)-(C81-E81))/(C81-D81))</f>
        <v>-2.2831050228312399E-2</v>
      </c>
      <c r="Q81">
        <f t="shared" ref="Q81" si="381">F81*P81</f>
        <v>-279.62671232879035</v>
      </c>
      <c r="R81">
        <f t="shared" ref="R81" si="382">R82+Q81</f>
        <v>-6839253.7902806057</v>
      </c>
      <c r="S81">
        <f t="shared" ref="S81" si="383">R81/100000</f>
        <v>-68.392537902806055</v>
      </c>
      <c r="T81">
        <f t="shared" ref="T81" si="384">S81/1000</f>
        <v>-6.8392537902806055E-2</v>
      </c>
    </row>
    <row r="82" spans="1:20" x14ac:dyDescent="0.25">
      <c r="A82" s="5">
        <v>44511</v>
      </c>
      <c r="B82">
        <v>43.18</v>
      </c>
      <c r="C82">
        <v>45.08</v>
      </c>
      <c r="D82">
        <v>42.68</v>
      </c>
      <c r="E82">
        <v>44.13</v>
      </c>
      <c r="F82">
        <v>14701.4</v>
      </c>
      <c r="G82">
        <v>44.13</v>
      </c>
      <c r="L82" t="s">
        <v>7</v>
      </c>
      <c r="M82" t="s">
        <v>8</v>
      </c>
      <c r="N82" t="s">
        <v>7</v>
      </c>
      <c r="P82">
        <f t="shared" ref="P82" si="385">IF(C82=D82,0,((E82-D82)-(C82-E82))/(C82-D82))</f>
        <v>0.20833333333333642</v>
      </c>
      <c r="Q82">
        <f t="shared" ref="Q82" si="386">F82*P82</f>
        <v>3062.791666666712</v>
      </c>
      <c r="R82">
        <f t="shared" ref="R82" si="387">R83+Q82</f>
        <v>-6838974.1635682769</v>
      </c>
      <c r="S82">
        <f t="shared" ref="S82" si="388">R82/100000</f>
        <v>-68.389741635682768</v>
      </c>
      <c r="T82">
        <f t="shared" ref="T82" si="389">S82/1000</f>
        <v>-6.8389741635682774E-2</v>
      </c>
    </row>
    <row r="83" spans="1:20" x14ac:dyDescent="0.25">
      <c r="A83" s="5">
        <v>44510</v>
      </c>
      <c r="B83">
        <v>45.33</v>
      </c>
      <c r="C83">
        <v>46.19</v>
      </c>
      <c r="D83">
        <v>42.35</v>
      </c>
      <c r="E83">
        <v>43.19</v>
      </c>
      <c r="F83">
        <v>22198.959999999999</v>
      </c>
      <c r="G83">
        <v>43.19</v>
      </c>
      <c r="L83" t="s">
        <v>7</v>
      </c>
      <c r="M83" t="s">
        <v>8</v>
      </c>
      <c r="N83" t="s">
        <v>7</v>
      </c>
      <c r="P83">
        <f t="shared" ref="P83" si="390">IF(C83=D83,0,((E83-D83)-(C83-E83))/(C83-D83))</f>
        <v>-0.56250000000000155</v>
      </c>
      <c r="Q83">
        <f t="shared" ref="Q83" si="391">F83*P83</f>
        <v>-12486.915000000034</v>
      </c>
      <c r="R83">
        <f t="shared" ref="R83" si="392">R84+Q83</f>
        <v>-6842036.9552349439</v>
      </c>
      <c r="S83">
        <f t="shared" ref="S83" si="393">R83/100000</f>
        <v>-68.420369552349442</v>
      </c>
      <c r="T83">
        <f t="shared" ref="T83" si="394">S83/1000</f>
        <v>-6.8420369552349439E-2</v>
      </c>
    </row>
    <row r="84" spans="1:20" x14ac:dyDescent="0.25">
      <c r="A84" s="5">
        <v>44509</v>
      </c>
      <c r="B84">
        <v>45.94</v>
      </c>
      <c r="C84">
        <v>47.24</v>
      </c>
      <c r="D84">
        <v>44.9</v>
      </c>
      <c r="E84">
        <v>45.33</v>
      </c>
      <c r="F84">
        <v>31621.14</v>
      </c>
      <c r="G84">
        <v>45.33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-0.63247863247863323</v>
      </c>
      <c r="Q84">
        <f t="shared" ref="Q84" si="396">F84*P84</f>
        <v>-19999.695384615407</v>
      </c>
      <c r="R84">
        <f t="shared" ref="R84" si="397">R85+Q84</f>
        <v>-6829550.0402349439</v>
      </c>
      <c r="S84">
        <f t="shared" ref="S84" si="398">R84/100000</f>
        <v>-68.295500402349433</v>
      </c>
      <c r="T84">
        <f t="shared" ref="T84" si="399">S84/1000</f>
        <v>-6.8295500402349427E-2</v>
      </c>
    </row>
    <row r="85" spans="1:20" x14ac:dyDescent="0.25">
      <c r="A85" s="5">
        <v>44508</v>
      </c>
      <c r="B85">
        <v>44.83</v>
      </c>
      <c r="C85">
        <v>46.29</v>
      </c>
      <c r="D85">
        <v>44.66</v>
      </c>
      <c r="E85">
        <v>45.94</v>
      </c>
      <c r="F85">
        <v>26870.68</v>
      </c>
      <c r="G85">
        <v>45.94</v>
      </c>
      <c r="L85" t="s">
        <v>7</v>
      </c>
      <c r="M85" t="s">
        <v>8</v>
      </c>
      <c r="N85" t="s">
        <v>7</v>
      </c>
      <c r="P85">
        <f t="shared" ref="P85" si="400">IF(C85=D85,0,((E85-D85)-(C85-E85))/(C85-D85))</f>
        <v>0.57055214723926273</v>
      </c>
      <c r="Q85">
        <f t="shared" ref="Q85" si="401">F85*P85</f>
        <v>15331.124171779113</v>
      </c>
      <c r="R85">
        <f t="shared" ref="R85" si="402">R86+Q85</f>
        <v>-6809550.3448503288</v>
      </c>
      <c r="S85">
        <f t="shared" ref="S85" si="403">R85/100000</f>
        <v>-68.095503448503294</v>
      </c>
      <c r="T85">
        <f t="shared" ref="T85" si="404">S85/1000</f>
        <v>-6.8095503448503292E-2</v>
      </c>
    </row>
    <row r="86" spans="1:20" x14ac:dyDescent="0.25">
      <c r="A86" s="5">
        <v>44507</v>
      </c>
      <c r="B86">
        <v>45.47</v>
      </c>
      <c r="C86">
        <v>45.88</v>
      </c>
      <c r="D86">
        <v>44.48</v>
      </c>
      <c r="E86">
        <v>44.83</v>
      </c>
      <c r="F86">
        <v>10555.35</v>
      </c>
      <c r="G86">
        <v>44.83</v>
      </c>
      <c r="L86" t="s">
        <v>7</v>
      </c>
      <c r="M86" t="s">
        <v>8</v>
      </c>
      <c r="N86" t="s">
        <v>7</v>
      </c>
      <c r="P86">
        <f t="shared" ref="P86" si="405">IF(C86=D86,0,((E86-D86)-(C86-E86))/(C86-D86))</f>
        <v>-0.5</v>
      </c>
      <c r="Q86">
        <f t="shared" ref="Q86" si="406">F86*P86</f>
        <v>-5277.6750000000002</v>
      </c>
      <c r="R86">
        <f t="shared" ref="R86" si="407">R87+Q86</f>
        <v>-6824881.4690221082</v>
      </c>
      <c r="S86">
        <f t="shared" ref="S86" si="408">R86/100000</f>
        <v>-68.248814690221081</v>
      </c>
      <c r="T86">
        <f t="shared" ref="T86" si="409">S86/1000</f>
        <v>-6.824881469022108E-2</v>
      </c>
    </row>
    <row r="87" spans="1:20" x14ac:dyDescent="0.25">
      <c r="A87" s="5">
        <v>44506</v>
      </c>
      <c r="B87">
        <v>44.45</v>
      </c>
      <c r="C87">
        <v>46.39</v>
      </c>
      <c r="D87">
        <v>44.45</v>
      </c>
      <c r="E87">
        <v>45.44</v>
      </c>
      <c r="F87">
        <v>22616.41</v>
      </c>
      <c r="G87">
        <v>45.44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2.0618556701026851E-2</v>
      </c>
      <c r="Q87">
        <f t="shared" ref="Q87" si="411">F87*P87</f>
        <v>466.31773195867066</v>
      </c>
      <c r="R87">
        <f t="shared" ref="R87" si="412">R88+Q87</f>
        <v>-6819603.7940221084</v>
      </c>
      <c r="S87">
        <f t="shared" ref="S87" si="413">R87/100000</f>
        <v>-68.196037940221089</v>
      </c>
      <c r="T87">
        <f t="shared" ref="T87" si="414">S87/1000</f>
        <v>-6.8196037940221083E-2</v>
      </c>
    </row>
    <row r="88" spans="1:20" x14ac:dyDescent="0.25">
      <c r="A88" s="5">
        <v>44505</v>
      </c>
      <c r="B88">
        <v>44.17</v>
      </c>
      <c r="C88">
        <v>45.03</v>
      </c>
      <c r="D88">
        <v>43.77</v>
      </c>
      <c r="E88">
        <v>44.38</v>
      </c>
      <c r="F88">
        <v>9796.76</v>
      </c>
      <c r="G88">
        <v>44.38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-3.174603174603112E-2</v>
      </c>
      <c r="Q88">
        <f t="shared" ref="Q88" si="416">F88*P88</f>
        <v>-311.00825396824786</v>
      </c>
      <c r="R88">
        <f t="shared" ref="R88" si="417">R89+Q88</f>
        <v>-6820070.1117540672</v>
      </c>
      <c r="S88">
        <f t="shared" ref="S88" si="418">R88/100000</f>
        <v>-68.200701117540675</v>
      </c>
      <c r="T88">
        <f t="shared" ref="T88" si="419">S88/1000</f>
        <v>-6.8200701117540674E-2</v>
      </c>
    </row>
    <row r="89" spans="1:20" x14ac:dyDescent="0.25">
      <c r="A89" s="5">
        <v>44504</v>
      </c>
      <c r="B89">
        <v>45.3</v>
      </c>
      <c r="C89">
        <v>45.45</v>
      </c>
      <c r="D89">
        <v>43.44</v>
      </c>
      <c r="E89">
        <v>44.17</v>
      </c>
      <c r="F89">
        <v>16513.490000000002</v>
      </c>
      <c r="G89">
        <v>44.17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-0.27363184079601777</v>
      </c>
      <c r="Q89">
        <f t="shared" ref="Q89" si="421">F89*P89</f>
        <v>-4518.6166666666322</v>
      </c>
      <c r="R89">
        <f t="shared" ref="R89" si="422">R90+Q89</f>
        <v>-6819759.1035000989</v>
      </c>
      <c r="S89">
        <f t="shared" ref="S89" si="423">R89/100000</f>
        <v>-68.197591035000983</v>
      </c>
      <c r="T89">
        <f t="shared" ref="T89" si="424">S89/1000</f>
        <v>-6.8197591035000976E-2</v>
      </c>
    </row>
    <row r="90" spans="1:20" x14ac:dyDescent="0.25">
      <c r="A90" s="5">
        <v>44503</v>
      </c>
      <c r="B90">
        <v>44.47</v>
      </c>
      <c r="C90">
        <v>45.93</v>
      </c>
      <c r="D90">
        <v>43.65</v>
      </c>
      <c r="E90">
        <v>45.27</v>
      </c>
      <c r="F90">
        <v>23051.89</v>
      </c>
      <c r="G90">
        <v>45.27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0.42105263157895068</v>
      </c>
      <c r="Q90">
        <f t="shared" ref="Q90" si="426">F90*P90</f>
        <v>9706.0589473684977</v>
      </c>
      <c r="R90">
        <f t="shared" ref="R90" si="427">R91+Q90</f>
        <v>-6815240.4868334327</v>
      </c>
      <c r="S90">
        <f t="shared" ref="S90" si="428">R90/100000</f>
        <v>-68.15240486833433</v>
      </c>
      <c r="T90">
        <f t="shared" ref="T90" si="429">S90/1000</f>
        <v>-6.8152404868334335E-2</v>
      </c>
    </row>
    <row r="91" spans="1:20" x14ac:dyDescent="0.25">
      <c r="A91" s="5">
        <v>44502</v>
      </c>
      <c r="B91">
        <v>43.81</v>
      </c>
      <c r="C91">
        <v>49.19</v>
      </c>
      <c r="D91">
        <v>43.46</v>
      </c>
      <c r="E91">
        <v>44.4</v>
      </c>
      <c r="F91">
        <v>33243.230000000003</v>
      </c>
      <c r="G91">
        <v>44.4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-0.67190226876090808</v>
      </c>
      <c r="Q91">
        <f t="shared" ref="Q91" si="431">F91*P91</f>
        <v>-22336.201657940685</v>
      </c>
      <c r="R91">
        <f t="shared" ref="R91" si="432">R92+Q91</f>
        <v>-6824946.5457808012</v>
      </c>
      <c r="S91">
        <f t="shared" ref="S91" si="433">R91/100000</f>
        <v>-68.249465457808014</v>
      </c>
      <c r="T91">
        <f t="shared" ref="T91" si="434">S91/1000</f>
        <v>-6.8249465457808009E-2</v>
      </c>
    </row>
    <row r="92" spans="1:20" x14ac:dyDescent="0.25">
      <c r="A92" s="5">
        <v>44501</v>
      </c>
      <c r="B92">
        <v>43.09</v>
      </c>
      <c r="C92">
        <v>43.98</v>
      </c>
      <c r="D92">
        <v>42.26</v>
      </c>
      <c r="E92">
        <v>43.79</v>
      </c>
      <c r="F92">
        <v>11136.73</v>
      </c>
      <c r="G92">
        <v>43.79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0.77906976744186296</v>
      </c>
      <c r="Q92">
        <f t="shared" ref="Q92" si="436">F92*P92</f>
        <v>8676.2896511628187</v>
      </c>
      <c r="R92">
        <f t="shared" ref="R92" si="437">R93+Q92</f>
        <v>-6802610.3441228606</v>
      </c>
      <c r="S92">
        <f t="shared" ref="S92" si="438">R92/100000</f>
        <v>-68.026103441228599</v>
      </c>
      <c r="T92">
        <f t="shared" ref="T92" si="439">S92/1000</f>
        <v>-6.80261034412286E-2</v>
      </c>
    </row>
    <row r="93" spans="1:20" x14ac:dyDescent="0.25">
      <c r="A93" s="5">
        <v>44500</v>
      </c>
      <c r="B93">
        <v>42.66</v>
      </c>
      <c r="C93">
        <v>43.3</v>
      </c>
      <c r="D93">
        <v>42.22</v>
      </c>
      <c r="E93">
        <v>43.09</v>
      </c>
      <c r="F93">
        <v>16278.26</v>
      </c>
      <c r="G93">
        <v>43.09</v>
      </c>
      <c r="L93" t="s">
        <v>8</v>
      </c>
      <c r="M93" t="s">
        <v>7</v>
      </c>
      <c r="N93" t="s">
        <v>7</v>
      </c>
      <c r="P93">
        <f t="shared" ref="P93" si="440">IF(C93=D93,0,((E93-D93)-(C93-E93))/(C93-D93))</f>
        <v>0.61111111111112204</v>
      </c>
      <c r="Q93">
        <f t="shared" ref="Q93" si="441">F93*P93</f>
        <v>9947.8255555557334</v>
      </c>
      <c r="R93">
        <f t="shared" ref="R93" si="442">R94+Q93</f>
        <v>-6811286.6337740235</v>
      </c>
      <c r="S93">
        <f t="shared" ref="S93" si="443">R93/100000</f>
        <v>-68.112866337740229</v>
      </c>
      <c r="T93">
        <f t="shared" ref="T93" si="444">S93/1000</f>
        <v>-6.8112866337740233E-2</v>
      </c>
    </row>
    <row r="94" spans="1:20" x14ac:dyDescent="0.25">
      <c r="A94" s="5">
        <v>44499</v>
      </c>
      <c r="B94">
        <v>42.16</v>
      </c>
      <c r="C94">
        <v>43.16</v>
      </c>
      <c r="D94">
        <v>41.2</v>
      </c>
      <c r="E94">
        <v>42.58</v>
      </c>
      <c r="F94">
        <v>13894.72</v>
      </c>
      <c r="G94">
        <v>42.58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0.40816326530612229</v>
      </c>
      <c r="Q94">
        <f t="shared" ref="Q94" si="446">F94*P94</f>
        <v>5671.314285714283</v>
      </c>
      <c r="R94">
        <f t="shared" ref="R94" si="447">R95+Q94</f>
        <v>-6821234.459329579</v>
      </c>
      <c r="S94">
        <f t="shared" ref="S94" si="448">R94/100000</f>
        <v>-68.212344593295796</v>
      </c>
      <c r="T94">
        <f t="shared" ref="T94" si="449">S94/1000</f>
        <v>-6.8212344593295796E-2</v>
      </c>
    </row>
    <row r="95" spans="1:20" x14ac:dyDescent="0.25">
      <c r="A95" s="5">
        <v>44498</v>
      </c>
      <c r="B95">
        <v>41.93</v>
      </c>
      <c r="C95">
        <v>42.84</v>
      </c>
      <c r="D95">
        <v>41.4</v>
      </c>
      <c r="E95">
        <v>42</v>
      </c>
      <c r="F95">
        <v>9773.2000000000007</v>
      </c>
      <c r="G95">
        <v>42</v>
      </c>
      <c r="L95" t="s">
        <v>7</v>
      </c>
      <c r="M95" t="s">
        <v>7</v>
      </c>
      <c r="N95" t="s">
        <v>7</v>
      </c>
      <c r="P95">
        <f t="shared" ref="P95" si="450">IF(C95=D95,0,((E95-D95)-(C95-E95))/(C95-D95))</f>
        <v>-0.16666666666666749</v>
      </c>
      <c r="Q95">
        <f t="shared" ref="Q95" si="451">F95*P95</f>
        <v>-1628.8666666666747</v>
      </c>
      <c r="R95">
        <f t="shared" ref="R95" si="452">R96+Q95</f>
        <v>-6826905.7736152932</v>
      </c>
      <c r="S95">
        <f t="shared" ref="S95" si="453">R95/100000</f>
        <v>-68.269057736152931</v>
      </c>
      <c r="T95">
        <f t="shared" ref="T95" si="454">S95/1000</f>
        <v>-6.8269057736152924E-2</v>
      </c>
    </row>
    <row r="96" spans="1:20" x14ac:dyDescent="0.25">
      <c r="A96" s="5">
        <v>44497</v>
      </c>
      <c r="B96">
        <v>40.58</v>
      </c>
      <c r="C96">
        <v>42.24</v>
      </c>
      <c r="D96">
        <v>40.130000000000003</v>
      </c>
      <c r="E96">
        <v>41.93</v>
      </c>
      <c r="F96">
        <v>24588.6</v>
      </c>
      <c r="G96">
        <v>41.93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0.70616113744075604</v>
      </c>
      <c r="Q96">
        <f t="shared" ref="Q96" si="456">F96*P96</f>
        <v>17363.513744075772</v>
      </c>
      <c r="R96">
        <f t="shared" ref="R96" si="457">R97+Q96</f>
        <v>-6825276.906948627</v>
      </c>
      <c r="S96">
        <f t="shared" ref="S96" si="458">R96/100000</f>
        <v>-68.252769069486263</v>
      </c>
      <c r="T96">
        <f t="shared" ref="T96" si="459">S96/1000</f>
        <v>-6.8252769069486269E-2</v>
      </c>
    </row>
    <row r="97" spans="1:20" x14ac:dyDescent="0.25">
      <c r="A97" s="5">
        <v>44496</v>
      </c>
      <c r="B97">
        <v>43.21</v>
      </c>
      <c r="C97">
        <v>44.19</v>
      </c>
      <c r="D97">
        <v>40.17</v>
      </c>
      <c r="E97">
        <v>40.520000000000003</v>
      </c>
      <c r="F97">
        <v>46703.27</v>
      </c>
      <c r="G97">
        <v>40.520000000000003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-0.82587064676616828</v>
      </c>
      <c r="Q97">
        <f t="shared" ref="Q97" si="461">F97*P97</f>
        <v>-38570.859800994978</v>
      </c>
      <c r="R97">
        <f t="shared" ref="R97" si="462">R98+Q97</f>
        <v>-6842640.4206927028</v>
      </c>
      <c r="S97">
        <f t="shared" ref="S97" si="463">R97/100000</f>
        <v>-68.426404206927032</v>
      </c>
      <c r="T97">
        <f t="shared" ref="T97" si="464">S97/1000</f>
        <v>-6.8426404206927027E-2</v>
      </c>
    </row>
    <row r="98" spans="1:20" x14ac:dyDescent="0.25">
      <c r="A98" s="5">
        <v>44495</v>
      </c>
      <c r="B98">
        <v>43.62</v>
      </c>
      <c r="C98">
        <v>46.59</v>
      </c>
      <c r="D98">
        <v>42.91</v>
      </c>
      <c r="E98">
        <v>43.14</v>
      </c>
      <c r="F98">
        <v>55035.42</v>
      </c>
      <c r="G98">
        <v>43.14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-0.87499999999999811</v>
      </c>
      <c r="Q98">
        <f t="shared" ref="Q98" si="466">F98*P98</f>
        <v>-48155.992499999891</v>
      </c>
      <c r="R98">
        <f t="shared" ref="R98" si="467">R99+Q98</f>
        <v>-6804069.5608917074</v>
      </c>
      <c r="S98">
        <f t="shared" ref="S98" si="468">R98/100000</f>
        <v>-68.040695608917076</v>
      </c>
      <c r="T98">
        <f t="shared" ref="T98" si="469">S98/1000</f>
        <v>-6.8040695608917082E-2</v>
      </c>
    </row>
    <row r="99" spans="1:20" x14ac:dyDescent="0.25">
      <c r="A99" s="5">
        <v>44494</v>
      </c>
      <c r="B99">
        <v>43.03</v>
      </c>
      <c r="C99">
        <v>44.48</v>
      </c>
      <c r="D99">
        <v>42.73</v>
      </c>
      <c r="E99">
        <v>43.57</v>
      </c>
      <c r="F99">
        <v>20883.05</v>
      </c>
      <c r="G99">
        <v>43.57</v>
      </c>
      <c r="L99" t="s">
        <v>7</v>
      </c>
      <c r="M99" t="s">
        <v>8</v>
      </c>
      <c r="N99" t="s">
        <v>7</v>
      </c>
      <c r="P99">
        <f t="shared" ref="P99" si="470">IF(C99=D99,0,((E99-D99)-(C99-E99))/(C99-D99))</f>
        <v>-3.9999999999996101E-2</v>
      </c>
      <c r="Q99">
        <f t="shared" ref="Q99" si="471">F99*P99</f>
        <v>-835.3219999999186</v>
      </c>
      <c r="R99">
        <f t="shared" ref="R99" si="472">R100+Q99</f>
        <v>-6755913.5683917077</v>
      </c>
      <c r="S99">
        <f t="shared" ref="S99" si="473">R99/100000</f>
        <v>-67.559135683917077</v>
      </c>
      <c r="T99">
        <f t="shared" ref="T99" si="474">S99/1000</f>
        <v>-6.7559135683917082E-2</v>
      </c>
    </row>
    <row r="100" spans="1:20" x14ac:dyDescent="0.25">
      <c r="A100" s="5">
        <v>44493</v>
      </c>
      <c r="B100">
        <v>43.63</v>
      </c>
      <c r="C100">
        <v>48.44</v>
      </c>
      <c r="D100">
        <v>42.5</v>
      </c>
      <c r="E100">
        <v>42.92</v>
      </c>
      <c r="F100">
        <v>90659.74</v>
      </c>
      <c r="G100">
        <v>42.92</v>
      </c>
      <c r="L100" t="s">
        <v>8</v>
      </c>
      <c r="M100" t="s">
        <v>8</v>
      </c>
      <c r="N100" t="s">
        <v>7</v>
      </c>
      <c r="P100">
        <f t="shared" ref="P100" si="475">IF(C100=D100,0,((E100-D100)-(C100-E100))/(C100-D100))</f>
        <v>-0.85858585858585801</v>
      </c>
      <c r="Q100">
        <f t="shared" ref="Q100" si="476">F100*P100</f>
        <v>-77839.170707070662</v>
      </c>
      <c r="R100">
        <f t="shared" ref="R100" si="477">R101+Q100</f>
        <v>-6755078.246391708</v>
      </c>
      <c r="S100">
        <f t="shared" ref="S100" si="478">R100/100000</f>
        <v>-67.550782463917074</v>
      </c>
      <c r="T100">
        <f t="shared" ref="T100" si="479">S100/1000</f>
        <v>-6.7550782463917075E-2</v>
      </c>
    </row>
    <row r="101" spans="1:20" x14ac:dyDescent="0.25">
      <c r="A101" s="5">
        <v>44492</v>
      </c>
      <c r="B101">
        <v>43.39</v>
      </c>
      <c r="C101">
        <v>44.09</v>
      </c>
      <c r="D101">
        <v>43.01</v>
      </c>
      <c r="E101">
        <v>43.65</v>
      </c>
      <c r="F101">
        <v>8451.59</v>
      </c>
      <c r="G101">
        <v>43.65</v>
      </c>
      <c r="L101" t="s">
        <v>8</v>
      </c>
      <c r="M101" t="s">
        <v>8</v>
      </c>
      <c r="N101" t="s">
        <v>7</v>
      </c>
      <c r="P101">
        <f t="shared" ref="P101" si="480">IF(C101=D101,0,((E101-D101)-(C101-E101))/(C101-D101))</f>
        <v>0.18518518518518032</v>
      </c>
      <c r="Q101">
        <f t="shared" ref="Q101" si="481">F101*P101</f>
        <v>1565.1092592592181</v>
      </c>
      <c r="R101">
        <f t="shared" ref="R101" si="482">R102+Q101</f>
        <v>-6677239.0756846378</v>
      </c>
      <c r="S101">
        <f t="shared" ref="S101" si="483">R101/100000</f>
        <v>-66.772390756846377</v>
      </c>
      <c r="T101">
        <f t="shared" ref="T101" si="484">S101/1000</f>
        <v>-6.6772390756846378E-2</v>
      </c>
    </row>
    <row r="102" spans="1:20" x14ac:dyDescent="0.25">
      <c r="A102" s="5">
        <v>44491</v>
      </c>
      <c r="B102">
        <v>43.53</v>
      </c>
      <c r="C102">
        <v>44.82</v>
      </c>
      <c r="D102">
        <v>43.13</v>
      </c>
      <c r="E102">
        <v>43.39</v>
      </c>
      <c r="F102">
        <v>14360.06</v>
      </c>
      <c r="G102">
        <v>43.39</v>
      </c>
      <c r="L102" t="s">
        <v>8</v>
      </c>
      <c r="M102" t="s">
        <v>8</v>
      </c>
      <c r="N102" t="s">
        <v>7</v>
      </c>
      <c r="P102">
        <f t="shared" ref="P102" si="485">IF(C102=D102,0,((E102-D102)-(C102-E102))/(C102-D102))</f>
        <v>-0.69230769230769429</v>
      </c>
      <c r="Q102">
        <f t="shared" ref="Q102" si="486">F102*P102</f>
        <v>-9941.5800000000272</v>
      </c>
      <c r="R102">
        <f t="shared" ref="R102" si="487">R103+Q102</f>
        <v>-6678804.1849438967</v>
      </c>
      <c r="S102">
        <f t="shared" ref="S102" si="488">R102/100000</f>
        <v>-66.788041849438969</v>
      </c>
      <c r="T102">
        <f t="shared" ref="T102" si="489">S102/1000</f>
        <v>-6.678804184943897E-2</v>
      </c>
    </row>
    <row r="103" spans="1:20" x14ac:dyDescent="0.25">
      <c r="A103" s="5">
        <v>44490</v>
      </c>
      <c r="B103">
        <v>43.43</v>
      </c>
      <c r="C103">
        <v>45.15</v>
      </c>
      <c r="D103">
        <v>42.77</v>
      </c>
      <c r="E103">
        <v>43.44</v>
      </c>
      <c r="F103">
        <v>24639.65</v>
      </c>
      <c r="G103">
        <v>43.44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-0.43697478991596983</v>
      </c>
      <c r="Q103">
        <f t="shared" ref="Q103" si="491">F103*P103</f>
        <v>-10766.905882353027</v>
      </c>
      <c r="R103">
        <f t="shared" ref="R103" si="492">R104+Q103</f>
        <v>-6668862.6049438966</v>
      </c>
      <c r="S103">
        <f t="shared" ref="S103" si="493">R103/100000</f>
        <v>-66.688626049438966</v>
      </c>
      <c r="T103">
        <f t="shared" ref="T103" si="494">S103/1000</f>
        <v>-6.6688626049438968E-2</v>
      </c>
    </row>
    <row r="104" spans="1:20" x14ac:dyDescent="0.25">
      <c r="A104" s="5">
        <v>44489</v>
      </c>
      <c r="B104">
        <v>42.98</v>
      </c>
      <c r="C104">
        <v>44.18</v>
      </c>
      <c r="D104">
        <v>42.41</v>
      </c>
      <c r="E104">
        <v>43.43</v>
      </c>
      <c r="F104">
        <v>15731.8</v>
      </c>
      <c r="G104">
        <v>43.43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0.15254237288135744</v>
      </c>
      <c r="Q104">
        <f t="shared" ref="Q104" si="496">F104*P104</f>
        <v>2399.7661016949387</v>
      </c>
      <c r="R104">
        <f t="shared" ref="R104" si="497">R105+Q104</f>
        <v>-6658095.6990615437</v>
      </c>
      <c r="S104">
        <f t="shared" ref="S104" si="498">R104/100000</f>
        <v>-66.580956990615434</v>
      </c>
      <c r="T104">
        <f t="shared" ref="T104" si="499">S104/1000</f>
        <v>-6.6580956990615434E-2</v>
      </c>
    </row>
    <row r="105" spans="1:20" x14ac:dyDescent="0.25">
      <c r="A105" s="5">
        <v>44488</v>
      </c>
      <c r="B105">
        <v>42.94</v>
      </c>
      <c r="C105">
        <v>43.8</v>
      </c>
      <c r="D105">
        <v>40.799999999999997</v>
      </c>
      <c r="E105">
        <v>43.05</v>
      </c>
      <c r="F105">
        <v>21861.8</v>
      </c>
      <c r="G105">
        <v>43.05</v>
      </c>
      <c r="L105" t="s">
        <v>7</v>
      </c>
      <c r="M105" t="s">
        <v>8</v>
      </c>
      <c r="N105" t="s">
        <v>7</v>
      </c>
      <c r="P105">
        <f t="shared" ref="P105" si="500">IF(C105=D105,0,((E105-D105)-(C105-E105))/(C105-D105))</f>
        <v>0.5</v>
      </c>
      <c r="Q105">
        <f t="shared" ref="Q105" si="501">F105*P105</f>
        <v>10930.9</v>
      </c>
      <c r="R105">
        <f t="shared" ref="R105" si="502">R106+Q105</f>
        <v>-6660495.4651632383</v>
      </c>
      <c r="S105">
        <f t="shared" ref="S105" si="503">R105/100000</f>
        <v>-66.604954651632383</v>
      </c>
      <c r="T105">
        <f t="shared" ref="T105" si="504">S105/1000</f>
        <v>-6.6604954651632381E-2</v>
      </c>
    </row>
    <row r="106" spans="1:20" x14ac:dyDescent="0.25">
      <c r="A106" s="5">
        <v>44487</v>
      </c>
      <c r="B106">
        <v>44.25</v>
      </c>
      <c r="C106">
        <v>45.49</v>
      </c>
      <c r="D106">
        <v>42.37</v>
      </c>
      <c r="E106">
        <v>43.07</v>
      </c>
      <c r="F106">
        <v>25475.88</v>
      </c>
      <c r="G106">
        <v>43.07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-0.5512820512820501</v>
      </c>
      <c r="Q106">
        <f t="shared" ref="Q106" si="506">F106*P106</f>
        <v>-14044.395384615354</v>
      </c>
      <c r="R106">
        <f t="shared" ref="R106" si="507">R107+Q106</f>
        <v>-6671426.3651632387</v>
      </c>
      <c r="S106">
        <f t="shared" ref="S106" si="508">R106/100000</f>
        <v>-66.714263651632393</v>
      </c>
      <c r="T106">
        <f t="shared" ref="T106" si="509">S106/1000</f>
        <v>-6.6714263651632397E-2</v>
      </c>
    </row>
    <row r="107" spans="1:20" x14ac:dyDescent="0.25">
      <c r="A107" s="5">
        <v>44486</v>
      </c>
      <c r="B107">
        <v>43.13</v>
      </c>
      <c r="C107">
        <v>45.3</v>
      </c>
      <c r="D107">
        <v>42.6</v>
      </c>
      <c r="E107">
        <v>44.08</v>
      </c>
      <c r="F107">
        <v>45169.89</v>
      </c>
      <c r="G107">
        <v>44.08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9.6296296296295714E-2</v>
      </c>
      <c r="Q107">
        <f t="shared" ref="Q107" si="511">F107*P107</f>
        <v>4349.6931111110844</v>
      </c>
      <c r="R107">
        <f t="shared" ref="R107" si="512">R108+Q107</f>
        <v>-6657381.9697786234</v>
      </c>
      <c r="S107">
        <f t="shared" ref="S107" si="513">R107/100000</f>
        <v>-66.573819697786234</v>
      </c>
      <c r="T107">
        <f t="shared" ref="T107" si="514">S107/1000</f>
        <v>-6.6573819697786238E-2</v>
      </c>
    </row>
    <row r="108" spans="1:20" x14ac:dyDescent="0.25">
      <c r="A108" s="5">
        <v>44485</v>
      </c>
      <c r="B108">
        <v>44.15</v>
      </c>
      <c r="C108">
        <v>44.63</v>
      </c>
      <c r="D108">
        <v>42.74</v>
      </c>
      <c r="E108">
        <v>43.13</v>
      </c>
      <c r="F108">
        <v>33888.129999999997</v>
      </c>
      <c r="G108">
        <v>43.13</v>
      </c>
      <c r="L108" t="s">
        <v>7</v>
      </c>
      <c r="M108" t="s">
        <v>8</v>
      </c>
      <c r="N108" t="s">
        <v>7</v>
      </c>
      <c r="P108">
        <f t="shared" ref="P108" si="515">IF(C108=D108,0,((E108-D108)-(C108-E108))/(C108-D108))</f>
        <v>-0.58730158730158677</v>
      </c>
      <c r="Q108">
        <f t="shared" ref="Q108" si="516">F108*P108</f>
        <v>-19902.552539682521</v>
      </c>
      <c r="R108">
        <f t="shared" ref="R108" si="517">R109+Q108</f>
        <v>-6661731.6628897348</v>
      </c>
      <c r="S108">
        <f t="shared" ref="S108" si="518">R108/100000</f>
        <v>-66.617316628897342</v>
      </c>
      <c r="T108">
        <f t="shared" ref="T108" si="519">S108/1000</f>
        <v>-6.6617316628897347E-2</v>
      </c>
    </row>
    <row r="109" spans="1:20" x14ac:dyDescent="0.25">
      <c r="A109" s="5">
        <v>44484</v>
      </c>
      <c r="B109">
        <v>43.41</v>
      </c>
      <c r="C109">
        <v>44.4</v>
      </c>
      <c r="D109">
        <v>42.39</v>
      </c>
      <c r="E109">
        <v>44.08</v>
      </c>
      <c r="F109">
        <v>30281.99</v>
      </c>
      <c r="G109">
        <v>44.08</v>
      </c>
      <c r="L109" t="s">
        <v>7</v>
      </c>
      <c r="M109" t="s">
        <v>8</v>
      </c>
      <c r="N109" t="s">
        <v>7</v>
      </c>
      <c r="P109">
        <f t="shared" ref="P109" si="520">IF(C109=D109,0,((E109-D109)-(C109-E109))/(C109-D109))</f>
        <v>0.68159203980099448</v>
      </c>
      <c r="Q109">
        <f t="shared" ref="Q109" si="521">F109*P109</f>
        <v>20639.963333333319</v>
      </c>
      <c r="R109">
        <f t="shared" ref="R109" si="522">R110+Q109</f>
        <v>-6641829.1103500519</v>
      </c>
      <c r="S109">
        <f t="shared" ref="S109" si="523">R109/100000</f>
        <v>-66.418291103500522</v>
      </c>
      <c r="T109">
        <f t="shared" ref="T109" si="524">S109/1000</f>
        <v>-6.6418291103500518E-2</v>
      </c>
    </row>
    <row r="110" spans="1:20" x14ac:dyDescent="0.25">
      <c r="A110" s="5">
        <v>44483</v>
      </c>
      <c r="B110">
        <v>45.08</v>
      </c>
      <c r="C110">
        <v>45.49</v>
      </c>
      <c r="D110">
        <v>43.19</v>
      </c>
      <c r="E110">
        <v>43.24</v>
      </c>
      <c r="F110">
        <v>66887.009999999995</v>
      </c>
      <c r="G110">
        <v>43.24</v>
      </c>
      <c r="L110" t="s">
        <v>7</v>
      </c>
      <c r="M110" t="s">
        <v>8</v>
      </c>
      <c r="N110" t="s">
        <v>7</v>
      </c>
      <c r="P110">
        <f t="shared" ref="P110" si="525">IF(C110=D110,0,((E110-D110)-(C110-E110))/(C110-D110))</f>
        <v>-0.95652173913043115</v>
      </c>
      <c r="Q110">
        <f t="shared" ref="Q110" si="526">F110*P110</f>
        <v>-63978.879130434536</v>
      </c>
      <c r="R110">
        <f t="shared" ref="R110" si="527">R111+Q110</f>
        <v>-6662469.0736833848</v>
      </c>
      <c r="S110">
        <f t="shared" ref="S110" si="528">R110/100000</f>
        <v>-66.624690736833841</v>
      </c>
      <c r="T110">
        <f t="shared" ref="T110" si="529">S110/1000</f>
        <v>-6.6624690736833844E-2</v>
      </c>
    </row>
    <row r="111" spans="1:20" x14ac:dyDescent="0.25">
      <c r="A111" s="5">
        <v>44482</v>
      </c>
      <c r="B111">
        <v>45.38</v>
      </c>
      <c r="C111">
        <v>46.19</v>
      </c>
      <c r="D111">
        <v>44.46</v>
      </c>
      <c r="E111">
        <v>45.08</v>
      </c>
      <c r="F111">
        <v>22870.42</v>
      </c>
      <c r="G111">
        <v>45.08</v>
      </c>
      <c r="L111" t="s">
        <v>8</v>
      </c>
      <c r="M111" t="s">
        <v>8</v>
      </c>
      <c r="N111" t="s">
        <v>7</v>
      </c>
      <c r="P111">
        <f t="shared" ref="P111" si="530">IF(C111=D111,0,((E111-D111)-(C111-E111))/(C111-D111))</f>
        <v>-0.28323699421965481</v>
      </c>
      <c r="Q111">
        <f t="shared" ref="Q111" si="531">F111*P111</f>
        <v>-6477.749017341077</v>
      </c>
      <c r="R111">
        <f t="shared" ref="R111" si="532">R112+Q111</f>
        <v>-6598490.1945529506</v>
      </c>
      <c r="S111">
        <f t="shared" ref="S111" si="533">R111/100000</f>
        <v>-65.984901945529501</v>
      </c>
      <c r="T111">
        <f t="shared" ref="T111" si="534">S111/1000</f>
        <v>-6.59849019455295E-2</v>
      </c>
    </row>
    <row r="112" spans="1:20" x14ac:dyDescent="0.25">
      <c r="A112" s="5">
        <v>44481</v>
      </c>
      <c r="B112">
        <v>43.24</v>
      </c>
      <c r="C112">
        <v>47.28</v>
      </c>
      <c r="D112">
        <v>42.5</v>
      </c>
      <c r="E112">
        <v>45.47</v>
      </c>
      <c r="F112">
        <v>67941.45</v>
      </c>
      <c r="G112">
        <v>45.47</v>
      </c>
      <c r="L112" t="s">
        <v>8</v>
      </c>
      <c r="M112" t="s">
        <v>8</v>
      </c>
      <c r="N112" t="s">
        <v>7</v>
      </c>
      <c r="P112">
        <f t="shared" ref="P112" si="535">IF(C112=D112,0,((E112-D112)-(C112-E112))/(C112-D112))</f>
        <v>0.24267782426778164</v>
      </c>
      <c r="Q112">
        <f t="shared" ref="Q112" si="536">F112*P112</f>
        <v>16487.883263598273</v>
      </c>
      <c r="R112">
        <f t="shared" ref="R112" si="537">R113+Q112</f>
        <v>-6592012.4455356095</v>
      </c>
      <c r="S112">
        <f t="shared" ref="S112" si="538">R112/100000</f>
        <v>-65.920124455356088</v>
      </c>
      <c r="T112">
        <f t="shared" ref="T112" si="539">S112/1000</f>
        <v>-6.5920124455356083E-2</v>
      </c>
    </row>
    <row r="113" spans="1:20" x14ac:dyDescent="0.25">
      <c r="A113" s="5">
        <v>44480</v>
      </c>
      <c r="B113">
        <v>43.38</v>
      </c>
      <c r="C113">
        <v>45.24</v>
      </c>
      <c r="D113">
        <v>42.16</v>
      </c>
      <c r="E113">
        <v>43.24</v>
      </c>
      <c r="F113">
        <v>91614.29</v>
      </c>
      <c r="G113">
        <v>43.24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-0.29870129870129641</v>
      </c>
      <c r="Q113">
        <f t="shared" ref="Q113" si="541">F113*P113</f>
        <v>-27365.307402597191</v>
      </c>
      <c r="R113">
        <f t="shared" ref="R113" si="542">R114+Q113</f>
        <v>-6608500.3287992077</v>
      </c>
      <c r="S113">
        <f t="shared" ref="S113" si="543">R113/100000</f>
        <v>-66.08500328799208</v>
      </c>
      <c r="T113">
        <f t="shared" ref="T113" si="544">S113/1000</f>
        <v>-6.6085003287992078E-2</v>
      </c>
    </row>
    <row r="114" spans="1:20" x14ac:dyDescent="0.25">
      <c r="A114" s="5">
        <v>44479</v>
      </c>
      <c r="B114">
        <v>45.85</v>
      </c>
      <c r="C114">
        <v>47.2</v>
      </c>
      <c r="D114">
        <v>43.05</v>
      </c>
      <c r="E114">
        <v>43.38</v>
      </c>
      <c r="F114">
        <v>32551.79</v>
      </c>
      <c r="G114">
        <v>43.38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-0.84096385542168439</v>
      </c>
      <c r="Q114">
        <f t="shared" ref="Q114" si="546">F114*P114</f>
        <v>-27374.878819277033</v>
      </c>
      <c r="R114">
        <f t="shared" ref="R114" si="547">R115+Q114</f>
        <v>-6581135.0213966109</v>
      </c>
      <c r="S114">
        <f t="shared" ref="S114" si="548">R114/100000</f>
        <v>-65.811350213966108</v>
      </c>
      <c r="T114">
        <f t="shared" ref="T114" si="549">S114/1000</f>
        <v>-6.5811350213966113E-2</v>
      </c>
    </row>
    <row r="115" spans="1:20" x14ac:dyDescent="0.25">
      <c r="A115" s="5">
        <v>44478</v>
      </c>
      <c r="B115">
        <v>44.88</v>
      </c>
      <c r="C115">
        <v>48.86</v>
      </c>
      <c r="D115">
        <v>44.62</v>
      </c>
      <c r="E115">
        <v>45.78</v>
      </c>
      <c r="F115">
        <v>49864.45</v>
      </c>
      <c r="G115">
        <v>45.78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-0.45283018867924379</v>
      </c>
      <c r="Q115">
        <f t="shared" ref="Q115" si="551">F115*P115</f>
        <v>-22580.128301886718</v>
      </c>
      <c r="R115">
        <f t="shared" ref="R115" si="552">R116+Q115</f>
        <v>-6553760.1425773343</v>
      </c>
      <c r="S115">
        <f t="shared" ref="S115" si="553">R115/100000</f>
        <v>-65.537601425773346</v>
      </c>
      <c r="T115">
        <f t="shared" ref="T115" si="554">S115/1000</f>
        <v>-6.5537601425773348E-2</v>
      </c>
    </row>
    <row r="116" spans="1:20" x14ac:dyDescent="0.25">
      <c r="A116" s="5">
        <v>44477</v>
      </c>
      <c r="B116">
        <v>45.37</v>
      </c>
      <c r="C116">
        <v>46.04</v>
      </c>
      <c r="D116">
        <v>43.45</v>
      </c>
      <c r="E116">
        <v>44.86</v>
      </c>
      <c r="F116">
        <v>38649.72</v>
      </c>
      <c r="G116">
        <v>44.86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8.8803088803087724E-2</v>
      </c>
      <c r="Q116">
        <f t="shared" ref="Q116" si="556">F116*P116</f>
        <v>3432.2145173744757</v>
      </c>
      <c r="R116">
        <f t="shared" ref="R116" si="557">R117+Q116</f>
        <v>-6531180.0142754475</v>
      </c>
      <c r="S116">
        <f t="shared" ref="S116" si="558">R116/100000</f>
        <v>-65.311800142754478</v>
      </c>
      <c r="T116">
        <f t="shared" ref="T116" si="559">S116/1000</f>
        <v>-6.5311800142754478E-2</v>
      </c>
    </row>
    <row r="117" spans="1:20" x14ac:dyDescent="0.25">
      <c r="A117" s="5">
        <v>44476</v>
      </c>
      <c r="B117">
        <v>45.18</v>
      </c>
      <c r="C117">
        <v>45.98</v>
      </c>
      <c r="D117">
        <v>44.27</v>
      </c>
      <c r="E117">
        <v>45.27</v>
      </c>
      <c r="F117">
        <v>25712.58</v>
      </c>
      <c r="G117">
        <v>45.27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0.16959064327485807</v>
      </c>
      <c r="Q117">
        <f t="shared" ref="Q117" si="561">F117*P117</f>
        <v>4360.6129824562504</v>
      </c>
      <c r="R117">
        <f t="shared" ref="R117" si="562">R118+Q117</f>
        <v>-6534612.228792822</v>
      </c>
      <c r="S117">
        <f t="shared" ref="S117" si="563">R117/100000</f>
        <v>-65.346122287928225</v>
      </c>
      <c r="T117">
        <f t="shared" ref="T117" si="564">S117/1000</f>
        <v>-6.5346122287928229E-2</v>
      </c>
    </row>
    <row r="118" spans="1:20" x14ac:dyDescent="0.25">
      <c r="A118" s="5">
        <v>44475</v>
      </c>
      <c r="B118">
        <v>45.36</v>
      </c>
      <c r="C118">
        <v>46.11</v>
      </c>
      <c r="D118">
        <v>43.31</v>
      </c>
      <c r="E118">
        <v>45.12</v>
      </c>
      <c r="F118">
        <v>62978.12</v>
      </c>
      <c r="G118">
        <v>45.12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0.29285714285714071</v>
      </c>
      <c r="Q118">
        <f t="shared" ref="Q118" si="566">F118*P118</f>
        <v>18443.592285714152</v>
      </c>
      <c r="R118">
        <f t="shared" ref="R118" si="567">R119+Q118</f>
        <v>-6538972.8417752786</v>
      </c>
      <c r="S118">
        <f t="shared" ref="S118" si="568">R118/100000</f>
        <v>-65.389728417752792</v>
      </c>
      <c r="T118">
        <f t="shared" ref="T118" si="569">S118/1000</f>
        <v>-6.5389728417752799E-2</v>
      </c>
    </row>
    <row r="119" spans="1:20" x14ac:dyDescent="0.25">
      <c r="A119" s="5">
        <v>44474</v>
      </c>
      <c r="B119">
        <v>45.37</v>
      </c>
      <c r="C119">
        <v>45.62</v>
      </c>
      <c r="D119">
        <v>44.09</v>
      </c>
      <c r="E119">
        <v>45.25</v>
      </c>
      <c r="F119">
        <v>40855.69</v>
      </c>
      <c r="G119">
        <v>45.25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0.51633986928104725</v>
      </c>
      <c r="Q119">
        <f t="shared" ref="Q119" si="571">F119*P119</f>
        <v>21095.421633986989</v>
      </c>
      <c r="R119">
        <f t="shared" ref="R119" si="572">R120+Q119</f>
        <v>-6557416.4340609927</v>
      </c>
      <c r="S119">
        <f t="shared" ref="S119" si="573">R119/100000</f>
        <v>-65.574164340609926</v>
      </c>
      <c r="T119">
        <f t="shared" ref="T119" si="574">S119/1000</f>
        <v>-6.5574164340609919E-2</v>
      </c>
    </row>
    <row r="120" spans="1:20" x14ac:dyDescent="0.25">
      <c r="A120" s="5">
        <v>44473</v>
      </c>
      <c r="B120">
        <v>43.98</v>
      </c>
      <c r="C120">
        <v>45.98</v>
      </c>
      <c r="D120">
        <v>42.84</v>
      </c>
      <c r="E120">
        <v>45.74</v>
      </c>
      <c r="F120">
        <v>40156.43</v>
      </c>
      <c r="G120">
        <v>45.74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0.84713375796178636</v>
      </c>
      <c r="Q120">
        <f t="shared" ref="Q120" si="576">F120*P120</f>
        <v>34017.867452229417</v>
      </c>
      <c r="R120">
        <f t="shared" ref="R120" si="577">R121+Q120</f>
        <v>-6578511.8556949794</v>
      </c>
      <c r="S120">
        <f t="shared" ref="S120" si="578">R120/100000</f>
        <v>-65.785118556949797</v>
      </c>
      <c r="T120">
        <f t="shared" ref="T120" si="579">S120/1000</f>
        <v>-6.5785118556949795E-2</v>
      </c>
    </row>
    <row r="121" spans="1:20" x14ac:dyDescent="0.25">
      <c r="A121" s="5">
        <v>44472</v>
      </c>
      <c r="B121">
        <v>44.5</v>
      </c>
      <c r="C121">
        <v>45.12</v>
      </c>
      <c r="D121">
        <v>43.48</v>
      </c>
      <c r="E121">
        <v>43.8</v>
      </c>
      <c r="F121">
        <v>19563.82</v>
      </c>
      <c r="G121">
        <v>43.8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-0.60975609756097537</v>
      </c>
      <c r="Q121">
        <f t="shared" ref="Q121" si="581">F121*P121</f>
        <v>-11929.158536585361</v>
      </c>
      <c r="R121">
        <f t="shared" ref="R121" si="582">R122+Q121</f>
        <v>-6612529.7231472088</v>
      </c>
      <c r="S121">
        <f t="shared" ref="S121" si="583">R121/100000</f>
        <v>-66.125297231472089</v>
      </c>
      <c r="T121">
        <f t="shared" ref="T121" si="584">S121/1000</f>
        <v>-6.6125297231472091E-2</v>
      </c>
    </row>
    <row r="122" spans="1:20" x14ac:dyDescent="0.25">
      <c r="A122" s="5">
        <v>44471</v>
      </c>
      <c r="B122">
        <v>44.94</v>
      </c>
      <c r="C122">
        <v>45.39</v>
      </c>
      <c r="D122">
        <v>43.95</v>
      </c>
      <c r="E122">
        <v>44.5</v>
      </c>
      <c r="F122">
        <v>51677.46</v>
      </c>
      <c r="G122">
        <v>44.5</v>
      </c>
      <c r="L122" t="s">
        <v>7</v>
      </c>
      <c r="M122" t="s">
        <v>8</v>
      </c>
      <c r="N122" t="s">
        <v>7</v>
      </c>
      <c r="P122">
        <f t="shared" ref="P122" si="585">IF(C122=D122,0,((E122-D122)-(C122-E122))/(C122-D122))</f>
        <v>-0.23611111111111385</v>
      </c>
      <c r="Q122">
        <f t="shared" ref="Q122" si="586">F122*P122</f>
        <v>-12201.622500000141</v>
      </c>
      <c r="R122">
        <f t="shared" ref="R122" si="587">R123+Q122</f>
        <v>-6600600.5646106238</v>
      </c>
      <c r="S122">
        <f t="shared" ref="S122" si="588">R122/100000</f>
        <v>-66.006005646106232</v>
      </c>
      <c r="T122">
        <f t="shared" ref="T122" si="589">S122/1000</f>
        <v>-6.6006005646106231E-2</v>
      </c>
    </row>
    <row r="123" spans="1:20" x14ac:dyDescent="0.25">
      <c r="A123" s="5">
        <v>44470</v>
      </c>
      <c r="B123">
        <v>41.36</v>
      </c>
      <c r="C123">
        <v>49.53</v>
      </c>
      <c r="D123">
        <v>40.86</v>
      </c>
      <c r="E123">
        <v>44.89</v>
      </c>
      <c r="F123">
        <v>129514.52</v>
      </c>
      <c r="G123">
        <v>44.89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-7.0357554786620452E-2</v>
      </c>
      <c r="Q123">
        <f t="shared" ref="Q123" si="591">F123*P123</f>
        <v>-9112.3249365628508</v>
      </c>
      <c r="R123">
        <f t="shared" ref="R123" si="592">R124+Q123</f>
        <v>-6588398.9421106232</v>
      </c>
      <c r="S123">
        <f t="shared" ref="S123" si="593">R123/100000</f>
        <v>-65.883989421106236</v>
      </c>
      <c r="T123">
        <f t="shared" ref="T123" si="594">S123/1000</f>
        <v>-6.5883989421106237E-2</v>
      </c>
    </row>
    <row r="124" spans="1:20" x14ac:dyDescent="0.25">
      <c r="A124" s="5">
        <v>44469</v>
      </c>
      <c r="B124">
        <v>40.01</v>
      </c>
      <c r="C124">
        <v>41.97</v>
      </c>
      <c r="D124">
        <v>40.01</v>
      </c>
      <c r="E124">
        <v>41.32</v>
      </c>
      <c r="F124">
        <v>31508.71</v>
      </c>
      <c r="G124">
        <v>41.32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0.33673469387755278</v>
      </c>
      <c r="Q124">
        <f t="shared" ref="Q124" si="596">F124*P124</f>
        <v>10610.075816326585</v>
      </c>
      <c r="R124">
        <f t="shared" ref="R124" si="597">R125+Q124</f>
        <v>-6579286.6171740601</v>
      </c>
      <c r="S124">
        <f t="shared" ref="S124" si="598">R124/100000</f>
        <v>-65.792866171740599</v>
      </c>
      <c r="T124">
        <f t="shared" ref="T124" si="599">S124/1000</f>
        <v>-6.5792866171740599E-2</v>
      </c>
    </row>
    <row r="125" spans="1:20" x14ac:dyDescent="0.25">
      <c r="A125" s="5">
        <v>44468</v>
      </c>
      <c r="B125">
        <v>39.15</v>
      </c>
      <c r="C125">
        <v>41.65</v>
      </c>
      <c r="D125">
        <v>38.85</v>
      </c>
      <c r="E125">
        <v>40.08</v>
      </c>
      <c r="F125">
        <v>22750.41</v>
      </c>
      <c r="G125">
        <v>40.08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-0.12142857142857277</v>
      </c>
      <c r="Q125">
        <f t="shared" ref="Q125" si="601">F125*P125</f>
        <v>-2762.5497857143164</v>
      </c>
      <c r="R125">
        <f t="shared" ref="R125" si="602">R126+Q125</f>
        <v>-6589896.6929903869</v>
      </c>
      <c r="S125">
        <f t="shared" ref="S125" si="603">R125/100000</f>
        <v>-65.898966929903864</v>
      </c>
      <c r="T125">
        <f t="shared" ref="T125" si="604">S125/1000</f>
        <v>-6.5898966929903866E-2</v>
      </c>
    </row>
    <row r="126" spans="1:20" x14ac:dyDescent="0.25">
      <c r="A126" s="5">
        <v>44467</v>
      </c>
      <c r="B126">
        <v>39.79</v>
      </c>
      <c r="C126">
        <v>43.76</v>
      </c>
      <c r="D126">
        <v>39.04</v>
      </c>
      <c r="E126">
        <v>39.1</v>
      </c>
      <c r="F126">
        <v>252161.1</v>
      </c>
      <c r="G126">
        <v>39.1</v>
      </c>
      <c r="L126" t="s">
        <v>8</v>
      </c>
      <c r="M126" t="s">
        <v>7</v>
      </c>
      <c r="N126" t="s">
        <v>7</v>
      </c>
      <c r="P126">
        <f t="shared" ref="P126" si="605">IF(C126=D126,0,((E126-D126)-(C126-E126))/(C126-D126))</f>
        <v>-0.97457627118643975</v>
      </c>
      <c r="Q126">
        <f t="shared" ref="Q126" si="606">F126*P126</f>
        <v>-245750.22457627096</v>
      </c>
      <c r="R126">
        <f t="shared" ref="R126" si="607">R127+Q126</f>
        <v>-6587134.1432046723</v>
      </c>
      <c r="S126">
        <f t="shared" ref="S126" si="608">R126/100000</f>
        <v>-65.871341432046719</v>
      </c>
      <c r="T126">
        <f t="shared" ref="T126" si="609">S126/1000</f>
        <v>-6.5871341432046718E-2</v>
      </c>
    </row>
    <row r="127" spans="1:20" x14ac:dyDescent="0.25">
      <c r="A127" s="5">
        <v>44466</v>
      </c>
      <c r="B127">
        <v>41.23</v>
      </c>
      <c r="C127">
        <v>42.73</v>
      </c>
      <c r="D127">
        <v>39.5</v>
      </c>
      <c r="E127">
        <v>39.909999999999997</v>
      </c>
      <c r="F127">
        <v>58013.79</v>
      </c>
      <c r="G127">
        <v>39.909999999999997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-0.74613003095975416</v>
      </c>
      <c r="Q127">
        <f t="shared" ref="Q127" si="611">F127*P127</f>
        <v>-43285.830928792675</v>
      </c>
      <c r="R127">
        <f t="shared" ref="R127" si="612">R128+Q127</f>
        <v>-6341383.9186284011</v>
      </c>
      <c r="S127">
        <f t="shared" ref="S127" si="613">R127/100000</f>
        <v>-63.413839186284008</v>
      </c>
      <c r="T127">
        <f t="shared" ref="T127" si="614">S127/1000</f>
        <v>-6.3413839186284002E-2</v>
      </c>
    </row>
    <row r="128" spans="1:20" x14ac:dyDescent="0.25">
      <c r="A128" s="5">
        <v>44465</v>
      </c>
      <c r="B128">
        <v>41.83</v>
      </c>
      <c r="C128">
        <v>42.23</v>
      </c>
      <c r="D128">
        <v>39.119999999999997</v>
      </c>
      <c r="E128">
        <v>41.32</v>
      </c>
      <c r="F128">
        <v>34880.050000000003</v>
      </c>
      <c r="G128">
        <v>41.32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0.41479099678456799</v>
      </c>
      <c r="Q128">
        <f t="shared" ref="Q128" si="616">F128*P128</f>
        <v>14467.930707395572</v>
      </c>
      <c r="R128">
        <f t="shared" ref="R128" si="617">R129+Q128</f>
        <v>-6298098.0876996089</v>
      </c>
      <c r="S128">
        <f t="shared" ref="S128" si="618">R128/100000</f>
        <v>-62.980980876996085</v>
      </c>
      <c r="T128">
        <f t="shared" ref="T128" si="619">S128/1000</f>
        <v>-6.2980980876996079E-2</v>
      </c>
    </row>
    <row r="129" spans="1:20" x14ac:dyDescent="0.25">
      <c r="A129" s="5">
        <v>44464</v>
      </c>
      <c r="B129">
        <v>41.34</v>
      </c>
      <c r="C129">
        <v>44.78</v>
      </c>
      <c r="D129">
        <v>40.04</v>
      </c>
      <c r="E129">
        <v>41.85</v>
      </c>
      <c r="F129">
        <v>78427.83</v>
      </c>
      <c r="G129">
        <v>41.85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-0.23628691983122299</v>
      </c>
      <c r="Q129">
        <f t="shared" ref="Q129" si="621">F129*P129</f>
        <v>-18531.470379746785</v>
      </c>
      <c r="R129">
        <f t="shared" ref="R129" si="622">R130+Q129</f>
        <v>-6312566.0184070049</v>
      </c>
      <c r="S129">
        <f t="shared" ref="S129" si="623">R129/100000</f>
        <v>-63.12566018407005</v>
      </c>
      <c r="T129">
        <f t="shared" ref="T129" si="624">S129/1000</f>
        <v>-6.3125660184070051E-2</v>
      </c>
    </row>
    <row r="130" spans="1:20" x14ac:dyDescent="0.25">
      <c r="A130" s="5">
        <v>44463</v>
      </c>
      <c r="B130">
        <v>42.7</v>
      </c>
      <c r="C130">
        <v>43.3</v>
      </c>
      <c r="D130">
        <v>38.549999999999997</v>
      </c>
      <c r="E130">
        <v>41.21</v>
      </c>
      <c r="F130">
        <v>63502.14</v>
      </c>
      <c r="G130">
        <v>41.21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0.12000000000000155</v>
      </c>
      <c r="Q130">
        <f t="shared" ref="Q130" si="626">F130*P130</f>
        <v>7620.2568000000983</v>
      </c>
      <c r="R130">
        <f t="shared" ref="R130" si="627">R131+Q130</f>
        <v>-6294034.5480272584</v>
      </c>
      <c r="S130">
        <f t="shared" ref="S130" si="628">R130/100000</f>
        <v>-62.940345480272583</v>
      </c>
      <c r="T130">
        <f t="shared" ref="T130" si="629">S130/1000</f>
        <v>-6.294034548027258E-2</v>
      </c>
    </row>
    <row r="131" spans="1:20" x14ac:dyDescent="0.25">
      <c r="A131" s="5">
        <v>44462</v>
      </c>
      <c r="B131">
        <v>41.44</v>
      </c>
      <c r="C131">
        <v>45.25</v>
      </c>
      <c r="D131">
        <v>40.96</v>
      </c>
      <c r="E131">
        <v>42.75</v>
      </c>
      <c r="F131">
        <v>96899.76</v>
      </c>
      <c r="G131">
        <v>42.75</v>
      </c>
      <c r="L131" t="s">
        <v>7</v>
      </c>
      <c r="M131" t="s">
        <v>7</v>
      </c>
      <c r="N131" t="s">
        <v>7</v>
      </c>
      <c r="P131">
        <f t="shared" ref="P131" si="630">IF(C131=D131,0,((E131-D131)-(C131-E131))/(C131-D131))</f>
        <v>-0.16550116550116573</v>
      </c>
      <c r="Q131">
        <f t="shared" ref="Q131" si="631">F131*P131</f>
        <v>-16037.023216783238</v>
      </c>
      <c r="R131">
        <f t="shared" ref="R131" si="632">R132+Q131</f>
        <v>-6301654.8048272589</v>
      </c>
      <c r="S131">
        <f t="shared" ref="S131" si="633">R131/100000</f>
        <v>-63.01654804827259</v>
      </c>
      <c r="T131">
        <f t="shared" ref="T131" si="634">S131/1000</f>
        <v>-6.3016548048272586E-2</v>
      </c>
    </row>
    <row r="132" spans="1:20" x14ac:dyDescent="0.25">
      <c r="A132" s="5">
        <v>44461</v>
      </c>
      <c r="B132">
        <v>37.57</v>
      </c>
      <c r="C132">
        <v>58</v>
      </c>
      <c r="D132">
        <v>36.49</v>
      </c>
      <c r="E132">
        <v>41.58</v>
      </c>
      <c r="F132">
        <v>619411.78</v>
      </c>
      <c r="G132">
        <v>41.58</v>
      </c>
      <c r="L132" t="s">
        <v>8</v>
      </c>
      <c r="M132" t="s">
        <v>8</v>
      </c>
      <c r="N132" t="s">
        <v>8</v>
      </c>
      <c r="P132">
        <f t="shared" ref="P132" si="635">IF(C132=D132,0,((E132-D132)-(C132-E132))/(C132-D132))</f>
        <v>-0.52673175267317551</v>
      </c>
      <c r="Q132">
        <f t="shared" ref="Q132" si="636">F132*P132</f>
        <v>-326263.85250581143</v>
      </c>
      <c r="R132">
        <f t="shared" ref="R132" si="637">R133+Q132</f>
        <v>-6285617.7816104759</v>
      </c>
      <c r="S132">
        <f t="shared" ref="S132" si="638">R132/100000</f>
        <v>-62.856177816104761</v>
      </c>
      <c r="T132">
        <f t="shared" ref="T132" si="639">S132/1000</f>
        <v>-6.2856177816104766E-2</v>
      </c>
    </row>
    <row r="133" spans="1:20" x14ac:dyDescent="0.25">
      <c r="A133" s="5">
        <v>44460</v>
      </c>
      <c r="B133">
        <v>38.979999999999997</v>
      </c>
      <c r="C133">
        <v>42.46</v>
      </c>
      <c r="D133">
        <v>36.020000000000003</v>
      </c>
      <c r="E133">
        <v>37.409999999999997</v>
      </c>
      <c r="F133">
        <v>96945.013999999996</v>
      </c>
      <c r="G133">
        <v>37.409999999999997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-0.56832298136646153</v>
      </c>
      <c r="Q133">
        <f t="shared" ref="Q133" si="641">F133*P133</f>
        <v>-55096.079385093348</v>
      </c>
      <c r="R133">
        <f t="shared" ref="R133" si="642">R134+Q133</f>
        <v>-5959353.9291046644</v>
      </c>
      <c r="S133">
        <f t="shared" ref="S133" si="643">R133/100000</f>
        <v>-59.593539291046646</v>
      </c>
      <c r="T133">
        <f t="shared" ref="T133" si="644">S133/1000</f>
        <v>-5.9593539291046646E-2</v>
      </c>
    </row>
    <row r="134" spans="1:20" x14ac:dyDescent="0.25">
      <c r="A134" s="5">
        <v>44459</v>
      </c>
      <c r="B134">
        <v>44.79</v>
      </c>
      <c r="C134">
        <v>45.58</v>
      </c>
      <c r="D134">
        <v>42.2</v>
      </c>
      <c r="E134">
        <v>42.6</v>
      </c>
      <c r="F134">
        <v>31951.18</v>
      </c>
      <c r="G134">
        <v>42.6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-0.76331360946745619</v>
      </c>
      <c r="Q134">
        <f t="shared" ref="Q134" si="646">F134*P134</f>
        <v>-24388.770532544397</v>
      </c>
      <c r="R134">
        <f t="shared" ref="R134" si="647">R135+Q134</f>
        <v>-5904257.8497195709</v>
      </c>
      <c r="S134">
        <f t="shared" ref="S134" si="648">R134/100000</f>
        <v>-59.042578497195713</v>
      </c>
      <c r="T134">
        <f t="shared" ref="T134" si="649">S134/1000</f>
        <v>-5.9042578497195713E-2</v>
      </c>
    </row>
    <row r="135" spans="1:20" x14ac:dyDescent="0.25">
      <c r="A135" s="5">
        <v>44458</v>
      </c>
      <c r="B135">
        <v>46.14</v>
      </c>
      <c r="C135">
        <v>47.21</v>
      </c>
      <c r="D135">
        <v>44.31</v>
      </c>
      <c r="E135">
        <v>44.78</v>
      </c>
      <c r="F135">
        <v>62447.51</v>
      </c>
      <c r="G135">
        <v>44.78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-0.67586206896551781</v>
      </c>
      <c r="Q135">
        <f t="shared" ref="Q135" si="651">F135*P135</f>
        <v>-42205.903310344867</v>
      </c>
      <c r="R135">
        <f t="shared" ref="R135" si="652">R136+Q135</f>
        <v>-5879869.0791870262</v>
      </c>
      <c r="S135">
        <f t="shared" ref="S135" si="653">R135/100000</f>
        <v>-58.798690791870264</v>
      </c>
      <c r="T135">
        <f t="shared" ref="T135" si="654">S135/1000</f>
        <v>-5.8798690791870264E-2</v>
      </c>
    </row>
    <row r="136" spans="1:20" x14ac:dyDescent="0.25">
      <c r="A136" s="5">
        <v>44457</v>
      </c>
      <c r="B136">
        <v>44.95</v>
      </c>
      <c r="C136">
        <v>62.99</v>
      </c>
      <c r="D136">
        <v>44.26</v>
      </c>
      <c r="E136">
        <v>46.14</v>
      </c>
      <c r="F136">
        <v>603986.08799999999</v>
      </c>
      <c r="G136">
        <v>46.14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-0.79925253603844082</v>
      </c>
      <c r="Q136">
        <f t="shared" ref="Q136" si="656">F136*P136</f>
        <v>-482737.41256593686</v>
      </c>
      <c r="R136">
        <f t="shared" ref="R136" si="657">R137+Q136</f>
        <v>-5837663.1758766817</v>
      </c>
      <c r="S136">
        <f t="shared" ref="S136" si="658">R136/100000</f>
        <v>-58.37663175876682</v>
      </c>
      <c r="T136">
        <f t="shared" ref="T136" si="659">S136/1000</f>
        <v>-5.8376631758766818E-2</v>
      </c>
    </row>
    <row r="137" spans="1:20" x14ac:dyDescent="0.25">
      <c r="A137" s="5">
        <v>44456</v>
      </c>
      <c r="B137">
        <v>44.09</v>
      </c>
      <c r="C137">
        <v>44.95</v>
      </c>
      <c r="D137">
        <v>42.2</v>
      </c>
      <c r="E137">
        <v>44.84</v>
      </c>
      <c r="F137">
        <v>36552.19</v>
      </c>
      <c r="G137">
        <v>44.84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0.92000000000000037</v>
      </c>
      <c r="Q137">
        <f t="shared" ref="Q137" si="661">F137*P137</f>
        <v>33628.014800000019</v>
      </c>
      <c r="R137">
        <f t="shared" ref="R137" si="662">R138+Q137</f>
        <v>-5354925.7633107444</v>
      </c>
      <c r="S137">
        <f t="shared" ref="S137" si="663">R137/100000</f>
        <v>-53.549257633107445</v>
      </c>
      <c r="T137">
        <f t="shared" ref="T137" si="664">S137/1000</f>
        <v>-5.3549257633107444E-2</v>
      </c>
    </row>
    <row r="138" spans="1:20" x14ac:dyDescent="0.25">
      <c r="A138" s="5">
        <v>44455</v>
      </c>
      <c r="B138">
        <v>45.2</v>
      </c>
      <c r="C138">
        <v>46.31</v>
      </c>
      <c r="D138">
        <v>43.81</v>
      </c>
      <c r="E138">
        <v>44.08</v>
      </c>
      <c r="F138">
        <v>46334.01</v>
      </c>
      <c r="G138">
        <v>44.08</v>
      </c>
      <c r="L138" t="s">
        <v>8</v>
      </c>
      <c r="M138" t="s">
        <v>7</v>
      </c>
      <c r="N138" t="s">
        <v>8</v>
      </c>
      <c r="P138">
        <f t="shared" ref="P138" si="665">IF(C138=D138,0,((E138-D138)-(C138-E138))/(C138-D138))</f>
        <v>-0.78400000000000314</v>
      </c>
      <c r="Q138">
        <f t="shared" ref="Q138" si="666">F138*P138</f>
        <v>-36325.863840000144</v>
      </c>
      <c r="R138">
        <f t="shared" ref="R138" si="667">R139+Q138</f>
        <v>-5388553.7781107444</v>
      </c>
      <c r="S138">
        <f t="shared" ref="S138" si="668">R138/100000</f>
        <v>-53.885537781107445</v>
      </c>
      <c r="T138">
        <f t="shared" ref="T138" si="669">S138/1000</f>
        <v>-5.3885537781107447E-2</v>
      </c>
    </row>
    <row r="139" spans="1:20" x14ac:dyDescent="0.25">
      <c r="A139" s="5">
        <v>44454</v>
      </c>
      <c r="B139">
        <v>43.85</v>
      </c>
      <c r="C139">
        <v>45.68</v>
      </c>
      <c r="D139">
        <v>43.4</v>
      </c>
      <c r="E139">
        <v>45.28</v>
      </c>
      <c r="F139">
        <v>27937.96</v>
      </c>
      <c r="G139">
        <v>45.28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0.64912280701754532</v>
      </c>
      <c r="Q139">
        <f t="shared" ref="Q139" si="671">F139*P139</f>
        <v>18135.167017543899</v>
      </c>
      <c r="R139">
        <f t="shared" ref="R139" si="672">R140+Q139</f>
        <v>-5352227.9142707447</v>
      </c>
      <c r="S139">
        <f t="shared" ref="S139" si="673">R139/100000</f>
        <v>-53.522279142707447</v>
      </c>
      <c r="T139">
        <f t="shared" ref="T139" si="674">S139/1000</f>
        <v>-5.3522279142707449E-2</v>
      </c>
    </row>
    <row r="140" spans="1:20" x14ac:dyDescent="0.25">
      <c r="A140" s="5">
        <v>44453</v>
      </c>
      <c r="B140">
        <v>43.29</v>
      </c>
      <c r="C140">
        <v>44.75</v>
      </c>
      <c r="D140">
        <v>42.9</v>
      </c>
      <c r="E140">
        <v>43.7</v>
      </c>
      <c r="F140">
        <v>38573.96</v>
      </c>
      <c r="G140">
        <v>43.7</v>
      </c>
      <c r="L140" t="s">
        <v>7</v>
      </c>
      <c r="M140" t="s">
        <v>7</v>
      </c>
      <c r="N140" t="s">
        <v>8</v>
      </c>
      <c r="P140">
        <f t="shared" ref="P140" si="675">IF(C140=D140,0,((E140-D140)-(C140-E140))/(C140-D140))</f>
        <v>-0.1351351351351312</v>
      </c>
      <c r="Q140">
        <f t="shared" ref="Q140" si="676">F140*P140</f>
        <v>-5212.6972972971453</v>
      </c>
      <c r="R140">
        <f t="shared" ref="R140" si="677">R141+Q140</f>
        <v>-5370363.0812882883</v>
      </c>
      <c r="S140">
        <f t="shared" ref="S140" si="678">R140/100000</f>
        <v>-53.703630812882885</v>
      </c>
      <c r="T140">
        <f t="shared" ref="T140" si="679">S140/1000</f>
        <v>-5.3703630812882888E-2</v>
      </c>
    </row>
    <row r="141" spans="1:20" x14ac:dyDescent="0.25">
      <c r="A141" s="5">
        <v>44452</v>
      </c>
      <c r="B141">
        <v>45.6</v>
      </c>
      <c r="C141">
        <v>46.04</v>
      </c>
      <c r="D141">
        <v>42.2</v>
      </c>
      <c r="E141">
        <v>43.29</v>
      </c>
      <c r="F141">
        <v>45317.19</v>
      </c>
      <c r="G141">
        <v>43.29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-0.43229166666666802</v>
      </c>
      <c r="Q141">
        <f t="shared" ref="Q141" si="681">F141*P141</f>
        <v>-19590.243593750063</v>
      </c>
      <c r="R141">
        <f t="shared" ref="R141" si="682">R142+Q141</f>
        <v>-5365150.3839909909</v>
      </c>
      <c r="S141">
        <f t="shared" ref="S141" si="683">R141/100000</f>
        <v>-53.651503839909907</v>
      </c>
      <c r="T141">
        <f t="shared" ref="T141" si="684">S141/1000</f>
        <v>-5.3651503839909909E-2</v>
      </c>
    </row>
    <row r="142" spans="1:20" x14ac:dyDescent="0.25">
      <c r="A142" s="5">
        <v>44451</v>
      </c>
      <c r="B142">
        <v>47.43</v>
      </c>
      <c r="C142">
        <v>47.9</v>
      </c>
      <c r="D142">
        <v>44.28</v>
      </c>
      <c r="E142">
        <v>45.62</v>
      </c>
      <c r="F142">
        <v>53262.080000000002</v>
      </c>
      <c r="G142">
        <v>45.62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-0.25966850828729432</v>
      </c>
      <c r="Q142">
        <f t="shared" ref="Q142" si="686">F142*P142</f>
        <v>-13830.484861878533</v>
      </c>
      <c r="R142">
        <f t="shared" ref="R142" si="687">R143+Q142</f>
        <v>-5345560.1403972404</v>
      </c>
      <c r="S142">
        <f t="shared" ref="S142" si="688">R142/100000</f>
        <v>-53.455601403972402</v>
      </c>
      <c r="T142">
        <f t="shared" ref="T142" si="689">S142/1000</f>
        <v>-5.3455601403972403E-2</v>
      </c>
    </row>
    <row r="143" spans="1:20" x14ac:dyDescent="0.25">
      <c r="A143" s="5">
        <v>44450</v>
      </c>
      <c r="B143">
        <v>51.5</v>
      </c>
      <c r="C143">
        <v>53.62</v>
      </c>
      <c r="D143">
        <v>46.16</v>
      </c>
      <c r="E143">
        <v>47.43</v>
      </c>
      <c r="F143">
        <v>93503.92</v>
      </c>
      <c r="G143">
        <v>47.43</v>
      </c>
      <c r="L143" t="s">
        <v>7</v>
      </c>
      <c r="M143" t="s">
        <v>7</v>
      </c>
      <c r="N143" t="s">
        <v>8</v>
      </c>
      <c r="P143">
        <f t="shared" ref="P143" si="690">IF(C143=D143,0,((E143-D143)-(C143-E143))/(C143-D143))</f>
        <v>-0.65951742627345766</v>
      </c>
      <c r="Q143">
        <f t="shared" ref="Q143" si="691">F143*P143</f>
        <v>-61667.464664879284</v>
      </c>
      <c r="R143">
        <f t="shared" ref="R143" si="692">R144+Q143</f>
        <v>-5331729.6555353617</v>
      </c>
      <c r="S143">
        <f t="shared" ref="S143" si="693">R143/100000</f>
        <v>-53.317296555353614</v>
      </c>
      <c r="T143">
        <f t="shared" ref="T143" si="694">S143/1000</f>
        <v>-5.3317296555353617E-2</v>
      </c>
    </row>
    <row r="144" spans="1:20" x14ac:dyDescent="0.25">
      <c r="A144" s="5">
        <v>44449</v>
      </c>
      <c r="B144">
        <v>41.24</v>
      </c>
      <c r="C144">
        <v>55.54</v>
      </c>
      <c r="D144">
        <v>41.15</v>
      </c>
      <c r="E144">
        <v>51.7</v>
      </c>
      <c r="F144">
        <v>402823.15899999999</v>
      </c>
      <c r="G144">
        <v>51.7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0.46629603891591437</v>
      </c>
      <c r="Q144">
        <f t="shared" ref="Q144" si="696">F144*P144</f>
        <v>187834.84342529555</v>
      </c>
      <c r="R144">
        <f t="shared" ref="R144" si="697">R145+Q144</f>
        <v>-5270062.1908704825</v>
      </c>
      <c r="S144">
        <f t="shared" ref="S144" si="698">R144/100000</f>
        <v>-52.700621908704825</v>
      </c>
      <c r="T144">
        <f t="shared" ref="T144" si="699">S144/1000</f>
        <v>-5.2700621908704823E-2</v>
      </c>
    </row>
    <row r="145" spans="1:20" x14ac:dyDescent="0.25">
      <c r="A145" s="5">
        <v>44448</v>
      </c>
      <c r="B145">
        <v>41.44</v>
      </c>
      <c r="C145">
        <v>42.86</v>
      </c>
      <c r="D145">
        <v>39.729999999999997</v>
      </c>
      <c r="E145">
        <v>41.23</v>
      </c>
      <c r="F145">
        <v>58676.06</v>
      </c>
      <c r="G145">
        <v>41.23</v>
      </c>
      <c r="L145" t="s">
        <v>8</v>
      </c>
      <c r="M145" t="s">
        <v>7</v>
      </c>
      <c r="N145" t="s">
        <v>8</v>
      </c>
      <c r="P145">
        <f t="shared" ref="P145" si="700">IF(C145=D145,0,((E145-D145)-(C145-E145))/(C145-D145))</f>
        <v>-4.1533546325879377E-2</v>
      </c>
      <c r="Q145">
        <f t="shared" ref="Q145" si="701">F145*P145</f>
        <v>-2437.0248562300776</v>
      </c>
      <c r="R145">
        <f t="shared" ref="R145" si="702">R146+Q145</f>
        <v>-5457897.0342957778</v>
      </c>
      <c r="S145">
        <f t="shared" ref="S145" si="703">R145/100000</f>
        <v>-54.578970342957781</v>
      </c>
      <c r="T145">
        <f t="shared" ref="T145" si="704">S145/1000</f>
        <v>-5.4578970342957785E-2</v>
      </c>
    </row>
    <row r="146" spans="1:20" x14ac:dyDescent="0.25">
      <c r="A146" s="5">
        <v>44447</v>
      </c>
      <c r="B146">
        <v>42.4</v>
      </c>
      <c r="C146">
        <v>42.71</v>
      </c>
      <c r="D146">
        <v>37.409999999999997</v>
      </c>
      <c r="E146">
        <v>41.44</v>
      </c>
      <c r="F146">
        <v>48480.875999999997</v>
      </c>
      <c r="G146">
        <v>41.44</v>
      </c>
      <c r="L146" t="s">
        <v>7</v>
      </c>
      <c r="M146" t="s">
        <v>7</v>
      </c>
      <c r="N146" t="s">
        <v>8</v>
      </c>
      <c r="P146">
        <f t="shared" ref="P146" si="705">IF(C146=D146,0,((E146-D146)-(C146-E146))/(C146-D146))</f>
        <v>0.52075471698113129</v>
      </c>
      <c r="Q146">
        <f t="shared" ref="Q146" si="706">F146*P146</f>
        <v>25246.644860377321</v>
      </c>
      <c r="R146">
        <f t="shared" ref="R146" si="707">R147+Q146</f>
        <v>-5455460.0094395475</v>
      </c>
      <c r="S146">
        <f t="shared" ref="S146" si="708">R146/100000</f>
        <v>-54.554600094395475</v>
      </c>
      <c r="T146">
        <f t="shared" ref="T146" si="709">S146/1000</f>
        <v>-5.4554600094395472E-2</v>
      </c>
    </row>
    <row r="147" spans="1:20" x14ac:dyDescent="0.25">
      <c r="A147" s="5">
        <v>44446</v>
      </c>
      <c r="B147">
        <v>50.33</v>
      </c>
      <c r="C147">
        <v>51.15</v>
      </c>
      <c r="D147">
        <v>40</v>
      </c>
      <c r="E147">
        <v>42.39</v>
      </c>
      <c r="F147">
        <v>56211.805999999997</v>
      </c>
      <c r="G147">
        <v>42.39</v>
      </c>
      <c r="L147" t="s">
        <v>7</v>
      </c>
      <c r="M147" t="s">
        <v>7</v>
      </c>
      <c r="N147" t="s">
        <v>8</v>
      </c>
      <c r="P147">
        <f t="shared" ref="P147" si="710">IF(C147=D147,0,((E147-D147)-(C147-E147))/(C147-D147))</f>
        <v>-0.5713004484304931</v>
      </c>
      <c r="Q147">
        <f t="shared" ref="Q147" si="711">F147*P147</f>
        <v>-32113.829974887882</v>
      </c>
      <c r="R147">
        <f t="shared" ref="R147" si="712">R148+Q147</f>
        <v>-5480706.6542999251</v>
      </c>
      <c r="S147">
        <f t="shared" ref="S147" si="713">R147/100000</f>
        <v>-54.807066542999252</v>
      </c>
      <c r="T147">
        <f t="shared" ref="T147" si="714">S147/1000</f>
        <v>-5.4807066542999251E-2</v>
      </c>
    </row>
    <row r="148" spans="1:20" x14ac:dyDescent="0.25">
      <c r="A148" s="5">
        <v>44445</v>
      </c>
      <c r="B148">
        <v>48.74</v>
      </c>
      <c r="C148">
        <v>51.16</v>
      </c>
      <c r="D148">
        <v>48.02</v>
      </c>
      <c r="E148">
        <v>50.24</v>
      </c>
      <c r="F148">
        <v>56273.476999999999</v>
      </c>
      <c r="G148">
        <v>50.24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0.41401273885350542</v>
      </c>
      <c r="Q148">
        <f t="shared" ref="Q148" si="716">F148*P148</f>
        <v>23297.936337579744</v>
      </c>
      <c r="R148">
        <f t="shared" ref="R148" si="717">R149+Q148</f>
        <v>-5448592.8243250372</v>
      </c>
      <c r="S148">
        <f t="shared" ref="S148" si="718">R148/100000</f>
        <v>-54.48592824325037</v>
      </c>
      <c r="T148">
        <f t="shared" ref="T148" si="719">S148/1000</f>
        <v>-5.4485928243250367E-2</v>
      </c>
    </row>
    <row r="149" spans="1:20" x14ac:dyDescent="0.25">
      <c r="A149" s="5">
        <v>44444</v>
      </c>
      <c r="B149">
        <v>48.06</v>
      </c>
      <c r="C149">
        <v>49.19</v>
      </c>
      <c r="D149">
        <v>46.43</v>
      </c>
      <c r="E149">
        <v>48.64</v>
      </c>
      <c r="F149">
        <v>21509.31</v>
      </c>
      <c r="G149">
        <v>48.64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0.60144927536232062</v>
      </c>
      <c r="Q149">
        <f t="shared" ref="Q149" si="721">F149*P149</f>
        <v>12936.758913043517</v>
      </c>
      <c r="R149">
        <f t="shared" ref="R149" si="722">R150+Q149</f>
        <v>-5471890.7606626172</v>
      </c>
      <c r="S149">
        <f t="shared" ref="S149" si="723">R149/100000</f>
        <v>-54.718907606626175</v>
      </c>
      <c r="T149">
        <f t="shared" ref="T149" si="724">S149/1000</f>
        <v>-5.4718907606626177E-2</v>
      </c>
    </row>
    <row r="150" spans="1:20" x14ac:dyDescent="0.25">
      <c r="A150" s="5">
        <v>44443</v>
      </c>
      <c r="B150">
        <v>47.84</v>
      </c>
      <c r="C150">
        <v>49.28</v>
      </c>
      <c r="D150">
        <v>46.79</v>
      </c>
      <c r="E150">
        <v>48.07</v>
      </c>
      <c r="F150">
        <v>36726.29</v>
      </c>
      <c r="G150">
        <v>48.07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2.811244979919688E-2</v>
      </c>
      <c r="Q150">
        <f t="shared" ref="Q150" si="726">F150*P150</f>
        <v>1032.4659839357464</v>
      </c>
      <c r="R150">
        <f t="shared" ref="R150" si="727">R151+Q150</f>
        <v>-5484827.519575661</v>
      </c>
      <c r="S150">
        <f t="shared" ref="S150" si="728">R150/100000</f>
        <v>-54.848275195756614</v>
      </c>
      <c r="T150">
        <f t="shared" ref="T150" si="729">S150/1000</f>
        <v>-5.4848275195756614E-2</v>
      </c>
    </row>
    <row r="151" spans="1:20" x14ac:dyDescent="0.25">
      <c r="A151" s="5">
        <v>44442</v>
      </c>
      <c r="B151">
        <v>46.5</v>
      </c>
      <c r="C151">
        <v>51</v>
      </c>
      <c r="D151">
        <v>45.75</v>
      </c>
      <c r="E151">
        <v>47.84</v>
      </c>
      <c r="F151">
        <v>60280.52</v>
      </c>
      <c r="G151">
        <v>47.84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-0.2038095238095225</v>
      </c>
      <c r="Q151">
        <f t="shared" ref="Q151" si="731">F151*P151</f>
        <v>-12285.744076190396</v>
      </c>
      <c r="R151">
        <f t="shared" ref="R151" si="732">R152+Q151</f>
        <v>-5485859.9855595967</v>
      </c>
      <c r="S151">
        <f t="shared" ref="S151" si="733">R151/100000</f>
        <v>-54.858599855595969</v>
      </c>
      <c r="T151">
        <f t="shared" ref="T151" si="734">S151/1000</f>
        <v>-5.485859985559597E-2</v>
      </c>
    </row>
    <row r="152" spans="1:20" x14ac:dyDescent="0.25">
      <c r="A152" s="5">
        <v>44441</v>
      </c>
      <c r="B152">
        <v>46.42</v>
      </c>
      <c r="C152">
        <v>47.49</v>
      </c>
      <c r="D152">
        <v>45.52</v>
      </c>
      <c r="E152">
        <v>46.56</v>
      </c>
      <c r="F152">
        <v>34162.949999999997</v>
      </c>
      <c r="G152">
        <v>46.56</v>
      </c>
      <c r="L152" t="s">
        <v>8</v>
      </c>
      <c r="M152" t="s">
        <v>8</v>
      </c>
      <c r="N152" t="s">
        <v>7</v>
      </c>
      <c r="P152">
        <f t="shared" ref="P152" si="735">IF(C152=D152,0,((E152-D152)-(C152-E152))/(C152-D152))</f>
        <v>5.5837563451776394E-2</v>
      </c>
      <c r="Q152">
        <f t="shared" ref="Q152" si="736">F152*P152</f>
        <v>1907.5758883248641</v>
      </c>
      <c r="R152">
        <f t="shared" ref="R152" si="737">R153+Q152</f>
        <v>-5473574.2414834062</v>
      </c>
      <c r="S152">
        <f t="shared" ref="S152" si="738">R152/100000</f>
        <v>-54.735742414834064</v>
      </c>
      <c r="T152">
        <f t="shared" ref="T152" si="739">S152/1000</f>
        <v>-5.4735742414834067E-2</v>
      </c>
    </row>
    <row r="153" spans="1:20" x14ac:dyDescent="0.25">
      <c r="A153" s="5">
        <v>44440</v>
      </c>
      <c r="B153">
        <v>43.88</v>
      </c>
      <c r="C153">
        <v>48.23</v>
      </c>
      <c r="D153">
        <v>43.34</v>
      </c>
      <c r="E153">
        <v>46.48</v>
      </c>
      <c r="F153">
        <v>62735.934000000001</v>
      </c>
      <c r="G153">
        <v>46.48</v>
      </c>
      <c r="L153" t="s">
        <v>8</v>
      </c>
      <c r="M153" t="s">
        <v>8</v>
      </c>
      <c r="N153" t="s">
        <v>7</v>
      </c>
      <c r="P153">
        <f t="shared" ref="P153" si="740">IF(C153=D153,0,((E153-D153)-(C153-E153))/(C153-D153))</f>
        <v>0.28425357873210538</v>
      </c>
      <c r="Q153">
        <f t="shared" ref="Q153" si="741">F153*P153</f>
        <v>17832.913754601166</v>
      </c>
      <c r="R153">
        <f t="shared" ref="R153" si="742">R154+Q153</f>
        <v>-5475481.8173717307</v>
      </c>
      <c r="S153">
        <f t="shared" ref="S153" si="743">R153/100000</f>
        <v>-54.754818173717304</v>
      </c>
      <c r="T153">
        <f t="shared" ref="T153" si="744">S153/1000</f>
        <v>-5.4754818173717301E-2</v>
      </c>
    </row>
    <row r="154" spans="1:20" x14ac:dyDescent="0.25">
      <c r="A154" s="5">
        <v>44439</v>
      </c>
      <c r="B154">
        <v>42.77</v>
      </c>
      <c r="C154">
        <v>46</v>
      </c>
      <c r="D154">
        <v>42.18</v>
      </c>
      <c r="E154">
        <v>43.88</v>
      </c>
      <c r="F154">
        <v>47832.033000000003</v>
      </c>
      <c r="G154">
        <v>43.88</v>
      </c>
      <c r="L154" t="s">
        <v>7</v>
      </c>
      <c r="M154" t="s">
        <v>8</v>
      </c>
      <c r="N154" t="s">
        <v>7</v>
      </c>
      <c r="P154">
        <f t="shared" ref="P154" si="745">IF(C154=D154,0,((E154-D154)-(C154-E154))/(C154-D154))</f>
        <v>-0.10994764397905617</v>
      </c>
      <c r="Q154">
        <f t="shared" ref="Q154" si="746">F154*P154</f>
        <v>-5259.0193350784666</v>
      </c>
      <c r="R154">
        <f t="shared" ref="R154" si="747">R155+Q154</f>
        <v>-5493314.7311263317</v>
      </c>
      <c r="S154">
        <f t="shared" ref="S154" si="748">R154/100000</f>
        <v>-54.933147311263319</v>
      </c>
      <c r="T154">
        <f t="shared" ref="T154" si="749">S154/1000</f>
        <v>-5.4933147311263322E-2</v>
      </c>
    </row>
    <row r="155" spans="1:20" x14ac:dyDescent="0.25">
      <c r="A155" s="5">
        <v>44438</v>
      </c>
      <c r="B155">
        <v>43.11</v>
      </c>
      <c r="C155">
        <v>45.75</v>
      </c>
      <c r="D155">
        <v>42.15</v>
      </c>
      <c r="E155">
        <v>42.86</v>
      </c>
      <c r="F155">
        <v>83531.213000000003</v>
      </c>
      <c r="G155">
        <v>42.86</v>
      </c>
      <c r="L155" t="s">
        <v>8</v>
      </c>
      <c r="M155" t="s">
        <v>8</v>
      </c>
      <c r="N155" t="s">
        <v>7</v>
      </c>
      <c r="P155">
        <f t="shared" ref="P155" si="750">IF(C155=D155,0,((E155-D155)-(C155-E155))/(C155-D155))</f>
        <v>-0.60555555555555529</v>
      </c>
      <c r="Q155">
        <f t="shared" ref="Q155" si="751">F155*P155</f>
        <v>-50582.790094444426</v>
      </c>
      <c r="R155">
        <f t="shared" ref="R155" si="752">R156+Q155</f>
        <v>-5488055.7117912536</v>
      </c>
      <c r="S155">
        <f t="shared" ref="S155" si="753">R155/100000</f>
        <v>-54.880557117912538</v>
      </c>
      <c r="T155">
        <f t="shared" ref="T155" si="754">S155/1000</f>
        <v>-5.4880557117912537E-2</v>
      </c>
    </row>
    <row r="156" spans="1:20" x14ac:dyDescent="0.25">
      <c r="A156" s="5">
        <v>44437</v>
      </c>
      <c r="B156">
        <v>42.71</v>
      </c>
      <c r="C156">
        <v>43.58</v>
      </c>
      <c r="D156">
        <v>41.54</v>
      </c>
      <c r="E156">
        <v>43.11</v>
      </c>
      <c r="F156">
        <v>33176.230000000003</v>
      </c>
      <c r="G156">
        <v>43.11</v>
      </c>
      <c r="L156" t="s">
        <v>8</v>
      </c>
      <c r="M156" t="s">
        <v>8</v>
      </c>
      <c r="N156" t="s">
        <v>7</v>
      </c>
      <c r="P156">
        <f t="shared" ref="P156" si="755">IF(C156=D156,0,((E156-D156)-(C156-E156))/(C156-D156))</f>
        <v>0.53921568627451077</v>
      </c>
      <c r="Q156">
        <f t="shared" ref="Q156" si="756">F156*P156</f>
        <v>17889.143627451016</v>
      </c>
      <c r="R156">
        <f t="shared" ref="R156" si="757">R157+Q156</f>
        <v>-5437472.9216968091</v>
      </c>
      <c r="S156">
        <f t="shared" ref="S156" si="758">R156/100000</f>
        <v>-54.374729216968092</v>
      </c>
      <c r="T156">
        <f t="shared" ref="T156" si="759">S156/1000</f>
        <v>-5.4374729216968093E-2</v>
      </c>
    </row>
    <row r="157" spans="1:20" x14ac:dyDescent="0.25">
      <c r="A157" s="5">
        <v>44436</v>
      </c>
      <c r="B157">
        <v>43.31</v>
      </c>
      <c r="C157">
        <v>44.58</v>
      </c>
      <c r="D157">
        <v>42.29</v>
      </c>
      <c r="E157">
        <v>42.65</v>
      </c>
      <c r="F157">
        <v>31228.875</v>
      </c>
      <c r="G157">
        <v>42.65</v>
      </c>
      <c r="L157" t="s">
        <v>8</v>
      </c>
      <c r="M157" t="s">
        <v>8</v>
      </c>
      <c r="N157" t="s">
        <v>7</v>
      </c>
      <c r="P157">
        <f t="shared" ref="P157" si="760">IF(C157=D157,0,((E157-D157)-(C157-E157))/(C157-D157))</f>
        <v>-0.6855895196506554</v>
      </c>
      <c r="Q157">
        <f t="shared" ref="Q157" si="761">F157*P157</f>
        <v>-21410.189410480361</v>
      </c>
      <c r="R157">
        <f t="shared" ref="R157" si="762">R158+Q157</f>
        <v>-5455362.0653242599</v>
      </c>
      <c r="S157">
        <f t="shared" ref="S157" si="763">R157/100000</f>
        <v>-54.553620653242596</v>
      </c>
      <c r="T157">
        <f t="shared" ref="T157" si="764">S157/1000</f>
        <v>-5.4553620653242596E-2</v>
      </c>
    </row>
    <row r="158" spans="1:20" x14ac:dyDescent="0.25">
      <c r="A158" s="5">
        <v>44435</v>
      </c>
      <c r="B158">
        <v>41.49</v>
      </c>
      <c r="C158">
        <v>43.4</v>
      </c>
      <c r="D158">
        <v>40.822000000000003</v>
      </c>
      <c r="E158">
        <v>43.29</v>
      </c>
      <c r="F158">
        <v>40195.635999999999</v>
      </c>
      <c r="G158">
        <v>43.29</v>
      </c>
      <c r="L158" t="s">
        <v>7</v>
      </c>
      <c r="M158" t="s">
        <v>8</v>
      </c>
      <c r="N158" t="s">
        <v>7</v>
      </c>
      <c r="P158">
        <f t="shared" ref="P158" si="765">IF(C158=D158,0,((E158-D158)-(C158-E158))/(C158-D158))</f>
        <v>0.91466252909231993</v>
      </c>
      <c r="Q158">
        <f t="shared" ref="Q158" si="766">F158*P158</f>
        <v>36765.442082234302</v>
      </c>
      <c r="R158">
        <f t="shared" ref="R158" si="767">R159+Q158</f>
        <v>-5433951.8759137793</v>
      </c>
      <c r="S158">
        <f t="shared" ref="S158" si="768">R158/100000</f>
        <v>-54.339518759137789</v>
      </c>
      <c r="T158">
        <f t="shared" ref="T158" si="769">S158/1000</f>
        <v>-5.4339518759137791E-2</v>
      </c>
    </row>
    <row r="159" spans="1:20" x14ac:dyDescent="0.25">
      <c r="A159" s="5">
        <v>44434</v>
      </c>
      <c r="B159">
        <v>44.314</v>
      </c>
      <c r="C159">
        <v>44.667000000000002</v>
      </c>
      <c r="D159">
        <v>40.935000000000002</v>
      </c>
      <c r="E159">
        <v>41.46</v>
      </c>
      <c r="F159">
        <v>84047.245999999999</v>
      </c>
      <c r="G159">
        <v>41.46</v>
      </c>
      <c r="L159" t="s">
        <v>7</v>
      </c>
      <c r="M159" t="s">
        <v>8</v>
      </c>
      <c r="N159" t="s">
        <v>7</v>
      </c>
      <c r="P159">
        <f t="shared" ref="P159" si="770">IF(C159=D159,0,((E159-D159)-(C159-E159))/(C159-D159))</f>
        <v>-0.71864951768488816</v>
      </c>
      <c r="Q159">
        <f t="shared" ref="Q159" si="771">F159*P159</f>
        <v>-60400.512800643148</v>
      </c>
      <c r="R159">
        <f t="shared" ref="R159" si="772">R160+Q159</f>
        <v>-5470717.3179960139</v>
      </c>
      <c r="S159">
        <f t="shared" ref="S159" si="773">R159/100000</f>
        <v>-54.707173179960137</v>
      </c>
      <c r="T159">
        <f t="shared" ref="T159" si="774">S159/1000</f>
        <v>-5.4707173179960135E-2</v>
      </c>
    </row>
    <row r="160" spans="1:20" x14ac:dyDescent="0.25">
      <c r="A160" s="5">
        <v>44433</v>
      </c>
      <c r="B160">
        <v>42.527999999999999</v>
      </c>
      <c r="C160">
        <v>44.720999999999997</v>
      </c>
      <c r="D160">
        <v>42.115000000000002</v>
      </c>
      <c r="E160">
        <v>44.234999999999999</v>
      </c>
      <c r="F160">
        <v>40708.506999999998</v>
      </c>
      <c r="G160">
        <v>44.234999999999999</v>
      </c>
      <c r="L160" t="s">
        <v>7</v>
      </c>
      <c r="M160" t="s">
        <v>8</v>
      </c>
      <c r="N160" t="s">
        <v>7</v>
      </c>
      <c r="P160">
        <f t="shared" ref="P160" si="775">IF(C160=D160,0,((E160-D160)-(C160-E160))/(C160-D160))</f>
        <v>0.62701458173446034</v>
      </c>
      <c r="Q160">
        <f t="shared" ref="Q160" si="776">F160*P160</f>
        <v>25524.827489639349</v>
      </c>
      <c r="R160">
        <f t="shared" ref="R160" si="777">R161+Q160</f>
        <v>-5410316.8051953707</v>
      </c>
      <c r="S160">
        <f t="shared" ref="S160" si="778">R160/100000</f>
        <v>-54.103168051953709</v>
      </c>
      <c r="T160">
        <f t="shared" ref="T160" si="779">S160/1000</f>
        <v>-5.4103168051953712E-2</v>
      </c>
    </row>
    <row r="161" spans="1:20" x14ac:dyDescent="0.25">
      <c r="A161" s="5">
        <v>44432</v>
      </c>
      <c r="B161">
        <v>44.744999999999997</v>
      </c>
      <c r="C161">
        <v>44.975000000000001</v>
      </c>
      <c r="D161">
        <v>41.677999999999997</v>
      </c>
      <c r="E161">
        <v>42.543999999999997</v>
      </c>
      <c r="F161">
        <v>52700.071000000004</v>
      </c>
      <c r="G161">
        <v>42.543999999999997</v>
      </c>
      <c r="L161" t="s">
        <v>7</v>
      </c>
      <c r="M161" t="s">
        <v>8</v>
      </c>
      <c r="N161" t="s">
        <v>7</v>
      </c>
      <c r="P161">
        <f t="shared" ref="P161" si="780">IF(C161=D161,0,((E161-D161)-(C161-E161))/(C161-D161))</f>
        <v>-0.47467394601152652</v>
      </c>
      <c r="Q161">
        <f t="shared" ref="Q161" si="781">F161*P161</f>
        <v>-25015.350656657614</v>
      </c>
      <c r="R161">
        <f t="shared" ref="R161" si="782">R162+Q161</f>
        <v>-5435841.6326850103</v>
      </c>
      <c r="S161">
        <f t="shared" ref="S161" si="783">R161/100000</f>
        <v>-54.358416326850104</v>
      </c>
      <c r="T161">
        <f t="shared" ref="T161" si="784">S161/1000</f>
        <v>-5.4358416326850102E-2</v>
      </c>
    </row>
    <row r="162" spans="1:20" x14ac:dyDescent="0.25">
      <c r="A162" s="5">
        <v>44431</v>
      </c>
      <c r="B162">
        <v>44.548999999999999</v>
      </c>
      <c r="C162">
        <v>45.499000000000002</v>
      </c>
      <c r="D162">
        <v>43.529000000000003</v>
      </c>
      <c r="E162">
        <v>44.753999999999998</v>
      </c>
      <c r="F162">
        <v>132739.353</v>
      </c>
      <c r="G162">
        <v>44.753999999999998</v>
      </c>
      <c r="L162" t="s">
        <v>7</v>
      </c>
      <c r="M162" t="s">
        <v>8</v>
      </c>
      <c r="N162" t="s">
        <v>7</v>
      </c>
      <c r="P162">
        <f t="shared" ref="P162" si="785">IF(C162=D162,0,((E162-D162)-(C162-E162))/(C162-D162))</f>
        <v>0.24365482233502034</v>
      </c>
      <c r="Q162">
        <f t="shared" ref="Q162" si="786">F162*P162</f>
        <v>32342.583472080551</v>
      </c>
      <c r="R162">
        <f t="shared" ref="R162" si="787">R163+Q162</f>
        <v>-5410826.2820283528</v>
      </c>
      <c r="S162">
        <f t="shared" ref="S162" si="788">R162/100000</f>
        <v>-54.108262820283528</v>
      </c>
      <c r="T162">
        <f t="shared" ref="T162" si="789">S162/1000</f>
        <v>-5.4108262820283526E-2</v>
      </c>
    </row>
    <row r="163" spans="1:20" x14ac:dyDescent="0.25">
      <c r="A163" s="5">
        <v>44430</v>
      </c>
      <c r="B163">
        <v>42.621000000000002</v>
      </c>
      <c r="C163">
        <v>43.4</v>
      </c>
      <c r="D163">
        <v>42.505000000000003</v>
      </c>
      <c r="E163">
        <v>42.899000000000001</v>
      </c>
      <c r="F163">
        <v>6458.5810000000001</v>
      </c>
      <c r="G163">
        <v>42.899000000000001</v>
      </c>
      <c r="L163" t="s">
        <v>7</v>
      </c>
      <c r="M163" t="s">
        <v>8</v>
      </c>
      <c r="N163" t="s">
        <v>7</v>
      </c>
      <c r="P163">
        <f t="shared" ref="P163" si="790">IF(C163=D163,0,((E163-D163)-(C163-E163))/(C163-D163))</f>
        <v>-0.11955307262569809</v>
      </c>
      <c r="Q163">
        <f t="shared" ref="Q163" si="791">F163*P163</f>
        <v>-772.14320335195384</v>
      </c>
      <c r="R163">
        <f t="shared" ref="R163" si="792">R164+Q163</f>
        <v>-5443168.8655004334</v>
      </c>
      <c r="S163">
        <f t="shared" ref="S163" si="793">R163/100000</f>
        <v>-54.431688655004336</v>
      </c>
      <c r="T163">
        <f t="shared" ref="T163" si="794">S163/1000</f>
        <v>-5.4431688655004334E-2</v>
      </c>
    </row>
    <row r="164" spans="1:20" x14ac:dyDescent="0.25">
      <c r="A164" s="5">
        <v>44429</v>
      </c>
      <c r="B164">
        <v>42.923000000000002</v>
      </c>
      <c r="C164">
        <v>46.093000000000004</v>
      </c>
      <c r="D164">
        <v>42.015000000000001</v>
      </c>
      <c r="E164">
        <v>42.621000000000002</v>
      </c>
      <c r="F164">
        <v>89177.188999999998</v>
      </c>
      <c r="G164">
        <v>42.621000000000002</v>
      </c>
      <c r="L164" t="s">
        <v>8</v>
      </c>
      <c r="M164" t="s">
        <v>8</v>
      </c>
      <c r="N164" t="s">
        <v>7</v>
      </c>
      <c r="P164">
        <f t="shared" ref="P164" si="795">IF(C164=D164,0,((E164-D164)-(C164-E164))/(C164-D164))</f>
        <v>-0.70279548798430547</v>
      </c>
      <c r="Q164">
        <f t="shared" ref="Q164" si="796">F164*P164</f>
        <v>-62673.326060323634</v>
      </c>
      <c r="R164">
        <f t="shared" ref="R164" si="797">R165+Q164</f>
        <v>-5442396.7222970817</v>
      </c>
      <c r="S164">
        <f t="shared" ref="S164" si="798">R164/100000</f>
        <v>-54.423967222970816</v>
      </c>
      <c r="T164">
        <f t="shared" ref="T164" si="799">S164/1000</f>
        <v>-5.4423967222970819E-2</v>
      </c>
    </row>
    <row r="165" spans="1:20" x14ac:dyDescent="0.25">
      <c r="A165" s="5">
        <v>44428</v>
      </c>
      <c r="B165">
        <v>40.956000000000003</v>
      </c>
      <c r="C165">
        <v>43.7</v>
      </c>
      <c r="D165">
        <v>40.820999999999998</v>
      </c>
      <c r="E165">
        <v>42.863</v>
      </c>
      <c r="F165">
        <v>69714.725000000006</v>
      </c>
      <c r="G165">
        <v>42.863</v>
      </c>
      <c r="L165" t="s">
        <v>8</v>
      </c>
      <c r="M165" t="s">
        <v>7</v>
      </c>
      <c r="N165" t="s">
        <v>7</v>
      </c>
      <c r="P165">
        <f t="shared" ref="P165" si="800">IF(C165=D165,0,((E165-D165)-(C165-E165))/(C165-D165))</f>
        <v>0.41854810698158951</v>
      </c>
      <c r="Q165">
        <f t="shared" ref="Q165" si="801">F165*P165</f>
        <v>29178.966177492093</v>
      </c>
      <c r="R165">
        <f t="shared" ref="R165" si="802">R166+Q165</f>
        <v>-5379723.3962367577</v>
      </c>
      <c r="S165">
        <f t="shared" ref="S165" si="803">R165/100000</f>
        <v>-53.797233962367578</v>
      </c>
      <c r="T165">
        <f t="shared" ref="T165" si="804">S165/1000</f>
        <v>-5.3797233962367581E-2</v>
      </c>
    </row>
    <row r="166" spans="1:20" x14ac:dyDescent="0.25">
      <c r="A166" s="5">
        <v>44427</v>
      </c>
      <c r="B166">
        <v>38.505000000000003</v>
      </c>
      <c r="C166">
        <v>40.963999999999999</v>
      </c>
      <c r="D166">
        <v>37.689</v>
      </c>
      <c r="E166">
        <v>40.956000000000003</v>
      </c>
      <c r="F166">
        <v>35852.400999999998</v>
      </c>
      <c r="G166">
        <v>40.956000000000003</v>
      </c>
      <c r="L166" t="s">
        <v>8</v>
      </c>
      <c r="M166" t="s">
        <v>7</v>
      </c>
      <c r="N166" t="s">
        <v>7</v>
      </c>
      <c r="P166">
        <f t="shared" ref="P166" si="805">IF(C166=D166,0,((E166-D166)-(C166-E166))/(C166-D166))</f>
        <v>0.99511450381679656</v>
      </c>
      <c r="Q166">
        <f t="shared" ref="Q166" si="806">F166*P166</f>
        <v>35677.244231755816</v>
      </c>
      <c r="R166">
        <f t="shared" ref="R166" si="807">R167+Q166</f>
        <v>-5408902.3624142502</v>
      </c>
      <c r="S166">
        <f t="shared" ref="S166" si="808">R166/100000</f>
        <v>-54.089023624142499</v>
      </c>
      <c r="T166">
        <f t="shared" ref="T166" si="809">S166/1000</f>
        <v>-5.4089023624142502E-2</v>
      </c>
    </row>
    <row r="167" spans="1:20" x14ac:dyDescent="0.25">
      <c r="A167" s="5">
        <v>44426</v>
      </c>
      <c r="B167">
        <v>39.371000000000002</v>
      </c>
      <c r="C167">
        <v>40.274000000000001</v>
      </c>
      <c r="D167">
        <v>37.96</v>
      </c>
      <c r="E167">
        <v>38.505000000000003</v>
      </c>
      <c r="F167">
        <v>67618.255000000005</v>
      </c>
      <c r="G167">
        <v>38.505000000000003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-0.52895419187553872</v>
      </c>
      <c r="Q167">
        <f t="shared" ref="Q167" si="811">F167*P167</f>
        <v>-35766.959429559109</v>
      </c>
      <c r="R167">
        <f t="shared" ref="R167" si="812">R168+Q167</f>
        <v>-5444579.606646006</v>
      </c>
      <c r="S167">
        <f t="shared" ref="S167" si="813">R167/100000</f>
        <v>-54.445796066460062</v>
      </c>
      <c r="T167">
        <f t="shared" ref="T167" si="814">S167/1000</f>
        <v>-5.4445796066460064E-2</v>
      </c>
    </row>
    <row r="168" spans="1:20" x14ac:dyDescent="0.25">
      <c r="A168" s="5">
        <v>44425</v>
      </c>
      <c r="B168">
        <v>40.670999999999999</v>
      </c>
      <c r="C168">
        <v>42.460999999999999</v>
      </c>
      <c r="D168">
        <v>39</v>
      </c>
      <c r="E168">
        <v>39.371000000000002</v>
      </c>
      <c r="F168">
        <v>56448.396999999997</v>
      </c>
      <c r="G168">
        <v>39.371000000000002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-0.7856110950592301</v>
      </c>
      <c r="Q168">
        <f t="shared" ref="Q168" si="816">F168*P168</f>
        <v>-44346.486981508155</v>
      </c>
      <c r="R168">
        <f t="shared" ref="R168" si="817">R169+Q168</f>
        <v>-5408812.6472164467</v>
      </c>
      <c r="S168">
        <f t="shared" ref="S168" si="818">R168/100000</f>
        <v>-54.088126472164468</v>
      </c>
      <c r="T168">
        <f t="shared" ref="T168" si="819">S168/1000</f>
        <v>-5.4088126472164468E-2</v>
      </c>
    </row>
    <row r="169" spans="1:20" x14ac:dyDescent="0.25">
      <c r="A169" s="5">
        <v>44424</v>
      </c>
      <c r="B169">
        <v>42.109000000000002</v>
      </c>
      <c r="C169">
        <v>43.734000000000002</v>
      </c>
      <c r="D169">
        <v>40.020000000000003</v>
      </c>
      <c r="E169">
        <v>40.622</v>
      </c>
      <c r="F169">
        <v>97286.218999999997</v>
      </c>
      <c r="G169">
        <v>40.622</v>
      </c>
      <c r="L169" t="s">
        <v>8</v>
      </c>
      <c r="M169" t="s">
        <v>7</v>
      </c>
      <c r="N169" t="s">
        <v>7</v>
      </c>
      <c r="P169">
        <f t="shared" ref="P169" si="820">IF(C169=D169,0,((E169-D169)-(C169-E169))/(C169-D169))</f>
        <v>-0.67582121701669517</v>
      </c>
      <c r="Q169">
        <f t="shared" ref="Q169" si="821">F169*P169</f>
        <v>-65748.090923532727</v>
      </c>
      <c r="R169">
        <f t="shared" ref="R169" si="822">R170+Q169</f>
        <v>-5364466.1602349384</v>
      </c>
      <c r="S169">
        <f t="shared" ref="S169" si="823">R169/100000</f>
        <v>-53.64466160234938</v>
      </c>
      <c r="T169">
        <f t="shared" ref="T169" si="824">S169/1000</f>
        <v>-5.3644661602349382E-2</v>
      </c>
    </row>
    <row r="170" spans="1:20" x14ac:dyDescent="0.25">
      <c r="A170" s="5">
        <v>44423</v>
      </c>
      <c r="B170">
        <v>41.676000000000002</v>
      </c>
      <c r="C170">
        <v>42.338000000000001</v>
      </c>
      <c r="D170">
        <v>40.512999999999998</v>
      </c>
      <c r="E170">
        <v>42.091000000000001</v>
      </c>
      <c r="F170">
        <v>108221.545</v>
      </c>
      <c r="G170">
        <v>42.091000000000001</v>
      </c>
      <c r="L170" t="s">
        <v>7</v>
      </c>
      <c r="M170" t="s">
        <v>7</v>
      </c>
      <c r="N170" t="s">
        <v>7</v>
      </c>
      <c r="P170">
        <f t="shared" ref="P170" si="825">IF(C170=D170,0,((E170-D170)-(C170-E170))/(C170-D170))</f>
        <v>0.7293150684931512</v>
      </c>
      <c r="Q170">
        <f t="shared" ref="Q170" si="826">F170*P170</f>
        <v>78927.603504109647</v>
      </c>
      <c r="R170">
        <f t="shared" ref="R170" si="827">R171+Q170</f>
        <v>-5298718.0693114055</v>
      </c>
      <c r="S170">
        <f t="shared" ref="S170" si="828">R170/100000</f>
        <v>-52.987180693114055</v>
      </c>
      <c r="T170">
        <f t="shared" ref="T170" si="829">S170/1000</f>
        <v>-5.2987180693114054E-2</v>
      </c>
    </row>
    <row r="171" spans="1:20" x14ac:dyDescent="0.25">
      <c r="A171" s="5">
        <v>44422</v>
      </c>
      <c r="B171">
        <v>42.777000000000001</v>
      </c>
      <c r="C171">
        <v>43.152999999999999</v>
      </c>
      <c r="D171">
        <v>40.140999999999998</v>
      </c>
      <c r="E171">
        <v>41.65</v>
      </c>
      <c r="F171">
        <v>51710.599000000002</v>
      </c>
      <c r="G171">
        <v>41.65</v>
      </c>
      <c r="L171" t="s">
        <v>8</v>
      </c>
      <c r="M171" t="s">
        <v>7</v>
      </c>
      <c r="N171" t="s">
        <v>7</v>
      </c>
      <c r="P171">
        <f t="shared" ref="P171" si="830">IF(C171=D171,0,((E171-D171)-(C171-E171))/(C171-D171))</f>
        <v>1.9920318725100352E-3</v>
      </c>
      <c r="Q171">
        <f t="shared" ref="Q171" si="831">F171*P171</f>
        <v>103.00916135458556</v>
      </c>
      <c r="R171">
        <f t="shared" ref="R171" si="832">R172+Q171</f>
        <v>-5377645.6728155147</v>
      </c>
      <c r="S171">
        <f t="shared" ref="S171" si="833">R171/100000</f>
        <v>-53.776456728155146</v>
      </c>
      <c r="T171">
        <f t="shared" ref="T171" si="834">S171/1000</f>
        <v>-5.3776456728155148E-2</v>
      </c>
    </row>
    <row r="172" spans="1:20" x14ac:dyDescent="0.25">
      <c r="A172" s="5">
        <v>44421</v>
      </c>
      <c r="B172">
        <v>39.607999999999997</v>
      </c>
      <c r="C172">
        <v>42.982999999999997</v>
      </c>
      <c r="D172">
        <v>39.454999999999998</v>
      </c>
      <c r="E172">
        <v>42.779000000000003</v>
      </c>
      <c r="F172">
        <v>45807.184000000001</v>
      </c>
      <c r="G172">
        <v>42.779000000000003</v>
      </c>
      <c r="L172" t="s">
        <v>8</v>
      </c>
      <c r="M172" t="s">
        <v>7</v>
      </c>
      <c r="N172" t="s">
        <v>7</v>
      </c>
      <c r="P172">
        <f t="shared" ref="P172" si="835">IF(C172=D172,0,((E172-D172)-(C172-E172))/(C172-D172))</f>
        <v>0.88435374149660229</v>
      </c>
      <c r="Q172">
        <f t="shared" ref="Q172" si="836">F172*P172</f>
        <v>40509.754557823297</v>
      </c>
      <c r="R172">
        <f t="shared" ref="R172" si="837">R173+Q172</f>
        <v>-5377748.6819768697</v>
      </c>
      <c r="S172">
        <f t="shared" ref="S172" si="838">R172/100000</f>
        <v>-53.777486819768697</v>
      </c>
      <c r="T172">
        <f t="shared" ref="T172" si="839">S172/1000</f>
        <v>-5.3777486819768697E-2</v>
      </c>
    </row>
    <row r="173" spans="1:20" x14ac:dyDescent="0.25">
      <c r="A173" s="5">
        <v>44420</v>
      </c>
      <c r="B173">
        <v>41.408000000000001</v>
      </c>
      <c r="C173">
        <v>42.536999999999999</v>
      </c>
      <c r="D173">
        <v>38.597999999999999</v>
      </c>
      <c r="E173">
        <v>39.619</v>
      </c>
      <c r="F173">
        <v>56401.527000000002</v>
      </c>
      <c r="G173">
        <v>39.619</v>
      </c>
      <c r="L173" t="s">
        <v>7</v>
      </c>
      <c r="M173" t="s">
        <v>7</v>
      </c>
      <c r="N173" t="s">
        <v>7</v>
      </c>
      <c r="P173">
        <f t="shared" ref="P173" si="840">IF(C173=D173,0,((E173-D173)-(C173-E173))/(C173-D173))</f>
        <v>-0.4815943132774812</v>
      </c>
      <c r="Q173">
        <f t="shared" ref="Q173" si="841">F173*P173</f>
        <v>-27162.654663366317</v>
      </c>
      <c r="R173">
        <f t="shared" ref="R173" si="842">R174+Q173</f>
        <v>-5418258.4365346925</v>
      </c>
      <c r="S173">
        <f t="shared" ref="S173" si="843">R173/100000</f>
        <v>-54.182584365346926</v>
      </c>
      <c r="T173">
        <f t="shared" ref="T173" si="844">S173/1000</f>
        <v>-5.4182584365346925E-2</v>
      </c>
    </row>
    <row r="174" spans="1:20" x14ac:dyDescent="0.25">
      <c r="A174" s="5">
        <v>44419</v>
      </c>
      <c r="B174">
        <v>39.65</v>
      </c>
      <c r="C174">
        <v>43.826000000000001</v>
      </c>
      <c r="D174">
        <v>39.573999999999998</v>
      </c>
      <c r="E174">
        <v>41.408000000000001</v>
      </c>
      <c r="F174">
        <v>121201.023</v>
      </c>
      <c r="G174">
        <v>41.408000000000001</v>
      </c>
      <c r="L174" t="s">
        <v>8</v>
      </c>
      <c r="M174" t="s">
        <v>7</v>
      </c>
      <c r="N174" t="s">
        <v>7</v>
      </c>
      <c r="P174">
        <f t="shared" ref="P174" si="845">IF(C174=D174,0,((E174-D174)-(C174-E174))/(C174-D174))</f>
        <v>-0.13734713076199334</v>
      </c>
      <c r="Q174">
        <f t="shared" ref="Q174" si="846">F174*P174</f>
        <v>-16646.612754468362</v>
      </c>
      <c r="R174">
        <f t="shared" ref="R174" si="847">R175+Q174</f>
        <v>-5391095.7818713263</v>
      </c>
      <c r="S174">
        <f t="shared" ref="S174" si="848">R174/100000</f>
        <v>-53.910957818713264</v>
      </c>
      <c r="T174">
        <f t="shared" ref="T174" si="849">S174/1000</f>
        <v>-5.3910957818713266E-2</v>
      </c>
    </row>
    <row r="175" spans="1:20" x14ac:dyDescent="0.25">
      <c r="A175" s="5">
        <v>44418</v>
      </c>
      <c r="B175">
        <v>39.274000000000001</v>
      </c>
      <c r="C175">
        <v>40.923999999999999</v>
      </c>
      <c r="D175">
        <v>38.759</v>
      </c>
      <c r="E175">
        <v>39.609000000000002</v>
      </c>
      <c r="F175">
        <v>55271.764000000003</v>
      </c>
      <c r="G175">
        <v>39.609000000000002</v>
      </c>
      <c r="L175" t="s">
        <v>8</v>
      </c>
      <c r="M175" t="s">
        <v>7</v>
      </c>
      <c r="N175" t="s">
        <v>7</v>
      </c>
      <c r="P175">
        <f t="shared" ref="P175" si="850">IF(C175=D175,0,((E175-D175)-(C175-E175))/(C175-D175))</f>
        <v>-0.21478060046189215</v>
      </c>
      <c r="Q175">
        <f t="shared" ref="Q175" si="851">F175*P175</f>
        <v>-11871.302660507994</v>
      </c>
      <c r="R175">
        <f t="shared" ref="R175" si="852">R176+Q175</f>
        <v>-5374449.1691168575</v>
      </c>
      <c r="S175">
        <f t="shared" ref="S175" si="853">R175/100000</f>
        <v>-53.744491691168577</v>
      </c>
      <c r="T175">
        <f t="shared" ref="T175" si="854">S175/1000</f>
        <v>-5.3744491691168579E-2</v>
      </c>
    </row>
    <row r="176" spans="1:20" x14ac:dyDescent="0.25">
      <c r="A176" s="5">
        <v>44417</v>
      </c>
      <c r="B176">
        <v>38.28</v>
      </c>
      <c r="C176">
        <v>39.799999999999997</v>
      </c>
      <c r="D176">
        <v>37.057000000000002</v>
      </c>
      <c r="E176">
        <v>39.274000000000001</v>
      </c>
      <c r="F176">
        <v>65685.607999999993</v>
      </c>
      <c r="G176">
        <v>39.274000000000001</v>
      </c>
      <c r="L176" t="s">
        <v>7</v>
      </c>
      <c r="M176" t="s">
        <v>7</v>
      </c>
      <c r="N176" t="s">
        <v>7</v>
      </c>
      <c r="P176">
        <f t="shared" ref="P176" si="855">IF(C176=D176,0,((E176-D176)-(C176-E176))/(C176-D176))</f>
        <v>0.61647830842143847</v>
      </c>
      <c r="Q176">
        <f t="shared" ref="Q176" si="856">F176*P176</f>
        <v>40493.752507473699</v>
      </c>
      <c r="R176">
        <f t="shared" ref="R176" si="857">R177+Q176</f>
        <v>-5362577.8664563494</v>
      </c>
      <c r="S176">
        <f t="shared" ref="S176" si="858">R176/100000</f>
        <v>-53.625778664563491</v>
      </c>
      <c r="T176">
        <f t="shared" ref="T176" si="859">S176/1000</f>
        <v>-5.3625778664563493E-2</v>
      </c>
    </row>
    <row r="177" spans="1:20" x14ac:dyDescent="0.25">
      <c r="A177" s="5">
        <v>44416</v>
      </c>
      <c r="B177">
        <v>39.621000000000002</v>
      </c>
      <c r="C177">
        <v>40.5</v>
      </c>
      <c r="D177">
        <v>37.959000000000003</v>
      </c>
      <c r="E177">
        <v>38.293999999999997</v>
      </c>
      <c r="F177">
        <v>103463.326</v>
      </c>
      <c r="G177">
        <v>38.293999999999997</v>
      </c>
      <c r="L177" t="s">
        <v>7</v>
      </c>
      <c r="M177" t="s">
        <v>7</v>
      </c>
      <c r="N177" t="s">
        <v>7</v>
      </c>
      <c r="P177">
        <f t="shared" ref="P177" si="860">IF(C177=D177,0,((E177-D177)-(C177-E177))/(C177-D177))</f>
        <v>-0.7363242817788318</v>
      </c>
      <c r="Q177">
        <f t="shared" ref="Q177" si="861">F177*P177</f>
        <v>-76182.559207399128</v>
      </c>
      <c r="R177">
        <f t="shared" ref="R177" si="862">R178+Q177</f>
        <v>-5403071.6189638227</v>
      </c>
      <c r="S177">
        <f t="shared" ref="S177" si="863">R177/100000</f>
        <v>-54.030716189638227</v>
      </c>
      <c r="T177">
        <f t="shared" ref="T177" si="864">S177/1000</f>
        <v>-5.4030716189638228E-2</v>
      </c>
    </row>
    <row r="178" spans="1:20" x14ac:dyDescent="0.25">
      <c r="A178" s="5">
        <v>44415</v>
      </c>
      <c r="B178">
        <v>38.96</v>
      </c>
      <c r="C178">
        <v>41.5</v>
      </c>
      <c r="D178">
        <v>38.795000000000002</v>
      </c>
      <c r="E178">
        <v>39.594000000000001</v>
      </c>
      <c r="F178">
        <v>133602.15</v>
      </c>
      <c r="G178">
        <v>39.594000000000001</v>
      </c>
      <c r="L178" t="s">
        <v>8</v>
      </c>
      <c r="M178" t="s">
        <v>7</v>
      </c>
      <c r="N178" t="s">
        <v>7</v>
      </c>
      <c r="P178">
        <f t="shared" ref="P178" si="865">IF(C178=D178,0,((E178-D178)-(C178-E178))/(C178-D178))</f>
        <v>-0.4092421441774492</v>
      </c>
      <c r="Q178">
        <f t="shared" ref="Q178" si="866">F178*P178</f>
        <v>-54675.630332717192</v>
      </c>
      <c r="R178">
        <f t="shared" ref="R178" si="867">R179+Q178</f>
        <v>-5326889.0597564233</v>
      </c>
      <c r="S178">
        <f t="shared" ref="S178" si="868">R178/100000</f>
        <v>-53.26889059756423</v>
      </c>
      <c r="T178">
        <f t="shared" ref="T178" si="869">S178/1000</f>
        <v>-5.3268890597564227E-2</v>
      </c>
    </row>
    <row r="179" spans="1:20" x14ac:dyDescent="0.25">
      <c r="A179" s="5">
        <v>44414</v>
      </c>
      <c r="B179">
        <v>39.149000000000001</v>
      </c>
      <c r="C179">
        <v>39.579000000000001</v>
      </c>
      <c r="D179">
        <v>37.6</v>
      </c>
      <c r="E179">
        <v>38.96</v>
      </c>
      <c r="F179">
        <v>86726.3</v>
      </c>
      <c r="G179">
        <v>38.96</v>
      </c>
      <c r="L179" t="s">
        <v>7</v>
      </c>
      <c r="M179" t="s">
        <v>7</v>
      </c>
      <c r="N179" t="s">
        <v>7</v>
      </c>
      <c r="P179">
        <f t="shared" ref="P179" si="870">IF(C179=D179,0,((E179-D179)-(C179-E179))/(C179-D179))</f>
        <v>0.37443153107630112</v>
      </c>
      <c r="Q179">
        <f t="shared" ref="Q179" si="871">F179*P179</f>
        <v>32473.061293582614</v>
      </c>
      <c r="R179">
        <f t="shared" ref="R179" si="872">R180+Q179</f>
        <v>-5272213.4294237066</v>
      </c>
      <c r="S179">
        <f t="shared" ref="S179" si="873">R179/100000</f>
        <v>-52.722134294237065</v>
      </c>
      <c r="T179">
        <f t="shared" ref="T179" si="874">S179/1000</f>
        <v>-5.2722134294237062E-2</v>
      </c>
    </row>
    <row r="180" spans="1:20" x14ac:dyDescent="0.25">
      <c r="A180" s="5">
        <v>44413</v>
      </c>
      <c r="B180">
        <v>38.871000000000002</v>
      </c>
      <c r="C180">
        <v>39.655999999999999</v>
      </c>
      <c r="D180">
        <v>37.529000000000003</v>
      </c>
      <c r="E180">
        <v>39.15</v>
      </c>
      <c r="F180">
        <v>82359.638000000006</v>
      </c>
      <c r="G180">
        <v>39.15</v>
      </c>
      <c r="L180" t="s">
        <v>7</v>
      </c>
      <c r="M180" t="s">
        <v>7</v>
      </c>
      <c r="N180" t="s">
        <v>7</v>
      </c>
      <c r="P180">
        <f t="shared" ref="P180" si="875">IF(C180=D180,0,((E180-D180)-(C180-E180))/(C180-D180))</f>
        <v>0.52421250587682056</v>
      </c>
      <c r="Q180">
        <f t="shared" ref="Q180" si="876">F180*P180</f>
        <v>43173.95221908782</v>
      </c>
      <c r="R180">
        <f t="shared" ref="R180" si="877">R181+Q180</f>
        <v>-5304686.490717289</v>
      </c>
      <c r="S180">
        <f t="shared" ref="S180" si="878">R180/100000</f>
        <v>-53.046864907172889</v>
      </c>
      <c r="T180">
        <f t="shared" ref="T180" si="879">S180/1000</f>
        <v>-5.3046864907172891E-2</v>
      </c>
    </row>
    <row r="181" spans="1:20" x14ac:dyDescent="0.25">
      <c r="A181" s="5">
        <v>44412</v>
      </c>
      <c r="B181">
        <v>37.895000000000003</v>
      </c>
      <c r="C181">
        <v>42.99</v>
      </c>
      <c r="D181">
        <v>37.295999999999999</v>
      </c>
      <c r="E181">
        <v>38.890999999999998</v>
      </c>
      <c r="F181">
        <v>201910.86300000001</v>
      </c>
      <c r="G181">
        <v>38.890999999999998</v>
      </c>
      <c r="L181" t="s">
        <v>7</v>
      </c>
      <c r="M181" t="s">
        <v>7</v>
      </c>
      <c r="N181" t="s">
        <v>7</v>
      </c>
      <c r="P181">
        <f t="shared" ref="P181" si="880">IF(C181=D181,0,((E181-D181)-(C181-E181))/(C181-D181))</f>
        <v>-0.43976115208991989</v>
      </c>
      <c r="Q181">
        <f t="shared" ref="Q181" si="881">F181*P181</f>
        <v>-88792.553732349988</v>
      </c>
      <c r="R181">
        <f t="shared" ref="R181" si="882">R182+Q181</f>
        <v>-5347860.4429363767</v>
      </c>
      <c r="S181">
        <f t="shared" ref="S181" si="883">R181/100000</f>
        <v>-53.47860442936377</v>
      </c>
      <c r="T181">
        <f t="shared" ref="T181" si="884">S181/1000</f>
        <v>-5.3478604429363773E-2</v>
      </c>
    </row>
    <row r="182" spans="1:20" x14ac:dyDescent="0.25">
      <c r="A182" s="5">
        <v>44411</v>
      </c>
      <c r="B182">
        <v>38.567</v>
      </c>
      <c r="C182">
        <v>56.587000000000003</v>
      </c>
      <c r="D182">
        <v>37.604999999999997</v>
      </c>
      <c r="E182">
        <v>37.895000000000003</v>
      </c>
      <c r="F182">
        <v>752623.74899999995</v>
      </c>
      <c r="G182">
        <v>37.895000000000003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-0.96944473711937562</v>
      </c>
      <c r="Q182">
        <f t="shared" ref="Q182" si="886">F182*P182</f>
        <v>-729627.1324991039</v>
      </c>
      <c r="R182">
        <f t="shared" ref="R182" si="887">R183+Q182</f>
        <v>-5259067.8892040271</v>
      </c>
      <c r="S182">
        <f t="shared" ref="S182" si="888">R182/100000</f>
        <v>-52.590678892040273</v>
      </c>
      <c r="T182">
        <f t="shared" ref="T182" si="889">S182/1000</f>
        <v>-5.259067889204027E-2</v>
      </c>
    </row>
    <row r="183" spans="1:20" x14ac:dyDescent="0.25">
      <c r="A183" s="5">
        <v>44410</v>
      </c>
      <c r="B183">
        <v>38.594000000000001</v>
      </c>
      <c r="C183">
        <v>38.783999999999999</v>
      </c>
      <c r="D183">
        <v>36.832000000000001</v>
      </c>
      <c r="E183">
        <v>38.491</v>
      </c>
      <c r="F183">
        <v>54596.866000000002</v>
      </c>
      <c r="G183">
        <v>38.491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0.69979508196721363</v>
      </c>
      <c r="Q183">
        <f t="shared" ref="Q183" si="891">F183*P183</f>
        <v>38206.618317622982</v>
      </c>
      <c r="R183">
        <f t="shared" ref="R183" si="892">R184+Q183</f>
        <v>-4529440.7567049228</v>
      </c>
      <c r="S183">
        <f t="shared" ref="S183" si="893">R183/100000</f>
        <v>-45.294407567049227</v>
      </c>
      <c r="T183">
        <f t="shared" ref="T183" si="894">S183/1000</f>
        <v>-4.5294407567049229E-2</v>
      </c>
    </row>
    <row r="184" spans="1:20" x14ac:dyDescent="0.25">
      <c r="A184" s="5">
        <v>44409</v>
      </c>
      <c r="B184">
        <v>38.372</v>
      </c>
      <c r="C184">
        <v>39.732999999999997</v>
      </c>
      <c r="D184">
        <v>38.027999999999999</v>
      </c>
      <c r="E184">
        <v>38.576999999999998</v>
      </c>
      <c r="F184">
        <v>51682.493000000002</v>
      </c>
      <c r="G184">
        <v>38.576999999999998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-0.35601173020527854</v>
      </c>
      <c r="Q184">
        <f t="shared" ref="Q184" si="896">F184*P184</f>
        <v>-18399.573754252197</v>
      </c>
      <c r="R184">
        <f t="shared" ref="R184" si="897">R185+Q184</f>
        <v>-4567647.3750225455</v>
      </c>
      <c r="S184">
        <f t="shared" ref="S184" si="898">R184/100000</f>
        <v>-45.676473750225455</v>
      </c>
      <c r="T184">
        <f t="shared" ref="T184" si="899">S184/1000</f>
        <v>-4.5676473750225453E-2</v>
      </c>
    </row>
    <row r="185" spans="1:20" x14ac:dyDescent="0.25">
      <c r="A185" s="5">
        <v>44408</v>
      </c>
      <c r="B185">
        <v>38.734999999999999</v>
      </c>
      <c r="C185">
        <v>40.595999999999997</v>
      </c>
      <c r="D185">
        <v>37.694000000000003</v>
      </c>
      <c r="E185">
        <v>38.338000000000001</v>
      </c>
      <c r="F185">
        <v>66503.290999999997</v>
      </c>
      <c r="G185">
        <v>38.338000000000001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-0.55616815988973145</v>
      </c>
      <c r="Q185">
        <f t="shared" ref="Q185" si="901">F185*P185</f>
        <v>-36987.012982081338</v>
      </c>
      <c r="R185">
        <f t="shared" ref="R185" si="902">R186+Q185</f>
        <v>-4549247.8012682935</v>
      </c>
      <c r="S185">
        <f t="shared" ref="S185" si="903">R185/100000</f>
        <v>-45.492478012682938</v>
      </c>
      <c r="T185">
        <f t="shared" ref="T185" si="904">S185/1000</f>
        <v>-4.5492478012682941E-2</v>
      </c>
    </row>
    <row r="186" spans="1:20" x14ac:dyDescent="0.25">
      <c r="A186" s="5">
        <v>44407</v>
      </c>
      <c r="B186">
        <v>38.042000000000002</v>
      </c>
      <c r="C186">
        <v>38.737000000000002</v>
      </c>
      <c r="D186">
        <v>36.052</v>
      </c>
      <c r="E186">
        <v>38.719000000000001</v>
      </c>
      <c r="F186">
        <v>45352.197</v>
      </c>
      <c r="G186">
        <v>38.719000000000001</v>
      </c>
      <c r="L186" t="s">
        <v>8</v>
      </c>
      <c r="M186" t="s">
        <v>7</v>
      </c>
      <c r="N186" t="s">
        <v>8</v>
      </c>
      <c r="P186">
        <f t="shared" ref="P186" si="905">IF(C186=D186,0,((E186-D186)-(C186-E186))/(C186-D186))</f>
        <v>0.98659217877094918</v>
      </c>
      <c r="Q186">
        <f t="shared" ref="Q186" si="906">F186*P186</f>
        <v>44744.122850279302</v>
      </c>
      <c r="R186">
        <f t="shared" ref="R186" si="907">R187+Q186</f>
        <v>-4512260.7882862119</v>
      </c>
      <c r="S186">
        <f t="shared" ref="S186" si="908">R186/100000</f>
        <v>-45.12260788286212</v>
      </c>
      <c r="T186">
        <f t="shared" ref="T186" si="909">S186/1000</f>
        <v>-4.5122607882862119E-2</v>
      </c>
    </row>
    <row r="187" spans="1:20" x14ac:dyDescent="0.25">
      <c r="A187" s="5">
        <v>44406</v>
      </c>
      <c r="B187">
        <v>36.338000000000001</v>
      </c>
      <c r="C187">
        <v>38.802999999999997</v>
      </c>
      <c r="D187">
        <v>35.811999999999998</v>
      </c>
      <c r="E187">
        <v>38.042000000000002</v>
      </c>
      <c r="F187">
        <v>61845.529000000002</v>
      </c>
      <c r="G187">
        <v>38.042000000000002</v>
      </c>
      <c r="L187" t="s">
        <v>8</v>
      </c>
      <c r="M187" t="s">
        <v>7</v>
      </c>
      <c r="N187" t="s">
        <v>8</v>
      </c>
      <c r="P187">
        <f t="shared" ref="P187" si="910">IF(C187=D187,0,((E187-D187)-(C187-E187))/(C187-D187))</f>
        <v>0.49114008692745187</v>
      </c>
      <c r="Q187">
        <f t="shared" ref="Q187" si="911">F187*P187</f>
        <v>30374.818489134246</v>
      </c>
      <c r="R187">
        <f t="shared" ref="R187" si="912">R188+Q187</f>
        <v>-4557004.9111364912</v>
      </c>
      <c r="S187">
        <f t="shared" ref="S187" si="913">R187/100000</f>
        <v>-45.570049111364909</v>
      </c>
      <c r="T187">
        <f t="shared" ref="T187" si="914">S187/1000</f>
        <v>-4.5570049111364912E-2</v>
      </c>
    </row>
    <row r="188" spans="1:20" x14ac:dyDescent="0.25">
      <c r="A188" s="5">
        <v>44405</v>
      </c>
      <c r="B188">
        <v>37.137</v>
      </c>
      <c r="C188">
        <v>37.137</v>
      </c>
      <c r="D188">
        <v>35.021999999999998</v>
      </c>
      <c r="E188">
        <v>36.338000000000001</v>
      </c>
      <c r="F188">
        <v>48662.444000000003</v>
      </c>
      <c r="G188">
        <v>36.338000000000001</v>
      </c>
      <c r="L188" t="s">
        <v>7</v>
      </c>
      <c r="M188" t="s">
        <v>7</v>
      </c>
      <c r="N188" t="s">
        <v>8</v>
      </c>
      <c r="P188">
        <f t="shared" ref="P188" si="915">IF(C188=D188,0,((E188-D188)-(C188-E188))/(C188-D188))</f>
        <v>0.24444444444444563</v>
      </c>
      <c r="Q188">
        <f t="shared" ref="Q188" si="916">F188*P188</f>
        <v>11895.264088888947</v>
      </c>
      <c r="R188">
        <f t="shared" ref="R188" si="917">R189+Q188</f>
        <v>-4587379.7296256255</v>
      </c>
      <c r="S188">
        <f t="shared" ref="S188" si="918">R188/100000</f>
        <v>-45.873797296256257</v>
      </c>
      <c r="T188">
        <f t="shared" ref="T188" si="919">S188/1000</f>
        <v>-4.5873797296256257E-2</v>
      </c>
    </row>
    <row r="189" spans="1:20" x14ac:dyDescent="0.25">
      <c r="A189" s="5">
        <v>44404</v>
      </c>
      <c r="B189">
        <v>33.850999999999999</v>
      </c>
      <c r="C189">
        <v>37.942</v>
      </c>
      <c r="D189">
        <v>33.572000000000003</v>
      </c>
      <c r="E189">
        <v>37.197000000000003</v>
      </c>
      <c r="F189">
        <v>59396.131000000001</v>
      </c>
      <c r="G189">
        <v>37.197000000000003</v>
      </c>
      <c r="L189" t="s">
        <v>8</v>
      </c>
      <c r="M189" t="s">
        <v>7</v>
      </c>
      <c r="N189" t="s">
        <v>8</v>
      </c>
      <c r="P189">
        <f t="shared" ref="P189" si="920">IF(C189=D189,0,((E189-D189)-(C189-E189))/(C189-D189))</f>
        <v>0.65903890160183165</v>
      </c>
      <c r="Q189">
        <f t="shared" ref="Q189" si="921">F189*P189</f>
        <v>39144.360933638505</v>
      </c>
      <c r="R189">
        <f t="shared" ref="R189" si="922">R190+Q189</f>
        <v>-4599274.9937145142</v>
      </c>
      <c r="S189">
        <f t="shared" ref="S189" si="923">R189/100000</f>
        <v>-45.992749937145142</v>
      </c>
      <c r="T189">
        <f t="shared" ref="T189" si="924">S189/1000</f>
        <v>-4.5992749937145139E-2</v>
      </c>
    </row>
    <row r="190" spans="1:20" x14ac:dyDescent="0.25">
      <c r="A190" s="5">
        <v>44403</v>
      </c>
      <c r="B190">
        <v>35.01</v>
      </c>
      <c r="C190">
        <v>37.39</v>
      </c>
      <c r="D190">
        <v>33.475000000000001</v>
      </c>
      <c r="E190">
        <v>33.866</v>
      </c>
      <c r="F190">
        <v>123628.63499999999</v>
      </c>
      <c r="G190">
        <v>33.866</v>
      </c>
      <c r="L190" t="s">
        <v>7</v>
      </c>
      <c r="M190" t="s">
        <v>7</v>
      </c>
      <c r="N190" t="s">
        <v>8</v>
      </c>
      <c r="P190">
        <f t="shared" ref="P190" si="925">IF(C190=D190,0,((E190-D190)-(C190-E190))/(C190-D190))</f>
        <v>-0.80025542784163561</v>
      </c>
      <c r="Q190">
        <f t="shared" ref="Q190" si="926">F190*P190</f>
        <v>-98934.486195402409</v>
      </c>
      <c r="R190">
        <f t="shared" ref="R190" si="927">R191+Q190</f>
        <v>-4638419.3546481524</v>
      </c>
      <c r="S190">
        <f t="shared" ref="S190" si="928">R190/100000</f>
        <v>-46.384193546481526</v>
      </c>
      <c r="T190">
        <f t="shared" ref="T190" si="929">S190/1000</f>
        <v>-4.6384193546481524E-2</v>
      </c>
    </row>
    <row r="191" spans="1:20" x14ac:dyDescent="0.25">
      <c r="A191" s="5">
        <v>44402</v>
      </c>
      <c r="B191">
        <v>32.768000000000001</v>
      </c>
      <c r="C191">
        <v>39.264000000000003</v>
      </c>
      <c r="D191">
        <v>32.581000000000003</v>
      </c>
      <c r="E191">
        <v>35.055</v>
      </c>
      <c r="F191">
        <v>152338.98000000001</v>
      </c>
      <c r="G191">
        <v>35.055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-0.25961394583271086</v>
      </c>
      <c r="Q191">
        <f t="shared" ref="Q191" si="931">F191*P191</f>
        <v>-39549.323701930429</v>
      </c>
      <c r="R191">
        <f t="shared" ref="R191" si="932">R192+Q191</f>
        <v>-4539484.8684527501</v>
      </c>
      <c r="S191">
        <f t="shared" ref="S191" si="933">R191/100000</f>
        <v>-45.394848684527503</v>
      </c>
      <c r="T191">
        <f t="shared" ref="T191:T197" si="934">S191/1000</f>
        <v>-4.5394848684527506E-2</v>
      </c>
    </row>
    <row r="192" spans="1:20" x14ac:dyDescent="0.25">
      <c r="A192" s="5">
        <v>44401</v>
      </c>
      <c r="B192">
        <v>32.36</v>
      </c>
      <c r="C192">
        <v>34.21</v>
      </c>
      <c r="D192">
        <v>31.766999999999999</v>
      </c>
      <c r="E192">
        <v>32.825000000000003</v>
      </c>
      <c r="F192">
        <v>39533.154999999999</v>
      </c>
      <c r="G192">
        <v>32.825000000000003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-0.13385182153090236</v>
      </c>
      <c r="Q192">
        <f t="shared" ref="Q192" si="936">F192*P192</f>
        <v>-5291.5848076134998</v>
      </c>
      <c r="R192">
        <f t="shared" ref="R192" si="937">R193+Q192</f>
        <v>-4499935.5447508199</v>
      </c>
      <c r="S192">
        <f t="shared" ref="S192" si="938">R192/100000</f>
        <v>-44.999355447508201</v>
      </c>
      <c r="T192">
        <f t="shared" si="934"/>
        <v>-4.4999355447508202E-2</v>
      </c>
    </row>
    <row r="193" spans="1:20" x14ac:dyDescent="0.25">
      <c r="A193" s="5">
        <v>44400</v>
      </c>
      <c r="B193">
        <v>31.137</v>
      </c>
      <c r="C193">
        <v>32.36</v>
      </c>
      <c r="D193">
        <v>30.597000000000001</v>
      </c>
      <c r="E193">
        <v>32.36</v>
      </c>
      <c r="F193">
        <v>36699.125999999997</v>
      </c>
      <c r="G193">
        <v>32.36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1</v>
      </c>
      <c r="Q193">
        <f t="shared" ref="Q193" si="940">F193*P193</f>
        <v>36699.125999999997</v>
      </c>
      <c r="R193">
        <f t="shared" ref="R193" si="941">R194+Q193</f>
        <v>-4494643.959943206</v>
      </c>
      <c r="S193">
        <f t="shared" ref="S193" si="942">R193/100000</f>
        <v>-44.946439599432061</v>
      </c>
      <c r="T193">
        <f t="shared" si="934"/>
        <v>-4.4946439599432064E-2</v>
      </c>
    </row>
    <row r="194" spans="1:20" x14ac:dyDescent="0.25">
      <c r="A194" s="5">
        <v>44399</v>
      </c>
      <c r="B194">
        <v>31.032</v>
      </c>
      <c r="C194">
        <v>31.501000000000001</v>
      </c>
      <c r="D194">
        <v>30.582999999999998</v>
      </c>
      <c r="E194">
        <v>31.14</v>
      </c>
      <c r="F194">
        <v>29771.789000000001</v>
      </c>
      <c r="G194">
        <v>31.14</v>
      </c>
      <c r="L194" t="s">
        <v>7</v>
      </c>
      <c r="M194" t="s">
        <v>8</v>
      </c>
      <c r="N194" t="s">
        <v>7</v>
      </c>
      <c r="P194">
        <f t="shared" ref="P194" si="943">IF(C194=D194,0,((E194-D194)-(C194-E194))/(C194-D194))</f>
        <v>0.21350762527233214</v>
      </c>
      <c r="Q194">
        <f t="shared" ref="Q194" si="944">F194*P194</f>
        <v>6356.50396949894</v>
      </c>
      <c r="R194">
        <f t="shared" ref="R194" si="945">R195+Q194</f>
        <v>-4531343.0859432062</v>
      </c>
      <c r="S194">
        <f t="shared" ref="S194" si="946">R194/100000</f>
        <v>-45.31343085943206</v>
      </c>
      <c r="T194">
        <f t="shared" si="934"/>
        <v>-4.5313430859432062E-2</v>
      </c>
    </row>
    <row r="195" spans="1:20" x14ac:dyDescent="0.25">
      <c r="A195" s="5">
        <v>44398</v>
      </c>
      <c r="B195">
        <v>29.84</v>
      </c>
      <c r="C195">
        <v>32.709000000000003</v>
      </c>
      <c r="D195">
        <v>29.027999999999999</v>
      </c>
      <c r="E195">
        <v>30.978000000000002</v>
      </c>
      <c r="F195">
        <v>55150.565000000002</v>
      </c>
      <c r="G195">
        <v>30.978000000000002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5.9494702526487621E-2</v>
      </c>
      <c r="Q195">
        <f t="shared" ref="Q195" si="948">F195*P195</f>
        <v>3281.1664588427197</v>
      </c>
      <c r="R195">
        <f t="shared" ref="R195" si="949">R196+Q195</f>
        <v>-4537699.5899127051</v>
      </c>
      <c r="S195">
        <f t="shared" ref="S195" si="950">R195/100000</f>
        <v>-45.376995899127053</v>
      </c>
      <c r="T195">
        <f t="shared" si="934"/>
        <v>-4.5376995899127054E-2</v>
      </c>
    </row>
    <row r="196" spans="1:20" x14ac:dyDescent="0.25">
      <c r="A196" s="5">
        <v>44397</v>
      </c>
      <c r="B196">
        <v>28.641999999999999</v>
      </c>
      <c r="C196">
        <v>32</v>
      </c>
      <c r="D196">
        <v>26.968</v>
      </c>
      <c r="E196">
        <v>29.795000000000002</v>
      </c>
      <c r="F196">
        <v>85037.918999999994</v>
      </c>
      <c r="G196">
        <v>29.795000000000002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0.1236089030206684</v>
      </c>
      <c r="Q196">
        <f t="shared" ref="Q196" si="952">F196*P196</f>
        <v>10511.443882750455</v>
      </c>
      <c r="R196">
        <f t="shared" ref="R196" si="953">R197+Q196</f>
        <v>-4540980.7563715475</v>
      </c>
      <c r="S196">
        <f t="shared" ref="S196" si="954">R196/100000</f>
        <v>-45.409807563715475</v>
      </c>
      <c r="T196">
        <f t="shared" si="934"/>
        <v>-4.5409807563715474E-2</v>
      </c>
    </row>
    <row r="197" spans="1:20" x14ac:dyDescent="0.25">
      <c r="A197" s="5">
        <v>44396</v>
      </c>
      <c r="B197">
        <v>30.524999999999999</v>
      </c>
      <c r="C197">
        <v>30.619</v>
      </c>
      <c r="D197">
        <v>28.47</v>
      </c>
      <c r="E197">
        <v>28.59</v>
      </c>
      <c r="F197">
        <v>20705.107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-0.88832014890646727</v>
      </c>
      <c r="Q197">
        <f t="shared" ref="Q197" si="956">F197*P197</f>
        <v>-18392.763733364336</v>
      </c>
      <c r="R197">
        <f t="shared" ref="R197" si="957">R198+Q197</f>
        <v>-4551492.2002542978</v>
      </c>
      <c r="S197">
        <f t="shared" ref="S197" si="958">R197/100000</f>
        <v>-45.514922002542981</v>
      </c>
      <c r="T197">
        <f t="shared" si="934"/>
        <v>-4.5514922002542979E-2</v>
      </c>
    </row>
    <row r="198" spans="1:20" x14ac:dyDescent="0.25">
      <c r="A198" s="5">
        <v>44395</v>
      </c>
      <c r="B198">
        <v>30.501000000000001</v>
      </c>
      <c r="C198">
        <v>31.992000000000001</v>
      </c>
      <c r="D198">
        <v>30.286999999999999</v>
      </c>
      <c r="E198">
        <v>30.56</v>
      </c>
      <c r="F198">
        <v>36614.654000000002</v>
      </c>
      <c r="G198">
        <v>0</v>
      </c>
      <c r="L198" t="s">
        <v>8</v>
      </c>
      <c r="M198" t="s">
        <v>8</v>
      </c>
      <c r="N198" t="s">
        <v>7</v>
      </c>
      <c r="P198">
        <f t="shared" ref="P198:P261" si="959">IF(C198=D198,0,((E198-D198)-(C198-E198))/(C198-D198))</f>
        <v>-0.67976539589442886</v>
      </c>
      <c r="Q198">
        <f t="shared" ref="Q198:Q261" si="960">F198*P198</f>
        <v>-24889.374771847535</v>
      </c>
      <c r="R198">
        <f t="shared" ref="R198:R261" si="961">R199+Q198</f>
        <v>-4533099.4365209332</v>
      </c>
      <c r="S198">
        <f t="shared" ref="S198:S261" si="962">R198/100000</f>
        <v>-45.330994365209335</v>
      </c>
      <c r="T198">
        <f t="shared" ref="T198:T261" si="963">S198/1000</f>
        <v>-4.5330994365209334E-2</v>
      </c>
    </row>
    <row r="199" spans="1:20" x14ac:dyDescent="0.25">
      <c r="A199" s="5">
        <v>44394</v>
      </c>
      <c r="B199">
        <v>32.947000000000003</v>
      </c>
      <c r="C199">
        <v>32.947000000000003</v>
      </c>
      <c r="D199">
        <v>30.007000000000001</v>
      </c>
      <c r="E199">
        <v>30.611000000000001</v>
      </c>
      <c r="F199">
        <v>43932.186000000002</v>
      </c>
      <c r="G199">
        <v>0</v>
      </c>
      <c r="L199" t="s">
        <v>7</v>
      </c>
      <c r="M199" t="s">
        <v>8</v>
      </c>
      <c r="N199" t="s">
        <v>7</v>
      </c>
      <c r="P199">
        <f t="shared" si="959"/>
        <v>-0.5891156462585041</v>
      </c>
      <c r="Q199">
        <f t="shared" si="960"/>
        <v>-25881.138146938807</v>
      </c>
      <c r="R199">
        <f t="shared" si="961"/>
        <v>-4508210.0617490858</v>
      </c>
      <c r="S199">
        <f t="shared" si="962"/>
        <v>-45.082100617490859</v>
      </c>
      <c r="T199">
        <f t="shared" si="963"/>
        <v>-4.5082100617490857E-2</v>
      </c>
    </row>
    <row r="200" spans="1:20" x14ac:dyDescent="0.25">
      <c r="A200" s="5">
        <v>44393</v>
      </c>
      <c r="B200">
        <v>30.263000000000002</v>
      </c>
      <c r="C200">
        <v>34</v>
      </c>
      <c r="D200">
        <v>29.643000000000001</v>
      </c>
      <c r="E200">
        <v>32.9</v>
      </c>
      <c r="F200">
        <v>75544.797999999995</v>
      </c>
      <c r="G200">
        <v>0</v>
      </c>
      <c r="L200" t="s">
        <v>8</v>
      </c>
      <c r="M200" t="s">
        <v>8</v>
      </c>
      <c r="N200" t="s">
        <v>7</v>
      </c>
      <c r="P200">
        <f t="shared" si="959"/>
        <v>0.49506541198071996</v>
      </c>
      <c r="Q200">
        <f t="shared" si="960"/>
        <v>37399.616544870267</v>
      </c>
      <c r="R200">
        <f t="shared" si="961"/>
        <v>-4482328.923602147</v>
      </c>
      <c r="S200">
        <f t="shared" si="962"/>
        <v>-44.823289236021473</v>
      </c>
      <c r="T200">
        <f t="shared" si="963"/>
        <v>-4.4823289236021475E-2</v>
      </c>
    </row>
    <row r="201" spans="1:20" x14ac:dyDescent="0.25">
      <c r="A201" s="5">
        <v>44392</v>
      </c>
      <c r="B201">
        <v>31.401</v>
      </c>
      <c r="C201">
        <v>31.890999999999998</v>
      </c>
      <c r="D201">
        <v>29.908999999999999</v>
      </c>
      <c r="E201">
        <v>30.23</v>
      </c>
      <c r="F201">
        <v>34620.817000000003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-0.67608476286579045</v>
      </c>
      <c r="Q201">
        <f t="shared" si="960"/>
        <v>-23406.606851664928</v>
      </c>
      <c r="R201">
        <f t="shared" si="961"/>
        <v>-4519728.5401470177</v>
      </c>
      <c r="S201">
        <f t="shared" si="962"/>
        <v>-45.197285401470175</v>
      </c>
      <c r="T201">
        <f t="shared" si="963"/>
        <v>-4.5197285401470173E-2</v>
      </c>
    </row>
    <row r="202" spans="1:20" x14ac:dyDescent="0.25">
      <c r="A202" s="5">
        <v>44391</v>
      </c>
      <c r="B202">
        <v>31.654</v>
      </c>
      <c r="C202">
        <v>31.99</v>
      </c>
      <c r="D202">
        <v>28.88</v>
      </c>
      <c r="E202">
        <v>31.401</v>
      </c>
      <c r="F202">
        <v>118569.924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0.62122186495176934</v>
      </c>
      <c r="Q202">
        <f t="shared" si="960"/>
        <v>73658.229314469558</v>
      </c>
      <c r="R202">
        <f t="shared" si="961"/>
        <v>-4496321.9332953524</v>
      </c>
      <c r="S202">
        <f t="shared" si="962"/>
        <v>-44.963219332953521</v>
      </c>
      <c r="T202">
        <f t="shared" si="963"/>
        <v>-4.4963219332953525E-2</v>
      </c>
    </row>
    <row r="203" spans="1:20" x14ac:dyDescent="0.25">
      <c r="A203" s="5">
        <v>44390</v>
      </c>
      <c r="B203">
        <v>31.138000000000002</v>
      </c>
      <c r="C203">
        <v>36.659999999999997</v>
      </c>
      <c r="D203">
        <v>30.995000000000001</v>
      </c>
      <c r="E203">
        <v>31.585999999999999</v>
      </c>
      <c r="F203">
        <v>175828.47</v>
      </c>
      <c r="G203">
        <v>0</v>
      </c>
      <c r="L203" t="s">
        <v>8</v>
      </c>
      <c r="M203" t="s">
        <v>8</v>
      </c>
      <c r="N203" t="s">
        <v>7</v>
      </c>
      <c r="P203">
        <f t="shared" si="959"/>
        <v>-0.7913503971756406</v>
      </c>
      <c r="Q203">
        <f t="shared" si="960"/>
        <v>-139141.92956928522</v>
      </c>
      <c r="R203">
        <f t="shared" si="961"/>
        <v>-4569980.1626098221</v>
      </c>
      <c r="S203">
        <f t="shared" si="962"/>
        <v>-45.699801626098221</v>
      </c>
      <c r="T203">
        <f t="shared" si="963"/>
        <v>-4.569980162609822E-2</v>
      </c>
    </row>
    <row r="204" spans="1:20" x14ac:dyDescent="0.25">
      <c r="A204" s="5">
        <v>44389</v>
      </c>
      <c r="B204">
        <v>31.437000000000001</v>
      </c>
      <c r="C204">
        <v>32.183999999999997</v>
      </c>
      <c r="D204">
        <v>29.411999999999999</v>
      </c>
      <c r="E204">
        <v>31.079000000000001</v>
      </c>
      <c r="F204">
        <v>35906.105000000003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0.20274170274170455</v>
      </c>
      <c r="Q204">
        <f t="shared" si="960"/>
        <v>7279.664866522432</v>
      </c>
      <c r="R204">
        <f t="shared" si="961"/>
        <v>-4430838.2330405368</v>
      </c>
      <c r="S204">
        <f t="shared" si="962"/>
        <v>-44.308382330405365</v>
      </c>
      <c r="T204">
        <f t="shared" si="963"/>
        <v>-4.4308382330405363E-2</v>
      </c>
    </row>
    <row r="205" spans="1:20" x14ac:dyDescent="0.25">
      <c r="A205" s="5">
        <v>44388</v>
      </c>
      <c r="B205">
        <v>31.376999999999999</v>
      </c>
      <c r="C205">
        <v>32.6</v>
      </c>
      <c r="D205">
        <v>31.050999999999998</v>
      </c>
      <c r="E205">
        <v>31.518000000000001</v>
      </c>
      <c r="F205">
        <v>56346.531999999999</v>
      </c>
      <c r="G205">
        <v>0</v>
      </c>
      <c r="L205" t="s">
        <v>7</v>
      </c>
      <c r="M205" t="s">
        <v>7</v>
      </c>
      <c r="N205" t="s">
        <v>7</v>
      </c>
      <c r="P205">
        <f t="shared" si="959"/>
        <v>-0.39703034215622801</v>
      </c>
      <c r="Q205">
        <f t="shared" si="960"/>
        <v>-22371.282879276849</v>
      </c>
      <c r="R205">
        <f t="shared" si="961"/>
        <v>-4438117.8979070596</v>
      </c>
      <c r="S205">
        <f t="shared" si="962"/>
        <v>-44.381178979070597</v>
      </c>
      <c r="T205">
        <f t="shared" si="963"/>
        <v>-4.4381178979070596E-2</v>
      </c>
    </row>
    <row r="206" spans="1:20" x14ac:dyDescent="0.25">
      <c r="A206" s="5">
        <v>44387</v>
      </c>
      <c r="B206">
        <v>32.082000000000001</v>
      </c>
      <c r="C206">
        <v>32.881999999999998</v>
      </c>
      <c r="D206">
        <v>30.677</v>
      </c>
      <c r="E206">
        <v>31.376999999999999</v>
      </c>
      <c r="F206">
        <v>26154.059000000001</v>
      </c>
      <c r="G206">
        <v>0</v>
      </c>
      <c r="L206" t="s">
        <v>7</v>
      </c>
      <c r="M206" t="s">
        <v>7</v>
      </c>
      <c r="N206" t="s">
        <v>7</v>
      </c>
      <c r="P206">
        <f t="shared" si="959"/>
        <v>-0.36507936507936523</v>
      </c>
      <c r="Q206">
        <f t="shared" si="960"/>
        <v>-9548.307253968258</v>
      </c>
      <c r="R206">
        <f t="shared" si="961"/>
        <v>-4415746.6150277825</v>
      </c>
      <c r="S206">
        <f t="shared" si="962"/>
        <v>-44.157466150277827</v>
      </c>
      <c r="T206">
        <f t="shared" si="963"/>
        <v>-4.4157466150277824E-2</v>
      </c>
    </row>
    <row r="207" spans="1:20" x14ac:dyDescent="0.25">
      <c r="A207" s="5">
        <v>44386</v>
      </c>
      <c r="B207">
        <v>30.291</v>
      </c>
      <c r="C207">
        <v>34.587000000000003</v>
      </c>
      <c r="D207">
        <v>30</v>
      </c>
      <c r="E207">
        <v>32.113999999999997</v>
      </c>
      <c r="F207">
        <v>50991.294999999998</v>
      </c>
      <c r="G207">
        <v>0</v>
      </c>
      <c r="L207" t="s">
        <v>8</v>
      </c>
      <c r="M207" t="s">
        <v>7</v>
      </c>
      <c r="N207" t="s">
        <v>7</v>
      </c>
      <c r="P207">
        <f t="shared" si="959"/>
        <v>-7.826466099847583E-2</v>
      </c>
      <c r="Q207">
        <f t="shared" si="960"/>
        <v>-3990.8164170482755</v>
      </c>
      <c r="R207">
        <f t="shared" si="961"/>
        <v>-4406198.3077738145</v>
      </c>
      <c r="S207">
        <f t="shared" si="962"/>
        <v>-44.061983077738148</v>
      </c>
      <c r="T207">
        <f t="shared" si="963"/>
        <v>-4.4061983077738148E-2</v>
      </c>
    </row>
    <row r="208" spans="1:20" x14ac:dyDescent="0.25">
      <c r="A208" s="5">
        <v>44385</v>
      </c>
      <c r="B208">
        <v>33.026000000000003</v>
      </c>
      <c r="C208">
        <v>33.119999999999997</v>
      </c>
      <c r="D208">
        <v>30</v>
      </c>
      <c r="E208">
        <v>30.369</v>
      </c>
      <c r="F208">
        <v>35030.728999999999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-0.76346153846153841</v>
      </c>
      <c r="Q208">
        <f t="shared" si="960"/>
        <v>-26744.614255769229</v>
      </c>
      <c r="R208">
        <f t="shared" si="961"/>
        <v>-4402207.4913567659</v>
      </c>
      <c r="S208">
        <f t="shared" si="962"/>
        <v>-44.022074913567657</v>
      </c>
      <c r="T208">
        <f t="shared" si="963"/>
        <v>-4.402207491356766E-2</v>
      </c>
    </row>
    <row r="209" spans="1:20" x14ac:dyDescent="0.25">
      <c r="A209" s="5">
        <v>44384</v>
      </c>
      <c r="B209">
        <v>32.930999999999997</v>
      </c>
      <c r="C209">
        <v>34.5</v>
      </c>
      <c r="D209">
        <v>32.68</v>
      </c>
      <c r="E209">
        <v>33.087000000000003</v>
      </c>
      <c r="F209">
        <v>261036.68599999999</v>
      </c>
      <c r="G209">
        <v>0</v>
      </c>
      <c r="L209" t="s">
        <v>7</v>
      </c>
      <c r="M209" t="s">
        <v>7</v>
      </c>
      <c r="N209" t="s">
        <v>7</v>
      </c>
      <c r="P209">
        <f t="shared" si="959"/>
        <v>-0.5527472527472489</v>
      </c>
      <c r="Q209">
        <f t="shared" si="960"/>
        <v>-144287.31105274623</v>
      </c>
      <c r="R209">
        <f t="shared" si="961"/>
        <v>-4375462.8771009967</v>
      </c>
      <c r="S209">
        <f t="shared" si="962"/>
        <v>-43.754628771009969</v>
      </c>
      <c r="T209">
        <f t="shared" si="963"/>
        <v>-4.3754628771009968E-2</v>
      </c>
    </row>
    <row r="210" spans="1:20" x14ac:dyDescent="0.25">
      <c r="A210" s="5">
        <v>44383</v>
      </c>
      <c r="B210">
        <v>33.520000000000003</v>
      </c>
      <c r="C210">
        <v>34.805999999999997</v>
      </c>
      <c r="D210">
        <v>32.459000000000003</v>
      </c>
      <c r="E210">
        <v>33.003</v>
      </c>
      <c r="F210">
        <v>93890.096999999994</v>
      </c>
      <c r="G210">
        <v>0</v>
      </c>
      <c r="L210" t="s">
        <v>7</v>
      </c>
      <c r="M210" t="s">
        <v>7</v>
      </c>
      <c r="N210" t="s">
        <v>7</v>
      </c>
      <c r="P210">
        <f t="shared" si="959"/>
        <v>-0.53642948444823324</v>
      </c>
      <c r="Q210">
        <f t="shared" si="960"/>
        <v>-50365.416328504609</v>
      </c>
      <c r="R210">
        <f t="shared" si="961"/>
        <v>-4231175.5660482505</v>
      </c>
      <c r="S210">
        <f t="shared" si="962"/>
        <v>-42.311755660482504</v>
      </c>
      <c r="T210">
        <f t="shared" si="963"/>
        <v>-4.2311755660482502E-2</v>
      </c>
    </row>
    <row r="211" spans="1:20" x14ac:dyDescent="0.25">
      <c r="A211" s="5">
        <v>44382</v>
      </c>
      <c r="B211">
        <v>32.200000000000003</v>
      </c>
      <c r="C211">
        <v>35.442</v>
      </c>
      <c r="D211">
        <v>31.24</v>
      </c>
      <c r="E211">
        <v>33.433999999999997</v>
      </c>
      <c r="F211">
        <v>146210.62100000001</v>
      </c>
      <c r="G211">
        <v>0</v>
      </c>
      <c r="L211" t="s">
        <v>8</v>
      </c>
      <c r="M211" t="s">
        <v>7</v>
      </c>
      <c r="N211" t="s">
        <v>7</v>
      </c>
      <c r="P211">
        <f t="shared" si="959"/>
        <v>4.4264635887671662E-2</v>
      </c>
      <c r="Q211">
        <f t="shared" si="960"/>
        <v>6471.9599014753603</v>
      </c>
      <c r="R211">
        <f t="shared" si="961"/>
        <v>-4180810.1497197463</v>
      </c>
      <c r="S211">
        <f t="shared" si="962"/>
        <v>-41.808101497197462</v>
      </c>
      <c r="T211">
        <f t="shared" si="963"/>
        <v>-4.1808101497197464E-2</v>
      </c>
    </row>
    <row r="212" spans="1:20" x14ac:dyDescent="0.25">
      <c r="A212" s="5">
        <v>44381</v>
      </c>
      <c r="B212">
        <v>31.821999999999999</v>
      </c>
      <c r="C212">
        <v>33.935000000000002</v>
      </c>
      <c r="D212">
        <v>31.172999999999998</v>
      </c>
      <c r="E212">
        <v>32.22</v>
      </c>
      <c r="F212">
        <v>100990.605</v>
      </c>
      <c r="G212">
        <v>0</v>
      </c>
      <c r="L212" t="s">
        <v>8</v>
      </c>
      <c r="M212" t="s">
        <v>7</v>
      </c>
      <c r="N212" t="s">
        <v>7</v>
      </c>
      <c r="P212">
        <f t="shared" si="959"/>
        <v>-0.24185372918175302</v>
      </c>
      <c r="Q212">
        <f t="shared" si="960"/>
        <v>-24424.95443157139</v>
      </c>
      <c r="R212">
        <f t="shared" si="961"/>
        <v>-4187282.1096212217</v>
      </c>
      <c r="S212">
        <f t="shared" si="962"/>
        <v>-41.872821096212213</v>
      </c>
      <c r="T212">
        <f t="shared" si="963"/>
        <v>-4.1872821096212216E-2</v>
      </c>
    </row>
    <row r="213" spans="1:20" x14ac:dyDescent="0.25">
      <c r="A213" s="5">
        <v>44380</v>
      </c>
      <c r="B213">
        <v>31.7</v>
      </c>
      <c r="C213">
        <v>33.082999999999998</v>
      </c>
      <c r="D213">
        <v>31.114000000000001</v>
      </c>
      <c r="E213">
        <v>31.834</v>
      </c>
      <c r="F213">
        <v>49436.322999999997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-0.26866429659725777</v>
      </c>
      <c r="Q213">
        <f t="shared" si="960"/>
        <v>-13281.774945149835</v>
      </c>
      <c r="R213">
        <f t="shared" si="961"/>
        <v>-4162857.1551896501</v>
      </c>
      <c r="S213">
        <f t="shared" si="962"/>
        <v>-41.628571551896499</v>
      </c>
      <c r="T213">
        <f t="shared" si="963"/>
        <v>-4.1628571551896497E-2</v>
      </c>
    </row>
    <row r="214" spans="1:20" x14ac:dyDescent="0.25">
      <c r="A214" s="5">
        <v>44379</v>
      </c>
      <c r="B214">
        <v>33.292000000000002</v>
      </c>
      <c r="C214">
        <v>33.448999999999998</v>
      </c>
      <c r="D214">
        <v>30.611999999999998</v>
      </c>
      <c r="E214">
        <v>31.7</v>
      </c>
      <c r="F214">
        <v>63236.220999999998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-0.23299259781459214</v>
      </c>
      <c r="Q214">
        <f t="shared" si="960"/>
        <v>-14733.571406767665</v>
      </c>
      <c r="R214">
        <f t="shared" si="961"/>
        <v>-4149575.3802445005</v>
      </c>
      <c r="S214">
        <f t="shared" si="962"/>
        <v>-41.495753802445002</v>
      </c>
      <c r="T214">
        <f t="shared" si="963"/>
        <v>-4.1495753802445003E-2</v>
      </c>
    </row>
    <row r="215" spans="1:20" x14ac:dyDescent="0.25">
      <c r="A215" s="5">
        <v>44378</v>
      </c>
      <c r="B215">
        <v>36.113999999999997</v>
      </c>
      <c r="C215">
        <v>36.130000000000003</v>
      </c>
      <c r="D215">
        <v>32</v>
      </c>
      <c r="E215">
        <v>33.363999999999997</v>
      </c>
      <c r="F215">
        <v>233071.46400000001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-0.33946731234867006</v>
      </c>
      <c r="Q215">
        <f t="shared" si="960"/>
        <v>-79120.143469249815</v>
      </c>
      <c r="R215">
        <f t="shared" si="961"/>
        <v>-4134841.8088377328</v>
      </c>
      <c r="S215">
        <f t="shared" si="962"/>
        <v>-41.348418088377329</v>
      </c>
      <c r="T215">
        <f t="shared" si="963"/>
        <v>-4.1348418088377331E-2</v>
      </c>
    </row>
    <row r="216" spans="1:20" x14ac:dyDescent="0.25">
      <c r="A216" s="5">
        <v>44377</v>
      </c>
      <c r="B216">
        <v>29.346</v>
      </c>
      <c r="C216">
        <v>43.5</v>
      </c>
      <c r="D216">
        <v>27.914000000000001</v>
      </c>
      <c r="E216">
        <v>36.103999999999999</v>
      </c>
      <c r="F216">
        <v>719268.723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5.0943154112665021E-2</v>
      </c>
      <c r="Q216">
        <f t="shared" si="960"/>
        <v>36641.81740420877</v>
      </c>
      <c r="R216">
        <f t="shared" si="961"/>
        <v>-4055721.6653684829</v>
      </c>
      <c r="S216">
        <f t="shared" si="962"/>
        <v>-40.557216653684833</v>
      </c>
      <c r="T216">
        <f t="shared" si="963"/>
        <v>-4.0557216653684836E-2</v>
      </c>
    </row>
    <row r="217" spans="1:20" x14ac:dyDescent="0.25">
      <c r="A217" s="5">
        <v>44376</v>
      </c>
      <c r="B217">
        <v>29.158000000000001</v>
      </c>
      <c r="C217">
        <v>30.98</v>
      </c>
      <c r="D217">
        <v>28.672000000000001</v>
      </c>
      <c r="E217">
        <v>29.356000000000002</v>
      </c>
      <c r="F217">
        <v>72020.811000000002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-0.40727902946273736</v>
      </c>
      <c r="Q217">
        <f t="shared" si="960"/>
        <v>-29332.566005199238</v>
      </c>
      <c r="R217">
        <f t="shared" si="961"/>
        <v>-4092363.4827726916</v>
      </c>
      <c r="S217">
        <f t="shared" si="962"/>
        <v>-40.923634827726914</v>
      </c>
      <c r="T217">
        <f t="shared" si="963"/>
        <v>-4.0923634827726915E-2</v>
      </c>
    </row>
    <row r="218" spans="1:20" x14ac:dyDescent="0.25">
      <c r="A218" s="5">
        <v>44375</v>
      </c>
      <c r="B218">
        <v>28.404</v>
      </c>
      <c r="C218">
        <v>29.922999999999998</v>
      </c>
      <c r="D218">
        <v>27.62</v>
      </c>
      <c r="E218">
        <v>29.109000000000002</v>
      </c>
      <c r="F218">
        <v>100724.413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0.29309596178897313</v>
      </c>
      <c r="Q218">
        <f t="shared" si="960"/>
        <v>29521.918703864747</v>
      </c>
      <c r="R218">
        <f t="shared" si="961"/>
        <v>-4063030.9167674924</v>
      </c>
      <c r="S218">
        <f t="shared" si="962"/>
        <v>-40.630309167674923</v>
      </c>
      <c r="T218">
        <f t="shared" si="963"/>
        <v>-4.0630309167674926E-2</v>
      </c>
    </row>
    <row r="219" spans="1:20" x14ac:dyDescent="0.25">
      <c r="A219" s="5">
        <v>44374</v>
      </c>
      <c r="B219">
        <v>27.17</v>
      </c>
      <c r="C219">
        <v>28.783000000000001</v>
      </c>
      <c r="D219">
        <v>26.751000000000001</v>
      </c>
      <c r="E219">
        <v>28.404</v>
      </c>
      <c r="F219">
        <v>91330.047999999995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0.62696850393700654</v>
      </c>
      <c r="Q219">
        <f t="shared" si="960"/>
        <v>57261.063559054994</v>
      </c>
      <c r="R219">
        <f t="shared" si="961"/>
        <v>-4092552.8354713572</v>
      </c>
      <c r="S219">
        <f t="shared" si="962"/>
        <v>-40.92552835471357</v>
      </c>
      <c r="T219">
        <f t="shared" si="963"/>
        <v>-4.0925528354713574E-2</v>
      </c>
    </row>
    <row r="220" spans="1:20" x14ac:dyDescent="0.25">
      <c r="A220" s="5">
        <v>44373</v>
      </c>
      <c r="B220">
        <v>26.731999999999999</v>
      </c>
      <c r="C220">
        <v>28.001999999999999</v>
      </c>
      <c r="D220">
        <v>25.565999999999999</v>
      </c>
      <c r="E220">
        <v>27.111000000000001</v>
      </c>
      <c r="F220">
        <v>201950.462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0.26847290640394234</v>
      </c>
      <c r="Q220">
        <f t="shared" si="960"/>
        <v>54218.227482758914</v>
      </c>
      <c r="R220">
        <f t="shared" si="961"/>
        <v>-4149813.8990304121</v>
      </c>
      <c r="S220">
        <f t="shared" si="962"/>
        <v>-41.49813899030412</v>
      </c>
      <c r="T220">
        <f t="shared" si="963"/>
        <v>-4.149813899030412E-2</v>
      </c>
    </row>
    <row r="221" spans="1:20" x14ac:dyDescent="0.25">
      <c r="A221" s="5">
        <v>44372</v>
      </c>
      <c r="B221">
        <v>28.635999999999999</v>
      </c>
      <c r="C221">
        <v>29.475999999999999</v>
      </c>
      <c r="D221">
        <v>26.562999999999999</v>
      </c>
      <c r="E221">
        <v>26.838000000000001</v>
      </c>
      <c r="F221">
        <v>33722.544999999998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-0.81119121180913001</v>
      </c>
      <c r="Q221">
        <f t="shared" si="960"/>
        <v>-27355.432143837916</v>
      </c>
      <c r="R221">
        <f t="shared" si="961"/>
        <v>-4204032.126513171</v>
      </c>
      <c r="S221">
        <f t="shared" si="962"/>
        <v>-42.040321265131709</v>
      </c>
      <c r="T221">
        <f t="shared" si="963"/>
        <v>-4.2040321265131707E-2</v>
      </c>
    </row>
    <row r="222" spans="1:20" x14ac:dyDescent="0.25">
      <c r="A222" s="5">
        <v>44371</v>
      </c>
      <c r="B222">
        <v>28.597999999999999</v>
      </c>
      <c r="C222">
        <v>29.544</v>
      </c>
      <c r="D222">
        <v>27.38</v>
      </c>
      <c r="E222">
        <v>28.638999999999999</v>
      </c>
      <c r="F222">
        <v>20719.877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0.16358595194084979</v>
      </c>
      <c r="Q222">
        <f t="shared" si="960"/>
        <v>3389.480803142319</v>
      </c>
      <c r="R222">
        <f t="shared" si="961"/>
        <v>-4176676.6943693333</v>
      </c>
      <c r="S222">
        <f t="shared" si="962"/>
        <v>-41.766766943693334</v>
      </c>
      <c r="T222">
        <f t="shared" si="963"/>
        <v>-4.1766766943693336E-2</v>
      </c>
    </row>
    <row r="223" spans="1:20" x14ac:dyDescent="0.25">
      <c r="A223" s="5">
        <v>44370</v>
      </c>
      <c r="B223">
        <v>27.359000000000002</v>
      </c>
      <c r="C223">
        <v>31.103000000000002</v>
      </c>
      <c r="D223">
        <v>26.602</v>
      </c>
      <c r="E223">
        <v>28.77</v>
      </c>
      <c r="F223">
        <v>57480.161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-3.6658520328816412E-2</v>
      </c>
      <c r="Q223">
        <f t="shared" si="960"/>
        <v>-2107.1376505221401</v>
      </c>
      <c r="R223">
        <f t="shared" si="961"/>
        <v>-4180066.1751724756</v>
      </c>
      <c r="S223">
        <f t="shared" si="962"/>
        <v>-41.800661751724753</v>
      </c>
      <c r="T223">
        <f t="shared" si="963"/>
        <v>-4.1800661751724755E-2</v>
      </c>
    </row>
    <row r="224" spans="1:20" x14ac:dyDescent="0.25">
      <c r="A224" s="5">
        <v>44369</v>
      </c>
      <c r="B224">
        <v>30.283000000000001</v>
      </c>
      <c r="C224">
        <v>33.384</v>
      </c>
      <c r="D224">
        <v>23.143000000000001</v>
      </c>
      <c r="E224">
        <v>27.298999999999999</v>
      </c>
      <c r="F224">
        <v>161930.38099999999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-0.18836051166878257</v>
      </c>
      <c r="Q224">
        <f t="shared" si="960"/>
        <v>-30501.289419880904</v>
      </c>
      <c r="R224">
        <f t="shared" si="961"/>
        <v>-4177959.0375219537</v>
      </c>
      <c r="S224">
        <f t="shared" si="962"/>
        <v>-41.779590375219534</v>
      </c>
      <c r="T224">
        <f t="shared" si="963"/>
        <v>-4.1779590375219534E-2</v>
      </c>
    </row>
    <row r="225" spans="1:20" x14ac:dyDescent="0.25">
      <c r="A225" s="5">
        <v>44368</v>
      </c>
      <c r="B225">
        <v>36.584000000000003</v>
      </c>
      <c r="C225">
        <v>36.728000000000002</v>
      </c>
      <c r="D225">
        <v>30.001000000000001</v>
      </c>
      <c r="E225">
        <v>30.393000000000001</v>
      </c>
      <c r="F225">
        <v>39758.917000000001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-0.883454734651405</v>
      </c>
      <c r="Q225">
        <f t="shared" si="960"/>
        <v>-35125.20346826224</v>
      </c>
      <c r="R225">
        <f t="shared" si="961"/>
        <v>-4147457.7481020726</v>
      </c>
      <c r="S225">
        <f t="shared" si="962"/>
        <v>-41.474577481020724</v>
      </c>
      <c r="T225">
        <f t="shared" si="963"/>
        <v>-4.1474577481020722E-2</v>
      </c>
    </row>
    <row r="226" spans="1:20" x14ac:dyDescent="0.25">
      <c r="A226" s="5">
        <v>44367</v>
      </c>
      <c r="B226">
        <v>36.548000000000002</v>
      </c>
      <c r="C226">
        <v>37.393999999999998</v>
      </c>
      <c r="D226">
        <v>35.069000000000003</v>
      </c>
      <c r="E226">
        <v>36.703000000000003</v>
      </c>
      <c r="F226">
        <v>52612.591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0.40559139784946524</v>
      </c>
      <c r="Q226">
        <f t="shared" si="960"/>
        <v>21339.214328172195</v>
      </c>
      <c r="R226">
        <f t="shared" si="961"/>
        <v>-4112332.5446338104</v>
      </c>
      <c r="S226">
        <f t="shared" si="962"/>
        <v>-41.123325446338107</v>
      </c>
      <c r="T226">
        <f t="shared" si="963"/>
        <v>-4.1123325446338108E-2</v>
      </c>
    </row>
    <row r="227" spans="1:20" x14ac:dyDescent="0.25">
      <c r="A227" s="5">
        <v>44366</v>
      </c>
      <c r="B227">
        <v>38.598999999999997</v>
      </c>
      <c r="C227">
        <v>38.927999999999997</v>
      </c>
      <c r="D227">
        <v>36.225999999999999</v>
      </c>
      <c r="E227">
        <v>36.545000000000002</v>
      </c>
      <c r="F227">
        <v>163223.53400000001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-0.76387860843819189</v>
      </c>
      <c r="Q227">
        <f t="shared" si="960"/>
        <v>-124682.96601628391</v>
      </c>
      <c r="R227">
        <f t="shared" si="961"/>
        <v>-4133671.7589619826</v>
      </c>
      <c r="S227">
        <f t="shared" si="962"/>
        <v>-41.336717589619823</v>
      </c>
      <c r="T227">
        <f t="shared" si="963"/>
        <v>-4.133671758961982E-2</v>
      </c>
    </row>
    <row r="228" spans="1:20" x14ac:dyDescent="0.25">
      <c r="A228" s="5">
        <v>44365</v>
      </c>
      <c r="B228">
        <v>38.625999999999998</v>
      </c>
      <c r="C228">
        <v>40.494999999999997</v>
      </c>
      <c r="D228">
        <v>38</v>
      </c>
      <c r="E228">
        <v>38.643999999999998</v>
      </c>
      <c r="F228">
        <v>293073.071</v>
      </c>
      <c r="G228">
        <v>0</v>
      </c>
      <c r="L228" t="s">
        <v>7</v>
      </c>
      <c r="M228" t="s">
        <v>8</v>
      </c>
      <c r="N228" t="s">
        <v>7</v>
      </c>
      <c r="P228">
        <f t="shared" si="959"/>
        <v>-0.48376753507014109</v>
      </c>
      <c r="Q228">
        <f t="shared" si="960"/>
        <v>-141779.23715310646</v>
      </c>
      <c r="R228">
        <f t="shared" si="961"/>
        <v>-4008988.7929456988</v>
      </c>
      <c r="S228">
        <f t="shared" si="962"/>
        <v>-40.089887929456985</v>
      </c>
      <c r="T228">
        <f t="shared" si="963"/>
        <v>-4.0089887929456988E-2</v>
      </c>
    </row>
    <row r="229" spans="1:20" x14ac:dyDescent="0.25">
      <c r="A229" s="5">
        <v>44364</v>
      </c>
      <c r="B229">
        <v>38.402999999999999</v>
      </c>
      <c r="C229">
        <v>42.21</v>
      </c>
      <c r="D229">
        <v>38.293999999999997</v>
      </c>
      <c r="E229">
        <v>38.655000000000001</v>
      </c>
      <c r="F229">
        <v>42693.067999999999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-0.81562819203268444</v>
      </c>
      <c r="Q229">
        <f t="shared" si="960"/>
        <v>-34821.669865168456</v>
      </c>
      <c r="R229">
        <f t="shared" si="961"/>
        <v>-3867209.5557925925</v>
      </c>
      <c r="S229">
        <f t="shared" si="962"/>
        <v>-38.672095557925921</v>
      </c>
      <c r="T229">
        <f t="shared" si="963"/>
        <v>-3.8672095557925924E-2</v>
      </c>
    </row>
    <row r="230" spans="1:20" x14ac:dyDescent="0.25">
      <c r="A230" s="5">
        <v>44363</v>
      </c>
      <c r="B230">
        <v>40.716000000000001</v>
      </c>
      <c r="C230">
        <v>42.3</v>
      </c>
      <c r="D230">
        <v>38.085999999999999</v>
      </c>
      <c r="E230">
        <v>38.338999999999999</v>
      </c>
      <c r="F230">
        <v>70129.004000000001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-0.87992406264831502</v>
      </c>
      <c r="Q230">
        <f t="shared" si="960"/>
        <v>-61708.198109159937</v>
      </c>
      <c r="R230">
        <f t="shared" si="961"/>
        <v>-3832387.8859274238</v>
      </c>
      <c r="S230">
        <f t="shared" si="962"/>
        <v>-38.323878859274238</v>
      </c>
      <c r="T230">
        <f t="shared" si="963"/>
        <v>-3.8323878859274241E-2</v>
      </c>
    </row>
    <row r="231" spans="1:20" x14ac:dyDescent="0.25">
      <c r="A231" s="5">
        <v>44362</v>
      </c>
      <c r="B231">
        <v>40.692999999999998</v>
      </c>
      <c r="C231">
        <v>43.9</v>
      </c>
      <c r="D231">
        <v>40.292999999999999</v>
      </c>
      <c r="E231">
        <v>40.738999999999997</v>
      </c>
      <c r="F231">
        <v>43555.760999999999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-0.75270307734959907</v>
      </c>
      <c r="Q231">
        <f t="shared" si="960"/>
        <v>-32784.555341003652</v>
      </c>
      <c r="R231">
        <f t="shared" si="961"/>
        <v>-3770679.6878182641</v>
      </c>
      <c r="S231">
        <f t="shared" si="962"/>
        <v>-37.706796878182644</v>
      </c>
      <c r="T231">
        <f t="shared" si="963"/>
        <v>-3.7706796878182645E-2</v>
      </c>
    </row>
    <row r="232" spans="1:20" x14ac:dyDescent="0.25">
      <c r="A232" s="5">
        <v>44361</v>
      </c>
      <c r="B232">
        <v>39.520000000000003</v>
      </c>
      <c r="C232">
        <v>41.488</v>
      </c>
      <c r="D232">
        <v>38.965000000000003</v>
      </c>
      <c r="E232">
        <v>40.692999999999998</v>
      </c>
      <c r="F232">
        <v>26974.291000000001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0.36979785969084189</v>
      </c>
      <c r="Q232">
        <f t="shared" si="960"/>
        <v>9975.0350784779403</v>
      </c>
      <c r="R232">
        <f t="shared" si="961"/>
        <v>-3737895.1324772607</v>
      </c>
      <c r="S232">
        <f t="shared" si="962"/>
        <v>-37.378951324772608</v>
      </c>
      <c r="T232">
        <f t="shared" si="963"/>
        <v>-3.7378951324772605E-2</v>
      </c>
    </row>
    <row r="233" spans="1:20" x14ac:dyDescent="0.25">
      <c r="A233" s="5">
        <v>44360</v>
      </c>
      <c r="B233">
        <v>38.396999999999998</v>
      </c>
      <c r="C233">
        <v>40.031999999999996</v>
      </c>
      <c r="D233">
        <v>36.506</v>
      </c>
      <c r="E233">
        <v>39.456000000000003</v>
      </c>
      <c r="F233">
        <v>49973.21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0.67328417470221558</v>
      </c>
      <c r="Q233">
        <f t="shared" si="960"/>
        <v>33646.171452070506</v>
      </c>
      <c r="R233">
        <f t="shared" si="961"/>
        <v>-3747870.1675557387</v>
      </c>
      <c r="S233">
        <f t="shared" si="962"/>
        <v>-37.478701675557389</v>
      </c>
      <c r="T233">
        <f t="shared" si="963"/>
        <v>-3.7478701675557391E-2</v>
      </c>
    </row>
    <row r="234" spans="1:20" x14ac:dyDescent="0.25">
      <c r="A234" s="5">
        <v>44359</v>
      </c>
      <c r="B234">
        <v>39.085000000000001</v>
      </c>
      <c r="C234">
        <v>39.963999999999999</v>
      </c>
      <c r="D234">
        <v>36.185000000000002</v>
      </c>
      <c r="E234">
        <v>38.292000000000002</v>
      </c>
      <c r="F234">
        <v>47286.563999999998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0.11510981741201447</v>
      </c>
      <c r="Q234">
        <f t="shared" si="960"/>
        <v>5443.1477480815365</v>
      </c>
      <c r="R234">
        <f t="shared" si="961"/>
        <v>-3781516.3390078093</v>
      </c>
      <c r="S234">
        <f t="shared" si="962"/>
        <v>-37.815163390078091</v>
      </c>
      <c r="T234">
        <f t="shared" si="963"/>
        <v>-3.7815163390078094E-2</v>
      </c>
    </row>
    <row r="235" spans="1:20" x14ac:dyDescent="0.25">
      <c r="A235" s="5">
        <v>44358</v>
      </c>
      <c r="B235">
        <v>40.985999999999997</v>
      </c>
      <c r="C235">
        <v>42.618000000000002</v>
      </c>
      <c r="D235">
        <v>38.656999999999996</v>
      </c>
      <c r="E235">
        <v>39.168999999999997</v>
      </c>
      <c r="F235">
        <v>53912.703000000001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-0.74147942438778103</v>
      </c>
      <c r="Q235">
        <f t="shared" si="960"/>
        <v>-39975.159987629399</v>
      </c>
      <c r="R235">
        <f t="shared" si="961"/>
        <v>-3786959.4867558908</v>
      </c>
      <c r="S235">
        <f t="shared" si="962"/>
        <v>-37.869594867558909</v>
      </c>
      <c r="T235">
        <f t="shared" si="963"/>
        <v>-3.7869594867558906E-2</v>
      </c>
    </row>
    <row r="236" spans="1:20" x14ac:dyDescent="0.25">
      <c r="A236" s="5">
        <v>44357</v>
      </c>
      <c r="B236">
        <v>45.847999999999999</v>
      </c>
      <c r="C236">
        <v>46.186999999999998</v>
      </c>
      <c r="D236">
        <v>40.195</v>
      </c>
      <c r="E236">
        <v>40.86</v>
      </c>
      <c r="F236">
        <v>70796.793000000005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-0.77803738317757032</v>
      </c>
      <c r="Q236">
        <f t="shared" si="960"/>
        <v>-55082.551563084133</v>
      </c>
      <c r="R236">
        <f t="shared" si="961"/>
        <v>-3746984.3267682614</v>
      </c>
      <c r="S236">
        <f t="shared" si="962"/>
        <v>-37.469843267682613</v>
      </c>
      <c r="T236">
        <f t="shared" si="963"/>
        <v>-3.7469843267682615E-2</v>
      </c>
    </row>
    <row r="237" spans="1:20" x14ac:dyDescent="0.25">
      <c r="A237" s="5">
        <v>44356</v>
      </c>
      <c r="B237">
        <v>42.588000000000001</v>
      </c>
      <c r="C237">
        <v>50.235999999999997</v>
      </c>
      <c r="D237">
        <v>40.6</v>
      </c>
      <c r="E237">
        <v>45.728000000000002</v>
      </c>
      <c r="F237">
        <v>507242.68199999997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6.4342050643421009E-2</v>
      </c>
      <c r="Q237">
        <f t="shared" si="960"/>
        <v>32637.034333748696</v>
      </c>
      <c r="R237">
        <f t="shared" si="961"/>
        <v>-3691901.7752051773</v>
      </c>
      <c r="S237">
        <f t="shared" si="962"/>
        <v>-36.919017752051772</v>
      </c>
      <c r="T237">
        <f t="shared" si="963"/>
        <v>-3.6919017752051773E-2</v>
      </c>
    </row>
    <row r="238" spans="1:20" x14ac:dyDescent="0.25">
      <c r="A238" s="5">
        <v>44355</v>
      </c>
      <c r="B238">
        <v>43.683</v>
      </c>
      <c r="C238">
        <v>45.024999999999999</v>
      </c>
      <c r="D238">
        <v>39.674999999999997</v>
      </c>
      <c r="E238">
        <v>42.668999999999997</v>
      </c>
      <c r="F238">
        <v>62816.84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0.11925233644859774</v>
      </c>
      <c r="Q238">
        <f t="shared" si="960"/>
        <v>7491.0549383177322</v>
      </c>
      <c r="R238">
        <f t="shared" si="961"/>
        <v>-3724538.809538926</v>
      </c>
      <c r="S238">
        <f t="shared" si="962"/>
        <v>-37.245388095389259</v>
      </c>
      <c r="T238">
        <f t="shared" si="963"/>
        <v>-3.7245388095389256E-2</v>
      </c>
    </row>
    <row r="239" spans="1:20" x14ac:dyDescent="0.25">
      <c r="A239" s="5">
        <v>44354</v>
      </c>
      <c r="B239">
        <v>48.267000000000003</v>
      </c>
      <c r="C239">
        <v>49.558999999999997</v>
      </c>
      <c r="D239">
        <v>43.023000000000003</v>
      </c>
      <c r="E239">
        <v>43.587000000000003</v>
      </c>
      <c r="F239">
        <v>52580.684000000001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-0.82741738066095449</v>
      </c>
      <c r="Q239">
        <f t="shared" si="960"/>
        <v>-43506.17182864136</v>
      </c>
      <c r="R239">
        <f t="shared" si="961"/>
        <v>-3732029.8644772437</v>
      </c>
      <c r="S239">
        <f t="shared" si="962"/>
        <v>-37.320298644772436</v>
      </c>
      <c r="T239">
        <f t="shared" si="963"/>
        <v>-3.7320298644772439E-2</v>
      </c>
    </row>
    <row r="240" spans="1:20" x14ac:dyDescent="0.25">
      <c r="A240" s="5">
        <v>44353</v>
      </c>
      <c r="B240">
        <v>48.688000000000002</v>
      </c>
      <c r="C240">
        <v>52.826000000000001</v>
      </c>
      <c r="D240">
        <v>47.5</v>
      </c>
      <c r="E240">
        <v>48.326999999999998</v>
      </c>
      <c r="F240">
        <v>125274.655</v>
      </c>
      <c r="G240">
        <v>0</v>
      </c>
      <c r="L240" t="s">
        <v>7</v>
      </c>
      <c r="M240" t="s">
        <v>8</v>
      </c>
      <c r="N240" t="s">
        <v>7</v>
      </c>
      <c r="P240">
        <f t="shared" si="959"/>
        <v>-0.68944799098760867</v>
      </c>
      <c r="Q240">
        <f t="shared" si="960"/>
        <v>-86370.35921141578</v>
      </c>
      <c r="R240">
        <f t="shared" si="961"/>
        <v>-3688523.6926486022</v>
      </c>
      <c r="S240">
        <f t="shared" si="962"/>
        <v>-36.885236926486023</v>
      </c>
      <c r="T240">
        <f t="shared" si="963"/>
        <v>-3.6885236926486022E-2</v>
      </c>
    </row>
    <row r="241" spans="1:20" x14ac:dyDescent="0.25">
      <c r="A241" s="5">
        <v>44352</v>
      </c>
      <c r="B241">
        <v>47.198999999999998</v>
      </c>
      <c r="C241">
        <v>56.5</v>
      </c>
      <c r="D241">
        <v>46.036000000000001</v>
      </c>
      <c r="E241">
        <v>48.756</v>
      </c>
      <c r="F241">
        <v>270385.91800000001</v>
      </c>
      <c r="G241">
        <v>0</v>
      </c>
      <c r="L241" t="s">
        <v>8</v>
      </c>
      <c r="M241" t="s">
        <v>8</v>
      </c>
      <c r="N241" t="s">
        <v>7</v>
      </c>
      <c r="P241">
        <f t="shared" si="959"/>
        <v>-0.48012232415902156</v>
      </c>
      <c r="Q241">
        <f t="shared" si="960"/>
        <v>-129818.31537003063</v>
      </c>
      <c r="R241">
        <f t="shared" si="961"/>
        <v>-3602153.3334371862</v>
      </c>
      <c r="S241">
        <f t="shared" si="962"/>
        <v>-36.02153333437186</v>
      </c>
      <c r="T241">
        <f t="shared" si="963"/>
        <v>-3.6021533334371858E-2</v>
      </c>
    </row>
    <row r="242" spans="1:20" x14ac:dyDescent="0.25">
      <c r="A242" s="5">
        <v>44351</v>
      </c>
      <c r="B242">
        <v>50.122999999999998</v>
      </c>
      <c r="C242">
        <v>50.3</v>
      </c>
      <c r="D242">
        <v>45.000999999999998</v>
      </c>
      <c r="E242">
        <v>47.168999999999997</v>
      </c>
      <c r="F242">
        <v>70198.971999999994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-0.18173240234006435</v>
      </c>
      <c r="Q242">
        <f t="shared" si="960"/>
        <v>-12757.42782336291</v>
      </c>
      <c r="R242">
        <f t="shared" si="961"/>
        <v>-3472335.0180671555</v>
      </c>
      <c r="S242">
        <f t="shared" si="962"/>
        <v>-34.723350180671552</v>
      </c>
      <c r="T242">
        <f t="shared" si="963"/>
        <v>-3.4723350180671554E-2</v>
      </c>
    </row>
    <row r="243" spans="1:20" x14ac:dyDescent="0.25">
      <c r="A243" s="5">
        <v>44350</v>
      </c>
      <c r="B243">
        <v>49.289000000000001</v>
      </c>
      <c r="C243">
        <v>54</v>
      </c>
      <c r="D243">
        <v>48.645000000000003</v>
      </c>
      <c r="E243">
        <v>50.173999999999999</v>
      </c>
      <c r="F243">
        <v>95807.42</v>
      </c>
      <c r="G243">
        <v>0</v>
      </c>
      <c r="L243" t="s">
        <v>8</v>
      </c>
      <c r="M243" t="s">
        <v>7</v>
      </c>
      <c r="N243" t="s">
        <v>7</v>
      </c>
      <c r="P243">
        <f t="shared" si="959"/>
        <v>-0.4289449112978535</v>
      </c>
      <c r="Q243">
        <f t="shared" si="960"/>
        <v>-41096.105273576191</v>
      </c>
      <c r="R243">
        <f t="shared" si="961"/>
        <v>-3459577.5902437926</v>
      </c>
      <c r="S243">
        <f t="shared" si="962"/>
        <v>-34.595775902437929</v>
      </c>
      <c r="T243">
        <f t="shared" si="963"/>
        <v>-3.4595775902437925E-2</v>
      </c>
    </row>
    <row r="244" spans="1:20" x14ac:dyDescent="0.25">
      <c r="A244" s="5">
        <v>44349</v>
      </c>
      <c r="B244">
        <v>49.232999999999997</v>
      </c>
      <c r="C244">
        <v>50.689</v>
      </c>
      <c r="D244">
        <v>48.378999999999998</v>
      </c>
      <c r="E244">
        <v>49.331000000000003</v>
      </c>
      <c r="F244">
        <v>59096.826000000001</v>
      </c>
      <c r="G244">
        <v>0</v>
      </c>
      <c r="L244" t="s">
        <v>7</v>
      </c>
      <c r="M244" t="s">
        <v>7</v>
      </c>
      <c r="N244" t="s">
        <v>7</v>
      </c>
      <c r="P244">
        <f t="shared" si="959"/>
        <v>-0.175757575757572</v>
      </c>
      <c r="Q244">
        <f t="shared" si="960"/>
        <v>-10386.714872727051</v>
      </c>
      <c r="R244">
        <f t="shared" si="961"/>
        <v>-3418481.4849702166</v>
      </c>
      <c r="S244">
        <f t="shared" si="962"/>
        <v>-34.184814849702164</v>
      </c>
      <c r="T244">
        <f t="shared" si="963"/>
        <v>-3.4184814849702164E-2</v>
      </c>
    </row>
    <row r="245" spans="1:20" x14ac:dyDescent="0.25">
      <c r="A245" s="5">
        <v>44348</v>
      </c>
      <c r="B245">
        <v>52.220999999999997</v>
      </c>
      <c r="C245">
        <v>53.295999999999999</v>
      </c>
      <c r="D245">
        <v>48.353999999999999</v>
      </c>
      <c r="E245">
        <v>49.231999999999999</v>
      </c>
      <c r="F245">
        <v>94969.209000000003</v>
      </c>
      <c r="G245">
        <v>0</v>
      </c>
      <c r="L245" t="s">
        <v>7</v>
      </c>
      <c r="M245" t="s">
        <v>7</v>
      </c>
      <c r="N245" t="s">
        <v>7</v>
      </c>
      <c r="P245">
        <f t="shared" si="959"/>
        <v>-0.64467826790772964</v>
      </c>
      <c r="Q245">
        <f t="shared" si="960"/>
        <v>-61224.585162687174</v>
      </c>
      <c r="R245">
        <f t="shared" si="961"/>
        <v>-3408094.7700974895</v>
      </c>
      <c r="S245">
        <f t="shared" si="962"/>
        <v>-34.080947700974896</v>
      </c>
      <c r="T245">
        <f t="shared" si="963"/>
        <v>-3.4080947700974897E-2</v>
      </c>
    </row>
    <row r="246" spans="1:20" x14ac:dyDescent="0.25">
      <c r="A246" s="5">
        <v>44347</v>
      </c>
      <c r="B246">
        <v>52.716000000000001</v>
      </c>
      <c r="C246">
        <v>54.716000000000001</v>
      </c>
      <c r="D246">
        <v>50.206000000000003</v>
      </c>
      <c r="E246">
        <v>52.2</v>
      </c>
      <c r="F246">
        <v>150416.00700000001</v>
      </c>
      <c r="G246">
        <v>0</v>
      </c>
      <c r="L246" t="s">
        <v>8</v>
      </c>
      <c r="M246" t="s">
        <v>7</v>
      </c>
      <c r="N246" t="s">
        <v>8</v>
      </c>
      <c r="P246">
        <f t="shared" si="959"/>
        <v>-0.11574279379157398</v>
      </c>
      <c r="Q246">
        <f t="shared" si="960"/>
        <v>-17409.568881152951</v>
      </c>
      <c r="R246">
        <f t="shared" si="961"/>
        <v>-3346870.1849348024</v>
      </c>
      <c r="S246">
        <f t="shared" si="962"/>
        <v>-33.468701849348022</v>
      </c>
      <c r="T246">
        <f t="shared" si="963"/>
        <v>-3.3468701849348019E-2</v>
      </c>
    </row>
    <row r="247" spans="1:20" x14ac:dyDescent="0.25">
      <c r="A247" s="5">
        <v>44346</v>
      </c>
      <c r="B247">
        <v>54.598999999999997</v>
      </c>
      <c r="C247">
        <v>66.8</v>
      </c>
      <c r="D247">
        <v>50.2</v>
      </c>
      <c r="E247">
        <v>52.68</v>
      </c>
      <c r="F247">
        <v>698905.51</v>
      </c>
      <c r="G247">
        <v>0</v>
      </c>
      <c r="L247" t="s">
        <v>7</v>
      </c>
      <c r="M247" t="s">
        <v>7</v>
      </c>
      <c r="N247" t="s">
        <v>8</v>
      </c>
      <c r="P247">
        <f t="shared" si="959"/>
        <v>-0.70120481927710876</v>
      </c>
      <c r="Q247">
        <f t="shared" si="960"/>
        <v>-490075.91183132556</v>
      </c>
      <c r="R247">
        <f t="shared" si="961"/>
        <v>-3329460.6160536492</v>
      </c>
      <c r="S247">
        <f t="shared" si="962"/>
        <v>-33.294606160536489</v>
      </c>
      <c r="T247">
        <f t="shared" si="963"/>
        <v>-3.3294606160536491E-2</v>
      </c>
    </row>
    <row r="248" spans="1:20" x14ac:dyDescent="0.25">
      <c r="A248" s="5">
        <v>44345</v>
      </c>
      <c r="B248">
        <v>40.593000000000004</v>
      </c>
      <c r="C248">
        <v>69</v>
      </c>
      <c r="D248">
        <v>39.723999999999997</v>
      </c>
      <c r="E248">
        <v>54.603999999999999</v>
      </c>
      <c r="F248">
        <v>1149115.8430000001</v>
      </c>
      <c r="G248">
        <v>0</v>
      </c>
      <c r="L248" t="s">
        <v>8</v>
      </c>
      <c r="M248" t="s">
        <v>8</v>
      </c>
      <c r="N248" t="s">
        <v>8</v>
      </c>
      <c r="P248">
        <f t="shared" si="959"/>
        <v>1.6532313157535242E-2</v>
      </c>
      <c r="Q248">
        <f t="shared" si="960"/>
        <v>18997.542970761104</v>
      </c>
      <c r="R248">
        <f t="shared" si="961"/>
        <v>-2839384.7042223238</v>
      </c>
      <c r="S248">
        <f t="shared" si="962"/>
        <v>-28.393847042223239</v>
      </c>
      <c r="T248">
        <f t="shared" si="963"/>
        <v>-2.8393847042223239E-2</v>
      </c>
    </row>
    <row r="249" spans="1:20" x14ac:dyDescent="0.25">
      <c r="A249" s="5">
        <v>44344</v>
      </c>
      <c r="B249">
        <v>47.735999999999997</v>
      </c>
      <c r="C249">
        <v>49.040999999999997</v>
      </c>
      <c r="D249">
        <v>39.520000000000003</v>
      </c>
      <c r="E249">
        <v>40.542000000000002</v>
      </c>
      <c r="F249">
        <v>50893.720999999998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-0.78531666841718328</v>
      </c>
      <c r="Q249">
        <f t="shared" si="960"/>
        <v>-39967.687419073634</v>
      </c>
      <c r="R249">
        <f t="shared" si="961"/>
        <v>-2858382.247193085</v>
      </c>
      <c r="S249">
        <f t="shared" si="962"/>
        <v>-28.583822471930851</v>
      </c>
      <c r="T249">
        <f t="shared" si="963"/>
        <v>-2.858382247193085E-2</v>
      </c>
    </row>
    <row r="250" spans="1:20" x14ac:dyDescent="0.25">
      <c r="A250" s="5">
        <v>44343</v>
      </c>
      <c r="B250">
        <v>53.247</v>
      </c>
      <c r="C250">
        <v>54.325000000000003</v>
      </c>
      <c r="D250">
        <v>45.087000000000003</v>
      </c>
      <c r="E250">
        <v>47.722999999999999</v>
      </c>
      <c r="F250">
        <v>829221.20900000003</v>
      </c>
      <c r="G250">
        <v>0</v>
      </c>
      <c r="L250" t="s">
        <v>7</v>
      </c>
      <c r="M250" t="s">
        <v>7</v>
      </c>
      <c r="N250" t="s">
        <v>7</v>
      </c>
      <c r="P250">
        <f t="shared" si="959"/>
        <v>-0.42931370426499332</v>
      </c>
      <c r="Q250">
        <f t="shared" si="960"/>
        <v>-355996.02889088623</v>
      </c>
      <c r="R250">
        <f t="shared" si="961"/>
        <v>-2818414.5597740114</v>
      </c>
      <c r="S250">
        <f t="shared" si="962"/>
        <v>-28.184145597740113</v>
      </c>
      <c r="T250">
        <f t="shared" si="963"/>
        <v>-2.8184145597740112E-2</v>
      </c>
    </row>
    <row r="251" spans="1:20" x14ac:dyDescent="0.25">
      <c r="A251" s="5">
        <v>44342</v>
      </c>
      <c r="B251">
        <v>42.524000000000001</v>
      </c>
      <c r="C251">
        <v>60.692</v>
      </c>
      <c r="D251">
        <v>41.066000000000003</v>
      </c>
      <c r="E251">
        <v>53.183</v>
      </c>
      <c r="F251">
        <v>456603.67700000003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0.23479058391929061</v>
      </c>
      <c r="Q251">
        <f t="shared" si="960"/>
        <v>107206.24394252517</v>
      </c>
      <c r="R251">
        <f t="shared" si="961"/>
        <v>-2462418.530883125</v>
      </c>
      <c r="S251">
        <f t="shared" si="962"/>
        <v>-24.624185308831251</v>
      </c>
      <c r="T251">
        <f t="shared" si="963"/>
        <v>-2.4624185308831252E-2</v>
      </c>
    </row>
    <row r="252" spans="1:20" x14ac:dyDescent="0.25">
      <c r="A252" s="5">
        <v>44341</v>
      </c>
      <c r="B252">
        <v>40.466999999999999</v>
      </c>
      <c r="C252">
        <v>42.853000000000002</v>
      </c>
      <c r="D252">
        <v>38.273000000000003</v>
      </c>
      <c r="E252">
        <v>42.512999999999998</v>
      </c>
      <c r="F252">
        <v>53380.959000000003</v>
      </c>
      <c r="G252">
        <v>0</v>
      </c>
      <c r="L252" t="s">
        <v>7</v>
      </c>
      <c r="M252" t="s">
        <v>8</v>
      </c>
      <c r="N252" t="s">
        <v>8</v>
      </c>
      <c r="P252">
        <f t="shared" si="959"/>
        <v>0.85152838427947442</v>
      </c>
      <c r="Q252">
        <f t="shared" si="960"/>
        <v>45455.40176855887</v>
      </c>
      <c r="R252">
        <f t="shared" si="961"/>
        <v>-2569624.7748256503</v>
      </c>
      <c r="S252">
        <f t="shared" si="962"/>
        <v>-25.696247748256503</v>
      </c>
      <c r="T252">
        <f t="shared" si="963"/>
        <v>-2.5696247748256504E-2</v>
      </c>
    </row>
    <row r="253" spans="1:20" x14ac:dyDescent="0.25">
      <c r="A253" s="5">
        <v>44340</v>
      </c>
      <c r="B253">
        <v>34.322000000000003</v>
      </c>
      <c r="C253">
        <v>42.222000000000001</v>
      </c>
      <c r="D253">
        <v>33.009</v>
      </c>
      <c r="E253">
        <v>40.323</v>
      </c>
      <c r="F253">
        <v>81966.789000000004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0.58775643112992493</v>
      </c>
      <c r="Q253">
        <f t="shared" si="960"/>
        <v>48176.507373819593</v>
      </c>
      <c r="R253">
        <f t="shared" si="961"/>
        <v>-2615080.1765942089</v>
      </c>
      <c r="S253">
        <f t="shared" si="962"/>
        <v>-26.150801765942088</v>
      </c>
      <c r="T253">
        <f t="shared" si="963"/>
        <v>-2.6150801765942089E-2</v>
      </c>
    </row>
    <row r="254" spans="1:20" x14ac:dyDescent="0.25">
      <c r="A254" s="5">
        <v>44339</v>
      </c>
      <c r="B254">
        <v>37.93</v>
      </c>
      <c r="C254">
        <v>43.558999999999997</v>
      </c>
      <c r="D254">
        <v>27.969000000000001</v>
      </c>
      <c r="E254">
        <v>34.332000000000001</v>
      </c>
      <c r="F254">
        <v>212839.13200000001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-0.183707504810776</v>
      </c>
      <c r="Q254">
        <f t="shared" si="960"/>
        <v>-39100.145865811392</v>
      </c>
      <c r="R254">
        <f t="shared" si="961"/>
        <v>-2663256.6839680285</v>
      </c>
      <c r="S254">
        <f t="shared" si="962"/>
        <v>-26.632566839680287</v>
      </c>
      <c r="T254">
        <f t="shared" si="963"/>
        <v>-2.6632566839680287E-2</v>
      </c>
    </row>
    <row r="255" spans="1:20" x14ac:dyDescent="0.25">
      <c r="A255" s="5">
        <v>44338</v>
      </c>
      <c r="B255">
        <v>40.435000000000002</v>
      </c>
      <c r="C255">
        <v>41.228000000000002</v>
      </c>
      <c r="D255">
        <v>35.204000000000001</v>
      </c>
      <c r="E255">
        <v>37.914000000000001</v>
      </c>
      <c r="F255">
        <v>63726.116999999998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-0.10026560424966785</v>
      </c>
      <c r="Q255">
        <f t="shared" si="960"/>
        <v>-6389.5376274900309</v>
      </c>
      <c r="R255">
        <f t="shared" si="961"/>
        <v>-2624156.538102217</v>
      </c>
      <c r="S255">
        <f t="shared" si="962"/>
        <v>-26.24156538102217</v>
      </c>
      <c r="T255">
        <f t="shared" si="963"/>
        <v>-2.624156538102217E-2</v>
      </c>
    </row>
    <row r="256" spans="1:20" x14ac:dyDescent="0.25">
      <c r="A256" s="5">
        <v>44337</v>
      </c>
      <c r="B256">
        <v>48.576000000000001</v>
      </c>
      <c r="C256">
        <v>52.874000000000002</v>
      </c>
      <c r="D256">
        <v>37.5</v>
      </c>
      <c r="E256">
        <v>40.392000000000003</v>
      </c>
      <c r="F256">
        <v>87974.332999999999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-0.62378040848185212</v>
      </c>
      <c r="Q256">
        <f t="shared" si="960"/>
        <v>-54876.665374658485</v>
      </c>
      <c r="R256">
        <f t="shared" si="961"/>
        <v>-2617767.0004747268</v>
      </c>
      <c r="S256">
        <f t="shared" si="962"/>
        <v>-26.177670004747267</v>
      </c>
      <c r="T256">
        <f t="shared" si="963"/>
        <v>-2.6177670004747265E-2</v>
      </c>
    </row>
    <row r="257" spans="1:20" x14ac:dyDescent="0.25">
      <c r="A257" s="5">
        <v>44336</v>
      </c>
      <c r="B257">
        <v>40.554000000000002</v>
      </c>
      <c r="C257">
        <v>51.1</v>
      </c>
      <c r="D257">
        <v>36.649000000000001</v>
      </c>
      <c r="E257">
        <v>48.634999999999998</v>
      </c>
      <c r="F257">
        <v>88822.812999999995</v>
      </c>
      <c r="G257">
        <v>0</v>
      </c>
      <c r="L257" t="s">
        <v>7</v>
      </c>
      <c r="M257" t="s">
        <v>7</v>
      </c>
      <c r="N257" t="s">
        <v>7</v>
      </c>
      <c r="P257">
        <f t="shared" si="959"/>
        <v>0.65884713860632438</v>
      </c>
      <c r="Q257">
        <f t="shared" si="960"/>
        <v>58520.656188014626</v>
      </c>
      <c r="R257">
        <f t="shared" si="961"/>
        <v>-2562890.3351000682</v>
      </c>
      <c r="S257">
        <f t="shared" si="962"/>
        <v>-25.628903351000684</v>
      </c>
      <c r="T257">
        <f t="shared" si="963"/>
        <v>-2.5628903351000685E-2</v>
      </c>
    </row>
    <row r="258" spans="1:20" x14ac:dyDescent="0.25">
      <c r="A258" s="5">
        <v>44335</v>
      </c>
      <c r="B258">
        <v>61.837000000000003</v>
      </c>
      <c r="C258">
        <v>62.633000000000003</v>
      </c>
      <c r="D258">
        <v>38</v>
      </c>
      <c r="E258">
        <v>40.511000000000003</v>
      </c>
      <c r="F258">
        <v>169051.81200000001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-0.79612714651077798</v>
      </c>
      <c r="Q258">
        <f t="shared" si="960"/>
        <v>-134586.7367000365</v>
      </c>
      <c r="R258">
        <f t="shared" si="961"/>
        <v>-2621410.9912880827</v>
      </c>
      <c r="S258">
        <f t="shared" si="962"/>
        <v>-26.214109912880826</v>
      </c>
      <c r="T258">
        <f t="shared" si="963"/>
        <v>-2.6214109912880826E-2</v>
      </c>
    </row>
    <row r="259" spans="1:20" x14ac:dyDescent="0.25">
      <c r="A259" s="5">
        <v>44334</v>
      </c>
      <c r="B259">
        <v>66.798000000000002</v>
      </c>
      <c r="C259">
        <v>72.891000000000005</v>
      </c>
      <c r="D259">
        <v>60</v>
      </c>
      <c r="E259">
        <v>61.957999999999998</v>
      </c>
      <c r="F259">
        <v>239173.27</v>
      </c>
      <c r="G259">
        <v>0</v>
      </c>
      <c r="L259" t="s">
        <v>7</v>
      </c>
      <c r="M259" t="s">
        <v>7</v>
      </c>
      <c r="N259" t="s">
        <v>7</v>
      </c>
      <c r="P259">
        <f t="shared" si="959"/>
        <v>-0.69622217050655533</v>
      </c>
      <c r="Q259">
        <f t="shared" si="960"/>
        <v>-166517.73316655037</v>
      </c>
      <c r="R259">
        <f t="shared" si="961"/>
        <v>-2486824.2545880461</v>
      </c>
      <c r="S259">
        <f t="shared" si="962"/>
        <v>-24.868242545880459</v>
      </c>
      <c r="T259">
        <f t="shared" si="963"/>
        <v>-2.4868242545880461E-2</v>
      </c>
    </row>
    <row r="260" spans="1:20" x14ac:dyDescent="0.25">
      <c r="A260" s="5">
        <v>44333</v>
      </c>
      <c r="B260">
        <v>76.046999999999997</v>
      </c>
      <c r="C260">
        <v>88.998000000000005</v>
      </c>
      <c r="D260">
        <v>63.01</v>
      </c>
      <c r="E260">
        <v>66.793000000000006</v>
      </c>
      <c r="F260">
        <v>887161.01599999995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-0.70886563029090288</v>
      </c>
      <c r="Q260">
        <f t="shared" si="960"/>
        <v>-628877.95277635776</v>
      </c>
      <c r="R260">
        <f t="shared" si="961"/>
        <v>-2320306.5214214958</v>
      </c>
      <c r="S260">
        <f t="shared" si="962"/>
        <v>-23.203065214214959</v>
      </c>
      <c r="T260">
        <f t="shared" si="963"/>
        <v>-2.320306521421496E-2</v>
      </c>
    </row>
    <row r="261" spans="1:20" x14ac:dyDescent="0.25">
      <c r="A261" s="5">
        <v>44332</v>
      </c>
      <c r="B261">
        <v>54.287999999999997</v>
      </c>
      <c r="C261">
        <v>97.7</v>
      </c>
      <c r="D261">
        <v>54.183</v>
      </c>
      <c r="E261">
        <v>76.2</v>
      </c>
      <c r="F261">
        <v>1904697.699</v>
      </c>
      <c r="G261">
        <v>0</v>
      </c>
      <c r="L261" t="s">
        <v>8</v>
      </c>
      <c r="M261" t="s">
        <v>8</v>
      </c>
      <c r="N261" t="s">
        <v>8</v>
      </c>
      <c r="P261">
        <f t="shared" si="959"/>
        <v>1.1880414550635453E-2</v>
      </c>
      <c r="Q261">
        <f t="shared" si="960"/>
        <v>22628.598257761467</v>
      </c>
      <c r="R261">
        <f t="shared" si="961"/>
        <v>-1691428.5686451381</v>
      </c>
      <c r="S261">
        <f t="shared" si="962"/>
        <v>-16.914285686451379</v>
      </c>
      <c r="T261">
        <f t="shared" si="963"/>
        <v>-1.691428568645138E-2</v>
      </c>
    </row>
    <row r="262" spans="1:20" x14ac:dyDescent="0.25">
      <c r="A262" s="5">
        <v>44331</v>
      </c>
      <c r="B262">
        <v>58.399000000000001</v>
      </c>
      <c r="C262">
        <v>58.768000000000001</v>
      </c>
      <c r="D262">
        <v>54.127000000000002</v>
      </c>
      <c r="E262">
        <v>54.381</v>
      </c>
      <c r="F262">
        <v>19160.228999999999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-0.89054083171730325</v>
      </c>
      <c r="Q262">
        <f t="shared" ref="Q262:Q325" si="965">F262*P262</f>
        <v>-17062.966269553992</v>
      </c>
      <c r="R262">
        <f t="shared" ref="R262:R325" si="966">R263+Q262</f>
        <v>-1714057.1669028995</v>
      </c>
      <c r="S262">
        <f t="shared" ref="S262:S325" si="967">R262/100000</f>
        <v>-17.140571669028994</v>
      </c>
      <c r="T262">
        <f t="shared" ref="T262:T325" si="968">S262/1000</f>
        <v>-1.7140571669028992E-2</v>
      </c>
    </row>
    <row r="263" spans="1:20" x14ac:dyDescent="0.25">
      <c r="A263" s="5">
        <v>44330</v>
      </c>
      <c r="B263">
        <v>55.825000000000003</v>
      </c>
      <c r="C263">
        <v>61</v>
      </c>
      <c r="D263">
        <v>55.496000000000002</v>
      </c>
      <c r="E263">
        <v>58.267000000000003</v>
      </c>
      <c r="F263">
        <v>23317.703000000001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6.9040697674425553E-3</v>
      </c>
      <c r="Q263">
        <f t="shared" si="965"/>
        <v>160.98704832850459</v>
      </c>
      <c r="R263">
        <f t="shared" si="966"/>
        <v>-1696994.2006333454</v>
      </c>
      <c r="S263">
        <f t="shared" si="967"/>
        <v>-16.969942006333454</v>
      </c>
      <c r="T263">
        <f t="shared" si="968"/>
        <v>-1.6969942006333453E-2</v>
      </c>
    </row>
    <row r="264" spans="1:20" x14ac:dyDescent="0.25">
      <c r="A264" s="5">
        <v>44329</v>
      </c>
      <c r="B264">
        <v>58.188000000000002</v>
      </c>
      <c r="C264">
        <v>61.658000000000001</v>
      </c>
      <c r="D264">
        <v>53.345999999999997</v>
      </c>
      <c r="E264">
        <v>55.768999999999998</v>
      </c>
      <c r="F264">
        <v>53552.623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-0.41698748796920104</v>
      </c>
      <c r="Q264">
        <f t="shared" si="965"/>
        <v>-22330.773738931657</v>
      </c>
      <c r="R264">
        <f t="shared" si="966"/>
        <v>-1697155.1876816738</v>
      </c>
      <c r="S264">
        <f t="shared" si="967"/>
        <v>-16.971551876816736</v>
      </c>
      <c r="T264">
        <f t="shared" si="968"/>
        <v>-1.6971551876816735E-2</v>
      </c>
    </row>
    <row r="265" spans="1:20" x14ac:dyDescent="0.25">
      <c r="A265" s="5">
        <v>44328</v>
      </c>
      <c r="B265">
        <v>65.37</v>
      </c>
      <c r="C265">
        <v>72.89</v>
      </c>
      <c r="D265">
        <v>57.942</v>
      </c>
      <c r="E265">
        <v>58.287999999999997</v>
      </c>
      <c r="F265">
        <v>105734.844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-0.95370618142895414</v>
      </c>
      <c r="Q265">
        <f t="shared" si="965"/>
        <v>-100839.97431522617</v>
      </c>
      <c r="R265">
        <f t="shared" si="966"/>
        <v>-1674824.4139427422</v>
      </c>
      <c r="S265">
        <f t="shared" si="967"/>
        <v>-16.74824413942742</v>
      </c>
      <c r="T265">
        <f t="shared" si="968"/>
        <v>-1.674824413942742E-2</v>
      </c>
    </row>
    <row r="266" spans="1:20" x14ac:dyDescent="0.25">
      <c r="A266" s="5">
        <v>44327</v>
      </c>
      <c r="B266">
        <v>59.743000000000002</v>
      </c>
      <c r="C266">
        <v>66.144999999999996</v>
      </c>
      <c r="D266">
        <v>57.046999999999997</v>
      </c>
      <c r="E266">
        <v>65.37</v>
      </c>
      <c r="F266">
        <v>41400.474000000002</v>
      </c>
      <c r="G266">
        <v>0</v>
      </c>
      <c r="L266" t="s">
        <v>7</v>
      </c>
      <c r="M266" t="s">
        <v>7</v>
      </c>
      <c r="N266" t="s">
        <v>8</v>
      </c>
      <c r="P266">
        <f t="shared" si="964"/>
        <v>0.82963288634864996</v>
      </c>
      <c r="Q266">
        <f t="shared" si="965"/>
        <v>34347.19474082224</v>
      </c>
      <c r="R266">
        <f t="shared" si="966"/>
        <v>-1573984.4396275161</v>
      </c>
      <c r="S266">
        <f t="shared" si="967"/>
        <v>-15.73984439627516</v>
      </c>
      <c r="T266">
        <f t="shared" si="968"/>
        <v>-1.5739844396275161E-2</v>
      </c>
    </row>
    <row r="267" spans="1:20" x14ac:dyDescent="0.25">
      <c r="A267" s="5">
        <v>44326</v>
      </c>
      <c r="B267">
        <v>67.113</v>
      </c>
      <c r="C267">
        <v>68.171999999999997</v>
      </c>
      <c r="D267">
        <v>59</v>
      </c>
      <c r="E267">
        <v>59.715000000000003</v>
      </c>
      <c r="F267">
        <v>47194.87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-0.84409071085913567</v>
      </c>
      <c r="Q267">
        <f t="shared" si="965"/>
        <v>-39836.751367204495</v>
      </c>
      <c r="R267">
        <f t="shared" si="966"/>
        <v>-1608331.6343683384</v>
      </c>
      <c r="S267">
        <f t="shared" si="967"/>
        <v>-16.083316343683382</v>
      </c>
      <c r="T267">
        <f t="shared" si="968"/>
        <v>-1.6083316343683381E-2</v>
      </c>
    </row>
    <row r="268" spans="1:20" x14ac:dyDescent="0.25">
      <c r="A268" s="5">
        <v>44325</v>
      </c>
      <c r="B268">
        <v>66.010000000000005</v>
      </c>
      <c r="C268">
        <v>67.191000000000003</v>
      </c>
      <c r="D268">
        <v>63.847999999999999</v>
      </c>
      <c r="E268">
        <v>66.971000000000004</v>
      </c>
      <c r="F268">
        <v>21225.236000000001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0.86838169309003965</v>
      </c>
      <c r="Q268">
        <f t="shared" si="965"/>
        <v>18431.60637391566</v>
      </c>
      <c r="R268">
        <f t="shared" si="966"/>
        <v>-1568494.8830011338</v>
      </c>
      <c r="S268">
        <f t="shared" si="967"/>
        <v>-15.684948830011338</v>
      </c>
      <c r="T268">
        <f t="shared" si="968"/>
        <v>-1.5684948830011338E-2</v>
      </c>
    </row>
    <row r="269" spans="1:20" x14ac:dyDescent="0.25">
      <c r="A269" s="5">
        <v>44324</v>
      </c>
      <c r="B269">
        <v>68.099000000000004</v>
      </c>
      <c r="C269">
        <v>69.58</v>
      </c>
      <c r="D269">
        <v>65.599000000000004</v>
      </c>
      <c r="E269">
        <v>66.010000000000005</v>
      </c>
      <c r="F269">
        <v>43271.588000000003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-0.79351921627731625</v>
      </c>
      <c r="Q269">
        <f t="shared" si="965"/>
        <v>-34336.836596834924</v>
      </c>
      <c r="R269">
        <f t="shared" si="966"/>
        <v>-1586926.4893750495</v>
      </c>
      <c r="S269">
        <f t="shared" si="967"/>
        <v>-15.869264893750495</v>
      </c>
      <c r="T269">
        <f t="shared" si="968"/>
        <v>-1.5869264893750495E-2</v>
      </c>
    </row>
    <row r="270" spans="1:20" x14ac:dyDescent="0.25">
      <c r="A270" s="5">
        <v>44323</v>
      </c>
      <c r="B270">
        <v>68.768000000000001</v>
      </c>
      <c r="C270">
        <v>70.921999999999997</v>
      </c>
      <c r="D270">
        <v>65.7</v>
      </c>
      <c r="E270">
        <v>68.099000000000004</v>
      </c>
      <c r="F270">
        <v>36054.754999999997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-8.1194944465720578E-2</v>
      </c>
      <c r="Q270">
        <f t="shared" si="965"/>
        <v>-2927.4638299501612</v>
      </c>
      <c r="R270">
        <f t="shared" si="966"/>
        <v>-1552589.6527782145</v>
      </c>
      <c r="S270">
        <f t="shared" si="967"/>
        <v>-15.525896527782145</v>
      </c>
      <c r="T270">
        <f t="shared" si="968"/>
        <v>-1.5525896527782145E-2</v>
      </c>
    </row>
    <row r="271" spans="1:20" x14ac:dyDescent="0.25">
      <c r="A271" s="5">
        <v>44322</v>
      </c>
      <c r="B271">
        <v>68.378</v>
      </c>
      <c r="C271">
        <v>71.992000000000004</v>
      </c>
      <c r="D271">
        <v>66.991</v>
      </c>
      <c r="E271">
        <v>68.766000000000005</v>
      </c>
      <c r="F271">
        <v>61901.374000000003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-0.29014197160567728</v>
      </c>
      <c r="Q271">
        <f t="shared" si="965"/>
        <v>-17960.186697460413</v>
      </c>
      <c r="R271">
        <f t="shared" si="966"/>
        <v>-1549662.1889482643</v>
      </c>
      <c r="S271">
        <f t="shared" si="967"/>
        <v>-15.496621889482643</v>
      </c>
      <c r="T271">
        <f t="shared" si="968"/>
        <v>-1.5496621889482644E-2</v>
      </c>
    </row>
    <row r="272" spans="1:20" x14ac:dyDescent="0.25">
      <c r="A272" s="5">
        <v>44321</v>
      </c>
      <c r="B272">
        <v>65.186000000000007</v>
      </c>
      <c r="C272">
        <v>69.8</v>
      </c>
      <c r="D272">
        <v>63.259</v>
      </c>
      <c r="E272">
        <v>68.340999999999994</v>
      </c>
      <c r="F272">
        <v>108911.106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0.55389084237884001</v>
      </c>
      <c r="Q272">
        <f t="shared" si="965"/>
        <v>60324.864246751138</v>
      </c>
      <c r="R272">
        <f t="shared" si="966"/>
        <v>-1531702.0022508039</v>
      </c>
      <c r="S272">
        <f t="shared" si="967"/>
        <v>-15.317020022508039</v>
      </c>
      <c r="T272">
        <f t="shared" si="968"/>
        <v>-1.5317020022508039E-2</v>
      </c>
    </row>
    <row r="273" spans="1:20" x14ac:dyDescent="0.25">
      <c r="A273" s="5">
        <v>44320</v>
      </c>
      <c r="B273">
        <v>71.905000000000001</v>
      </c>
      <c r="C273">
        <v>72.599999999999994</v>
      </c>
      <c r="D273">
        <v>65.144999999999996</v>
      </c>
      <c r="E273">
        <v>65.203000000000003</v>
      </c>
      <c r="F273">
        <v>59621.637000000002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-0.98443997317236565</v>
      </c>
      <c r="Q273">
        <f t="shared" si="965"/>
        <v>-58693.922728772523</v>
      </c>
      <c r="R273">
        <f t="shared" si="966"/>
        <v>-1592026.866497555</v>
      </c>
      <c r="S273">
        <f t="shared" si="967"/>
        <v>-15.92026866497555</v>
      </c>
      <c r="T273">
        <f t="shared" si="968"/>
        <v>-1.5920268664975552E-2</v>
      </c>
    </row>
    <row r="274" spans="1:20" x14ac:dyDescent="0.25">
      <c r="A274" s="5">
        <v>44319</v>
      </c>
      <c r="B274">
        <v>66.197999999999993</v>
      </c>
      <c r="C274">
        <v>78.463999999999999</v>
      </c>
      <c r="D274">
        <v>65.31</v>
      </c>
      <c r="E274">
        <v>71.888999999999996</v>
      </c>
      <c r="F274">
        <v>103410.069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3.0409001064244176E-4</v>
      </c>
      <c r="Q274">
        <f t="shared" si="965"/>
        <v>31.445968982745637</v>
      </c>
      <c r="R274">
        <f t="shared" si="966"/>
        <v>-1533332.9437687825</v>
      </c>
      <c r="S274">
        <f t="shared" si="967"/>
        <v>-15.333329437687825</v>
      </c>
      <c r="T274">
        <f t="shared" si="968"/>
        <v>-1.5333329437687825E-2</v>
      </c>
    </row>
    <row r="275" spans="1:20" x14ac:dyDescent="0.25">
      <c r="A275" s="5">
        <v>44318</v>
      </c>
      <c r="B275">
        <v>68.578000000000003</v>
      </c>
      <c r="C275">
        <v>68.69</v>
      </c>
      <c r="D275">
        <v>65.099999999999994</v>
      </c>
      <c r="E275">
        <v>66.361000000000004</v>
      </c>
      <c r="F275">
        <v>27073.677</v>
      </c>
      <c r="G275">
        <v>0</v>
      </c>
      <c r="L275" t="s">
        <v>7</v>
      </c>
      <c r="M275" t="s">
        <v>8</v>
      </c>
      <c r="N275" t="s">
        <v>7</v>
      </c>
      <c r="P275">
        <f t="shared" si="964"/>
        <v>-0.29749303621169432</v>
      </c>
      <c r="Q275">
        <f t="shared" si="965"/>
        <v>-8054.2303721447151</v>
      </c>
      <c r="R275">
        <f t="shared" si="966"/>
        <v>-1533364.3897377653</v>
      </c>
      <c r="S275">
        <f t="shared" si="967"/>
        <v>-15.333643897377653</v>
      </c>
      <c r="T275">
        <f t="shared" si="968"/>
        <v>-1.5333643897377654E-2</v>
      </c>
    </row>
    <row r="276" spans="1:20" x14ac:dyDescent="0.25">
      <c r="A276" s="5">
        <v>44317</v>
      </c>
      <c r="B276">
        <v>69.522999999999996</v>
      </c>
      <c r="C276">
        <v>72.409000000000006</v>
      </c>
      <c r="D276">
        <v>66.751000000000005</v>
      </c>
      <c r="E276">
        <v>68.649000000000001</v>
      </c>
      <c r="F276">
        <v>47481.815000000002</v>
      </c>
      <c r="G276">
        <v>0</v>
      </c>
      <c r="L276" t="s">
        <v>8</v>
      </c>
      <c r="M276" t="s">
        <v>8</v>
      </c>
      <c r="N276" t="s">
        <v>7</v>
      </c>
      <c r="P276">
        <f t="shared" si="964"/>
        <v>-0.32909155178508459</v>
      </c>
      <c r="Q276">
        <f t="shared" si="965"/>
        <v>-15625.864179922308</v>
      </c>
      <c r="R276">
        <f t="shared" si="966"/>
        <v>-1525310.1593656207</v>
      </c>
      <c r="S276">
        <f t="shared" si="967"/>
        <v>-15.253101593656208</v>
      </c>
      <c r="T276">
        <f t="shared" si="968"/>
        <v>-1.5253101593656207E-2</v>
      </c>
    </row>
    <row r="277" spans="1:20" x14ac:dyDescent="0.25">
      <c r="A277" s="5">
        <v>44316</v>
      </c>
      <c r="B277">
        <v>64.197000000000003</v>
      </c>
      <c r="C277">
        <v>71.5</v>
      </c>
      <c r="D277">
        <v>63.497</v>
      </c>
      <c r="E277">
        <v>69.677000000000007</v>
      </c>
      <c r="F277">
        <v>68622.104999999996</v>
      </c>
      <c r="G277">
        <v>0</v>
      </c>
      <c r="L277" t="s">
        <v>8</v>
      </c>
      <c r="M277" t="s">
        <v>8</v>
      </c>
      <c r="N277" t="s">
        <v>7</v>
      </c>
      <c r="P277">
        <f t="shared" si="964"/>
        <v>0.54442084218418263</v>
      </c>
      <c r="Q277">
        <f t="shared" si="965"/>
        <v>37359.304196551406</v>
      </c>
      <c r="R277">
        <f t="shared" si="966"/>
        <v>-1509684.2951856984</v>
      </c>
      <c r="S277">
        <f t="shared" si="967"/>
        <v>-15.096842951856985</v>
      </c>
      <c r="T277">
        <f t="shared" si="968"/>
        <v>-1.5096842951856985E-2</v>
      </c>
    </row>
    <row r="278" spans="1:20" x14ac:dyDescent="0.25">
      <c r="A278" s="5">
        <v>44315</v>
      </c>
      <c r="B278">
        <v>65.688000000000002</v>
      </c>
      <c r="C278">
        <v>66.683000000000007</v>
      </c>
      <c r="D278">
        <v>61.232999999999997</v>
      </c>
      <c r="E278">
        <v>64.344999999999999</v>
      </c>
      <c r="F278">
        <v>37174.67</v>
      </c>
      <c r="G278">
        <v>0</v>
      </c>
      <c r="L278" t="s">
        <v>7</v>
      </c>
      <c r="M278" t="s">
        <v>8</v>
      </c>
      <c r="N278" t="s">
        <v>7</v>
      </c>
      <c r="P278">
        <f t="shared" si="964"/>
        <v>0.14201834862385182</v>
      </c>
      <c r="Q278">
        <f t="shared" si="965"/>
        <v>5279.4852440366449</v>
      </c>
      <c r="R278">
        <f t="shared" si="966"/>
        <v>-1547043.5993822499</v>
      </c>
      <c r="S278">
        <f t="shared" si="967"/>
        <v>-15.470435993822498</v>
      </c>
      <c r="T278">
        <f t="shared" si="968"/>
        <v>-1.5470435993822498E-2</v>
      </c>
    </row>
    <row r="279" spans="1:20" x14ac:dyDescent="0.25">
      <c r="A279" s="5">
        <v>44314</v>
      </c>
      <c r="B279">
        <v>67.497</v>
      </c>
      <c r="C279">
        <v>69.150000000000006</v>
      </c>
      <c r="D279">
        <v>62.347000000000001</v>
      </c>
      <c r="E279">
        <v>65.688000000000002</v>
      </c>
      <c r="F279">
        <v>32815.256999999998</v>
      </c>
      <c r="G279">
        <v>0</v>
      </c>
      <c r="L279" t="s">
        <v>7</v>
      </c>
      <c r="M279" t="s">
        <v>8</v>
      </c>
      <c r="N279" t="s">
        <v>7</v>
      </c>
      <c r="P279">
        <f t="shared" si="964"/>
        <v>-1.7786270762899035E-2</v>
      </c>
      <c r="Q279">
        <f t="shared" si="965"/>
        <v>-583.66104615611789</v>
      </c>
      <c r="R279">
        <f t="shared" si="966"/>
        <v>-1552323.0846262865</v>
      </c>
      <c r="S279">
        <f t="shared" si="967"/>
        <v>-15.523230846262866</v>
      </c>
      <c r="T279">
        <f t="shared" si="968"/>
        <v>-1.5523230846262866E-2</v>
      </c>
    </row>
    <row r="280" spans="1:20" x14ac:dyDescent="0.25">
      <c r="A280" s="5">
        <v>44313</v>
      </c>
      <c r="B280">
        <v>63.732999999999997</v>
      </c>
      <c r="C280">
        <v>69.316000000000003</v>
      </c>
      <c r="D280">
        <v>63.072000000000003</v>
      </c>
      <c r="E280">
        <v>67.402000000000001</v>
      </c>
      <c r="F280">
        <v>32759.243999999999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0.3869314541960277</v>
      </c>
      <c r="Q280">
        <f t="shared" si="965"/>
        <v>12675.581919282495</v>
      </c>
      <c r="R280">
        <f t="shared" si="966"/>
        <v>-1551739.4235801303</v>
      </c>
      <c r="S280">
        <f t="shared" si="967"/>
        <v>-15.517394235801303</v>
      </c>
      <c r="T280">
        <f t="shared" si="968"/>
        <v>-1.5517394235801302E-2</v>
      </c>
    </row>
    <row r="281" spans="1:20" x14ac:dyDescent="0.25">
      <c r="A281" s="5">
        <v>44312</v>
      </c>
      <c r="B281">
        <v>55.317</v>
      </c>
      <c r="C281">
        <v>64.73</v>
      </c>
      <c r="D281">
        <v>55.308</v>
      </c>
      <c r="E281">
        <v>63.923000000000002</v>
      </c>
      <c r="F281">
        <v>34221.33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0.82869879006580305</v>
      </c>
      <c r="Q281">
        <f t="shared" si="965"/>
        <v>28359.174765442571</v>
      </c>
      <c r="R281">
        <f t="shared" si="966"/>
        <v>-1564415.0054994128</v>
      </c>
      <c r="S281">
        <f t="shared" si="967"/>
        <v>-15.644150054994128</v>
      </c>
      <c r="T281">
        <f t="shared" si="968"/>
        <v>-1.564415005499413E-2</v>
      </c>
    </row>
    <row r="282" spans="1:20" x14ac:dyDescent="0.25">
      <c r="A282" s="5">
        <v>44311</v>
      </c>
      <c r="B282">
        <v>57.637999999999998</v>
      </c>
      <c r="C282">
        <v>62.795999999999999</v>
      </c>
      <c r="D282">
        <v>52.844999999999999</v>
      </c>
      <c r="E282">
        <v>55.363</v>
      </c>
      <c r="F282">
        <v>42581.686999999998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-0.49392020902421857</v>
      </c>
      <c r="Q282">
        <f t="shared" si="965"/>
        <v>-21031.955743643848</v>
      </c>
      <c r="R282">
        <f t="shared" si="966"/>
        <v>-1592774.1802648553</v>
      </c>
      <c r="S282">
        <f t="shared" si="967"/>
        <v>-15.927741802648553</v>
      </c>
      <c r="T282">
        <f t="shared" si="968"/>
        <v>-1.5927741802648554E-2</v>
      </c>
    </row>
    <row r="283" spans="1:20" x14ac:dyDescent="0.25">
      <c r="A283" s="5">
        <v>44310</v>
      </c>
      <c r="B283">
        <v>62.734999999999999</v>
      </c>
      <c r="C283">
        <v>64.662000000000006</v>
      </c>
      <c r="D283">
        <v>57.3</v>
      </c>
      <c r="E283">
        <v>57.555</v>
      </c>
      <c r="F283">
        <v>29992.159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-0.93072534637326754</v>
      </c>
      <c r="Q283">
        <f t="shared" si="965"/>
        <v>-27914.462573757111</v>
      </c>
      <c r="R283">
        <f t="shared" si="966"/>
        <v>-1571742.2245212113</v>
      </c>
      <c r="S283">
        <f t="shared" si="967"/>
        <v>-15.717422245212113</v>
      </c>
      <c r="T283">
        <f t="shared" si="968"/>
        <v>-1.5717422245212113E-2</v>
      </c>
    </row>
    <row r="284" spans="1:20" x14ac:dyDescent="0.25">
      <c r="A284" s="5">
        <v>44309</v>
      </c>
      <c r="B284">
        <v>66.075000000000003</v>
      </c>
      <c r="C284">
        <v>67.058999999999997</v>
      </c>
      <c r="D284">
        <v>56.228000000000002</v>
      </c>
      <c r="E284">
        <v>62.509</v>
      </c>
      <c r="F284">
        <v>59936.063999999998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0.15981903794663488</v>
      </c>
      <c r="Q284">
        <f t="shared" si="965"/>
        <v>9578.9240867879362</v>
      </c>
      <c r="R284">
        <f t="shared" si="966"/>
        <v>-1543827.7619474542</v>
      </c>
      <c r="S284">
        <f t="shared" si="967"/>
        <v>-15.438277619474542</v>
      </c>
      <c r="T284">
        <f t="shared" si="968"/>
        <v>-1.5438277619474541E-2</v>
      </c>
    </row>
    <row r="285" spans="1:20" x14ac:dyDescent="0.25">
      <c r="A285" s="5">
        <v>44308</v>
      </c>
      <c r="B285">
        <v>70.686000000000007</v>
      </c>
      <c r="C285">
        <v>75.489999999999995</v>
      </c>
      <c r="D285">
        <v>64.180000000000007</v>
      </c>
      <c r="E285">
        <v>66</v>
      </c>
      <c r="F285">
        <v>49427.123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-0.67816091954023072</v>
      </c>
      <c r="Q285">
        <f t="shared" si="965"/>
        <v>-33519.543183908085</v>
      </c>
      <c r="R285">
        <f t="shared" si="966"/>
        <v>-1553406.6860342422</v>
      </c>
      <c r="S285">
        <f t="shared" si="967"/>
        <v>-15.534066860342422</v>
      </c>
      <c r="T285">
        <f t="shared" si="968"/>
        <v>-1.5534066860342423E-2</v>
      </c>
    </row>
    <row r="286" spans="1:20" x14ac:dyDescent="0.25">
      <c r="A286" s="5">
        <v>44307</v>
      </c>
      <c r="B286">
        <v>78.409000000000006</v>
      </c>
      <c r="C286">
        <v>79.203000000000003</v>
      </c>
      <c r="D286">
        <v>70.501999999999995</v>
      </c>
      <c r="E286">
        <v>70.53</v>
      </c>
      <c r="F286">
        <v>47781.589</v>
      </c>
      <c r="G286">
        <v>0</v>
      </c>
      <c r="L286" t="s">
        <v>7</v>
      </c>
      <c r="M286" t="s">
        <v>7</v>
      </c>
      <c r="N286" t="s">
        <v>7</v>
      </c>
      <c r="P286">
        <f t="shared" si="964"/>
        <v>-0.99356395816572673</v>
      </c>
      <c r="Q286">
        <f t="shared" si="965"/>
        <v>-47474.064694287947</v>
      </c>
      <c r="R286">
        <f t="shared" si="966"/>
        <v>-1519887.1428503341</v>
      </c>
      <c r="S286">
        <f t="shared" si="967"/>
        <v>-15.19887142850334</v>
      </c>
      <c r="T286">
        <f t="shared" si="968"/>
        <v>-1.519887142850334E-2</v>
      </c>
    </row>
    <row r="287" spans="1:20" x14ac:dyDescent="0.25">
      <c r="A287" s="5">
        <v>44306</v>
      </c>
      <c r="B287">
        <v>84.903999999999996</v>
      </c>
      <c r="C287">
        <v>86.858999999999995</v>
      </c>
      <c r="D287">
        <v>70.284000000000006</v>
      </c>
      <c r="E287">
        <v>78.52</v>
      </c>
      <c r="F287">
        <v>131838.17800000001</v>
      </c>
      <c r="G287">
        <v>0</v>
      </c>
      <c r="L287" t="s">
        <v>8</v>
      </c>
      <c r="M287" t="s">
        <v>7</v>
      </c>
      <c r="N287" t="s">
        <v>7</v>
      </c>
      <c r="P287">
        <f t="shared" si="964"/>
        <v>-6.2141779788843872E-3</v>
      </c>
      <c r="Q287">
        <f t="shared" si="965"/>
        <v>-819.26590250384015</v>
      </c>
      <c r="R287">
        <f t="shared" si="966"/>
        <v>-1472413.0781560461</v>
      </c>
      <c r="S287">
        <f t="shared" si="967"/>
        <v>-14.724130781560461</v>
      </c>
      <c r="T287">
        <f t="shared" si="968"/>
        <v>-1.4724130781560461E-2</v>
      </c>
    </row>
    <row r="288" spans="1:20" x14ac:dyDescent="0.25">
      <c r="A288" s="5">
        <v>44305</v>
      </c>
      <c r="B288">
        <v>73.465000000000003</v>
      </c>
      <c r="C288">
        <v>85</v>
      </c>
      <c r="D288">
        <v>69</v>
      </c>
      <c r="E288">
        <v>84.578999999999994</v>
      </c>
      <c r="F288">
        <v>99919.179000000004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0.94737499999999919</v>
      </c>
      <c r="Q288">
        <f t="shared" si="965"/>
        <v>94660.932205124918</v>
      </c>
      <c r="R288">
        <f t="shared" si="966"/>
        <v>-1471593.8122535422</v>
      </c>
      <c r="S288">
        <f t="shared" si="967"/>
        <v>-14.715938122535423</v>
      </c>
      <c r="T288">
        <f t="shared" si="968"/>
        <v>-1.4715938122535422E-2</v>
      </c>
    </row>
    <row r="289" spans="1:20" x14ac:dyDescent="0.25">
      <c r="A289" s="5">
        <v>44304</v>
      </c>
      <c r="B289">
        <v>88.623999999999995</v>
      </c>
      <c r="C289">
        <v>88.760999999999996</v>
      </c>
      <c r="D289">
        <v>65.989999999999995</v>
      </c>
      <c r="E289">
        <v>73.382999999999996</v>
      </c>
      <c r="F289">
        <v>153127.29199999999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-0.35066531992446531</v>
      </c>
      <c r="Q289">
        <f t="shared" si="965"/>
        <v>-53696.430838347012</v>
      </c>
      <c r="R289">
        <f t="shared" si="966"/>
        <v>-1566254.7444586672</v>
      </c>
      <c r="S289">
        <f t="shared" si="967"/>
        <v>-15.662547444586671</v>
      </c>
      <c r="T289">
        <f t="shared" si="968"/>
        <v>-1.5662547444586672E-2</v>
      </c>
    </row>
    <row r="290" spans="1:20" x14ac:dyDescent="0.25">
      <c r="A290" s="5">
        <v>44303</v>
      </c>
      <c r="B290">
        <v>74.251000000000005</v>
      </c>
      <c r="C290">
        <v>92.75</v>
      </c>
      <c r="D290">
        <v>73.5</v>
      </c>
      <c r="E290">
        <v>88.799000000000007</v>
      </c>
      <c r="F290">
        <v>168198.43400000001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0.5895064935064942</v>
      </c>
      <c r="Q290">
        <f t="shared" si="965"/>
        <v>99154.069040623493</v>
      </c>
      <c r="R290">
        <f t="shared" si="966"/>
        <v>-1512558.3136203203</v>
      </c>
      <c r="S290">
        <f t="shared" si="967"/>
        <v>-15.125583136203202</v>
      </c>
      <c r="T290">
        <f t="shared" si="968"/>
        <v>-1.5125583136203203E-2</v>
      </c>
    </row>
    <row r="291" spans="1:20" x14ac:dyDescent="0.25">
      <c r="A291" s="5">
        <v>44302</v>
      </c>
      <c r="B291">
        <v>74.783000000000001</v>
      </c>
      <c r="C291">
        <v>76.239999999999995</v>
      </c>
      <c r="D291">
        <v>71.402000000000001</v>
      </c>
      <c r="E291">
        <v>74.210999999999999</v>
      </c>
      <c r="F291">
        <v>42867.760999999999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0.16122364613476686</v>
      </c>
      <c r="Q291">
        <f t="shared" si="965"/>
        <v>6911.2967300537593</v>
      </c>
      <c r="R291">
        <f t="shared" si="966"/>
        <v>-1611712.3826609438</v>
      </c>
      <c r="S291">
        <f t="shared" si="967"/>
        <v>-16.117123826609436</v>
      </c>
      <c r="T291">
        <f t="shared" si="968"/>
        <v>-1.6117123826609438E-2</v>
      </c>
    </row>
    <row r="292" spans="1:20" x14ac:dyDescent="0.25">
      <c r="A292" s="5">
        <v>44301</v>
      </c>
      <c r="B292">
        <v>71.989999999999995</v>
      </c>
      <c r="C292">
        <v>77</v>
      </c>
      <c r="D292">
        <v>71.143000000000001</v>
      </c>
      <c r="E292">
        <v>74.787999999999997</v>
      </c>
      <c r="F292">
        <v>35216.707999999999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0.24466450401229176</v>
      </c>
      <c r="Q292">
        <f t="shared" si="965"/>
        <v>8616.2783957657066</v>
      </c>
      <c r="R292">
        <f t="shared" si="966"/>
        <v>-1618623.6793909976</v>
      </c>
      <c r="S292">
        <f t="shared" si="967"/>
        <v>-16.186236793909977</v>
      </c>
      <c r="T292">
        <f t="shared" si="968"/>
        <v>-1.6186236793909976E-2</v>
      </c>
    </row>
    <row r="293" spans="1:20" x14ac:dyDescent="0.25">
      <c r="A293" s="5">
        <v>44300</v>
      </c>
      <c r="B293">
        <v>73.06</v>
      </c>
      <c r="C293">
        <v>75.06</v>
      </c>
      <c r="D293">
        <v>69.355999999999995</v>
      </c>
      <c r="E293">
        <v>72.009</v>
      </c>
      <c r="F293">
        <v>30267.256000000001</v>
      </c>
      <c r="G293">
        <v>0</v>
      </c>
      <c r="L293" t="s">
        <v>8</v>
      </c>
      <c r="M293" t="s">
        <v>7</v>
      </c>
      <c r="N293" t="s">
        <v>8</v>
      </c>
      <c r="P293">
        <f t="shared" si="964"/>
        <v>-6.9775596072930504E-2</v>
      </c>
      <c r="Q293">
        <f t="shared" si="965"/>
        <v>-2111.9158288919825</v>
      </c>
      <c r="R293">
        <f t="shared" si="966"/>
        <v>-1627239.9577867633</v>
      </c>
      <c r="S293">
        <f t="shared" si="967"/>
        <v>-16.272399577867635</v>
      </c>
      <c r="T293">
        <f t="shared" si="968"/>
        <v>-1.6272399577867636E-2</v>
      </c>
    </row>
    <row r="294" spans="1:20" x14ac:dyDescent="0.25">
      <c r="A294" s="5">
        <v>44299</v>
      </c>
      <c r="B294">
        <v>75.656000000000006</v>
      </c>
      <c r="C294">
        <v>76.564999999999998</v>
      </c>
      <c r="D294">
        <v>70.417000000000002</v>
      </c>
      <c r="E294">
        <v>72.954999999999998</v>
      </c>
      <c r="F294">
        <v>47382.858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-0.17436564736499729</v>
      </c>
      <c r="Q294">
        <f t="shared" si="965"/>
        <v>-8261.9427091737416</v>
      </c>
      <c r="R294">
        <f t="shared" si="966"/>
        <v>-1625128.0419578713</v>
      </c>
      <c r="S294">
        <f t="shared" si="967"/>
        <v>-16.251280419578713</v>
      </c>
      <c r="T294">
        <f t="shared" si="968"/>
        <v>-1.6251280419578712E-2</v>
      </c>
    </row>
    <row r="295" spans="1:20" x14ac:dyDescent="0.25">
      <c r="A295" s="5">
        <v>44298</v>
      </c>
      <c r="B295">
        <v>72.718999999999994</v>
      </c>
      <c r="C295">
        <v>78.959999999999994</v>
      </c>
      <c r="D295">
        <v>72.144000000000005</v>
      </c>
      <c r="E295">
        <v>75.695999999999998</v>
      </c>
      <c r="F295">
        <v>57328.199000000001</v>
      </c>
      <c r="G295">
        <v>0</v>
      </c>
      <c r="L295" t="s">
        <v>8</v>
      </c>
      <c r="M295" t="s">
        <v>7</v>
      </c>
      <c r="N295" t="s">
        <v>8</v>
      </c>
      <c r="P295">
        <f t="shared" si="964"/>
        <v>4.2253521126760153E-2</v>
      </c>
      <c r="Q295">
        <f t="shared" si="965"/>
        <v>2422.3182676056103</v>
      </c>
      <c r="R295">
        <f t="shared" si="966"/>
        <v>-1616866.0992486975</v>
      </c>
      <c r="S295">
        <f t="shared" si="967"/>
        <v>-16.168660992486974</v>
      </c>
      <c r="T295">
        <f t="shared" si="968"/>
        <v>-1.6168660992486972E-2</v>
      </c>
    </row>
    <row r="296" spans="1:20" x14ac:dyDescent="0.25">
      <c r="A296" s="5">
        <v>44297</v>
      </c>
      <c r="B296">
        <v>72.287999999999997</v>
      </c>
      <c r="C296">
        <v>74.343000000000004</v>
      </c>
      <c r="D296">
        <v>68.915999999999997</v>
      </c>
      <c r="E296">
        <v>72.56</v>
      </c>
      <c r="F296">
        <v>54312.767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0.34291505435784075</v>
      </c>
      <c r="Q296">
        <f t="shared" si="965"/>
        <v>18624.665448129741</v>
      </c>
      <c r="R296">
        <f t="shared" si="966"/>
        <v>-1619288.417516303</v>
      </c>
      <c r="S296">
        <f t="shared" si="967"/>
        <v>-16.19288417516303</v>
      </c>
      <c r="T296">
        <f t="shared" si="968"/>
        <v>-1.6192884175163031E-2</v>
      </c>
    </row>
    <row r="297" spans="1:20" x14ac:dyDescent="0.25">
      <c r="A297" s="5">
        <v>44296</v>
      </c>
      <c r="B297">
        <v>76.665000000000006</v>
      </c>
      <c r="C297">
        <v>78.179000000000002</v>
      </c>
      <c r="D297">
        <v>71.954999999999998</v>
      </c>
      <c r="E297">
        <v>72.25</v>
      </c>
      <c r="F297">
        <v>54846.97</v>
      </c>
      <c r="G297">
        <v>0</v>
      </c>
      <c r="L297" t="s">
        <v>7</v>
      </c>
      <c r="M297" t="s">
        <v>8</v>
      </c>
      <c r="N297" t="s">
        <v>8</v>
      </c>
      <c r="P297">
        <f t="shared" si="964"/>
        <v>-0.90520565552699184</v>
      </c>
      <c r="Q297">
        <f t="shared" si="965"/>
        <v>-49647.787432519253</v>
      </c>
      <c r="R297">
        <f t="shared" si="966"/>
        <v>-1637913.0829644327</v>
      </c>
      <c r="S297">
        <f t="shared" si="967"/>
        <v>-16.379130829644328</v>
      </c>
      <c r="T297">
        <f t="shared" si="968"/>
        <v>-1.6379130829644328E-2</v>
      </c>
    </row>
    <row r="298" spans="1:20" x14ac:dyDescent="0.25">
      <c r="A298" s="5">
        <v>44295</v>
      </c>
      <c r="B298">
        <v>72.53</v>
      </c>
      <c r="C298">
        <v>82.1</v>
      </c>
      <c r="D298">
        <v>70.278000000000006</v>
      </c>
      <c r="E298">
        <v>76.677999999999997</v>
      </c>
      <c r="F298">
        <v>125060.693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8.2727118930806573E-2</v>
      </c>
      <c r="Q298">
        <f t="shared" si="965"/>
        <v>10345.910823380089</v>
      </c>
      <c r="R298">
        <f t="shared" si="966"/>
        <v>-1588265.2955319134</v>
      </c>
      <c r="S298">
        <f t="shared" si="967"/>
        <v>-15.882652955319134</v>
      </c>
      <c r="T298">
        <f t="shared" si="968"/>
        <v>-1.5882652955319133E-2</v>
      </c>
    </row>
    <row r="299" spans="1:20" x14ac:dyDescent="0.25">
      <c r="A299" s="5">
        <v>44294</v>
      </c>
      <c r="B299">
        <v>63.207999999999998</v>
      </c>
      <c r="C299">
        <v>76</v>
      </c>
      <c r="D299">
        <v>62.706000000000003</v>
      </c>
      <c r="E299">
        <v>72.653999999999996</v>
      </c>
      <c r="F299">
        <v>73267.929000000004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0.49661501429216121</v>
      </c>
      <c r="Q299">
        <f t="shared" si="965"/>
        <v>36385.953607492054</v>
      </c>
      <c r="R299">
        <f t="shared" si="966"/>
        <v>-1598611.2063552935</v>
      </c>
      <c r="S299">
        <f t="shared" si="967"/>
        <v>-15.986112063552936</v>
      </c>
      <c r="T299">
        <f t="shared" si="968"/>
        <v>-1.5986112063552934E-2</v>
      </c>
    </row>
    <row r="300" spans="1:20" x14ac:dyDescent="0.25">
      <c r="A300" s="5">
        <v>44293</v>
      </c>
      <c r="B300">
        <v>69.159000000000006</v>
      </c>
      <c r="C300">
        <v>73.899000000000001</v>
      </c>
      <c r="D300">
        <v>62.5</v>
      </c>
      <c r="E300">
        <v>63.03</v>
      </c>
      <c r="F300">
        <v>71511.725000000006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-0.90700938678831455</v>
      </c>
      <c r="Q300">
        <f t="shared" si="965"/>
        <v>-64861.805840424589</v>
      </c>
      <c r="R300">
        <f t="shared" si="966"/>
        <v>-1634997.1599627857</v>
      </c>
      <c r="S300">
        <f t="shared" si="967"/>
        <v>-16.349971599627857</v>
      </c>
      <c r="T300">
        <f t="shared" si="968"/>
        <v>-1.6349971599627856E-2</v>
      </c>
    </row>
    <row r="301" spans="1:20" x14ac:dyDescent="0.25">
      <c r="A301" s="5">
        <v>44292</v>
      </c>
      <c r="B301">
        <v>67.882999999999996</v>
      </c>
      <c r="C301">
        <v>73.988</v>
      </c>
      <c r="D301">
        <v>66.5</v>
      </c>
      <c r="E301">
        <v>69.099999999999994</v>
      </c>
      <c r="F301">
        <v>76940.456999999995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-0.30555555555555702</v>
      </c>
      <c r="Q301">
        <f t="shared" si="965"/>
        <v>-23509.584083333444</v>
      </c>
      <c r="R301">
        <f t="shared" si="966"/>
        <v>-1570135.3541223612</v>
      </c>
      <c r="S301">
        <f t="shared" si="967"/>
        <v>-15.701353541223611</v>
      </c>
      <c r="T301">
        <f t="shared" si="968"/>
        <v>-1.5701353541223612E-2</v>
      </c>
    </row>
    <row r="302" spans="1:20" x14ac:dyDescent="0.25">
      <c r="A302" s="5">
        <v>44291</v>
      </c>
      <c r="B302">
        <v>66.168999999999997</v>
      </c>
      <c r="C302">
        <v>78.549000000000007</v>
      </c>
      <c r="D302">
        <v>63.924999999999997</v>
      </c>
      <c r="E302">
        <v>67.878</v>
      </c>
      <c r="F302">
        <v>250053.76300000001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-0.4593818380743982</v>
      </c>
      <c r="Q302">
        <f t="shared" si="965"/>
        <v>-114870.15726435995</v>
      </c>
      <c r="R302">
        <f t="shared" si="966"/>
        <v>-1546625.7700390278</v>
      </c>
      <c r="S302">
        <f t="shared" si="967"/>
        <v>-15.466257700390278</v>
      </c>
      <c r="T302">
        <f t="shared" si="968"/>
        <v>-1.5466257700390278E-2</v>
      </c>
    </row>
    <row r="303" spans="1:20" x14ac:dyDescent="0.25">
      <c r="A303" s="5">
        <v>44290</v>
      </c>
      <c r="B303">
        <v>50.234000000000002</v>
      </c>
      <c r="C303">
        <v>75.986999999999995</v>
      </c>
      <c r="D303">
        <v>49.430999999999997</v>
      </c>
      <c r="E303">
        <v>66.022000000000006</v>
      </c>
      <c r="F303">
        <v>290024.17099999997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0.24951046844404351</v>
      </c>
      <c r="Q303">
        <f t="shared" si="965"/>
        <v>72364.066766305375</v>
      </c>
      <c r="R303">
        <f t="shared" si="966"/>
        <v>-1431755.6127746678</v>
      </c>
      <c r="S303">
        <f t="shared" si="967"/>
        <v>-14.317556127746679</v>
      </c>
      <c r="T303">
        <f t="shared" si="968"/>
        <v>-1.4317556127746678E-2</v>
      </c>
    </row>
    <row r="304" spans="1:20" x14ac:dyDescent="0.25">
      <c r="A304" s="5">
        <v>44289</v>
      </c>
      <c r="B304">
        <v>54.226999999999997</v>
      </c>
      <c r="C304">
        <v>54.7</v>
      </c>
      <c r="D304">
        <v>49.951999999999998</v>
      </c>
      <c r="E304">
        <v>50.253</v>
      </c>
      <c r="F304">
        <v>38168.557000000001</v>
      </c>
      <c r="G304">
        <v>0</v>
      </c>
      <c r="L304" t="s">
        <v>7</v>
      </c>
      <c r="M304" t="s">
        <v>8</v>
      </c>
      <c r="N304" t="s">
        <v>8</v>
      </c>
      <c r="P304">
        <f t="shared" si="964"/>
        <v>-0.8732097725358039</v>
      </c>
      <c r="Q304">
        <f t="shared" si="965"/>
        <v>-33329.156975989863</v>
      </c>
      <c r="R304">
        <f t="shared" si="966"/>
        <v>-1504119.6795409732</v>
      </c>
      <c r="S304">
        <f t="shared" si="967"/>
        <v>-15.041196795409732</v>
      </c>
      <c r="T304">
        <f t="shared" si="968"/>
        <v>-1.5041196795409733E-2</v>
      </c>
    </row>
    <row r="305" spans="1:20" x14ac:dyDescent="0.25">
      <c r="A305" s="5">
        <v>44288</v>
      </c>
      <c r="B305">
        <v>53.896000000000001</v>
      </c>
      <c r="C305">
        <v>56.5</v>
      </c>
      <c r="D305">
        <v>53.075000000000003</v>
      </c>
      <c r="E305">
        <v>54.335000000000001</v>
      </c>
      <c r="F305">
        <v>35030.953999999998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-0.26423357664233632</v>
      </c>
      <c r="Q305">
        <f t="shared" si="965"/>
        <v>-9256.3542686131568</v>
      </c>
      <c r="R305">
        <f t="shared" si="966"/>
        <v>-1470790.5225649832</v>
      </c>
      <c r="S305">
        <f t="shared" si="967"/>
        <v>-14.707905225649831</v>
      </c>
      <c r="T305">
        <f t="shared" si="968"/>
        <v>-1.4707905225649831E-2</v>
      </c>
    </row>
    <row r="306" spans="1:20" x14ac:dyDescent="0.25">
      <c r="A306" s="5">
        <v>44287</v>
      </c>
      <c r="B306">
        <v>52.280999999999999</v>
      </c>
      <c r="C306">
        <v>57.899000000000001</v>
      </c>
      <c r="D306">
        <v>51.804000000000002</v>
      </c>
      <c r="E306">
        <v>53.893999999999998</v>
      </c>
      <c r="F306">
        <v>55925.508999999998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-0.31419196062346294</v>
      </c>
      <c r="Q306">
        <f t="shared" si="965"/>
        <v>-17571.345321575121</v>
      </c>
      <c r="R306">
        <f t="shared" si="966"/>
        <v>-1461534.16829637</v>
      </c>
      <c r="S306">
        <f t="shared" si="967"/>
        <v>-14.615341682963699</v>
      </c>
      <c r="T306">
        <f t="shared" si="968"/>
        <v>-1.4615341682963698E-2</v>
      </c>
    </row>
    <row r="307" spans="1:20" x14ac:dyDescent="0.25">
      <c r="A307" s="5">
        <v>44286</v>
      </c>
      <c r="B307">
        <v>52.773000000000003</v>
      </c>
      <c r="C307">
        <v>54.481999999999999</v>
      </c>
      <c r="D307">
        <v>49.459000000000003</v>
      </c>
      <c r="E307">
        <v>52.338999999999999</v>
      </c>
      <c r="F307">
        <v>54870.478999999999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0.14672506470236818</v>
      </c>
      <c r="Q307">
        <f t="shared" si="965"/>
        <v>8050.874581524934</v>
      </c>
      <c r="R307">
        <f t="shared" si="966"/>
        <v>-1443962.8229747948</v>
      </c>
      <c r="S307">
        <f t="shared" si="967"/>
        <v>-14.439628229747948</v>
      </c>
      <c r="T307">
        <f t="shared" si="968"/>
        <v>-1.4439628229747948E-2</v>
      </c>
    </row>
    <row r="308" spans="1:20" x14ac:dyDescent="0.25">
      <c r="A308" s="5">
        <v>44285</v>
      </c>
      <c r="B308">
        <v>48.395000000000003</v>
      </c>
      <c r="C308">
        <v>56.323999999999998</v>
      </c>
      <c r="D308">
        <v>47.432000000000002</v>
      </c>
      <c r="E308">
        <v>52.811999999999998</v>
      </c>
      <c r="F308">
        <v>77718.687999999995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0.21007647323436751</v>
      </c>
      <c r="Q308">
        <f t="shared" si="965"/>
        <v>16326.867879442158</v>
      </c>
      <c r="R308">
        <f t="shared" si="966"/>
        <v>-1452013.6975563196</v>
      </c>
      <c r="S308">
        <f t="shared" si="967"/>
        <v>-14.520136975563197</v>
      </c>
      <c r="T308">
        <f t="shared" si="968"/>
        <v>-1.4520136975563197E-2</v>
      </c>
    </row>
    <row r="309" spans="1:20" x14ac:dyDescent="0.25">
      <c r="A309" s="5">
        <v>44284</v>
      </c>
      <c r="B309">
        <v>45.872999999999998</v>
      </c>
      <c r="C309">
        <v>49.107999999999997</v>
      </c>
      <c r="D309">
        <v>44.942</v>
      </c>
      <c r="E309">
        <v>48.317999999999998</v>
      </c>
      <c r="F309">
        <v>43522.915999999997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0.62073931829092666</v>
      </c>
      <c r="Q309">
        <f t="shared" si="965"/>
        <v>27016.385207873263</v>
      </c>
      <c r="R309">
        <f t="shared" si="966"/>
        <v>-1468340.5654357618</v>
      </c>
      <c r="S309">
        <f t="shared" si="967"/>
        <v>-14.683405654357617</v>
      </c>
      <c r="T309">
        <f t="shared" si="968"/>
        <v>-1.4683405654357617E-2</v>
      </c>
    </row>
    <row r="310" spans="1:20" x14ac:dyDescent="0.25">
      <c r="A310" s="5">
        <v>44283</v>
      </c>
      <c r="B310">
        <v>43.865000000000002</v>
      </c>
      <c r="C310">
        <v>47.16</v>
      </c>
      <c r="D310">
        <v>43.537999999999997</v>
      </c>
      <c r="E310">
        <v>45.811</v>
      </c>
      <c r="F310">
        <v>50329.767999999996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0.25510767531750594</v>
      </c>
      <c r="Q310">
        <f t="shared" si="965"/>
        <v>12839.5101137494</v>
      </c>
      <c r="R310">
        <f t="shared" si="966"/>
        <v>-1495356.9506436351</v>
      </c>
      <c r="S310">
        <f t="shared" si="967"/>
        <v>-14.953569506436351</v>
      </c>
      <c r="T310">
        <f t="shared" si="968"/>
        <v>-1.4953569506436351E-2</v>
      </c>
    </row>
    <row r="311" spans="1:20" x14ac:dyDescent="0.25">
      <c r="A311" s="5">
        <v>44282</v>
      </c>
      <c r="B311">
        <v>46.828000000000003</v>
      </c>
      <c r="C311">
        <v>47.05</v>
      </c>
      <c r="D311">
        <v>43.473999999999997</v>
      </c>
      <c r="E311">
        <v>43.863999999999997</v>
      </c>
      <c r="F311">
        <v>45057.915000000001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-0.78187919463087219</v>
      </c>
      <c r="Q311">
        <f t="shared" si="965"/>
        <v>-35229.846291946298</v>
      </c>
      <c r="R311">
        <f t="shared" si="966"/>
        <v>-1508196.4607573845</v>
      </c>
      <c r="S311">
        <f t="shared" si="967"/>
        <v>-15.081964607573845</v>
      </c>
      <c r="T311">
        <f t="shared" si="968"/>
        <v>-1.5081964607573845E-2</v>
      </c>
    </row>
    <row r="312" spans="1:20" x14ac:dyDescent="0.25">
      <c r="A312" s="5">
        <v>44281</v>
      </c>
      <c r="B312">
        <v>39.11</v>
      </c>
      <c r="C312">
        <v>47.05</v>
      </c>
      <c r="D312">
        <v>38.880000000000003</v>
      </c>
      <c r="E312">
        <v>46.826999999999998</v>
      </c>
      <c r="F312">
        <v>45073.019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0.94541003671970647</v>
      </c>
      <c r="Q312">
        <f t="shared" si="965"/>
        <v>42612.484547858025</v>
      </c>
      <c r="R312">
        <f t="shared" si="966"/>
        <v>-1472966.6144654383</v>
      </c>
      <c r="S312">
        <f t="shared" si="967"/>
        <v>-14.729666144654383</v>
      </c>
      <c r="T312">
        <f t="shared" si="968"/>
        <v>-1.4729666144654383E-2</v>
      </c>
    </row>
    <row r="313" spans="1:20" x14ac:dyDescent="0.25">
      <c r="A313" s="5">
        <v>44280</v>
      </c>
      <c r="B313">
        <v>42.698</v>
      </c>
      <c r="C313">
        <v>43.350999999999999</v>
      </c>
      <c r="D313">
        <v>38.744999999999997</v>
      </c>
      <c r="E313">
        <v>38.933999999999997</v>
      </c>
      <c r="F313">
        <v>41520.726999999999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-0.91793313069908811</v>
      </c>
      <c r="Q313">
        <f t="shared" si="965"/>
        <v>-38113.250924012158</v>
      </c>
      <c r="R313">
        <f t="shared" si="966"/>
        <v>-1515579.0990132964</v>
      </c>
      <c r="S313">
        <f t="shared" si="967"/>
        <v>-15.155790990132964</v>
      </c>
      <c r="T313">
        <f t="shared" si="968"/>
        <v>-1.5155790990132964E-2</v>
      </c>
    </row>
    <row r="314" spans="1:20" x14ac:dyDescent="0.25">
      <c r="A314" s="5">
        <v>44279</v>
      </c>
      <c r="B314">
        <v>45.44</v>
      </c>
      <c r="C314">
        <v>48.695999999999998</v>
      </c>
      <c r="D314">
        <v>41.7</v>
      </c>
      <c r="E314">
        <v>42.874000000000002</v>
      </c>
      <c r="F314">
        <v>41029.881000000001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-0.66437964551172091</v>
      </c>
      <c r="Q314">
        <f t="shared" si="965"/>
        <v>-27259.417794168094</v>
      </c>
      <c r="R314">
        <f t="shared" si="966"/>
        <v>-1477465.8480892843</v>
      </c>
      <c r="S314">
        <f t="shared" si="967"/>
        <v>-14.774658480892843</v>
      </c>
      <c r="T314">
        <f t="shared" si="968"/>
        <v>-1.4774658480892842E-2</v>
      </c>
    </row>
    <row r="315" spans="1:20" x14ac:dyDescent="0.25">
      <c r="A315" s="5">
        <v>44278</v>
      </c>
      <c r="B315">
        <v>46.695</v>
      </c>
      <c r="C315">
        <v>48.953000000000003</v>
      </c>
      <c r="D315">
        <v>44.7</v>
      </c>
      <c r="E315">
        <v>45.402999999999999</v>
      </c>
      <c r="F315">
        <v>29814.162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-0.66940982835645624</v>
      </c>
      <c r="Q315">
        <f t="shared" si="965"/>
        <v>-19957.893067011581</v>
      </c>
      <c r="R315">
        <f t="shared" si="966"/>
        <v>-1450206.4302951163</v>
      </c>
      <c r="S315">
        <f t="shared" si="967"/>
        <v>-14.502064302951164</v>
      </c>
      <c r="T315">
        <f t="shared" si="968"/>
        <v>-1.4502064302951163E-2</v>
      </c>
    </row>
    <row r="316" spans="1:20" x14ac:dyDescent="0.25">
      <c r="A316" s="5">
        <v>44277</v>
      </c>
      <c r="B316">
        <v>49.975999999999999</v>
      </c>
      <c r="C316">
        <v>52.213000000000001</v>
      </c>
      <c r="D316">
        <v>46.1</v>
      </c>
      <c r="E316">
        <v>46.695</v>
      </c>
      <c r="F316">
        <v>43405.337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-0.80533289710453171</v>
      </c>
      <c r="Q316">
        <f t="shared" si="965"/>
        <v>-34955.745796008523</v>
      </c>
      <c r="R316">
        <f t="shared" si="966"/>
        <v>-1430248.5372281047</v>
      </c>
      <c r="S316">
        <f t="shared" si="967"/>
        <v>-14.302485372281046</v>
      </c>
      <c r="T316">
        <f t="shared" si="968"/>
        <v>-1.4302485372281046E-2</v>
      </c>
    </row>
    <row r="317" spans="1:20" x14ac:dyDescent="0.25">
      <c r="A317" s="5">
        <v>44276</v>
      </c>
      <c r="B317">
        <v>51.64</v>
      </c>
      <c r="C317">
        <v>52.875999999999998</v>
      </c>
      <c r="D317">
        <v>48.256</v>
      </c>
      <c r="E317">
        <v>50.067999999999998</v>
      </c>
      <c r="F317">
        <v>43107.557999999997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-0.21558441558441618</v>
      </c>
      <c r="Q317">
        <f t="shared" si="965"/>
        <v>-9293.3176987013248</v>
      </c>
      <c r="R317">
        <f t="shared" si="966"/>
        <v>-1395292.7914320962</v>
      </c>
      <c r="S317">
        <f t="shared" si="967"/>
        <v>-13.952927914320961</v>
      </c>
      <c r="T317">
        <f t="shared" si="968"/>
        <v>-1.3952927914320961E-2</v>
      </c>
    </row>
    <row r="318" spans="1:20" x14ac:dyDescent="0.25">
      <c r="A318" s="5">
        <v>44275</v>
      </c>
      <c r="B318">
        <v>54.216000000000001</v>
      </c>
      <c r="C318">
        <v>55.999000000000002</v>
      </c>
      <c r="D318">
        <v>51.401000000000003</v>
      </c>
      <c r="E318">
        <v>51.401000000000003</v>
      </c>
      <c r="F318">
        <v>75838.164999999994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-1</v>
      </c>
      <c r="Q318">
        <f t="shared" si="965"/>
        <v>-75838.164999999994</v>
      </c>
      <c r="R318">
        <f t="shared" si="966"/>
        <v>-1385999.4737333949</v>
      </c>
      <c r="S318">
        <f t="shared" si="967"/>
        <v>-13.859994737333949</v>
      </c>
      <c r="T318">
        <f t="shared" si="968"/>
        <v>-1.385999473733395E-2</v>
      </c>
    </row>
    <row r="319" spans="1:20" x14ac:dyDescent="0.25">
      <c r="A319" s="5">
        <v>44274</v>
      </c>
      <c r="B319">
        <v>59.259</v>
      </c>
      <c r="C319">
        <v>59.722999999999999</v>
      </c>
      <c r="D319">
        <v>50.585000000000001</v>
      </c>
      <c r="E319">
        <v>54.219000000000001</v>
      </c>
      <c r="F319">
        <v>161778.53899999999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-0.20463996498139614</v>
      </c>
      <c r="Q319">
        <f t="shared" si="965"/>
        <v>-33106.354555701429</v>
      </c>
      <c r="R319">
        <f t="shared" si="966"/>
        <v>-1310161.3087333948</v>
      </c>
      <c r="S319">
        <f t="shared" si="967"/>
        <v>-13.101613087333948</v>
      </c>
      <c r="T319">
        <f t="shared" si="968"/>
        <v>-1.3101613087333949E-2</v>
      </c>
    </row>
    <row r="320" spans="1:20" x14ac:dyDescent="0.25">
      <c r="A320" s="5">
        <v>44273</v>
      </c>
      <c r="B320">
        <v>47.762</v>
      </c>
      <c r="C320">
        <v>67.478999999999999</v>
      </c>
      <c r="D320">
        <v>47.762</v>
      </c>
      <c r="E320">
        <v>59.3</v>
      </c>
      <c r="F320">
        <v>428386.16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0.17036060252573895</v>
      </c>
      <c r="Q320">
        <f t="shared" si="965"/>
        <v>72980.124331287603</v>
      </c>
      <c r="R320">
        <f t="shared" si="966"/>
        <v>-1277054.9541776935</v>
      </c>
      <c r="S320">
        <f t="shared" si="967"/>
        <v>-12.770549541776935</v>
      </c>
      <c r="T320">
        <f t="shared" si="968"/>
        <v>-1.2770549541776935E-2</v>
      </c>
    </row>
    <row r="321" spans="1:20" x14ac:dyDescent="0.25">
      <c r="A321" s="5">
        <v>44272</v>
      </c>
      <c r="B321">
        <v>44.968000000000004</v>
      </c>
      <c r="C321">
        <v>50</v>
      </c>
      <c r="D321">
        <v>44</v>
      </c>
      <c r="E321">
        <v>47.825000000000003</v>
      </c>
      <c r="F321">
        <v>91217.657000000007</v>
      </c>
      <c r="G321">
        <v>0</v>
      </c>
      <c r="L321" t="s">
        <v>7</v>
      </c>
      <c r="M321" t="s">
        <v>8</v>
      </c>
      <c r="N321" t="s">
        <v>8</v>
      </c>
      <c r="P321">
        <f t="shared" si="964"/>
        <v>0.27500000000000097</v>
      </c>
      <c r="Q321">
        <f t="shared" si="965"/>
        <v>25084.85567500009</v>
      </c>
      <c r="R321">
        <f t="shared" si="966"/>
        <v>-1350035.078508981</v>
      </c>
      <c r="S321">
        <f t="shared" si="967"/>
        <v>-13.500350785089811</v>
      </c>
      <c r="T321">
        <f t="shared" si="968"/>
        <v>-1.350035078508981E-2</v>
      </c>
    </row>
    <row r="322" spans="1:20" x14ac:dyDescent="0.25">
      <c r="A322" s="5">
        <v>44271</v>
      </c>
      <c r="B322">
        <v>43.433</v>
      </c>
      <c r="C322">
        <v>51</v>
      </c>
      <c r="D322">
        <v>41.366</v>
      </c>
      <c r="E322">
        <v>44.97</v>
      </c>
      <c r="F322">
        <v>154309.921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-0.25181648328835393</v>
      </c>
      <c r="Q322">
        <f t="shared" si="965"/>
        <v>-38857.781642723719</v>
      </c>
      <c r="R322">
        <f t="shared" si="966"/>
        <v>-1375119.934183981</v>
      </c>
      <c r="S322">
        <f t="shared" si="967"/>
        <v>-13.75119934183981</v>
      </c>
      <c r="T322">
        <f t="shared" si="968"/>
        <v>-1.375119934183981E-2</v>
      </c>
    </row>
    <row r="323" spans="1:20" x14ac:dyDescent="0.25">
      <c r="A323" s="5">
        <v>44270</v>
      </c>
      <c r="B323">
        <v>41.555</v>
      </c>
      <c r="C323">
        <v>46.820999999999998</v>
      </c>
      <c r="D323">
        <v>39.799999999999997</v>
      </c>
      <c r="E323">
        <v>43.613</v>
      </c>
      <c r="F323">
        <v>97438.812999999995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8.6170061244837476E-2</v>
      </c>
      <c r="Q323">
        <f t="shared" si="965"/>
        <v>8396.3084838342656</v>
      </c>
      <c r="R323">
        <f t="shared" si="966"/>
        <v>-1336262.1525412572</v>
      </c>
      <c r="S323">
        <f t="shared" si="967"/>
        <v>-13.362621525412573</v>
      </c>
      <c r="T323">
        <f t="shared" si="968"/>
        <v>-1.3362621525412573E-2</v>
      </c>
    </row>
    <row r="324" spans="1:20" x14ac:dyDescent="0.25">
      <c r="A324" s="5">
        <v>44269</v>
      </c>
      <c r="B324">
        <v>42.838000000000001</v>
      </c>
      <c r="C324">
        <v>44.718000000000004</v>
      </c>
      <c r="D324">
        <v>41.518000000000001</v>
      </c>
      <c r="E324">
        <v>41.652999999999999</v>
      </c>
      <c r="F324">
        <v>64708.896999999997</v>
      </c>
      <c r="G324">
        <v>0</v>
      </c>
      <c r="L324" t="s">
        <v>7</v>
      </c>
      <c r="M324" t="s">
        <v>8</v>
      </c>
      <c r="N324" t="s">
        <v>8</v>
      </c>
      <c r="P324">
        <f t="shared" si="964"/>
        <v>-0.91562500000000135</v>
      </c>
      <c r="Q324">
        <f t="shared" si="965"/>
        <v>-59249.083815625083</v>
      </c>
      <c r="R324">
        <f t="shared" si="966"/>
        <v>-1344658.4610250916</v>
      </c>
      <c r="S324">
        <f t="shared" si="967"/>
        <v>-13.446584610250916</v>
      </c>
      <c r="T324">
        <f t="shared" si="968"/>
        <v>-1.3446584610250917E-2</v>
      </c>
    </row>
    <row r="325" spans="1:20" x14ac:dyDescent="0.25">
      <c r="A325" s="5">
        <v>44268</v>
      </c>
      <c r="B325">
        <v>40.957000000000001</v>
      </c>
      <c r="C325">
        <v>45</v>
      </c>
      <c r="D325">
        <v>40.119999999999997</v>
      </c>
      <c r="E325">
        <v>42.838000000000001</v>
      </c>
      <c r="F325">
        <v>70757.758000000002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0.11393442622950906</v>
      </c>
      <c r="Q325">
        <f t="shared" si="965"/>
        <v>8061.7445590164543</v>
      </c>
      <c r="R325">
        <f t="shared" si="966"/>
        <v>-1285409.3772094664</v>
      </c>
      <c r="S325">
        <f t="shared" si="967"/>
        <v>-12.854093772094664</v>
      </c>
      <c r="T325">
        <f t="shared" si="968"/>
        <v>-1.2854093772094665E-2</v>
      </c>
    </row>
    <row r="326" spans="1:20" x14ac:dyDescent="0.25">
      <c r="A326" s="5">
        <v>44267</v>
      </c>
      <c r="B326">
        <v>44.091000000000001</v>
      </c>
      <c r="C326">
        <v>44.68</v>
      </c>
      <c r="D326">
        <v>39.402999999999999</v>
      </c>
      <c r="E326">
        <v>41.076000000000001</v>
      </c>
      <c r="F326">
        <v>83491.807000000001</v>
      </c>
      <c r="G326">
        <v>0</v>
      </c>
      <c r="L326" t="s">
        <v>7</v>
      </c>
      <c r="M326" t="s">
        <v>8</v>
      </c>
      <c r="N326" t="s">
        <v>8</v>
      </c>
      <c r="P326">
        <f t="shared" ref="P326:P389" si="969">IF(C326=D326,0,((E326-D326)-(C326-E326))/(C326-D326))</f>
        <v>-0.36592761038468768</v>
      </c>
      <c r="Q326">
        <f t="shared" ref="Q326:Q389" si="970">F326*P326</f>
        <v>-30551.95742220954</v>
      </c>
      <c r="R326">
        <f t="shared" ref="R326:R389" si="971">R327+Q326</f>
        <v>-1293471.121768483</v>
      </c>
      <c r="S326">
        <f t="shared" ref="S326:S389" si="972">R326/100000</f>
        <v>-12.93471121768483</v>
      </c>
      <c r="T326">
        <f t="shared" ref="T326:T389" si="973">S326/1000</f>
        <v>-1.293471121768483E-2</v>
      </c>
    </row>
    <row r="327" spans="1:20" x14ac:dyDescent="0.25">
      <c r="A327" s="5">
        <v>44266</v>
      </c>
      <c r="B327">
        <v>40.426000000000002</v>
      </c>
      <c r="C327">
        <v>46.603000000000002</v>
      </c>
      <c r="D327">
        <v>39.567999999999998</v>
      </c>
      <c r="E327">
        <v>44.09</v>
      </c>
      <c r="F327">
        <v>163291.53899999999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0.28557213930348352</v>
      </c>
      <c r="Q327">
        <f t="shared" si="970"/>
        <v>46631.514122388209</v>
      </c>
      <c r="R327">
        <f t="shared" si="971"/>
        <v>-1262919.1643462735</v>
      </c>
      <c r="S327">
        <f t="shared" si="972"/>
        <v>-12.629191643462736</v>
      </c>
      <c r="T327">
        <f t="shared" si="973"/>
        <v>-1.2629191643462736E-2</v>
      </c>
    </row>
    <row r="328" spans="1:20" x14ac:dyDescent="0.25">
      <c r="A328" s="5">
        <v>44265</v>
      </c>
      <c r="B328">
        <v>41.759</v>
      </c>
      <c r="C328">
        <v>44.798000000000002</v>
      </c>
      <c r="D328">
        <v>39.481000000000002</v>
      </c>
      <c r="E328">
        <v>40.433999999999997</v>
      </c>
      <c r="F328">
        <v>94349.665999999997</v>
      </c>
      <c r="G328">
        <v>0</v>
      </c>
      <c r="L328" t="s">
        <v>8</v>
      </c>
      <c r="M328" t="s">
        <v>7</v>
      </c>
      <c r="N328" t="s">
        <v>8</v>
      </c>
      <c r="P328">
        <f t="shared" si="969"/>
        <v>-0.64152717697950135</v>
      </c>
      <c r="Q328">
        <f t="shared" si="970"/>
        <v>-60527.874877938841</v>
      </c>
      <c r="R328">
        <f t="shared" si="971"/>
        <v>-1309550.6784686616</v>
      </c>
      <c r="S328">
        <f t="shared" si="972"/>
        <v>-13.095506784686616</v>
      </c>
      <c r="T328">
        <f t="shared" si="973"/>
        <v>-1.3095506784686616E-2</v>
      </c>
    </row>
    <row r="329" spans="1:20" x14ac:dyDescent="0.25">
      <c r="A329" s="5">
        <v>44264</v>
      </c>
      <c r="B329">
        <v>41.411999999999999</v>
      </c>
      <c r="C329">
        <v>43.095999999999997</v>
      </c>
      <c r="D329">
        <v>40.212000000000003</v>
      </c>
      <c r="E329">
        <v>41.759</v>
      </c>
      <c r="F329">
        <v>58781.646999999997</v>
      </c>
      <c r="G329">
        <v>0</v>
      </c>
      <c r="L329" t="s">
        <v>8</v>
      </c>
      <c r="M329" t="s">
        <v>7</v>
      </c>
      <c r="N329" t="s">
        <v>8</v>
      </c>
      <c r="P329">
        <f t="shared" si="969"/>
        <v>7.2815533980582992E-2</v>
      </c>
      <c r="Q329">
        <f t="shared" si="970"/>
        <v>4280.2170145631344</v>
      </c>
      <c r="R329">
        <f t="shared" si="971"/>
        <v>-1249022.8035907228</v>
      </c>
      <c r="S329">
        <f t="shared" si="972"/>
        <v>-12.490228035907229</v>
      </c>
      <c r="T329">
        <f t="shared" si="973"/>
        <v>-1.2490228035907229E-2</v>
      </c>
    </row>
    <row r="330" spans="1:20" x14ac:dyDescent="0.25">
      <c r="A330" s="5">
        <v>44263</v>
      </c>
      <c r="B330">
        <v>39.591000000000001</v>
      </c>
      <c r="C330">
        <v>42.116999999999997</v>
      </c>
      <c r="D330">
        <v>38.521999999999998</v>
      </c>
      <c r="E330">
        <v>41.332999999999998</v>
      </c>
      <c r="F330">
        <v>47456.527999999998</v>
      </c>
      <c r="G330">
        <v>0</v>
      </c>
      <c r="L330" t="s">
        <v>8</v>
      </c>
      <c r="M330" t="s">
        <v>7</v>
      </c>
      <c r="N330" t="s">
        <v>8</v>
      </c>
      <c r="P330">
        <f t="shared" si="969"/>
        <v>0.56383866481223965</v>
      </c>
      <c r="Q330">
        <f t="shared" si="970"/>
        <v>26757.825384144664</v>
      </c>
      <c r="R330">
        <f t="shared" si="971"/>
        <v>-1253303.0206052859</v>
      </c>
      <c r="S330">
        <f t="shared" si="972"/>
        <v>-12.533030206052858</v>
      </c>
      <c r="T330">
        <f t="shared" si="973"/>
        <v>-1.2533030206052858E-2</v>
      </c>
    </row>
    <row r="331" spans="1:20" x14ac:dyDescent="0.25">
      <c r="A331" s="5">
        <v>44262</v>
      </c>
      <c r="B331">
        <v>39.198</v>
      </c>
      <c r="C331">
        <v>41.326999999999998</v>
      </c>
      <c r="D331">
        <v>38.963000000000001</v>
      </c>
      <c r="E331">
        <v>39.42</v>
      </c>
      <c r="F331">
        <v>25991.392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-0.61336717428087884</v>
      </c>
      <c r="Q331">
        <f t="shared" si="970"/>
        <v>-15942.266666666639</v>
      </c>
      <c r="R331">
        <f t="shared" si="971"/>
        <v>-1280060.8459894306</v>
      </c>
      <c r="S331">
        <f t="shared" si="972"/>
        <v>-12.800608459894306</v>
      </c>
      <c r="T331">
        <f t="shared" si="973"/>
        <v>-1.2800608459894306E-2</v>
      </c>
    </row>
    <row r="332" spans="1:20" x14ac:dyDescent="0.25">
      <c r="A332" s="5">
        <v>44261</v>
      </c>
      <c r="B332">
        <v>39.454000000000001</v>
      </c>
      <c r="C332">
        <v>40</v>
      </c>
      <c r="D332">
        <v>37.729999999999997</v>
      </c>
      <c r="E332">
        <v>39.076999999999998</v>
      </c>
      <c r="F332">
        <v>16576.207999999999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0.18678414096916252</v>
      </c>
      <c r="Q332">
        <f t="shared" si="970"/>
        <v>3096.1727718061593</v>
      </c>
      <c r="R332">
        <f t="shared" si="971"/>
        <v>-1264118.579322764</v>
      </c>
      <c r="S332">
        <f t="shared" si="972"/>
        <v>-12.64118579322764</v>
      </c>
      <c r="T332">
        <f t="shared" si="973"/>
        <v>-1.2641185793227641E-2</v>
      </c>
    </row>
    <row r="333" spans="1:20" x14ac:dyDescent="0.25">
      <c r="A333" s="5">
        <v>44260</v>
      </c>
      <c r="B333">
        <v>39.1</v>
      </c>
      <c r="C333">
        <v>40.21</v>
      </c>
      <c r="D333">
        <v>37.343000000000004</v>
      </c>
      <c r="E333">
        <v>39.606000000000002</v>
      </c>
      <c r="F333">
        <v>23442.99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0.57865364492500893</v>
      </c>
      <c r="Q333">
        <f t="shared" si="970"/>
        <v>13565.371611440536</v>
      </c>
      <c r="R333">
        <f t="shared" si="971"/>
        <v>-1267214.7520945701</v>
      </c>
      <c r="S333">
        <f t="shared" si="972"/>
        <v>-12.672147520945702</v>
      </c>
      <c r="T333">
        <f t="shared" si="973"/>
        <v>-1.2672147520945701E-2</v>
      </c>
    </row>
    <row r="334" spans="1:20" x14ac:dyDescent="0.25">
      <c r="A334" s="5">
        <v>44259</v>
      </c>
      <c r="B334">
        <v>42.935000000000002</v>
      </c>
      <c r="C334">
        <v>43.64</v>
      </c>
      <c r="D334">
        <v>38.5</v>
      </c>
      <c r="E334">
        <v>39.048999999999999</v>
      </c>
      <c r="F334">
        <v>49673.978999999999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-0.78638132295719865</v>
      </c>
      <c r="Q334">
        <f t="shared" si="970"/>
        <v>-39062.689322568105</v>
      </c>
      <c r="R334">
        <f t="shared" si="971"/>
        <v>-1280780.1237060106</v>
      </c>
      <c r="S334">
        <f t="shared" si="972"/>
        <v>-12.807801237060106</v>
      </c>
      <c r="T334">
        <f t="shared" si="973"/>
        <v>-1.2807801237060107E-2</v>
      </c>
    </row>
    <row r="335" spans="1:20" x14ac:dyDescent="0.25">
      <c r="A335" s="5">
        <v>44258</v>
      </c>
      <c r="B335">
        <v>40.582000000000001</v>
      </c>
      <c r="C335">
        <v>45</v>
      </c>
      <c r="D335">
        <v>40.216999999999999</v>
      </c>
      <c r="E335">
        <v>42.643000000000001</v>
      </c>
      <c r="F335">
        <v>100333.504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1.4426092410621491E-2</v>
      </c>
      <c r="Q335">
        <f t="shared" si="970"/>
        <v>1447.420400585461</v>
      </c>
      <c r="R335">
        <f t="shared" si="971"/>
        <v>-1241717.4343834426</v>
      </c>
      <c r="S335">
        <f t="shared" si="972"/>
        <v>-12.417174343834427</v>
      </c>
      <c r="T335">
        <f t="shared" si="973"/>
        <v>-1.2417174343834428E-2</v>
      </c>
    </row>
    <row r="336" spans="1:20" x14ac:dyDescent="0.25">
      <c r="A336" s="5">
        <v>44257</v>
      </c>
      <c r="B336">
        <v>41.820999999999998</v>
      </c>
      <c r="C336">
        <v>42.664999999999999</v>
      </c>
      <c r="D336">
        <v>38.645000000000003</v>
      </c>
      <c r="E336">
        <v>40.415999999999997</v>
      </c>
      <c r="F336">
        <v>50396.516000000003</v>
      </c>
      <c r="G336">
        <v>0</v>
      </c>
      <c r="L336" t="s">
        <v>7</v>
      </c>
      <c r="M336" t="s">
        <v>8</v>
      </c>
      <c r="N336" t="s">
        <v>8</v>
      </c>
      <c r="P336">
        <f t="shared" si="969"/>
        <v>-0.11890547263681819</v>
      </c>
      <c r="Q336">
        <f t="shared" si="970"/>
        <v>-5992.4215542289703</v>
      </c>
      <c r="R336">
        <f t="shared" si="971"/>
        <v>-1243164.8547840281</v>
      </c>
      <c r="S336">
        <f t="shared" si="972"/>
        <v>-12.431648547840281</v>
      </c>
      <c r="T336">
        <f t="shared" si="973"/>
        <v>-1.243164854784028E-2</v>
      </c>
    </row>
    <row r="337" spans="1:20" x14ac:dyDescent="0.25">
      <c r="A337" s="5">
        <v>44256</v>
      </c>
      <c r="B337">
        <v>39.4</v>
      </c>
      <c r="C337">
        <v>44.2</v>
      </c>
      <c r="D337">
        <v>39.177999999999997</v>
      </c>
      <c r="E337">
        <v>41.786000000000001</v>
      </c>
      <c r="F337">
        <v>55523.499000000003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3.8630027877340184E-2</v>
      </c>
      <c r="Q337">
        <f t="shared" si="970"/>
        <v>2144.8743142174699</v>
      </c>
      <c r="R337">
        <f t="shared" si="971"/>
        <v>-1237172.4332297991</v>
      </c>
      <c r="S337">
        <f t="shared" si="972"/>
        <v>-12.371724332297992</v>
      </c>
      <c r="T337">
        <f t="shared" si="973"/>
        <v>-1.2371724332297992E-2</v>
      </c>
    </row>
    <row r="338" spans="1:20" x14ac:dyDescent="0.25">
      <c r="A338" s="5">
        <v>44255</v>
      </c>
      <c r="B338">
        <v>40.329000000000001</v>
      </c>
      <c r="C338">
        <v>42.999000000000002</v>
      </c>
      <c r="D338">
        <v>36.600999999999999</v>
      </c>
      <c r="E338">
        <v>39.472999999999999</v>
      </c>
      <c r="F338">
        <v>53159.55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-0.10221944357611802</v>
      </c>
      <c r="Q338">
        <f t="shared" si="970"/>
        <v>-5433.9396217568246</v>
      </c>
      <c r="R338">
        <f t="shared" si="971"/>
        <v>-1239317.3075440165</v>
      </c>
      <c r="S338">
        <f t="shared" si="972"/>
        <v>-12.393173075440165</v>
      </c>
      <c r="T338">
        <f t="shared" si="973"/>
        <v>-1.2393173075440165E-2</v>
      </c>
    </row>
    <row r="339" spans="1:20" x14ac:dyDescent="0.25">
      <c r="A339" s="5">
        <v>44254</v>
      </c>
      <c r="B339">
        <v>39.609000000000002</v>
      </c>
      <c r="C339">
        <v>47.923000000000002</v>
      </c>
      <c r="D339">
        <v>38.116</v>
      </c>
      <c r="E339">
        <v>40.442</v>
      </c>
      <c r="F339">
        <v>152313.17300000001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-0.52564494748648927</v>
      </c>
      <c r="Q339">
        <f t="shared" si="970"/>
        <v>-80062.649823085565</v>
      </c>
      <c r="R339">
        <f t="shared" si="971"/>
        <v>-1233883.3679222597</v>
      </c>
      <c r="S339">
        <f t="shared" si="972"/>
        <v>-12.338833679222597</v>
      </c>
      <c r="T339">
        <f t="shared" si="973"/>
        <v>-1.2338833679222597E-2</v>
      </c>
    </row>
    <row r="340" spans="1:20" x14ac:dyDescent="0.25">
      <c r="A340" s="5">
        <v>44253</v>
      </c>
      <c r="B340">
        <v>36.515999999999998</v>
      </c>
      <c r="C340">
        <v>42.591999999999999</v>
      </c>
      <c r="D340">
        <v>32.1</v>
      </c>
      <c r="E340">
        <v>39.612000000000002</v>
      </c>
      <c r="F340">
        <v>132588.427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0.43194815097216971</v>
      </c>
      <c r="Q340">
        <f t="shared" si="970"/>
        <v>57271.325882958503</v>
      </c>
      <c r="R340">
        <f t="shared" si="971"/>
        <v>-1153820.7180991741</v>
      </c>
      <c r="S340">
        <f t="shared" si="972"/>
        <v>-11.538207180991741</v>
      </c>
      <c r="T340">
        <f t="shared" si="973"/>
        <v>-1.1538207180991741E-2</v>
      </c>
    </row>
    <row r="341" spans="1:20" x14ac:dyDescent="0.25">
      <c r="A341" s="5">
        <v>44252</v>
      </c>
      <c r="B341">
        <v>38.356999999999999</v>
      </c>
      <c r="C341">
        <v>39.78</v>
      </c>
      <c r="D341">
        <v>34.643000000000001</v>
      </c>
      <c r="E341">
        <v>36.570999999999998</v>
      </c>
      <c r="F341">
        <v>38315.256000000001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-0.24936733502044106</v>
      </c>
      <c r="Q341">
        <f t="shared" si="970"/>
        <v>-9554.5732793459647</v>
      </c>
      <c r="R341">
        <f t="shared" si="971"/>
        <v>-1211092.0439821326</v>
      </c>
      <c r="S341">
        <f t="shared" si="972"/>
        <v>-12.110920439821326</v>
      </c>
      <c r="T341">
        <f t="shared" si="973"/>
        <v>-1.2110920439821326E-2</v>
      </c>
    </row>
    <row r="342" spans="1:20" x14ac:dyDescent="0.25">
      <c r="A342" s="5">
        <v>44251</v>
      </c>
      <c r="B342">
        <v>36.942999999999998</v>
      </c>
      <c r="C342">
        <v>41</v>
      </c>
      <c r="D342">
        <v>36</v>
      </c>
      <c r="E342">
        <v>38.353000000000002</v>
      </c>
      <c r="F342">
        <v>62526.641000000003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-5.8799999999999387E-2</v>
      </c>
      <c r="Q342">
        <f t="shared" si="970"/>
        <v>-3676.5664907999617</v>
      </c>
      <c r="R342">
        <f t="shared" si="971"/>
        <v>-1201537.4707027867</v>
      </c>
      <c r="S342">
        <f t="shared" si="972"/>
        <v>-12.015374707027867</v>
      </c>
      <c r="T342">
        <f t="shared" si="973"/>
        <v>-1.2015374707027867E-2</v>
      </c>
    </row>
    <row r="343" spans="1:20" x14ac:dyDescent="0.25">
      <c r="A343" s="5">
        <v>44250</v>
      </c>
      <c r="B343">
        <v>44.494</v>
      </c>
      <c r="C343">
        <v>46.094000000000001</v>
      </c>
      <c r="D343">
        <v>31.8</v>
      </c>
      <c r="E343">
        <v>36.941000000000003</v>
      </c>
      <c r="F343">
        <v>196795.399</v>
      </c>
      <c r="G343">
        <v>0</v>
      </c>
      <c r="L343" t="s">
        <v>7</v>
      </c>
      <c r="M343" t="s">
        <v>7</v>
      </c>
      <c r="N343" t="s">
        <v>8</v>
      </c>
      <c r="P343">
        <f t="shared" si="969"/>
        <v>-0.28067720721981226</v>
      </c>
      <c r="Q343">
        <f t="shared" si="970"/>
        <v>-55235.982985028633</v>
      </c>
      <c r="R343">
        <f t="shared" si="971"/>
        <v>-1197860.9042119868</v>
      </c>
      <c r="S343">
        <f t="shared" si="972"/>
        <v>-11.978609042119867</v>
      </c>
      <c r="T343">
        <f t="shared" si="973"/>
        <v>-1.1978609042119868E-2</v>
      </c>
    </row>
    <row r="344" spans="1:20" x14ac:dyDescent="0.25">
      <c r="A344" s="5">
        <v>44249</v>
      </c>
      <c r="B344">
        <v>40.65</v>
      </c>
      <c r="C344">
        <v>51.89</v>
      </c>
      <c r="D344">
        <v>33.369999999999997</v>
      </c>
      <c r="E344">
        <v>44.301000000000002</v>
      </c>
      <c r="F344">
        <v>246864.764</v>
      </c>
      <c r="G344">
        <v>0</v>
      </c>
      <c r="L344" t="s">
        <v>8</v>
      </c>
      <c r="M344" t="s">
        <v>7</v>
      </c>
      <c r="N344" t="s">
        <v>7</v>
      </c>
      <c r="P344">
        <f t="shared" si="969"/>
        <v>0.18045356371490309</v>
      </c>
      <c r="Q344">
        <f t="shared" si="970"/>
        <v>44547.626419438515</v>
      </c>
      <c r="R344">
        <f t="shared" si="971"/>
        <v>-1142624.9212269583</v>
      </c>
      <c r="S344">
        <f t="shared" si="972"/>
        <v>-11.426249212269584</v>
      </c>
      <c r="T344">
        <f t="shared" si="973"/>
        <v>-1.1426249212269583E-2</v>
      </c>
    </row>
    <row r="345" spans="1:20" x14ac:dyDescent="0.25">
      <c r="A345" s="5">
        <v>44248</v>
      </c>
      <c r="B345">
        <v>39.996000000000002</v>
      </c>
      <c r="C345">
        <v>41.542000000000002</v>
      </c>
      <c r="D345">
        <v>38.548999999999999</v>
      </c>
      <c r="E345">
        <v>40.648000000000003</v>
      </c>
      <c r="F345">
        <v>38821.474000000002</v>
      </c>
      <c r="G345">
        <v>0</v>
      </c>
      <c r="L345" t="s">
        <v>8</v>
      </c>
      <c r="M345" t="s">
        <v>7</v>
      </c>
      <c r="N345" t="s">
        <v>7</v>
      </c>
      <c r="P345">
        <f t="shared" si="969"/>
        <v>0.40260608085533062</v>
      </c>
      <c r="Q345">
        <f t="shared" si="970"/>
        <v>15629.761500167117</v>
      </c>
      <c r="R345">
        <f t="shared" si="971"/>
        <v>-1187172.5476463968</v>
      </c>
      <c r="S345">
        <f t="shared" si="972"/>
        <v>-11.871725476463968</v>
      </c>
      <c r="T345">
        <f t="shared" si="973"/>
        <v>-1.1871725476463969E-2</v>
      </c>
    </row>
    <row r="346" spans="1:20" x14ac:dyDescent="0.25">
      <c r="A346" s="5">
        <v>44247</v>
      </c>
      <c r="B346">
        <v>41.581000000000003</v>
      </c>
      <c r="C346">
        <v>43.633000000000003</v>
      </c>
      <c r="D346">
        <v>35.799999999999997</v>
      </c>
      <c r="E346">
        <v>39.996000000000002</v>
      </c>
      <c r="F346">
        <v>67810.429999999993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7.1364738925061177E-2</v>
      </c>
      <c r="Q346">
        <f t="shared" si="970"/>
        <v>4839.2736333461353</v>
      </c>
      <c r="R346">
        <f t="shared" si="971"/>
        <v>-1202802.309146564</v>
      </c>
      <c r="S346">
        <f t="shared" si="972"/>
        <v>-12.02802309146564</v>
      </c>
      <c r="T346">
        <f t="shared" si="973"/>
        <v>-1.2028023091465639E-2</v>
      </c>
    </row>
    <row r="347" spans="1:20" x14ac:dyDescent="0.25">
      <c r="A347" s="5">
        <v>44246</v>
      </c>
      <c r="B347">
        <v>41.912999999999997</v>
      </c>
      <c r="C347">
        <v>42.795999999999999</v>
      </c>
      <c r="D347">
        <v>40.4</v>
      </c>
      <c r="E347">
        <v>41.529000000000003</v>
      </c>
      <c r="F347">
        <v>63685.076999999997</v>
      </c>
      <c r="G347">
        <v>0</v>
      </c>
      <c r="L347" t="s">
        <v>7</v>
      </c>
      <c r="M347" t="s">
        <v>7</v>
      </c>
      <c r="N347" t="s">
        <v>8</v>
      </c>
      <c r="P347">
        <f t="shared" si="969"/>
        <v>-5.7595993322199904E-2</v>
      </c>
      <c r="Q347">
        <f t="shared" si="970"/>
        <v>-3668.0052696157863</v>
      </c>
      <c r="R347">
        <f t="shared" si="971"/>
        <v>-1207641.5827799102</v>
      </c>
      <c r="S347">
        <f t="shared" si="972"/>
        <v>-12.076415827799101</v>
      </c>
      <c r="T347">
        <f t="shared" si="973"/>
        <v>-1.2076415827799102E-2</v>
      </c>
    </row>
    <row r="348" spans="1:20" x14ac:dyDescent="0.25">
      <c r="A348" s="5">
        <v>44245</v>
      </c>
      <c r="B348">
        <v>42.667999999999999</v>
      </c>
      <c r="C348">
        <v>45</v>
      </c>
      <c r="D348">
        <v>41.518999999999998</v>
      </c>
      <c r="E348">
        <v>41.805</v>
      </c>
      <c r="F348">
        <v>68363.334000000003</v>
      </c>
      <c r="G348">
        <v>0</v>
      </c>
      <c r="L348" t="s">
        <v>8</v>
      </c>
      <c r="M348" t="s">
        <v>7</v>
      </c>
      <c r="N348" t="s">
        <v>8</v>
      </c>
      <c r="P348">
        <f t="shared" si="969"/>
        <v>-0.83567940247055372</v>
      </c>
      <c r="Q348">
        <f t="shared" si="970"/>
        <v>-57129.830108014889</v>
      </c>
      <c r="R348">
        <f t="shared" si="971"/>
        <v>-1203973.5775102945</v>
      </c>
      <c r="S348">
        <f t="shared" si="972"/>
        <v>-12.039735775102946</v>
      </c>
      <c r="T348">
        <f t="shared" si="973"/>
        <v>-1.2039735775102946E-2</v>
      </c>
    </row>
    <row r="349" spans="1:20" x14ac:dyDescent="0.25">
      <c r="A349" s="5">
        <v>44244</v>
      </c>
      <c r="B349">
        <v>43.063000000000002</v>
      </c>
      <c r="C349">
        <v>43.405000000000001</v>
      </c>
      <c r="D349">
        <v>40</v>
      </c>
      <c r="E349">
        <v>42.622</v>
      </c>
      <c r="F349">
        <v>54394.595999999998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0.54008810572687171</v>
      </c>
      <c r="Q349">
        <f t="shared" si="970"/>
        <v>29377.87431541847</v>
      </c>
      <c r="R349">
        <f t="shared" si="971"/>
        <v>-1146843.7474022796</v>
      </c>
      <c r="S349">
        <f t="shared" si="972"/>
        <v>-11.468437474022796</v>
      </c>
      <c r="T349">
        <f t="shared" si="973"/>
        <v>-1.1468437474022796E-2</v>
      </c>
    </row>
    <row r="350" spans="1:20" x14ac:dyDescent="0.25">
      <c r="A350" s="5">
        <v>44243</v>
      </c>
      <c r="B350">
        <v>41.21</v>
      </c>
      <c r="C350">
        <v>52.99</v>
      </c>
      <c r="D350">
        <v>40.081000000000003</v>
      </c>
      <c r="E350">
        <v>42.91</v>
      </c>
      <c r="F350">
        <v>234401.853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-0.56170113874041461</v>
      </c>
      <c r="Q350">
        <f t="shared" si="970"/>
        <v>-131663.78775296328</v>
      </c>
      <c r="R350">
        <f t="shared" si="971"/>
        <v>-1176221.6217176982</v>
      </c>
      <c r="S350">
        <f t="shared" si="972"/>
        <v>-11.762216217176981</v>
      </c>
      <c r="T350">
        <f t="shared" si="973"/>
        <v>-1.176221621717698E-2</v>
      </c>
    </row>
    <row r="351" spans="1:20" x14ac:dyDescent="0.25">
      <c r="A351" s="5">
        <v>44242</v>
      </c>
      <c r="B351">
        <v>44.051000000000002</v>
      </c>
      <c r="C351">
        <v>45.963999999999999</v>
      </c>
      <c r="D351">
        <v>35.439</v>
      </c>
      <c r="E351">
        <v>41.22</v>
      </c>
      <c r="F351">
        <v>103559.15399999999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9.8527315914489239E-2</v>
      </c>
      <c r="Q351">
        <f t="shared" si="970"/>
        <v>10203.405481995242</v>
      </c>
      <c r="R351">
        <f t="shared" si="971"/>
        <v>-1044557.8339647349</v>
      </c>
      <c r="S351">
        <f t="shared" si="972"/>
        <v>-10.44557833964735</v>
      </c>
      <c r="T351">
        <f t="shared" si="973"/>
        <v>-1.0445578339647349E-2</v>
      </c>
    </row>
    <row r="352" spans="1:20" x14ac:dyDescent="0.25">
      <c r="A352" s="5">
        <v>44241</v>
      </c>
      <c r="B352">
        <v>48.774000000000001</v>
      </c>
      <c r="C352">
        <v>50.365000000000002</v>
      </c>
      <c r="D352">
        <v>41.23</v>
      </c>
      <c r="E352">
        <v>44.079000000000001</v>
      </c>
      <c r="F352">
        <v>97993.103000000003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-0.3762452107279689</v>
      </c>
      <c r="Q352">
        <f t="shared" si="970"/>
        <v>-36869.435688122561</v>
      </c>
      <c r="R352">
        <f t="shared" si="971"/>
        <v>-1054761.2394467301</v>
      </c>
      <c r="S352">
        <f t="shared" si="972"/>
        <v>-10.547612394467301</v>
      </c>
      <c r="T352">
        <f t="shared" si="973"/>
        <v>-1.05476123944673E-2</v>
      </c>
    </row>
    <row r="353" spans="1:20" x14ac:dyDescent="0.25">
      <c r="A353" s="5">
        <v>44240</v>
      </c>
      <c r="B353">
        <v>43.448999999999998</v>
      </c>
      <c r="C353">
        <v>54.1</v>
      </c>
      <c r="D353">
        <v>43.271000000000001</v>
      </c>
      <c r="E353">
        <v>48.716000000000001</v>
      </c>
      <c r="F353">
        <v>229090.67499999999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5.6330224397451237E-3</v>
      </c>
      <c r="Q353">
        <f t="shared" si="970"/>
        <v>1290.4729130113572</v>
      </c>
      <c r="R353">
        <f t="shared" si="971"/>
        <v>-1017891.8037586075</v>
      </c>
      <c r="S353">
        <f t="shared" si="972"/>
        <v>-10.178918037586074</v>
      </c>
      <c r="T353">
        <f t="shared" si="973"/>
        <v>-1.0178918037586073E-2</v>
      </c>
    </row>
    <row r="354" spans="1:20" x14ac:dyDescent="0.25">
      <c r="A354" s="5">
        <v>44239</v>
      </c>
      <c r="B354">
        <v>42.613</v>
      </c>
      <c r="C354">
        <v>45.68</v>
      </c>
      <c r="D354">
        <v>40.600999999999999</v>
      </c>
      <c r="E354">
        <v>43.462000000000003</v>
      </c>
      <c r="F354">
        <v>83987.453999999998</v>
      </c>
      <c r="G354">
        <v>0</v>
      </c>
      <c r="L354" t="s">
        <v>8</v>
      </c>
      <c r="M354" t="s">
        <v>7</v>
      </c>
      <c r="N354" t="s">
        <v>8</v>
      </c>
      <c r="P354">
        <f t="shared" si="969"/>
        <v>0.12659972435518954</v>
      </c>
      <c r="Q354">
        <f t="shared" si="970"/>
        <v>10632.788525694161</v>
      </c>
      <c r="R354">
        <f t="shared" si="971"/>
        <v>-1019182.2766716188</v>
      </c>
      <c r="S354">
        <f t="shared" si="972"/>
        <v>-10.191822766716188</v>
      </c>
      <c r="T354">
        <f t="shared" si="973"/>
        <v>-1.0191822766716187E-2</v>
      </c>
    </row>
    <row r="355" spans="1:20" x14ac:dyDescent="0.25">
      <c r="A355" s="5">
        <v>44238</v>
      </c>
      <c r="B355">
        <v>42.271999999999998</v>
      </c>
      <c r="C355">
        <v>46.350999999999999</v>
      </c>
      <c r="D355">
        <v>39.970999999999997</v>
      </c>
      <c r="E355">
        <v>42.612000000000002</v>
      </c>
      <c r="F355">
        <v>114672.568</v>
      </c>
      <c r="G355">
        <v>0</v>
      </c>
      <c r="L355" t="s">
        <v>7</v>
      </c>
      <c r="M355" t="s">
        <v>7</v>
      </c>
      <c r="N355" t="s">
        <v>8</v>
      </c>
      <c r="P355">
        <f t="shared" si="969"/>
        <v>-0.17210031347962249</v>
      </c>
      <c r="Q355">
        <f t="shared" si="970"/>
        <v>-19735.184900313325</v>
      </c>
      <c r="R355">
        <f t="shared" si="971"/>
        <v>-1029815.065197313</v>
      </c>
      <c r="S355">
        <f t="shared" si="972"/>
        <v>-10.298150651973129</v>
      </c>
      <c r="T355">
        <f t="shared" si="973"/>
        <v>-1.0298150651973129E-2</v>
      </c>
    </row>
    <row r="356" spans="1:20" x14ac:dyDescent="0.25">
      <c r="A356" s="5">
        <v>44237</v>
      </c>
      <c r="B356">
        <v>37.996000000000002</v>
      </c>
      <c r="C356">
        <v>49.5</v>
      </c>
      <c r="D356">
        <v>34</v>
      </c>
      <c r="E356">
        <v>42.201000000000001</v>
      </c>
      <c r="F356">
        <v>318463.42700000003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5.8193548387096838E-2</v>
      </c>
      <c r="Q356">
        <f t="shared" si="970"/>
        <v>18532.516848645184</v>
      </c>
      <c r="R356">
        <f t="shared" si="971"/>
        <v>-1010079.8802969996</v>
      </c>
      <c r="S356">
        <f t="shared" si="972"/>
        <v>-10.100798802969996</v>
      </c>
      <c r="T356">
        <f t="shared" si="973"/>
        <v>-1.0100798802969995E-2</v>
      </c>
    </row>
    <row r="357" spans="1:20" x14ac:dyDescent="0.25">
      <c r="A357" s="5">
        <v>44236</v>
      </c>
      <c r="B357">
        <v>35.225999999999999</v>
      </c>
      <c r="C357">
        <v>39</v>
      </c>
      <c r="D357">
        <v>35.04</v>
      </c>
      <c r="E357">
        <v>37.978999999999999</v>
      </c>
      <c r="F357">
        <v>95260.237999999998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0.48434343434343408</v>
      </c>
      <c r="Q357">
        <f t="shared" si="970"/>
        <v>46138.670829292903</v>
      </c>
      <c r="R357">
        <f t="shared" si="971"/>
        <v>-1028612.3971456448</v>
      </c>
      <c r="S357">
        <f t="shared" si="972"/>
        <v>-10.286123971456448</v>
      </c>
      <c r="T357">
        <f t="shared" si="973"/>
        <v>-1.0286123971456448E-2</v>
      </c>
    </row>
    <row r="358" spans="1:20" x14ac:dyDescent="0.25">
      <c r="A358" s="5">
        <v>44235</v>
      </c>
      <c r="B358">
        <v>34.520000000000003</v>
      </c>
      <c r="C358">
        <v>37.280999999999999</v>
      </c>
      <c r="D358">
        <v>33.954000000000001</v>
      </c>
      <c r="E358">
        <v>35.216000000000001</v>
      </c>
      <c r="F358">
        <v>76449.051999999996</v>
      </c>
      <c r="G358">
        <v>0</v>
      </c>
      <c r="L358" t="s">
        <v>7</v>
      </c>
      <c r="M358" t="s">
        <v>8</v>
      </c>
      <c r="N358" t="s">
        <v>8</v>
      </c>
      <c r="P358">
        <f t="shared" si="969"/>
        <v>-0.24135858130447782</v>
      </c>
      <c r="Q358">
        <f t="shared" si="970"/>
        <v>-18451.634732792252</v>
      </c>
      <c r="R358">
        <f t="shared" si="971"/>
        <v>-1074751.0679749376</v>
      </c>
      <c r="S358">
        <f t="shared" si="972"/>
        <v>-10.747510679749377</v>
      </c>
      <c r="T358">
        <f t="shared" si="973"/>
        <v>-1.0747510679749377E-2</v>
      </c>
    </row>
    <row r="359" spans="1:20" x14ac:dyDescent="0.25">
      <c r="A359" s="5">
        <v>44234</v>
      </c>
      <c r="B359">
        <v>32.786000000000001</v>
      </c>
      <c r="C359">
        <v>40.183</v>
      </c>
      <c r="D359">
        <v>32.634999999999998</v>
      </c>
      <c r="E359">
        <v>34.442</v>
      </c>
      <c r="F359">
        <v>111416.02499999999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-0.52119766825649128</v>
      </c>
      <c r="Q359">
        <f t="shared" si="970"/>
        <v>-58069.772436406936</v>
      </c>
      <c r="R359">
        <f t="shared" si="971"/>
        <v>-1056299.4332421455</v>
      </c>
      <c r="S359">
        <f t="shared" si="972"/>
        <v>-10.562994332421455</v>
      </c>
      <c r="T359">
        <f t="shared" si="973"/>
        <v>-1.0562994332421456E-2</v>
      </c>
    </row>
    <row r="360" spans="1:20" x14ac:dyDescent="0.25">
      <c r="A360" s="5">
        <v>44233</v>
      </c>
      <c r="B360">
        <v>34.862000000000002</v>
      </c>
      <c r="C360">
        <v>35.944000000000003</v>
      </c>
      <c r="D360">
        <v>31.413</v>
      </c>
      <c r="E360">
        <v>32.851999999999997</v>
      </c>
      <c r="F360">
        <v>70683.388999999996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-0.36482012800706431</v>
      </c>
      <c r="Q360">
        <f t="shared" si="970"/>
        <v>-25786.72302295312</v>
      </c>
      <c r="R360">
        <f t="shared" si="971"/>
        <v>-998229.66080573853</v>
      </c>
      <c r="S360">
        <f t="shared" si="972"/>
        <v>-9.9822966080573856</v>
      </c>
      <c r="T360">
        <f t="shared" si="973"/>
        <v>-9.9822966080573856E-3</v>
      </c>
    </row>
    <row r="361" spans="1:20" x14ac:dyDescent="0.25">
      <c r="A361" s="5">
        <v>44232</v>
      </c>
      <c r="B361">
        <v>32.542000000000002</v>
      </c>
      <c r="C361">
        <v>36.381999999999998</v>
      </c>
      <c r="D361">
        <v>32.256</v>
      </c>
      <c r="E361">
        <v>34.863</v>
      </c>
      <c r="F361">
        <v>115558.00900000001</v>
      </c>
      <c r="G361">
        <v>0</v>
      </c>
      <c r="L361" t="s">
        <v>7</v>
      </c>
      <c r="M361" t="s">
        <v>8</v>
      </c>
      <c r="N361" t="s">
        <v>8</v>
      </c>
      <c r="P361">
        <f t="shared" si="969"/>
        <v>0.26369365002423695</v>
      </c>
      <c r="Q361">
        <f t="shared" si="970"/>
        <v>30471.913182743625</v>
      </c>
      <c r="R361">
        <f t="shared" si="971"/>
        <v>-972442.93778278539</v>
      </c>
      <c r="S361">
        <f t="shared" si="972"/>
        <v>-9.7244293778278532</v>
      </c>
      <c r="T361">
        <f t="shared" si="973"/>
        <v>-9.7244293778278538E-3</v>
      </c>
    </row>
    <row r="362" spans="1:20" x14ac:dyDescent="0.25">
      <c r="A362" s="5">
        <v>44231</v>
      </c>
      <c r="B362">
        <v>29.707000000000001</v>
      </c>
      <c r="C362">
        <v>38</v>
      </c>
      <c r="D362">
        <v>28.548999999999999</v>
      </c>
      <c r="E362">
        <v>32.499000000000002</v>
      </c>
      <c r="F362">
        <v>245767.80499999999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-0.16410961802983756</v>
      </c>
      <c r="Q362">
        <f t="shared" si="970"/>
        <v>-40332.860602581604</v>
      </c>
      <c r="R362">
        <f t="shared" si="971"/>
        <v>-1002914.850965529</v>
      </c>
      <c r="S362">
        <f t="shared" si="972"/>
        <v>-10.02914850965529</v>
      </c>
      <c r="T362">
        <f t="shared" si="973"/>
        <v>-1.002914850965529E-2</v>
      </c>
    </row>
    <row r="363" spans="1:20" x14ac:dyDescent="0.25">
      <c r="A363" s="5">
        <v>44230</v>
      </c>
      <c r="B363">
        <v>27.56</v>
      </c>
      <c r="C363">
        <v>30</v>
      </c>
      <c r="D363">
        <v>26.98</v>
      </c>
      <c r="E363">
        <v>29.861999999999998</v>
      </c>
      <c r="F363">
        <v>55199.35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0.90860927152317772</v>
      </c>
      <c r="Q363">
        <f t="shared" si="970"/>
        <v>50154.641192052921</v>
      </c>
      <c r="R363">
        <f t="shared" si="971"/>
        <v>-962581.99036294734</v>
      </c>
      <c r="S363">
        <f t="shared" si="972"/>
        <v>-9.6258199036294734</v>
      </c>
      <c r="T363">
        <f t="shared" si="973"/>
        <v>-9.6258199036294741E-3</v>
      </c>
    </row>
    <row r="364" spans="1:20" x14ac:dyDescent="0.25">
      <c r="A364" s="5">
        <v>44229</v>
      </c>
      <c r="B364">
        <v>27.957999999999998</v>
      </c>
      <c r="C364">
        <v>28.228999999999999</v>
      </c>
      <c r="D364">
        <v>26.765000000000001</v>
      </c>
      <c r="E364">
        <v>27.523</v>
      </c>
      <c r="F364">
        <v>37929.612999999998</v>
      </c>
      <c r="G364">
        <v>0</v>
      </c>
      <c r="L364" t="s">
        <v>8</v>
      </c>
      <c r="M364" t="s">
        <v>7</v>
      </c>
      <c r="N364" t="s">
        <v>7</v>
      </c>
      <c r="P364">
        <f t="shared" si="969"/>
        <v>3.5519125683059871E-2</v>
      </c>
      <c r="Q364">
        <f t="shared" si="970"/>
        <v>1347.2266912568216</v>
      </c>
      <c r="R364">
        <f t="shared" si="971"/>
        <v>-1012736.6315550002</v>
      </c>
      <c r="S364">
        <f t="shared" si="972"/>
        <v>-10.127366315550002</v>
      </c>
      <c r="T364">
        <f t="shared" si="973"/>
        <v>-1.0127366315550003E-2</v>
      </c>
    </row>
    <row r="365" spans="1:20" x14ac:dyDescent="0.25">
      <c r="A365" s="5">
        <v>44228</v>
      </c>
      <c r="B365">
        <v>26.995999999999999</v>
      </c>
      <c r="C365">
        <v>28.218</v>
      </c>
      <c r="D365">
        <v>26.306000000000001</v>
      </c>
      <c r="E365">
        <v>27.989000000000001</v>
      </c>
      <c r="F365">
        <v>31048.298999999999</v>
      </c>
      <c r="G365">
        <v>0</v>
      </c>
      <c r="L365" t="s">
        <v>8</v>
      </c>
      <c r="M365" t="s">
        <v>7</v>
      </c>
      <c r="N365" t="s">
        <v>7</v>
      </c>
      <c r="P365">
        <f t="shared" si="969"/>
        <v>0.76046025104602577</v>
      </c>
      <c r="Q365">
        <f t="shared" si="970"/>
        <v>23610.997252092071</v>
      </c>
      <c r="R365">
        <f t="shared" si="971"/>
        <v>-1014083.8582462571</v>
      </c>
      <c r="S365">
        <f t="shared" si="972"/>
        <v>-10.140838582462571</v>
      </c>
      <c r="T365">
        <f t="shared" si="973"/>
        <v>-1.014083858246257E-2</v>
      </c>
    </row>
    <row r="366" spans="1:20" x14ac:dyDescent="0.25">
      <c r="A366" s="5">
        <v>44227</v>
      </c>
      <c r="B366">
        <v>26.449000000000002</v>
      </c>
      <c r="C366">
        <v>28.19</v>
      </c>
      <c r="D366">
        <v>26.2</v>
      </c>
      <c r="E366">
        <v>26.933</v>
      </c>
      <c r="F366">
        <v>48264.423999999999</v>
      </c>
      <c r="G366">
        <v>0</v>
      </c>
      <c r="L366" t="s">
        <v>8</v>
      </c>
      <c r="M366" t="s">
        <v>7</v>
      </c>
      <c r="N366" t="s">
        <v>7</v>
      </c>
      <c r="P366">
        <f t="shared" si="969"/>
        <v>-0.26331658291457305</v>
      </c>
      <c r="Q366">
        <f t="shared" si="970"/>
        <v>-12708.823204020109</v>
      </c>
      <c r="R366">
        <f t="shared" si="971"/>
        <v>-1037694.8554983492</v>
      </c>
      <c r="S366">
        <f t="shared" si="972"/>
        <v>-10.376948554983493</v>
      </c>
      <c r="T366">
        <f t="shared" si="973"/>
        <v>-1.0376948554983492E-2</v>
      </c>
    </row>
    <row r="367" spans="1:20" x14ac:dyDescent="0.25">
      <c r="A367" s="5">
        <v>44226</v>
      </c>
      <c r="B367">
        <v>26.209</v>
      </c>
      <c r="C367">
        <v>26.98</v>
      </c>
      <c r="D367">
        <v>25.745999999999999</v>
      </c>
      <c r="E367">
        <v>26.411999999999999</v>
      </c>
      <c r="F367">
        <v>10711.347</v>
      </c>
      <c r="G367">
        <v>0</v>
      </c>
      <c r="L367" t="s">
        <v>8</v>
      </c>
      <c r="M367" t="s">
        <v>7</v>
      </c>
      <c r="N367" t="s">
        <v>7</v>
      </c>
      <c r="P367">
        <f t="shared" si="969"/>
        <v>7.9416531604537141E-2</v>
      </c>
      <c r="Q367">
        <f t="shared" si="970"/>
        <v>850.65802755266407</v>
      </c>
      <c r="R367">
        <f t="shared" si="971"/>
        <v>-1024986.032294329</v>
      </c>
      <c r="S367">
        <f t="shared" si="972"/>
        <v>-10.24986032294329</v>
      </c>
      <c r="T367">
        <f t="shared" si="973"/>
        <v>-1.024986032294329E-2</v>
      </c>
    </row>
    <row r="368" spans="1:20" x14ac:dyDescent="0.25">
      <c r="A368" s="5">
        <v>44225</v>
      </c>
      <c r="B368">
        <v>26.33</v>
      </c>
      <c r="C368">
        <v>27.212</v>
      </c>
      <c r="D368">
        <v>25.8</v>
      </c>
      <c r="E368">
        <v>26.175000000000001</v>
      </c>
      <c r="F368">
        <v>19634.64</v>
      </c>
      <c r="G368">
        <v>0</v>
      </c>
      <c r="L368" t="s">
        <v>8</v>
      </c>
      <c r="M368" t="s">
        <v>7</v>
      </c>
      <c r="N368" t="s">
        <v>7</v>
      </c>
      <c r="P368">
        <f t="shared" si="969"/>
        <v>-0.46883852691218092</v>
      </c>
      <c r="Q368">
        <f t="shared" si="970"/>
        <v>-9205.4756940509833</v>
      </c>
      <c r="R368">
        <f t="shared" si="971"/>
        <v>-1025836.6903218817</v>
      </c>
      <c r="S368">
        <f t="shared" si="972"/>
        <v>-10.258366903218818</v>
      </c>
      <c r="T368">
        <f t="shared" si="973"/>
        <v>-1.0258366903218817E-2</v>
      </c>
    </row>
    <row r="369" spans="1:20" x14ac:dyDescent="0.25">
      <c r="A369" s="5">
        <v>44224</v>
      </c>
      <c r="B369">
        <v>25.545000000000002</v>
      </c>
      <c r="C369">
        <v>27.39</v>
      </c>
      <c r="D369">
        <v>25</v>
      </c>
      <c r="E369">
        <v>26.396000000000001</v>
      </c>
      <c r="F369">
        <v>19246.293000000001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0.16820083682008408</v>
      </c>
      <c r="Q369">
        <f t="shared" si="970"/>
        <v>3237.2425882845268</v>
      </c>
      <c r="R369">
        <f t="shared" si="971"/>
        <v>-1016631.2146278307</v>
      </c>
      <c r="S369">
        <f t="shared" si="972"/>
        <v>-10.166312146278306</v>
      </c>
      <c r="T369">
        <f t="shared" si="973"/>
        <v>-1.0166312146278306E-2</v>
      </c>
    </row>
    <row r="370" spans="1:20" x14ac:dyDescent="0.25">
      <c r="A370" s="5">
        <v>44223</v>
      </c>
      <c r="B370">
        <v>26.998999999999999</v>
      </c>
      <c r="C370">
        <v>27.193000000000001</v>
      </c>
      <c r="D370">
        <v>25.010999999999999</v>
      </c>
      <c r="E370">
        <v>25.545000000000002</v>
      </c>
      <c r="F370">
        <v>11900.635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-0.5105407882676426</v>
      </c>
      <c r="Q370">
        <f t="shared" si="970"/>
        <v>-6075.7595737854972</v>
      </c>
      <c r="R370">
        <f t="shared" si="971"/>
        <v>-1019868.4572161152</v>
      </c>
      <c r="S370">
        <f t="shared" si="972"/>
        <v>-10.198684572161152</v>
      </c>
      <c r="T370">
        <f t="shared" si="973"/>
        <v>-1.0198684572161153E-2</v>
      </c>
    </row>
    <row r="371" spans="1:20" x14ac:dyDescent="0.25">
      <c r="A371" s="5">
        <v>44222</v>
      </c>
      <c r="B371">
        <v>26.835000000000001</v>
      </c>
      <c r="C371">
        <v>27.334</v>
      </c>
      <c r="D371">
        <v>25.405999999999999</v>
      </c>
      <c r="E371">
        <v>27</v>
      </c>
      <c r="F371">
        <v>16518.953000000001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0.65352697095435741</v>
      </c>
      <c r="Q371">
        <f t="shared" si="970"/>
        <v>10795.581317427395</v>
      </c>
      <c r="R371">
        <f t="shared" si="971"/>
        <v>-1013792.6976423297</v>
      </c>
      <c r="S371">
        <f t="shared" si="972"/>
        <v>-10.137926976423298</v>
      </c>
      <c r="T371">
        <f t="shared" si="973"/>
        <v>-1.0137926976423298E-2</v>
      </c>
    </row>
    <row r="372" spans="1:20" x14ac:dyDescent="0.25">
      <c r="A372" s="5">
        <v>44221</v>
      </c>
      <c r="B372">
        <v>27.542999999999999</v>
      </c>
      <c r="C372">
        <v>27.984999999999999</v>
      </c>
      <c r="D372">
        <v>26.529</v>
      </c>
      <c r="E372">
        <v>26.831</v>
      </c>
      <c r="F372">
        <v>22447.403999999999</v>
      </c>
      <c r="G372">
        <v>0</v>
      </c>
      <c r="L372" t="s">
        <v>7</v>
      </c>
      <c r="M372" t="s">
        <v>7</v>
      </c>
      <c r="N372" t="s">
        <v>7</v>
      </c>
      <c r="P372">
        <f t="shared" si="969"/>
        <v>-0.58516483516483553</v>
      </c>
      <c r="Q372">
        <f t="shared" si="970"/>
        <v>-13135.431461538468</v>
      </c>
      <c r="R372">
        <f t="shared" si="971"/>
        <v>-1024588.2789597572</v>
      </c>
      <c r="S372">
        <f t="shared" si="972"/>
        <v>-10.245882789597571</v>
      </c>
      <c r="T372">
        <f t="shared" si="973"/>
        <v>-1.0245882789597571E-2</v>
      </c>
    </row>
    <row r="373" spans="1:20" x14ac:dyDescent="0.25">
      <c r="A373" s="5">
        <v>44220</v>
      </c>
      <c r="B373">
        <v>28.091000000000001</v>
      </c>
      <c r="C373">
        <v>29.89</v>
      </c>
      <c r="D373">
        <v>27.012</v>
      </c>
      <c r="E373">
        <v>27.428000000000001</v>
      </c>
      <c r="F373">
        <v>22606.505000000001</v>
      </c>
      <c r="G373">
        <v>0</v>
      </c>
      <c r="L373" t="s">
        <v>8</v>
      </c>
      <c r="M373" t="s">
        <v>7</v>
      </c>
      <c r="N373" t="s">
        <v>7</v>
      </c>
      <c r="P373">
        <f t="shared" si="969"/>
        <v>-0.71091035441278638</v>
      </c>
      <c r="Q373">
        <f t="shared" si="970"/>
        <v>-16071.198481584428</v>
      </c>
      <c r="R373">
        <f t="shared" si="971"/>
        <v>-1011452.8474982188</v>
      </c>
      <c r="S373">
        <f t="shared" si="972"/>
        <v>-10.114528474982187</v>
      </c>
      <c r="T373">
        <f t="shared" si="973"/>
        <v>-1.0114528474982187E-2</v>
      </c>
    </row>
    <row r="374" spans="1:20" x14ac:dyDescent="0.25">
      <c r="A374" s="5">
        <v>44219</v>
      </c>
      <c r="B374">
        <v>26.951000000000001</v>
      </c>
      <c r="C374">
        <v>28.952000000000002</v>
      </c>
      <c r="D374">
        <v>26.56</v>
      </c>
      <c r="E374">
        <v>28.012</v>
      </c>
      <c r="F374">
        <v>18273.190999999999</v>
      </c>
      <c r="G374">
        <v>0</v>
      </c>
      <c r="L374" t="s">
        <v>8</v>
      </c>
      <c r="M374" t="s">
        <v>7</v>
      </c>
      <c r="N374" t="s">
        <v>7</v>
      </c>
      <c r="P374">
        <f t="shared" si="969"/>
        <v>0.21404682274247483</v>
      </c>
      <c r="Q374">
        <f t="shared" si="970"/>
        <v>3911.3184749163861</v>
      </c>
      <c r="R374">
        <f t="shared" si="971"/>
        <v>-995381.64901663433</v>
      </c>
      <c r="S374">
        <f t="shared" si="972"/>
        <v>-9.9538164901663428</v>
      </c>
      <c r="T374">
        <f t="shared" si="973"/>
        <v>-9.9538164901663423E-3</v>
      </c>
    </row>
    <row r="375" spans="1:20" x14ac:dyDescent="0.25">
      <c r="A375" s="5">
        <v>44218</v>
      </c>
      <c r="B375">
        <v>26.178000000000001</v>
      </c>
      <c r="C375">
        <v>27.669</v>
      </c>
      <c r="D375">
        <v>25.318999999999999</v>
      </c>
      <c r="E375">
        <v>26.875</v>
      </c>
      <c r="F375">
        <v>22396.281999999999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0.32425531914893618</v>
      </c>
      <c r="Q375">
        <f t="shared" si="970"/>
        <v>7262.1135676595741</v>
      </c>
      <c r="R375">
        <f t="shared" si="971"/>
        <v>-999292.96749155072</v>
      </c>
      <c r="S375">
        <f t="shared" si="972"/>
        <v>-9.9929296749155068</v>
      </c>
      <c r="T375">
        <f t="shared" si="973"/>
        <v>-9.9929296749155065E-3</v>
      </c>
    </row>
    <row r="376" spans="1:20" x14ac:dyDescent="0.25">
      <c r="A376" s="5">
        <v>44217</v>
      </c>
      <c r="B376">
        <v>28.648</v>
      </c>
      <c r="C376">
        <v>28.774000000000001</v>
      </c>
      <c r="D376">
        <v>26</v>
      </c>
      <c r="E376">
        <v>26.216000000000001</v>
      </c>
      <c r="F376">
        <v>16428.073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-0.84426820475847075</v>
      </c>
      <c r="Q376">
        <f t="shared" si="970"/>
        <v>-13869.699699351106</v>
      </c>
      <c r="R376">
        <f t="shared" si="971"/>
        <v>-1006555.0810592104</v>
      </c>
      <c r="S376">
        <f t="shared" si="972"/>
        <v>-10.065550810592104</v>
      </c>
      <c r="T376">
        <f t="shared" si="973"/>
        <v>-1.0065550810592103E-2</v>
      </c>
    </row>
    <row r="377" spans="1:20" x14ac:dyDescent="0.25">
      <c r="A377" s="5">
        <v>44216</v>
      </c>
      <c r="B377">
        <v>28.22</v>
      </c>
      <c r="C377">
        <v>29.448</v>
      </c>
      <c r="D377">
        <v>27</v>
      </c>
      <c r="E377">
        <v>28.62</v>
      </c>
      <c r="F377">
        <v>15706.116</v>
      </c>
      <c r="G377">
        <v>0</v>
      </c>
      <c r="L377" t="s">
        <v>7</v>
      </c>
      <c r="M377" t="s">
        <v>8</v>
      </c>
      <c r="N377" t="s">
        <v>7</v>
      </c>
      <c r="P377">
        <f t="shared" si="969"/>
        <v>0.32352941176470645</v>
      </c>
      <c r="Q377">
        <f t="shared" si="970"/>
        <v>5081.3904705882442</v>
      </c>
      <c r="R377">
        <f t="shared" si="971"/>
        <v>-992685.38135985925</v>
      </c>
      <c r="S377">
        <f t="shared" si="972"/>
        <v>-9.9268538135985924</v>
      </c>
      <c r="T377">
        <f t="shared" si="973"/>
        <v>-9.9268538135985924E-3</v>
      </c>
    </row>
    <row r="378" spans="1:20" x14ac:dyDescent="0.25">
      <c r="A378" s="5">
        <v>44215</v>
      </c>
      <c r="B378">
        <v>30.135999999999999</v>
      </c>
      <c r="C378">
        <v>31.125</v>
      </c>
      <c r="D378">
        <v>28.123999999999999</v>
      </c>
      <c r="E378">
        <v>28.265000000000001</v>
      </c>
      <c r="F378">
        <v>22670.076000000001</v>
      </c>
      <c r="G378">
        <v>0</v>
      </c>
      <c r="L378" t="s">
        <v>7</v>
      </c>
      <c r="M378" t="s">
        <v>8</v>
      </c>
      <c r="N378" t="s">
        <v>7</v>
      </c>
      <c r="P378">
        <f t="shared" si="969"/>
        <v>-0.9060313228923681</v>
      </c>
      <c r="Q378">
        <f t="shared" si="970"/>
        <v>-20539.798948350526</v>
      </c>
      <c r="R378">
        <f t="shared" si="971"/>
        <v>-997766.77183044748</v>
      </c>
      <c r="S378">
        <f t="shared" si="972"/>
        <v>-9.977667718304474</v>
      </c>
      <c r="T378">
        <f t="shared" si="973"/>
        <v>-9.977667718304474E-3</v>
      </c>
    </row>
    <row r="379" spans="1:20" x14ac:dyDescent="0.25">
      <c r="A379" s="5">
        <v>44214</v>
      </c>
      <c r="B379">
        <v>27.821999999999999</v>
      </c>
      <c r="C379">
        <v>31</v>
      </c>
      <c r="D379">
        <v>27.172999999999998</v>
      </c>
      <c r="E379">
        <v>30.096</v>
      </c>
      <c r="F379">
        <v>38103.33</v>
      </c>
      <c r="G379">
        <v>0</v>
      </c>
      <c r="L379" t="s">
        <v>8</v>
      </c>
      <c r="M379" t="s">
        <v>8</v>
      </c>
      <c r="N379" t="s">
        <v>7</v>
      </c>
      <c r="P379">
        <f t="shared" si="969"/>
        <v>0.52756728507969719</v>
      </c>
      <c r="Q379">
        <f t="shared" si="970"/>
        <v>20102.070360595779</v>
      </c>
      <c r="R379">
        <f t="shared" si="971"/>
        <v>-977226.972882097</v>
      </c>
      <c r="S379">
        <f t="shared" si="972"/>
        <v>-9.7722697288209694</v>
      </c>
      <c r="T379">
        <f t="shared" si="973"/>
        <v>-9.7722697288209689E-3</v>
      </c>
    </row>
    <row r="380" spans="1:20" x14ac:dyDescent="0.25">
      <c r="A380" s="5">
        <v>44213</v>
      </c>
      <c r="B380">
        <v>28.099</v>
      </c>
      <c r="C380">
        <v>28.99</v>
      </c>
      <c r="D380">
        <v>26.353000000000002</v>
      </c>
      <c r="E380">
        <v>27.75</v>
      </c>
      <c r="F380">
        <v>24295.386999999999</v>
      </c>
      <c r="G380">
        <v>0</v>
      </c>
      <c r="L380" t="s">
        <v>7</v>
      </c>
      <c r="M380" t="s">
        <v>7</v>
      </c>
      <c r="N380" t="s">
        <v>7</v>
      </c>
      <c r="P380">
        <f t="shared" si="969"/>
        <v>5.9537353052711496E-2</v>
      </c>
      <c r="Q380">
        <f t="shared" si="970"/>
        <v>1446.4830333712571</v>
      </c>
      <c r="R380">
        <f t="shared" si="971"/>
        <v>-997329.04324269283</v>
      </c>
      <c r="S380">
        <f t="shared" si="972"/>
        <v>-9.9732904324269285</v>
      </c>
      <c r="T380">
        <f t="shared" si="973"/>
        <v>-9.9732904324269286E-3</v>
      </c>
    </row>
    <row r="381" spans="1:20" x14ac:dyDescent="0.25">
      <c r="A381" s="5">
        <v>44212</v>
      </c>
      <c r="B381">
        <v>27.19</v>
      </c>
      <c r="C381">
        <v>29.515000000000001</v>
      </c>
      <c r="D381">
        <v>27.001999999999999</v>
      </c>
      <c r="E381">
        <v>28.123999999999999</v>
      </c>
      <c r="F381">
        <v>29853.213</v>
      </c>
      <c r="G381">
        <v>0</v>
      </c>
      <c r="L381" t="s">
        <v>8</v>
      </c>
      <c r="M381" t="s">
        <v>7</v>
      </c>
      <c r="N381" t="s">
        <v>7</v>
      </c>
      <c r="P381">
        <f t="shared" si="969"/>
        <v>-0.1070433744528459</v>
      </c>
      <c r="Q381">
        <f t="shared" si="970"/>
        <v>-3195.5886577795668</v>
      </c>
      <c r="R381">
        <f t="shared" si="971"/>
        <v>-998775.52627606411</v>
      </c>
      <c r="S381">
        <f t="shared" si="972"/>
        <v>-9.9877552627606416</v>
      </c>
      <c r="T381">
        <f t="shared" si="973"/>
        <v>-9.9877552627606423E-3</v>
      </c>
    </row>
    <row r="382" spans="1:20" x14ac:dyDescent="0.25">
      <c r="A382" s="5">
        <v>44211</v>
      </c>
      <c r="B382">
        <v>27.765999999999998</v>
      </c>
      <c r="C382">
        <v>28.963999999999999</v>
      </c>
      <c r="D382">
        <v>26.353999999999999</v>
      </c>
      <c r="E382">
        <v>27.158000000000001</v>
      </c>
      <c r="F382">
        <v>20799.842000000001</v>
      </c>
      <c r="G382">
        <v>0</v>
      </c>
      <c r="L382" t="s">
        <v>7</v>
      </c>
      <c r="M382" t="s">
        <v>7</v>
      </c>
      <c r="N382" t="s">
        <v>7</v>
      </c>
      <c r="P382">
        <f t="shared" si="969"/>
        <v>-0.38390804597700978</v>
      </c>
      <c r="Q382">
        <f t="shared" si="970"/>
        <v>-7985.2266988505389</v>
      </c>
      <c r="R382">
        <f t="shared" si="971"/>
        <v>-995579.93761828449</v>
      </c>
      <c r="S382">
        <f t="shared" si="972"/>
        <v>-9.9557993761828456</v>
      </c>
      <c r="T382">
        <f t="shared" si="973"/>
        <v>-9.9557993761828448E-3</v>
      </c>
    </row>
    <row r="383" spans="1:20" x14ac:dyDescent="0.25">
      <c r="A383" s="5">
        <v>44210</v>
      </c>
      <c r="B383">
        <v>28.202000000000002</v>
      </c>
      <c r="C383">
        <v>29.866</v>
      </c>
      <c r="D383">
        <v>27.068000000000001</v>
      </c>
      <c r="E383">
        <v>27.702999999999999</v>
      </c>
      <c r="F383">
        <v>26608.166000000001</v>
      </c>
      <c r="G383">
        <v>0</v>
      </c>
      <c r="L383" t="s">
        <v>8</v>
      </c>
      <c r="M383" t="s">
        <v>7</v>
      </c>
      <c r="N383" t="s">
        <v>7</v>
      </c>
      <c r="P383">
        <f t="shared" si="969"/>
        <v>-0.54610436025732778</v>
      </c>
      <c r="Q383">
        <f t="shared" si="970"/>
        <v>-14530.835471050781</v>
      </c>
      <c r="R383">
        <f t="shared" si="971"/>
        <v>-987594.71091943397</v>
      </c>
      <c r="S383">
        <f t="shared" si="972"/>
        <v>-9.8759471091943389</v>
      </c>
      <c r="T383">
        <f t="shared" si="973"/>
        <v>-9.8759471091943388E-3</v>
      </c>
    </row>
    <row r="384" spans="1:20" x14ac:dyDescent="0.25">
      <c r="A384" s="5">
        <v>44209</v>
      </c>
      <c r="B384">
        <v>27.116</v>
      </c>
      <c r="C384">
        <v>30.088999999999999</v>
      </c>
      <c r="D384">
        <v>26</v>
      </c>
      <c r="E384">
        <v>28.201000000000001</v>
      </c>
      <c r="F384">
        <v>32292.315999999999</v>
      </c>
      <c r="G384">
        <v>0</v>
      </c>
      <c r="L384" t="s">
        <v>7</v>
      </c>
      <c r="M384" t="s">
        <v>7</v>
      </c>
      <c r="N384" t="s">
        <v>7</v>
      </c>
      <c r="P384">
        <f t="shared" si="969"/>
        <v>7.6546832966496087E-2</v>
      </c>
      <c r="Q384">
        <f t="shared" si="970"/>
        <v>2471.8745189533088</v>
      </c>
      <c r="R384">
        <f t="shared" si="971"/>
        <v>-973063.87544838316</v>
      </c>
      <c r="S384">
        <f t="shared" si="972"/>
        <v>-9.7306387544838309</v>
      </c>
      <c r="T384">
        <f t="shared" si="973"/>
        <v>-9.7306387544838311E-3</v>
      </c>
    </row>
    <row r="385" spans="1:20" x14ac:dyDescent="0.25">
      <c r="A385" s="5">
        <v>44208</v>
      </c>
      <c r="B385">
        <v>26.523</v>
      </c>
      <c r="C385">
        <v>37.597999999999999</v>
      </c>
      <c r="D385">
        <v>26.44</v>
      </c>
      <c r="E385">
        <v>27.094999999999999</v>
      </c>
      <c r="F385">
        <v>175576.99600000001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-0.88259544721276251</v>
      </c>
      <c r="Q385">
        <f t="shared" si="970"/>
        <v>-154963.45730489344</v>
      </c>
      <c r="R385">
        <f t="shared" si="971"/>
        <v>-975535.74996733642</v>
      </c>
      <c r="S385">
        <f t="shared" si="972"/>
        <v>-9.7553574996733641</v>
      </c>
      <c r="T385">
        <f t="shared" si="973"/>
        <v>-9.7553574996733644E-3</v>
      </c>
    </row>
    <row r="386" spans="1:20" x14ac:dyDescent="0.25">
      <c r="A386" s="5">
        <v>44207</v>
      </c>
      <c r="B386">
        <v>27.599</v>
      </c>
      <c r="C386">
        <v>27.888000000000002</v>
      </c>
      <c r="D386">
        <v>24.713999999999999</v>
      </c>
      <c r="E386">
        <v>26.463999999999999</v>
      </c>
      <c r="F386">
        <v>46409.773999999998</v>
      </c>
      <c r="G386">
        <v>0</v>
      </c>
      <c r="L386" t="s">
        <v>7</v>
      </c>
      <c r="M386" t="s">
        <v>7</v>
      </c>
      <c r="N386" t="s">
        <v>8</v>
      </c>
      <c r="P386">
        <f t="shared" si="969"/>
        <v>0.10270951480781243</v>
      </c>
      <c r="Q386">
        <f t="shared" si="970"/>
        <v>4766.7253698802278</v>
      </c>
      <c r="R386">
        <f t="shared" si="971"/>
        <v>-820572.29266244301</v>
      </c>
      <c r="S386">
        <f t="shared" si="972"/>
        <v>-8.2057229266244303</v>
      </c>
      <c r="T386">
        <f t="shared" si="973"/>
        <v>-8.2057229266244303E-3</v>
      </c>
    </row>
    <row r="387" spans="1:20" x14ac:dyDescent="0.25">
      <c r="A387" s="5">
        <v>44206</v>
      </c>
      <c r="B387">
        <v>28.155999999999999</v>
      </c>
      <c r="C387">
        <v>31.117000000000001</v>
      </c>
      <c r="D387">
        <v>27.015999999999998</v>
      </c>
      <c r="E387">
        <v>27.565999999999999</v>
      </c>
      <c r="F387">
        <v>56230.078999999998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-0.73177273835649825</v>
      </c>
      <c r="Q387">
        <f t="shared" si="970"/>
        <v>-41147.638887832225</v>
      </c>
      <c r="R387">
        <f t="shared" si="971"/>
        <v>-825339.01803232322</v>
      </c>
      <c r="S387">
        <f t="shared" si="972"/>
        <v>-8.2533901803232315</v>
      </c>
      <c r="T387">
        <f t="shared" si="973"/>
        <v>-8.2533901803232314E-3</v>
      </c>
    </row>
    <row r="388" spans="1:20" x14ac:dyDescent="0.25">
      <c r="A388" s="5">
        <v>44205</v>
      </c>
      <c r="B388">
        <v>26.579000000000001</v>
      </c>
      <c r="C388">
        <v>29</v>
      </c>
      <c r="D388">
        <v>26.286000000000001</v>
      </c>
      <c r="E388">
        <v>28.155999999999999</v>
      </c>
      <c r="F388">
        <v>24846.543000000001</v>
      </c>
      <c r="G388">
        <v>0</v>
      </c>
      <c r="L388" t="s">
        <v>8</v>
      </c>
      <c r="M388" t="s">
        <v>7</v>
      </c>
      <c r="N388" t="s">
        <v>8</v>
      </c>
      <c r="P388">
        <f t="shared" si="969"/>
        <v>0.37803979366248958</v>
      </c>
      <c r="Q388">
        <f t="shared" si="970"/>
        <v>9392.981988946176</v>
      </c>
      <c r="R388">
        <f t="shared" si="971"/>
        <v>-784191.37914449105</v>
      </c>
      <c r="S388">
        <f t="shared" si="972"/>
        <v>-7.8419137914449104</v>
      </c>
      <c r="T388">
        <f t="shared" si="973"/>
        <v>-7.8419137914449103E-3</v>
      </c>
    </row>
    <row r="389" spans="1:20" x14ac:dyDescent="0.25">
      <c r="A389" s="5">
        <v>44204</v>
      </c>
      <c r="B389">
        <v>28.277000000000001</v>
      </c>
      <c r="C389">
        <v>28.827999999999999</v>
      </c>
      <c r="D389">
        <v>26.236999999999998</v>
      </c>
      <c r="E389">
        <v>26.545000000000002</v>
      </c>
      <c r="F389">
        <v>20618.530999999999</v>
      </c>
      <c r="G389">
        <v>0</v>
      </c>
      <c r="L389" t="s">
        <v>8</v>
      </c>
      <c r="M389" t="s">
        <v>7</v>
      </c>
      <c r="N389" t="s">
        <v>8</v>
      </c>
      <c r="P389">
        <f t="shared" si="969"/>
        <v>-0.76225395600154133</v>
      </c>
      <c r="Q389">
        <f t="shared" si="970"/>
        <v>-15716.556821690416</v>
      </c>
      <c r="R389">
        <f t="shared" si="971"/>
        <v>-793584.36113343725</v>
      </c>
      <c r="S389">
        <f t="shared" si="972"/>
        <v>-7.9358436113343727</v>
      </c>
      <c r="T389">
        <f t="shared" si="973"/>
        <v>-7.9358436113343735E-3</v>
      </c>
    </row>
    <row r="390" spans="1:20" x14ac:dyDescent="0.25">
      <c r="A390" s="5">
        <v>44203</v>
      </c>
      <c r="B390">
        <v>28.696999999999999</v>
      </c>
      <c r="C390">
        <v>30</v>
      </c>
      <c r="D390">
        <v>25.826000000000001</v>
      </c>
      <c r="E390">
        <v>28.408000000000001</v>
      </c>
      <c r="F390">
        <v>23054.217000000001</v>
      </c>
      <c r="G390">
        <v>0</v>
      </c>
      <c r="L390" t="s">
        <v>7</v>
      </c>
      <c r="M390" t="s">
        <v>7</v>
      </c>
      <c r="N390" t="s">
        <v>8</v>
      </c>
      <c r="P390">
        <f t="shared" ref="P390:P453" si="974">IF(C390=D390,0,((E390-D390)-(C390-E390))/(C390-D390))</f>
        <v>0.23718255869669433</v>
      </c>
      <c r="Q390">
        <f t="shared" ref="Q390:Q453" si="975">F390*P390</f>
        <v>5468.0581768088286</v>
      </c>
      <c r="R390">
        <f t="shared" ref="R390:R453" si="976">R391+Q390</f>
        <v>-777867.80431174685</v>
      </c>
      <c r="S390">
        <f t="shared" ref="S390:S453" si="977">R390/100000</f>
        <v>-7.7786780431174689</v>
      </c>
      <c r="T390">
        <f t="shared" ref="T390:T453" si="978">S390/1000</f>
        <v>-7.7786780431174686E-3</v>
      </c>
    </row>
    <row r="391" spans="1:20" x14ac:dyDescent="0.25">
      <c r="A391" s="5">
        <v>44202</v>
      </c>
      <c r="B391">
        <v>28.353999999999999</v>
      </c>
      <c r="C391">
        <v>31</v>
      </c>
      <c r="D391">
        <v>27.751999999999999</v>
      </c>
      <c r="E391">
        <v>28.696000000000002</v>
      </c>
      <c r="F391">
        <v>24935.606</v>
      </c>
      <c r="G391">
        <v>0</v>
      </c>
      <c r="L391" t="s">
        <v>7</v>
      </c>
      <c r="M391" t="s">
        <v>8</v>
      </c>
      <c r="N391" t="s">
        <v>8</v>
      </c>
      <c r="P391">
        <f t="shared" si="974"/>
        <v>-0.4187192118226587</v>
      </c>
      <c r="Q391">
        <f t="shared" si="975"/>
        <v>-10441.017290640359</v>
      </c>
      <c r="R391">
        <f t="shared" si="976"/>
        <v>-783335.86248855572</v>
      </c>
      <c r="S391">
        <f t="shared" si="977"/>
        <v>-7.8333586248855571</v>
      </c>
      <c r="T391">
        <f t="shared" si="978"/>
        <v>-7.8333586248855568E-3</v>
      </c>
    </row>
    <row r="392" spans="1:20" x14ac:dyDescent="0.25">
      <c r="A392" s="5">
        <v>44201</v>
      </c>
      <c r="B392">
        <v>27.969000000000001</v>
      </c>
      <c r="C392">
        <v>31.817</v>
      </c>
      <c r="D392">
        <v>26.6</v>
      </c>
      <c r="E392">
        <v>28.353999999999999</v>
      </c>
      <c r="F392">
        <v>63894.442000000003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-0.32758290205098783</v>
      </c>
      <c r="Q392">
        <f t="shared" si="975"/>
        <v>-20930.726735288525</v>
      </c>
      <c r="R392">
        <f t="shared" si="976"/>
        <v>-772894.84519791533</v>
      </c>
      <c r="S392">
        <f t="shared" si="977"/>
        <v>-7.7289484519791536</v>
      </c>
      <c r="T392">
        <f t="shared" si="978"/>
        <v>-7.728948451979154E-3</v>
      </c>
    </row>
    <row r="393" spans="1:20" x14ac:dyDescent="0.25">
      <c r="A393" s="5">
        <v>44200</v>
      </c>
      <c r="B393">
        <v>24.036999999999999</v>
      </c>
      <c r="C393">
        <v>28.5</v>
      </c>
      <c r="D393">
        <v>21.452999999999999</v>
      </c>
      <c r="E393">
        <v>27.98</v>
      </c>
      <c r="F393">
        <v>58949.392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0.85241946927770695</v>
      </c>
      <c r="Q393">
        <f t="shared" si="975"/>
        <v>50249.609442883506</v>
      </c>
      <c r="R393">
        <f t="shared" si="976"/>
        <v>-751964.11846262682</v>
      </c>
      <c r="S393">
        <f t="shared" si="977"/>
        <v>-7.5196411846262681</v>
      </c>
      <c r="T393">
        <f t="shared" si="978"/>
        <v>-7.5196411846262679E-3</v>
      </c>
    </row>
    <row r="394" spans="1:20" x14ac:dyDescent="0.25">
      <c r="A394" s="5">
        <v>44199</v>
      </c>
      <c r="B394">
        <v>22.63</v>
      </c>
      <c r="C394">
        <v>24.486000000000001</v>
      </c>
      <c r="D394">
        <v>22.231999999999999</v>
      </c>
      <c r="E394">
        <v>24.097999999999999</v>
      </c>
      <c r="F394">
        <v>31820.748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0.65572315882874765</v>
      </c>
      <c r="Q394">
        <f t="shared" si="975"/>
        <v>20865.601394853555</v>
      </c>
      <c r="R394">
        <f t="shared" si="976"/>
        <v>-802213.72790551034</v>
      </c>
      <c r="S394">
        <f t="shared" si="977"/>
        <v>-8.0221372790551033</v>
      </c>
      <c r="T394">
        <f t="shared" si="978"/>
        <v>-8.022137279055104E-3</v>
      </c>
    </row>
    <row r="395" spans="1:20" x14ac:dyDescent="0.25">
      <c r="A395" s="5">
        <v>44198</v>
      </c>
      <c r="B395">
        <v>22.925000000000001</v>
      </c>
      <c r="C395">
        <v>23.187000000000001</v>
      </c>
      <c r="D395">
        <v>22.2</v>
      </c>
      <c r="E395">
        <v>22.620999999999999</v>
      </c>
      <c r="F395">
        <v>19696.276000000002</v>
      </c>
      <c r="G395">
        <v>0</v>
      </c>
      <c r="L395" t="s">
        <v>7</v>
      </c>
      <c r="M395" t="s">
        <v>8</v>
      </c>
      <c r="N395" t="s">
        <v>7</v>
      </c>
      <c r="P395">
        <f t="shared" si="974"/>
        <v>-0.14690982776089448</v>
      </c>
      <c r="Q395">
        <f t="shared" si="975"/>
        <v>-2893.5765146910398</v>
      </c>
      <c r="R395">
        <f t="shared" si="976"/>
        <v>-823079.3293003639</v>
      </c>
      <c r="S395">
        <f t="shared" si="977"/>
        <v>-8.2307932930036394</v>
      </c>
      <c r="T395">
        <f t="shared" si="978"/>
        <v>-8.2307932930036388E-3</v>
      </c>
    </row>
    <row r="396" spans="1:20" x14ac:dyDescent="0.25">
      <c r="A396" s="5">
        <v>44197</v>
      </c>
      <c r="B396">
        <v>22.385999999999999</v>
      </c>
      <c r="C396">
        <v>23.9</v>
      </c>
      <c r="D396">
        <v>22.167999999999999</v>
      </c>
      <c r="E396">
        <v>22.925999999999998</v>
      </c>
      <c r="F396">
        <v>8985.1749999999993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-0.12471131639722931</v>
      </c>
      <c r="Q396">
        <f t="shared" si="975"/>
        <v>-1120.5530023094748</v>
      </c>
      <c r="R396">
        <f t="shared" si="976"/>
        <v>-820185.7527856729</v>
      </c>
      <c r="S396">
        <f t="shared" si="977"/>
        <v>-8.2018575278567294</v>
      </c>
      <c r="T396">
        <f t="shared" si="978"/>
        <v>-8.2018575278567287E-3</v>
      </c>
    </row>
    <row r="397" spans="1:20" x14ac:dyDescent="0.25">
      <c r="A397" s="5">
        <v>44196</v>
      </c>
      <c r="B397">
        <v>23.001999999999999</v>
      </c>
      <c r="C397">
        <v>23.515000000000001</v>
      </c>
      <c r="D397">
        <v>22.021000000000001</v>
      </c>
      <c r="E397">
        <v>22.393999999999998</v>
      </c>
      <c r="F397">
        <v>13302.31</v>
      </c>
      <c r="G397">
        <v>0</v>
      </c>
      <c r="L397" t="s">
        <v>7</v>
      </c>
      <c r="M397" t="s">
        <v>8</v>
      </c>
      <c r="N397" t="s">
        <v>7</v>
      </c>
      <c r="P397">
        <f t="shared" si="974"/>
        <v>-0.50066934404284125</v>
      </c>
      <c r="Q397">
        <f t="shared" si="975"/>
        <v>-6660.058821954527</v>
      </c>
      <c r="R397">
        <f t="shared" si="976"/>
        <v>-819065.19978336338</v>
      </c>
      <c r="S397">
        <f t="shared" si="977"/>
        <v>-8.1906519978336334</v>
      </c>
      <c r="T397">
        <f t="shared" si="978"/>
        <v>-8.1906519978336336E-3</v>
      </c>
    </row>
    <row r="398" spans="1:20" x14ac:dyDescent="0.25">
      <c r="A398" s="5">
        <v>44195</v>
      </c>
      <c r="B398">
        <v>23.524999999999999</v>
      </c>
      <c r="C398">
        <v>23.605</v>
      </c>
      <c r="D398">
        <v>22.940999999999999</v>
      </c>
      <c r="E398">
        <v>23.056000000000001</v>
      </c>
      <c r="F398">
        <v>7564.4229999999998</v>
      </c>
      <c r="G398">
        <v>0</v>
      </c>
      <c r="L398" t="s">
        <v>7</v>
      </c>
      <c r="M398" t="s">
        <v>8</v>
      </c>
      <c r="N398" t="s">
        <v>7</v>
      </c>
      <c r="P398">
        <f t="shared" si="974"/>
        <v>-0.65361445783132011</v>
      </c>
      <c r="Q398">
        <f t="shared" si="975"/>
        <v>-4944.2162379517677</v>
      </c>
      <c r="R398">
        <f t="shared" si="976"/>
        <v>-812405.14096140885</v>
      </c>
      <c r="S398">
        <f t="shared" si="977"/>
        <v>-8.1240514096140881</v>
      </c>
      <c r="T398">
        <f t="shared" si="978"/>
        <v>-8.1240514096140876E-3</v>
      </c>
    </row>
    <row r="399" spans="1:20" x14ac:dyDescent="0.25">
      <c r="A399" s="5">
        <v>44194</v>
      </c>
      <c r="B399">
        <v>23.948</v>
      </c>
      <c r="C399">
        <v>24.361999999999998</v>
      </c>
      <c r="D399">
        <v>22.7</v>
      </c>
      <c r="E399">
        <v>23.513999999999999</v>
      </c>
      <c r="F399">
        <v>7251.43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-2.0457280385077582E-2</v>
      </c>
      <c r="Q399">
        <f t="shared" si="975"/>
        <v>-148.34453670276315</v>
      </c>
      <c r="R399">
        <f t="shared" si="976"/>
        <v>-807460.92472345708</v>
      </c>
      <c r="S399">
        <f t="shared" si="977"/>
        <v>-8.0746092472345712</v>
      </c>
      <c r="T399">
        <f t="shared" si="978"/>
        <v>-8.0746092472345713E-3</v>
      </c>
    </row>
    <row r="400" spans="1:20" x14ac:dyDescent="0.25">
      <c r="A400" s="5">
        <v>44193</v>
      </c>
      <c r="B400">
        <v>23.484999999999999</v>
      </c>
      <c r="C400">
        <v>25.609000000000002</v>
      </c>
      <c r="D400">
        <v>23.3</v>
      </c>
      <c r="E400">
        <v>24.030999999999999</v>
      </c>
      <c r="F400">
        <v>30314.578000000001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-0.36682546556951257</v>
      </c>
      <c r="Q400">
        <f t="shared" si="975"/>
        <v>-11120.159188393303</v>
      </c>
      <c r="R400">
        <f t="shared" si="976"/>
        <v>-807312.58018675435</v>
      </c>
      <c r="S400">
        <f t="shared" si="977"/>
        <v>-8.073125801867544</v>
      </c>
      <c r="T400">
        <f t="shared" si="978"/>
        <v>-8.0731258018675433E-3</v>
      </c>
    </row>
    <row r="401" spans="1:20" x14ac:dyDescent="0.25">
      <c r="A401" s="5">
        <v>44192</v>
      </c>
      <c r="B401">
        <v>23.54</v>
      </c>
      <c r="C401">
        <v>24.36</v>
      </c>
      <c r="D401">
        <v>22.105</v>
      </c>
      <c r="E401">
        <v>23.577999999999999</v>
      </c>
      <c r="F401">
        <v>28285.271000000001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0.30643015521064271</v>
      </c>
      <c r="Q401">
        <f t="shared" si="975"/>
        <v>8667.4599827050915</v>
      </c>
      <c r="R401">
        <f t="shared" si="976"/>
        <v>-796192.42099836108</v>
      </c>
      <c r="S401">
        <f t="shared" si="977"/>
        <v>-7.9619242099836107</v>
      </c>
      <c r="T401">
        <f t="shared" si="978"/>
        <v>-7.9619242099836108E-3</v>
      </c>
    </row>
    <row r="402" spans="1:20" x14ac:dyDescent="0.25">
      <c r="A402" s="5">
        <v>44191</v>
      </c>
      <c r="B402">
        <v>24.067</v>
      </c>
      <c r="C402">
        <v>25.344999999999999</v>
      </c>
      <c r="D402">
        <v>22</v>
      </c>
      <c r="E402">
        <v>23.582000000000001</v>
      </c>
      <c r="F402">
        <v>28826.368999999999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-5.4110612855006714E-2</v>
      </c>
      <c r="Q402">
        <f t="shared" si="975"/>
        <v>-1559.812492974567</v>
      </c>
      <c r="R402">
        <f t="shared" si="976"/>
        <v>-804859.88098106615</v>
      </c>
      <c r="S402">
        <f t="shared" si="977"/>
        <v>-8.0485988098106613</v>
      </c>
      <c r="T402">
        <f t="shared" si="978"/>
        <v>-8.0485988098106618E-3</v>
      </c>
    </row>
    <row r="403" spans="1:20" x14ac:dyDescent="0.25">
      <c r="A403" s="5">
        <v>44190</v>
      </c>
      <c r="B403">
        <v>23.86</v>
      </c>
      <c r="C403">
        <v>24.809000000000001</v>
      </c>
      <c r="D403">
        <v>23.064</v>
      </c>
      <c r="E403">
        <v>24.067</v>
      </c>
      <c r="F403">
        <v>15806.03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0.14957020057306539</v>
      </c>
      <c r="Q403">
        <f t="shared" si="975"/>
        <v>2364.1110773638889</v>
      </c>
      <c r="R403">
        <f t="shared" si="976"/>
        <v>-803300.06848809158</v>
      </c>
      <c r="S403">
        <f t="shared" si="977"/>
        <v>-8.0330006848809159</v>
      </c>
      <c r="T403">
        <f t="shared" si="978"/>
        <v>-8.0330006848809161E-3</v>
      </c>
    </row>
    <row r="404" spans="1:20" x14ac:dyDescent="0.25">
      <c r="A404" s="5">
        <v>44189</v>
      </c>
      <c r="B404">
        <v>22.109000000000002</v>
      </c>
      <c r="C404">
        <v>24.88</v>
      </c>
      <c r="D404">
        <v>21.298999999999999</v>
      </c>
      <c r="E404">
        <v>23.902000000000001</v>
      </c>
      <c r="F404">
        <v>40053.35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0.45378385925719178</v>
      </c>
      <c r="Q404">
        <f t="shared" si="975"/>
        <v>18175.563739179041</v>
      </c>
      <c r="R404">
        <f t="shared" si="976"/>
        <v>-805664.17956545542</v>
      </c>
      <c r="S404">
        <f t="shared" si="977"/>
        <v>-8.0566417956545546</v>
      </c>
      <c r="T404">
        <f t="shared" si="978"/>
        <v>-8.0566417956545542E-3</v>
      </c>
    </row>
    <row r="405" spans="1:20" x14ac:dyDescent="0.25">
      <c r="A405" s="5">
        <v>44188</v>
      </c>
      <c r="B405">
        <v>25.247</v>
      </c>
      <c r="C405">
        <v>26.4</v>
      </c>
      <c r="D405">
        <v>22.109000000000002</v>
      </c>
      <c r="E405">
        <v>22.123000000000001</v>
      </c>
      <c r="F405">
        <v>35753.366999999998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-0.99347471451876046</v>
      </c>
      <c r="Q405">
        <f t="shared" si="975"/>
        <v>-35520.066073409471</v>
      </c>
      <c r="R405">
        <f t="shared" si="976"/>
        <v>-823839.74330463447</v>
      </c>
      <c r="S405">
        <f t="shared" si="977"/>
        <v>-8.2383974330463445</v>
      </c>
      <c r="T405">
        <f t="shared" si="978"/>
        <v>-8.238397433046345E-3</v>
      </c>
    </row>
    <row r="406" spans="1:20" x14ac:dyDescent="0.25">
      <c r="A406" s="5">
        <v>44187</v>
      </c>
      <c r="B406">
        <v>25.509</v>
      </c>
      <c r="C406">
        <v>26.5</v>
      </c>
      <c r="D406">
        <v>24.978000000000002</v>
      </c>
      <c r="E406">
        <v>25.257000000000001</v>
      </c>
      <c r="F406">
        <v>18069.905999999999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-0.63337713534822571</v>
      </c>
      <c r="Q406">
        <f t="shared" si="975"/>
        <v>-11445.065298291714</v>
      </c>
      <c r="R406">
        <f t="shared" si="976"/>
        <v>-788319.67723122495</v>
      </c>
      <c r="S406">
        <f t="shared" si="977"/>
        <v>-7.8831967723122496</v>
      </c>
      <c r="T406">
        <f t="shared" si="978"/>
        <v>-7.8831967723122492E-3</v>
      </c>
    </row>
    <row r="407" spans="1:20" x14ac:dyDescent="0.25">
      <c r="A407" s="5">
        <v>44186</v>
      </c>
      <c r="B407">
        <v>26.952000000000002</v>
      </c>
      <c r="C407">
        <v>27.798999999999999</v>
      </c>
      <c r="D407">
        <v>25.5</v>
      </c>
      <c r="E407">
        <v>25.509</v>
      </c>
      <c r="F407">
        <v>22038.856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-0.99217050891692005</v>
      </c>
      <c r="Q407">
        <f t="shared" si="975"/>
        <v>-21866.302973466718</v>
      </c>
      <c r="R407">
        <f t="shared" si="976"/>
        <v>-776874.61193293321</v>
      </c>
      <c r="S407">
        <f t="shared" si="977"/>
        <v>-7.7687461193293323</v>
      </c>
      <c r="T407">
        <f t="shared" si="978"/>
        <v>-7.768746119329332E-3</v>
      </c>
    </row>
    <row r="408" spans="1:20" x14ac:dyDescent="0.25">
      <c r="A408" s="5">
        <v>44185</v>
      </c>
      <c r="B408">
        <v>29.225000000000001</v>
      </c>
      <c r="C408">
        <v>29.225999999999999</v>
      </c>
      <c r="D408">
        <v>25.975000000000001</v>
      </c>
      <c r="E408">
        <v>27.018999999999998</v>
      </c>
      <c r="F408">
        <v>49743.552000000003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-0.35773608120578426</v>
      </c>
      <c r="Q408">
        <f t="shared" si="975"/>
        <v>-17795.063357736155</v>
      </c>
      <c r="R408">
        <f t="shared" si="976"/>
        <v>-755008.30895946652</v>
      </c>
      <c r="S408">
        <f t="shared" si="977"/>
        <v>-7.5500830895946649</v>
      </c>
      <c r="T408">
        <f t="shared" si="978"/>
        <v>-7.550083089594665E-3</v>
      </c>
    </row>
    <row r="409" spans="1:20" x14ac:dyDescent="0.25">
      <c r="A409" s="5">
        <v>44184</v>
      </c>
      <c r="B409">
        <v>27.052</v>
      </c>
      <c r="C409">
        <v>31.024000000000001</v>
      </c>
      <c r="D409">
        <v>26.561</v>
      </c>
      <c r="E409">
        <v>29.225000000000001</v>
      </c>
      <c r="F409">
        <v>77506.922000000006</v>
      </c>
      <c r="G409">
        <v>0</v>
      </c>
      <c r="L409" t="s">
        <v>8</v>
      </c>
      <c r="M409" t="s">
        <v>7</v>
      </c>
      <c r="N409" t="s">
        <v>7</v>
      </c>
      <c r="P409">
        <f t="shared" si="974"/>
        <v>0.1938158189558597</v>
      </c>
      <c r="Q409">
        <f t="shared" si="975"/>
        <v>15022.067562177941</v>
      </c>
      <c r="R409">
        <f t="shared" si="976"/>
        <v>-737213.24560173042</v>
      </c>
      <c r="S409">
        <f t="shared" si="977"/>
        <v>-7.3721324560173045</v>
      </c>
      <c r="T409">
        <f t="shared" si="978"/>
        <v>-7.3721324560173046E-3</v>
      </c>
    </row>
    <row r="410" spans="1:20" x14ac:dyDescent="0.25">
      <c r="A410" s="5">
        <v>44183</v>
      </c>
      <c r="B410">
        <v>27.283000000000001</v>
      </c>
      <c r="C410">
        <v>28.5</v>
      </c>
      <c r="D410">
        <v>26.332000000000001</v>
      </c>
      <c r="E410">
        <v>27.114999999999998</v>
      </c>
      <c r="F410">
        <v>35406.784</v>
      </c>
      <c r="G410">
        <v>0</v>
      </c>
      <c r="L410" t="s">
        <v>8</v>
      </c>
      <c r="M410" t="s">
        <v>7</v>
      </c>
      <c r="N410" t="s">
        <v>7</v>
      </c>
      <c r="P410">
        <f t="shared" si="974"/>
        <v>-0.27767527675276943</v>
      </c>
      <c r="Q410">
        <f t="shared" si="975"/>
        <v>-9831.5885461255293</v>
      </c>
      <c r="R410">
        <f t="shared" si="976"/>
        <v>-752235.31316390831</v>
      </c>
      <c r="S410">
        <f t="shared" si="977"/>
        <v>-7.5223531316390835</v>
      </c>
      <c r="T410">
        <f t="shared" si="978"/>
        <v>-7.5223531316390832E-3</v>
      </c>
    </row>
    <row r="411" spans="1:20" x14ac:dyDescent="0.25">
      <c r="A411" s="5">
        <v>44182</v>
      </c>
      <c r="B411">
        <v>27.126000000000001</v>
      </c>
      <c r="C411">
        <v>28.280999999999999</v>
      </c>
      <c r="D411">
        <v>26.5</v>
      </c>
      <c r="E411">
        <v>27.283000000000001</v>
      </c>
      <c r="F411">
        <v>41588.752999999997</v>
      </c>
      <c r="G411">
        <v>0</v>
      </c>
      <c r="L411" t="s">
        <v>7</v>
      </c>
      <c r="M411" t="s">
        <v>7</v>
      </c>
      <c r="N411" t="s">
        <v>7</v>
      </c>
      <c r="P411">
        <f t="shared" si="974"/>
        <v>-0.12071869736103114</v>
      </c>
      <c r="Q411">
        <f t="shared" si="975"/>
        <v>-5020.5400870296753</v>
      </c>
      <c r="R411">
        <f t="shared" si="976"/>
        <v>-742403.72461778275</v>
      </c>
      <c r="S411">
        <f t="shared" si="977"/>
        <v>-7.4240372461778277</v>
      </c>
      <c r="T411">
        <f t="shared" si="978"/>
        <v>-7.4240372461778278E-3</v>
      </c>
    </row>
    <row r="412" spans="1:20" x14ac:dyDescent="0.25">
      <c r="A412" s="5">
        <v>44181</v>
      </c>
      <c r="B412">
        <v>27.088000000000001</v>
      </c>
      <c r="C412">
        <v>27.795000000000002</v>
      </c>
      <c r="D412">
        <v>26.283999999999999</v>
      </c>
      <c r="E412">
        <v>27.167000000000002</v>
      </c>
      <c r="F412">
        <v>30992.764999999999</v>
      </c>
      <c r="G412">
        <v>0</v>
      </c>
      <c r="L412" t="s">
        <v>7</v>
      </c>
      <c r="M412" t="s">
        <v>7</v>
      </c>
      <c r="N412" t="s">
        <v>7</v>
      </c>
      <c r="P412">
        <f t="shared" si="974"/>
        <v>0.16876240900066319</v>
      </c>
      <c r="Q412">
        <f t="shared" si="975"/>
        <v>5230.4136829914387</v>
      </c>
      <c r="R412">
        <f t="shared" si="976"/>
        <v>-737383.18453075306</v>
      </c>
      <c r="S412">
        <f t="shared" si="977"/>
        <v>-7.3738318453075307</v>
      </c>
      <c r="T412">
        <f t="shared" si="978"/>
        <v>-7.3738318453075305E-3</v>
      </c>
    </row>
    <row r="413" spans="1:20" x14ac:dyDescent="0.25">
      <c r="A413" s="5">
        <v>44180</v>
      </c>
      <c r="B413">
        <v>28.645</v>
      </c>
      <c r="C413">
        <v>28.85</v>
      </c>
      <c r="D413">
        <v>27</v>
      </c>
      <c r="E413">
        <v>27.158999999999999</v>
      </c>
      <c r="F413">
        <v>28441.375</v>
      </c>
      <c r="G413">
        <v>0</v>
      </c>
      <c r="L413" t="s">
        <v>7</v>
      </c>
      <c r="M413" t="s">
        <v>7</v>
      </c>
      <c r="N413" t="s">
        <v>7</v>
      </c>
      <c r="P413">
        <f t="shared" si="974"/>
        <v>-0.82810810810810942</v>
      </c>
      <c r="Q413">
        <f t="shared" si="975"/>
        <v>-23552.533243243281</v>
      </c>
      <c r="R413">
        <f t="shared" si="976"/>
        <v>-742613.59821374447</v>
      </c>
      <c r="S413">
        <f t="shared" si="977"/>
        <v>-7.4261359821374446</v>
      </c>
      <c r="T413">
        <f t="shared" si="978"/>
        <v>-7.4261359821374447E-3</v>
      </c>
    </row>
    <row r="414" spans="1:20" x14ac:dyDescent="0.25">
      <c r="A414" s="5">
        <v>44179</v>
      </c>
      <c r="B414">
        <v>29.19</v>
      </c>
      <c r="C414">
        <v>30.234000000000002</v>
      </c>
      <c r="D414">
        <v>27.318999999999999</v>
      </c>
      <c r="E414">
        <v>28.619</v>
      </c>
      <c r="F414">
        <v>51462.394</v>
      </c>
      <c r="G414">
        <v>0</v>
      </c>
      <c r="L414" t="s">
        <v>7</v>
      </c>
      <c r="M414" t="s">
        <v>7</v>
      </c>
      <c r="N414" t="s">
        <v>7</v>
      </c>
      <c r="P414">
        <f t="shared" si="974"/>
        <v>-0.10806174957118388</v>
      </c>
      <c r="Q414">
        <f t="shared" si="975"/>
        <v>-5561.1163327615959</v>
      </c>
      <c r="R414">
        <f t="shared" si="976"/>
        <v>-719061.06497050123</v>
      </c>
      <c r="S414">
        <f t="shared" si="977"/>
        <v>-7.190610649705012</v>
      </c>
      <c r="T414">
        <f t="shared" si="978"/>
        <v>-7.1906106497050121E-3</v>
      </c>
    </row>
    <row r="415" spans="1:20" x14ac:dyDescent="0.25">
      <c r="A415" s="5">
        <v>44178</v>
      </c>
      <c r="B415">
        <v>26.452000000000002</v>
      </c>
      <c r="C415">
        <v>33.997999999999998</v>
      </c>
      <c r="D415">
        <v>26.369</v>
      </c>
      <c r="E415">
        <v>29.178999999999998</v>
      </c>
      <c r="F415">
        <v>120128.955</v>
      </c>
      <c r="G415">
        <v>0</v>
      </c>
      <c r="L415" t="s">
        <v>8</v>
      </c>
      <c r="M415" t="s">
        <v>8</v>
      </c>
      <c r="N415" t="s">
        <v>7</v>
      </c>
      <c r="P415">
        <f t="shared" si="974"/>
        <v>-0.26333726569668381</v>
      </c>
      <c r="Q415">
        <f t="shared" si="975"/>
        <v>-31634.430540699974</v>
      </c>
      <c r="R415">
        <f t="shared" si="976"/>
        <v>-713499.94863773964</v>
      </c>
      <c r="S415">
        <f t="shared" si="977"/>
        <v>-7.1349994863773967</v>
      </c>
      <c r="T415">
        <f t="shared" si="978"/>
        <v>-7.1349994863773971E-3</v>
      </c>
    </row>
    <row r="416" spans="1:20" x14ac:dyDescent="0.25">
      <c r="A416" s="5">
        <v>44177</v>
      </c>
      <c r="B416">
        <v>26.344999999999999</v>
      </c>
      <c r="C416">
        <v>27.998999999999999</v>
      </c>
      <c r="D416">
        <v>26.053000000000001</v>
      </c>
      <c r="E416">
        <v>26.504999999999999</v>
      </c>
      <c r="F416">
        <v>13811.052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-0.53545734840699011</v>
      </c>
      <c r="Q416">
        <f t="shared" si="975"/>
        <v>-7395.2292826310577</v>
      </c>
      <c r="R416">
        <f t="shared" si="976"/>
        <v>-681865.51809703966</v>
      </c>
      <c r="S416">
        <f t="shared" si="977"/>
        <v>-6.8186551809703966</v>
      </c>
      <c r="T416">
        <f t="shared" si="978"/>
        <v>-6.8186551809703965E-3</v>
      </c>
    </row>
    <row r="417" spans="1:20" x14ac:dyDescent="0.25">
      <c r="A417" s="5">
        <v>44176</v>
      </c>
      <c r="B417">
        <v>26.917000000000002</v>
      </c>
      <c r="C417">
        <v>30.048999999999999</v>
      </c>
      <c r="D417">
        <v>25.196999999999999</v>
      </c>
      <c r="E417">
        <v>26.309000000000001</v>
      </c>
      <c r="F417">
        <v>44792.464999999997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-0.54163231657048561</v>
      </c>
      <c r="Q417">
        <f t="shared" si="975"/>
        <v>-24261.046582852396</v>
      </c>
      <c r="R417">
        <f t="shared" si="976"/>
        <v>-674470.28881440859</v>
      </c>
      <c r="S417">
        <f t="shared" si="977"/>
        <v>-6.7447028881440856</v>
      </c>
      <c r="T417">
        <f t="shared" si="978"/>
        <v>-6.7447028881440852E-3</v>
      </c>
    </row>
    <row r="418" spans="1:20" x14ac:dyDescent="0.25">
      <c r="A418" s="5">
        <v>44175</v>
      </c>
      <c r="B418">
        <v>28.547999999999998</v>
      </c>
      <c r="C418">
        <v>28.547999999999998</v>
      </c>
      <c r="D418">
        <v>26.484000000000002</v>
      </c>
      <c r="E418">
        <v>26.812999999999999</v>
      </c>
      <c r="F418">
        <v>18700.12</v>
      </c>
      <c r="G418">
        <v>0</v>
      </c>
      <c r="L418" t="s">
        <v>7</v>
      </c>
      <c r="M418" t="s">
        <v>7</v>
      </c>
      <c r="N418" t="s">
        <v>7</v>
      </c>
      <c r="P418">
        <f t="shared" si="974"/>
        <v>-0.68120155038759922</v>
      </c>
      <c r="Q418">
        <f t="shared" si="975"/>
        <v>-12738.550736434152</v>
      </c>
      <c r="R418">
        <f t="shared" si="976"/>
        <v>-650209.24223155621</v>
      </c>
      <c r="S418">
        <f t="shared" si="977"/>
        <v>-6.5020924223155623</v>
      </c>
      <c r="T418">
        <f t="shared" si="978"/>
        <v>-6.502092422315562E-3</v>
      </c>
    </row>
    <row r="419" spans="1:20" x14ac:dyDescent="0.25">
      <c r="A419" s="5">
        <v>44174</v>
      </c>
      <c r="B419">
        <v>28.439</v>
      </c>
      <c r="C419">
        <v>29.494</v>
      </c>
      <c r="D419">
        <v>27.027999999999999</v>
      </c>
      <c r="E419">
        <v>28.547999999999998</v>
      </c>
      <c r="F419">
        <v>19226.718000000001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0.23276561232765525</v>
      </c>
      <c r="Q419">
        <f t="shared" si="975"/>
        <v>4475.3187883211513</v>
      </c>
      <c r="R419">
        <f t="shared" si="976"/>
        <v>-637470.69149512204</v>
      </c>
      <c r="S419">
        <f t="shared" si="977"/>
        <v>-6.3747069149512203</v>
      </c>
      <c r="T419">
        <f t="shared" si="978"/>
        <v>-6.3747069149512206E-3</v>
      </c>
    </row>
    <row r="420" spans="1:20" x14ac:dyDescent="0.25">
      <c r="A420" s="5">
        <v>44173</v>
      </c>
      <c r="B420">
        <v>30.379000000000001</v>
      </c>
      <c r="C420">
        <v>31.696999999999999</v>
      </c>
      <c r="D420">
        <v>27.881</v>
      </c>
      <c r="E420">
        <v>28.408999999999999</v>
      </c>
      <c r="F420">
        <v>28678.850999999999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-0.72327044025157294</v>
      </c>
      <c r="Q420">
        <f t="shared" si="975"/>
        <v>-20742.565188679262</v>
      </c>
      <c r="R420">
        <f t="shared" si="976"/>
        <v>-641946.01028344315</v>
      </c>
      <c r="S420">
        <f t="shared" si="977"/>
        <v>-6.4194601028344316</v>
      </c>
      <c r="T420">
        <f t="shared" si="978"/>
        <v>-6.4194601028344312E-3</v>
      </c>
    </row>
    <row r="421" spans="1:20" x14ac:dyDescent="0.25">
      <c r="A421" s="5">
        <v>44172</v>
      </c>
      <c r="B421">
        <v>31.117999999999999</v>
      </c>
      <c r="C421">
        <v>31.998000000000001</v>
      </c>
      <c r="D421">
        <v>30.210999999999999</v>
      </c>
      <c r="E421">
        <v>30.393999999999998</v>
      </c>
      <c r="F421">
        <v>14142.615</v>
      </c>
      <c r="G421">
        <v>0</v>
      </c>
      <c r="L421" t="s">
        <v>7</v>
      </c>
      <c r="M421" t="s">
        <v>8</v>
      </c>
      <c r="N421" t="s">
        <v>7</v>
      </c>
      <c r="P421">
        <f t="shared" si="974"/>
        <v>-0.79518746502518234</v>
      </c>
      <c r="Q421">
        <f t="shared" si="975"/>
        <v>-11246.030170677119</v>
      </c>
      <c r="R421">
        <f t="shared" si="976"/>
        <v>-621203.44509476388</v>
      </c>
      <c r="S421">
        <f t="shared" si="977"/>
        <v>-6.2120344509476384</v>
      </c>
      <c r="T421">
        <f t="shared" si="978"/>
        <v>-6.2120344509476386E-3</v>
      </c>
    </row>
    <row r="422" spans="1:20" x14ac:dyDescent="0.25">
      <c r="A422" s="5">
        <v>44171</v>
      </c>
      <c r="B422">
        <v>31.260999999999999</v>
      </c>
      <c r="C422">
        <v>34.243000000000002</v>
      </c>
      <c r="D422">
        <v>30.582000000000001</v>
      </c>
      <c r="E422">
        <v>31.181000000000001</v>
      </c>
      <c r="F422">
        <v>44232.357000000004</v>
      </c>
      <c r="G422">
        <v>0</v>
      </c>
      <c r="L422" t="s">
        <v>8</v>
      </c>
      <c r="M422" t="s">
        <v>8</v>
      </c>
      <c r="N422" t="s">
        <v>7</v>
      </c>
      <c r="P422">
        <f t="shared" si="974"/>
        <v>-0.67276700355094243</v>
      </c>
      <c r="Q422">
        <f t="shared" si="975"/>
        <v>-29758.070278885556</v>
      </c>
      <c r="R422">
        <f t="shared" si="976"/>
        <v>-609957.41492408677</v>
      </c>
      <c r="S422">
        <f t="shared" si="977"/>
        <v>-6.0995741492408673</v>
      </c>
      <c r="T422">
        <f t="shared" si="978"/>
        <v>-6.099574149240867E-3</v>
      </c>
    </row>
    <row r="423" spans="1:20" x14ac:dyDescent="0.25">
      <c r="A423" s="5">
        <v>44170</v>
      </c>
      <c r="B423">
        <v>29.99</v>
      </c>
      <c r="C423">
        <v>35.5</v>
      </c>
      <c r="D423">
        <v>27.78</v>
      </c>
      <c r="E423">
        <v>31.35</v>
      </c>
      <c r="F423">
        <v>58813.853000000003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-7.5129533678756272E-2</v>
      </c>
      <c r="Q423">
        <f t="shared" si="975"/>
        <v>-4418.6573497409208</v>
      </c>
      <c r="R423">
        <f t="shared" si="976"/>
        <v>-580199.34464520123</v>
      </c>
      <c r="S423">
        <f t="shared" si="977"/>
        <v>-5.8019934464520126</v>
      </c>
      <c r="T423">
        <f t="shared" si="978"/>
        <v>-5.8019934464520126E-3</v>
      </c>
    </row>
    <row r="424" spans="1:20" x14ac:dyDescent="0.25">
      <c r="A424" s="5">
        <v>44169</v>
      </c>
      <c r="B424">
        <v>31.375</v>
      </c>
      <c r="C424">
        <v>31.896999999999998</v>
      </c>
      <c r="D424">
        <v>29.327999999999999</v>
      </c>
      <c r="E424">
        <v>29.963999999999999</v>
      </c>
      <c r="F424">
        <v>20692.099999999999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-0.50486570650058427</v>
      </c>
      <c r="Q424">
        <f t="shared" si="975"/>
        <v>-10446.73168548074</v>
      </c>
      <c r="R424">
        <f t="shared" si="976"/>
        <v>-575780.68729546026</v>
      </c>
      <c r="S424">
        <f t="shared" si="977"/>
        <v>-5.7578068729546024</v>
      </c>
      <c r="T424">
        <f t="shared" si="978"/>
        <v>-5.7578068729546026E-3</v>
      </c>
    </row>
    <row r="425" spans="1:20" x14ac:dyDescent="0.25">
      <c r="A425" s="5">
        <v>44168</v>
      </c>
      <c r="B425">
        <v>31.67</v>
      </c>
      <c r="C425">
        <v>33.49</v>
      </c>
      <c r="D425">
        <v>31.14</v>
      </c>
      <c r="E425">
        <v>31.38</v>
      </c>
      <c r="F425">
        <v>26906.879000000001</v>
      </c>
      <c r="G425">
        <v>0</v>
      </c>
      <c r="L425" t="s">
        <v>8</v>
      </c>
      <c r="M425" t="s">
        <v>7</v>
      </c>
      <c r="N425" t="s">
        <v>8</v>
      </c>
      <c r="P425">
        <f t="shared" si="974"/>
        <v>-0.79574468085106531</v>
      </c>
      <c r="Q425">
        <f t="shared" si="975"/>
        <v>-21411.005842553233</v>
      </c>
      <c r="R425">
        <f t="shared" si="976"/>
        <v>-565333.95560997957</v>
      </c>
      <c r="S425">
        <f t="shared" si="977"/>
        <v>-5.6533395560997954</v>
      </c>
      <c r="T425">
        <f t="shared" si="978"/>
        <v>-5.6533395560997958E-3</v>
      </c>
    </row>
    <row r="426" spans="1:20" x14ac:dyDescent="0.25">
      <c r="A426" s="5">
        <v>44167</v>
      </c>
      <c r="B426">
        <v>31.295999999999999</v>
      </c>
      <c r="C426">
        <v>32.701999999999998</v>
      </c>
      <c r="D426">
        <v>30.916</v>
      </c>
      <c r="E426">
        <v>31.67</v>
      </c>
      <c r="F426">
        <v>14981.641</v>
      </c>
      <c r="G426">
        <v>0</v>
      </c>
      <c r="L426" t="s">
        <v>7</v>
      </c>
      <c r="M426" t="s">
        <v>7</v>
      </c>
      <c r="N426" t="s">
        <v>8</v>
      </c>
      <c r="P426">
        <f t="shared" si="974"/>
        <v>-0.15565509518476792</v>
      </c>
      <c r="Q426">
        <f t="shared" si="975"/>
        <v>-2331.9687558790215</v>
      </c>
      <c r="R426">
        <f t="shared" si="976"/>
        <v>-543922.94976742635</v>
      </c>
      <c r="S426">
        <f t="shared" si="977"/>
        <v>-5.4392294976742637</v>
      </c>
      <c r="T426">
        <f t="shared" si="978"/>
        <v>-5.4392294976742641E-3</v>
      </c>
    </row>
    <row r="427" spans="1:20" x14ac:dyDescent="0.25">
      <c r="A427" s="5">
        <v>44166</v>
      </c>
      <c r="B427">
        <v>33.526000000000003</v>
      </c>
      <c r="C427">
        <v>34.682000000000002</v>
      </c>
      <c r="D427">
        <v>31.084</v>
      </c>
      <c r="E427">
        <v>31.254000000000001</v>
      </c>
      <c r="F427">
        <v>19211.345000000001</v>
      </c>
      <c r="G427">
        <v>0</v>
      </c>
      <c r="L427" t="s">
        <v>7</v>
      </c>
      <c r="M427" t="s">
        <v>7</v>
      </c>
      <c r="N427" t="s">
        <v>8</v>
      </c>
      <c r="P427">
        <f t="shared" si="974"/>
        <v>-0.90550305725402913</v>
      </c>
      <c r="Q427">
        <f t="shared" si="975"/>
        <v>-17395.931631461906</v>
      </c>
      <c r="R427">
        <f t="shared" si="976"/>
        <v>-541590.98101154738</v>
      </c>
      <c r="S427">
        <f t="shared" si="977"/>
        <v>-5.4159098101154735</v>
      </c>
      <c r="T427">
        <f t="shared" si="978"/>
        <v>-5.4159098101154738E-3</v>
      </c>
    </row>
    <row r="428" spans="1:20" x14ac:dyDescent="0.25">
      <c r="A428" s="5">
        <v>44165</v>
      </c>
      <c r="B428">
        <v>35.588000000000001</v>
      </c>
      <c r="C428">
        <v>36.661000000000001</v>
      </c>
      <c r="D428">
        <v>33.049999999999997</v>
      </c>
      <c r="E428">
        <v>33.534999999999997</v>
      </c>
      <c r="F428">
        <v>22548.405999999999</v>
      </c>
      <c r="G428">
        <v>0</v>
      </c>
      <c r="L428" t="s">
        <v>8</v>
      </c>
      <c r="M428" t="s">
        <v>7</v>
      </c>
      <c r="N428" t="s">
        <v>8</v>
      </c>
      <c r="P428">
        <f t="shared" si="974"/>
        <v>-0.73137635004154034</v>
      </c>
      <c r="Q428">
        <f t="shared" si="975"/>
        <v>-16491.370879534767</v>
      </c>
      <c r="R428">
        <f t="shared" si="976"/>
        <v>-524195.04938008549</v>
      </c>
      <c r="S428">
        <f t="shared" si="977"/>
        <v>-5.2419504938008545</v>
      </c>
      <c r="T428">
        <f t="shared" si="978"/>
        <v>-5.2419504938008548E-3</v>
      </c>
    </row>
    <row r="429" spans="1:20" x14ac:dyDescent="0.25">
      <c r="A429" s="5">
        <v>44164</v>
      </c>
      <c r="B429">
        <v>38.271000000000001</v>
      </c>
      <c r="C429">
        <v>40</v>
      </c>
      <c r="D429">
        <v>32.959000000000003</v>
      </c>
      <c r="E429">
        <v>35.447000000000003</v>
      </c>
      <c r="F429">
        <v>72211.846999999994</v>
      </c>
      <c r="G429">
        <v>0</v>
      </c>
      <c r="L429" t="s">
        <v>7</v>
      </c>
      <c r="M429" t="s">
        <v>7</v>
      </c>
      <c r="N429" t="s">
        <v>8</v>
      </c>
      <c r="P429">
        <f t="shared" si="974"/>
        <v>-0.29328220423235318</v>
      </c>
      <c r="Q429">
        <f t="shared" si="975"/>
        <v>-21178.449659849437</v>
      </c>
      <c r="R429">
        <f t="shared" si="976"/>
        <v>-507703.67850055074</v>
      </c>
      <c r="S429">
        <f t="shared" si="977"/>
        <v>-5.0770367850055074</v>
      </c>
      <c r="T429">
        <f t="shared" si="978"/>
        <v>-5.0770367850055077E-3</v>
      </c>
    </row>
    <row r="430" spans="1:20" x14ac:dyDescent="0.25">
      <c r="A430" s="5">
        <v>44163</v>
      </c>
      <c r="B430">
        <v>27.221</v>
      </c>
      <c r="C430">
        <v>41.345999999999997</v>
      </c>
      <c r="D430">
        <v>27.221</v>
      </c>
      <c r="E430">
        <v>38.299999999999997</v>
      </c>
      <c r="F430">
        <v>197683.97399999999</v>
      </c>
      <c r="G430">
        <v>0</v>
      </c>
      <c r="L430" t="s">
        <v>8</v>
      </c>
      <c r="M430" t="s">
        <v>8</v>
      </c>
      <c r="N430" t="s">
        <v>8</v>
      </c>
      <c r="P430">
        <f t="shared" si="974"/>
        <v>0.56870796460176987</v>
      </c>
      <c r="Q430">
        <f t="shared" si="975"/>
        <v>112424.45048792919</v>
      </c>
      <c r="R430">
        <f t="shared" si="976"/>
        <v>-486525.22884070128</v>
      </c>
      <c r="S430">
        <f t="shared" si="977"/>
        <v>-4.8652522884070128</v>
      </c>
      <c r="T430">
        <f t="shared" si="978"/>
        <v>-4.8652522884070131E-3</v>
      </c>
    </row>
    <row r="431" spans="1:20" x14ac:dyDescent="0.25">
      <c r="A431" s="5">
        <v>44162</v>
      </c>
      <c r="B431">
        <v>28.084</v>
      </c>
      <c r="C431">
        <v>28.17</v>
      </c>
      <c r="D431">
        <v>25.945</v>
      </c>
      <c r="E431">
        <v>27.163</v>
      </c>
      <c r="F431">
        <v>11371.397999999999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9.4831460674156584E-2</v>
      </c>
      <c r="Q431">
        <f t="shared" si="975"/>
        <v>1078.3662822471827</v>
      </c>
      <c r="R431">
        <f t="shared" si="976"/>
        <v>-598949.67932863045</v>
      </c>
      <c r="S431">
        <f t="shared" si="977"/>
        <v>-5.9894967932863041</v>
      </c>
      <c r="T431">
        <f t="shared" si="978"/>
        <v>-5.9894967932863042E-3</v>
      </c>
    </row>
    <row r="432" spans="1:20" x14ac:dyDescent="0.25">
      <c r="A432" s="5">
        <v>44161</v>
      </c>
      <c r="B432">
        <v>29.414000000000001</v>
      </c>
      <c r="C432">
        <v>30.922999999999998</v>
      </c>
      <c r="D432">
        <v>25.989000000000001</v>
      </c>
      <c r="E432">
        <v>28.003</v>
      </c>
      <c r="F432">
        <v>27281.494999999999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-0.18362383461694351</v>
      </c>
      <c r="Q432">
        <f t="shared" si="975"/>
        <v>-5009.532725982971</v>
      </c>
      <c r="R432">
        <f t="shared" si="976"/>
        <v>-600028.04561087769</v>
      </c>
      <c r="S432">
        <f t="shared" si="977"/>
        <v>-6.0002804561087766</v>
      </c>
      <c r="T432">
        <f t="shared" si="978"/>
        <v>-6.0002804561087768E-3</v>
      </c>
    </row>
    <row r="433" spans="1:20" x14ac:dyDescent="0.25">
      <c r="A433" s="5">
        <v>44160</v>
      </c>
      <c r="B433">
        <v>32.886000000000003</v>
      </c>
      <c r="C433">
        <v>32.908999999999999</v>
      </c>
      <c r="D433">
        <v>28.501999999999999</v>
      </c>
      <c r="E433">
        <v>29.626999999999999</v>
      </c>
      <c r="F433">
        <v>16845.452000000001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-0.48944860449285227</v>
      </c>
      <c r="Q433">
        <f t="shared" si="975"/>
        <v>-8244.9829734513278</v>
      </c>
      <c r="R433">
        <f t="shared" si="976"/>
        <v>-595018.51288489474</v>
      </c>
      <c r="S433">
        <f t="shared" si="977"/>
        <v>-5.9501851288489478</v>
      </c>
      <c r="T433">
        <f t="shared" si="978"/>
        <v>-5.9501851288489482E-3</v>
      </c>
    </row>
    <row r="434" spans="1:20" x14ac:dyDescent="0.25">
      <c r="A434" s="5">
        <v>44159</v>
      </c>
      <c r="B434">
        <v>34.009</v>
      </c>
      <c r="C434">
        <v>34.656999999999996</v>
      </c>
      <c r="D434">
        <v>32.100999999999999</v>
      </c>
      <c r="E434">
        <v>32.773000000000003</v>
      </c>
      <c r="F434">
        <v>30750.535</v>
      </c>
      <c r="G434">
        <v>0</v>
      </c>
      <c r="L434" t="s">
        <v>7</v>
      </c>
      <c r="M434" t="s">
        <v>7</v>
      </c>
      <c r="N434" t="s">
        <v>8</v>
      </c>
      <c r="P434">
        <f t="shared" si="974"/>
        <v>-0.47417840375586479</v>
      </c>
      <c r="Q434">
        <f t="shared" si="975"/>
        <v>-14581.239600938852</v>
      </c>
      <c r="R434">
        <f t="shared" si="976"/>
        <v>-586773.52991144336</v>
      </c>
      <c r="S434">
        <f t="shared" si="977"/>
        <v>-5.8677352991144334</v>
      </c>
      <c r="T434">
        <f t="shared" si="978"/>
        <v>-5.8677352991144335E-3</v>
      </c>
    </row>
    <row r="435" spans="1:20" x14ac:dyDescent="0.25">
      <c r="A435" s="5">
        <v>44158</v>
      </c>
      <c r="B435">
        <v>32.460999999999999</v>
      </c>
      <c r="C435">
        <v>39.32</v>
      </c>
      <c r="D435">
        <v>31.599</v>
      </c>
      <c r="E435">
        <v>34.139000000000003</v>
      </c>
      <c r="F435">
        <v>78358.702000000005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-0.34205413806501678</v>
      </c>
      <c r="Q435">
        <f t="shared" si="975"/>
        <v>-26802.918272503506</v>
      </c>
      <c r="R435">
        <f t="shared" si="976"/>
        <v>-572192.2903105045</v>
      </c>
      <c r="S435">
        <f t="shared" si="977"/>
        <v>-5.7219229031050451</v>
      </c>
      <c r="T435">
        <f t="shared" si="978"/>
        <v>-5.7219229031050456E-3</v>
      </c>
    </row>
    <row r="436" spans="1:20" x14ac:dyDescent="0.25">
      <c r="A436" s="5">
        <v>44157</v>
      </c>
      <c r="B436">
        <v>27.178000000000001</v>
      </c>
      <c r="C436">
        <v>41.546999999999997</v>
      </c>
      <c r="D436">
        <v>25.885000000000002</v>
      </c>
      <c r="E436">
        <v>32.472999999999999</v>
      </c>
      <c r="F436">
        <v>202340.193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-0.15872813178393572</v>
      </c>
      <c r="Q436">
        <f t="shared" si="975"/>
        <v>-32117.080819690986</v>
      </c>
      <c r="R436">
        <f t="shared" si="976"/>
        <v>-545389.37203800096</v>
      </c>
      <c r="S436">
        <f t="shared" si="977"/>
        <v>-5.4538937203800097</v>
      </c>
      <c r="T436">
        <f t="shared" si="978"/>
        <v>-5.4538937203800096E-3</v>
      </c>
    </row>
    <row r="437" spans="1:20" x14ac:dyDescent="0.25">
      <c r="A437" s="5">
        <v>44156</v>
      </c>
      <c r="B437">
        <v>23.998000000000001</v>
      </c>
      <c r="C437">
        <v>45.465000000000003</v>
      </c>
      <c r="D437">
        <v>23.667999999999999</v>
      </c>
      <c r="E437">
        <v>27.184999999999999</v>
      </c>
      <c r="F437">
        <v>64081.872000000003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-0.67729504060191781</v>
      </c>
      <c r="Q437">
        <f t="shared" si="975"/>
        <v>-43402.334098086903</v>
      </c>
      <c r="R437">
        <f t="shared" si="976"/>
        <v>-513272.29121830995</v>
      </c>
      <c r="S437">
        <f t="shared" si="977"/>
        <v>-5.1327229121831</v>
      </c>
      <c r="T437">
        <f t="shared" si="978"/>
        <v>-5.1327229121831E-3</v>
      </c>
    </row>
    <row r="438" spans="1:20" x14ac:dyDescent="0.25">
      <c r="A438" s="5">
        <v>44155</v>
      </c>
      <c r="B438">
        <v>23.552</v>
      </c>
      <c r="C438">
        <v>24.1</v>
      </c>
      <c r="D438">
        <v>23.263000000000002</v>
      </c>
      <c r="E438">
        <v>23.988</v>
      </c>
      <c r="F438">
        <v>8712.0110000000004</v>
      </c>
      <c r="G438">
        <v>0</v>
      </c>
      <c r="L438" t="s">
        <v>7</v>
      </c>
      <c r="M438" t="s">
        <v>8</v>
      </c>
      <c r="N438" t="s">
        <v>7</v>
      </c>
      <c r="P438">
        <f t="shared" si="974"/>
        <v>0.73237753882914713</v>
      </c>
      <c r="Q438">
        <f t="shared" si="975"/>
        <v>6380.481174432457</v>
      </c>
      <c r="R438">
        <f t="shared" si="976"/>
        <v>-469869.95712022303</v>
      </c>
      <c r="S438">
        <f t="shared" si="977"/>
        <v>-4.6986995712022299</v>
      </c>
      <c r="T438">
        <f t="shared" si="978"/>
        <v>-4.6986995712022302E-3</v>
      </c>
    </row>
    <row r="439" spans="1:20" x14ac:dyDescent="0.25">
      <c r="A439" s="5">
        <v>44154</v>
      </c>
      <c r="B439">
        <v>23.79</v>
      </c>
      <c r="C439">
        <v>24.396000000000001</v>
      </c>
      <c r="D439">
        <v>23.323</v>
      </c>
      <c r="E439">
        <v>23.530999999999999</v>
      </c>
      <c r="F439">
        <v>7179.3710000000001</v>
      </c>
      <c r="G439">
        <v>0</v>
      </c>
      <c r="L439" t="s">
        <v>7</v>
      </c>
      <c r="M439" t="s">
        <v>8</v>
      </c>
      <c r="N439" t="s">
        <v>7</v>
      </c>
      <c r="P439">
        <f t="shared" si="974"/>
        <v>-0.61230195712954649</v>
      </c>
      <c r="Q439">
        <f t="shared" si="975"/>
        <v>-4395.9429142591098</v>
      </c>
      <c r="R439">
        <f t="shared" si="976"/>
        <v>-476250.43829465547</v>
      </c>
      <c r="S439">
        <f t="shared" si="977"/>
        <v>-4.7625043829465543</v>
      </c>
      <c r="T439">
        <f t="shared" si="978"/>
        <v>-4.7625043829465545E-3</v>
      </c>
    </row>
    <row r="440" spans="1:20" x14ac:dyDescent="0.25">
      <c r="A440" s="5">
        <v>44153</v>
      </c>
      <c r="B440">
        <v>24.353000000000002</v>
      </c>
      <c r="C440">
        <v>24.814</v>
      </c>
      <c r="D440">
        <v>22.88</v>
      </c>
      <c r="E440">
        <v>23.789000000000001</v>
      </c>
      <c r="F440">
        <v>7595.5789999999997</v>
      </c>
      <c r="G440">
        <v>0</v>
      </c>
      <c r="L440" t="s">
        <v>7</v>
      </c>
      <c r="M440" t="s">
        <v>8</v>
      </c>
      <c r="N440" t="s">
        <v>7</v>
      </c>
      <c r="P440">
        <f t="shared" si="974"/>
        <v>-5.9979317476730118E-2</v>
      </c>
      <c r="Q440">
        <f t="shared" si="975"/>
        <v>-455.57764426058424</v>
      </c>
      <c r="R440">
        <f t="shared" si="976"/>
        <v>-471854.49538039637</v>
      </c>
      <c r="S440">
        <f t="shared" si="977"/>
        <v>-4.7185449538039634</v>
      </c>
      <c r="T440">
        <f t="shared" si="978"/>
        <v>-4.7185449538039636E-3</v>
      </c>
    </row>
    <row r="441" spans="1:20" x14ac:dyDescent="0.25">
      <c r="A441" s="5">
        <v>44152</v>
      </c>
      <c r="B441">
        <v>24.079000000000001</v>
      </c>
      <c r="C441">
        <v>25.568999999999999</v>
      </c>
      <c r="D441">
        <v>24.016999999999999</v>
      </c>
      <c r="E441">
        <v>24.356000000000002</v>
      </c>
      <c r="F441">
        <v>8233.8080000000009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-0.56314432989690433</v>
      </c>
      <c r="Q441">
        <f t="shared" si="975"/>
        <v>-4636.8222886597705</v>
      </c>
      <c r="R441">
        <f t="shared" si="976"/>
        <v>-471398.91773613577</v>
      </c>
      <c r="S441">
        <f t="shared" si="977"/>
        <v>-4.7139891773613574</v>
      </c>
      <c r="T441">
        <f t="shared" si="978"/>
        <v>-4.7139891773613574E-3</v>
      </c>
    </row>
    <row r="442" spans="1:20" x14ac:dyDescent="0.25">
      <c r="A442" s="5">
        <v>44151</v>
      </c>
      <c r="B442">
        <v>24.018000000000001</v>
      </c>
      <c r="C442">
        <v>24.943999999999999</v>
      </c>
      <c r="D442">
        <v>23.608000000000001</v>
      </c>
      <c r="E442">
        <v>24.158000000000001</v>
      </c>
      <c r="F442">
        <v>7944.1360000000004</v>
      </c>
      <c r="G442">
        <v>0</v>
      </c>
      <c r="L442" t="s">
        <v>8</v>
      </c>
      <c r="M442" t="s">
        <v>8</v>
      </c>
      <c r="N442" t="s">
        <v>7</v>
      </c>
      <c r="P442">
        <f t="shared" si="974"/>
        <v>-0.17664670658682438</v>
      </c>
      <c r="Q442">
        <f t="shared" si="975"/>
        <v>-1403.3054610778288</v>
      </c>
      <c r="R442">
        <f t="shared" si="976"/>
        <v>-466762.09544747602</v>
      </c>
      <c r="S442">
        <f t="shared" si="977"/>
        <v>-4.66762095447476</v>
      </c>
      <c r="T442">
        <f t="shared" si="978"/>
        <v>-4.6676209544747596E-3</v>
      </c>
    </row>
    <row r="443" spans="1:20" x14ac:dyDescent="0.25">
      <c r="A443" s="5">
        <v>44150</v>
      </c>
      <c r="B443">
        <v>24.183</v>
      </c>
      <c r="C443">
        <v>25.4</v>
      </c>
      <c r="D443">
        <v>23.244</v>
      </c>
      <c r="E443">
        <v>24.052</v>
      </c>
      <c r="F443">
        <v>21460.321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-0.25046382189239308</v>
      </c>
      <c r="Q443">
        <f t="shared" si="975"/>
        <v>-5375.034016697583</v>
      </c>
      <c r="R443">
        <f t="shared" si="976"/>
        <v>-465358.78998639819</v>
      </c>
      <c r="S443">
        <f t="shared" si="977"/>
        <v>-4.6535878998639815</v>
      </c>
      <c r="T443">
        <f t="shared" si="978"/>
        <v>-4.6535878998639818E-3</v>
      </c>
    </row>
    <row r="444" spans="1:20" x14ac:dyDescent="0.25">
      <c r="A444" s="5">
        <v>44149</v>
      </c>
      <c r="B444">
        <v>24.768000000000001</v>
      </c>
      <c r="C444">
        <v>24.945</v>
      </c>
      <c r="D444">
        <v>23.75</v>
      </c>
      <c r="E444">
        <v>24.199000000000002</v>
      </c>
      <c r="F444">
        <v>2804.3939999999998</v>
      </c>
      <c r="G444">
        <v>0</v>
      </c>
      <c r="L444" t="s">
        <v>7</v>
      </c>
      <c r="M444" t="s">
        <v>8</v>
      </c>
      <c r="N444" t="s">
        <v>7</v>
      </c>
      <c r="P444">
        <f t="shared" si="974"/>
        <v>-0.24853556485355396</v>
      </c>
      <c r="Q444">
        <f t="shared" si="975"/>
        <v>-696.99164686191762</v>
      </c>
      <c r="R444">
        <f t="shared" si="976"/>
        <v>-459983.75596970058</v>
      </c>
      <c r="S444">
        <f t="shared" si="977"/>
        <v>-4.599837559697006</v>
      </c>
      <c r="T444">
        <f t="shared" si="978"/>
        <v>-4.5998375596970056E-3</v>
      </c>
    </row>
    <row r="445" spans="1:20" x14ac:dyDescent="0.25">
      <c r="A445" s="5">
        <v>44148</v>
      </c>
      <c r="B445">
        <v>23.667999999999999</v>
      </c>
      <c r="C445">
        <v>24.995000000000001</v>
      </c>
      <c r="D445">
        <v>23.5</v>
      </c>
      <c r="E445">
        <v>24.77</v>
      </c>
      <c r="F445">
        <v>6179.5889999999999</v>
      </c>
      <c r="G445">
        <v>0</v>
      </c>
      <c r="L445" t="s">
        <v>7</v>
      </c>
      <c r="M445" t="s">
        <v>8</v>
      </c>
      <c r="N445" t="s">
        <v>7</v>
      </c>
      <c r="P445">
        <f t="shared" si="974"/>
        <v>0.69899665551839296</v>
      </c>
      <c r="Q445">
        <f t="shared" si="975"/>
        <v>4319.5120434782502</v>
      </c>
      <c r="R445">
        <f t="shared" si="976"/>
        <v>-459286.76432283869</v>
      </c>
      <c r="S445">
        <f t="shared" si="977"/>
        <v>-4.592867643228387</v>
      </c>
      <c r="T445">
        <f t="shared" si="978"/>
        <v>-4.5928676432283868E-3</v>
      </c>
    </row>
    <row r="446" spans="1:20" x14ac:dyDescent="0.25">
      <c r="A446" s="5">
        <v>44147</v>
      </c>
      <c r="B446">
        <v>24.634</v>
      </c>
      <c r="C446">
        <v>24.634</v>
      </c>
      <c r="D446">
        <v>23.373000000000001</v>
      </c>
      <c r="E446">
        <v>23.687999999999999</v>
      </c>
      <c r="F446">
        <v>6205.37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-0.50039651070579239</v>
      </c>
      <c r="Q446">
        <f t="shared" si="975"/>
        <v>-3105.1454956384027</v>
      </c>
      <c r="R446">
        <f t="shared" si="976"/>
        <v>-463606.27636631695</v>
      </c>
      <c r="S446">
        <f t="shared" si="977"/>
        <v>-4.6360627636631691</v>
      </c>
      <c r="T446">
        <f t="shared" si="978"/>
        <v>-4.636062763663169E-3</v>
      </c>
    </row>
    <row r="447" spans="1:20" x14ac:dyDescent="0.25">
      <c r="A447" s="5">
        <v>44146</v>
      </c>
      <c r="B447">
        <v>24.536999999999999</v>
      </c>
      <c r="C447">
        <v>26.530999999999999</v>
      </c>
      <c r="D447">
        <v>23.9</v>
      </c>
      <c r="E447">
        <v>24.634</v>
      </c>
      <c r="F447">
        <v>36997.688999999998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-0.4420372481946015</v>
      </c>
      <c r="Q447">
        <f t="shared" si="975"/>
        <v>-16354.356635119677</v>
      </c>
      <c r="R447">
        <f t="shared" si="976"/>
        <v>-460501.13087067852</v>
      </c>
      <c r="S447">
        <f t="shared" si="977"/>
        <v>-4.6050113087067848</v>
      </c>
      <c r="T447">
        <f t="shared" si="978"/>
        <v>-4.605011308706785E-3</v>
      </c>
    </row>
    <row r="448" spans="1:20" x14ac:dyDescent="0.25">
      <c r="A448" s="5">
        <v>44145</v>
      </c>
      <c r="B448">
        <v>23.62</v>
      </c>
      <c r="C448">
        <v>24.541</v>
      </c>
      <c r="D448">
        <v>23.134</v>
      </c>
      <c r="E448">
        <v>24.536000000000001</v>
      </c>
      <c r="F448">
        <v>9893.4069999999992</v>
      </c>
      <c r="G448">
        <v>0</v>
      </c>
      <c r="L448" t="s">
        <v>7</v>
      </c>
      <c r="M448" t="s">
        <v>7</v>
      </c>
      <c r="N448" t="s">
        <v>7</v>
      </c>
      <c r="P448">
        <f t="shared" si="974"/>
        <v>0.99289267945984505</v>
      </c>
      <c r="Q448">
        <f t="shared" si="975"/>
        <v>9823.0913852167869</v>
      </c>
      <c r="R448">
        <f t="shared" si="976"/>
        <v>-444146.77423555887</v>
      </c>
      <c r="S448">
        <f t="shared" si="977"/>
        <v>-4.4414677423555888</v>
      </c>
      <c r="T448">
        <f t="shared" si="978"/>
        <v>-4.4414677423555886E-3</v>
      </c>
    </row>
    <row r="449" spans="1:20" x14ac:dyDescent="0.25">
      <c r="A449" s="5">
        <v>44144</v>
      </c>
      <c r="B449">
        <v>23.21</v>
      </c>
      <c r="C449">
        <v>24.744</v>
      </c>
      <c r="D449">
        <v>22.21</v>
      </c>
      <c r="E449">
        <v>23.619</v>
      </c>
      <c r="F449">
        <v>14606.861999999999</v>
      </c>
      <c r="G449">
        <v>0</v>
      </c>
      <c r="L449" t="s">
        <v>8</v>
      </c>
      <c r="M449" t="s">
        <v>7</v>
      </c>
      <c r="N449" t="s">
        <v>7</v>
      </c>
      <c r="P449">
        <f t="shared" si="974"/>
        <v>0.11207576953433269</v>
      </c>
      <c r="Q449">
        <f t="shared" si="975"/>
        <v>1637.0752991318018</v>
      </c>
      <c r="R449">
        <f t="shared" si="976"/>
        <v>-453969.86562077567</v>
      </c>
      <c r="S449">
        <f t="shared" si="977"/>
        <v>-4.539698656207757</v>
      </c>
      <c r="T449">
        <f t="shared" si="978"/>
        <v>-4.5396986562077574E-3</v>
      </c>
    </row>
    <row r="450" spans="1:20" x14ac:dyDescent="0.25">
      <c r="A450" s="5">
        <v>44143</v>
      </c>
      <c r="B450">
        <v>22.683</v>
      </c>
      <c r="C450">
        <v>23.879000000000001</v>
      </c>
      <c r="D450">
        <v>22.605</v>
      </c>
      <c r="E450">
        <v>23.312000000000001</v>
      </c>
      <c r="F450">
        <v>4787.6120000000001</v>
      </c>
      <c r="G450">
        <v>0</v>
      </c>
      <c r="L450" t="s">
        <v>8</v>
      </c>
      <c r="M450" t="s">
        <v>7</v>
      </c>
      <c r="N450" t="s">
        <v>7</v>
      </c>
      <c r="P450">
        <f t="shared" si="974"/>
        <v>0.10989010989011026</v>
      </c>
      <c r="Q450">
        <f t="shared" si="975"/>
        <v>526.11120879121063</v>
      </c>
      <c r="R450">
        <f t="shared" si="976"/>
        <v>-455606.94091990747</v>
      </c>
      <c r="S450">
        <f t="shared" si="977"/>
        <v>-4.5560694091990745</v>
      </c>
      <c r="T450">
        <f t="shared" si="978"/>
        <v>-4.5560694091990742E-3</v>
      </c>
    </row>
    <row r="451" spans="1:20" x14ac:dyDescent="0.25">
      <c r="A451" s="5">
        <v>44142</v>
      </c>
      <c r="B451">
        <v>24.113</v>
      </c>
      <c r="C451">
        <v>24.6</v>
      </c>
      <c r="D451">
        <v>22.05</v>
      </c>
      <c r="E451">
        <v>22.815999999999999</v>
      </c>
      <c r="F451">
        <v>14237.956</v>
      </c>
      <c r="G451">
        <v>0</v>
      </c>
      <c r="L451" t="s">
        <v>7</v>
      </c>
      <c r="M451" t="s">
        <v>7</v>
      </c>
      <c r="N451" t="s">
        <v>7</v>
      </c>
      <c r="P451">
        <f t="shared" si="974"/>
        <v>-0.39921568627451137</v>
      </c>
      <c r="Q451">
        <f t="shared" si="975"/>
        <v>-5684.0153756862965</v>
      </c>
      <c r="R451">
        <f t="shared" si="976"/>
        <v>-456133.05212869868</v>
      </c>
      <c r="S451">
        <f t="shared" si="977"/>
        <v>-4.5613305212869868</v>
      </c>
      <c r="T451">
        <f t="shared" si="978"/>
        <v>-4.5613305212869864E-3</v>
      </c>
    </row>
    <row r="452" spans="1:20" x14ac:dyDescent="0.25">
      <c r="A452" s="5">
        <v>44141</v>
      </c>
      <c r="B452">
        <v>23.425999999999998</v>
      </c>
      <c r="C452">
        <v>24.866</v>
      </c>
      <c r="D452">
        <v>22.536999999999999</v>
      </c>
      <c r="E452">
        <v>24.094999999999999</v>
      </c>
      <c r="F452">
        <v>38432.03</v>
      </c>
      <c r="G452">
        <v>0</v>
      </c>
      <c r="L452" t="s">
        <v>7</v>
      </c>
      <c r="M452" t="s">
        <v>7</v>
      </c>
      <c r="N452" t="s">
        <v>7</v>
      </c>
      <c r="P452">
        <f t="shared" si="974"/>
        <v>0.33791326749677925</v>
      </c>
      <c r="Q452">
        <f t="shared" si="975"/>
        <v>12986.692833834244</v>
      </c>
      <c r="R452">
        <f t="shared" si="976"/>
        <v>-450449.03675301239</v>
      </c>
      <c r="S452">
        <f t="shared" si="977"/>
        <v>-4.5044903675301242</v>
      </c>
      <c r="T452">
        <f t="shared" si="978"/>
        <v>-4.5044903675301243E-3</v>
      </c>
    </row>
    <row r="453" spans="1:20" x14ac:dyDescent="0.25">
      <c r="A453" s="5">
        <v>44140</v>
      </c>
      <c r="B453">
        <v>24.303000000000001</v>
      </c>
      <c r="C453">
        <v>25.757999999999999</v>
      </c>
      <c r="D453">
        <v>23.106000000000002</v>
      </c>
      <c r="E453">
        <v>23.469000000000001</v>
      </c>
      <c r="F453">
        <v>38626.642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-0.7262443438914028</v>
      </c>
      <c r="Q453">
        <f t="shared" si="975"/>
        <v>-28052.380276018102</v>
      </c>
      <c r="R453">
        <f t="shared" si="976"/>
        <v>-463435.72958684666</v>
      </c>
      <c r="S453">
        <f t="shared" si="977"/>
        <v>-4.6343572958684662</v>
      </c>
      <c r="T453">
        <f t="shared" si="978"/>
        <v>-4.6343572958684664E-3</v>
      </c>
    </row>
    <row r="454" spans="1:20" x14ac:dyDescent="0.25">
      <c r="A454" s="5">
        <v>44139</v>
      </c>
      <c r="B454">
        <v>25.968</v>
      </c>
      <c r="C454">
        <v>26.001000000000001</v>
      </c>
      <c r="D454">
        <v>22.844000000000001</v>
      </c>
      <c r="E454">
        <v>24.312000000000001</v>
      </c>
      <c r="F454">
        <v>22046.945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-7.0003167564143196E-2</v>
      </c>
      <c r="Q454">
        <f t="shared" ref="Q454:Q517" si="980">F454*P454</f>
        <v>-1543.3559851124489</v>
      </c>
      <c r="R454">
        <f t="shared" ref="R454:R517" si="981">R455+Q454</f>
        <v>-435383.34931082855</v>
      </c>
      <c r="S454">
        <f t="shared" ref="S454:S517" si="982">R454/100000</f>
        <v>-4.3538334931082856</v>
      </c>
      <c r="T454">
        <f t="shared" ref="T454:T517" si="983">S454/1000</f>
        <v>-4.3538334931082856E-3</v>
      </c>
    </row>
    <row r="455" spans="1:20" x14ac:dyDescent="0.25">
      <c r="A455" s="5">
        <v>44138</v>
      </c>
      <c r="B455">
        <v>22.94</v>
      </c>
      <c r="C455">
        <v>28.478000000000002</v>
      </c>
      <c r="D455">
        <v>22.802</v>
      </c>
      <c r="E455">
        <v>25.968</v>
      </c>
      <c r="F455">
        <v>31327.643</v>
      </c>
      <c r="G455">
        <v>0</v>
      </c>
      <c r="L455" t="s">
        <v>8</v>
      </c>
      <c r="M455" t="s">
        <v>8</v>
      </c>
      <c r="N455" t="s">
        <v>7</v>
      </c>
      <c r="P455">
        <f t="shared" si="979"/>
        <v>0.11557434813248742</v>
      </c>
      <c r="Q455">
        <f t="shared" si="980"/>
        <v>3620.6719182522825</v>
      </c>
      <c r="R455">
        <f t="shared" si="981"/>
        <v>-433839.99332571612</v>
      </c>
      <c r="S455">
        <f t="shared" si="982"/>
        <v>-4.3383999332571612</v>
      </c>
      <c r="T455">
        <f t="shared" si="983"/>
        <v>-4.3383999332571614E-3</v>
      </c>
    </row>
    <row r="456" spans="1:20" x14ac:dyDescent="0.25">
      <c r="A456" s="5">
        <v>44137</v>
      </c>
      <c r="B456">
        <v>23.324000000000002</v>
      </c>
      <c r="C456">
        <v>25.12</v>
      </c>
      <c r="D456">
        <v>22.734999999999999</v>
      </c>
      <c r="E456">
        <v>22.94</v>
      </c>
      <c r="F456">
        <v>11335.745000000001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-0.82809224318658137</v>
      </c>
      <c r="Q456">
        <f t="shared" si="980"/>
        <v>-9387.0425052410737</v>
      </c>
      <c r="R456">
        <f t="shared" si="981"/>
        <v>-437460.66524396843</v>
      </c>
      <c r="S456">
        <f t="shared" si="982"/>
        <v>-4.3746066524396845</v>
      </c>
      <c r="T456">
        <f t="shared" si="983"/>
        <v>-4.3746066524396844E-3</v>
      </c>
    </row>
    <row r="457" spans="1:20" x14ac:dyDescent="0.25">
      <c r="A457" s="5">
        <v>44136</v>
      </c>
      <c r="B457">
        <v>23.248999999999999</v>
      </c>
      <c r="C457">
        <v>25.119</v>
      </c>
      <c r="D457">
        <v>22.788</v>
      </c>
      <c r="E457">
        <v>23.239000000000001</v>
      </c>
      <c r="F457">
        <v>13794.493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-0.61304161304161253</v>
      </c>
      <c r="Q457">
        <f t="shared" si="980"/>
        <v>-8456.5982398112337</v>
      </c>
      <c r="R457">
        <f t="shared" si="981"/>
        <v>-428073.62273872737</v>
      </c>
      <c r="S457">
        <f t="shared" si="982"/>
        <v>-4.2807362273872736</v>
      </c>
      <c r="T457">
        <f t="shared" si="983"/>
        <v>-4.2807362273872733E-3</v>
      </c>
    </row>
    <row r="458" spans="1:20" x14ac:dyDescent="0.25">
      <c r="A458" s="5">
        <v>44135</v>
      </c>
      <c r="B458">
        <v>24.213999999999999</v>
      </c>
      <c r="C458">
        <v>24.908999999999999</v>
      </c>
      <c r="D458">
        <v>22.989000000000001</v>
      </c>
      <c r="E458">
        <v>23.233000000000001</v>
      </c>
      <c r="F458">
        <v>10915.76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-0.74583333333333335</v>
      </c>
      <c r="Q458">
        <f t="shared" si="980"/>
        <v>-8141.3376666666672</v>
      </c>
      <c r="R458">
        <f t="shared" si="981"/>
        <v>-419617.02449891611</v>
      </c>
      <c r="S458">
        <f t="shared" si="982"/>
        <v>-4.1961702449891609</v>
      </c>
      <c r="T458">
        <f t="shared" si="983"/>
        <v>-4.1961702449891608E-3</v>
      </c>
    </row>
    <row r="459" spans="1:20" x14ac:dyDescent="0.25">
      <c r="A459" s="5">
        <v>44134</v>
      </c>
      <c r="B459">
        <v>24.146000000000001</v>
      </c>
      <c r="C459">
        <v>25.081</v>
      </c>
      <c r="D459">
        <v>23.873999999999999</v>
      </c>
      <c r="E459">
        <v>24.228999999999999</v>
      </c>
      <c r="F459">
        <v>2810.4290000000001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-0.41176470588235259</v>
      </c>
      <c r="Q459">
        <f t="shared" si="980"/>
        <v>-1157.2354705882344</v>
      </c>
      <c r="R459">
        <f t="shared" si="981"/>
        <v>-411475.68683224946</v>
      </c>
      <c r="S459">
        <f t="shared" si="982"/>
        <v>-4.1147568683224947</v>
      </c>
      <c r="T459">
        <f t="shared" si="983"/>
        <v>-4.1147568683224944E-3</v>
      </c>
    </row>
    <row r="460" spans="1:20" x14ac:dyDescent="0.25">
      <c r="A460" s="5">
        <v>44133</v>
      </c>
      <c r="B460">
        <v>24.954000000000001</v>
      </c>
      <c r="C460">
        <v>25.888000000000002</v>
      </c>
      <c r="D460">
        <v>23.881</v>
      </c>
      <c r="E460">
        <v>23.975999999999999</v>
      </c>
      <c r="F460">
        <v>10009.414000000001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-0.90533134030892004</v>
      </c>
      <c r="Q460">
        <f t="shared" si="980"/>
        <v>-9061.8361923268694</v>
      </c>
      <c r="R460">
        <f t="shared" si="981"/>
        <v>-410318.45136166119</v>
      </c>
      <c r="S460">
        <f t="shared" si="982"/>
        <v>-4.1031845136166121</v>
      </c>
      <c r="T460">
        <f t="shared" si="983"/>
        <v>-4.1031845136166121E-3</v>
      </c>
    </row>
    <row r="461" spans="1:20" x14ac:dyDescent="0.25">
      <c r="A461" s="5">
        <v>44132</v>
      </c>
      <c r="B461">
        <v>25.167000000000002</v>
      </c>
      <c r="C461">
        <v>25.65</v>
      </c>
      <c r="D461">
        <v>24.738</v>
      </c>
      <c r="E461">
        <v>24.995999999999999</v>
      </c>
      <c r="F461">
        <v>3669.4859999999999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-0.43421052631579082</v>
      </c>
      <c r="Q461">
        <f t="shared" si="980"/>
        <v>-1593.3294473684259</v>
      </c>
      <c r="R461">
        <f t="shared" si="981"/>
        <v>-401256.61516933434</v>
      </c>
      <c r="S461">
        <f t="shared" si="982"/>
        <v>-4.0125661516933437</v>
      </c>
      <c r="T461">
        <f t="shared" si="983"/>
        <v>-4.012566151693344E-3</v>
      </c>
    </row>
    <row r="462" spans="1:20" x14ac:dyDescent="0.25">
      <c r="A462" s="5">
        <v>44131</v>
      </c>
      <c r="B462">
        <v>26.048999999999999</v>
      </c>
      <c r="C462">
        <v>26.050999999999998</v>
      </c>
      <c r="D462">
        <v>25.016999999999999</v>
      </c>
      <c r="E462">
        <v>25.189</v>
      </c>
      <c r="F462">
        <v>5303.1710000000003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-0.66731141199226152</v>
      </c>
      <c r="Q462">
        <f t="shared" si="980"/>
        <v>-3538.8665280464138</v>
      </c>
      <c r="R462">
        <f t="shared" si="981"/>
        <v>-399663.28572196589</v>
      </c>
      <c r="S462">
        <f t="shared" si="982"/>
        <v>-3.9966328572196588</v>
      </c>
      <c r="T462">
        <f t="shared" si="983"/>
        <v>-3.9966328572196589E-3</v>
      </c>
    </row>
    <row r="463" spans="1:20" x14ac:dyDescent="0.25">
      <c r="A463" s="5">
        <v>44130</v>
      </c>
      <c r="B463">
        <v>25.957000000000001</v>
      </c>
      <c r="C463">
        <v>27.146000000000001</v>
      </c>
      <c r="D463">
        <v>25.579000000000001</v>
      </c>
      <c r="E463">
        <v>26.004000000000001</v>
      </c>
      <c r="F463">
        <v>15173.674000000001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-0.45756222080408337</v>
      </c>
      <c r="Q463">
        <f t="shared" si="980"/>
        <v>-6942.8999731971799</v>
      </c>
      <c r="R463">
        <f t="shared" si="981"/>
        <v>-396124.41919391946</v>
      </c>
      <c r="S463">
        <f t="shared" si="982"/>
        <v>-3.9612441919391945</v>
      </c>
      <c r="T463">
        <f t="shared" si="983"/>
        <v>-3.9612441919391946E-3</v>
      </c>
    </row>
    <row r="464" spans="1:20" x14ac:dyDescent="0.25">
      <c r="A464" s="5">
        <v>44129</v>
      </c>
      <c r="B464">
        <v>26.489000000000001</v>
      </c>
      <c r="C464">
        <v>27.013999999999999</v>
      </c>
      <c r="D464">
        <v>25.855</v>
      </c>
      <c r="E464">
        <v>25.97</v>
      </c>
      <c r="F464">
        <v>6378.4129999999996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-0.80155306298533469</v>
      </c>
      <c r="Q464">
        <f t="shared" si="980"/>
        <v>-5112.6364771354774</v>
      </c>
      <c r="R464">
        <f t="shared" si="981"/>
        <v>-389181.51922072226</v>
      </c>
      <c r="S464">
        <f t="shared" si="982"/>
        <v>-3.8918151922072224</v>
      </c>
      <c r="T464">
        <f t="shared" si="983"/>
        <v>-3.8918151922072222E-3</v>
      </c>
    </row>
    <row r="465" spans="1:20" x14ac:dyDescent="0.25">
      <c r="A465" s="5">
        <v>44128</v>
      </c>
      <c r="B465">
        <v>26.388000000000002</v>
      </c>
      <c r="C465">
        <v>27.068999999999999</v>
      </c>
      <c r="D465">
        <v>26.122</v>
      </c>
      <c r="E465">
        <v>26.460999999999999</v>
      </c>
      <c r="F465">
        <v>3318.8090000000002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-0.28405491024287449</v>
      </c>
      <c r="Q465">
        <f t="shared" si="980"/>
        <v>-942.72399260824409</v>
      </c>
      <c r="R465">
        <f t="shared" si="981"/>
        <v>-384068.88274358679</v>
      </c>
      <c r="S465">
        <f t="shared" si="982"/>
        <v>-3.8406888274358679</v>
      </c>
      <c r="T465">
        <f t="shared" si="983"/>
        <v>-3.8406888274358677E-3</v>
      </c>
    </row>
    <row r="466" spans="1:20" x14ac:dyDescent="0.25">
      <c r="A466" s="5">
        <v>44127</v>
      </c>
      <c r="B466">
        <v>26.7</v>
      </c>
      <c r="C466">
        <v>27.146000000000001</v>
      </c>
      <c r="D466">
        <v>26</v>
      </c>
      <c r="E466">
        <v>26.346</v>
      </c>
      <c r="F466">
        <v>8987.1839999999993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-0.39616055846422366</v>
      </c>
      <c r="Q466">
        <f t="shared" si="980"/>
        <v>-3560.3678324607349</v>
      </c>
      <c r="R466">
        <f t="shared" si="981"/>
        <v>-383126.15875097853</v>
      </c>
      <c r="S466">
        <f t="shared" si="982"/>
        <v>-3.8312615875097853</v>
      </c>
      <c r="T466">
        <f t="shared" si="983"/>
        <v>-3.8312615875097855E-3</v>
      </c>
    </row>
    <row r="467" spans="1:20" x14ac:dyDescent="0.25">
      <c r="A467" s="5">
        <v>44126</v>
      </c>
      <c r="B467">
        <v>26.593</v>
      </c>
      <c r="C467">
        <v>27.411999999999999</v>
      </c>
      <c r="D467">
        <v>26</v>
      </c>
      <c r="E467">
        <v>26.771000000000001</v>
      </c>
      <c r="F467">
        <v>7727.9070000000002</v>
      </c>
      <c r="G467">
        <v>0</v>
      </c>
      <c r="L467" t="s">
        <v>7</v>
      </c>
      <c r="M467" t="s">
        <v>7</v>
      </c>
      <c r="N467" t="s">
        <v>7</v>
      </c>
      <c r="P467">
        <f t="shared" si="979"/>
        <v>9.2067988668557116E-2</v>
      </c>
      <c r="Q467">
        <f t="shared" si="980"/>
        <v>711.49285410766322</v>
      </c>
      <c r="R467">
        <f t="shared" si="981"/>
        <v>-379565.7909185178</v>
      </c>
      <c r="S467">
        <f t="shared" si="982"/>
        <v>-3.7956579091851781</v>
      </c>
      <c r="T467">
        <f t="shared" si="983"/>
        <v>-3.7956579091851781E-3</v>
      </c>
    </row>
    <row r="468" spans="1:20" x14ac:dyDescent="0.25">
      <c r="A468" s="5">
        <v>44125</v>
      </c>
      <c r="B468">
        <v>26.466000000000001</v>
      </c>
      <c r="C468">
        <v>27.893999999999998</v>
      </c>
      <c r="D468">
        <v>25.998999999999999</v>
      </c>
      <c r="E468">
        <v>26.550999999999998</v>
      </c>
      <c r="F468">
        <v>21575.822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-0.41741424802110849</v>
      </c>
      <c r="Q468">
        <f t="shared" si="980"/>
        <v>-9006.0555155672882</v>
      </c>
      <c r="R468">
        <f t="shared" si="981"/>
        <v>-380277.28377262544</v>
      </c>
      <c r="S468">
        <f t="shared" si="982"/>
        <v>-3.8027728377262542</v>
      </c>
      <c r="T468">
        <f t="shared" si="983"/>
        <v>-3.8027728377262541E-3</v>
      </c>
    </row>
    <row r="469" spans="1:20" x14ac:dyDescent="0.25">
      <c r="A469" s="5">
        <v>44124</v>
      </c>
      <c r="B469">
        <v>29.09</v>
      </c>
      <c r="C469">
        <v>29.783000000000001</v>
      </c>
      <c r="D469">
        <v>26.419</v>
      </c>
      <c r="E469">
        <v>26.419</v>
      </c>
      <c r="F469">
        <v>12468.922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-1</v>
      </c>
      <c r="Q469">
        <f t="shared" si="980"/>
        <v>-12468.922</v>
      </c>
      <c r="R469">
        <f t="shared" si="981"/>
        <v>-371271.22825705813</v>
      </c>
      <c r="S469">
        <f t="shared" si="982"/>
        <v>-3.7127122825705814</v>
      </c>
      <c r="T469">
        <f t="shared" si="983"/>
        <v>-3.7127122825705815E-3</v>
      </c>
    </row>
    <row r="470" spans="1:20" x14ac:dyDescent="0.25">
      <c r="A470" s="5">
        <v>44123</v>
      </c>
      <c r="B470">
        <v>29.137</v>
      </c>
      <c r="C470">
        <v>29.954000000000001</v>
      </c>
      <c r="D470">
        <v>28.5</v>
      </c>
      <c r="E470">
        <v>29.068999999999999</v>
      </c>
      <c r="F470">
        <v>5116.0789999999997</v>
      </c>
      <c r="G470">
        <v>0</v>
      </c>
      <c r="L470" t="s">
        <v>8</v>
      </c>
      <c r="M470" t="s">
        <v>7</v>
      </c>
      <c r="N470" t="s">
        <v>7</v>
      </c>
      <c r="P470">
        <f t="shared" si="979"/>
        <v>-0.21733149931224371</v>
      </c>
      <c r="Q470">
        <f t="shared" si="980"/>
        <v>-1111.8851196698845</v>
      </c>
      <c r="R470">
        <f t="shared" si="981"/>
        <v>-358802.30625705811</v>
      </c>
      <c r="S470">
        <f t="shared" si="982"/>
        <v>-3.5880230625705809</v>
      </c>
      <c r="T470">
        <f t="shared" si="983"/>
        <v>-3.5880230625705807E-3</v>
      </c>
    </row>
    <row r="471" spans="1:20" x14ac:dyDescent="0.25">
      <c r="A471" s="5">
        <v>44122</v>
      </c>
      <c r="B471">
        <v>28.597999999999999</v>
      </c>
      <c r="C471">
        <v>29.158000000000001</v>
      </c>
      <c r="D471">
        <v>28.382000000000001</v>
      </c>
      <c r="E471">
        <v>29.128</v>
      </c>
      <c r="F471">
        <v>1224.33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0.92268041237113108</v>
      </c>
      <c r="Q471">
        <f t="shared" si="980"/>
        <v>1129.6653092783467</v>
      </c>
      <c r="R471">
        <f t="shared" si="981"/>
        <v>-357690.42113738821</v>
      </c>
      <c r="S471">
        <f t="shared" si="982"/>
        <v>-3.5769042113738823</v>
      </c>
      <c r="T471">
        <f t="shared" si="983"/>
        <v>-3.576904211373882E-3</v>
      </c>
    </row>
    <row r="472" spans="1:20" x14ac:dyDescent="0.25">
      <c r="A472" s="5">
        <v>44121</v>
      </c>
      <c r="B472">
        <v>28.146999999999998</v>
      </c>
      <c r="C472">
        <v>28.635999999999999</v>
      </c>
      <c r="D472">
        <v>27.765999999999998</v>
      </c>
      <c r="E472">
        <v>28.635999999999999</v>
      </c>
      <c r="F472">
        <v>1719.5170000000001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1</v>
      </c>
      <c r="Q472">
        <f t="shared" si="980"/>
        <v>1719.5170000000001</v>
      </c>
      <c r="R472">
        <f t="shared" si="981"/>
        <v>-358820.08644666657</v>
      </c>
      <c r="S472">
        <f t="shared" si="982"/>
        <v>-3.5882008644666659</v>
      </c>
      <c r="T472">
        <f t="shared" si="983"/>
        <v>-3.5882008644666659E-3</v>
      </c>
    </row>
    <row r="473" spans="1:20" x14ac:dyDescent="0.25">
      <c r="A473" s="5">
        <v>44120</v>
      </c>
      <c r="B473">
        <v>29.37</v>
      </c>
      <c r="C473">
        <v>30.202999999999999</v>
      </c>
      <c r="D473">
        <v>27.84</v>
      </c>
      <c r="E473">
        <v>28.311</v>
      </c>
      <c r="F473">
        <v>14448.393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-0.60135421074904771</v>
      </c>
      <c r="Q473">
        <f t="shared" si="980"/>
        <v>-8688.6019691070651</v>
      </c>
      <c r="R473">
        <f t="shared" si="981"/>
        <v>-360539.60344666656</v>
      </c>
      <c r="S473">
        <f t="shared" si="982"/>
        <v>-3.6053960344666658</v>
      </c>
      <c r="T473">
        <f t="shared" si="983"/>
        <v>-3.6053960344666659E-3</v>
      </c>
    </row>
    <row r="474" spans="1:20" x14ac:dyDescent="0.25">
      <c r="A474" s="5">
        <v>44119</v>
      </c>
      <c r="B474">
        <v>29.827999999999999</v>
      </c>
      <c r="C474">
        <v>30.295000000000002</v>
      </c>
      <c r="D474">
        <v>29.076000000000001</v>
      </c>
      <c r="E474">
        <v>29.356000000000002</v>
      </c>
      <c r="F474">
        <v>8886.6119999999992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-0.54060705496308303</v>
      </c>
      <c r="Q474">
        <f t="shared" si="980"/>
        <v>-4804.1651419195932</v>
      </c>
      <c r="R474">
        <f t="shared" si="981"/>
        <v>-351851.0014775595</v>
      </c>
      <c r="S474">
        <f t="shared" si="982"/>
        <v>-3.518510014775595</v>
      </c>
      <c r="T474">
        <f t="shared" si="983"/>
        <v>-3.5185100147755951E-3</v>
      </c>
    </row>
    <row r="475" spans="1:20" x14ac:dyDescent="0.25">
      <c r="A475" s="5">
        <v>44118</v>
      </c>
      <c r="B475">
        <v>31.65</v>
      </c>
      <c r="C475">
        <v>31.716000000000001</v>
      </c>
      <c r="D475">
        <v>29.413</v>
      </c>
      <c r="E475">
        <v>29.806000000000001</v>
      </c>
      <c r="F475">
        <v>5351.21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-0.65870603560573115</v>
      </c>
      <c r="Q475">
        <f t="shared" si="980"/>
        <v>-3524.8743247937446</v>
      </c>
      <c r="R475">
        <f t="shared" si="981"/>
        <v>-347046.83633563993</v>
      </c>
      <c r="S475">
        <f t="shared" si="982"/>
        <v>-3.4704683633563995</v>
      </c>
      <c r="T475">
        <f t="shared" si="983"/>
        <v>-3.4704683633563996E-3</v>
      </c>
    </row>
    <row r="476" spans="1:20" x14ac:dyDescent="0.25">
      <c r="A476" s="5">
        <v>44117</v>
      </c>
      <c r="B476">
        <v>31.195</v>
      </c>
      <c r="C476">
        <v>32.5</v>
      </c>
      <c r="D476">
        <v>30.722999999999999</v>
      </c>
      <c r="E476">
        <v>31.65</v>
      </c>
      <c r="F476">
        <v>3824.1959999999999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4.3331457512660744E-2</v>
      </c>
      <c r="Q476">
        <f t="shared" si="980"/>
        <v>165.70798649408715</v>
      </c>
      <c r="R476">
        <f t="shared" si="981"/>
        <v>-343521.96201084618</v>
      </c>
      <c r="S476">
        <f t="shared" si="982"/>
        <v>-3.4352196201084619</v>
      </c>
      <c r="T476">
        <f t="shared" si="983"/>
        <v>-3.4352196201084617E-3</v>
      </c>
    </row>
    <row r="477" spans="1:20" x14ac:dyDescent="0.25">
      <c r="A477" s="5">
        <v>44116</v>
      </c>
      <c r="B477">
        <v>28.893000000000001</v>
      </c>
      <c r="C477">
        <v>35.99</v>
      </c>
      <c r="D477">
        <v>28.779</v>
      </c>
      <c r="E477">
        <v>31.204000000000001</v>
      </c>
      <c r="F477">
        <v>29875.058000000001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-0.3274164470947164</v>
      </c>
      <c r="Q477">
        <f t="shared" si="980"/>
        <v>-9781.5853471085848</v>
      </c>
      <c r="R477">
        <f t="shared" si="981"/>
        <v>-343687.66999734024</v>
      </c>
      <c r="S477">
        <f t="shared" si="982"/>
        <v>-3.4368766999734026</v>
      </c>
      <c r="T477">
        <f t="shared" si="983"/>
        <v>-3.4368766999734028E-3</v>
      </c>
    </row>
    <row r="478" spans="1:20" x14ac:dyDescent="0.25">
      <c r="A478" s="5">
        <v>44115</v>
      </c>
      <c r="B478">
        <v>28.899000000000001</v>
      </c>
      <c r="C478">
        <v>29.672999999999998</v>
      </c>
      <c r="D478">
        <v>28.236999999999998</v>
      </c>
      <c r="E478">
        <v>28.751999999999999</v>
      </c>
      <c r="F478">
        <v>3599.65</v>
      </c>
      <c r="G478">
        <v>0</v>
      </c>
      <c r="L478" t="s">
        <v>8</v>
      </c>
      <c r="M478" t="s">
        <v>7</v>
      </c>
      <c r="N478" t="s">
        <v>7</v>
      </c>
      <c r="P478">
        <f t="shared" si="979"/>
        <v>-0.28272980501392675</v>
      </c>
      <c r="Q478">
        <f t="shared" si="980"/>
        <v>-1017.7283426183815</v>
      </c>
      <c r="R478">
        <f t="shared" si="981"/>
        <v>-333906.08465023164</v>
      </c>
      <c r="S478">
        <f t="shared" si="982"/>
        <v>-3.3390608465023166</v>
      </c>
      <c r="T478">
        <f t="shared" si="983"/>
        <v>-3.3390608465023166E-3</v>
      </c>
    </row>
    <row r="479" spans="1:20" x14ac:dyDescent="0.25">
      <c r="A479" s="5">
        <v>44114</v>
      </c>
      <c r="B479">
        <v>28.946000000000002</v>
      </c>
      <c r="C479">
        <v>29.681000000000001</v>
      </c>
      <c r="D479">
        <v>28.587</v>
      </c>
      <c r="E479">
        <v>28.838999999999999</v>
      </c>
      <c r="F479">
        <v>4986.3599999999997</v>
      </c>
      <c r="G479">
        <v>0</v>
      </c>
      <c r="L479" t="s">
        <v>8</v>
      </c>
      <c r="M479" t="s">
        <v>7</v>
      </c>
      <c r="N479" t="s">
        <v>7</v>
      </c>
      <c r="P479">
        <f t="shared" si="979"/>
        <v>-0.53930530164534074</v>
      </c>
      <c r="Q479">
        <f t="shared" si="980"/>
        <v>-2689.1703839122611</v>
      </c>
      <c r="R479">
        <f t="shared" si="981"/>
        <v>-332888.35630761326</v>
      </c>
      <c r="S479">
        <f t="shared" si="982"/>
        <v>-3.3288835630761326</v>
      </c>
      <c r="T479">
        <f t="shared" si="983"/>
        <v>-3.3288835630761325E-3</v>
      </c>
    </row>
    <row r="480" spans="1:20" x14ac:dyDescent="0.25">
      <c r="A480" s="5">
        <v>44113</v>
      </c>
      <c r="B480">
        <v>27.33</v>
      </c>
      <c r="C480">
        <v>29.321000000000002</v>
      </c>
      <c r="D480">
        <v>27.31</v>
      </c>
      <c r="E480">
        <v>28.858000000000001</v>
      </c>
      <c r="F480">
        <v>14671.716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0.53953257086026818</v>
      </c>
      <c r="Q480">
        <f t="shared" si="980"/>
        <v>7915.8686524117302</v>
      </c>
      <c r="R480">
        <f t="shared" si="981"/>
        <v>-330199.18592370098</v>
      </c>
      <c r="S480">
        <f t="shared" si="982"/>
        <v>-3.3019918592370097</v>
      </c>
      <c r="T480">
        <f t="shared" si="983"/>
        <v>-3.3019918592370094E-3</v>
      </c>
    </row>
    <row r="481" spans="1:20" x14ac:dyDescent="0.25">
      <c r="A481" s="5">
        <v>44112</v>
      </c>
      <c r="B481">
        <v>27.413</v>
      </c>
      <c r="C481">
        <v>27.82</v>
      </c>
      <c r="D481">
        <v>26.837</v>
      </c>
      <c r="E481">
        <v>27.33</v>
      </c>
      <c r="F481">
        <v>6068.317</v>
      </c>
      <c r="G481">
        <v>0</v>
      </c>
      <c r="L481" t="s">
        <v>7</v>
      </c>
      <c r="M481" t="s">
        <v>7</v>
      </c>
      <c r="N481" t="s">
        <v>7</v>
      </c>
      <c r="P481">
        <f t="shared" si="979"/>
        <v>3.0518819938927357E-3</v>
      </c>
      <c r="Q481">
        <f t="shared" si="980"/>
        <v>18.519787385533185</v>
      </c>
      <c r="R481">
        <f t="shared" si="981"/>
        <v>-338115.05457611271</v>
      </c>
      <c r="S481">
        <f t="shared" si="982"/>
        <v>-3.3811505457611273</v>
      </c>
      <c r="T481">
        <f t="shared" si="983"/>
        <v>-3.3811505457611271E-3</v>
      </c>
    </row>
    <row r="482" spans="1:20" x14ac:dyDescent="0.25">
      <c r="A482" s="5">
        <v>44111</v>
      </c>
      <c r="B482">
        <v>27.042999999999999</v>
      </c>
      <c r="C482">
        <v>27.742999999999999</v>
      </c>
      <c r="D482">
        <v>26.853000000000002</v>
      </c>
      <c r="E482">
        <v>27.359000000000002</v>
      </c>
      <c r="F482">
        <v>4747.3860000000004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0.1370786516853976</v>
      </c>
      <c r="Q482">
        <f t="shared" si="980"/>
        <v>650.76527191013304</v>
      </c>
      <c r="R482">
        <f t="shared" si="981"/>
        <v>-338133.57436349825</v>
      </c>
      <c r="S482">
        <f t="shared" si="982"/>
        <v>-3.3813357436349825</v>
      </c>
      <c r="T482">
        <f t="shared" si="983"/>
        <v>-3.3813357436349827E-3</v>
      </c>
    </row>
    <row r="483" spans="1:20" x14ac:dyDescent="0.25">
      <c r="A483" s="5">
        <v>44110</v>
      </c>
      <c r="B483">
        <v>28.869</v>
      </c>
      <c r="C483">
        <v>29.015000000000001</v>
      </c>
      <c r="D483">
        <v>26.972999999999999</v>
      </c>
      <c r="E483">
        <v>27.065000000000001</v>
      </c>
      <c r="F483">
        <v>5370.0919999999996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-0.9098922624877549</v>
      </c>
      <c r="Q483">
        <f t="shared" si="980"/>
        <v>-4886.2051596473921</v>
      </c>
      <c r="R483">
        <f t="shared" si="981"/>
        <v>-338784.33963540837</v>
      </c>
      <c r="S483">
        <f t="shared" si="982"/>
        <v>-3.3878433963540835</v>
      </c>
      <c r="T483">
        <f t="shared" si="983"/>
        <v>-3.3878433963540834E-3</v>
      </c>
    </row>
    <row r="484" spans="1:20" x14ac:dyDescent="0.25">
      <c r="A484" s="5">
        <v>44109</v>
      </c>
      <c r="B484">
        <v>29.015000000000001</v>
      </c>
      <c r="C484">
        <v>29.408000000000001</v>
      </c>
      <c r="D484">
        <v>28.277999999999999</v>
      </c>
      <c r="E484">
        <v>28.795000000000002</v>
      </c>
      <c r="F484">
        <v>3740.739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-8.4955752212386118E-2</v>
      </c>
      <c r="Q484">
        <f t="shared" si="980"/>
        <v>-317.79729557520903</v>
      </c>
      <c r="R484">
        <f t="shared" si="981"/>
        <v>-333898.13447576098</v>
      </c>
      <c r="S484">
        <f t="shared" si="982"/>
        <v>-3.3389813447576095</v>
      </c>
      <c r="T484">
        <f t="shared" si="983"/>
        <v>-3.3389813447576096E-3</v>
      </c>
    </row>
    <row r="485" spans="1:20" x14ac:dyDescent="0.25">
      <c r="A485" s="5">
        <v>44108</v>
      </c>
      <c r="B485">
        <v>28.481000000000002</v>
      </c>
      <c r="C485">
        <v>28.998000000000001</v>
      </c>
      <c r="D485">
        <v>27.908000000000001</v>
      </c>
      <c r="E485">
        <v>28.952999999999999</v>
      </c>
      <c r="F485">
        <v>4191.7969999999996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0.91743119266054729</v>
      </c>
      <c r="Q485">
        <f t="shared" si="980"/>
        <v>3845.6853211009038</v>
      </c>
      <c r="R485">
        <f t="shared" si="981"/>
        <v>-333580.33718018577</v>
      </c>
      <c r="S485">
        <f t="shared" si="982"/>
        <v>-3.3358033718018576</v>
      </c>
      <c r="T485">
        <f t="shared" si="983"/>
        <v>-3.3358033718018576E-3</v>
      </c>
    </row>
    <row r="486" spans="1:20" x14ac:dyDescent="0.25">
      <c r="A486" s="5">
        <v>44107</v>
      </c>
      <c r="B486">
        <v>28.542999999999999</v>
      </c>
      <c r="C486">
        <v>29.06</v>
      </c>
      <c r="D486">
        <v>28.366</v>
      </c>
      <c r="E486">
        <v>28.533999999999999</v>
      </c>
      <c r="F486">
        <v>3251.1979999999999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-0.51585014409222052</v>
      </c>
      <c r="Q486">
        <f t="shared" si="980"/>
        <v>-1677.130956772339</v>
      </c>
      <c r="R486">
        <f t="shared" si="981"/>
        <v>-337426.0225012867</v>
      </c>
      <c r="S486">
        <f t="shared" si="982"/>
        <v>-3.374260225012867</v>
      </c>
      <c r="T486">
        <f t="shared" si="983"/>
        <v>-3.3742602250128669E-3</v>
      </c>
    </row>
    <row r="487" spans="1:20" x14ac:dyDescent="0.25">
      <c r="A487" s="5">
        <v>44106</v>
      </c>
      <c r="B487">
        <v>30.524999999999999</v>
      </c>
      <c r="C487">
        <v>30.945</v>
      </c>
      <c r="D487">
        <v>28.091999999999999</v>
      </c>
      <c r="E487">
        <v>28.616</v>
      </c>
      <c r="F487">
        <v>15580.904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-0.63266736768314014</v>
      </c>
      <c r="Q487">
        <f t="shared" si="980"/>
        <v>-9857.5295198037093</v>
      </c>
      <c r="R487">
        <f t="shared" si="981"/>
        <v>-335748.89154451434</v>
      </c>
      <c r="S487">
        <f t="shared" si="982"/>
        <v>-3.3574889154451433</v>
      </c>
      <c r="T487">
        <f t="shared" si="983"/>
        <v>-3.3574889154451434E-3</v>
      </c>
    </row>
    <row r="488" spans="1:20" x14ac:dyDescent="0.25">
      <c r="A488" s="5">
        <v>44105</v>
      </c>
      <c r="B488">
        <v>30.759</v>
      </c>
      <c r="C488">
        <v>31.506</v>
      </c>
      <c r="D488">
        <v>29.54</v>
      </c>
      <c r="E488">
        <v>30.648</v>
      </c>
      <c r="F488">
        <v>8149.4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0.12716174974567643</v>
      </c>
      <c r="Q488">
        <f t="shared" si="980"/>
        <v>1036.2919633774154</v>
      </c>
      <c r="R488">
        <f t="shared" si="981"/>
        <v>-325891.36202471063</v>
      </c>
      <c r="S488">
        <f t="shared" si="982"/>
        <v>-3.2589136202471063</v>
      </c>
      <c r="T488">
        <f t="shared" si="983"/>
        <v>-3.2589136202471063E-3</v>
      </c>
    </row>
    <row r="489" spans="1:20" x14ac:dyDescent="0.25">
      <c r="A489" s="5">
        <v>44104</v>
      </c>
      <c r="B489">
        <v>30.646000000000001</v>
      </c>
      <c r="C489">
        <v>31.274999999999999</v>
      </c>
      <c r="D489">
        <v>30.434999999999999</v>
      </c>
      <c r="E489">
        <v>30.824000000000002</v>
      </c>
      <c r="F489">
        <v>9711.5319999999992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-7.3809523809516747E-2</v>
      </c>
      <c r="Q489">
        <f t="shared" si="980"/>
        <v>-716.80355238088373</v>
      </c>
      <c r="R489">
        <f t="shared" si="981"/>
        <v>-326927.65398808807</v>
      </c>
      <c r="S489">
        <f t="shared" si="982"/>
        <v>-3.2692765398808805</v>
      </c>
      <c r="T489">
        <f t="shared" si="983"/>
        <v>-3.2692765398808807E-3</v>
      </c>
    </row>
    <row r="490" spans="1:20" x14ac:dyDescent="0.25">
      <c r="A490" s="5">
        <v>44103</v>
      </c>
      <c r="B490">
        <v>31.286999999999999</v>
      </c>
      <c r="C490">
        <v>31.698</v>
      </c>
      <c r="D490">
        <v>30.100999999999999</v>
      </c>
      <c r="E490">
        <v>30.736000000000001</v>
      </c>
      <c r="F490">
        <v>9660.89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-0.20475892298058729</v>
      </c>
      <c r="Q490">
        <f t="shared" si="980"/>
        <v>-1978.1534314339258</v>
      </c>
      <c r="R490">
        <f t="shared" si="981"/>
        <v>-326210.85043570719</v>
      </c>
      <c r="S490">
        <f t="shared" si="982"/>
        <v>-3.2621085043570721</v>
      </c>
      <c r="T490">
        <f t="shared" si="983"/>
        <v>-3.2621085043570723E-3</v>
      </c>
    </row>
    <row r="491" spans="1:20" x14ac:dyDescent="0.25">
      <c r="A491" s="5">
        <v>44102</v>
      </c>
      <c r="B491">
        <v>31.74</v>
      </c>
      <c r="C491">
        <v>32.021999999999998</v>
      </c>
      <c r="D491">
        <v>30.925000000000001</v>
      </c>
      <c r="E491">
        <v>31.346</v>
      </c>
      <c r="F491">
        <v>11122.411</v>
      </c>
      <c r="G491">
        <v>0</v>
      </c>
      <c r="L491" t="s">
        <v>8</v>
      </c>
      <c r="M491" t="s">
        <v>7</v>
      </c>
      <c r="N491" t="s">
        <v>7</v>
      </c>
      <c r="P491">
        <f t="shared" si="979"/>
        <v>-0.23245214220601598</v>
      </c>
      <c r="Q491">
        <f t="shared" si="980"/>
        <v>-2585.4282634457563</v>
      </c>
      <c r="R491">
        <f t="shared" si="981"/>
        <v>-324232.69700427324</v>
      </c>
      <c r="S491">
        <f t="shared" si="982"/>
        <v>-3.2423269700427326</v>
      </c>
      <c r="T491">
        <f t="shared" si="983"/>
        <v>-3.2423269700427326E-3</v>
      </c>
    </row>
    <row r="492" spans="1:20" x14ac:dyDescent="0.25">
      <c r="A492" s="5">
        <v>44101</v>
      </c>
      <c r="B492">
        <v>31.405999999999999</v>
      </c>
      <c r="C492">
        <v>32.530999999999999</v>
      </c>
      <c r="D492">
        <v>30.718</v>
      </c>
      <c r="E492">
        <v>31.675000000000001</v>
      </c>
      <c r="F492">
        <v>7065.451</v>
      </c>
      <c r="G492">
        <v>0</v>
      </c>
      <c r="L492" t="s">
        <v>8</v>
      </c>
      <c r="M492" t="s">
        <v>7</v>
      </c>
      <c r="N492" t="s">
        <v>7</v>
      </c>
      <c r="P492">
        <f t="shared" si="979"/>
        <v>5.5708769994485777E-2</v>
      </c>
      <c r="Q492">
        <f t="shared" si="980"/>
        <v>393.60758466630955</v>
      </c>
      <c r="R492">
        <f t="shared" si="981"/>
        <v>-321647.26874082751</v>
      </c>
      <c r="S492">
        <f t="shared" si="982"/>
        <v>-3.2164726874082752</v>
      </c>
      <c r="T492">
        <f t="shared" si="983"/>
        <v>-3.216472687408275E-3</v>
      </c>
    </row>
    <row r="493" spans="1:20" x14ac:dyDescent="0.25">
      <c r="A493" s="5">
        <v>44100</v>
      </c>
      <c r="B493">
        <v>31.134</v>
      </c>
      <c r="C493">
        <v>32.384</v>
      </c>
      <c r="D493">
        <v>30.832000000000001</v>
      </c>
      <c r="E493">
        <v>31.478999999999999</v>
      </c>
      <c r="F493">
        <v>5869.643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-0.16623711340206362</v>
      </c>
      <c r="Q493">
        <f t="shared" si="980"/>
        <v>-975.75250902062896</v>
      </c>
      <c r="R493">
        <f t="shared" si="981"/>
        <v>-322040.87632549379</v>
      </c>
      <c r="S493">
        <f t="shared" si="982"/>
        <v>-3.2204087632549379</v>
      </c>
      <c r="T493">
        <f t="shared" si="983"/>
        <v>-3.2204087632549377E-3</v>
      </c>
    </row>
    <row r="494" spans="1:20" x14ac:dyDescent="0.25">
      <c r="A494" s="5">
        <v>44099</v>
      </c>
      <c r="B494">
        <v>31.600999999999999</v>
      </c>
      <c r="C494">
        <v>31.989000000000001</v>
      </c>
      <c r="D494">
        <v>30.140999999999998</v>
      </c>
      <c r="E494">
        <v>31.128</v>
      </c>
      <c r="F494">
        <v>8475.2970000000005</v>
      </c>
      <c r="G494">
        <v>0</v>
      </c>
      <c r="L494" t="s">
        <v>7</v>
      </c>
      <c r="M494" t="s">
        <v>7</v>
      </c>
      <c r="N494" t="s">
        <v>7</v>
      </c>
      <c r="P494">
        <f t="shared" si="979"/>
        <v>6.8181818181818746E-2</v>
      </c>
      <c r="Q494">
        <f t="shared" si="980"/>
        <v>577.86115909091393</v>
      </c>
      <c r="R494">
        <f t="shared" si="981"/>
        <v>-321065.12381647318</v>
      </c>
      <c r="S494">
        <f t="shared" si="982"/>
        <v>-3.2106512381647319</v>
      </c>
      <c r="T494">
        <f t="shared" si="983"/>
        <v>-3.210651238164732E-3</v>
      </c>
    </row>
    <row r="495" spans="1:20" x14ac:dyDescent="0.25">
      <c r="A495" s="5">
        <v>44098</v>
      </c>
      <c r="B495">
        <v>28.978000000000002</v>
      </c>
      <c r="C495">
        <v>33</v>
      </c>
      <c r="D495">
        <v>28.949000000000002</v>
      </c>
      <c r="E495">
        <v>31.687999999999999</v>
      </c>
      <c r="F495">
        <v>26261.05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0.35225870155517075</v>
      </c>
      <c r="Q495">
        <f t="shared" si="980"/>
        <v>9250.6833744754167</v>
      </c>
      <c r="R495">
        <f t="shared" si="981"/>
        <v>-321642.98497556412</v>
      </c>
      <c r="S495">
        <f t="shared" si="982"/>
        <v>-3.2164298497556412</v>
      </c>
      <c r="T495">
        <f t="shared" si="983"/>
        <v>-3.2164298497556411E-3</v>
      </c>
    </row>
    <row r="496" spans="1:20" x14ac:dyDescent="0.25">
      <c r="A496" s="5">
        <v>44097</v>
      </c>
      <c r="B496">
        <v>30.701000000000001</v>
      </c>
      <c r="C496">
        <v>32</v>
      </c>
      <c r="D496">
        <v>28.81</v>
      </c>
      <c r="E496">
        <v>29.100999999999999</v>
      </c>
      <c r="F496">
        <v>39743.006999999998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-0.81755485893416913</v>
      </c>
      <c r="Q496">
        <f t="shared" si="980"/>
        <v>-32492.088481504696</v>
      </c>
      <c r="R496">
        <f t="shared" si="981"/>
        <v>-330893.66835003952</v>
      </c>
      <c r="S496">
        <f t="shared" si="982"/>
        <v>-3.308936683500395</v>
      </c>
      <c r="T496">
        <f t="shared" si="983"/>
        <v>-3.3089366835003949E-3</v>
      </c>
    </row>
    <row r="497" spans="1:20" x14ac:dyDescent="0.25">
      <c r="A497" s="5">
        <v>44096</v>
      </c>
      <c r="B497">
        <v>31.146999999999998</v>
      </c>
      <c r="C497">
        <v>33.1</v>
      </c>
      <c r="D497">
        <v>29.936</v>
      </c>
      <c r="E497">
        <v>30.7</v>
      </c>
      <c r="F497">
        <v>26253.944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-0.51706700379266812</v>
      </c>
      <c r="Q497">
        <f t="shared" si="980"/>
        <v>-13575.048161820496</v>
      </c>
      <c r="R497">
        <f t="shared" si="981"/>
        <v>-298401.57986853481</v>
      </c>
      <c r="S497">
        <f t="shared" si="982"/>
        <v>-2.9840157986853479</v>
      </c>
      <c r="T497">
        <f t="shared" si="983"/>
        <v>-2.9840157986853479E-3</v>
      </c>
    </row>
    <row r="498" spans="1:20" x14ac:dyDescent="0.25">
      <c r="A498" s="5">
        <v>44095</v>
      </c>
      <c r="B498">
        <v>33.265000000000001</v>
      </c>
      <c r="C498">
        <v>34.136000000000003</v>
      </c>
      <c r="D498">
        <v>29.71</v>
      </c>
      <c r="E498">
        <v>31.196000000000002</v>
      </c>
      <c r="F498">
        <v>53371.527999999998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-0.32851333032083146</v>
      </c>
      <c r="Q498">
        <f t="shared" si="980"/>
        <v>-17533.258407591504</v>
      </c>
      <c r="R498">
        <f t="shared" si="981"/>
        <v>-284826.5317067143</v>
      </c>
      <c r="S498">
        <f t="shared" si="982"/>
        <v>-2.8482653170671433</v>
      </c>
      <c r="T498">
        <f t="shared" si="983"/>
        <v>-2.8482653170671434E-3</v>
      </c>
    </row>
    <row r="499" spans="1:20" x14ac:dyDescent="0.25">
      <c r="A499" s="5">
        <v>44094</v>
      </c>
      <c r="B499">
        <v>29.216000000000001</v>
      </c>
      <c r="C499">
        <v>40</v>
      </c>
      <c r="D499">
        <v>28.896000000000001</v>
      </c>
      <c r="E499">
        <v>33.265999999999998</v>
      </c>
      <c r="F499">
        <v>228951.429</v>
      </c>
      <c r="G499">
        <v>0</v>
      </c>
      <c r="L499" t="s">
        <v>8</v>
      </c>
      <c r="M499" t="s">
        <v>8</v>
      </c>
      <c r="N499" t="s">
        <v>7</v>
      </c>
      <c r="P499">
        <f t="shared" si="979"/>
        <v>-0.21289625360230588</v>
      </c>
      <c r="Q499">
        <f t="shared" si="980"/>
        <v>-48742.901490994329</v>
      </c>
      <c r="R499">
        <f t="shared" si="981"/>
        <v>-267293.27329912281</v>
      </c>
      <c r="S499">
        <f t="shared" si="982"/>
        <v>-2.672932732991228</v>
      </c>
      <c r="T499">
        <f t="shared" si="983"/>
        <v>-2.6729327329912279E-3</v>
      </c>
    </row>
    <row r="500" spans="1:20" x14ac:dyDescent="0.25">
      <c r="A500" s="5">
        <v>44093</v>
      </c>
      <c r="B500">
        <v>29.393000000000001</v>
      </c>
      <c r="C500">
        <v>29.652999999999999</v>
      </c>
      <c r="D500">
        <v>28.733000000000001</v>
      </c>
      <c r="E500">
        <v>29.222999999999999</v>
      </c>
      <c r="F500">
        <v>6857.5169999999998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6.5217391304346561E-2</v>
      </c>
      <c r="Q500">
        <f t="shared" si="980"/>
        <v>447.22936956520869</v>
      </c>
      <c r="R500">
        <f t="shared" si="981"/>
        <v>-218550.37180812846</v>
      </c>
      <c r="S500">
        <f t="shared" si="982"/>
        <v>-2.1855037180812844</v>
      </c>
      <c r="T500">
        <f t="shared" si="983"/>
        <v>-2.1855037180812842E-3</v>
      </c>
    </row>
    <row r="501" spans="1:20" x14ac:dyDescent="0.25">
      <c r="A501" s="5">
        <v>44092</v>
      </c>
      <c r="B501">
        <v>32.061</v>
      </c>
      <c r="C501">
        <v>32.299999999999997</v>
      </c>
      <c r="D501">
        <v>28.814</v>
      </c>
      <c r="E501">
        <v>29.381</v>
      </c>
      <c r="F501">
        <v>38081.667999999998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-0.67469879518072251</v>
      </c>
      <c r="Q501">
        <f t="shared" si="980"/>
        <v>-25693.655518072272</v>
      </c>
      <c r="R501">
        <f t="shared" si="981"/>
        <v>-218997.60117769366</v>
      </c>
      <c r="S501">
        <f t="shared" si="982"/>
        <v>-2.1899760117769365</v>
      </c>
      <c r="T501">
        <f t="shared" si="983"/>
        <v>-2.1899760117769364E-3</v>
      </c>
    </row>
    <row r="502" spans="1:20" x14ac:dyDescent="0.25">
      <c r="A502" s="5">
        <v>44091</v>
      </c>
      <c r="B502">
        <v>32.186999999999998</v>
      </c>
      <c r="C502">
        <v>37.527999999999999</v>
      </c>
      <c r="D502">
        <v>31.864999999999998</v>
      </c>
      <c r="E502">
        <v>32.061</v>
      </c>
      <c r="F502">
        <v>18718.873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-0.93077873918417742</v>
      </c>
      <c r="Q502">
        <f t="shared" si="980"/>
        <v>-17423.12900988874</v>
      </c>
      <c r="R502">
        <f t="shared" si="981"/>
        <v>-193303.94565962139</v>
      </c>
      <c r="S502">
        <f t="shared" si="982"/>
        <v>-1.9330394565962139</v>
      </c>
      <c r="T502">
        <f t="shared" si="983"/>
        <v>-1.9330394565962139E-3</v>
      </c>
    </row>
    <row r="503" spans="1:20" x14ac:dyDescent="0.25">
      <c r="A503" s="5">
        <v>44090</v>
      </c>
      <c r="B503">
        <v>34.822000000000003</v>
      </c>
      <c r="C503">
        <v>35.725999999999999</v>
      </c>
      <c r="D503">
        <v>32.162999999999997</v>
      </c>
      <c r="E503">
        <v>32.216000000000001</v>
      </c>
      <c r="F503">
        <v>13473.371999999999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-0.97024978950322516</v>
      </c>
      <c r="Q503">
        <f t="shared" si="980"/>
        <v>-13072.536346898647</v>
      </c>
      <c r="R503">
        <f t="shared" si="981"/>
        <v>-175880.81664973265</v>
      </c>
      <c r="S503">
        <f t="shared" si="982"/>
        <v>-1.7588081664973265</v>
      </c>
      <c r="T503">
        <f t="shared" si="983"/>
        <v>-1.7588081664973265E-3</v>
      </c>
    </row>
    <row r="504" spans="1:20" x14ac:dyDescent="0.25">
      <c r="A504" s="5">
        <v>44089</v>
      </c>
      <c r="B504">
        <v>35.271000000000001</v>
      </c>
      <c r="C504">
        <v>36.817999999999998</v>
      </c>
      <c r="D504">
        <v>33.854999999999997</v>
      </c>
      <c r="E504">
        <v>34.979999999999997</v>
      </c>
      <c r="F504">
        <v>19236.467000000001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-0.24063449206884938</v>
      </c>
      <c r="Q504">
        <f t="shared" si="980"/>
        <v>-4628.9574657441826</v>
      </c>
      <c r="R504">
        <f t="shared" si="981"/>
        <v>-162808.280302834</v>
      </c>
      <c r="S504">
        <f t="shared" si="982"/>
        <v>-1.6280828030283401</v>
      </c>
      <c r="T504">
        <f t="shared" si="983"/>
        <v>-1.6280828030283401E-3</v>
      </c>
    </row>
    <row r="505" spans="1:20" x14ac:dyDescent="0.25">
      <c r="A505" s="5">
        <v>44088</v>
      </c>
      <c r="B505">
        <v>35.573</v>
      </c>
      <c r="C505">
        <v>37.244</v>
      </c>
      <c r="D505">
        <v>34.981999999999999</v>
      </c>
      <c r="E505">
        <v>35.259</v>
      </c>
      <c r="F505">
        <v>12227.861000000001</v>
      </c>
      <c r="G505">
        <v>0</v>
      </c>
      <c r="L505" t="s">
        <v>7</v>
      </c>
      <c r="M505" t="s">
        <v>7</v>
      </c>
      <c r="N505" t="s">
        <v>7</v>
      </c>
      <c r="P505">
        <f t="shared" si="979"/>
        <v>-0.75508399646330593</v>
      </c>
      <c r="Q505">
        <f t="shared" si="980"/>
        <v>-9233.0621520777968</v>
      </c>
      <c r="R505">
        <f t="shared" si="981"/>
        <v>-158179.32283708983</v>
      </c>
      <c r="S505">
        <f t="shared" si="982"/>
        <v>-1.5817932283708982</v>
      </c>
      <c r="T505">
        <f t="shared" si="983"/>
        <v>-1.5817932283708981E-3</v>
      </c>
    </row>
    <row r="506" spans="1:20" x14ac:dyDescent="0.25">
      <c r="A506" s="5">
        <v>44087</v>
      </c>
      <c r="B506">
        <v>37.762</v>
      </c>
      <c r="C506">
        <v>38.438000000000002</v>
      </c>
      <c r="D506">
        <v>35.000999999999998</v>
      </c>
      <c r="E506">
        <v>35.546999999999997</v>
      </c>
      <c r="F506">
        <v>7267.1450000000004</v>
      </c>
      <c r="G506">
        <v>0</v>
      </c>
      <c r="L506" t="s">
        <v>7</v>
      </c>
      <c r="M506" t="s">
        <v>7</v>
      </c>
      <c r="N506" t="s">
        <v>7</v>
      </c>
      <c r="P506">
        <f t="shared" si="979"/>
        <v>-0.6822810590631373</v>
      </c>
      <c r="Q506">
        <f t="shared" si="980"/>
        <v>-4958.2353869653834</v>
      </c>
      <c r="R506">
        <f t="shared" si="981"/>
        <v>-148946.26068501204</v>
      </c>
      <c r="S506">
        <f t="shared" si="982"/>
        <v>-1.4894626068501204</v>
      </c>
      <c r="T506">
        <f t="shared" si="983"/>
        <v>-1.4894626068501205E-3</v>
      </c>
    </row>
    <row r="507" spans="1:20" x14ac:dyDescent="0.25">
      <c r="A507" s="5">
        <v>44086</v>
      </c>
      <c r="B507">
        <v>36.234999999999999</v>
      </c>
      <c r="C507">
        <v>39.67</v>
      </c>
      <c r="D507">
        <v>36.145000000000003</v>
      </c>
      <c r="E507">
        <v>37.762</v>
      </c>
      <c r="F507">
        <v>22056.743999999999</v>
      </c>
      <c r="G507">
        <v>0</v>
      </c>
      <c r="L507" t="s">
        <v>8</v>
      </c>
      <c r="M507" t="s">
        <v>7</v>
      </c>
      <c r="N507" t="s">
        <v>7</v>
      </c>
      <c r="P507">
        <f t="shared" si="979"/>
        <v>-8.2553191489362854E-2</v>
      </c>
      <c r="Q507">
        <f t="shared" si="980"/>
        <v>-1820.8546110638551</v>
      </c>
      <c r="R507">
        <f t="shared" si="981"/>
        <v>-143988.02529804665</v>
      </c>
      <c r="S507">
        <f t="shared" si="982"/>
        <v>-1.4398802529804664</v>
      </c>
      <c r="T507">
        <f t="shared" si="983"/>
        <v>-1.4398802529804664E-3</v>
      </c>
    </row>
    <row r="508" spans="1:20" x14ac:dyDescent="0.25">
      <c r="A508" s="5">
        <v>44085</v>
      </c>
      <c r="B508">
        <v>36.531999999999996</v>
      </c>
      <c r="C508">
        <v>36.898000000000003</v>
      </c>
      <c r="D508">
        <v>34.86</v>
      </c>
      <c r="E508">
        <v>36.283000000000001</v>
      </c>
      <c r="F508">
        <v>8574.2080000000005</v>
      </c>
      <c r="G508">
        <v>0</v>
      </c>
      <c r="L508" t="s">
        <v>7</v>
      </c>
      <c r="M508" t="s">
        <v>7</v>
      </c>
      <c r="N508" t="s">
        <v>7</v>
      </c>
      <c r="P508">
        <f t="shared" si="979"/>
        <v>0.39646712463199135</v>
      </c>
      <c r="Q508">
        <f t="shared" si="980"/>
        <v>3399.3915917566173</v>
      </c>
      <c r="R508">
        <f t="shared" si="981"/>
        <v>-142167.1706869828</v>
      </c>
      <c r="S508">
        <f t="shared" si="982"/>
        <v>-1.4216717068698281</v>
      </c>
      <c r="T508">
        <f t="shared" si="983"/>
        <v>-1.4216717068698281E-3</v>
      </c>
    </row>
    <row r="509" spans="1:20" x14ac:dyDescent="0.25">
      <c r="A509" s="5">
        <v>44084</v>
      </c>
      <c r="B509">
        <v>35.960999999999999</v>
      </c>
      <c r="C509">
        <v>40</v>
      </c>
      <c r="D509">
        <v>35.9</v>
      </c>
      <c r="E509">
        <v>36.473999999999997</v>
      </c>
      <c r="F509">
        <v>10089.061</v>
      </c>
      <c r="G509">
        <v>0</v>
      </c>
      <c r="L509" t="s">
        <v>8</v>
      </c>
      <c r="M509" t="s">
        <v>7</v>
      </c>
      <c r="N509" t="s">
        <v>7</v>
      </c>
      <c r="P509">
        <f t="shared" si="979"/>
        <v>-0.72000000000000108</v>
      </c>
      <c r="Q509">
        <f t="shared" si="980"/>
        <v>-7264.1239200000109</v>
      </c>
      <c r="R509">
        <f t="shared" si="981"/>
        <v>-145566.56227873941</v>
      </c>
      <c r="S509">
        <f t="shared" si="982"/>
        <v>-1.4556656227873941</v>
      </c>
      <c r="T509">
        <f t="shared" si="983"/>
        <v>-1.455665622787394E-3</v>
      </c>
    </row>
    <row r="510" spans="1:20" x14ac:dyDescent="0.25">
      <c r="A510" s="5">
        <v>44083</v>
      </c>
      <c r="B510">
        <v>35.65</v>
      </c>
      <c r="C510">
        <v>37.698</v>
      </c>
      <c r="D510">
        <v>34.188000000000002</v>
      </c>
      <c r="E510">
        <v>35.962000000000003</v>
      </c>
      <c r="F510">
        <v>4763.384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1.0826210826211918E-2</v>
      </c>
      <c r="Q510">
        <f t="shared" si="980"/>
        <v>51.569399430204626</v>
      </c>
      <c r="R510">
        <f t="shared" si="981"/>
        <v>-138302.4383587394</v>
      </c>
      <c r="S510">
        <f t="shared" si="982"/>
        <v>-1.3830243835873939</v>
      </c>
      <c r="T510">
        <f t="shared" si="983"/>
        <v>-1.3830243835873939E-3</v>
      </c>
    </row>
    <row r="511" spans="1:20" x14ac:dyDescent="0.25">
      <c r="A511" s="5">
        <v>44082</v>
      </c>
      <c r="B511">
        <v>37.395000000000003</v>
      </c>
      <c r="C511">
        <v>37.488</v>
      </c>
      <c r="D511">
        <v>33.893999999999998</v>
      </c>
      <c r="E511">
        <v>35.656999999999996</v>
      </c>
      <c r="F511">
        <v>9716.2270000000008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-1.8920422927102092E-2</v>
      </c>
      <c r="Q511">
        <f t="shared" si="980"/>
        <v>-183.83512409572839</v>
      </c>
      <c r="R511">
        <f t="shared" si="981"/>
        <v>-138354.00775816961</v>
      </c>
      <c r="S511">
        <f t="shared" si="982"/>
        <v>-1.3835400775816962</v>
      </c>
      <c r="T511">
        <f t="shared" si="983"/>
        <v>-1.3835400775816962E-3</v>
      </c>
    </row>
    <row r="512" spans="1:20" x14ac:dyDescent="0.25">
      <c r="A512" s="5">
        <v>44081</v>
      </c>
      <c r="B512">
        <v>38.255000000000003</v>
      </c>
      <c r="C512">
        <v>40</v>
      </c>
      <c r="D512">
        <v>34.146999999999998</v>
      </c>
      <c r="E512">
        <v>37.396000000000001</v>
      </c>
      <c r="F512">
        <v>9661.1149999999998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0.11019989748846795</v>
      </c>
      <c r="Q512">
        <f t="shared" si="980"/>
        <v>1064.6538826243</v>
      </c>
      <c r="R512">
        <f t="shared" si="981"/>
        <v>-138170.17263407388</v>
      </c>
      <c r="S512">
        <f t="shared" si="982"/>
        <v>-1.3817017263407387</v>
      </c>
      <c r="T512">
        <f t="shared" si="983"/>
        <v>-1.3817017263407388E-3</v>
      </c>
    </row>
    <row r="513" spans="1:20" x14ac:dyDescent="0.25">
      <c r="A513" s="5">
        <v>44080</v>
      </c>
      <c r="B513">
        <v>37.637999999999998</v>
      </c>
      <c r="C513">
        <v>40.5</v>
      </c>
      <c r="D513">
        <v>35</v>
      </c>
      <c r="E513">
        <v>38.255000000000003</v>
      </c>
      <c r="F513">
        <v>19173.991000000002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0.18363636363636457</v>
      </c>
      <c r="Q513">
        <f t="shared" si="980"/>
        <v>3521.0419836363817</v>
      </c>
      <c r="R513">
        <f t="shared" si="981"/>
        <v>-139234.82651669817</v>
      </c>
      <c r="S513">
        <f t="shared" si="982"/>
        <v>-1.3923482651669816</v>
      </c>
      <c r="T513">
        <f t="shared" si="983"/>
        <v>-1.3923482651669815E-3</v>
      </c>
    </row>
    <row r="514" spans="1:20" x14ac:dyDescent="0.25">
      <c r="A514" s="5">
        <v>44079</v>
      </c>
      <c r="B514">
        <v>42.68</v>
      </c>
      <c r="C514">
        <v>44.588000000000001</v>
      </c>
      <c r="D514">
        <v>35.936</v>
      </c>
      <c r="E514">
        <v>37.637999999999998</v>
      </c>
      <c r="F514">
        <v>19104.598000000002</v>
      </c>
      <c r="G514">
        <v>0</v>
      </c>
      <c r="L514" t="s">
        <v>7</v>
      </c>
      <c r="M514" t="s">
        <v>8</v>
      </c>
      <c r="N514" t="s">
        <v>7</v>
      </c>
      <c r="P514">
        <f t="shared" si="979"/>
        <v>-0.60656495607951966</v>
      </c>
      <c r="Q514">
        <f t="shared" si="980"/>
        <v>-11588.179646786881</v>
      </c>
      <c r="R514">
        <f t="shared" si="981"/>
        <v>-142755.86850033456</v>
      </c>
      <c r="S514">
        <f t="shared" si="982"/>
        <v>-1.4275586850033457</v>
      </c>
      <c r="T514">
        <f t="shared" si="983"/>
        <v>-1.4275586850033457E-3</v>
      </c>
    </row>
    <row r="515" spans="1:20" x14ac:dyDescent="0.25">
      <c r="A515" s="5">
        <v>44078</v>
      </c>
      <c r="B515">
        <v>40.491999999999997</v>
      </c>
      <c r="C515">
        <v>48.862000000000002</v>
      </c>
      <c r="D515">
        <v>36.368000000000002</v>
      </c>
      <c r="E515">
        <v>42.744999999999997</v>
      </c>
      <c r="F515">
        <v>20238.924999999999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2.080998879462069E-2</v>
      </c>
      <c r="Q515">
        <f t="shared" si="980"/>
        <v>421.17180246516853</v>
      </c>
      <c r="R515">
        <f t="shared" si="981"/>
        <v>-131167.68885354768</v>
      </c>
      <c r="S515">
        <f t="shared" si="982"/>
        <v>-1.3116768885354768</v>
      </c>
      <c r="T515">
        <f t="shared" si="983"/>
        <v>-1.3116768885354769E-3</v>
      </c>
    </row>
    <row r="516" spans="1:20" x14ac:dyDescent="0.25">
      <c r="A516" s="5">
        <v>44077</v>
      </c>
      <c r="B516">
        <v>49.021000000000001</v>
      </c>
      <c r="C516">
        <v>49.061999999999998</v>
      </c>
      <c r="D516">
        <v>37.770000000000003</v>
      </c>
      <c r="E516">
        <v>40.710999999999999</v>
      </c>
      <c r="F516">
        <v>23023.775000000001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-0.47910024796316031</v>
      </c>
      <c r="Q516">
        <f t="shared" si="980"/>
        <v>-11030.696311548012</v>
      </c>
      <c r="R516">
        <f t="shared" si="981"/>
        <v>-131588.86065601284</v>
      </c>
      <c r="S516">
        <f t="shared" si="982"/>
        <v>-1.3158886065601283</v>
      </c>
      <c r="T516">
        <f t="shared" si="983"/>
        <v>-1.3158886065601284E-3</v>
      </c>
    </row>
    <row r="517" spans="1:20" x14ac:dyDescent="0.25">
      <c r="A517" s="5">
        <v>44076</v>
      </c>
      <c r="B517">
        <v>51.197000000000003</v>
      </c>
      <c r="C517">
        <v>52.853000000000002</v>
      </c>
      <c r="D517">
        <v>45.82</v>
      </c>
      <c r="E517">
        <v>48.997999999999998</v>
      </c>
      <c r="F517">
        <v>17974.788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-9.6260486278971505E-2</v>
      </c>
      <c r="Q517">
        <f t="shared" si="980"/>
        <v>-1730.2618336414216</v>
      </c>
      <c r="R517">
        <f t="shared" si="981"/>
        <v>-120558.16434446484</v>
      </c>
      <c r="S517">
        <f t="shared" si="982"/>
        <v>-1.2055816434446485</v>
      </c>
      <c r="T517">
        <f t="shared" si="983"/>
        <v>-1.2055816434446485E-3</v>
      </c>
    </row>
    <row r="518" spans="1:20" x14ac:dyDescent="0.25">
      <c r="A518" s="5">
        <v>44075</v>
      </c>
      <c r="B518">
        <v>55.42</v>
      </c>
      <c r="C518">
        <v>55.57</v>
      </c>
      <c r="D518">
        <v>50.25</v>
      </c>
      <c r="E518">
        <v>50.890999999999998</v>
      </c>
      <c r="F518">
        <v>26642.974999999999</v>
      </c>
      <c r="G518">
        <v>0</v>
      </c>
      <c r="L518" t="s">
        <v>7</v>
      </c>
      <c r="M518" t="s">
        <v>8</v>
      </c>
      <c r="N518" t="s">
        <v>7</v>
      </c>
      <c r="P518">
        <f t="shared" ref="P518:P581" si="984">IF(C518=D518,0,((E518-D518)-(C518-E518))/(C518-D518))</f>
        <v>-0.75902255639097815</v>
      </c>
      <c r="Q518">
        <f t="shared" ref="Q518:Q581" si="985">F518*P518</f>
        <v>-20222.618994360921</v>
      </c>
      <c r="R518">
        <f t="shared" ref="R518:R581" si="986">R519+Q518</f>
        <v>-118827.90251082342</v>
      </c>
      <c r="S518">
        <f t="shared" ref="S518:S581" si="987">R518/100000</f>
        <v>-1.1882790251082342</v>
      </c>
      <c r="T518">
        <f t="shared" ref="T518:T581" si="988">S518/1000</f>
        <v>-1.1882790251082343E-3</v>
      </c>
    </row>
    <row r="519" spans="1:20" x14ac:dyDescent="0.25">
      <c r="A519" s="5">
        <v>44074</v>
      </c>
      <c r="B519">
        <v>51.329000000000001</v>
      </c>
      <c r="C519">
        <v>59.59</v>
      </c>
      <c r="D519">
        <v>49.834000000000003</v>
      </c>
      <c r="E519">
        <v>55.249000000000002</v>
      </c>
      <c r="F519">
        <v>56010.889000000003</v>
      </c>
      <c r="G519">
        <v>0</v>
      </c>
      <c r="L519" t="s">
        <v>8</v>
      </c>
      <c r="M519" t="s">
        <v>8</v>
      </c>
      <c r="N519" t="s">
        <v>7</v>
      </c>
      <c r="P519">
        <f t="shared" si="984"/>
        <v>0.11008610086100841</v>
      </c>
      <c r="Q519">
        <f t="shared" si="985"/>
        <v>6166.0203757687468</v>
      </c>
      <c r="R519">
        <f t="shared" si="986"/>
        <v>-98605.283516462499</v>
      </c>
      <c r="S519">
        <f t="shared" si="987"/>
        <v>-0.98605283516462494</v>
      </c>
      <c r="T519">
        <f t="shared" si="988"/>
        <v>-9.8605283516462502E-4</v>
      </c>
    </row>
    <row r="520" spans="1:20" x14ac:dyDescent="0.25">
      <c r="A520" s="5">
        <v>44073</v>
      </c>
      <c r="B520">
        <v>52.45</v>
      </c>
      <c r="C520">
        <v>53.5</v>
      </c>
      <c r="D520">
        <v>47.947000000000003</v>
      </c>
      <c r="E520">
        <v>51.354999999999997</v>
      </c>
      <c r="F520">
        <v>46303.341999999997</v>
      </c>
      <c r="G520">
        <v>0</v>
      </c>
      <c r="L520" t="s">
        <v>7</v>
      </c>
      <c r="M520" t="s">
        <v>7</v>
      </c>
      <c r="N520" t="s">
        <v>7</v>
      </c>
      <c r="P520">
        <f t="shared" si="984"/>
        <v>0.22744462452728104</v>
      </c>
      <c r="Q520">
        <f t="shared" si="985"/>
        <v>10531.446235548281</v>
      </c>
      <c r="R520">
        <f t="shared" si="986"/>
        <v>-104771.30389223124</v>
      </c>
      <c r="S520">
        <f t="shared" si="987"/>
        <v>-1.0477130389223124</v>
      </c>
      <c r="T520">
        <f t="shared" si="988"/>
        <v>-1.0477130389223125E-3</v>
      </c>
    </row>
    <row r="521" spans="1:20" x14ac:dyDescent="0.25">
      <c r="A521" s="5">
        <v>44072</v>
      </c>
      <c r="B521">
        <v>54.69</v>
      </c>
      <c r="C521">
        <v>55.957999999999998</v>
      </c>
      <c r="D521">
        <v>51.006</v>
      </c>
      <c r="E521">
        <v>52.45</v>
      </c>
      <c r="F521">
        <v>40002.97</v>
      </c>
      <c r="G521">
        <v>0</v>
      </c>
      <c r="L521" t="s">
        <v>8</v>
      </c>
      <c r="M521" t="s">
        <v>7</v>
      </c>
      <c r="N521" t="s">
        <v>8</v>
      </c>
      <c r="P521">
        <f t="shared" si="984"/>
        <v>-0.41680129240710695</v>
      </c>
      <c r="Q521">
        <f t="shared" si="985"/>
        <v>-16673.289596122726</v>
      </c>
      <c r="R521">
        <f t="shared" si="986"/>
        <v>-115302.75012777952</v>
      </c>
      <c r="S521">
        <f t="shared" si="987"/>
        <v>-1.1530275012777953</v>
      </c>
      <c r="T521">
        <f t="shared" si="988"/>
        <v>-1.1530275012777954E-3</v>
      </c>
    </row>
    <row r="522" spans="1:20" x14ac:dyDescent="0.25">
      <c r="A522" s="5">
        <v>44071</v>
      </c>
      <c r="B522">
        <v>52.497</v>
      </c>
      <c r="C522">
        <v>64.8</v>
      </c>
      <c r="D522">
        <v>50</v>
      </c>
      <c r="E522">
        <v>54.69</v>
      </c>
      <c r="F522">
        <v>144901.117</v>
      </c>
      <c r="G522">
        <v>0</v>
      </c>
      <c r="L522" t="s">
        <v>7</v>
      </c>
      <c r="M522" t="s">
        <v>7</v>
      </c>
      <c r="N522" t="s">
        <v>8</v>
      </c>
      <c r="P522">
        <f t="shared" si="984"/>
        <v>-0.36621621621621642</v>
      </c>
      <c r="Q522">
        <f t="shared" si="985"/>
        <v>-53065.13879324327</v>
      </c>
      <c r="R522">
        <f t="shared" si="986"/>
        <v>-98629.460531656805</v>
      </c>
      <c r="S522">
        <f t="shared" si="987"/>
        <v>-0.9862946053165681</v>
      </c>
      <c r="T522">
        <f t="shared" si="988"/>
        <v>-9.8629460531656811E-4</v>
      </c>
    </row>
    <row r="523" spans="1:20" x14ac:dyDescent="0.25">
      <c r="A523" s="5">
        <v>44070</v>
      </c>
      <c r="B523">
        <v>43.709000000000003</v>
      </c>
      <c r="C523">
        <v>67.5</v>
      </c>
      <c r="D523">
        <v>38.694000000000003</v>
      </c>
      <c r="E523">
        <v>52.436999999999998</v>
      </c>
      <c r="F523">
        <v>77689.364000000001</v>
      </c>
      <c r="G523">
        <v>0</v>
      </c>
      <c r="L523" t="s">
        <v>8</v>
      </c>
      <c r="M523" t="s">
        <v>8</v>
      </c>
      <c r="N523" t="s">
        <v>8</v>
      </c>
      <c r="P523">
        <f t="shared" si="984"/>
        <v>-4.5823786711102113E-2</v>
      </c>
      <c r="Q523">
        <f t="shared" si="985"/>
        <v>-3560.020845657175</v>
      </c>
      <c r="R523">
        <f t="shared" si="986"/>
        <v>-45564.321738413528</v>
      </c>
      <c r="S523">
        <f t="shared" si="987"/>
        <v>-0.45564321738413527</v>
      </c>
      <c r="T523">
        <f t="shared" si="988"/>
        <v>-4.5564321738413526E-4</v>
      </c>
    </row>
    <row r="524" spans="1:20" x14ac:dyDescent="0.25">
      <c r="A524" s="5">
        <v>44069</v>
      </c>
      <c r="B524">
        <v>41.878</v>
      </c>
      <c r="C524">
        <v>44.307000000000002</v>
      </c>
      <c r="D524">
        <v>38.622</v>
      </c>
      <c r="E524">
        <v>43.707999999999998</v>
      </c>
      <c r="F524">
        <v>12766.289000000001</v>
      </c>
      <c r="G524">
        <v>0</v>
      </c>
      <c r="L524" t="s">
        <v>7</v>
      </c>
      <c r="M524" t="s">
        <v>7</v>
      </c>
      <c r="N524" t="s">
        <v>8</v>
      </c>
      <c r="P524">
        <f t="shared" si="984"/>
        <v>0.78927000879507347</v>
      </c>
      <c r="Q524">
        <f t="shared" si="985"/>
        <v>10076.049031310451</v>
      </c>
      <c r="R524">
        <f t="shared" si="986"/>
        <v>-42004.30089275635</v>
      </c>
      <c r="S524">
        <f t="shared" si="987"/>
        <v>-0.42004300892756352</v>
      </c>
      <c r="T524">
        <f t="shared" si="988"/>
        <v>-4.2004300892756354E-4</v>
      </c>
    </row>
    <row r="525" spans="1:20" x14ac:dyDescent="0.25">
      <c r="A525" s="5">
        <v>44068</v>
      </c>
      <c r="B525">
        <v>44.728000000000002</v>
      </c>
      <c r="C525">
        <v>45.158999999999999</v>
      </c>
      <c r="D525">
        <v>40.1</v>
      </c>
      <c r="E525">
        <v>42.231000000000002</v>
      </c>
      <c r="F525">
        <v>13036.036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-0.15754101601106887</v>
      </c>
      <c r="Q525">
        <f t="shared" si="985"/>
        <v>-2053.7103561968702</v>
      </c>
      <c r="R525">
        <f t="shared" si="986"/>
        <v>-52080.349924066802</v>
      </c>
      <c r="S525">
        <f t="shared" si="987"/>
        <v>-0.52080349924066804</v>
      </c>
      <c r="T525">
        <f t="shared" si="988"/>
        <v>-5.2080349924066803E-4</v>
      </c>
    </row>
    <row r="526" spans="1:20" x14ac:dyDescent="0.25">
      <c r="A526" s="5">
        <v>44067</v>
      </c>
      <c r="B526">
        <v>43.283000000000001</v>
      </c>
      <c r="C526">
        <v>46.999000000000002</v>
      </c>
      <c r="D526">
        <v>42.814999999999998</v>
      </c>
      <c r="E526">
        <v>44.728999999999999</v>
      </c>
      <c r="F526">
        <v>11956.428</v>
      </c>
      <c r="G526">
        <v>0</v>
      </c>
      <c r="L526" t="s">
        <v>8</v>
      </c>
      <c r="M526" t="s">
        <v>8</v>
      </c>
      <c r="N526" t="s">
        <v>8</v>
      </c>
      <c r="P526">
        <f t="shared" si="984"/>
        <v>-8.5086042065009859E-2</v>
      </c>
      <c r="Q526">
        <f t="shared" si="985"/>
        <v>-1017.3251357552617</v>
      </c>
      <c r="R526">
        <f t="shared" si="986"/>
        <v>-50026.639567869934</v>
      </c>
      <c r="S526">
        <f t="shared" si="987"/>
        <v>-0.50026639567869935</v>
      </c>
      <c r="T526">
        <f t="shared" si="988"/>
        <v>-5.002663956786993E-4</v>
      </c>
    </row>
    <row r="527" spans="1:20" x14ac:dyDescent="0.25">
      <c r="A527" s="5">
        <v>44066</v>
      </c>
      <c r="B527">
        <v>48.048000000000002</v>
      </c>
      <c r="C527">
        <v>48.057000000000002</v>
      </c>
      <c r="D527">
        <v>42.828000000000003</v>
      </c>
      <c r="E527">
        <v>43.591000000000001</v>
      </c>
      <c r="F527">
        <v>17284.855</v>
      </c>
      <c r="G527">
        <v>0</v>
      </c>
      <c r="L527" t="s">
        <v>7</v>
      </c>
      <c r="M527" t="s">
        <v>8</v>
      </c>
      <c r="N527" t="s">
        <v>8</v>
      </c>
      <c r="P527">
        <f t="shared" si="984"/>
        <v>-0.70816599732262453</v>
      </c>
      <c r="Q527">
        <f t="shared" si="985"/>
        <v>-12240.546579651953</v>
      </c>
      <c r="R527">
        <f t="shared" si="986"/>
        <v>-49009.314432114668</v>
      </c>
      <c r="S527">
        <f t="shared" si="987"/>
        <v>-0.4900931443211467</v>
      </c>
      <c r="T527">
        <f t="shared" si="988"/>
        <v>-4.9009314432114665E-4</v>
      </c>
    </row>
    <row r="528" spans="1:20" x14ac:dyDescent="0.25">
      <c r="A528" s="5">
        <v>44065</v>
      </c>
      <c r="B528">
        <v>42.180999999999997</v>
      </c>
      <c r="C528">
        <v>51</v>
      </c>
      <c r="D528">
        <v>41.072000000000003</v>
      </c>
      <c r="E528">
        <v>47.978000000000002</v>
      </c>
      <c r="F528">
        <v>19932.147000000001</v>
      </c>
      <c r="G528">
        <v>0</v>
      </c>
      <c r="L528" t="s">
        <v>8</v>
      </c>
      <c r="M528" t="s">
        <v>8</v>
      </c>
      <c r="N528" t="s">
        <v>8</v>
      </c>
      <c r="P528">
        <f t="shared" si="984"/>
        <v>0.39121676067687361</v>
      </c>
      <c r="Q528">
        <f t="shared" si="985"/>
        <v>7797.7899826752646</v>
      </c>
      <c r="R528">
        <f t="shared" si="986"/>
        <v>-36768.767852462719</v>
      </c>
      <c r="S528">
        <f t="shared" si="987"/>
        <v>-0.36768767852462719</v>
      </c>
      <c r="T528">
        <f t="shared" si="988"/>
        <v>-3.6768767852462717E-4</v>
      </c>
    </row>
    <row r="529" spans="1:20" x14ac:dyDescent="0.25">
      <c r="A529" s="5">
        <v>44064</v>
      </c>
      <c r="B529">
        <v>46.951999999999998</v>
      </c>
      <c r="C529">
        <v>52.1</v>
      </c>
      <c r="D529">
        <v>41.351999999999997</v>
      </c>
      <c r="E529">
        <v>41.896000000000001</v>
      </c>
      <c r="F529">
        <v>47528.203999999998</v>
      </c>
      <c r="G529">
        <v>0</v>
      </c>
      <c r="L529" t="s">
        <v>7</v>
      </c>
      <c r="M529" t="s">
        <v>7</v>
      </c>
      <c r="N529" t="s">
        <v>8</v>
      </c>
      <c r="P529">
        <f t="shared" si="984"/>
        <v>-0.89877186453293567</v>
      </c>
      <c r="Q529">
        <f t="shared" si="985"/>
        <v>-42717.012526981729</v>
      </c>
      <c r="R529">
        <f t="shared" si="986"/>
        <v>-44566.557835137981</v>
      </c>
      <c r="S529">
        <f t="shared" si="987"/>
        <v>-0.44566557835137982</v>
      </c>
      <c r="T529">
        <f t="shared" si="988"/>
        <v>-4.4566557835137985E-4</v>
      </c>
    </row>
    <row r="530" spans="1:20" x14ac:dyDescent="0.25">
      <c r="A530" s="5">
        <v>44063</v>
      </c>
      <c r="B530">
        <v>42.280999999999999</v>
      </c>
      <c r="C530">
        <v>53.88</v>
      </c>
      <c r="D530">
        <v>39.542000000000002</v>
      </c>
      <c r="E530">
        <v>46.93</v>
      </c>
      <c r="F530">
        <v>62972.514000000003</v>
      </c>
      <c r="G530">
        <v>0</v>
      </c>
      <c r="L530" t="s">
        <v>8</v>
      </c>
      <c r="M530" t="s">
        <v>8</v>
      </c>
      <c r="N530" t="s">
        <v>8</v>
      </c>
      <c r="P530">
        <f t="shared" si="984"/>
        <v>3.0548193611382009E-2</v>
      </c>
      <c r="Q530">
        <f t="shared" si="985"/>
        <v>1923.6965498674642</v>
      </c>
      <c r="R530">
        <f t="shared" si="986"/>
        <v>-1849.5453081562548</v>
      </c>
      <c r="S530">
        <f t="shared" si="987"/>
        <v>-1.8495453081562547E-2</v>
      </c>
      <c r="T530">
        <f t="shared" si="988"/>
        <v>-1.8495453081562548E-5</v>
      </c>
    </row>
    <row r="531" spans="1:20" x14ac:dyDescent="0.25">
      <c r="A531" s="5">
        <v>44062</v>
      </c>
      <c r="B531">
        <v>50.42</v>
      </c>
      <c r="C531">
        <v>50.42</v>
      </c>
      <c r="D531">
        <v>37.770000000000003</v>
      </c>
      <c r="E531">
        <v>42.079000000000001</v>
      </c>
      <c r="F531">
        <v>11838.172</v>
      </c>
      <c r="G531">
        <v>0</v>
      </c>
      <c r="P531">
        <f t="shared" si="984"/>
        <v>-0.31873517786561295</v>
      </c>
      <c r="Q531">
        <f t="shared" si="985"/>
        <v>-3773.241858023719</v>
      </c>
      <c r="R531">
        <f t="shared" si="986"/>
        <v>-3773.241858023719</v>
      </c>
      <c r="S531">
        <f t="shared" si="987"/>
        <v>-3.7732418580237188E-2</v>
      </c>
      <c r="T531">
        <f t="shared" si="988"/>
        <v>-3.7732418580237187E-5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R435" sqref="IR435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$A$434</v>
      </c>
      <c r="D111" s="1" t="str">
        <f>ADDRESS(C121-1,D121,1,1)</f>
        <v>$IR$434</v>
      </c>
      <c r="E111"/>
    </row>
    <row r="112" spans="1:5" x14ac:dyDescent="0.25">
      <c r="A112" s="7">
        <v>12164.144957890772</v>
      </c>
      <c r="C112" s="1" t="str">
        <f>ADDRESS(C121,1,1,1)</f>
        <v>$A$435</v>
      </c>
      <c r="D112" s="1" t="str">
        <f>ADDRESS(C121,D121-1,1,1)</f>
        <v>$IQ$435</v>
      </c>
      <c r="E112"/>
    </row>
    <row r="113" spans="1:5" x14ac:dyDescent="0.25">
      <c r="A113" s="7">
        <v>11925.63231165762</v>
      </c>
      <c r="C113" s="1" t="str">
        <f>ADDRESS(C121+1,1,1,1)</f>
        <v>$A$436</v>
      </c>
      <c r="D113" s="1" t="str">
        <f>ADDRESS(C121-1,D121+1,1,1)</f>
        <v>$IS$434</v>
      </c>
    </row>
    <row r="114" spans="1:5" x14ac:dyDescent="0.25">
      <c r="A114" s="7">
        <v>11691.796383978059</v>
      </c>
      <c r="C114" s="1" t="str">
        <f>ADDRESS(C121,D121,1,1)</f>
        <v>$IR$435</v>
      </c>
      <c r="D114" s="1" t="str">
        <f>ADDRESS(C121+1,D121+1,1,1)</f>
        <v>$IS$436</v>
      </c>
    </row>
    <row r="115" spans="1:5" x14ac:dyDescent="0.25">
      <c r="A115" s="7">
        <v>11462.545474488292</v>
      </c>
      <c r="C115" s="1" t="str">
        <f>ADDRESS(C121+1,D121,1,1)</f>
        <v>$IR$436</v>
      </c>
    </row>
    <row r="116" spans="1:5" x14ac:dyDescent="0.25">
      <c r="A116" s="7">
        <v>11237.789680870874</v>
      </c>
      <c r="C116" s="1">
        <f>C117-1</f>
        <v>434</v>
      </c>
    </row>
    <row r="117" spans="1:5" x14ac:dyDescent="0.25">
      <c r="A117" s="7">
        <v>11017.440863598895</v>
      </c>
      <c r="C117" s="1">
        <f>C121</f>
        <v>435</v>
      </c>
      <c r="D117" s="1">
        <f>D121</f>
        <v>252</v>
      </c>
    </row>
    <row r="118" spans="1:5" x14ac:dyDescent="0.25">
      <c r="A118" s="7">
        <v>10801.412611371465</v>
      </c>
      <c r="C118" s="1">
        <f>C117+1</f>
        <v>436</v>
      </c>
      <c r="D118" s="1">
        <f>D117+1</f>
        <v>253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435</v>
      </c>
      <c r="D121" s="19">
        <v>252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R435</v>
      </c>
      <c r="D123" s="1" t="str">
        <f>"C"&amp;D121</f>
        <v>C252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20.287386718539796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144" x14ac:dyDescent="0.25">
      <c r="A353" s="7">
        <v>102.90588033356946</v>
      </c>
      <c r="B353"/>
      <c r="C353"/>
      <c r="D353"/>
      <c r="E353"/>
    </row>
    <row r="354" spans="1:144" x14ac:dyDescent="0.25">
      <c r="A354" s="7">
        <v>100.88811797408771</v>
      </c>
      <c r="B354"/>
      <c r="C354"/>
      <c r="D354"/>
      <c r="E354"/>
    </row>
    <row r="355" spans="1:144" x14ac:dyDescent="0.25">
      <c r="A355" s="7">
        <v>98.909919582438931</v>
      </c>
      <c r="B355"/>
      <c r="C355"/>
      <c r="D355"/>
      <c r="E355"/>
    </row>
    <row r="356" spans="1:144" x14ac:dyDescent="0.25">
      <c r="A356" s="7">
        <v>96.970509394547975</v>
      </c>
      <c r="B356"/>
      <c r="C356"/>
      <c r="D356"/>
      <c r="E356"/>
      <c r="EM356" s="27" t="s">
        <v>8</v>
      </c>
    </row>
    <row r="357" spans="1:144" x14ac:dyDescent="0.25">
      <c r="A357" s="7">
        <v>95.069126857399979</v>
      </c>
      <c r="B357"/>
      <c r="C357"/>
      <c r="D357"/>
      <c r="E357"/>
      <c r="EM357" s="27" t="s">
        <v>8</v>
      </c>
      <c r="EN357" s="27" t="s">
        <v>7</v>
      </c>
    </row>
    <row r="358" spans="1:144" x14ac:dyDescent="0.25">
      <c r="A358" s="7">
        <v>93.205026330784293</v>
      </c>
      <c r="B358"/>
      <c r="C358"/>
      <c r="D358"/>
      <c r="E358"/>
      <c r="EM358" s="27" t="s">
        <v>8</v>
      </c>
      <c r="EN358" s="27" t="s">
        <v>7</v>
      </c>
    </row>
    <row r="359" spans="1:144" x14ac:dyDescent="0.25">
      <c r="A359" s="7">
        <v>91.377476794886562</v>
      </c>
      <c r="B359"/>
      <c r="C359"/>
      <c r="D359"/>
      <c r="E359"/>
      <c r="DU359" s="27" t="s">
        <v>8</v>
      </c>
      <c r="EM359" s="27" t="s">
        <v>8</v>
      </c>
      <c r="EN359" s="27" t="s">
        <v>7</v>
      </c>
    </row>
    <row r="360" spans="1:144" x14ac:dyDescent="0.25">
      <c r="A360" s="7">
        <v>89.58576156361427</v>
      </c>
      <c r="B360"/>
      <c r="C360"/>
      <c r="D360"/>
      <c r="E360"/>
      <c r="DU360" s="27" t="s">
        <v>8</v>
      </c>
      <c r="DV360" s="27" t="s">
        <v>7</v>
      </c>
      <c r="EM360" s="27" t="s">
        <v>8</v>
      </c>
      <c r="EN360" s="27" t="s">
        <v>7</v>
      </c>
    </row>
    <row r="361" spans="1:144" x14ac:dyDescent="0.25">
      <c r="A361" s="7">
        <v>87.829178003543404</v>
      </c>
      <c r="B361"/>
      <c r="C361"/>
      <c r="D361"/>
      <c r="E361"/>
      <c r="DU361" s="27" t="s">
        <v>8</v>
      </c>
      <c r="DV361" s="27" t="s">
        <v>7</v>
      </c>
      <c r="EM361" s="27" t="s">
        <v>8</v>
      </c>
      <c r="EN361" s="27" t="s">
        <v>7</v>
      </c>
    </row>
    <row r="362" spans="1:144" x14ac:dyDescent="0.25">
      <c r="A362" s="7">
        <v>86.107037258375883</v>
      </c>
      <c r="B362"/>
      <c r="C362"/>
      <c r="D362"/>
      <c r="E362"/>
      <c r="DU362" s="27" t="s">
        <v>8</v>
      </c>
      <c r="DV362" s="27" t="s">
        <v>7</v>
      </c>
      <c r="DW362" s="27" t="s">
        <v>8</v>
      </c>
      <c r="EM362" s="27" t="s">
        <v>8</v>
      </c>
      <c r="EN362" s="27" t="s">
        <v>7</v>
      </c>
    </row>
    <row r="363" spans="1:144" x14ac:dyDescent="0.25">
      <c r="A363" s="7">
        <v>84.418663978799884</v>
      </c>
      <c r="B363"/>
      <c r="C363"/>
      <c r="D363"/>
      <c r="E363"/>
      <c r="DU363" s="27" t="s">
        <v>8</v>
      </c>
      <c r="DV363" s="27" t="s">
        <v>7</v>
      </c>
      <c r="DW363" s="27" t="s">
        <v>8</v>
      </c>
      <c r="DX363" s="27" t="s">
        <v>7</v>
      </c>
      <c r="EM363" s="27" t="s">
        <v>8</v>
      </c>
      <c r="EN363" s="27" t="s">
        <v>7</v>
      </c>
    </row>
    <row r="364" spans="1:144" x14ac:dyDescent="0.25">
      <c r="A364" s="7">
        <v>82.763396057646943</v>
      </c>
      <c r="B364"/>
      <c r="C364"/>
      <c r="D364"/>
      <c r="E364"/>
      <c r="DU364" s="27" t="s">
        <v>8</v>
      </c>
      <c r="DV364" s="27" t="s">
        <v>7</v>
      </c>
      <c r="DW364" s="27" t="s">
        <v>8</v>
      </c>
      <c r="DX364" s="27" t="s">
        <v>7</v>
      </c>
      <c r="EM364" s="27" t="s">
        <v>8</v>
      </c>
      <c r="EN364" s="27" t="s">
        <v>7</v>
      </c>
    </row>
    <row r="365" spans="1:144" x14ac:dyDescent="0.25">
      <c r="A365" s="7">
        <v>81.140584370242095</v>
      </c>
      <c r="B365"/>
      <c r="C365"/>
      <c r="D365"/>
      <c r="E365"/>
      <c r="DO365" s="27" t="s">
        <v>8</v>
      </c>
      <c r="DU365" s="27" t="s">
        <v>8</v>
      </c>
      <c r="DV365" s="27" t="s">
        <v>7</v>
      </c>
      <c r="DW365" s="27" t="s">
        <v>8</v>
      </c>
      <c r="DX365" s="27" t="s">
        <v>7</v>
      </c>
      <c r="EM365" s="27" t="s">
        <v>8</v>
      </c>
      <c r="EN365" s="27" t="s">
        <v>7</v>
      </c>
    </row>
    <row r="366" spans="1:144" x14ac:dyDescent="0.25">
      <c r="A366" s="7">
        <v>79.549592519845191</v>
      </c>
      <c r="B366"/>
      <c r="C366"/>
      <c r="D366"/>
      <c r="E366"/>
      <c r="DO366" s="27" t="s">
        <v>8</v>
      </c>
      <c r="DP366" s="27" t="s">
        <v>7</v>
      </c>
      <c r="DU366" s="27" t="s">
        <v>8</v>
      </c>
      <c r="DV366" s="27" t="s">
        <v>7</v>
      </c>
      <c r="DW366" s="27" t="s">
        <v>8</v>
      </c>
      <c r="DX366" s="27" t="s">
        <v>7</v>
      </c>
      <c r="EM366" s="27" t="s">
        <v>8</v>
      </c>
      <c r="EN366" s="27" t="s">
        <v>7</v>
      </c>
    </row>
    <row r="367" spans="1:144" x14ac:dyDescent="0.25">
      <c r="A367" s="7">
        <v>77.989796588083522</v>
      </c>
      <c r="B367"/>
      <c r="C367"/>
      <c r="D367"/>
      <c r="E367"/>
      <c r="DM367" s="27" t="s">
        <v>8</v>
      </c>
      <c r="DO367" s="27" t="s">
        <v>8</v>
      </c>
      <c r="DP367" s="27" t="s">
        <v>7</v>
      </c>
      <c r="DQ367" s="27" t="s">
        <v>8</v>
      </c>
      <c r="DU367" s="27" t="s">
        <v>8</v>
      </c>
      <c r="DV367" s="27" t="s">
        <v>7</v>
      </c>
      <c r="DW367" s="27" t="s">
        <v>8</v>
      </c>
      <c r="DX367" s="27" t="s">
        <v>7</v>
      </c>
      <c r="EE367" s="27" t="s">
        <v>8</v>
      </c>
      <c r="EM367" s="27" t="s">
        <v>8</v>
      </c>
      <c r="EN367" s="27" t="s">
        <v>7</v>
      </c>
    </row>
    <row r="368" spans="1:144" x14ac:dyDescent="0.25">
      <c r="A368" s="7">
        <v>76.460584890277957</v>
      </c>
      <c r="B368"/>
      <c r="C368"/>
      <c r="D368"/>
      <c r="E368"/>
      <c r="DM368" s="27" t="s">
        <v>8</v>
      </c>
      <c r="DN368" s="27" t="s">
        <v>7</v>
      </c>
      <c r="DO368" s="27" t="s">
        <v>8</v>
      </c>
      <c r="DP368" s="27" t="s">
        <v>7</v>
      </c>
      <c r="DQ368" s="27" t="s">
        <v>8</v>
      </c>
      <c r="DR368" s="27" t="s">
        <v>7</v>
      </c>
      <c r="DS368" s="27" t="s">
        <v>8</v>
      </c>
      <c r="DU368" s="27" t="s">
        <v>8</v>
      </c>
      <c r="DV368" s="27" t="s">
        <v>7</v>
      </c>
      <c r="DW368" s="27" t="s">
        <v>8</v>
      </c>
      <c r="DX368" s="27" t="s">
        <v>7</v>
      </c>
      <c r="EE368" s="27" t="s">
        <v>8</v>
      </c>
      <c r="EF368" s="27" t="s">
        <v>7</v>
      </c>
      <c r="EM368" s="27" t="s">
        <v>8</v>
      </c>
      <c r="EN368" s="27" t="s">
        <v>7</v>
      </c>
    </row>
    <row r="369" spans="1:212" x14ac:dyDescent="0.25">
      <c r="A369" s="7">
        <v>74.961357735566622</v>
      </c>
      <c r="B369"/>
      <c r="C369"/>
      <c r="D369"/>
      <c r="E369"/>
      <c r="DM369" s="27" t="s">
        <v>8</v>
      </c>
      <c r="DN369" s="27" t="s">
        <v>7</v>
      </c>
      <c r="DO369" s="27" t="s">
        <v>8</v>
      </c>
      <c r="DP369" s="27" t="s">
        <v>7</v>
      </c>
      <c r="DQ369" s="27" t="s">
        <v>8</v>
      </c>
      <c r="DR369" s="27" t="s">
        <v>7</v>
      </c>
      <c r="DS369" s="27" t="s">
        <v>8</v>
      </c>
      <c r="DT369" s="27" t="s">
        <v>7</v>
      </c>
      <c r="DU369" s="27" t="s">
        <v>8</v>
      </c>
      <c r="DV369" s="27" t="s">
        <v>7</v>
      </c>
      <c r="DW369" s="27" t="s">
        <v>8</v>
      </c>
      <c r="DX369" s="27" t="s">
        <v>7</v>
      </c>
      <c r="EE369" s="27" t="s">
        <v>8</v>
      </c>
      <c r="EF369" s="27" t="s">
        <v>7</v>
      </c>
      <c r="EM369" s="27" t="s">
        <v>8</v>
      </c>
      <c r="EN369" s="27" t="s">
        <v>7</v>
      </c>
    </row>
    <row r="370" spans="1:212" x14ac:dyDescent="0.25">
      <c r="A370" s="7">
        <v>73.491527191731976</v>
      </c>
      <c r="B370"/>
      <c r="C370"/>
      <c r="D370"/>
      <c r="E370"/>
      <c r="DM370" s="27" t="s">
        <v>8</v>
      </c>
      <c r="DN370" s="27" t="s">
        <v>7</v>
      </c>
      <c r="DO370" s="27" t="s">
        <v>8</v>
      </c>
      <c r="DP370" s="27" t="s">
        <v>7</v>
      </c>
      <c r="DQ370" s="27" t="s">
        <v>8</v>
      </c>
      <c r="DR370" s="27" t="s">
        <v>7</v>
      </c>
      <c r="DS370" s="27" t="s">
        <v>8</v>
      </c>
      <c r="DT370" s="27" t="s">
        <v>7</v>
      </c>
      <c r="DU370" s="27" t="s">
        <v>8</v>
      </c>
      <c r="DV370" s="27" t="s">
        <v>7</v>
      </c>
      <c r="DW370" s="27" t="s">
        <v>8</v>
      </c>
      <c r="DX370" s="27" t="s">
        <v>7</v>
      </c>
      <c r="EE370" s="27" t="s">
        <v>8</v>
      </c>
      <c r="EF370" s="27" t="s">
        <v>7</v>
      </c>
      <c r="EM370" s="27" t="s">
        <v>8</v>
      </c>
      <c r="EN370" s="27" t="s">
        <v>7</v>
      </c>
    </row>
    <row r="371" spans="1:212" x14ac:dyDescent="0.25">
      <c r="A371" s="7">
        <v>72.050516854639184</v>
      </c>
      <c r="B371"/>
      <c r="C371"/>
      <c r="D371"/>
      <c r="E371"/>
      <c r="DM371" s="27" t="s">
        <v>8</v>
      </c>
      <c r="DN371" s="27" t="s">
        <v>7</v>
      </c>
      <c r="DO371" s="27" t="s">
        <v>8</v>
      </c>
      <c r="DP371" s="27" t="s">
        <v>7</v>
      </c>
      <c r="DQ371" s="27" t="s">
        <v>8</v>
      </c>
      <c r="DR371" s="27" t="s">
        <v>7</v>
      </c>
      <c r="DS371" s="27" t="s">
        <v>8</v>
      </c>
      <c r="DT371" s="27" t="s">
        <v>7</v>
      </c>
      <c r="DV371" s="27" t="s">
        <v>7</v>
      </c>
      <c r="DW371" s="27" t="s">
        <v>8</v>
      </c>
      <c r="DX371" s="27" t="s">
        <v>7</v>
      </c>
      <c r="EC371" s="27" t="s">
        <v>8</v>
      </c>
      <c r="EE371" s="27" t="s">
        <v>8</v>
      </c>
      <c r="EF371" s="27" t="s">
        <v>7</v>
      </c>
      <c r="EI371" s="27" t="s">
        <v>8</v>
      </c>
      <c r="EM371" s="27" t="s">
        <v>8</v>
      </c>
      <c r="EN371" s="27" t="s">
        <v>7</v>
      </c>
    </row>
    <row r="372" spans="1:212" x14ac:dyDescent="0.25">
      <c r="A372" s="7">
        <v>70.637761622195271</v>
      </c>
      <c r="B372"/>
      <c r="C372"/>
      <c r="D372"/>
      <c r="E372"/>
      <c r="DM372" s="27" t="s">
        <v>8</v>
      </c>
      <c r="DN372" s="27" t="s">
        <v>7</v>
      </c>
      <c r="DO372" s="27" t="s">
        <v>8</v>
      </c>
      <c r="DP372" s="27" t="s">
        <v>7</v>
      </c>
      <c r="DQ372" s="27" t="s">
        <v>8</v>
      </c>
      <c r="DR372" s="27" t="s">
        <v>7</v>
      </c>
      <c r="DV372" s="27" t="s">
        <v>7</v>
      </c>
      <c r="DW372" s="27" t="s">
        <v>8</v>
      </c>
      <c r="DX372" s="27" t="s">
        <v>7</v>
      </c>
      <c r="EC372" s="27" t="s">
        <v>8</v>
      </c>
      <c r="ED372" s="27" t="s">
        <v>7</v>
      </c>
      <c r="EE372" s="27" t="s">
        <v>8</v>
      </c>
      <c r="EF372" s="27" t="s">
        <v>7</v>
      </c>
      <c r="EG372" s="27" t="s">
        <v>8</v>
      </c>
      <c r="EI372" s="27" t="s">
        <v>8</v>
      </c>
      <c r="EJ372" s="27" t="s">
        <v>7</v>
      </c>
      <c r="EM372" s="27" t="s">
        <v>8</v>
      </c>
      <c r="EN372" s="27" t="s">
        <v>7</v>
      </c>
    </row>
    <row r="373" spans="1:212" x14ac:dyDescent="0.25">
      <c r="A373" s="7">
        <v>69.252707472740454</v>
      </c>
      <c r="B373"/>
      <c r="C373"/>
      <c r="D373"/>
      <c r="E373"/>
      <c r="DM373" s="27" t="s">
        <v>8</v>
      </c>
      <c r="DN373" s="27" t="s">
        <v>7</v>
      </c>
      <c r="DO373" s="27" t="s">
        <v>8</v>
      </c>
      <c r="DP373" s="27" t="s">
        <v>7</v>
      </c>
      <c r="DV373" s="27" t="s">
        <v>7</v>
      </c>
      <c r="DW373" s="27" t="s">
        <v>8</v>
      </c>
      <c r="DX373" s="27" t="s">
        <v>7</v>
      </c>
      <c r="EA373" s="27" t="s">
        <v>8</v>
      </c>
      <c r="EC373" s="27" t="s">
        <v>8</v>
      </c>
      <c r="ED373" s="27" t="s">
        <v>7</v>
      </c>
      <c r="EE373" s="27" t="s">
        <v>8</v>
      </c>
      <c r="EF373" s="27" t="s">
        <v>7</v>
      </c>
      <c r="EG373" s="27" t="s">
        <v>8</v>
      </c>
      <c r="EH373" s="27" t="s">
        <v>7</v>
      </c>
      <c r="EI373" s="27" t="s">
        <v>8</v>
      </c>
      <c r="EJ373" s="27" t="s">
        <v>7</v>
      </c>
      <c r="EM373" s="27" t="s">
        <v>8</v>
      </c>
      <c r="EN373" s="27" t="s">
        <v>7</v>
      </c>
    </row>
    <row r="374" spans="1:212" x14ac:dyDescent="0.25">
      <c r="A374" s="7">
        <v>67.894811247784759</v>
      </c>
      <c r="B374"/>
      <c r="C374"/>
      <c r="D374"/>
      <c r="E374"/>
      <c r="DM374" s="27" t="s">
        <v>8</v>
      </c>
      <c r="DN374" s="27" t="s">
        <v>7</v>
      </c>
      <c r="DO374" s="27" t="s">
        <v>8</v>
      </c>
      <c r="DV374" s="27" t="s">
        <v>7</v>
      </c>
      <c r="DW374" s="27" t="s">
        <v>8</v>
      </c>
      <c r="DX374" s="27" t="s">
        <v>7</v>
      </c>
      <c r="EA374" s="27" t="s">
        <v>8</v>
      </c>
      <c r="EB374" s="27" t="s">
        <v>7</v>
      </c>
      <c r="EC374" s="27" t="s">
        <v>8</v>
      </c>
      <c r="ED374" s="27" t="s">
        <v>7</v>
      </c>
      <c r="EE374" s="27" t="s">
        <v>8</v>
      </c>
      <c r="EF374" s="27" t="s">
        <v>7</v>
      </c>
      <c r="EG374" s="27" t="s">
        <v>8</v>
      </c>
      <c r="EH374" s="27" t="s">
        <v>7</v>
      </c>
      <c r="EI374" s="27" t="s">
        <v>8</v>
      </c>
      <c r="EJ374" s="27" t="s">
        <v>7</v>
      </c>
      <c r="EM374" s="27" t="s">
        <v>8</v>
      </c>
      <c r="EN374" s="27" t="s">
        <v>7</v>
      </c>
      <c r="EU374" s="27" t="s">
        <v>8</v>
      </c>
    </row>
    <row r="375" spans="1:212" x14ac:dyDescent="0.25">
      <c r="A375" s="7">
        <v>66.563540439004669</v>
      </c>
      <c r="B375"/>
      <c r="C375"/>
      <c r="D375"/>
      <c r="E375"/>
      <c r="K375" s="27" t="s">
        <v>8</v>
      </c>
      <c r="DC375" s="27" t="s">
        <v>8</v>
      </c>
      <c r="DM375" s="27" t="s">
        <v>8</v>
      </c>
      <c r="DN375" s="27" t="s">
        <v>7</v>
      </c>
      <c r="DO375" s="27" t="s">
        <v>8</v>
      </c>
      <c r="DV375" s="27" t="s">
        <v>7</v>
      </c>
      <c r="DX375" s="27" t="s">
        <v>7</v>
      </c>
      <c r="EA375" s="27" t="s">
        <v>8</v>
      </c>
      <c r="EB375" s="27" t="s">
        <v>7</v>
      </c>
      <c r="EC375" s="27" t="s">
        <v>8</v>
      </c>
      <c r="ED375" s="27" t="s">
        <v>7</v>
      </c>
      <c r="EE375" s="27" t="s">
        <v>8</v>
      </c>
      <c r="EF375" s="27" t="s">
        <v>7</v>
      </c>
      <c r="EG375" s="27" t="s">
        <v>8</v>
      </c>
      <c r="EH375" s="27" t="s">
        <v>7</v>
      </c>
      <c r="EI375" s="27" t="s">
        <v>8</v>
      </c>
      <c r="EJ375" s="27" t="s">
        <v>7</v>
      </c>
      <c r="EM375" s="27" t="s">
        <v>8</v>
      </c>
      <c r="EN375" s="27" t="s">
        <v>7</v>
      </c>
      <c r="EU375" s="27" t="s">
        <v>8</v>
      </c>
      <c r="EV375" s="27" t="s">
        <v>7</v>
      </c>
    </row>
    <row r="376" spans="1:212" x14ac:dyDescent="0.25">
      <c r="A376" s="7">
        <v>65.258372979416336</v>
      </c>
      <c r="B376"/>
      <c r="C376"/>
      <c r="D376"/>
      <c r="E376"/>
      <c r="K376" s="27" t="s">
        <v>8</v>
      </c>
      <c r="L376" s="27" t="s">
        <v>7</v>
      </c>
      <c r="DC376" s="27" t="s">
        <v>8</v>
      </c>
      <c r="DD376" s="27" t="s">
        <v>7</v>
      </c>
      <c r="DM376" s="27" t="s">
        <v>8</v>
      </c>
      <c r="DN376" s="27" t="s">
        <v>7</v>
      </c>
      <c r="DO376" s="27" t="s">
        <v>8</v>
      </c>
      <c r="DX376" s="27" t="s">
        <v>7</v>
      </c>
      <c r="EA376" s="27" t="s">
        <v>8</v>
      </c>
      <c r="EB376" s="27" t="s">
        <v>7</v>
      </c>
      <c r="EC376" s="27" t="s">
        <v>8</v>
      </c>
      <c r="ED376" s="27" t="s">
        <v>7</v>
      </c>
      <c r="EF376" s="27" t="s">
        <v>7</v>
      </c>
      <c r="EG376" s="27" t="s">
        <v>8</v>
      </c>
      <c r="EH376" s="27" t="s">
        <v>7</v>
      </c>
      <c r="EI376" s="27" t="s">
        <v>8</v>
      </c>
      <c r="EJ376" s="27" t="s">
        <v>7</v>
      </c>
      <c r="EM376" s="27" t="s">
        <v>8</v>
      </c>
      <c r="EN376" s="27" t="s">
        <v>7</v>
      </c>
      <c r="EU376" s="27" t="s">
        <v>8</v>
      </c>
      <c r="EV376" s="27" t="s">
        <v>7</v>
      </c>
    </row>
    <row r="377" spans="1:212" x14ac:dyDescent="0.25">
      <c r="A377" s="7">
        <v>63.978797038643471</v>
      </c>
      <c r="B377"/>
      <c r="C377"/>
      <c r="D377"/>
      <c r="E377"/>
      <c r="K377" s="27" t="s">
        <v>8</v>
      </c>
      <c r="L377" s="27" t="s">
        <v>7</v>
      </c>
      <c r="DC377" s="27" t="s">
        <v>8</v>
      </c>
      <c r="DD377" s="27" t="s">
        <v>7</v>
      </c>
      <c r="DM377" s="27" t="s">
        <v>8</v>
      </c>
      <c r="DN377" s="27" t="s">
        <v>7</v>
      </c>
      <c r="DO377" s="27" t="s">
        <v>8</v>
      </c>
      <c r="DX377" s="27" t="s">
        <v>7</v>
      </c>
      <c r="DY377" s="27" t="s">
        <v>8</v>
      </c>
      <c r="EA377" s="27" t="s">
        <v>8</v>
      </c>
      <c r="EB377" s="27" t="s">
        <v>7</v>
      </c>
      <c r="EC377" s="27" t="s">
        <v>8</v>
      </c>
      <c r="EF377" s="27" t="s">
        <v>7</v>
      </c>
      <c r="EH377" s="27" t="s">
        <v>7</v>
      </c>
      <c r="EI377" s="27" t="s">
        <v>8</v>
      </c>
      <c r="EJ377" s="27" t="s">
        <v>7</v>
      </c>
      <c r="EM377" s="27" t="s">
        <v>8</v>
      </c>
      <c r="EN377" s="27" t="s">
        <v>7</v>
      </c>
      <c r="EU377" s="27" t="s">
        <v>8</v>
      </c>
      <c r="EV377" s="27" t="s">
        <v>7</v>
      </c>
    </row>
    <row r="378" spans="1:212" x14ac:dyDescent="0.25">
      <c r="A378" s="7">
        <v>62.724310822199477</v>
      </c>
      <c r="B378"/>
      <c r="C378"/>
      <c r="D378"/>
      <c r="E378"/>
      <c r="K378" s="27" t="s">
        <v>8</v>
      </c>
      <c r="L378" s="27" t="s">
        <v>7</v>
      </c>
      <c r="DC378" s="27" t="s">
        <v>8</v>
      </c>
      <c r="DD378" s="27" t="s">
        <v>7</v>
      </c>
      <c r="DM378" s="27" t="s">
        <v>8</v>
      </c>
      <c r="DN378" s="27" t="s">
        <v>7</v>
      </c>
      <c r="DX378" s="27" t="s">
        <v>7</v>
      </c>
      <c r="DY378" s="27" t="s">
        <v>8</v>
      </c>
      <c r="DZ378" s="27" t="s">
        <v>7</v>
      </c>
      <c r="EA378" s="27" t="s">
        <v>8</v>
      </c>
      <c r="EB378" s="27" t="s">
        <v>7</v>
      </c>
      <c r="EC378" s="27" t="s">
        <v>8</v>
      </c>
      <c r="EH378" s="27" t="s">
        <v>7</v>
      </c>
      <c r="EI378" s="27" t="s">
        <v>8</v>
      </c>
      <c r="EJ378" s="27" t="s">
        <v>7</v>
      </c>
      <c r="EM378" s="27" t="s">
        <v>8</v>
      </c>
      <c r="EN378" s="27" t="s">
        <v>7</v>
      </c>
      <c r="EU378" s="27" t="s">
        <v>8</v>
      </c>
      <c r="EV378" s="27" t="s">
        <v>7</v>
      </c>
      <c r="HA378" s="27" t="s">
        <v>8</v>
      </c>
    </row>
    <row r="379" spans="1:212" x14ac:dyDescent="0.25">
      <c r="A379" s="7">
        <v>61.494422374705366</v>
      </c>
      <c r="B379"/>
      <c r="C379"/>
      <c r="D379"/>
      <c r="E379"/>
      <c r="K379" s="27" t="s">
        <v>8</v>
      </c>
      <c r="L379" s="27" t="s">
        <v>7</v>
      </c>
      <c r="DC379" s="27" t="s">
        <v>8</v>
      </c>
      <c r="DD379" s="27" t="s">
        <v>7</v>
      </c>
      <c r="DM379" s="27" t="s">
        <v>8</v>
      </c>
      <c r="DX379" s="27" t="s">
        <v>7</v>
      </c>
      <c r="DY379" s="27" t="s">
        <v>8</v>
      </c>
      <c r="DZ379" s="27" t="s">
        <v>7</v>
      </c>
      <c r="EA379" s="27" t="s">
        <v>8</v>
      </c>
      <c r="EB379" s="27" t="s">
        <v>7</v>
      </c>
      <c r="EH379" s="27" t="s">
        <v>7</v>
      </c>
      <c r="EI379" s="27" t="s">
        <v>8</v>
      </c>
      <c r="EJ379" s="27" t="s">
        <v>7</v>
      </c>
      <c r="EM379" s="27" t="s">
        <v>8</v>
      </c>
      <c r="EN379" s="27" t="s">
        <v>7</v>
      </c>
      <c r="EU379" s="27" t="s">
        <v>8</v>
      </c>
      <c r="EV379" s="27" t="s">
        <v>7</v>
      </c>
      <c r="HA379" s="27" t="s">
        <v>8</v>
      </c>
      <c r="HB379" s="27" t="s">
        <v>7</v>
      </c>
    </row>
    <row r="380" spans="1:212" x14ac:dyDescent="0.25">
      <c r="A380" s="7">
        <v>60.288649386966043</v>
      </c>
      <c r="B380"/>
      <c r="C380"/>
      <c r="D380"/>
      <c r="E380"/>
      <c r="K380" s="27" t="s">
        <v>8</v>
      </c>
      <c r="L380" s="27" t="s">
        <v>7</v>
      </c>
      <c r="DC380" s="27" t="s">
        <v>8</v>
      </c>
      <c r="DD380" s="27" t="s">
        <v>7</v>
      </c>
      <c r="DM380" s="27" t="s">
        <v>8</v>
      </c>
      <c r="DX380" s="27" t="s">
        <v>7</v>
      </c>
      <c r="DY380" s="27" t="s">
        <v>8</v>
      </c>
      <c r="DZ380" s="27" t="s">
        <v>7</v>
      </c>
      <c r="EA380" s="27" t="s">
        <v>8</v>
      </c>
      <c r="EH380" s="27" t="s">
        <v>7</v>
      </c>
      <c r="EI380" s="27" t="s">
        <v>8</v>
      </c>
      <c r="EJ380" s="27" t="s">
        <v>7</v>
      </c>
      <c r="EK380" s="27" t="s">
        <v>8</v>
      </c>
      <c r="EM380" s="27" t="s">
        <v>8</v>
      </c>
      <c r="EN380" s="27" t="s">
        <v>7</v>
      </c>
      <c r="ES380" s="27" t="s">
        <v>8</v>
      </c>
      <c r="EU380" s="27" t="s">
        <v>8</v>
      </c>
      <c r="EV380" s="27" t="s">
        <v>7</v>
      </c>
      <c r="HA380" s="27" t="s">
        <v>8</v>
      </c>
      <c r="HB380" s="27" t="s">
        <v>7</v>
      </c>
    </row>
    <row r="381" spans="1:212" x14ac:dyDescent="0.25">
      <c r="A381" s="7">
        <v>59.106519006829451</v>
      </c>
      <c r="B381"/>
      <c r="C381"/>
      <c r="D381"/>
      <c r="E381"/>
      <c r="K381" s="27" t="s">
        <v>8</v>
      </c>
      <c r="L381" s="27" t="s">
        <v>7</v>
      </c>
      <c r="O381" s="27" t="s">
        <v>8</v>
      </c>
      <c r="DC381" s="27" t="s">
        <v>8</v>
      </c>
      <c r="DD381" s="27" t="s">
        <v>7</v>
      </c>
      <c r="DM381" s="27" t="s">
        <v>8</v>
      </c>
      <c r="DX381" s="27" t="s">
        <v>7</v>
      </c>
      <c r="DY381" s="27" t="s">
        <v>8</v>
      </c>
      <c r="DZ381" s="27" t="s">
        <v>7</v>
      </c>
      <c r="EA381" s="27" t="s">
        <v>8</v>
      </c>
      <c r="EH381" s="27" t="s">
        <v>7</v>
      </c>
      <c r="EI381" s="27" t="s">
        <v>8</v>
      </c>
      <c r="EJ381" s="27" t="s">
        <v>7</v>
      </c>
      <c r="EK381" s="27" t="s">
        <v>8</v>
      </c>
      <c r="EL381" s="27" t="s">
        <v>7</v>
      </c>
      <c r="EM381" s="27" t="s">
        <v>8</v>
      </c>
      <c r="EN381" s="27" t="s">
        <v>7</v>
      </c>
      <c r="ES381" s="27" t="s">
        <v>8</v>
      </c>
      <c r="ET381" s="27" t="s">
        <v>7</v>
      </c>
      <c r="EU381" s="27" t="s">
        <v>8</v>
      </c>
      <c r="EV381" s="27" t="s">
        <v>7</v>
      </c>
      <c r="HA381" s="27" t="s">
        <v>8</v>
      </c>
      <c r="HB381" s="27" t="s">
        <v>7</v>
      </c>
    </row>
    <row r="382" spans="1:212" x14ac:dyDescent="0.25">
      <c r="A382" s="7">
        <v>57.947567653754362</v>
      </c>
      <c r="B382"/>
      <c r="C382"/>
      <c r="D382"/>
      <c r="E382"/>
      <c r="K382" s="27" t="s">
        <v>8</v>
      </c>
      <c r="L382" s="27" t="s">
        <v>7</v>
      </c>
      <c r="O382" s="27" t="s">
        <v>8</v>
      </c>
      <c r="P382" s="27" t="s">
        <v>7</v>
      </c>
      <c r="DC382" s="27" t="s">
        <v>8</v>
      </c>
      <c r="DD382" s="27" t="s">
        <v>7</v>
      </c>
      <c r="DM382" s="27" t="s">
        <v>8</v>
      </c>
      <c r="DX382" s="27" t="s">
        <v>7</v>
      </c>
      <c r="DY382" s="27" t="s">
        <v>8</v>
      </c>
      <c r="DZ382" s="27" t="s">
        <v>7</v>
      </c>
      <c r="EA382" s="27" t="s">
        <v>8</v>
      </c>
      <c r="EH382" s="27" t="s">
        <v>7</v>
      </c>
      <c r="EJ382" s="27" t="s">
        <v>7</v>
      </c>
      <c r="EK382" s="27" t="s">
        <v>8</v>
      </c>
      <c r="EL382" s="27" t="s">
        <v>7</v>
      </c>
      <c r="EM382" s="27" t="s">
        <v>8</v>
      </c>
      <c r="EN382" s="27" t="s">
        <v>7</v>
      </c>
      <c r="ES382" s="27" t="s">
        <v>8</v>
      </c>
      <c r="ET382" s="27" t="s">
        <v>7</v>
      </c>
      <c r="EU382" s="27" t="s">
        <v>8</v>
      </c>
      <c r="EV382" s="27" t="s">
        <v>7</v>
      </c>
      <c r="HA382" s="27" t="s">
        <v>8</v>
      </c>
      <c r="HB382" s="27" t="s">
        <v>7</v>
      </c>
      <c r="HC382" s="27" t="s">
        <v>8</v>
      </c>
    </row>
    <row r="383" spans="1:212" x14ac:dyDescent="0.25">
      <c r="A383" s="7">
        <v>56.811340837014079</v>
      </c>
      <c r="B383"/>
      <c r="C383"/>
      <c r="D383"/>
      <c r="E383"/>
      <c r="K383" s="27" t="s">
        <v>8</v>
      </c>
      <c r="L383" s="27" t="s">
        <v>7</v>
      </c>
      <c r="O383" s="27" t="s">
        <v>8</v>
      </c>
      <c r="P383" s="27" t="s">
        <v>7</v>
      </c>
      <c r="DC383" s="27" t="s">
        <v>8</v>
      </c>
      <c r="DD383" s="27" t="s">
        <v>7</v>
      </c>
      <c r="DK383" s="27" t="s">
        <v>8</v>
      </c>
      <c r="DM383" s="27" t="s">
        <v>8</v>
      </c>
      <c r="DX383" s="27" t="s">
        <v>7</v>
      </c>
      <c r="DZ383" s="27" t="s">
        <v>7</v>
      </c>
      <c r="EA383" s="27" t="s">
        <v>8</v>
      </c>
      <c r="EJ383" s="27" t="s">
        <v>7</v>
      </c>
      <c r="EK383" s="27" t="s">
        <v>8</v>
      </c>
      <c r="EL383" s="27" t="s">
        <v>7</v>
      </c>
      <c r="EM383" s="27" t="s">
        <v>8</v>
      </c>
      <c r="EN383" s="27" t="s">
        <v>7</v>
      </c>
      <c r="ES383" s="27" t="s">
        <v>8</v>
      </c>
      <c r="ET383" s="27" t="s">
        <v>7</v>
      </c>
      <c r="EU383" s="27" t="s">
        <v>8</v>
      </c>
      <c r="EV383" s="27" t="s">
        <v>7</v>
      </c>
      <c r="HA383" s="27" t="s">
        <v>8</v>
      </c>
      <c r="HB383" s="27" t="s">
        <v>7</v>
      </c>
      <c r="HC383" s="27" t="s">
        <v>8</v>
      </c>
      <c r="HD383" s="27" t="s">
        <v>7</v>
      </c>
    </row>
    <row r="384" spans="1:212" x14ac:dyDescent="0.25">
      <c r="A384" s="7">
        <v>55.69739297746478</v>
      </c>
      <c r="B384"/>
      <c r="C384"/>
      <c r="D384"/>
      <c r="E384"/>
      <c r="K384" s="27" t="s">
        <v>8</v>
      </c>
      <c r="L384" s="27" t="s">
        <v>7</v>
      </c>
      <c r="M384" s="27" t="s">
        <v>8</v>
      </c>
      <c r="O384" s="27" t="s">
        <v>8</v>
      </c>
      <c r="P384" s="27" t="s">
        <v>7</v>
      </c>
      <c r="DC384" s="27" t="s">
        <v>8</v>
      </c>
      <c r="DD384" s="27" t="s">
        <v>7</v>
      </c>
      <c r="DE384" s="27" t="s">
        <v>8</v>
      </c>
      <c r="DI384" s="27" t="s">
        <v>8</v>
      </c>
      <c r="DK384" s="27" t="s">
        <v>8</v>
      </c>
      <c r="DL384" s="27" t="s">
        <v>7</v>
      </c>
      <c r="DM384" s="27" t="s">
        <v>8</v>
      </c>
      <c r="DZ384" s="27" t="s">
        <v>7</v>
      </c>
      <c r="EA384" s="27" t="s">
        <v>8</v>
      </c>
      <c r="EJ384" s="27" t="s">
        <v>7</v>
      </c>
      <c r="EK384" s="27" t="s">
        <v>8</v>
      </c>
      <c r="EL384" s="27" t="s">
        <v>7</v>
      </c>
      <c r="EM384" s="27" t="s">
        <v>8</v>
      </c>
      <c r="EN384" s="27" t="s">
        <v>7</v>
      </c>
      <c r="ES384" s="27" t="s">
        <v>8</v>
      </c>
      <c r="ET384" s="27" t="s">
        <v>7</v>
      </c>
      <c r="EU384" s="27" t="s">
        <v>8</v>
      </c>
      <c r="EV384" s="27" t="s">
        <v>7</v>
      </c>
      <c r="FA384" s="27" t="s">
        <v>8</v>
      </c>
      <c r="GE384" s="27" t="s">
        <v>8</v>
      </c>
      <c r="HA384" s="27" t="s">
        <v>8</v>
      </c>
      <c r="HB384" s="27" t="s">
        <v>7</v>
      </c>
      <c r="HC384" s="27" t="s">
        <v>8</v>
      </c>
      <c r="HD384" s="27" t="s">
        <v>7</v>
      </c>
    </row>
    <row r="385" spans="1:240" x14ac:dyDescent="0.25">
      <c r="A385" s="7">
        <v>54.605287232808607</v>
      </c>
      <c r="B385"/>
      <c r="C385"/>
      <c r="D385"/>
      <c r="E385"/>
      <c r="K385" s="27" t="s">
        <v>8</v>
      </c>
      <c r="L385" s="27" t="s">
        <v>7</v>
      </c>
      <c r="M385" s="27" t="s">
        <v>8</v>
      </c>
      <c r="N385" s="27" t="s">
        <v>7</v>
      </c>
      <c r="O385" s="27" t="s">
        <v>8</v>
      </c>
      <c r="P385" s="27" t="s">
        <v>7</v>
      </c>
      <c r="DC385" s="27" t="s">
        <v>8</v>
      </c>
      <c r="DD385" s="27" t="s">
        <v>7</v>
      </c>
      <c r="DE385" s="27" t="s">
        <v>8</v>
      </c>
      <c r="DF385" s="27" t="s">
        <v>7</v>
      </c>
      <c r="DI385" s="27" t="s">
        <v>8</v>
      </c>
      <c r="DJ385" s="27" t="s">
        <v>7</v>
      </c>
      <c r="DK385" s="27" t="s">
        <v>8</v>
      </c>
      <c r="DL385" s="27" t="s">
        <v>7</v>
      </c>
      <c r="DM385" s="27" t="s">
        <v>8</v>
      </c>
      <c r="DZ385" s="27" t="s">
        <v>7</v>
      </c>
      <c r="EA385" s="27" t="s">
        <v>8</v>
      </c>
      <c r="EJ385" s="27" t="s">
        <v>7</v>
      </c>
      <c r="EK385" s="27" t="s">
        <v>8</v>
      </c>
      <c r="EL385" s="27" t="s">
        <v>7</v>
      </c>
      <c r="EN385" s="27" t="s">
        <v>7</v>
      </c>
      <c r="ES385" s="27" t="s">
        <v>8</v>
      </c>
      <c r="ET385" s="27" t="s">
        <v>7</v>
      </c>
      <c r="EU385" s="27" t="s">
        <v>8</v>
      </c>
      <c r="EV385" s="27" t="s">
        <v>7</v>
      </c>
      <c r="EW385" s="27" t="s">
        <v>8</v>
      </c>
      <c r="FA385" s="27" t="s">
        <v>8</v>
      </c>
      <c r="FB385" s="27" t="s">
        <v>7</v>
      </c>
      <c r="GE385" s="27" t="s">
        <v>8</v>
      </c>
      <c r="GF385" s="27" t="s">
        <v>7</v>
      </c>
      <c r="GW385" s="27" t="s">
        <v>8</v>
      </c>
      <c r="HA385" s="27" t="s">
        <v>8</v>
      </c>
      <c r="HB385" s="27" t="s">
        <v>7</v>
      </c>
      <c r="HC385" s="27" t="s">
        <v>8</v>
      </c>
      <c r="HD385" s="27" t="s">
        <v>7</v>
      </c>
    </row>
    <row r="386" spans="1:240" x14ac:dyDescent="0.25">
      <c r="A386" s="7">
        <v>53.534595326282947</v>
      </c>
      <c r="B386"/>
      <c r="C386"/>
      <c r="D386"/>
      <c r="E386" t="s">
        <v>8</v>
      </c>
      <c r="K386" s="27" t="s">
        <v>8</v>
      </c>
      <c r="L386" s="27" t="s">
        <v>7</v>
      </c>
      <c r="M386" s="27" t="s">
        <v>8</v>
      </c>
      <c r="N386" s="27" t="s">
        <v>7</v>
      </c>
      <c r="O386" s="27" t="s">
        <v>8</v>
      </c>
      <c r="P386" s="27" t="s">
        <v>7</v>
      </c>
      <c r="CG386" s="27" t="s">
        <v>8</v>
      </c>
      <c r="DC386" s="27" t="s">
        <v>8</v>
      </c>
      <c r="DD386" s="27" t="s">
        <v>7</v>
      </c>
      <c r="DE386" s="27" t="s">
        <v>8</v>
      </c>
      <c r="DF386" s="27" t="s">
        <v>7</v>
      </c>
      <c r="DI386" s="27" t="s">
        <v>8</v>
      </c>
      <c r="DJ386" s="27" t="s">
        <v>7</v>
      </c>
      <c r="DK386" s="27" t="s">
        <v>8</v>
      </c>
      <c r="DL386" s="27" t="s">
        <v>7</v>
      </c>
      <c r="DM386" s="27" t="s">
        <v>8</v>
      </c>
      <c r="DZ386" s="27" t="s">
        <v>7</v>
      </c>
      <c r="EJ386" s="27" t="s">
        <v>7</v>
      </c>
      <c r="EN386" s="27" t="s">
        <v>7</v>
      </c>
      <c r="ES386" s="27" t="s">
        <v>8</v>
      </c>
      <c r="ET386" s="27" t="s">
        <v>7</v>
      </c>
      <c r="EU386" s="27" t="s">
        <v>8</v>
      </c>
      <c r="EV386" s="27" t="s">
        <v>7</v>
      </c>
      <c r="EW386" s="27" t="s">
        <v>8</v>
      </c>
      <c r="EX386" s="27" t="s">
        <v>7</v>
      </c>
      <c r="EY386" s="27" t="s">
        <v>8</v>
      </c>
      <c r="FA386" s="27" t="s">
        <v>8</v>
      </c>
      <c r="FB386" s="27" t="s">
        <v>7</v>
      </c>
      <c r="GE386" s="27" t="s">
        <v>8</v>
      </c>
      <c r="GF386" s="27" t="s">
        <v>7</v>
      </c>
      <c r="GW386" s="27" t="s">
        <v>8</v>
      </c>
      <c r="GX386" s="27" t="s">
        <v>7</v>
      </c>
      <c r="HA386" s="27" t="s">
        <v>8</v>
      </c>
      <c r="HB386" s="27" t="s">
        <v>7</v>
      </c>
      <c r="HC386" s="27" t="s">
        <v>8</v>
      </c>
      <c r="HD386" s="27" t="s">
        <v>7</v>
      </c>
    </row>
    <row r="387" spans="1:240" x14ac:dyDescent="0.25">
      <c r="A387" s="7">
        <v>52.484897378708773</v>
      </c>
      <c r="B387"/>
      <c r="C387"/>
      <c r="D387"/>
      <c r="E387" t="s">
        <v>8</v>
      </c>
      <c r="F387" s="27" t="s">
        <v>7</v>
      </c>
      <c r="K387" s="27" t="s">
        <v>8</v>
      </c>
      <c r="L387" s="27" t="s">
        <v>7</v>
      </c>
      <c r="M387" s="27" t="s">
        <v>8</v>
      </c>
      <c r="N387" s="27" t="s">
        <v>7</v>
      </c>
      <c r="O387" s="27" t="s">
        <v>8</v>
      </c>
      <c r="P387" s="27" t="s">
        <v>7</v>
      </c>
      <c r="CG387" s="27" t="s">
        <v>8</v>
      </c>
      <c r="CH387" s="27" t="s">
        <v>7</v>
      </c>
      <c r="CI387" s="27" t="s">
        <v>8</v>
      </c>
      <c r="DC387" s="27" t="s">
        <v>8</v>
      </c>
      <c r="DD387" s="27" t="s">
        <v>7</v>
      </c>
      <c r="DE387" s="27" t="s">
        <v>8</v>
      </c>
      <c r="DF387" s="27" t="s">
        <v>7</v>
      </c>
      <c r="DI387" s="27" t="s">
        <v>8</v>
      </c>
      <c r="DJ387" s="27" t="s">
        <v>7</v>
      </c>
      <c r="DK387" s="27" t="s">
        <v>8</v>
      </c>
      <c r="DL387" s="27" t="s">
        <v>7</v>
      </c>
      <c r="DM387" s="27" t="s">
        <v>8</v>
      </c>
      <c r="EN387" s="27" t="s">
        <v>7</v>
      </c>
      <c r="EO387" s="27" t="s">
        <v>8</v>
      </c>
      <c r="ES387" s="27" t="s">
        <v>8</v>
      </c>
      <c r="ET387" s="27" t="s">
        <v>7</v>
      </c>
      <c r="EU387" s="27" t="s">
        <v>8</v>
      </c>
      <c r="EV387" s="27" t="s">
        <v>7</v>
      </c>
      <c r="EW387" s="27" t="s">
        <v>8</v>
      </c>
      <c r="EX387" s="27" t="s">
        <v>7</v>
      </c>
      <c r="EY387" s="27" t="s">
        <v>8</v>
      </c>
      <c r="EZ387" s="27" t="s">
        <v>7</v>
      </c>
      <c r="FA387" s="27" t="s">
        <v>8</v>
      </c>
      <c r="FB387" s="27" t="s">
        <v>7</v>
      </c>
      <c r="GE387" s="27" t="s">
        <v>8</v>
      </c>
      <c r="GF387" s="27" t="s">
        <v>7</v>
      </c>
      <c r="GW387" s="27" t="s">
        <v>8</v>
      </c>
      <c r="GX387" s="27" t="s">
        <v>7</v>
      </c>
      <c r="HA387" s="27" t="s">
        <v>8</v>
      </c>
      <c r="HB387" s="27" t="s">
        <v>7</v>
      </c>
      <c r="HC387" s="27" t="s">
        <v>8</v>
      </c>
      <c r="HD387" s="27" t="s">
        <v>7</v>
      </c>
    </row>
    <row r="388" spans="1:240" x14ac:dyDescent="0.25">
      <c r="A388" s="7">
        <v>51.455781743832127</v>
      </c>
      <c r="B388"/>
      <c r="C388"/>
      <c r="D388"/>
      <c r="E388" t="s">
        <v>8</v>
      </c>
      <c r="F388" s="27" t="s">
        <v>7</v>
      </c>
      <c r="K388" s="27" t="s">
        <v>8</v>
      </c>
      <c r="L388" s="27" t="s">
        <v>7</v>
      </c>
      <c r="M388" s="27" t="s">
        <v>8</v>
      </c>
      <c r="N388" s="27" t="s">
        <v>7</v>
      </c>
      <c r="O388" s="27" t="s">
        <v>8</v>
      </c>
      <c r="P388" s="27" t="s">
        <v>7</v>
      </c>
      <c r="CG388" s="27" t="s">
        <v>8</v>
      </c>
      <c r="CH388" s="27" t="s">
        <v>7</v>
      </c>
      <c r="CI388" s="27" t="s">
        <v>8</v>
      </c>
      <c r="CJ388" s="27" t="s">
        <v>7</v>
      </c>
      <c r="CM388" s="27" t="s">
        <v>8</v>
      </c>
      <c r="DC388" s="27" t="s">
        <v>8</v>
      </c>
      <c r="DD388" s="27" t="s">
        <v>7</v>
      </c>
      <c r="DF388" s="27" t="s">
        <v>7</v>
      </c>
      <c r="DI388" s="27" t="s">
        <v>8</v>
      </c>
      <c r="DJ388" s="27" t="s">
        <v>7</v>
      </c>
      <c r="DK388" s="27" t="s">
        <v>8</v>
      </c>
      <c r="DL388" s="27" t="s">
        <v>7</v>
      </c>
      <c r="DM388" s="27" t="s">
        <v>8</v>
      </c>
      <c r="EN388" s="27" t="s">
        <v>7</v>
      </c>
      <c r="EO388" s="27" t="s">
        <v>8</v>
      </c>
      <c r="EP388" s="27" t="s">
        <v>7</v>
      </c>
      <c r="ES388" s="27" t="s">
        <v>8</v>
      </c>
      <c r="ET388" s="27" t="s">
        <v>7</v>
      </c>
      <c r="EU388" s="27" t="s">
        <v>8</v>
      </c>
      <c r="EV388" s="27" t="s">
        <v>7</v>
      </c>
      <c r="EW388" s="27" t="s">
        <v>8</v>
      </c>
      <c r="EX388" s="27" t="s">
        <v>7</v>
      </c>
      <c r="EY388" s="27" t="s">
        <v>8</v>
      </c>
      <c r="EZ388" s="27" t="s">
        <v>7</v>
      </c>
      <c r="FA388" s="27" t="s">
        <v>8</v>
      </c>
      <c r="FB388" s="27" t="s">
        <v>7</v>
      </c>
      <c r="GE388" s="27" t="s">
        <v>8</v>
      </c>
      <c r="GF388" s="27" t="s">
        <v>7</v>
      </c>
      <c r="GW388" s="27" t="s">
        <v>8</v>
      </c>
      <c r="GX388" s="27" t="s">
        <v>7</v>
      </c>
      <c r="HA388" s="27" t="s">
        <v>8</v>
      </c>
      <c r="HB388" s="27" t="s">
        <v>7</v>
      </c>
      <c r="HC388" s="27" t="s">
        <v>8</v>
      </c>
      <c r="HD388" s="27" t="s">
        <v>7</v>
      </c>
    </row>
    <row r="389" spans="1:240" x14ac:dyDescent="0.25">
      <c r="A389" s="7">
        <v>50.446844846894244</v>
      </c>
      <c r="B389"/>
      <c r="C389"/>
      <c r="D389"/>
      <c r="E389" t="s">
        <v>8</v>
      </c>
      <c r="F389" s="27" t="s">
        <v>7</v>
      </c>
      <c r="G389" s="27" t="s">
        <v>8</v>
      </c>
      <c r="K389" s="27" t="s">
        <v>8</v>
      </c>
      <c r="L389" s="27" t="s">
        <v>7</v>
      </c>
      <c r="N389" s="27" t="s">
        <v>7</v>
      </c>
      <c r="O389" s="27" t="s">
        <v>8</v>
      </c>
      <c r="P389" s="27" t="s">
        <v>7</v>
      </c>
      <c r="CG389" s="27" t="s">
        <v>8</v>
      </c>
      <c r="CH389" s="27" t="s">
        <v>7</v>
      </c>
      <c r="CI389" s="27" t="s">
        <v>8</v>
      </c>
      <c r="CJ389" s="27" t="s">
        <v>7</v>
      </c>
      <c r="CM389" s="27" t="s">
        <v>8</v>
      </c>
      <c r="CN389" s="27" t="s">
        <v>7</v>
      </c>
      <c r="DA389" s="27" t="s">
        <v>8</v>
      </c>
      <c r="DC389" s="27" t="s">
        <v>8</v>
      </c>
      <c r="DF389" s="27" t="s">
        <v>7</v>
      </c>
      <c r="DI389" s="27" t="s">
        <v>8</v>
      </c>
      <c r="DJ389" s="27" t="s">
        <v>7</v>
      </c>
      <c r="DL389" s="27" t="s">
        <v>7</v>
      </c>
      <c r="DM389" s="27" t="s">
        <v>8</v>
      </c>
      <c r="EN389" s="27" t="s">
        <v>7</v>
      </c>
      <c r="EO389" s="27" t="s">
        <v>8</v>
      </c>
      <c r="EP389" s="27" t="s">
        <v>7</v>
      </c>
      <c r="ES389" s="27" t="s">
        <v>8</v>
      </c>
      <c r="ET389" s="27" t="s">
        <v>7</v>
      </c>
      <c r="EU389" s="27" t="s">
        <v>8</v>
      </c>
      <c r="EV389" s="27" t="s">
        <v>7</v>
      </c>
      <c r="EX389" s="27" t="s">
        <v>7</v>
      </c>
      <c r="EY389" s="27" t="s">
        <v>8</v>
      </c>
      <c r="EZ389" s="27" t="s">
        <v>7</v>
      </c>
      <c r="FA389" s="27" t="s">
        <v>8</v>
      </c>
      <c r="FB389" s="27" t="s">
        <v>7</v>
      </c>
      <c r="GE389" s="27" t="s">
        <v>8</v>
      </c>
      <c r="GF389" s="27" t="s">
        <v>7</v>
      </c>
      <c r="GS389" s="27" t="s">
        <v>8</v>
      </c>
      <c r="GU389" s="27" t="s">
        <v>8</v>
      </c>
      <c r="GW389" s="27" t="s">
        <v>8</v>
      </c>
      <c r="GX389" s="27" t="s">
        <v>7</v>
      </c>
      <c r="HA389" s="27" t="s">
        <v>8</v>
      </c>
      <c r="HB389" s="27" t="s">
        <v>7</v>
      </c>
      <c r="HC389" s="27" t="s">
        <v>8</v>
      </c>
      <c r="HD389" s="27" t="s">
        <v>7</v>
      </c>
    </row>
    <row r="390" spans="1:240" x14ac:dyDescent="0.25">
      <c r="A390" s="7">
        <v>49.457691026366902</v>
      </c>
      <c r="B390"/>
      <c r="C390"/>
      <c r="D390"/>
      <c r="E390" t="s">
        <v>8</v>
      </c>
      <c r="F390" s="27" t="s">
        <v>7</v>
      </c>
      <c r="G390" s="27" t="s">
        <v>8</v>
      </c>
      <c r="H390" s="27" t="s">
        <v>7</v>
      </c>
      <c r="K390" s="27" t="s">
        <v>8</v>
      </c>
      <c r="N390" s="27" t="s">
        <v>7</v>
      </c>
      <c r="O390" s="27" t="s">
        <v>8</v>
      </c>
      <c r="P390" s="27" t="s">
        <v>7</v>
      </c>
      <c r="CE390" s="27" t="s">
        <v>8</v>
      </c>
      <c r="CG390" s="27" t="s">
        <v>8</v>
      </c>
      <c r="CH390" s="27" t="s">
        <v>7</v>
      </c>
      <c r="CI390" s="27" t="s">
        <v>8</v>
      </c>
      <c r="CJ390" s="27" t="s">
        <v>7</v>
      </c>
      <c r="CM390" s="27" t="s">
        <v>8</v>
      </c>
      <c r="CN390" s="27" t="s">
        <v>7</v>
      </c>
      <c r="DA390" s="27" t="s">
        <v>8</v>
      </c>
      <c r="DB390" s="27" t="s">
        <v>7</v>
      </c>
      <c r="DC390" s="27" t="s">
        <v>8</v>
      </c>
      <c r="DF390" s="27" t="s">
        <v>7</v>
      </c>
      <c r="DI390" s="27" t="s">
        <v>8</v>
      </c>
      <c r="DL390" s="27" t="s">
        <v>7</v>
      </c>
      <c r="EN390" s="27" t="s">
        <v>7</v>
      </c>
      <c r="EO390" s="27" t="s">
        <v>8</v>
      </c>
      <c r="EP390" s="27" t="s">
        <v>7</v>
      </c>
      <c r="ES390" s="27" t="s">
        <v>8</v>
      </c>
      <c r="ET390" s="27" t="s">
        <v>7</v>
      </c>
      <c r="EU390" s="27" t="s">
        <v>8</v>
      </c>
      <c r="EX390" s="27" t="s">
        <v>7</v>
      </c>
      <c r="EY390" s="27" t="s">
        <v>8</v>
      </c>
      <c r="EZ390" s="27" t="s">
        <v>7</v>
      </c>
      <c r="FA390" s="27" t="s">
        <v>8</v>
      </c>
      <c r="FB390" s="27" t="s">
        <v>7</v>
      </c>
      <c r="FC390" s="27" t="s">
        <v>8</v>
      </c>
      <c r="GE390" s="27" t="s">
        <v>8</v>
      </c>
      <c r="GF390" s="27" t="s">
        <v>7</v>
      </c>
      <c r="GS390" s="27" t="s">
        <v>8</v>
      </c>
      <c r="GT390" s="27" t="s">
        <v>7</v>
      </c>
      <c r="GU390" s="27" t="s">
        <v>8</v>
      </c>
      <c r="GV390" s="27" t="s">
        <v>7</v>
      </c>
      <c r="GW390" s="27" t="s">
        <v>8</v>
      </c>
      <c r="GX390" s="27" t="s">
        <v>7</v>
      </c>
      <c r="HA390" s="27" t="s">
        <v>8</v>
      </c>
      <c r="HB390" s="27" t="s">
        <v>7</v>
      </c>
      <c r="HC390" s="27" t="s">
        <v>8</v>
      </c>
      <c r="HD390" s="27" t="s">
        <v>7</v>
      </c>
      <c r="HI390" s="27" t="s">
        <v>8</v>
      </c>
    </row>
    <row r="391" spans="1:240" x14ac:dyDescent="0.25">
      <c r="A391" s="7">
        <v>48.487932378791079</v>
      </c>
      <c r="B391"/>
      <c r="C391"/>
      <c r="D391"/>
      <c r="E391" t="s">
        <v>8</v>
      </c>
      <c r="F391" s="27" t="s">
        <v>7</v>
      </c>
      <c r="G391" s="27" t="s">
        <v>8</v>
      </c>
      <c r="H391" s="27" t="s">
        <v>7</v>
      </c>
      <c r="K391" s="27" t="s">
        <v>8</v>
      </c>
      <c r="N391" s="27" t="s">
        <v>7</v>
      </c>
      <c r="P391" s="27" t="s">
        <v>7</v>
      </c>
      <c r="CE391" s="27" t="s">
        <v>8</v>
      </c>
      <c r="CF391" s="27" t="s">
        <v>7</v>
      </c>
      <c r="CG391" s="27" t="s">
        <v>8</v>
      </c>
      <c r="CH391" s="27" t="s">
        <v>7</v>
      </c>
      <c r="CI391" s="27" t="s">
        <v>8</v>
      </c>
      <c r="CJ391" s="27" t="s">
        <v>7</v>
      </c>
      <c r="CM391" s="27" t="s">
        <v>8</v>
      </c>
      <c r="CN391" s="27" t="s">
        <v>7</v>
      </c>
      <c r="DA391" s="27" t="s">
        <v>8</v>
      </c>
      <c r="DB391" s="27" t="s">
        <v>7</v>
      </c>
      <c r="DC391" s="27" t="s">
        <v>8</v>
      </c>
      <c r="DF391" s="27" t="s">
        <v>7</v>
      </c>
      <c r="DI391" s="27" t="s">
        <v>8</v>
      </c>
      <c r="EN391" s="27" t="s">
        <v>7</v>
      </c>
      <c r="EO391" s="27" t="s">
        <v>8</v>
      </c>
      <c r="EP391" s="27" t="s">
        <v>7</v>
      </c>
      <c r="ES391" s="27" t="s">
        <v>8</v>
      </c>
      <c r="ET391" s="27" t="s">
        <v>7</v>
      </c>
      <c r="EU391" s="27" t="s">
        <v>8</v>
      </c>
      <c r="EX391" s="27" t="s">
        <v>7</v>
      </c>
      <c r="EZ391" s="27" t="s">
        <v>7</v>
      </c>
      <c r="FA391" s="27" t="s">
        <v>8</v>
      </c>
      <c r="FB391" s="27" t="s">
        <v>7</v>
      </c>
      <c r="FC391" s="27" t="s">
        <v>8</v>
      </c>
      <c r="FD391" s="27" t="s">
        <v>7</v>
      </c>
      <c r="GE391" s="27" t="s">
        <v>8</v>
      </c>
      <c r="GF391" s="27" t="s">
        <v>7</v>
      </c>
      <c r="GS391" s="27" t="s">
        <v>8</v>
      </c>
      <c r="GT391" s="27" t="s">
        <v>7</v>
      </c>
      <c r="GU391" s="27" t="s">
        <v>8</v>
      </c>
      <c r="GV391" s="27" t="s">
        <v>7</v>
      </c>
      <c r="GW391" s="27" t="s">
        <v>8</v>
      </c>
      <c r="GX391" s="27" t="s">
        <v>7</v>
      </c>
      <c r="HA391" s="27" t="s">
        <v>8</v>
      </c>
      <c r="HB391" s="27" t="s">
        <v>7</v>
      </c>
      <c r="HC391" s="27" t="s">
        <v>8</v>
      </c>
      <c r="HD391" s="27" t="s">
        <v>7</v>
      </c>
      <c r="HI391" s="27" t="s">
        <v>8</v>
      </c>
      <c r="HJ391" s="27" t="s">
        <v>7</v>
      </c>
      <c r="HK391" s="27" t="s">
        <v>8</v>
      </c>
      <c r="HS391" s="27" t="s">
        <v>8</v>
      </c>
    </row>
    <row r="392" spans="1:240" x14ac:dyDescent="0.25">
      <c r="A392" s="7">
        <v>47.537188606657921</v>
      </c>
      <c r="B392"/>
      <c r="C392"/>
      <c r="D392"/>
      <c r="E392" t="s">
        <v>8</v>
      </c>
      <c r="F392" s="27" t="s">
        <v>7</v>
      </c>
      <c r="G392" s="27" t="s">
        <v>8</v>
      </c>
      <c r="H392" s="27" t="s">
        <v>7</v>
      </c>
      <c r="K392" s="27" t="s">
        <v>8</v>
      </c>
      <c r="P392" s="27" t="s">
        <v>7</v>
      </c>
      <c r="CE392" s="27" t="s">
        <v>8</v>
      </c>
      <c r="CF392" s="27" t="s">
        <v>7</v>
      </c>
      <c r="CG392" s="27" t="s">
        <v>8</v>
      </c>
      <c r="CH392" s="27" t="s">
        <v>7</v>
      </c>
      <c r="CI392" s="27" t="s">
        <v>8</v>
      </c>
      <c r="CJ392" s="27" t="s">
        <v>7</v>
      </c>
      <c r="CM392" s="27" t="s">
        <v>8</v>
      </c>
      <c r="CN392" s="27" t="s">
        <v>7</v>
      </c>
      <c r="CQ392" s="27" t="s">
        <v>8</v>
      </c>
      <c r="DA392" s="27" t="s">
        <v>8</v>
      </c>
      <c r="DB392" s="27" t="s">
        <v>7</v>
      </c>
      <c r="DC392" s="27" t="s">
        <v>8</v>
      </c>
      <c r="DF392" s="27" t="s">
        <v>7</v>
      </c>
      <c r="DI392" s="27" t="s">
        <v>8</v>
      </c>
      <c r="EN392" s="27" t="s">
        <v>7</v>
      </c>
      <c r="EO392" s="27" t="s">
        <v>8</v>
      </c>
      <c r="EP392" s="27" t="s">
        <v>7</v>
      </c>
      <c r="ES392" s="27" t="s">
        <v>8</v>
      </c>
      <c r="ET392" s="27" t="s">
        <v>7</v>
      </c>
      <c r="EU392" s="27" t="s">
        <v>8</v>
      </c>
      <c r="EZ392" s="27" t="s">
        <v>7</v>
      </c>
      <c r="FA392" s="27" t="s">
        <v>8</v>
      </c>
      <c r="FB392" s="27" t="s">
        <v>7</v>
      </c>
      <c r="FC392" s="27" t="s">
        <v>8</v>
      </c>
      <c r="FD392" s="27" t="s">
        <v>7</v>
      </c>
      <c r="GE392" s="27" t="s">
        <v>8</v>
      </c>
      <c r="GF392" s="27" t="s">
        <v>7</v>
      </c>
      <c r="GS392" s="27" t="s">
        <v>8</v>
      </c>
      <c r="GT392" s="27" t="s">
        <v>7</v>
      </c>
      <c r="GU392" s="27" t="s">
        <v>8</v>
      </c>
      <c r="GV392" s="27" t="s">
        <v>7</v>
      </c>
      <c r="GW392" s="27" t="s">
        <v>8</v>
      </c>
      <c r="GX392" s="27" t="s">
        <v>7</v>
      </c>
      <c r="HA392" s="27" t="s">
        <v>8</v>
      </c>
      <c r="HB392" s="27" t="s">
        <v>7</v>
      </c>
      <c r="HC392" s="27" t="s">
        <v>8</v>
      </c>
      <c r="HD392" s="27" t="s">
        <v>7</v>
      </c>
      <c r="HI392" s="27" t="s">
        <v>8</v>
      </c>
      <c r="HJ392" s="27" t="s">
        <v>7</v>
      </c>
      <c r="HK392" s="27" t="s">
        <v>8</v>
      </c>
      <c r="HL392" s="27" t="s">
        <v>7</v>
      </c>
      <c r="HO392" s="27" t="s">
        <v>8</v>
      </c>
      <c r="HS392" s="27" t="s">
        <v>8</v>
      </c>
      <c r="HT392" s="27" t="s">
        <v>7</v>
      </c>
    </row>
    <row r="393" spans="1:240" x14ac:dyDescent="0.25">
      <c r="A393" s="7">
        <v>46.605086869272469</v>
      </c>
      <c r="B393"/>
      <c r="C393"/>
      <c r="D393"/>
      <c r="E393" t="s">
        <v>8</v>
      </c>
      <c r="F393" s="27" t="s">
        <v>7</v>
      </c>
      <c r="G393" s="27" t="s">
        <v>8</v>
      </c>
      <c r="H393" s="27" t="s">
        <v>7</v>
      </c>
      <c r="I393" s="27" t="s">
        <v>8</v>
      </c>
      <c r="K393" s="27" t="s">
        <v>8</v>
      </c>
      <c r="P393" s="27" t="s">
        <v>7</v>
      </c>
      <c r="CE393" s="27" t="s">
        <v>8</v>
      </c>
      <c r="CF393" s="27" t="s">
        <v>7</v>
      </c>
      <c r="CG393" s="27" t="s">
        <v>8</v>
      </c>
      <c r="CH393" s="27" t="s">
        <v>7</v>
      </c>
      <c r="CI393" s="27" t="s">
        <v>8</v>
      </c>
      <c r="CJ393" s="27" t="s">
        <v>7</v>
      </c>
      <c r="CM393" s="27" t="s">
        <v>8</v>
      </c>
      <c r="CN393" s="27" t="s">
        <v>7</v>
      </c>
      <c r="CQ393" s="27" t="s">
        <v>8</v>
      </c>
      <c r="CR393" s="27" t="s">
        <v>7</v>
      </c>
      <c r="DA393" s="27" t="s">
        <v>8</v>
      </c>
      <c r="DB393" s="27" t="s">
        <v>7</v>
      </c>
      <c r="DC393" s="27" t="s">
        <v>8</v>
      </c>
      <c r="DF393" s="27" t="s">
        <v>7</v>
      </c>
      <c r="DG393" s="27" t="s">
        <v>8</v>
      </c>
      <c r="DI393" s="27" t="s">
        <v>8</v>
      </c>
      <c r="EN393" s="27" t="s">
        <v>7</v>
      </c>
      <c r="EO393" s="27" t="s">
        <v>8</v>
      </c>
      <c r="EP393" s="27" t="s">
        <v>7</v>
      </c>
      <c r="ES393" s="27" t="s">
        <v>8</v>
      </c>
      <c r="ET393" s="27" t="s">
        <v>7</v>
      </c>
      <c r="EU393" s="27" t="s">
        <v>8</v>
      </c>
      <c r="EZ393" s="27" t="s">
        <v>7</v>
      </c>
      <c r="FA393" s="27" t="s">
        <v>8</v>
      </c>
      <c r="FB393" s="27" t="s">
        <v>7</v>
      </c>
      <c r="FC393" s="27" t="s">
        <v>8</v>
      </c>
      <c r="FD393" s="27" t="s">
        <v>7</v>
      </c>
      <c r="GE393" s="27" t="s">
        <v>8</v>
      </c>
      <c r="GF393" s="27" t="s">
        <v>7</v>
      </c>
      <c r="GS393" s="27" t="s">
        <v>8</v>
      </c>
      <c r="GT393" s="27" t="s">
        <v>7</v>
      </c>
      <c r="GV393" s="27" t="s">
        <v>7</v>
      </c>
      <c r="GW393" s="27" t="s">
        <v>8</v>
      </c>
      <c r="GX393" s="27" t="s">
        <v>7</v>
      </c>
      <c r="HA393" s="27" t="s">
        <v>8</v>
      </c>
      <c r="HB393" s="27" t="s">
        <v>7</v>
      </c>
      <c r="HC393" s="27" t="s">
        <v>8</v>
      </c>
      <c r="HD393" s="27" t="s">
        <v>7</v>
      </c>
      <c r="HI393" s="27" t="s">
        <v>8</v>
      </c>
      <c r="HJ393" s="27" t="s">
        <v>7</v>
      </c>
      <c r="HK393" s="27" t="s">
        <v>8</v>
      </c>
      <c r="HL393" s="27" t="s">
        <v>7</v>
      </c>
      <c r="HM393" s="27" t="s">
        <v>8</v>
      </c>
      <c r="HO393" s="27" t="s">
        <v>8</v>
      </c>
      <c r="HP393" s="27" t="s">
        <v>7</v>
      </c>
      <c r="HS393" s="27" t="s">
        <v>8</v>
      </c>
      <c r="HT393" s="27" t="s">
        <v>7</v>
      </c>
      <c r="HU393" s="27" t="s">
        <v>8</v>
      </c>
    </row>
    <row r="394" spans="1:240" x14ac:dyDescent="0.25">
      <c r="A394" s="7">
        <v>45.691261636541633</v>
      </c>
      <c r="B394"/>
      <c r="C394"/>
      <c r="D394"/>
      <c r="E394" t="s">
        <v>8</v>
      </c>
      <c r="F394" s="27" t="s">
        <v>7</v>
      </c>
      <c r="G394" s="27" t="s">
        <v>8</v>
      </c>
      <c r="H394" s="27" t="s">
        <v>7</v>
      </c>
      <c r="I394" s="27" t="s">
        <v>8</v>
      </c>
      <c r="J394" s="27" t="s">
        <v>7</v>
      </c>
      <c r="K394" s="27" t="s">
        <v>8</v>
      </c>
      <c r="P394" s="27" t="s">
        <v>7</v>
      </c>
      <c r="CE394" s="27" t="s">
        <v>8</v>
      </c>
      <c r="CF394" s="27" t="s">
        <v>7</v>
      </c>
      <c r="CG394" s="27" t="s">
        <v>8</v>
      </c>
      <c r="CH394" s="27" t="s">
        <v>7</v>
      </c>
      <c r="CI394" s="27" t="s">
        <v>8</v>
      </c>
      <c r="CJ394" s="27" t="s">
        <v>7</v>
      </c>
      <c r="CM394" s="27" t="s">
        <v>8</v>
      </c>
      <c r="CN394" s="27" t="s">
        <v>7</v>
      </c>
      <c r="CQ394" s="27" t="s">
        <v>8</v>
      </c>
      <c r="CR394" s="27" t="s">
        <v>7</v>
      </c>
      <c r="CW394" s="27" t="s">
        <v>8</v>
      </c>
      <c r="DA394" s="27" t="s">
        <v>8</v>
      </c>
      <c r="DB394" s="27" t="s">
        <v>7</v>
      </c>
      <c r="DC394" s="27" t="s">
        <v>8</v>
      </c>
      <c r="DF394" s="27" t="s">
        <v>7</v>
      </c>
      <c r="DG394" s="27" t="s">
        <v>8</v>
      </c>
      <c r="DH394" s="27" t="s">
        <v>7</v>
      </c>
      <c r="DI394" s="27" t="s">
        <v>8</v>
      </c>
      <c r="EN394" s="27" t="s">
        <v>7</v>
      </c>
      <c r="EO394" s="27" t="s">
        <v>8</v>
      </c>
      <c r="EP394" s="27" t="s">
        <v>7</v>
      </c>
      <c r="ES394" s="27" t="s">
        <v>8</v>
      </c>
      <c r="ET394" s="27" t="s">
        <v>7</v>
      </c>
      <c r="EU394" s="27" t="s">
        <v>8</v>
      </c>
      <c r="EZ394" s="27" t="s">
        <v>7</v>
      </c>
      <c r="FB394" s="27" t="s">
        <v>7</v>
      </c>
      <c r="FC394" s="27" t="s">
        <v>8</v>
      </c>
      <c r="FD394" s="27" t="s">
        <v>7</v>
      </c>
      <c r="GE394" s="27" t="s">
        <v>8</v>
      </c>
      <c r="GF394" s="27" t="s">
        <v>7</v>
      </c>
      <c r="GO394" s="27" t="s">
        <v>8</v>
      </c>
      <c r="GQ394" s="27" t="s">
        <v>8</v>
      </c>
      <c r="GS394" s="27" t="s">
        <v>8</v>
      </c>
      <c r="GV394" s="27" t="s">
        <v>7</v>
      </c>
      <c r="GW394" s="27" t="s">
        <v>8</v>
      </c>
      <c r="GX394" s="27" t="s">
        <v>7</v>
      </c>
      <c r="GY394" s="27" t="s">
        <v>8</v>
      </c>
      <c r="HA394" s="27" t="s">
        <v>8</v>
      </c>
      <c r="HB394" s="27" t="s">
        <v>7</v>
      </c>
      <c r="HC394" s="27" t="s">
        <v>8</v>
      </c>
      <c r="HD394" s="27" t="s">
        <v>7</v>
      </c>
      <c r="HI394" s="27" t="s">
        <v>8</v>
      </c>
      <c r="HJ394" s="27" t="s">
        <v>7</v>
      </c>
      <c r="HK394" s="27" t="s">
        <v>8</v>
      </c>
      <c r="HL394" s="27" t="s">
        <v>7</v>
      </c>
      <c r="HM394" s="27" t="s">
        <v>8</v>
      </c>
      <c r="HN394" s="27" t="s">
        <v>7</v>
      </c>
      <c r="HO394" s="27" t="s">
        <v>8</v>
      </c>
      <c r="HP394" s="27" t="s">
        <v>7</v>
      </c>
      <c r="HQ394" s="27" t="s">
        <v>8</v>
      </c>
      <c r="HS394" s="27" t="s">
        <v>8</v>
      </c>
      <c r="HT394" s="27" t="s">
        <v>7</v>
      </c>
      <c r="HU394" s="27" t="s">
        <v>8</v>
      </c>
      <c r="HV394" s="27" t="s">
        <v>7</v>
      </c>
      <c r="IC394" s="27" t="s">
        <v>8</v>
      </c>
    </row>
    <row r="395" spans="1:240" x14ac:dyDescent="0.25">
      <c r="A395" s="7">
        <v>44.795354545629053</v>
      </c>
      <c r="B395"/>
      <c r="C395"/>
      <c r="D395"/>
      <c r="E395" t="s">
        <v>8</v>
      </c>
      <c r="F395" s="27" t="s">
        <v>7</v>
      </c>
      <c r="G395" s="27" t="s">
        <v>8</v>
      </c>
      <c r="H395" s="27" t="s">
        <v>7</v>
      </c>
      <c r="I395" s="27" t="s">
        <v>8</v>
      </c>
      <c r="J395" s="27" t="s">
        <v>7</v>
      </c>
      <c r="K395" s="27" t="s">
        <v>8</v>
      </c>
      <c r="P395" s="27" t="s">
        <v>7</v>
      </c>
      <c r="AQ395" s="27" t="s">
        <v>8</v>
      </c>
      <c r="CE395" s="27" t="s">
        <v>8</v>
      </c>
      <c r="CF395" s="27" t="s">
        <v>7</v>
      </c>
      <c r="CG395" s="27" t="s">
        <v>8</v>
      </c>
      <c r="CH395" s="27" t="s">
        <v>7</v>
      </c>
      <c r="CI395" s="27" t="s">
        <v>8</v>
      </c>
      <c r="CJ395" s="27" t="s">
        <v>7</v>
      </c>
      <c r="CK395" s="27" t="s">
        <v>8</v>
      </c>
      <c r="CM395" s="27" t="s">
        <v>8</v>
      </c>
      <c r="CN395" s="27" t="s">
        <v>7</v>
      </c>
      <c r="CQ395" s="27" t="s">
        <v>8</v>
      </c>
      <c r="CR395" s="27" t="s">
        <v>7</v>
      </c>
      <c r="CU395" s="27" t="s">
        <v>8</v>
      </c>
      <c r="CW395" s="27" t="s">
        <v>8</v>
      </c>
      <c r="CX395" s="27" t="s">
        <v>7</v>
      </c>
      <c r="CY395" s="27" t="s">
        <v>8</v>
      </c>
      <c r="DA395" s="27" t="s">
        <v>8</v>
      </c>
      <c r="DB395" s="27" t="s">
        <v>7</v>
      </c>
      <c r="DF395" s="27" t="s">
        <v>7</v>
      </c>
      <c r="DG395" s="27" t="s">
        <v>8</v>
      </c>
      <c r="DH395" s="27" t="s">
        <v>7</v>
      </c>
      <c r="DI395" s="27" t="s">
        <v>8</v>
      </c>
      <c r="EN395" s="27" t="s">
        <v>7</v>
      </c>
      <c r="EO395" s="27" t="s">
        <v>8</v>
      </c>
      <c r="EP395" s="27" t="s">
        <v>7</v>
      </c>
      <c r="ES395" s="27" t="s">
        <v>8</v>
      </c>
      <c r="ET395" s="27" t="s">
        <v>7</v>
      </c>
      <c r="EU395" s="27" t="s">
        <v>8</v>
      </c>
      <c r="FB395" s="27" t="s">
        <v>7</v>
      </c>
      <c r="FC395" s="27" t="s">
        <v>8</v>
      </c>
      <c r="FD395" s="27" t="s">
        <v>7</v>
      </c>
      <c r="GE395" s="27" t="s">
        <v>8</v>
      </c>
      <c r="GF395" s="27" t="s">
        <v>7</v>
      </c>
      <c r="GO395" s="27" t="s">
        <v>8</v>
      </c>
      <c r="GP395" s="27" t="s">
        <v>7</v>
      </c>
      <c r="GQ395" s="27" t="s">
        <v>8</v>
      </c>
      <c r="GR395" s="27" t="s">
        <v>7</v>
      </c>
      <c r="GS395" s="27" t="s">
        <v>8</v>
      </c>
      <c r="GV395" s="27" t="s">
        <v>7</v>
      </c>
      <c r="GW395" s="27" t="s">
        <v>8</v>
      </c>
      <c r="GX395" s="27" t="s">
        <v>7</v>
      </c>
      <c r="GY395" s="27" t="s">
        <v>8</v>
      </c>
      <c r="GZ395" s="27" t="s">
        <v>7</v>
      </c>
      <c r="HA395" s="27" t="s">
        <v>8</v>
      </c>
      <c r="HB395" s="27" t="s">
        <v>7</v>
      </c>
      <c r="HC395" s="27" t="s">
        <v>8</v>
      </c>
      <c r="HD395" s="27" t="s">
        <v>7</v>
      </c>
      <c r="HI395" s="27" t="s">
        <v>8</v>
      </c>
      <c r="HJ395" s="27" t="s">
        <v>7</v>
      </c>
      <c r="HK395" s="27" t="s">
        <v>8</v>
      </c>
      <c r="HL395" s="27" t="s">
        <v>7</v>
      </c>
      <c r="HM395" s="27" t="s">
        <v>8</v>
      </c>
      <c r="HN395" s="27" t="s">
        <v>7</v>
      </c>
      <c r="HO395" s="27" t="s">
        <v>8</v>
      </c>
      <c r="HP395" s="27" t="s">
        <v>7</v>
      </c>
      <c r="HQ395" s="27" t="s">
        <v>8</v>
      </c>
      <c r="HR395" s="27" t="s">
        <v>7</v>
      </c>
      <c r="HS395" s="27" t="s">
        <v>8</v>
      </c>
      <c r="HT395" s="27" t="s">
        <v>7</v>
      </c>
      <c r="HU395" s="27" t="s">
        <v>8</v>
      </c>
      <c r="HV395" s="27" t="s">
        <v>7</v>
      </c>
      <c r="IC395" s="27" t="s">
        <v>8</v>
      </c>
      <c r="ID395" s="27" t="s">
        <v>7</v>
      </c>
      <c r="IE395" s="27" t="s">
        <v>8</v>
      </c>
    </row>
    <row r="396" spans="1:240" x14ac:dyDescent="0.25">
      <c r="A396" s="7">
        <v>43.917014260420636</v>
      </c>
      <c r="B396"/>
      <c r="C396"/>
      <c r="D396"/>
      <c r="E396" t="s">
        <v>8</v>
      </c>
      <c r="F396" s="27" t="s">
        <v>7</v>
      </c>
      <c r="G396" s="27" t="s">
        <v>8</v>
      </c>
      <c r="H396" s="27" t="s">
        <v>7</v>
      </c>
      <c r="I396" s="27" t="s">
        <v>8</v>
      </c>
      <c r="J396" s="27" t="s">
        <v>7</v>
      </c>
      <c r="K396" s="27" t="s">
        <v>8</v>
      </c>
      <c r="P396" s="27" t="s">
        <v>7</v>
      </c>
      <c r="AQ396" s="27" t="s">
        <v>8</v>
      </c>
      <c r="AR396" s="27" t="s">
        <v>7</v>
      </c>
      <c r="CE396" s="27" t="s">
        <v>8</v>
      </c>
      <c r="CF396" s="27" t="s">
        <v>7</v>
      </c>
      <c r="CG396" s="27" t="s">
        <v>8</v>
      </c>
      <c r="CH396" s="27" t="s">
        <v>7</v>
      </c>
      <c r="CI396" s="27" t="s">
        <v>8</v>
      </c>
      <c r="CJ396" s="27" t="s">
        <v>7</v>
      </c>
      <c r="CK396" s="27" t="s">
        <v>8</v>
      </c>
      <c r="CL396" s="27" t="s">
        <v>7</v>
      </c>
      <c r="CM396" s="27" t="s">
        <v>8</v>
      </c>
      <c r="CN396" s="27" t="s">
        <v>7</v>
      </c>
      <c r="CQ396" s="27" t="s">
        <v>8</v>
      </c>
      <c r="CR396" s="27" t="s">
        <v>7</v>
      </c>
      <c r="CS396" s="27" t="s">
        <v>8</v>
      </c>
      <c r="CU396" s="27" t="s">
        <v>8</v>
      </c>
      <c r="CV396" s="27" t="s">
        <v>7</v>
      </c>
      <c r="CW396" s="27" t="s">
        <v>8</v>
      </c>
      <c r="CX396" s="27" t="s">
        <v>7</v>
      </c>
      <c r="CY396" s="27" t="s">
        <v>8</v>
      </c>
      <c r="CZ396" s="27" t="s">
        <v>7</v>
      </c>
      <c r="DA396" s="27" t="s">
        <v>8</v>
      </c>
      <c r="DF396" s="27" t="s">
        <v>7</v>
      </c>
      <c r="DG396" s="27" t="s">
        <v>8</v>
      </c>
      <c r="DH396" s="27" t="s">
        <v>7</v>
      </c>
      <c r="EN396" s="27" t="s">
        <v>7</v>
      </c>
      <c r="EO396" s="27" t="s">
        <v>8</v>
      </c>
      <c r="EP396" s="27" t="s">
        <v>7</v>
      </c>
      <c r="ES396" s="27" t="s">
        <v>8</v>
      </c>
      <c r="ET396" s="27" t="s">
        <v>7</v>
      </c>
      <c r="EU396" s="27" t="s">
        <v>8</v>
      </c>
      <c r="FB396" s="27" t="s">
        <v>7</v>
      </c>
      <c r="FC396" s="27" t="s">
        <v>8</v>
      </c>
      <c r="FD396" s="27" t="s">
        <v>7</v>
      </c>
      <c r="GE396" s="27" t="s">
        <v>8</v>
      </c>
      <c r="GF396" s="27" t="s">
        <v>7</v>
      </c>
      <c r="GO396" s="27" t="s">
        <v>8</v>
      </c>
      <c r="GP396" s="27" t="s">
        <v>7</v>
      </c>
      <c r="GQ396" s="27" t="s">
        <v>8</v>
      </c>
      <c r="GR396" s="27" t="s">
        <v>7</v>
      </c>
      <c r="GS396" s="27" t="s">
        <v>8</v>
      </c>
      <c r="GV396" s="27" t="s">
        <v>7</v>
      </c>
      <c r="GW396" s="27" t="s">
        <v>8</v>
      </c>
      <c r="GX396" s="27" t="s">
        <v>7</v>
      </c>
      <c r="GY396" s="27" t="s">
        <v>8</v>
      </c>
      <c r="GZ396" s="27" t="s">
        <v>7</v>
      </c>
      <c r="HA396" s="27" t="s">
        <v>8</v>
      </c>
      <c r="HB396" s="27" t="s">
        <v>7</v>
      </c>
      <c r="HC396" s="27" t="s">
        <v>8</v>
      </c>
      <c r="HD396" s="27" t="s">
        <v>7</v>
      </c>
      <c r="HE396" s="27" t="s">
        <v>8</v>
      </c>
      <c r="HI396" s="27" t="s">
        <v>8</v>
      </c>
      <c r="HJ396" s="27" t="s">
        <v>7</v>
      </c>
      <c r="HK396" s="27" t="s">
        <v>8</v>
      </c>
      <c r="HL396" s="27" t="s">
        <v>7</v>
      </c>
      <c r="HM396" s="27" t="s">
        <v>8</v>
      </c>
      <c r="HN396" s="27" t="s">
        <v>7</v>
      </c>
      <c r="HO396" s="27" t="s">
        <v>8</v>
      </c>
      <c r="HP396" s="27" t="s">
        <v>7</v>
      </c>
      <c r="HQ396" s="27" t="s">
        <v>8</v>
      </c>
      <c r="HR396" s="27" t="s">
        <v>7</v>
      </c>
      <c r="HS396" s="27" t="s">
        <v>8</v>
      </c>
      <c r="HT396" s="27" t="s">
        <v>7</v>
      </c>
      <c r="HV396" s="27" t="s">
        <v>7</v>
      </c>
      <c r="IC396" s="27" t="s">
        <v>8</v>
      </c>
      <c r="ID396" s="27" t="s">
        <v>7</v>
      </c>
      <c r="IE396" s="27" t="s">
        <v>8</v>
      </c>
      <c r="IF396" s="27" t="s">
        <v>7</v>
      </c>
    </row>
    <row r="397" spans="1:240" x14ac:dyDescent="0.25">
      <c r="A397" s="7">
        <v>43.055896333745721</v>
      </c>
      <c r="B397"/>
      <c r="C397"/>
      <c r="D397"/>
      <c r="E397" t="s">
        <v>8</v>
      </c>
      <c r="F397" s="27" t="s">
        <v>7</v>
      </c>
      <c r="G397" s="27" t="s">
        <v>8</v>
      </c>
      <c r="H397" s="27" t="s">
        <v>7</v>
      </c>
      <c r="J397" s="27" t="s">
        <v>7</v>
      </c>
      <c r="K397" s="27" t="s">
        <v>8</v>
      </c>
      <c r="P397" s="27" t="s">
        <v>7</v>
      </c>
      <c r="AQ397" s="27" t="s">
        <v>8</v>
      </c>
      <c r="AR397" s="27" t="s">
        <v>7</v>
      </c>
      <c r="CE397" s="27" t="s">
        <v>8</v>
      </c>
      <c r="CF397" s="27" t="s">
        <v>7</v>
      </c>
      <c r="CG397" s="27" t="s">
        <v>8</v>
      </c>
      <c r="CH397" s="27" t="s">
        <v>7</v>
      </c>
      <c r="CI397" s="27" t="s">
        <v>8</v>
      </c>
      <c r="CJ397" s="27" t="s">
        <v>7</v>
      </c>
      <c r="CK397" s="27" t="s">
        <v>8</v>
      </c>
      <c r="CL397" s="27" t="s">
        <v>7</v>
      </c>
      <c r="CM397" s="27" t="s">
        <v>8</v>
      </c>
      <c r="CN397" s="27" t="s">
        <v>7</v>
      </c>
      <c r="CQ397" s="27" t="s">
        <v>8</v>
      </c>
      <c r="CR397" s="27" t="s">
        <v>7</v>
      </c>
      <c r="CS397" s="27" t="s">
        <v>8</v>
      </c>
      <c r="CT397" s="27" t="s">
        <v>7</v>
      </c>
      <c r="CU397" s="27" t="s">
        <v>8</v>
      </c>
      <c r="CV397" s="27" t="s">
        <v>7</v>
      </c>
      <c r="CW397" s="27" t="s">
        <v>8</v>
      </c>
      <c r="CX397" s="27" t="s">
        <v>7</v>
      </c>
      <c r="CY397" s="27" t="s">
        <v>8</v>
      </c>
      <c r="CZ397" s="27" t="s">
        <v>7</v>
      </c>
      <c r="DA397" s="27" t="s">
        <v>8</v>
      </c>
      <c r="DF397" s="27" t="s">
        <v>7</v>
      </c>
      <c r="DG397" s="27" t="s">
        <v>8</v>
      </c>
      <c r="EN397" s="27" t="s">
        <v>7</v>
      </c>
      <c r="EO397" s="27" t="s">
        <v>8</v>
      </c>
      <c r="EP397" s="27" t="s">
        <v>7</v>
      </c>
      <c r="ES397" s="27" t="s">
        <v>8</v>
      </c>
      <c r="ET397" s="27" t="s">
        <v>7</v>
      </c>
      <c r="EU397" s="27" t="s">
        <v>8</v>
      </c>
      <c r="FB397" s="27" t="s">
        <v>7</v>
      </c>
      <c r="FC397" s="27" t="s">
        <v>8</v>
      </c>
      <c r="FD397" s="27" t="s">
        <v>7</v>
      </c>
      <c r="FE397" s="27" t="s">
        <v>8</v>
      </c>
      <c r="FK397" s="27" t="s">
        <v>8</v>
      </c>
      <c r="GE397" s="27" t="s">
        <v>8</v>
      </c>
      <c r="GF397" s="27" t="s">
        <v>7</v>
      </c>
      <c r="GI397" s="27" t="s">
        <v>8</v>
      </c>
      <c r="GK397" s="27" t="s">
        <v>8</v>
      </c>
      <c r="GM397" s="27" t="s">
        <v>8</v>
      </c>
      <c r="GO397" s="27" t="s">
        <v>8</v>
      </c>
      <c r="GP397" s="27" t="s">
        <v>7</v>
      </c>
      <c r="GQ397" s="27" t="s">
        <v>8</v>
      </c>
      <c r="GR397" s="27" t="s">
        <v>7</v>
      </c>
      <c r="GS397" s="27" t="s">
        <v>8</v>
      </c>
      <c r="GV397" s="27" t="s">
        <v>7</v>
      </c>
      <c r="GW397" s="27" t="s">
        <v>8</v>
      </c>
      <c r="GX397" s="27" t="s">
        <v>7</v>
      </c>
      <c r="GY397" s="27" t="s">
        <v>8</v>
      </c>
      <c r="GZ397" s="27" t="s">
        <v>7</v>
      </c>
      <c r="HA397" s="27" t="s">
        <v>8</v>
      </c>
      <c r="HB397" s="27" t="s">
        <v>7</v>
      </c>
      <c r="HC397" s="27" t="s">
        <v>8</v>
      </c>
      <c r="HD397" s="27" t="s">
        <v>7</v>
      </c>
      <c r="HE397" s="27" t="s">
        <v>8</v>
      </c>
      <c r="HF397" s="27" t="s">
        <v>7</v>
      </c>
      <c r="HG397" s="27" t="s">
        <v>8</v>
      </c>
      <c r="HI397" s="27" t="s">
        <v>8</v>
      </c>
      <c r="HJ397" s="27" t="s">
        <v>7</v>
      </c>
      <c r="HL397" s="27" t="s">
        <v>7</v>
      </c>
      <c r="HM397" s="27" t="s">
        <v>8</v>
      </c>
      <c r="HN397" s="27" t="s">
        <v>7</v>
      </c>
      <c r="HO397" s="27" t="s">
        <v>8</v>
      </c>
      <c r="HP397" s="27" t="s">
        <v>7</v>
      </c>
      <c r="HR397" s="27" t="s">
        <v>7</v>
      </c>
      <c r="HS397" s="27" t="s">
        <v>8</v>
      </c>
      <c r="HV397" s="27" t="s">
        <v>7</v>
      </c>
      <c r="HW397" s="27" t="s">
        <v>8</v>
      </c>
      <c r="IC397" s="27" t="s">
        <v>8</v>
      </c>
      <c r="ID397" s="27" t="s">
        <v>7</v>
      </c>
      <c r="IE397" s="27" t="s">
        <v>8</v>
      </c>
      <c r="IF397" s="27" t="s">
        <v>7</v>
      </c>
    </row>
    <row r="398" spans="1:240" x14ac:dyDescent="0.25">
      <c r="A398" s="7">
        <v>42.211663072299729</v>
      </c>
      <c r="B398"/>
      <c r="C398"/>
      <c r="D398"/>
      <c r="E398" t="s">
        <v>8</v>
      </c>
      <c r="F398" s="27" t="s">
        <v>7</v>
      </c>
      <c r="G398" s="27" t="s">
        <v>8</v>
      </c>
      <c r="J398" s="27" t="s">
        <v>7</v>
      </c>
      <c r="K398" s="27" t="s">
        <v>8</v>
      </c>
      <c r="P398" s="27" t="s">
        <v>7</v>
      </c>
      <c r="AQ398" s="27" t="s">
        <v>8</v>
      </c>
      <c r="AR398" s="27" t="s">
        <v>7</v>
      </c>
      <c r="CE398" s="27" t="s">
        <v>8</v>
      </c>
      <c r="CF398" s="27" t="s">
        <v>7</v>
      </c>
      <c r="CG398" s="27" t="s">
        <v>8</v>
      </c>
      <c r="CH398" s="27" t="s">
        <v>7</v>
      </c>
      <c r="CI398" s="27" t="s">
        <v>8</v>
      </c>
      <c r="CJ398" s="27" t="s">
        <v>7</v>
      </c>
      <c r="CK398" s="27" t="s">
        <v>8</v>
      </c>
      <c r="CL398" s="27" t="s">
        <v>7</v>
      </c>
      <c r="CM398" s="27" t="s">
        <v>8</v>
      </c>
      <c r="CN398" s="27" t="s">
        <v>7</v>
      </c>
      <c r="CQ398" s="27" t="s">
        <v>8</v>
      </c>
      <c r="CR398" s="27" t="s">
        <v>7</v>
      </c>
      <c r="CS398" s="27" t="s">
        <v>8</v>
      </c>
      <c r="CT398" s="27" t="s">
        <v>7</v>
      </c>
      <c r="CU398" s="27" t="s">
        <v>8</v>
      </c>
      <c r="CV398" s="27" t="s">
        <v>7</v>
      </c>
      <c r="CW398" s="27" t="s">
        <v>8</v>
      </c>
      <c r="CX398" s="27" t="s">
        <v>7</v>
      </c>
      <c r="CY398" s="27" t="s">
        <v>8</v>
      </c>
      <c r="CZ398" s="27" t="s">
        <v>7</v>
      </c>
      <c r="DA398" s="27" t="s">
        <v>8</v>
      </c>
      <c r="DF398" s="27" t="s">
        <v>7</v>
      </c>
      <c r="DG398" s="27" t="s">
        <v>8</v>
      </c>
      <c r="EN398" s="27" t="s">
        <v>7</v>
      </c>
      <c r="EO398" s="27" t="s">
        <v>8</v>
      </c>
      <c r="EP398" s="27" t="s">
        <v>7</v>
      </c>
      <c r="EQ398" s="27" t="s">
        <v>8</v>
      </c>
      <c r="ES398" s="27" t="s">
        <v>8</v>
      </c>
      <c r="ET398" s="27" t="s">
        <v>7</v>
      </c>
      <c r="EU398" s="27" t="s">
        <v>8</v>
      </c>
      <c r="FB398" s="27" t="s">
        <v>7</v>
      </c>
      <c r="FC398" s="27" t="s">
        <v>8</v>
      </c>
      <c r="FD398" s="27" t="s">
        <v>7</v>
      </c>
      <c r="FE398" s="27" t="s">
        <v>8</v>
      </c>
      <c r="FF398" s="27" t="s">
        <v>7</v>
      </c>
      <c r="FK398" s="27" t="s">
        <v>8</v>
      </c>
      <c r="FL398" s="27" t="s">
        <v>7</v>
      </c>
      <c r="GE398" s="27" t="s">
        <v>8</v>
      </c>
      <c r="GF398" s="27" t="s">
        <v>7</v>
      </c>
      <c r="GI398" s="27" t="s">
        <v>8</v>
      </c>
      <c r="GJ398" s="27" t="s">
        <v>7</v>
      </c>
      <c r="GK398" s="27" t="s">
        <v>8</v>
      </c>
      <c r="GL398" s="27" t="s">
        <v>7</v>
      </c>
      <c r="GM398" s="27" t="s">
        <v>8</v>
      </c>
      <c r="GN398" s="27" t="s">
        <v>7</v>
      </c>
      <c r="GO398" s="27" t="s">
        <v>8</v>
      </c>
      <c r="GP398" s="27" t="s">
        <v>7</v>
      </c>
      <c r="GQ398" s="27" t="s">
        <v>8</v>
      </c>
      <c r="GR398" s="27" t="s">
        <v>7</v>
      </c>
      <c r="GV398" s="27" t="s">
        <v>7</v>
      </c>
      <c r="GW398" s="27" t="s">
        <v>8</v>
      </c>
      <c r="GX398" s="27" t="s">
        <v>7</v>
      </c>
      <c r="GZ398" s="27" t="s">
        <v>7</v>
      </c>
      <c r="HB398" s="27" t="s">
        <v>7</v>
      </c>
      <c r="HC398" s="27" t="s">
        <v>8</v>
      </c>
      <c r="HD398" s="27" t="s">
        <v>7</v>
      </c>
      <c r="HE398" s="27" t="s">
        <v>8</v>
      </c>
      <c r="HF398" s="27" t="s">
        <v>7</v>
      </c>
      <c r="HG398" s="27" t="s">
        <v>8</v>
      </c>
      <c r="HH398" s="27" t="s">
        <v>7</v>
      </c>
      <c r="HI398" s="27" t="s">
        <v>8</v>
      </c>
      <c r="HL398" s="27" t="s">
        <v>7</v>
      </c>
      <c r="HN398" s="27" t="s">
        <v>7</v>
      </c>
      <c r="HO398" s="27" t="s">
        <v>8</v>
      </c>
      <c r="HR398" s="27" t="s">
        <v>7</v>
      </c>
      <c r="HS398" s="27" t="s">
        <v>8</v>
      </c>
      <c r="HV398" s="27" t="s">
        <v>7</v>
      </c>
      <c r="HW398" s="27" t="s">
        <v>8</v>
      </c>
      <c r="HX398" s="27" t="s">
        <v>7</v>
      </c>
      <c r="IC398" s="27" t="s">
        <v>8</v>
      </c>
      <c r="ID398" s="27" t="s">
        <v>7</v>
      </c>
      <c r="IE398" s="27" t="s">
        <v>8</v>
      </c>
      <c r="IF398" s="27" t="s">
        <v>7</v>
      </c>
    </row>
    <row r="399" spans="1:240" x14ac:dyDescent="0.25">
      <c r="A399" s="7">
        <v>41.383983404215421</v>
      </c>
      <c r="B399"/>
      <c r="C399"/>
      <c r="D399"/>
      <c r="E399" t="s">
        <v>8</v>
      </c>
      <c r="F399" s="27" t="s">
        <v>7</v>
      </c>
      <c r="J399" s="27" t="s">
        <v>7</v>
      </c>
      <c r="K399" s="27" t="s">
        <v>8</v>
      </c>
      <c r="P399" s="27" t="s">
        <v>7</v>
      </c>
      <c r="AQ399" s="27" t="s">
        <v>8</v>
      </c>
      <c r="AR399" s="27" t="s">
        <v>7</v>
      </c>
      <c r="CE399" s="27" t="s">
        <v>8</v>
      </c>
      <c r="CF399" s="27" t="s">
        <v>7</v>
      </c>
      <c r="CG399" s="27" t="s">
        <v>8</v>
      </c>
      <c r="CH399" s="27" t="s">
        <v>7</v>
      </c>
      <c r="CI399" s="27" t="s">
        <v>8</v>
      </c>
      <c r="CJ399" s="27" t="s">
        <v>7</v>
      </c>
      <c r="CK399" s="27" t="s">
        <v>8</v>
      </c>
      <c r="CL399" s="27" t="s">
        <v>7</v>
      </c>
      <c r="CM399" s="27" t="s">
        <v>8</v>
      </c>
      <c r="CN399" s="27" t="s">
        <v>7</v>
      </c>
      <c r="CQ399" s="27" t="s">
        <v>8</v>
      </c>
      <c r="CR399" s="27" t="s">
        <v>7</v>
      </c>
      <c r="CS399" s="27" t="s">
        <v>8</v>
      </c>
      <c r="CT399" s="27" t="s">
        <v>7</v>
      </c>
      <c r="CU399" s="27" t="s">
        <v>8</v>
      </c>
      <c r="CV399" s="27" t="s">
        <v>7</v>
      </c>
      <c r="CW399" s="27" t="s">
        <v>8</v>
      </c>
      <c r="CX399" s="27" t="s">
        <v>7</v>
      </c>
      <c r="CY399" s="27" t="s">
        <v>8</v>
      </c>
      <c r="CZ399" s="27" t="s">
        <v>7</v>
      </c>
      <c r="DA399" s="27" t="s">
        <v>8</v>
      </c>
      <c r="DF399" s="27" t="s">
        <v>7</v>
      </c>
      <c r="DG399" s="27" t="s">
        <v>8</v>
      </c>
      <c r="EN399" s="27" t="s">
        <v>7</v>
      </c>
      <c r="EO399" s="27" t="s">
        <v>8</v>
      </c>
      <c r="EP399" s="27" t="s">
        <v>7</v>
      </c>
      <c r="EQ399" s="27" t="s">
        <v>8</v>
      </c>
      <c r="ER399" s="27" t="s">
        <v>7</v>
      </c>
      <c r="ES399" s="27" t="s">
        <v>8</v>
      </c>
      <c r="ET399" s="27" t="s">
        <v>7</v>
      </c>
      <c r="EU399" s="27" t="s">
        <v>8</v>
      </c>
      <c r="FB399" s="27" t="s">
        <v>7</v>
      </c>
      <c r="FC399" s="27" t="s">
        <v>8</v>
      </c>
      <c r="FD399" s="27" t="s">
        <v>7</v>
      </c>
      <c r="FE399" s="27" t="s">
        <v>8</v>
      </c>
      <c r="FF399" s="27" t="s">
        <v>7</v>
      </c>
      <c r="FG399" s="27" t="s">
        <v>8</v>
      </c>
      <c r="FK399" s="27" t="s">
        <v>8</v>
      </c>
      <c r="FL399" s="27" t="s">
        <v>7</v>
      </c>
      <c r="GE399" s="27" t="s">
        <v>8</v>
      </c>
      <c r="GF399" s="27" t="s">
        <v>7</v>
      </c>
      <c r="GG399" s="27" t="s">
        <v>8</v>
      </c>
      <c r="GI399" s="27" t="s">
        <v>8</v>
      </c>
      <c r="GJ399" s="27" t="s">
        <v>7</v>
      </c>
      <c r="GK399" s="27" t="s">
        <v>8</v>
      </c>
      <c r="GL399" s="27" t="s">
        <v>7</v>
      </c>
      <c r="GM399" s="27" t="s">
        <v>8</v>
      </c>
      <c r="GN399" s="27" t="s">
        <v>7</v>
      </c>
      <c r="GO399" s="27" t="s">
        <v>8</v>
      </c>
      <c r="GP399" s="27" t="s">
        <v>7</v>
      </c>
      <c r="GV399" s="27" t="s">
        <v>7</v>
      </c>
      <c r="GW399" s="27" t="s">
        <v>8</v>
      </c>
      <c r="HB399" s="27" t="s">
        <v>7</v>
      </c>
      <c r="HC399" s="27" t="s">
        <v>8</v>
      </c>
      <c r="HD399" s="27" t="s">
        <v>7</v>
      </c>
      <c r="HE399" s="27" t="s">
        <v>8</v>
      </c>
      <c r="HF399" s="27" t="s">
        <v>7</v>
      </c>
      <c r="HG399" s="27" t="s">
        <v>8</v>
      </c>
      <c r="HH399" s="27" t="s">
        <v>7</v>
      </c>
      <c r="HI399" s="27" t="s">
        <v>8</v>
      </c>
      <c r="HN399" s="27" t="s">
        <v>7</v>
      </c>
      <c r="HR399" s="27" t="s">
        <v>7</v>
      </c>
      <c r="HS399" s="27" t="s">
        <v>8</v>
      </c>
      <c r="HV399" s="27" t="s">
        <v>7</v>
      </c>
      <c r="HW399" s="27" t="s">
        <v>8</v>
      </c>
      <c r="HX399" s="27" t="s">
        <v>7</v>
      </c>
      <c r="HY399" s="27" t="s">
        <v>8</v>
      </c>
      <c r="IA399" s="27" t="s">
        <v>8</v>
      </c>
      <c r="IC399" s="27" t="s">
        <v>8</v>
      </c>
      <c r="ID399" s="27" t="s">
        <v>7</v>
      </c>
      <c r="IE399" s="27" t="s">
        <v>8</v>
      </c>
      <c r="IF399" s="27" t="s">
        <v>7</v>
      </c>
    </row>
    <row r="400" spans="1:240" x14ac:dyDescent="0.25">
      <c r="A400" s="7">
        <v>40.572532749230803</v>
      </c>
      <c r="B400"/>
      <c r="C400"/>
      <c r="D400"/>
      <c r="E400" t="s">
        <v>8</v>
      </c>
      <c r="J400" s="27" t="s">
        <v>7</v>
      </c>
      <c r="K400" s="27" t="s">
        <v>8</v>
      </c>
      <c r="P400" s="27" t="s">
        <v>7</v>
      </c>
      <c r="AQ400" s="27" t="s">
        <v>8</v>
      </c>
      <c r="AR400" s="27" t="s">
        <v>7</v>
      </c>
      <c r="AU400" s="27" t="s">
        <v>8</v>
      </c>
      <c r="CE400" s="27" t="s">
        <v>8</v>
      </c>
      <c r="CF400" s="27" t="s">
        <v>7</v>
      </c>
      <c r="CH400" s="27" t="s">
        <v>7</v>
      </c>
      <c r="CI400" s="27" t="s">
        <v>8</v>
      </c>
      <c r="CJ400" s="27" t="s">
        <v>7</v>
      </c>
      <c r="CL400" s="27" t="s">
        <v>7</v>
      </c>
      <c r="CM400" s="27" t="s">
        <v>8</v>
      </c>
      <c r="CN400" s="27" t="s">
        <v>7</v>
      </c>
      <c r="CO400" s="27" t="s">
        <v>8</v>
      </c>
      <c r="CQ400" s="27" t="s">
        <v>8</v>
      </c>
      <c r="CR400" s="27" t="s">
        <v>7</v>
      </c>
      <c r="CS400" s="27" t="s">
        <v>8</v>
      </c>
      <c r="CT400" s="27" t="s">
        <v>7</v>
      </c>
      <c r="CU400" s="27" t="s">
        <v>8</v>
      </c>
      <c r="CV400" s="27" t="s">
        <v>7</v>
      </c>
      <c r="CW400" s="27" t="s">
        <v>8</v>
      </c>
      <c r="CX400" s="27" t="s">
        <v>7</v>
      </c>
      <c r="CY400" s="27" t="s">
        <v>8</v>
      </c>
      <c r="CZ400" s="27" t="s">
        <v>7</v>
      </c>
      <c r="DF400" s="27" t="s">
        <v>7</v>
      </c>
      <c r="DG400" s="27" t="s">
        <v>8</v>
      </c>
      <c r="EN400" s="27" t="s">
        <v>7</v>
      </c>
      <c r="EO400" s="27" t="s">
        <v>8</v>
      </c>
      <c r="EP400" s="27" t="s">
        <v>7</v>
      </c>
      <c r="EQ400" s="27" t="s">
        <v>8</v>
      </c>
      <c r="ER400" s="27" t="s">
        <v>7</v>
      </c>
      <c r="ES400" s="27" t="s">
        <v>8</v>
      </c>
      <c r="ET400" s="27" t="s">
        <v>7</v>
      </c>
      <c r="EU400" s="27" t="s">
        <v>8</v>
      </c>
      <c r="FB400" s="27" t="s">
        <v>7</v>
      </c>
      <c r="FC400" s="27" t="s">
        <v>8</v>
      </c>
      <c r="FD400" s="27" t="s">
        <v>7</v>
      </c>
      <c r="FE400" s="27" t="s">
        <v>8</v>
      </c>
      <c r="FF400" s="27" t="s">
        <v>7</v>
      </c>
      <c r="FG400" s="27" t="s">
        <v>8</v>
      </c>
      <c r="FH400" s="27" t="s">
        <v>7</v>
      </c>
      <c r="FK400" s="27" t="s">
        <v>8</v>
      </c>
      <c r="FL400" s="27" t="s">
        <v>7</v>
      </c>
      <c r="GC400" s="27" t="s">
        <v>8</v>
      </c>
      <c r="GE400" s="27" t="s">
        <v>8</v>
      </c>
      <c r="GF400" s="27" t="s">
        <v>7</v>
      </c>
      <c r="GG400" s="27" t="s">
        <v>8</v>
      </c>
      <c r="GH400" s="27" t="s">
        <v>7</v>
      </c>
      <c r="GI400" s="27" t="s">
        <v>8</v>
      </c>
      <c r="GJ400" s="27" t="s">
        <v>7</v>
      </c>
      <c r="GK400" s="27" t="s">
        <v>8</v>
      </c>
      <c r="GL400" s="27" t="s">
        <v>7</v>
      </c>
      <c r="GN400" s="27" t="s">
        <v>7</v>
      </c>
      <c r="GO400" s="27" t="s">
        <v>8</v>
      </c>
      <c r="GV400" s="27" t="s">
        <v>7</v>
      </c>
      <c r="GW400" s="27" t="s">
        <v>8</v>
      </c>
      <c r="HB400" s="27" t="s">
        <v>7</v>
      </c>
      <c r="HC400" s="27" t="s">
        <v>8</v>
      </c>
      <c r="HD400" s="27" t="s">
        <v>7</v>
      </c>
      <c r="HE400" s="27" t="s">
        <v>8</v>
      </c>
      <c r="HF400" s="27" t="s">
        <v>7</v>
      </c>
      <c r="HG400" s="27" t="s">
        <v>8</v>
      </c>
      <c r="HH400" s="27" t="s">
        <v>7</v>
      </c>
      <c r="HI400" s="27" t="s">
        <v>8</v>
      </c>
      <c r="HR400" s="27" t="s">
        <v>7</v>
      </c>
      <c r="HV400" s="27" t="s">
        <v>7</v>
      </c>
      <c r="HW400" s="27" t="s">
        <v>8</v>
      </c>
      <c r="HX400" s="27" t="s">
        <v>7</v>
      </c>
      <c r="HY400" s="27" t="s">
        <v>8</v>
      </c>
      <c r="HZ400" s="27" t="s">
        <v>7</v>
      </c>
      <c r="IA400" s="27" t="s">
        <v>8</v>
      </c>
      <c r="IB400" s="27" t="s">
        <v>7</v>
      </c>
      <c r="IC400" s="27" t="s">
        <v>8</v>
      </c>
      <c r="ID400" s="27" t="s">
        <v>7</v>
      </c>
      <c r="IE400" s="27" t="s">
        <v>8</v>
      </c>
      <c r="IF400" s="27" t="s">
        <v>7</v>
      </c>
    </row>
    <row r="401" spans="1:246" x14ac:dyDescent="0.25">
      <c r="A401" s="7">
        <v>39.776992891402749</v>
      </c>
      <c r="B401"/>
      <c r="C401"/>
      <c r="D401"/>
      <c r="E401" t="s">
        <v>8</v>
      </c>
      <c r="J401" s="27" t="s">
        <v>7</v>
      </c>
      <c r="K401" s="27" t="s">
        <v>8</v>
      </c>
      <c r="P401" s="27" t="s">
        <v>7</v>
      </c>
      <c r="Q401" s="27" t="s">
        <v>8</v>
      </c>
      <c r="U401" s="27" t="s">
        <v>8</v>
      </c>
      <c r="AQ401" s="27" t="s">
        <v>8</v>
      </c>
      <c r="AR401" s="27" t="s">
        <v>7</v>
      </c>
      <c r="AU401" s="27" t="s">
        <v>8</v>
      </c>
      <c r="AV401" s="27" t="s">
        <v>7</v>
      </c>
      <c r="CC401" s="27" t="s">
        <v>8</v>
      </c>
      <c r="CE401" s="27" t="s">
        <v>8</v>
      </c>
      <c r="CH401" s="27" t="s">
        <v>7</v>
      </c>
      <c r="CI401" s="27" t="s">
        <v>8</v>
      </c>
      <c r="CL401" s="27" t="s">
        <v>7</v>
      </c>
      <c r="CM401" s="27" t="s">
        <v>8</v>
      </c>
      <c r="CN401" s="27" t="s">
        <v>7</v>
      </c>
      <c r="CO401" s="27" t="s">
        <v>8</v>
      </c>
      <c r="CP401" s="27" t="s">
        <v>7</v>
      </c>
      <c r="CQ401" s="27" t="s">
        <v>8</v>
      </c>
      <c r="CR401" s="27" t="s">
        <v>7</v>
      </c>
      <c r="CS401" s="27" t="s">
        <v>8</v>
      </c>
      <c r="CT401" s="27" t="s">
        <v>7</v>
      </c>
      <c r="CU401" s="27" t="s">
        <v>8</v>
      </c>
      <c r="CV401" s="27" t="s">
        <v>7</v>
      </c>
      <c r="CW401" s="27" t="s">
        <v>8</v>
      </c>
      <c r="CX401" s="27" t="s">
        <v>7</v>
      </c>
      <c r="DF401" s="27" t="s">
        <v>7</v>
      </c>
      <c r="DG401" s="27" t="s">
        <v>8</v>
      </c>
      <c r="EN401" s="27" t="s">
        <v>7</v>
      </c>
      <c r="EO401" s="27" t="s">
        <v>8</v>
      </c>
      <c r="EP401" s="27" t="s">
        <v>7</v>
      </c>
      <c r="EQ401" s="27" t="s">
        <v>8</v>
      </c>
      <c r="ER401" s="27" t="s">
        <v>7</v>
      </c>
      <c r="ES401" s="27" t="s">
        <v>8</v>
      </c>
      <c r="ET401" s="27" t="s">
        <v>7</v>
      </c>
      <c r="FB401" s="27" t="s">
        <v>7</v>
      </c>
      <c r="FD401" s="27" t="s">
        <v>7</v>
      </c>
      <c r="FE401" s="27" t="s">
        <v>8</v>
      </c>
      <c r="FF401" s="27" t="s">
        <v>7</v>
      </c>
      <c r="FG401" s="27" t="s">
        <v>8</v>
      </c>
      <c r="FH401" s="27" t="s">
        <v>7</v>
      </c>
      <c r="FK401" s="27" t="s">
        <v>8</v>
      </c>
      <c r="FL401" s="27" t="s">
        <v>7</v>
      </c>
      <c r="GC401" s="27" t="s">
        <v>8</v>
      </c>
      <c r="GD401" s="27" t="s">
        <v>7</v>
      </c>
      <c r="GE401" s="27" t="s">
        <v>8</v>
      </c>
      <c r="GF401" s="27" t="s">
        <v>7</v>
      </c>
      <c r="GG401" s="27" t="s">
        <v>8</v>
      </c>
      <c r="GH401" s="27" t="s">
        <v>7</v>
      </c>
      <c r="GI401" s="27" t="s">
        <v>8</v>
      </c>
      <c r="GJ401" s="27" t="s">
        <v>7</v>
      </c>
      <c r="GK401" s="27" t="s">
        <v>8</v>
      </c>
      <c r="GN401" s="27" t="s">
        <v>7</v>
      </c>
      <c r="GO401" s="27" t="s">
        <v>8</v>
      </c>
      <c r="GV401" s="27" t="s">
        <v>7</v>
      </c>
      <c r="GW401" s="27" t="s">
        <v>8</v>
      </c>
      <c r="HB401" s="27" t="s">
        <v>7</v>
      </c>
      <c r="HC401" s="27" t="s">
        <v>8</v>
      </c>
      <c r="HD401" s="27" t="s">
        <v>7</v>
      </c>
      <c r="HE401" s="27" t="s">
        <v>8</v>
      </c>
      <c r="HF401" s="27" t="s">
        <v>7</v>
      </c>
      <c r="HH401" s="27" t="s">
        <v>7</v>
      </c>
      <c r="HI401" s="27" t="s">
        <v>8</v>
      </c>
      <c r="HV401" s="27" t="s">
        <v>7</v>
      </c>
      <c r="HW401" s="27" t="s">
        <v>8</v>
      </c>
      <c r="HX401" s="27" t="s">
        <v>7</v>
      </c>
      <c r="HY401" s="27" t="s">
        <v>8</v>
      </c>
      <c r="HZ401" s="27" t="s">
        <v>7</v>
      </c>
      <c r="IA401" s="27" t="s">
        <v>8</v>
      </c>
      <c r="IB401" s="27" t="s">
        <v>7</v>
      </c>
      <c r="IC401" s="27" t="s">
        <v>8</v>
      </c>
      <c r="ID401" s="27" t="s">
        <v>7</v>
      </c>
      <c r="IE401" s="27" t="s">
        <v>8</v>
      </c>
      <c r="IF401" s="27" t="s">
        <v>7</v>
      </c>
    </row>
    <row r="402" spans="1:246" x14ac:dyDescent="0.25">
      <c r="A402" s="7">
        <v>38.997051854316418</v>
      </c>
      <c r="B402"/>
      <c r="C402"/>
      <c r="D402"/>
      <c r="E402" t="s">
        <v>8</v>
      </c>
      <c r="J402" s="27" t="s">
        <v>7</v>
      </c>
      <c r="P402" s="27" t="s">
        <v>7</v>
      </c>
      <c r="Q402" s="27" t="s">
        <v>8</v>
      </c>
      <c r="R402" s="27" t="s">
        <v>7</v>
      </c>
      <c r="S402" s="27" t="s">
        <v>8</v>
      </c>
      <c r="U402" s="27" t="s">
        <v>8</v>
      </c>
      <c r="V402" s="27" t="s">
        <v>7</v>
      </c>
      <c r="AQ402" s="27" t="s">
        <v>8</v>
      </c>
      <c r="AR402" s="27" t="s">
        <v>7</v>
      </c>
      <c r="AS402" s="27" t="s">
        <v>8</v>
      </c>
      <c r="AU402" s="27" t="s">
        <v>8</v>
      </c>
      <c r="AV402" s="27" t="s">
        <v>7</v>
      </c>
      <c r="CC402" s="27" t="s">
        <v>8</v>
      </c>
      <c r="CD402" s="27" t="s">
        <v>7</v>
      </c>
      <c r="CE402" s="27" t="s">
        <v>8</v>
      </c>
      <c r="CH402" s="27" t="s">
        <v>7</v>
      </c>
      <c r="CI402" s="27" t="s">
        <v>8</v>
      </c>
      <c r="CL402" s="27" t="s">
        <v>7</v>
      </c>
      <c r="CM402" s="27" t="s">
        <v>8</v>
      </c>
      <c r="CN402" s="27" t="s">
        <v>7</v>
      </c>
      <c r="CO402" s="27" t="s">
        <v>8</v>
      </c>
      <c r="CP402" s="27" t="s">
        <v>7</v>
      </c>
      <c r="CQ402" s="27" t="s">
        <v>8</v>
      </c>
      <c r="CR402" s="27" t="s">
        <v>7</v>
      </c>
      <c r="CS402" s="27" t="s">
        <v>8</v>
      </c>
      <c r="CT402" s="27" t="s">
        <v>7</v>
      </c>
      <c r="CV402" s="27" t="s">
        <v>7</v>
      </c>
      <c r="CW402" s="27" t="s">
        <v>8</v>
      </c>
      <c r="DF402" s="27" t="s">
        <v>7</v>
      </c>
      <c r="EN402" s="27" t="s">
        <v>7</v>
      </c>
      <c r="EO402" s="27" t="s">
        <v>8</v>
      </c>
      <c r="EP402" s="27" t="s">
        <v>7</v>
      </c>
      <c r="EQ402" s="27" t="s">
        <v>8</v>
      </c>
      <c r="ER402" s="27" t="s">
        <v>7</v>
      </c>
      <c r="FD402" s="27" t="s">
        <v>7</v>
      </c>
      <c r="FE402" s="27" t="s">
        <v>8</v>
      </c>
      <c r="FF402" s="27" t="s">
        <v>7</v>
      </c>
      <c r="FG402" s="27" t="s">
        <v>8</v>
      </c>
      <c r="FH402" s="27" t="s">
        <v>7</v>
      </c>
      <c r="FK402" s="27" t="s">
        <v>8</v>
      </c>
      <c r="FL402" s="27" t="s">
        <v>7</v>
      </c>
      <c r="FY402" s="27" t="s">
        <v>8</v>
      </c>
      <c r="GC402" s="27" t="s">
        <v>8</v>
      </c>
      <c r="GD402" s="27" t="s">
        <v>7</v>
      </c>
      <c r="GE402" s="27" t="s">
        <v>8</v>
      </c>
      <c r="GF402" s="27" t="s">
        <v>7</v>
      </c>
      <c r="GG402" s="27" t="s">
        <v>8</v>
      </c>
      <c r="GH402" s="27" t="s">
        <v>7</v>
      </c>
      <c r="GI402" s="27" t="s">
        <v>8</v>
      </c>
      <c r="GJ402" s="27" t="s">
        <v>7</v>
      </c>
      <c r="GN402" s="27" t="s">
        <v>7</v>
      </c>
      <c r="GO402" s="27" t="s">
        <v>8</v>
      </c>
      <c r="GV402" s="27" t="s">
        <v>7</v>
      </c>
      <c r="GW402" s="27" t="s">
        <v>8</v>
      </c>
      <c r="HB402" s="27" t="s">
        <v>7</v>
      </c>
      <c r="HC402" s="27" t="s">
        <v>8</v>
      </c>
      <c r="HD402" s="27" t="s">
        <v>7</v>
      </c>
      <c r="HH402" s="27" t="s">
        <v>7</v>
      </c>
      <c r="HV402" s="27" t="s">
        <v>7</v>
      </c>
      <c r="HX402" s="27" t="s">
        <v>7</v>
      </c>
      <c r="HZ402" s="27" t="s">
        <v>7</v>
      </c>
      <c r="IA402" s="27" t="s">
        <v>8</v>
      </c>
      <c r="IB402" s="27" t="s">
        <v>7</v>
      </c>
      <c r="ID402" s="27" t="s">
        <v>7</v>
      </c>
      <c r="IE402" s="27" t="s">
        <v>8</v>
      </c>
      <c r="IF402" s="27" t="s">
        <v>7</v>
      </c>
      <c r="IG402" s="27" t="s">
        <v>8</v>
      </c>
    </row>
    <row r="403" spans="1:246" x14ac:dyDescent="0.25">
      <c r="A403" s="7">
        <v>38.232403778741585</v>
      </c>
      <c r="B403"/>
      <c r="C403"/>
      <c r="D403"/>
      <c r="E403" t="s">
        <v>8</v>
      </c>
      <c r="P403" s="27" t="s">
        <v>7</v>
      </c>
      <c r="Q403" s="27" t="s">
        <v>8</v>
      </c>
      <c r="R403" s="27" t="s">
        <v>7</v>
      </c>
      <c r="S403" s="27" t="s">
        <v>8</v>
      </c>
      <c r="T403" s="27" t="s">
        <v>7</v>
      </c>
      <c r="U403" s="27" t="s">
        <v>8</v>
      </c>
      <c r="V403" s="27" t="s">
        <v>7</v>
      </c>
      <c r="AQ403" s="27" t="s">
        <v>8</v>
      </c>
      <c r="AR403" s="27" t="s">
        <v>7</v>
      </c>
      <c r="AS403" s="27" t="s">
        <v>8</v>
      </c>
      <c r="AT403" s="27" t="s">
        <v>7</v>
      </c>
      <c r="AU403" s="27" t="s">
        <v>8</v>
      </c>
      <c r="AV403" s="27" t="s">
        <v>7</v>
      </c>
      <c r="CC403" s="27" t="s">
        <v>8</v>
      </c>
      <c r="CD403" s="27" t="s">
        <v>7</v>
      </c>
      <c r="CE403" s="27" t="s">
        <v>8</v>
      </c>
      <c r="CH403" s="27" t="s">
        <v>7</v>
      </c>
      <c r="CI403" s="27" t="s">
        <v>8</v>
      </c>
      <c r="CL403" s="27" t="s">
        <v>7</v>
      </c>
      <c r="CM403" s="27" t="s">
        <v>8</v>
      </c>
      <c r="CN403" s="27" t="s">
        <v>7</v>
      </c>
      <c r="CO403" s="27" t="s">
        <v>8</v>
      </c>
      <c r="CP403" s="27" t="s">
        <v>7</v>
      </c>
      <c r="CQ403" s="27" t="s">
        <v>8</v>
      </c>
      <c r="CR403" s="27" t="s">
        <v>7</v>
      </c>
      <c r="CS403" s="27" t="s">
        <v>8</v>
      </c>
      <c r="CV403" s="27" t="s">
        <v>7</v>
      </c>
      <c r="CW403" s="27" t="s">
        <v>8</v>
      </c>
      <c r="EN403" s="27" t="s">
        <v>7</v>
      </c>
      <c r="EO403" s="27" t="s">
        <v>8</v>
      </c>
      <c r="EP403" s="27" t="s">
        <v>7</v>
      </c>
      <c r="EQ403" s="27" t="s">
        <v>8</v>
      </c>
      <c r="FD403" s="27" t="s">
        <v>7</v>
      </c>
      <c r="FE403" s="27" t="s">
        <v>8</v>
      </c>
      <c r="FF403" s="27" t="s">
        <v>7</v>
      </c>
      <c r="FH403" s="27" t="s">
        <v>7</v>
      </c>
      <c r="FK403" s="27" t="s">
        <v>8</v>
      </c>
      <c r="FL403" s="27" t="s">
        <v>7</v>
      </c>
      <c r="FY403" s="27" t="s">
        <v>8</v>
      </c>
      <c r="FZ403" s="27" t="s">
        <v>7</v>
      </c>
      <c r="GC403" s="27" t="s">
        <v>8</v>
      </c>
      <c r="GD403" s="27" t="s">
        <v>7</v>
      </c>
      <c r="GE403" s="27" t="s">
        <v>8</v>
      </c>
      <c r="GF403" s="27" t="s">
        <v>7</v>
      </c>
      <c r="GG403" s="27" t="s">
        <v>8</v>
      </c>
      <c r="GH403" s="27" t="s">
        <v>7</v>
      </c>
      <c r="GI403" s="27" t="s">
        <v>8</v>
      </c>
      <c r="GN403" s="27" t="s">
        <v>7</v>
      </c>
      <c r="GV403" s="27" t="s">
        <v>7</v>
      </c>
      <c r="GW403" s="27" t="s">
        <v>8</v>
      </c>
      <c r="HB403" s="27" t="s">
        <v>7</v>
      </c>
      <c r="HC403" s="27" t="s">
        <v>8</v>
      </c>
      <c r="HZ403" s="27" t="s">
        <v>7</v>
      </c>
      <c r="IA403" s="27" t="s">
        <v>8</v>
      </c>
      <c r="ID403" s="27" t="s">
        <v>7</v>
      </c>
      <c r="IE403" s="27" t="s">
        <v>8</v>
      </c>
      <c r="IF403" s="27" t="s">
        <v>7</v>
      </c>
      <c r="IG403" s="27" t="s">
        <v>8</v>
      </c>
      <c r="IH403" s="27" t="s">
        <v>7</v>
      </c>
    </row>
    <row r="404" spans="1:246" x14ac:dyDescent="0.25">
      <c r="A404" s="7">
        <v>37.48274880268783</v>
      </c>
      <c r="B404"/>
      <c r="C404"/>
      <c r="D404"/>
      <c r="E404" t="s">
        <v>8</v>
      </c>
      <c r="P404" s="27" t="s">
        <v>7</v>
      </c>
      <c r="Q404" s="27" t="s">
        <v>8</v>
      </c>
      <c r="R404" s="27" t="s">
        <v>7</v>
      </c>
      <c r="S404" s="27" t="s">
        <v>8</v>
      </c>
      <c r="T404" s="27" t="s">
        <v>7</v>
      </c>
      <c r="U404" s="27" t="s">
        <v>8</v>
      </c>
      <c r="V404" s="27" t="s">
        <v>7</v>
      </c>
      <c r="AQ404" s="27" t="s">
        <v>8</v>
      </c>
      <c r="AR404" s="27" t="s">
        <v>7</v>
      </c>
      <c r="AS404" s="27" t="s">
        <v>8</v>
      </c>
      <c r="AT404" s="27" t="s">
        <v>7</v>
      </c>
      <c r="AU404" s="27" t="s">
        <v>8</v>
      </c>
      <c r="AV404" s="27" t="s">
        <v>7</v>
      </c>
      <c r="BQ404" s="27" t="s">
        <v>8</v>
      </c>
      <c r="CA404" s="27" t="s">
        <v>8</v>
      </c>
      <c r="CC404" s="27" t="s">
        <v>8</v>
      </c>
      <c r="CD404" s="27" t="s">
        <v>7</v>
      </c>
      <c r="CE404" s="27" t="s">
        <v>8</v>
      </c>
      <c r="CH404" s="27" t="s">
        <v>7</v>
      </c>
      <c r="CI404" s="27" t="s">
        <v>8</v>
      </c>
      <c r="CL404" s="27" t="s">
        <v>7</v>
      </c>
      <c r="CM404" s="27" t="s">
        <v>8</v>
      </c>
      <c r="CN404" s="27" t="s">
        <v>7</v>
      </c>
      <c r="CO404" s="27" t="s">
        <v>8</v>
      </c>
      <c r="CP404" s="27" t="s">
        <v>7</v>
      </c>
      <c r="CQ404" s="27" t="s">
        <v>8</v>
      </c>
      <c r="CR404" s="27" t="s">
        <v>7</v>
      </c>
      <c r="CS404" s="27" t="s">
        <v>8</v>
      </c>
      <c r="CV404" s="27" t="s">
        <v>7</v>
      </c>
      <c r="EN404" s="27" t="s">
        <v>7</v>
      </c>
      <c r="EO404" s="27" t="s">
        <v>8</v>
      </c>
      <c r="EP404" s="27" t="s">
        <v>7</v>
      </c>
      <c r="EQ404" s="27" t="s">
        <v>8</v>
      </c>
      <c r="FD404" s="27" t="s">
        <v>7</v>
      </c>
      <c r="FE404" s="27" t="s">
        <v>8</v>
      </c>
      <c r="FH404" s="27" t="s">
        <v>7</v>
      </c>
      <c r="FK404" s="27" t="s">
        <v>8</v>
      </c>
      <c r="FL404" s="27" t="s">
        <v>7</v>
      </c>
      <c r="FY404" s="27" t="s">
        <v>8</v>
      </c>
      <c r="FZ404" s="27" t="s">
        <v>7</v>
      </c>
      <c r="GA404" s="27" t="s">
        <v>8</v>
      </c>
      <c r="GC404" s="27" t="s">
        <v>8</v>
      </c>
      <c r="GD404" s="27" t="s">
        <v>7</v>
      </c>
      <c r="GF404" s="27" t="s">
        <v>7</v>
      </c>
      <c r="GH404" s="27" t="s">
        <v>7</v>
      </c>
      <c r="GV404" s="27" t="s">
        <v>7</v>
      </c>
      <c r="HB404" s="27" t="s">
        <v>7</v>
      </c>
      <c r="HC404" s="27" t="s">
        <v>8</v>
      </c>
      <c r="HZ404" s="27" t="s">
        <v>7</v>
      </c>
      <c r="ID404" s="27" t="s">
        <v>7</v>
      </c>
      <c r="IE404" s="27" t="s">
        <v>8</v>
      </c>
      <c r="IF404" s="27" t="s">
        <v>7</v>
      </c>
      <c r="IG404" s="27" t="s">
        <v>8</v>
      </c>
      <c r="IH404" s="27" t="s">
        <v>7</v>
      </c>
      <c r="IK404" s="27" t="s">
        <v>8</v>
      </c>
    </row>
    <row r="405" spans="1:246" x14ac:dyDescent="0.25">
      <c r="A405" s="7">
        <v>36.747792943811596</v>
      </c>
      <c r="B405"/>
      <c r="C405"/>
      <c r="D405"/>
      <c r="E405" t="s">
        <v>8</v>
      </c>
      <c r="P405" s="27" t="s">
        <v>7</v>
      </c>
      <c r="Q405" s="27" t="s">
        <v>8</v>
      </c>
      <c r="R405" s="27" t="s">
        <v>7</v>
      </c>
      <c r="S405" s="27" t="s">
        <v>8</v>
      </c>
      <c r="T405" s="27" t="s">
        <v>7</v>
      </c>
      <c r="U405" s="27" t="s">
        <v>8</v>
      </c>
      <c r="V405" s="27" t="s">
        <v>7</v>
      </c>
      <c r="AQ405" s="27" t="s">
        <v>8</v>
      </c>
      <c r="AR405" s="27" t="s">
        <v>7</v>
      </c>
      <c r="AS405" s="27" t="s">
        <v>8</v>
      </c>
      <c r="AT405" s="27" t="s">
        <v>7</v>
      </c>
      <c r="AU405" s="27" t="s">
        <v>8</v>
      </c>
      <c r="AV405" s="27" t="s">
        <v>7</v>
      </c>
      <c r="BQ405" s="27" t="s">
        <v>8</v>
      </c>
      <c r="BR405" s="27" t="s">
        <v>7</v>
      </c>
      <c r="CA405" s="27" t="s">
        <v>8</v>
      </c>
      <c r="CB405" s="27" t="s">
        <v>7</v>
      </c>
      <c r="CC405" s="27" t="s">
        <v>8</v>
      </c>
      <c r="CD405" s="27" t="s">
        <v>7</v>
      </c>
      <c r="CE405" s="27" t="s">
        <v>8</v>
      </c>
      <c r="CH405" s="27" t="s">
        <v>7</v>
      </c>
      <c r="CI405" s="27" t="s">
        <v>8</v>
      </c>
      <c r="CL405" s="27" t="s">
        <v>7</v>
      </c>
      <c r="CM405" s="27" t="s">
        <v>8</v>
      </c>
      <c r="CN405" s="27" t="s">
        <v>7</v>
      </c>
      <c r="CO405" s="27" t="s">
        <v>8</v>
      </c>
      <c r="CP405" s="27" t="s">
        <v>7</v>
      </c>
      <c r="CQ405" s="27" t="s">
        <v>8</v>
      </c>
      <c r="CR405" s="27" t="s">
        <v>7</v>
      </c>
      <c r="EN405" s="27" t="s">
        <v>7</v>
      </c>
      <c r="EP405" s="27" t="s">
        <v>7</v>
      </c>
      <c r="EQ405" s="27" t="s">
        <v>8</v>
      </c>
      <c r="FD405" s="27" t="s">
        <v>7</v>
      </c>
      <c r="FH405" s="27" t="s">
        <v>7</v>
      </c>
      <c r="FK405" s="27" t="s">
        <v>8</v>
      </c>
      <c r="FL405" s="27" t="s">
        <v>7</v>
      </c>
      <c r="FY405" s="27" t="s">
        <v>8</v>
      </c>
      <c r="FZ405" s="27" t="s">
        <v>7</v>
      </c>
      <c r="GA405" s="27" t="s">
        <v>8</v>
      </c>
      <c r="GB405" s="27" t="s">
        <v>7</v>
      </c>
      <c r="GC405" s="27" t="s">
        <v>8</v>
      </c>
      <c r="HB405" s="27" t="s">
        <v>7</v>
      </c>
      <c r="HC405" s="27" t="s">
        <v>8</v>
      </c>
      <c r="ID405" s="27" t="s">
        <v>7</v>
      </c>
      <c r="IE405" s="27" t="s">
        <v>8</v>
      </c>
      <c r="IF405" s="27" t="s">
        <v>7</v>
      </c>
      <c r="IG405" s="27" t="s">
        <v>8</v>
      </c>
      <c r="IH405" s="27" t="s">
        <v>7</v>
      </c>
      <c r="IK405" s="27" t="s">
        <v>8</v>
      </c>
      <c r="IL405" s="27" t="s">
        <v>7</v>
      </c>
    </row>
    <row r="406" spans="1:246" x14ac:dyDescent="0.25">
      <c r="A406" s="7">
        <v>36.027247984129012</v>
      </c>
      <c r="B406"/>
      <c r="C406"/>
      <c r="D406"/>
      <c r="E406" t="s">
        <v>8</v>
      </c>
      <c r="P406" s="27" t="s">
        <v>7</v>
      </c>
      <c r="Q406" s="27" t="s">
        <v>8</v>
      </c>
      <c r="R406" s="27" t="s">
        <v>7</v>
      </c>
      <c r="S406" s="27" t="s">
        <v>8</v>
      </c>
      <c r="T406" s="27" t="s">
        <v>7</v>
      </c>
      <c r="U406" s="27" t="s">
        <v>8</v>
      </c>
      <c r="V406" s="27" t="s">
        <v>7</v>
      </c>
      <c r="AQ406" s="27" t="s">
        <v>8</v>
      </c>
      <c r="AR406" s="27" t="s">
        <v>7</v>
      </c>
      <c r="AS406" s="27" t="s">
        <v>8</v>
      </c>
      <c r="AT406" s="27" t="s">
        <v>7</v>
      </c>
      <c r="AU406" s="27" t="s">
        <v>8</v>
      </c>
      <c r="AV406" s="27" t="s">
        <v>7</v>
      </c>
      <c r="AW406" s="27" t="s">
        <v>8</v>
      </c>
      <c r="BQ406" s="27" t="s">
        <v>8</v>
      </c>
      <c r="BR406" s="27" t="s">
        <v>7</v>
      </c>
      <c r="CA406" s="27" t="s">
        <v>8</v>
      </c>
      <c r="CB406" s="27" t="s">
        <v>7</v>
      </c>
      <c r="CC406" s="27" t="s">
        <v>8</v>
      </c>
      <c r="CD406" s="27" t="s">
        <v>7</v>
      </c>
      <c r="CE406" s="27" t="s">
        <v>8</v>
      </c>
      <c r="CH406" s="27" t="s">
        <v>7</v>
      </c>
      <c r="CL406" s="27" t="s">
        <v>7</v>
      </c>
      <c r="CN406" s="27" t="s">
        <v>7</v>
      </c>
      <c r="CO406" s="27" t="s">
        <v>8</v>
      </c>
      <c r="CP406" s="27" t="s">
        <v>7</v>
      </c>
      <c r="CQ406" s="27" t="s">
        <v>8</v>
      </c>
      <c r="EP406" s="27" t="s">
        <v>7</v>
      </c>
      <c r="EQ406" s="27" t="s">
        <v>8</v>
      </c>
      <c r="FH406" s="27" t="s">
        <v>7</v>
      </c>
      <c r="FK406" s="27" t="s">
        <v>8</v>
      </c>
      <c r="FL406" s="27" t="s">
        <v>7</v>
      </c>
      <c r="FQ406" s="27" t="s">
        <v>8</v>
      </c>
      <c r="FY406" s="27" t="s">
        <v>8</v>
      </c>
      <c r="FZ406" s="27" t="s">
        <v>7</v>
      </c>
      <c r="GA406" s="27" t="s">
        <v>8</v>
      </c>
      <c r="GB406" s="27" t="s">
        <v>7</v>
      </c>
      <c r="GC406" s="27" t="s">
        <v>8</v>
      </c>
      <c r="HB406" s="27" t="s">
        <v>7</v>
      </c>
      <c r="ID406" s="27" t="s">
        <v>7</v>
      </c>
      <c r="IE406" s="27" t="s">
        <v>8</v>
      </c>
      <c r="IF406" s="27" t="s">
        <v>7</v>
      </c>
      <c r="IG406" s="27" t="s">
        <v>8</v>
      </c>
      <c r="IH406" s="27" t="s">
        <v>7</v>
      </c>
      <c r="IK406" s="27" t="s">
        <v>8</v>
      </c>
      <c r="IL406" s="27" t="s">
        <v>7</v>
      </c>
    </row>
    <row r="407" spans="1:246" x14ac:dyDescent="0.25">
      <c r="A407" s="7">
        <v>35.320831356989224</v>
      </c>
      <c r="B407"/>
      <c r="C407"/>
      <c r="D407"/>
      <c r="E407" t="s">
        <v>8</v>
      </c>
      <c r="P407" s="27" t="s">
        <v>7</v>
      </c>
      <c r="Q407" s="27" t="s">
        <v>8</v>
      </c>
      <c r="R407" s="27" t="s">
        <v>7</v>
      </c>
      <c r="T407" s="27" t="s">
        <v>7</v>
      </c>
      <c r="U407" s="27" t="s">
        <v>8</v>
      </c>
      <c r="V407" s="27" t="s">
        <v>7</v>
      </c>
      <c r="AC407" s="27" t="s">
        <v>8</v>
      </c>
      <c r="AQ407" s="27" t="s">
        <v>8</v>
      </c>
      <c r="AR407" s="27" t="s">
        <v>7</v>
      </c>
      <c r="AS407" s="27" t="s">
        <v>8</v>
      </c>
      <c r="AT407" s="27" t="s">
        <v>7</v>
      </c>
      <c r="AU407" s="27" t="s">
        <v>8</v>
      </c>
      <c r="AV407" s="27" t="s">
        <v>7</v>
      </c>
      <c r="AW407" s="27" t="s">
        <v>8</v>
      </c>
      <c r="AX407" s="27" t="s">
        <v>7</v>
      </c>
      <c r="BQ407" s="27" t="s">
        <v>8</v>
      </c>
      <c r="BR407" s="27" t="s">
        <v>7</v>
      </c>
      <c r="CA407" s="27" t="s">
        <v>8</v>
      </c>
      <c r="CB407" s="27" t="s">
        <v>7</v>
      </c>
      <c r="CC407" s="27" t="s">
        <v>8</v>
      </c>
      <c r="CD407" s="27" t="s">
        <v>7</v>
      </c>
      <c r="CE407" s="27" t="s">
        <v>8</v>
      </c>
      <c r="CN407" s="27" t="s">
        <v>7</v>
      </c>
      <c r="CO407" s="27" t="s">
        <v>8</v>
      </c>
      <c r="CP407" s="27" t="s">
        <v>7</v>
      </c>
      <c r="CQ407" s="27" t="s">
        <v>8</v>
      </c>
      <c r="EP407" s="27" t="s">
        <v>7</v>
      </c>
      <c r="EQ407" s="27" t="s">
        <v>8</v>
      </c>
      <c r="FH407" s="27" t="s">
        <v>7</v>
      </c>
      <c r="FK407" s="27" t="s">
        <v>8</v>
      </c>
      <c r="FL407" s="27" t="s">
        <v>7</v>
      </c>
      <c r="FM407" s="27" t="s">
        <v>8</v>
      </c>
      <c r="FQ407" s="27" t="s">
        <v>8</v>
      </c>
      <c r="FR407" s="27" t="s">
        <v>7</v>
      </c>
      <c r="FY407" s="27" t="s">
        <v>8</v>
      </c>
      <c r="FZ407" s="27" t="s">
        <v>7</v>
      </c>
      <c r="GA407" s="27" t="s">
        <v>8</v>
      </c>
      <c r="GB407" s="27" t="s">
        <v>7</v>
      </c>
      <c r="ID407" s="27" t="s">
        <v>7</v>
      </c>
      <c r="IE407" s="27" t="s">
        <v>8</v>
      </c>
      <c r="IF407" s="27" t="s">
        <v>7</v>
      </c>
      <c r="IG407" s="27" t="s">
        <v>8</v>
      </c>
      <c r="IH407" s="27" t="s">
        <v>7</v>
      </c>
      <c r="II407" s="27" t="s">
        <v>8</v>
      </c>
      <c r="IK407" s="27" t="s">
        <v>8</v>
      </c>
      <c r="IL407" s="27" t="s">
        <v>7</v>
      </c>
    </row>
    <row r="408" spans="1:246" x14ac:dyDescent="0.25">
      <c r="A408" s="7">
        <v>34.628266036263945</v>
      </c>
      <c r="B408"/>
      <c r="C408"/>
      <c r="D408"/>
      <c r="E408" t="s">
        <v>8</v>
      </c>
      <c r="P408" s="27" t="s">
        <v>7</v>
      </c>
      <c r="Q408" s="27" t="s">
        <v>8</v>
      </c>
      <c r="T408" s="27" t="s">
        <v>7</v>
      </c>
      <c r="U408" s="27" t="s">
        <v>8</v>
      </c>
      <c r="V408" s="27" t="s">
        <v>7</v>
      </c>
      <c r="AC408" s="27" t="s">
        <v>8</v>
      </c>
      <c r="AD408" s="27" t="s">
        <v>7</v>
      </c>
      <c r="AQ408" s="27" t="s">
        <v>8</v>
      </c>
      <c r="AR408" s="27" t="s">
        <v>7</v>
      </c>
      <c r="AS408" s="27" t="s">
        <v>8</v>
      </c>
      <c r="AT408" s="27" t="s">
        <v>7</v>
      </c>
      <c r="AU408" s="27" t="s">
        <v>8</v>
      </c>
      <c r="AV408" s="27" t="s">
        <v>7</v>
      </c>
      <c r="AW408" s="27" t="s">
        <v>8</v>
      </c>
      <c r="AX408" s="27" t="s">
        <v>7</v>
      </c>
      <c r="BQ408" s="27" t="s">
        <v>8</v>
      </c>
      <c r="BR408" s="27" t="s">
        <v>7</v>
      </c>
      <c r="CA408" s="27" t="s">
        <v>8</v>
      </c>
      <c r="CB408" s="27" t="s">
        <v>7</v>
      </c>
      <c r="CC408" s="27" t="s">
        <v>8</v>
      </c>
      <c r="CD408" s="27" t="s">
        <v>7</v>
      </c>
      <c r="CN408" s="27" t="s">
        <v>7</v>
      </c>
      <c r="CO408" s="27" t="s">
        <v>8</v>
      </c>
      <c r="CP408" s="27" t="s">
        <v>7</v>
      </c>
      <c r="CQ408" s="27" t="s">
        <v>8</v>
      </c>
      <c r="EP408" s="27" t="s">
        <v>7</v>
      </c>
      <c r="EQ408" s="27" t="s">
        <v>8</v>
      </c>
      <c r="FH408" s="27" t="s">
        <v>7</v>
      </c>
      <c r="FK408" s="27" t="s">
        <v>8</v>
      </c>
      <c r="FL408" s="27" t="s">
        <v>7</v>
      </c>
      <c r="FM408" s="27" t="s">
        <v>8</v>
      </c>
      <c r="FN408" s="27" t="s">
        <v>7</v>
      </c>
      <c r="FQ408" s="27" t="s">
        <v>8</v>
      </c>
      <c r="FR408" s="27" t="s">
        <v>7</v>
      </c>
      <c r="FY408" s="27" t="s">
        <v>8</v>
      </c>
      <c r="FZ408" s="27" t="s">
        <v>7</v>
      </c>
      <c r="GA408" s="27" t="s">
        <v>8</v>
      </c>
      <c r="ID408" s="27" t="s">
        <v>7</v>
      </c>
      <c r="IF408" s="27" t="s">
        <v>7</v>
      </c>
      <c r="IH408" s="27" t="s">
        <v>7</v>
      </c>
      <c r="II408" s="27" t="s">
        <v>8</v>
      </c>
      <c r="IJ408" s="27" t="s">
        <v>7</v>
      </c>
      <c r="IK408" s="27" t="s">
        <v>8</v>
      </c>
      <c r="IL408" s="27" t="s">
        <v>7</v>
      </c>
    </row>
    <row r="409" spans="1:246" x14ac:dyDescent="0.25">
      <c r="A409" s="7">
        <v>33.949280427709752</v>
      </c>
      <c r="B409"/>
      <c r="C409"/>
      <c r="D409"/>
      <c r="E409" t="s">
        <v>8</v>
      </c>
      <c r="P409" s="27" t="s">
        <v>7</v>
      </c>
      <c r="T409" s="27" t="s">
        <v>7</v>
      </c>
      <c r="U409" s="27" t="s">
        <v>8</v>
      </c>
      <c r="V409" s="27" t="s">
        <v>7</v>
      </c>
      <c r="AC409" s="27" t="s">
        <v>8</v>
      </c>
      <c r="AD409" s="27" t="s">
        <v>7</v>
      </c>
      <c r="AQ409" s="27" t="s">
        <v>8</v>
      </c>
      <c r="AR409" s="27" t="s">
        <v>7</v>
      </c>
      <c r="AS409" s="27" t="s">
        <v>8</v>
      </c>
      <c r="AT409" s="27" t="s">
        <v>7</v>
      </c>
      <c r="AU409" s="27" t="s">
        <v>8</v>
      </c>
      <c r="AV409" s="27" t="s">
        <v>7</v>
      </c>
      <c r="AW409" s="27" t="s">
        <v>8</v>
      </c>
      <c r="AX409" s="27" t="s">
        <v>7</v>
      </c>
      <c r="BA409" s="27" t="s">
        <v>8</v>
      </c>
      <c r="BC409" s="27" t="s">
        <v>8</v>
      </c>
      <c r="BQ409" s="27" t="s">
        <v>8</v>
      </c>
      <c r="BR409" s="27" t="s">
        <v>7</v>
      </c>
      <c r="CA409" s="27" t="s">
        <v>8</v>
      </c>
      <c r="CB409" s="27" t="s">
        <v>7</v>
      </c>
      <c r="CC409" s="27" t="s">
        <v>8</v>
      </c>
      <c r="CN409" s="27" t="s">
        <v>7</v>
      </c>
      <c r="CO409" s="27" t="s">
        <v>8</v>
      </c>
      <c r="CP409" s="27" t="s">
        <v>7</v>
      </c>
      <c r="CQ409" s="27" t="s">
        <v>8</v>
      </c>
      <c r="EP409" s="27" t="s">
        <v>7</v>
      </c>
      <c r="EQ409" s="27" t="s">
        <v>8</v>
      </c>
      <c r="FH409" s="27" t="s">
        <v>7</v>
      </c>
      <c r="FK409" s="27" t="s">
        <v>8</v>
      </c>
      <c r="FL409" s="27" t="s">
        <v>7</v>
      </c>
      <c r="FM409" s="27" t="s">
        <v>8</v>
      </c>
      <c r="FN409" s="27" t="s">
        <v>7</v>
      </c>
      <c r="FO409" s="27" t="s">
        <v>8</v>
      </c>
      <c r="FQ409" s="27" t="s">
        <v>8</v>
      </c>
      <c r="FR409" s="27" t="s">
        <v>7</v>
      </c>
      <c r="FS409" s="27" t="s">
        <v>8</v>
      </c>
      <c r="FY409" s="27" t="s">
        <v>8</v>
      </c>
      <c r="FZ409" s="27" t="s">
        <v>7</v>
      </c>
      <c r="IH409" s="27" t="s">
        <v>7</v>
      </c>
      <c r="II409" s="27" t="s">
        <v>8</v>
      </c>
      <c r="IJ409" s="27" t="s">
        <v>7</v>
      </c>
      <c r="IK409" s="27" t="s">
        <v>8</v>
      </c>
      <c r="IL409" s="27" t="s">
        <v>7</v>
      </c>
    </row>
    <row r="410" spans="1:246" x14ac:dyDescent="0.25">
      <c r="A410" s="7">
        <v>33.28360826246054</v>
      </c>
      <c r="B410"/>
      <c r="C410"/>
      <c r="D410"/>
      <c r="E410" t="s">
        <v>8</v>
      </c>
      <c r="T410" s="27" t="s">
        <v>7</v>
      </c>
      <c r="U410" s="27" t="s">
        <v>8</v>
      </c>
      <c r="V410" s="27" t="s">
        <v>7</v>
      </c>
      <c r="AC410" s="27" t="s">
        <v>8</v>
      </c>
      <c r="AD410" s="27" t="s">
        <v>7</v>
      </c>
      <c r="AQ410" s="27" t="s">
        <v>8</v>
      </c>
      <c r="AR410" s="27" t="s">
        <v>7</v>
      </c>
      <c r="AS410" s="27" t="s">
        <v>8</v>
      </c>
      <c r="AT410" s="27" t="s">
        <v>7</v>
      </c>
      <c r="AU410" s="27" t="s">
        <v>8</v>
      </c>
      <c r="AV410" s="27" t="s">
        <v>7</v>
      </c>
      <c r="AX410" s="27" t="s">
        <v>7</v>
      </c>
      <c r="AY410" s="27" t="s">
        <v>8</v>
      </c>
      <c r="BA410" s="27" t="s">
        <v>8</v>
      </c>
      <c r="BB410" s="27" t="s">
        <v>7</v>
      </c>
      <c r="BC410" s="27" t="s">
        <v>8</v>
      </c>
      <c r="BD410" s="27" t="s">
        <v>7</v>
      </c>
      <c r="BQ410" s="27" t="s">
        <v>8</v>
      </c>
      <c r="BR410" s="27" t="s">
        <v>7</v>
      </c>
      <c r="CA410" s="27" t="s">
        <v>8</v>
      </c>
      <c r="CB410" s="27" t="s">
        <v>7</v>
      </c>
      <c r="CC410" s="27" t="s">
        <v>8</v>
      </c>
      <c r="CN410" s="27" t="s">
        <v>7</v>
      </c>
      <c r="CO410" s="27" t="s">
        <v>8</v>
      </c>
      <c r="CP410" s="27" t="s">
        <v>7</v>
      </c>
      <c r="CQ410" s="27" t="s">
        <v>8</v>
      </c>
      <c r="EP410" s="27" t="s">
        <v>7</v>
      </c>
      <c r="EQ410" s="27" t="s">
        <v>8</v>
      </c>
      <c r="FH410" s="27" t="s">
        <v>7</v>
      </c>
      <c r="FK410" s="27" t="s">
        <v>8</v>
      </c>
      <c r="FL410" s="27" t="s">
        <v>7</v>
      </c>
      <c r="FM410" s="27" t="s">
        <v>8</v>
      </c>
      <c r="FN410" s="27" t="s">
        <v>7</v>
      </c>
      <c r="FO410" s="27" t="s">
        <v>8</v>
      </c>
      <c r="FP410" s="27" t="s">
        <v>7</v>
      </c>
      <c r="FQ410" s="27" t="s">
        <v>8</v>
      </c>
      <c r="FR410" s="27" t="s">
        <v>7</v>
      </c>
      <c r="FS410" s="27" t="s">
        <v>8</v>
      </c>
      <c r="FT410" s="27" t="s">
        <v>7</v>
      </c>
      <c r="FY410" s="27" t="s">
        <v>8</v>
      </c>
      <c r="IH410" s="27" t="s">
        <v>7</v>
      </c>
      <c r="II410" s="27" t="s">
        <v>8</v>
      </c>
      <c r="IJ410" s="27" t="s">
        <v>7</v>
      </c>
      <c r="IK410" s="27" t="s">
        <v>8</v>
      </c>
      <c r="IL410" s="27" t="s">
        <v>7</v>
      </c>
    </row>
    <row r="411" spans="1:246" x14ac:dyDescent="0.25">
      <c r="A411" s="7">
        <v>32.630988492608374</v>
      </c>
      <c r="B411"/>
      <c r="C411"/>
      <c r="D411"/>
      <c r="E411" t="s">
        <v>8</v>
      </c>
      <c r="T411" s="27" t="s">
        <v>7</v>
      </c>
      <c r="U411" s="27" t="s">
        <v>8</v>
      </c>
      <c r="V411" s="27" t="s">
        <v>7</v>
      </c>
      <c r="W411" s="27" t="s">
        <v>8</v>
      </c>
      <c r="Y411" s="27" t="s">
        <v>8</v>
      </c>
      <c r="AC411" s="27" t="s">
        <v>8</v>
      </c>
      <c r="AD411" s="27" t="s">
        <v>7</v>
      </c>
      <c r="AQ411" s="27" t="s">
        <v>8</v>
      </c>
      <c r="AR411" s="27" t="s">
        <v>7</v>
      </c>
      <c r="AS411" s="27" t="s">
        <v>8</v>
      </c>
      <c r="AT411" s="27" t="s">
        <v>7</v>
      </c>
      <c r="AU411" s="27" t="s">
        <v>8</v>
      </c>
      <c r="AX411" s="27" t="s">
        <v>7</v>
      </c>
      <c r="AY411" s="27" t="s">
        <v>8</v>
      </c>
      <c r="AZ411" s="27" t="s">
        <v>7</v>
      </c>
      <c r="BA411" s="27" t="s">
        <v>8</v>
      </c>
      <c r="BB411" s="27" t="s">
        <v>7</v>
      </c>
      <c r="BC411" s="27" t="s">
        <v>8</v>
      </c>
      <c r="BD411" s="27" t="s">
        <v>7</v>
      </c>
      <c r="BQ411" s="27" t="s">
        <v>8</v>
      </c>
      <c r="BR411" s="27" t="s">
        <v>7</v>
      </c>
      <c r="CA411" s="27" t="s">
        <v>8</v>
      </c>
      <c r="CB411" s="27" t="s">
        <v>7</v>
      </c>
      <c r="CC411" s="27" t="s">
        <v>8</v>
      </c>
      <c r="CN411" s="27" t="s">
        <v>7</v>
      </c>
      <c r="CO411" s="27" t="s">
        <v>8</v>
      </c>
      <c r="CP411" s="27" t="s">
        <v>7</v>
      </c>
      <c r="EP411" s="27" t="s">
        <v>7</v>
      </c>
      <c r="EQ411" s="27" t="s">
        <v>8</v>
      </c>
      <c r="FH411" s="27" t="s">
        <v>7</v>
      </c>
      <c r="FK411" s="27" t="s">
        <v>8</v>
      </c>
      <c r="FL411" s="27" t="s">
        <v>7</v>
      </c>
      <c r="FM411" s="27" t="s">
        <v>8</v>
      </c>
      <c r="FN411" s="27" t="s">
        <v>7</v>
      </c>
      <c r="FO411" s="27" t="s">
        <v>8</v>
      </c>
      <c r="FP411" s="27" t="s">
        <v>7</v>
      </c>
      <c r="FQ411" s="27" t="s">
        <v>8</v>
      </c>
      <c r="FR411" s="27" t="s">
        <v>7</v>
      </c>
      <c r="FS411" s="27" t="s">
        <v>8</v>
      </c>
      <c r="FT411" s="27" t="s">
        <v>7</v>
      </c>
      <c r="FW411" s="27" t="s">
        <v>8</v>
      </c>
      <c r="FY411" s="27" t="s">
        <v>8</v>
      </c>
      <c r="IH411" s="27" t="s">
        <v>7</v>
      </c>
      <c r="II411" s="27" t="s">
        <v>8</v>
      </c>
      <c r="IJ411" s="27" t="s">
        <v>7</v>
      </c>
      <c r="IK411" s="27" t="s">
        <v>8</v>
      </c>
      <c r="IL411" s="27" t="s">
        <v>7</v>
      </c>
    </row>
    <row r="412" spans="1:246" x14ac:dyDescent="0.25">
      <c r="A412" s="7">
        <v>31.99116518883174</v>
      </c>
      <c r="B412"/>
      <c r="C412"/>
      <c r="D412"/>
      <c r="E412" t="s">
        <v>8</v>
      </c>
      <c r="T412" s="27" t="s">
        <v>7</v>
      </c>
      <c r="U412" s="27" t="s">
        <v>8</v>
      </c>
      <c r="V412" s="27" t="s">
        <v>7</v>
      </c>
      <c r="W412" s="27" t="s">
        <v>8</v>
      </c>
      <c r="X412" s="27" t="s">
        <v>7</v>
      </c>
      <c r="Y412" s="27" t="s">
        <v>8</v>
      </c>
      <c r="Z412" s="27" t="s">
        <v>7</v>
      </c>
      <c r="AA412" s="27" t="s">
        <v>8</v>
      </c>
      <c r="AC412" s="27" t="s">
        <v>8</v>
      </c>
      <c r="AD412" s="27" t="s">
        <v>7</v>
      </c>
      <c r="AQ412" s="27" t="s">
        <v>8</v>
      </c>
      <c r="AR412" s="27" t="s">
        <v>7</v>
      </c>
      <c r="AS412" s="27" t="s">
        <v>8</v>
      </c>
      <c r="AT412" s="27" t="s">
        <v>7</v>
      </c>
      <c r="AU412" s="27" t="s">
        <v>8</v>
      </c>
      <c r="AX412" s="27" t="s">
        <v>7</v>
      </c>
      <c r="AY412" s="27" t="s">
        <v>8</v>
      </c>
      <c r="AZ412" s="27" t="s">
        <v>7</v>
      </c>
      <c r="BA412" s="27" t="s">
        <v>8</v>
      </c>
      <c r="BB412" s="27" t="s">
        <v>7</v>
      </c>
      <c r="BC412" s="27" t="s">
        <v>8</v>
      </c>
      <c r="BD412" s="27" t="s">
        <v>7</v>
      </c>
      <c r="BQ412" s="27" t="s">
        <v>8</v>
      </c>
      <c r="BR412" s="27" t="s">
        <v>7</v>
      </c>
      <c r="CA412" s="27" t="s">
        <v>8</v>
      </c>
      <c r="CB412" s="27" t="s">
        <v>7</v>
      </c>
      <c r="CN412" s="27" t="s">
        <v>7</v>
      </c>
      <c r="EP412" s="27" t="s">
        <v>7</v>
      </c>
      <c r="EQ412" s="27" t="s">
        <v>8</v>
      </c>
      <c r="FH412" s="27" t="s">
        <v>7</v>
      </c>
      <c r="FK412" s="27" t="s">
        <v>8</v>
      </c>
      <c r="FL412" s="27" t="s">
        <v>7</v>
      </c>
      <c r="FM412" s="27" t="s">
        <v>8</v>
      </c>
      <c r="FN412" s="27" t="s">
        <v>7</v>
      </c>
      <c r="FO412" s="27" t="s">
        <v>8</v>
      </c>
      <c r="FP412" s="27" t="s">
        <v>7</v>
      </c>
      <c r="FQ412" s="27" t="s">
        <v>8</v>
      </c>
      <c r="FR412" s="27" t="s">
        <v>7</v>
      </c>
      <c r="FS412" s="27" t="s">
        <v>8</v>
      </c>
      <c r="FT412" s="27" t="s">
        <v>7</v>
      </c>
      <c r="FU412" s="27" t="s">
        <v>8</v>
      </c>
      <c r="FW412" s="27" t="s">
        <v>8</v>
      </c>
      <c r="FX412" s="27" t="s">
        <v>7</v>
      </c>
      <c r="FY412" s="27" t="s">
        <v>8</v>
      </c>
      <c r="IH412" s="27" t="s">
        <v>7</v>
      </c>
      <c r="II412" s="27" t="s">
        <v>8</v>
      </c>
      <c r="IJ412" s="27" t="s">
        <v>7</v>
      </c>
      <c r="IK412" s="27" t="s">
        <v>8</v>
      </c>
      <c r="IL412" s="27" t="s">
        <v>7</v>
      </c>
    </row>
    <row r="413" spans="1:246" x14ac:dyDescent="0.25">
      <c r="A413" s="7">
        <v>31.363887440031117</v>
      </c>
      <c r="B413"/>
      <c r="C413"/>
      <c r="D413"/>
      <c r="E413" t="s">
        <v>8</v>
      </c>
      <c r="T413" s="27" t="s">
        <v>7</v>
      </c>
      <c r="U413" s="27" t="s">
        <v>8</v>
      </c>
      <c r="V413" s="27" t="s">
        <v>7</v>
      </c>
      <c r="W413" s="27" t="s">
        <v>8</v>
      </c>
      <c r="X413" s="27" t="s">
        <v>7</v>
      </c>
      <c r="Y413" s="27" t="s">
        <v>8</v>
      </c>
      <c r="Z413" s="27" t="s">
        <v>7</v>
      </c>
      <c r="AA413" s="27" t="s">
        <v>8</v>
      </c>
      <c r="AB413" s="27" t="s">
        <v>7</v>
      </c>
      <c r="AC413" s="27" t="s">
        <v>8</v>
      </c>
      <c r="AD413" s="27" t="s">
        <v>7</v>
      </c>
      <c r="AQ413" s="27" t="s">
        <v>8</v>
      </c>
      <c r="AR413" s="27" t="s">
        <v>7</v>
      </c>
      <c r="AS413" s="27" t="s">
        <v>8</v>
      </c>
      <c r="AT413" s="27" t="s">
        <v>7</v>
      </c>
      <c r="AU413" s="27" t="s">
        <v>8</v>
      </c>
      <c r="AX413" s="27" t="s">
        <v>7</v>
      </c>
      <c r="AZ413" s="27" t="s">
        <v>7</v>
      </c>
      <c r="BA413" s="27" t="s">
        <v>8</v>
      </c>
      <c r="BB413" s="27" t="s">
        <v>7</v>
      </c>
      <c r="BC413" s="27" t="s">
        <v>8</v>
      </c>
      <c r="BD413" s="27" t="s">
        <v>7</v>
      </c>
      <c r="BM413" s="27" t="s">
        <v>8</v>
      </c>
      <c r="BQ413" s="27" t="s">
        <v>8</v>
      </c>
      <c r="BR413" s="27" t="s">
        <v>7</v>
      </c>
      <c r="CA413" s="27" t="s">
        <v>8</v>
      </c>
      <c r="EP413" s="27" t="s">
        <v>7</v>
      </c>
      <c r="EQ413" s="27" t="s">
        <v>8</v>
      </c>
      <c r="FH413" s="27" t="s">
        <v>7</v>
      </c>
      <c r="FK413" s="27" t="s">
        <v>8</v>
      </c>
      <c r="FL413" s="27" t="s">
        <v>7</v>
      </c>
      <c r="FM413" s="27" t="s">
        <v>8</v>
      </c>
      <c r="FN413" s="27" t="s">
        <v>7</v>
      </c>
      <c r="FO413" s="27" t="s">
        <v>8</v>
      </c>
      <c r="FP413" s="27" t="s">
        <v>7</v>
      </c>
      <c r="FQ413" s="27" t="s">
        <v>8</v>
      </c>
      <c r="FR413" s="27" t="s">
        <v>7</v>
      </c>
      <c r="FS413" s="27" t="s">
        <v>8</v>
      </c>
      <c r="FT413" s="27" t="s">
        <v>7</v>
      </c>
      <c r="FU413" s="27" t="s">
        <v>8</v>
      </c>
      <c r="FV413" s="27" t="s">
        <v>7</v>
      </c>
      <c r="FW413" s="27" t="s">
        <v>8</v>
      </c>
      <c r="FX413" s="27" t="s">
        <v>7</v>
      </c>
      <c r="FY413" s="27" t="s">
        <v>8</v>
      </c>
      <c r="IH413" s="27" t="s">
        <v>7</v>
      </c>
      <c r="II413" s="27" t="s">
        <v>8</v>
      </c>
      <c r="IJ413" s="27" t="s">
        <v>7</v>
      </c>
      <c r="IL413" s="27" t="s">
        <v>7</v>
      </c>
    </row>
    <row r="414" spans="1:246" x14ac:dyDescent="0.25">
      <c r="A414" s="7">
        <v>30.748909254932467</v>
      </c>
      <c r="B414"/>
      <c r="C414"/>
      <c r="D414"/>
      <c r="E414" t="s">
        <v>8</v>
      </c>
      <c r="T414" s="27" t="s">
        <v>7</v>
      </c>
      <c r="U414" s="27" t="s">
        <v>8</v>
      </c>
      <c r="V414" s="27" t="s">
        <v>7</v>
      </c>
      <c r="W414" s="27" t="s">
        <v>8</v>
      </c>
      <c r="X414" s="27" t="s">
        <v>7</v>
      </c>
      <c r="Y414" s="27" t="s">
        <v>8</v>
      </c>
      <c r="Z414" s="27" t="s">
        <v>7</v>
      </c>
      <c r="AA414" s="27" t="s">
        <v>8</v>
      </c>
      <c r="AB414" s="27" t="s">
        <v>7</v>
      </c>
      <c r="AC414" s="27" t="s">
        <v>8</v>
      </c>
      <c r="AD414" s="27" t="s">
        <v>7</v>
      </c>
      <c r="AQ414" s="27" t="s">
        <v>8</v>
      </c>
      <c r="AR414" s="27" t="s">
        <v>7</v>
      </c>
      <c r="AS414" s="27" t="s">
        <v>8</v>
      </c>
      <c r="AT414" s="27" t="s">
        <v>7</v>
      </c>
      <c r="AU414" s="27" t="s">
        <v>8</v>
      </c>
      <c r="AZ414" s="27" t="s">
        <v>7</v>
      </c>
      <c r="BA414" s="27" t="s">
        <v>8</v>
      </c>
      <c r="BB414" s="27" t="s">
        <v>7</v>
      </c>
      <c r="BC414" s="27" t="s">
        <v>8</v>
      </c>
      <c r="BD414" s="27" t="s">
        <v>7</v>
      </c>
      <c r="BE414" s="27" t="s">
        <v>8</v>
      </c>
      <c r="BM414" s="27" t="s">
        <v>8</v>
      </c>
      <c r="BN414" s="27" t="s">
        <v>7</v>
      </c>
      <c r="BO414" s="27" t="s">
        <v>8</v>
      </c>
      <c r="BQ414" s="27" t="s">
        <v>8</v>
      </c>
      <c r="BR414" s="27" t="s">
        <v>7</v>
      </c>
      <c r="BW414" s="27" t="s">
        <v>8</v>
      </c>
      <c r="CA414" s="27" t="s">
        <v>8</v>
      </c>
      <c r="EP414" s="27" t="s">
        <v>7</v>
      </c>
      <c r="EQ414" s="27" t="s">
        <v>8</v>
      </c>
      <c r="FH414" s="27" t="s">
        <v>7</v>
      </c>
      <c r="FI414" s="27" t="s">
        <v>8</v>
      </c>
      <c r="FK414" s="27" t="s">
        <v>8</v>
      </c>
      <c r="FL414" s="27" t="s">
        <v>7</v>
      </c>
      <c r="FN414" s="27" t="s">
        <v>7</v>
      </c>
      <c r="FO414" s="27" t="s">
        <v>8</v>
      </c>
      <c r="FP414" s="27" t="s">
        <v>7</v>
      </c>
      <c r="FQ414" s="27" t="s">
        <v>8</v>
      </c>
      <c r="FR414" s="27" t="s">
        <v>7</v>
      </c>
      <c r="FS414" s="27" t="s">
        <v>8</v>
      </c>
      <c r="FT414" s="27" t="s">
        <v>7</v>
      </c>
      <c r="FU414" s="27" t="s">
        <v>8</v>
      </c>
      <c r="FV414" s="27" t="s">
        <v>7</v>
      </c>
      <c r="FW414" s="27" t="s">
        <v>8</v>
      </c>
      <c r="FX414" s="27" t="s">
        <v>7</v>
      </c>
      <c r="IH414" s="27" t="s">
        <v>7</v>
      </c>
      <c r="IL414" s="27" t="s">
        <v>7</v>
      </c>
    </row>
    <row r="415" spans="1:246" x14ac:dyDescent="0.25">
      <c r="A415" s="7">
        <v>30.145989465620065</v>
      </c>
      <c r="B415"/>
      <c r="C415"/>
      <c r="D415"/>
      <c r="E415" t="s">
        <v>8</v>
      </c>
      <c r="T415" s="27" t="s">
        <v>7</v>
      </c>
      <c r="U415" s="27" t="s">
        <v>8</v>
      </c>
      <c r="V415" s="27" t="s">
        <v>7</v>
      </c>
      <c r="X415" s="27" t="s">
        <v>7</v>
      </c>
      <c r="Y415" s="27" t="s">
        <v>8</v>
      </c>
      <c r="Z415" s="27" t="s">
        <v>7</v>
      </c>
      <c r="AB415" s="27" t="s">
        <v>7</v>
      </c>
      <c r="AC415" s="27" t="s">
        <v>8</v>
      </c>
      <c r="AD415" s="27" t="s">
        <v>7</v>
      </c>
      <c r="AQ415" s="27" t="s">
        <v>8</v>
      </c>
      <c r="AR415" s="27" t="s">
        <v>7</v>
      </c>
      <c r="AS415" s="27" t="s">
        <v>8</v>
      </c>
      <c r="AT415" s="27" t="s">
        <v>7</v>
      </c>
      <c r="AU415" s="27" t="s">
        <v>8</v>
      </c>
      <c r="AZ415" s="27" t="s">
        <v>7</v>
      </c>
      <c r="BA415" s="27" t="s">
        <v>8</v>
      </c>
      <c r="BB415" s="27" t="s">
        <v>7</v>
      </c>
      <c r="BC415" s="27" t="s">
        <v>8</v>
      </c>
      <c r="BD415" s="27" t="s">
        <v>7</v>
      </c>
      <c r="BE415" s="27" t="s">
        <v>8</v>
      </c>
      <c r="BF415" s="27" t="s">
        <v>7</v>
      </c>
      <c r="BM415" s="27" t="s">
        <v>8</v>
      </c>
      <c r="BN415" s="27" t="s">
        <v>7</v>
      </c>
      <c r="BO415" s="27" t="s">
        <v>8</v>
      </c>
      <c r="BP415" s="27" t="s">
        <v>7</v>
      </c>
      <c r="BQ415" s="27" t="s">
        <v>8</v>
      </c>
      <c r="BR415" s="27" t="s">
        <v>7</v>
      </c>
      <c r="BW415" s="27" t="s">
        <v>8</v>
      </c>
      <c r="BX415" s="27" t="s">
        <v>7</v>
      </c>
      <c r="CA415" s="27" t="s">
        <v>8</v>
      </c>
      <c r="EP415" s="27" t="s">
        <v>7</v>
      </c>
      <c r="EQ415" s="27" t="s">
        <v>8</v>
      </c>
      <c r="FH415" s="27" t="s">
        <v>7</v>
      </c>
      <c r="FI415" s="27" t="s">
        <v>8</v>
      </c>
      <c r="FJ415" s="27" t="s">
        <v>7</v>
      </c>
      <c r="FK415" s="27" t="s">
        <v>8</v>
      </c>
      <c r="FN415" s="27" t="s">
        <v>7</v>
      </c>
      <c r="FP415" s="27" t="s">
        <v>7</v>
      </c>
      <c r="FQ415" s="27" t="s">
        <v>8</v>
      </c>
      <c r="FR415" s="27" t="s">
        <v>7</v>
      </c>
      <c r="FS415" s="27" t="s">
        <v>8</v>
      </c>
      <c r="FT415" s="27" t="s">
        <v>7</v>
      </c>
      <c r="FV415" s="27" t="s">
        <v>7</v>
      </c>
      <c r="FW415" s="27" t="s">
        <v>8</v>
      </c>
      <c r="IL415" s="27" t="s">
        <v>7</v>
      </c>
    </row>
    <row r="416" spans="1:246" x14ac:dyDescent="0.25">
      <c r="A416" s="7">
        <v>29.55489163296085</v>
      </c>
      <c r="B416"/>
      <c r="C416"/>
      <c r="D416"/>
      <c r="E416" t="s">
        <v>8</v>
      </c>
      <c r="T416" s="27" t="s">
        <v>7</v>
      </c>
      <c r="U416" s="27" t="s">
        <v>8</v>
      </c>
      <c r="X416" s="27" t="s">
        <v>7</v>
      </c>
      <c r="Y416" s="27" t="s">
        <v>8</v>
      </c>
      <c r="AB416" s="27" t="s">
        <v>7</v>
      </c>
      <c r="AC416" s="27" t="s">
        <v>8</v>
      </c>
      <c r="AD416" s="27" t="s">
        <v>7</v>
      </c>
      <c r="AE416" s="27" t="s">
        <v>8</v>
      </c>
      <c r="AQ416" s="27" t="s">
        <v>8</v>
      </c>
      <c r="AR416" s="27" t="s">
        <v>7</v>
      </c>
      <c r="AS416" s="27" t="s">
        <v>8</v>
      </c>
      <c r="AT416" s="27" t="s">
        <v>7</v>
      </c>
      <c r="AU416" s="27" t="s">
        <v>8</v>
      </c>
      <c r="AZ416" s="27" t="s">
        <v>7</v>
      </c>
      <c r="BA416" s="27" t="s">
        <v>8</v>
      </c>
      <c r="BB416" s="27" t="s">
        <v>7</v>
      </c>
      <c r="BC416" s="27" t="s">
        <v>8</v>
      </c>
      <c r="BD416" s="27" t="s">
        <v>7</v>
      </c>
      <c r="BE416" s="27" t="s">
        <v>8</v>
      </c>
      <c r="BF416" s="27" t="s">
        <v>7</v>
      </c>
      <c r="BM416" s="27" t="s">
        <v>8</v>
      </c>
      <c r="BN416" s="27" t="s">
        <v>7</v>
      </c>
      <c r="BO416" s="27" t="s">
        <v>8</v>
      </c>
      <c r="BP416" s="27" t="s">
        <v>7</v>
      </c>
      <c r="BQ416" s="27" t="s">
        <v>8</v>
      </c>
      <c r="BR416" s="27" t="s">
        <v>7</v>
      </c>
      <c r="BS416" s="27" t="s">
        <v>8</v>
      </c>
      <c r="BW416" s="27" t="s">
        <v>8</v>
      </c>
      <c r="BX416" s="27" t="s">
        <v>7</v>
      </c>
      <c r="BY416" s="27" t="s">
        <v>8</v>
      </c>
      <c r="CA416" s="27" t="s">
        <v>8</v>
      </c>
      <c r="EP416" s="27" t="s">
        <v>7</v>
      </c>
      <c r="EQ416" s="27" t="s">
        <v>8</v>
      </c>
      <c r="FH416" s="27" t="s">
        <v>7</v>
      </c>
      <c r="FI416" s="27" t="s">
        <v>8</v>
      </c>
      <c r="FJ416" s="27" t="s">
        <v>7</v>
      </c>
      <c r="FK416" s="27" t="s">
        <v>8</v>
      </c>
      <c r="FP416" s="27" t="s">
        <v>7</v>
      </c>
      <c r="FR416" s="27" t="s">
        <v>7</v>
      </c>
      <c r="FS416" s="27" t="s">
        <v>8</v>
      </c>
      <c r="FV416" s="27" t="s">
        <v>7</v>
      </c>
      <c r="FW416" s="27" t="s">
        <v>8</v>
      </c>
      <c r="IL416" s="27" t="s">
        <v>7</v>
      </c>
    </row>
    <row r="417" spans="1:252" x14ac:dyDescent="0.25">
      <c r="A417" s="7">
        <v>28.975383953883185</v>
      </c>
      <c r="B417"/>
      <c r="C417"/>
      <c r="D417"/>
      <c r="E417" t="s">
        <v>8</v>
      </c>
      <c r="T417" s="27" t="s">
        <v>7</v>
      </c>
      <c r="X417" s="27" t="s">
        <v>7</v>
      </c>
      <c r="AB417" s="27" t="s">
        <v>7</v>
      </c>
      <c r="AC417" s="27" t="s">
        <v>8</v>
      </c>
      <c r="AD417" s="27" t="s">
        <v>7</v>
      </c>
      <c r="AE417" s="27" t="s">
        <v>8</v>
      </c>
      <c r="AF417" s="27" t="s">
        <v>7</v>
      </c>
      <c r="AQ417" s="27" t="s">
        <v>8</v>
      </c>
      <c r="AR417" s="27" t="s">
        <v>7</v>
      </c>
      <c r="AS417" s="27" t="s">
        <v>8</v>
      </c>
      <c r="AT417" s="27" t="s">
        <v>7</v>
      </c>
      <c r="AU417" s="27" t="s">
        <v>8</v>
      </c>
      <c r="AZ417" s="27" t="s">
        <v>7</v>
      </c>
      <c r="BA417" s="27" t="s">
        <v>8</v>
      </c>
      <c r="BB417" s="27" t="s">
        <v>7</v>
      </c>
      <c r="BC417" s="27" t="s">
        <v>8</v>
      </c>
      <c r="BD417" s="27" t="s">
        <v>7</v>
      </c>
      <c r="BE417" s="27" t="s">
        <v>8</v>
      </c>
      <c r="BF417" s="27" t="s">
        <v>7</v>
      </c>
      <c r="BM417" s="27" t="s">
        <v>8</v>
      </c>
      <c r="BN417" s="27" t="s">
        <v>7</v>
      </c>
      <c r="BO417" s="27" t="s">
        <v>8</v>
      </c>
      <c r="BP417" s="27" t="s">
        <v>7</v>
      </c>
      <c r="BQ417" s="27" t="s">
        <v>8</v>
      </c>
      <c r="BR417" s="27" t="s">
        <v>7</v>
      </c>
      <c r="BS417" s="27" t="s">
        <v>8</v>
      </c>
      <c r="BT417" s="27" t="s">
        <v>7</v>
      </c>
      <c r="BU417" s="27" t="s">
        <v>8</v>
      </c>
      <c r="BW417" s="27" t="s">
        <v>8</v>
      </c>
      <c r="BX417" s="27" t="s">
        <v>7</v>
      </c>
      <c r="BY417" s="27" t="s">
        <v>8</v>
      </c>
      <c r="BZ417" s="27" t="s">
        <v>7</v>
      </c>
      <c r="CA417" s="27" t="s">
        <v>8</v>
      </c>
      <c r="EP417" s="27" t="s">
        <v>7</v>
      </c>
      <c r="EQ417" s="27" t="s">
        <v>8</v>
      </c>
      <c r="FH417" s="27" t="s">
        <v>7</v>
      </c>
      <c r="FI417" s="27" t="s">
        <v>8</v>
      </c>
      <c r="FJ417" s="27" t="s">
        <v>7</v>
      </c>
      <c r="FK417" s="27" t="s">
        <v>8</v>
      </c>
      <c r="FR417" s="27" t="s">
        <v>7</v>
      </c>
      <c r="FV417" s="18" t="s">
        <v>7</v>
      </c>
      <c r="FW417" s="27" t="s">
        <v>8</v>
      </c>
      <c r="IL417" s="27" t="s">
        <v>7</v>
      </c>
      <c r="IM417" s="27" t="s">
        <v>8</v>
      </c>
    </row>
    <row r="418" spans="1:252" x14ac:dyDescent="0.25">
      <c r="A418" s="7">
        <v>28.407239170473709</v>
      </c>
      <c r="B418"/>
      <c r="C418"/>
      <c r="D418"/>
      <c r="E418" t="s">
        <v>8</v>
      </c>
      <c r="AB418" s="27" t="s">
        <v>7</v>
      </c>
      <c r="AC418" s="27" t="s">
        <v>8</v>
      </c>
      <c r="AD418" s="27" t="s">
        <v>7</v>
      </c>
      <c r="AE418" s="27" t="s">
        <v>8</v>
      </c>
      <c r="AF418" s="27" t="s">
        <v>7</v>
      </c>
      <c r="AG418" s="27" t="s">
        <v>8</v>
      </c>
      <c r="AQ418" s="27" t="s">
        <v>8</v>
      </c>
      <c r="AR418" s="27" t="s">
        <v>7</v>
      </c>
      <c r="AS418" s="27" t="s">
        <v>8</v>
      </c>
      <c r="AT418" s="27" t="s">
        <v>7</v>
      </c>
      <c r="AU418" s="27" t="s">
        <v>8</v>
      </c>
      <c r="AZ418" s="27" t="s">
        <v>7</v>
      </c>
      <c r="BA418" s="27" t="s">
        <v>8</v>
      </c>
      <c r="BB418" s="27" t="s">
        <v>7</v>
      </c>
      <c r="BC418" s="27" t="s">
        <v>8</v>
      </c>
      <c r="BD418" s="27" t="s">
        <v>7</v>
      </c>
      <c r="BE418" s="27" t="s">
        <v>8</v>
      </c>
      <c r="BF418" s="27" t="s">
        <v>7</v>
      </c>
      <c r="BM418" s="27" t="s">
        <v>8</v>
      </c>
      <c r="BN418" s="27" t="s">
        <v>7</v>
      </c>
      <c r="BO418" s="27" t="s">
        <v>8</v>
      </c>
      <c r="BP418" s="27" t="s">
        <v>7</v>
      </c>
      <c r="BQ418" s="27" t="s">
        <v>8</v>
      </c>
      <c r="BR418" s="27" t="s">
        <v>7</v>
      </c>
      <c r="BS418" s="27" t="s">
        <v>8</v>
      </c>
      <c r="BT418" s="27" t="s">
        <v>7</v>
      </c>
      <c r="BU418" s="27" t="s">
        <v>8</v>
      </c>
      <c r="BV418" s="27" t="s">
        <v>7</v>
      </c>
      <c r="BW418" s="27" t="s">
        <v>8</v>
      </c>
      <c r="BX418" s="27" t="s">
        <v>7</v>
      </c>
      <c r="BY418" s="27" t="s">
        <v>8</v>
      </c>
      <c r="BZ418" s="27" t="s">
        <v>7</v>
      </c>
      <c r="CA418" s="27" t="s">
        <v>8</v>
      </c>
      <c r="EP418" s="27" t="s">
        <v>7</v>
      </c>
      <c r="FH418" s="27" t="s">
        <v>7</v>
      </c>
      <c r="FI418" s="27" t="s">
        <v>8</v>
      </c>
      <c r="FJ418" s="27" t="s">
        <v>7</v>
      </c>
      <c r="FK418" s="27" t="s">
        <v>8</v>
      </c>
      <c r="FV418" s="27" t="s">
        <v>7</v>
      </c>
      <c r="FW418" s="27" t="s">
        <v>8</v>
      </c>
      <c r="IL418" s="27" t="s">
        <v>7</v>
      </c>
      <c r="IM418" s="27" t="s">
        <v>8</v>
      </c>
      <c r="IN418" s="27" t="s">
        <v>7</v>
      </c>
    </row>
    <row r="419" spans="1:252" x14ac:dyDescent="0.25">
      <c r="A419" s="7">
        <v>27.850234480856578</v>
      </c>
      <c r="B419"/>
      <c r="C419"/>
      <c r="D419"/>
      <c r="E419" t="s">
        <v>8</v>
      </c>
      <c r="AB419" s="27" t="s">
        <v>7</v>
      </c>
      <c r="AC419" s="27" t="s">
        <v>8</v>
      </c>
      <c r="AD419" s="27" t="s">
        <v>7</v>
      </c>
      <c r="AF419" s="27" t="s">
        <v>7</v>
      </c>
      <c r="AG419" s="27" t="s">
        <v>8</v>
      </c>
      <c r="AH419" s="27" t="s">
        <v>7</v>
      </c>
      <c r="AQ419" s="27" t="s">
        <v>8</v>
      </c>
      <c r="AR419" s="27" t="s">
        <v>7</v>
      </c>
      <c r="AS419" s="27" t="s">
        <v>8</v>
      </c>
      <c r="AT419" s="27" t="s">
        <v>7</v>
      </c>
      <c r="AU419" s="27" t="s">
        <v>8</v>
      </c>
      <c r="AZ419" s="27" t="s">
        <v>7</v>
      </c>
      <c r="BB419" s="27" t="s">
        <v>7</v>
      </c>
      <c r="BC419" s="27" t="s">
        <v>8</v>
      </c>
      <c r="BD419" s="27" t="s">
        <v>7</v>
      </c>
      <c r="BE419" s="27" t="s">
        <v>8</v>
      </c>
      <c r="BF419" s="27" t="s">
        <v>7</v>
      </c>
      <c r="BM419" s="27" t="s">
        <v>8</v>
      </c>
      <c r="BN419" s="27" t="s">
        <v>7</v>
      </c>
      <c r="BO419" s="27" t="s">
        <v>8</v>
      </c>
      <c r="BP419" s="27" t="s">
        <v>7</v>
      </c>
      <c r="BQ419" s="27" t="s">
        <v>8</v>
      </c>
      <c r="BR419" s="27" t="s">
        <v>7</v>
      </c>
      <c r="BS419" s="27" t="s">
        <v>8</v>
      </c>
      <c r="BT419" s="27" t="s">
        <v>7</v>
      </c>
      <c r="BU419" s="27" t="s">
        <v>8</v>
      </c>
      <c r="BV419" s="27" t="s">
        <v>7</v>
      </c>
      <c r="BW419" s="27" t="s">
        <v>8</v>
      </c>
      <c r="BX419" s="27" t="s">
        <v>7</v>
      </c>
      <c r="BY419" s="27" t="s">
        <v>8</v>
      </c>
      <c r="BZ419" s="27" t="s">
        <v>7</v>
      </c>
      <c r="CA419" s="27" t="s">
        <v>8</v>
      </c>
      <c r="FH419" s="27" t="s">
        <v>7</v>
      </c>
      <c r="FI419" s="27" t="s">
        <v>8</v>
      </c>
      <c r="FJ419" s="27" t="s">
        <v>7</v>
      </c>
      <c r="FK419" s="27" t="s">
        <v>8</v>
      </c>
      <c r="FV419" s="27" t="s">
        <v>7</v>
      </c>
      <c r="FW419" s="27" t="s">
        <v>8</v>
      </c>
      <c r="IL419" s="27" t="s">
        <v>7</v>
      </c>
      <c r="IM419" s="27" t="s">
        <v>8</v>
      </c>
      <c r="IN419" s="27" t="s">
        <v>7</v>
      </c>
    </row>
    <row r="420" spans="1:252" x14ac:dyDescent="0.25">
      <c r="A420" s="7">
        <v>27.304151451820175</v>
      </c>
      <c r="B420"/>
      <c r="C420"/>
      <c r="D420"/>
      <c r="E420" t="s">
        <v>8</v>
      </c>
      <c r="AB420" s="27" t="s">
        <v>7</v>
      </c>
      <c r="AF420" s="27" t="s">
        <v>7</v>
      </c>
      <c r="AG420" s="27" t="s">
        <v>8</v>
      </c>
      <c r="AH420" s="27" t="s">
        <v>7</v>
      </c>
      <c r="AQ420" s="27" t="s">
        <v>8</v>
      </c>
      <c r="AR420" s="27" t="s">
        <v>7</v>
      </c>
      <c r="AS420" s="27" t="s">
        <v>8</v>
      </c>
      <c r="AT420" s="27" t="s">
        <v>7</v>
      </c>
      <c r="AU420" s="27" t="s">
        <v>8</v>
      </c>
      <c r="BB420" s="27" t="s">
        <v>7</v>
      </c>
      <c r="BC420" s="27" t="s">
        <v>8</v>
      </c>
      <c r="BD420" s="27" t="s">
        <v>7</v>
      </c>
      <c r="BE420" s="27" t="s">
        <v>8</v>
      </c>
      <c r="BF420" s="27" t="s">
        <v>7</v>
      </c>
      <c r="BM420" s="27" t="s">
        <v>8</v>
      </c>
      <c r="BN420" s="27" t="s">
        <v>7</v>
      </c>
      <c r="BO420" s="27" t="s">
        <v>8</v>
      </c>
      <c r="BP420" s="27" t="s">
        <v>7</v>
      </c>
      <c r="BQ420" s="27" t="s">
        <v>8</v>
      </c>
      <c r="BR420" s="27" t="s">
        <v>7</v>
      </c>
      <c r="BS420" s="27" t="s">
        <v>8</v>
      </c>
      <c r="BT420" s="27" t="s">
        <v>7</v>
      </c>
      <c r="BU420" s="27" t="s">
        <v>8</v>
      </c>
      <c r="BV420" s="27" t="s">
        <v>7</v>
      </c>
      <c r="BW420" s="27" t="s">
        <v>8</v>
      </c>
      <c r="BX420" s="27" t="s">
        <v>7</v>
      </c>
      <c r="BY420" s="27" t="s">
        <v>8</v>
      </c>
      <c r="BZ420" s="27" t="s">
        <v>7</v>
      </c>
      <c r="CA420" s="27" t="s">
        <v>8</v>
      </c>
      <c r="FH420" s="27" t="s">
        <v>7</v>
      </c>
      <c r="FI420" s="27" t="s">
        <v>8</v>
      </c>
      <c r="FJ420" s="27" t="s">
        <v>7</v>
      </c>
      <c r="FK420" s="27" t="s">
        <v>8</v>
      </c>
      <c r="FV420" s="27" t="s">
        <v>7</v>
      </c>
      <c r="IL420" s="27" t="s">
        <v>7</v>
      </c>
      <c r="IM420" s="27" t="s">
        <v>8</v>
      </c>
      <c r="IN420" s="27" t="s">
        <v>7</v>
      </c>
    </row>
    <row r="421" spans="1:252" x14ac:dyDescent="0.25">
      <c r="A421" s="7">
        <v>26.768775933157034</v>
      </c>
      <c r="B421"/>
      <c r="C421"/>
      <c r="D421"/>
      <c r="E421" t="s">
        <v>8</v>
      </c>
      <c r="AF421" s="27" t="s">
        <v>7</v>
      </c>
      <c r="AG421" s="27" t="s">
        <v>8</v>
      </c>
      <c r="AH421" s="27" t="s">
        <v>7</v>
      </c>
      <c r="AQ421" s="27" t="s">
        <v>8</v>
      </c>
      <c r="AR421" s="27" t="s">
        <v>7</v>
      </c>
      <c r="AS421" s="27" t="s">
        <v>8</v>
      </c>
      <c r="AT421" s="27" t="s">
        <v>7</v>
      </c>
      <c r="AU421" s="27" t="s">
        <v>8</v>
      </c>
      <c r="BB421" s="27" t="s">
        <v>7</v>
      </c>
      <c r="BC421" s="27" t="s">
        <v>8</v>
      </c>
      <c r="BD421" s="27" t="s">
        <v>7</v>
      </c>
      <c r="BF421" s="27" t="s">
        <v>7</v>
      </c>
      <c r="BM421" s="27" t="s">
        <v>8</v>
      </c>
      <c r="BN421" s="27" t="s">
        <v>7</v>
      </c>
      <c r="BO421" s="27" t="s">
        <v>8</v>
      </c>
      <c r="BP421" s="27" t="s">
        <v>7</v>
      </c>
      <c r="BQ421" s="27" t="s">
        <v>8</v>
      </c>
      <c r="BR421" s="27" t="s">
        <v>7</v>
      </c>
      <c r="BS421" s="27" t="s">
        <v>8</v>
      </c>
      <c r="BT421" s="27" t="s">
        <v>7</v>
      </c>
      <c r="BV421" s="27" t="s">
        <v>7</v>
      </c>
      <c r="BX421" s="27" t="s">
        <v>7</v>
      </c>
      <c r="BY421" s="27" t="s">
        <v>8</v>
      </c>
      <c r="BZ421" s="27" t="s">
        <v>7</v>
      </c>
      <c r="CA421" s="27" t="s">
        <v>8</v>
      </c>
      <c r="FH421" s="27" t="s">
        <v>7</v>
      </c>
      <c r="FI421" s="27" t="s">
        <v>8</v>
      </c>
      <c r="FJ421" s="27" t="s">
        <v>7</v>
      </c>
      <c r="FK421" s="27" t="s">
        <v>8</v>
      </c>
      <c r="IL421" s="27" t="s">
        <v>7</v>
      </c>
      <c r="IN421" s="27" t="s">
        <v>7</v>
      </c>
    </row>
    <row r="422" spans="1:252" x14ac:dyDescent="0.25">
      <c r="A422" s="7">
        <v>26.243897973683367</v>
      </c>
      <c r="B422"/>
      <c r="C422"/>
      <c r="D422"/>
      <c r="E422" t="s">
        <v>8</v>
      </c>
      <c r="AF422" s="27" t="s">
        <v>7</v>
      </c>
      <c r="AG422" s="27" t="s">
        <v>8</v>
      </c>
      <c r="AH422" s="27" t="s">
        <v>7</v>
      </c>
      <c r="AM422" s="27" t="s">
        <v>8</v>
      </c>
      <c r="AQ422" s="27" t="s">
        <v>8</v>
      </c>
      <c r="AR422" s="27" t="s">
        <v>7</v>
      </c>
      <c r="AT422" s="27" t="s">
        <v>7</v>
      </c>
      <c r="BB422" s="27" t="s">
        <v>7</v>
      </c>
      <c r="BC422" s="27" t="s">
        <v>8</v>
      </c>
      <c r="BF422" s="27" t="s">
        <v>7</v>
      </c>
      <c r="BM422" s="27" t="s">
        <v>8</v>
      </c>
      <c r="BN422" s="27" t="s">
        <v>7</v>
      </c>
      <c r="BP422" s="27" t="s">
        <v>7</v>
      </c>
      <c r="BQ422" s="27" t="s">
        <v>8</v>
      </c>
      <c r="BR422" s="27" t="s">
        <v>7</v>
      </c>
      <c r="BX422" s="27" t="s">
        <v>7</v>
      </c>
      <c r="BY422" s="27" t="s">
        <v>8</v>
      </c>
      <c r="BZ422" s="27" t="s">
        <v>7</v>
      </c>
      <c r="CA422" s="27" t="s">
        <v>8</v>
      </c>
      <c r="FH422" s="27" t="s">
        <v>7</v>
      </c>
      <c r="FI422" s="27" t="s">
        <v>8</v>
      </c>
      <c r="FJ422" s="27" t="s">
        <v>7</v>
      </c>
      <c r="FK422" s="27" t="s">
        <v>8</v>
      </c>
      <c r="IN422" s="27" t="s">
        <v>7</v>
      </c>
    </row>
    <row r="423" spans="1:252" x14ac:dyDescent="0.25">
      <c r="A423" s="7">
        <v>25.729311738905263</v>
      </c>
      <c r="B423"/>
      <c r="C423"/>
      <c r="D423"/>
      <c r="E423" t="s">
        <v>8</v>
      </c>
      <c r="AF423" s="27" t="s">
        <v>7</v>
      </c>
      <c r="AG423" s="27" t="s">
        <v>8</v>
      </c>
      <c r="AH423" s="27" t="s">
        <v>7</v>
      </c>
      <c r="AI423" s="27" t="s">
        <v>8</v>
      </c>
      <c r="AM423" s="27" t="s">
        <v>8</v>
      </c>
      <c r="AN423" s="27" t="s">
        <v>7</v>
      </c>
      <c r="AQ423" s="27" t="s">
        <v>8</v>
      </c>
      <c r="BB423" s="27" t="s">
        <v>7</v>
      </c>
      <c r="BC423" s="27" t="s">
        <v>8</v>
      </c>
      <c r="BF423" s="27" t="s">
        <v>7</v>
      </c>
      <c r="BM423" s="27" t="s">
        <v>8</v>
      </c>
      <c r="BP423" s="27" t="s">
        <v>7</v>
      </c>
      <c r="BQ423" s="27" t="s">
        <v>8</v>
      </c>
      <c r="BX423" s="27" t="s">
        <v>7</v>
      </c>
      <c r="BZ423" s="27" t="s">
        <v>7</v>
      </c>
      <c r="CA423" s="27" t="s">
        <v>8</v>
      </c>
      <c r="FH423" s="27" t="s">
        <v>7</v>
      </c>
      <c r="FI423" s="27" t="s">
        <v>8</v>
      </c>
      <c r="FJ423" s="27" t="s">
        <v>7</v>
      </c>
      <c r="IN423" s="27" t="s">
        <v>7</v>
      </c>
    </row>
    <row r="424" spans="1:252" x14ac:dyDescent="0.25">
      <c r="A424" s="7">
        <v>25.224815430299277</v>
      </c>
      <c r="B424"/>
      <c r="C424"/>
      <c r="D424"/>
      <c r="E424" t="s">
        <v>8</v>
      </c>
      <c r="AF424" s="27" t="s">
        <v>7</v>
      </c>
      <c r="AG424" s="27" t="s">
        <v>8</v>
      </c>
      <c r="AH424" s="27" t="s">
        <v>7</v>
      </c>
      <c r="AI424" s="27" t="s">
        <v>8</v>
      </c>
      <c r="AJ424" s="27" t="s">
        <v>7</v>
      </c>
      <c r="AM424" s="27" t="s">
        <v>8</v>
      </c>
      <c r="AN424" s="27" t="s">
        <v>7</v>
      </c>
      <c r="AO424" s="27" t="s">
        <v>8</v>
      </c>
      <c r="AQ424" s="27" t="s">
        <v>8</v>
      </c>
      <c r="BB424" s="27" t="s">
        <v>7</v>
      </c>
      <c r="BF424" s="27" t="s">
        <v>7</v>
      </c>
      <c r="BG424" s="27" t="s">
        <v>8</v>
      </c>
      <c r="BI424" s="27" t="s">
        <v>8</v>
      </c>
      <c r="BM424" s="27" t="s">
        <v>8</v>
      </c>
      <c r="BP424" s="27" t="s">
        <v>7</v>
      </c>
      <c r="BQ424" s="27" t="s">
        <v>8</v>
      </c>
      <c r="BZ424" s="27" t="s">
        <v>7</v>
      </c>
      <c r="FH424" s="27" t="s">
        <v>7</v>
      </c>
      <c r="FI424" s="27" t="s">
        <v>8</v>
      </c>
      <c r="IN424" s="27" t="s">
        <v>7</v>
      </c>
    </row>
    <row r="425" spans="1:252" x14ac:dyDescent="0.25">
      <c r="A425" s="7">
        <v>24.73021120617576</v>
      </c>
      <c r="B425"/>
      <c r="C425"/>
      <c r="D425"/>
      <c r="E425" t="s">
        <v>8</v>
      </c>
      <c r="AF425" s="27" t="s">
        <v>7</v>
      </c>
      <c r="AG425" s="27" t="s">
        <v>8</v>
      </c>
      <c r="AH425" s="27" t="s">
        <v>7</v>
      </c>
      <c r="AI425" s="27" t="s">
        <v>8</v>
      </c>
      <c r="AJ425" s="27" t="s">
        <v>7</v>
      </c>
      <c r="AK425" s="27" t="s">
        <v>8</v>
      </c>
      <c r="AM425" s="27" t="s">
        <v>8</v>
      </c>
      <c r="AN425" s="27" t="s">
        <v>7</v>
      </c>
      <c r="AO425" s="27" t="s">
        <v>8</v>
      </c>
      <c r="AP425" s="27" t="s">
        <v>7</v>
      </c>
      <c r="AQ425" s="27" t="s">
        <v>8</v>
      </c>
      <c r="BF425" s="27" t="s">
        <v>7</v>
      </c>
      <c r="BG425" s="27" t="s">
        <v>8</v>
      </c>
      <c r="BH425" s="27" t="s">
        <v>7</v>
      </c>
      <c r="BI425" s="27" t="s">
        <v>8</v>
      </c>
      <c r="BJ425" s="27" t="s">
        <v>7</v>
      </c>
      <c r="BM425" s="27" t="s">
        <v>8</v>
      </c>
      <c r="BP425" s="27" t="s">
        <v>7</v>
      </c>
      <c r="FH425" s="27" t="s">
        <v>7</v>
      </c>
      <c r="FI425" s="27" t="s">
        <v>8</v>
      </c>
      <c r="IN425" s="27" t="s">
        <v>7</v>
      </c>
      <c r="IO425" s="27" t="s">
        <v>8</v>
      </c>
    </row>
    <row r="426" spans="1:252" x14ac:dyDescent="0.25">
      <c r="A426" s="7">
        <v>24.24530510409388</v>
      </c>
      <c r="B426"/>
      <c r="C426"/>
      <c r="D426"/>
      <c r="E426" t="s">
        <v>8</v>
      </c>
      <c r="AF426" s="27" t="s">
        <v>7</v>
      </c>
      <c r="AG426" s="27" t="s">
        <v>8</v>
      </c>
      <c r="AH426" s="27" t="s">
        <v>7</v>
      </c>
      <c r="AI426" s="27" t="s">
        <v>8</v>
      </c>
      <c r="AJ426" s="27" t="s">
        <v>7</v>
      </c>
      <c r="AK426" s="27" t="s">
        <v>8</v>
      </c>
      <c r="AL426" s="27" t="s">
        <v>7</v>
      </c>
      <c r="AM426" s="27" t="s">
        <v>8</v>
      </c>
      <c r="AN426" s="27" t="s">
        <v>7</v>
      </c>
      <c r="AO426" s="27" t="s">
        <v>8</v>
      </c>
      <c r="AP426" s="27" t="s">
        <v>7</v>
      </c>
      <c r="AQ426" s="27" t="s">
        <v>8</v>
      </c>
      <c r="BF426" s="27" t="s">
        <v>7</v>
      </c>
      <c r="BG426" s="27" t="s">
        <v>8</v>
      </c>
      <c r="BH426" s="27" t="s">
        <v>7</v>
      </c>
      <c r="BI426" s="27" t="s">
        <v>8</v>
      </c>
      <c r="BJ426" s="27" t="s">
        <v>7</v>
      </c>
      <c r="BM426" s="27" t="s">
        <v>8</v>
      </c>
      <c r="FH426" s="27" t="s">
        <v>7</v>
      </c>
      <c r="FI426" s="27" t="s">
        <v>8</v>
      </c>
      <c r="IN426" s="27" t="s">
        <v>7</v>
      </c>
      <c r="IO426" s="27" t="s">
        <v>8</v>
      </c>
      <c r="IP426" s="27" t="s">
        <v>7</v>
      </c>
    </row>
    <row r="427" spans="1:252" x14ac:dyDescent="0.25">
      <c r="A427" s="7">
        <v>23.769906964797922</v>
      </c>
      <c r="B427"/>
      <c r="C427"/>
      <c r="D427"/>
      <c r="E427" t="s">
        <v>8</v>
      </c>
      <c r="AF427" s="27" t="s">
        <v>7</v>
      </c>
      <c r="AG427" s="27" t="s">
        <v>8</v>
      </c>
      <c r="AH427" s="27" t="s">
        <v>7</v>
      </c>
      <c r="AI427" s="27" t="s">
        <v>8</v>
      </c>
      <c r="AJ427" s="27" t="s">
        <v>7</v>
      </c>
      <c r="AK427" s="27" t="s">
        <v>8</v>
      </c>
      <c r="AL427" s="27" t="s">
        <v>7</v>
      </c>
      <c r="AM427" s="27" t="s">
        <v>8</v>
      </c>
      <c r="AN427" s="27" t="s">
        <v>7</v>
      </c>
      <c r="AO427" s="27" t="s">
        <v>8</v>
      </c>
      <c r="AP427" s="27" t="s">
        <v>7</v>
      </c>
      <c r="AQ427" s="27" t="s">
        <v>8</v>
      </c>
      <c r="BF427" s="27" t="s">
        <v>7</v>
      </c>
      <c r="BG427" s="27" t="s">
        <v>8</v>
      </c>
      <c r="BH427" s="27" t="s">
        <v>7</v>
      </c>
      <c r="BI427" s="27" t="s">
        <v>8</v>
      </c>
      <c r="BJ427" s="27" t="s">
        <v>7</v>
      </c>
      <c r="BK427" s="27" t="s">
        <v>8</v>
      </c>
      <c r="BM427" s="27" t="s">
        <v>8</v>
      </c>
      <c r="FH427" s="27" t="s">
        <v>7</v>
      </c>
      <c r="FI427" s="27" t="s">
        <v>8</v>
      </c>
      <c r="IN427" s="27" t="s">
        <v>7</v>
      </c>
      <c r="IO427" s="27" t="s">
        <v>8</v>
      </c>
      <c r="IP427" s="27" t="s">
        <v>7</v>
      </c>
    </row>
    <row r="428" spans="1:252" x14ac:dyDescent="0.25">
      <c r="A428" s="7">
        <v>23.303830357645023</v>
      </c>
      <c r="B428"/>
      <c r="C428"/>
      <c r="D428"/>
      <c r="E428" t="s">
        <v>8</v>
      </c>
      <c r="AF428" s="27" t="s">
        <v>7</v>
      </c>
      <c r="AG428" s="27" t="s">
        <v>8</v>
      </c>
      <c r="AH428" s="27" t="s">
        <v>7</v>
      </c>
      <c r="AI428" s="27" t="s">
        <v>8</v>
      </c>
      <c r="AJ428" s="27" t="s">
        <v>7</v>
      </c>
      <c r="AK428" s="27" t="s">
        <v>8</v>
      </c>
      <c r="AL428" s="27" t="s">
        <v>7</v>
      </c>
      <c r="AN428" s="27" t="s">
        <v>7</v>
      </c>
      <c r="AP428" s="27" t="s">
        <v>7</v>
      </c>
      <c r="BF428" s="27" t="s">
        <v>7</v>
      </c>
      <c r="BG428" s="27" t="s">
        <v>8</v>
      </c>
      <c r="BH428" s="27" t="s">
        <v>7</v>
      </c>
      <c r="BI428" s="27" t="s">
        <v>8</v>
      </c>
      <c r="BJ428" s="27" t="s">
        <v>7</v>
      </c>
      <c r="BK428" s="27" t="s">
        <v>8</v>
      </c>
      <c r="BL428" s="27" t="s">
        <v>7</v>
      </c>
      <c r="BM428" s="27" t="s">
        <v>8</v>
      </c>
      <c r="FH428" s="27" t="s">
        <v>7</v>
      </c>
      <c r="IN428" s="27" t="s">
        <v>7</v>
      </c>
      <c r="IO428" s="27" t="s">
        <v>8</v>
      </c>
      <c r="IP428" s="27" t="s">
        <v>7</v>
      </c>
    </row>
    <row r="429" spans="1:252" x14ac:dyDescent="0.25">
      <c r="A429" s="7">
        <v>22.84689250749512</v>
      </c>
      <c r="B429"/>
      <c r="C429"/>
      <c r="D429"/>
      <c r="E429" t="s">
        <v>8</v>
      </c>
      <c r="AF429" s="27" t="s">
        <v>7</v>
      </c>
      <c r="AH429" s="27" t="s">
        <v>7</v>
      </c>
      <c r="AJ429" s="27" t="s">
        <v>7</v>
      </c>
      <c r="AK429" s="27" t="s">
        <v>8</v>
      </c>
      <c r="BF429" s="27" t="s">
        <v>7</v>
      </c>
      <c r="BG429" s="27" t="s">
        <v>8</v>
      </c>
      <c r="BH429" s="27" t="s">
        <v>7</v>
      </c>
      <c r="BI429" s="27" t="s">
        <v>8</v>
      </c>
      <c r="BJ429" s="27" t="s">
        <v>7</v>
      </c>
      <c r="BK429" s="27" t="s">
        <v>8</v>
      </c>
      <c r="BL429" s="27" t="s">
        <v>7</v>
      </c>
      <c r="BM429" s="27" t="s">
        <v>8</v>
      </c>
      <c r="IN429" s="27" t="s">
        <v>7</v>
      </c>
      <c r="IO429" s="27" t="s">
        <v>8</v>
      </c>
      <c r="IP429" s="27" t="s">
        <v>7</v>
      </c>
    </row>
    <row r="430" spans="1:252" x14ac:dyDescent="0.25">
      <c r="A430" s="7">
        <v>22.398914223034431</v>
      </c>
      <c r="B430"/>
      <c r="C430"/>
      <c r="D430"/>
      <c r="E430" t="s">
        <v>8</v>
      </c>
      <c r="AJ430" s="27" t="s">
        <v>7</v>
      </c>
      <c r="BF430" s="27" t="s">
        <v>7</v>
      </c>
      <c r="BG430" s="27" t="s">
        <v>8</v>
      </c>
      <c r="BH430" s="27" t="s">
        <v>7</v>
      </c>
      <c r="BJ430" s="27" t="s">
        <v>7</v>
      </c>
      <c r="BL430" s="27" t="s">
        <v>7</v>
      </c>
      <c r="IN430" s="27" t="s">
        <v>7</v>
      </c>
      <c r="IO430" s="27" t="s">
        <v>8</v>
      </c>
      <c r="IP430" s="27" t="s">
        <v>7</v>
      </c>
      <c r="IQ430" s="27" t="s">
        <v>8</v>
      </c>
    </row>
    <row r="431" spans="1:252" x14ac:dyDescent="0.25">
      <c r="A431" s="7">
        <v>21.959719826504344</v>
      </c>
      <c r="B431"/>
      <c r="C431"/>
      <c r="D431"/>
      <c r="E431" t="s">
        <v>8</v>
      </c>
      <c r="BF431" s="27" t="s">
        <v>7</v>
      </c>
      <c r="BG431" s="27" t="s">
        <v>8</v>
      </c>
      <c r="IN431" s="27" t="s">
        <v>7</v>
      </c>
      <c r="IO431" s="27" t="s">
        <v>8</v>
      </c>
      <c r="IP431" s="27" t="s">
        <v>7</v>
      </c>
      <c r="IQ431" s="27" t="s">
        <v>8</v>
      </c>
      <c r="IR431" s="27" t="s">
        <v>7</v>
      </c>
    </row>
    <row r="432" spans="1:252" x14ac:dyDescent="0.25">
      <c r="A432" s="7">
        <v>21.52913708480818</v>
      </c>
      <c r="B432"/>
      <c r="C432"/>
      <c r="D432"/>
      <c r="E432" t="s">
        <v>8</v>
      </c>
      <c r="BF432" s="27" t="s">
        <v>7</v>
      </c>
      <c r="IN432" s="27" t="s">
        <v>7</v>
      </c>
      <c r="IO432" s="27" t="s">
        <v>8</v>
      </c>
      <c r="IP432" s="27" t="s">
        <v>7</v>
      </c>
      <c r="IQ432" s="27" t="s">
        <v>8</v>
      </c>
      <c r="IR432" s="27" t="s">
        <v>7</v>
      </c>
    </row>
    <row r="433" spans="1:252" x14ac:dyDescent="0.25">
      <c r="A433" s="7">
        <v>21.106997141968804</v>
      </c>
      <c r="B433"/>
      <c r="C433"/>
      <c r="D433"/>
      <c r="E433" t="s">
        <v>8</v>
      </c>
      <c r="IN433" s="27" t="s">
        <v>7</v>
      </c>
      <c r="IO433" s="27" t="s">
        <v>8</v>
      </c>
      <c r="IP433" s="27" t="s">
        <v>7</v>
      </c>
      <c r="IQ433" s="27" t="s">
        <v>8</v>
      </c>
      <c r="IR433" s="27" t="s">
        <v>7</v>
      </c>
    </row>
    <row r="434" spans="1:252" x14ac:dyDescent="0.25">
      <c r="A434" s="7">
        <v>20.693134452910591</v>
      </c>
      <c r="B434"/>
      <c r="C434"/>
      <c r="D434"/>
      <c r="E434" t="s">
        <v>8</v>
      </c>
      <c r="IN434" s="27" t="s">
        <v>7</v>
      </c>
      <c r="IP434" s="27" t="s">
        <v>7</v>
      </c>
      <c r="IQ434" s="27" t="s">
        <v>8</v>
      </c>
      <c r="IR434" s="27" t="s">
        <v>7</v>
      </c>
    </row>
    <row r="435" spans="1:252" x14ac:dyDescent="0.25">
      <c r="A435" s="7">
        <v>20.287386718539796</v>
      </c>
      <c r="B435"/>
      <c r="C435"/>
      <c r="D435"/>
      <c r="E435" t="s">
        <v>8</v>
      </c>
      <c r="IP435" s="27" t="s">
        <v>7</v>
      </c>
      <c r="IQ435" s="27" t="s">
        <v>8</v>
      </c>
      <c r="IR435" s="27" t="s">
        <v>7</v>
      </c>
    </row>
    <row r="436" spans="1:252" x14ac:dyDescent="0.25">
      <c r="A436" s="7">
        <v>19.889594822097838</v>
      </c>
      <c r="B436"/>
      <c r="C436"/>
      <c r="D436"/>
      <c r="E436" t="s">
        <v>8</v>
      </c>
      <c r="IP436" s="27" t="s">
        <v>7</v>
      </c>
      <c r="IQ436" s="27" t="s">
        <v>8</v>
      </c>
    </row>
    <row r="437" spans="1:252" x14ac:dyDescent="0.25">
      <c r="A437" s="7">
        <v>19.499602766762585</v>
      </c>
      <c r="B437"/>
      <c r="C437"/>
      <c r="D437"/>
      <c r="E437" t="s">
        <v>8</v>
      </c>
      <c r="IP437" s="27" t="s">
        <v>7</v>
      </c>
      <c r="IQ437" s="27" t="s">
        <v>8</v>
      </c>
    </row>
    <row r="438" spans="1:252" x14ac:dyDescent="0.25">
      <c r="A438" s="7">
        <v>19.117257614473122</v>
      </c>
      <c r="B438"/>
      <c r="C438"/>
      <c r="D438"/>
      <c r="E438" t="s">
        <v>8</v>
      </c>
      <c r="IP438" s="27" t="s">
        <v>7</v>
      </c>
    </row>
    <row r="439" spans="1:252" x14ac:dyDescent="0.25">
      <c r="A439" s="7">
        <v>18.74240942595404</v>
      </c>
      <c r="B439"/>
      <c r="C439"/>
      <c r="D439"/>
      <c r="E439" t="s">
        <v>8</v>
      </c>
    </row>
    <row r="440" spans="1:252" x14ac:dyDescent="0.25">
      <c r="A440" s="7">
        <v>18.374911201915726</v>
      </c>
      <c r="B440"/>
      <c r="C440"/>
      <c r="D440"/>
      <c r="E440" t="s">
        <v>8</v>
      </c>
    </row>
    <row r="441" spans="1:252" x14ac:dyDescent="0.25">
      <c r="A441" s="7">
        <v>18.014618825407574</v>
      </c>
      <c r="B441"/>
      <c r="C441"/>
      <c r="D441"/>
      <c r="E441" t="s">
        <v>8</v>
      </c>
    </row>
    <row r="442" spans="1:252" x14ac:dyDescent="0.25">
      <c r="A442" s="7">
        <v>17.661391005301542</v>
      </c>
      <c r="B442"/>
      <c r="C442"/>
      <c r="D442"/>
      <c r="E442" t="s">
        <v>8</v>
      </c>
    </row>
    <row r="443" spans="1:252" x14ac:dyDescent="0.25">
      <c r="A443" s="7">
        <v>17.315089220883866</v>
      </c>
      <c r="B443"/>
      <c r="C443"/>
      <c r="D443"/>
      <c r="E443" t="s">
        <v>8</v>
      </c>
    </row>
    <row r="444" spans="1:252" x14ac:dyDescent="0.25">
      <c r="A444" s="7">
        <v>16.975577667533202</v>
      </c>
      <c r="B444"/>
      <c r="C444"/>
      <c r="D444"/>
      <c r="E444" t="s">
        <v>8</v>
      </c>
    </row>
    <row r="445" spans="1:252" x14ac:dyDescent="0.25">
      <c r="A445" s="7">
        <v>16.642723203463923</v>
      </c>
      <c r="B445"/>
      <c r="C445"/>
      <c r="D445"/>
      <c r="E445" t="s">
        <v>8</v>
      </c>
    </row>
    <row r="446" spans="1:252" x14ac:dyDescent="0.25">
      <c r="A446" s="7">
        <v>16.316395297513651</v>
      </c>
      <c r="B446"/>
      <c r="C446"/>
      <c r="D446"/>
      <c r="E446" t="s">
        <v>8</v>
      </c>
    </row>
    <row r="447" spans="1:252" x14ac:dyDescent="0.25">
      <c r="A447" s="7">
        <v>15.996465977954561</v>
      </c>
      <c r="B447"/>
      <c r="C447"/>
      <c r="D447"/>
      <c r="E447" t="s">
        <v>8</v>
      </c>
    </row>
    <row r="448" spans="1:252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32" operator="equal">
      <formula>$U$1</formula>
    </cfRule>
    <cfRule type="cellIs" dxfId="89" priority="933" operator="equal">
      <formula>$S$1</formula>
    </cfRule>
  </conditionalFormatting>
  <conditionalFormatting sqref="D27">
    <cfRule type="cellIs" dxfId="88" priority="930" operator="equal">
      <formula>$S$1</formula>
    </cfRule>
    <cfRule type="cellIs" dxfId="87" priority="931" operator="equal">
      <formula>$U$1</formula>
    </cfRule>
  </conditionalFormatting>
  <conditionalFormatting sqref="C164">
    <cfRule type="cellIs" dxfId="86" priority="928" operator="equal">
      <formula>$U$1</formula>
    </cfRule>
    <cfRule type="cellIs" dxfId="85" priority="929" operator="equal">
      <formula>$S$1</formula>
    </cfRule>
  </conditionalFormatting>
  <conditionalFormatting sqref="D164">
    <cfRule type="cellIs" dxfId="84" priority="926" operator="equal">
      <formula>$S$1</formula>
    </cfRule>
    <cfRule type="cellIs" dxfId="83" priority="927" operator="equal">
      <formula>$U$1</formula>
    </cfRule>
  </conditionalFormatting>
  <conditionalFormatting sqref="C55">
    <cfRule type="cellIs" dxfId="82" priority="924" operator="equal">
      <formula>$U$1</formula>
    </cfRule>
    <cfRule type="cellIs" dxfId="81" priority="925" operator="equal">
      <formula>$S$1</formula>
    </cfRule>
  </conditionalFormatting>
  <conditionalFormatting sqref="D55">
    <cfRule type="cellIs" dxfId="80" priority="922" operator="equal">
      <formula>$S$1</formula>
    </cfRule>
    <cfRule type="cellIs" dxfId="79" priority="923" operator="equal">
      <formula>$U$1</formula>
    </cfRule>
  </conditionalFormatting>
  <conditionalFormatting sqref="C89">
    <cfRule type="cellIs" dxfId="78" priority="920" operator="equal">
      <formula>$U$1</formula>
    </cfRule>
    <cfRule type="cellIs" dxfId="77" priority="921" operator="equal">
      <formula>$S$1</formula>
    </cfRule>
  </conditionalFormatting>
  <conditionalFormatting sqref="D89">
    <cfRule type="cellIs" dxfId="76" priority="918" operator="equal">
      <formula>$S$1</formula>
    </cfRule>
    <cfRule type="cellIs" dxfId="75" priority="919" operator="equal">
      <formula>$U$1</formula>
    </cfRule>
  </conditionalFormatting>
  <conditionalFormatting sqref="C136">
    <cfRule type="cellIs" dxfId="74" priority="916" operator="equal">
      <formula>$U$1</formula>
    </cfRule>
    <cfRule type="cellIs" dxfId="73" priority="917" operator="equal">
      <formula>$S$1</formula>
    </cfRule>
  </conditionalFormatting>
  <conditionalFormatting sqref="D136">
    <cfRule type="cellIs" dxfId="72" priority="914" operator="equal">
      <formula>$S$1</formula>
    </cfRule>
    <cfRule type="cellIs" dxfId="71" priority="915" operator="equal">
      <formula>$U$1</formula>
    </cfRule>
  </conditionalFormatting>
  <conditionalFormatting sqref="C1">
    <cfRule type="cellIs" dxfId="70" priority="913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DH179" sqref="DH17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$A$178</v>
      </c>
      <c r="D111" s="1" t="str">
        <f>ADDRESS(C121-1,D121,1,1)</f>
        <v>$DH$178</v>
      </c>
      <c r="E111"/>
    </row>
    <row r="112" spans="1:5" x14ac:dyDescent="0.25">
      <c r="A112" s="30">
        <v>515.50191262726139</v>
      </c>
      <c r="C112" s="1" t="str">
        <f>ADDRESS(C121,1,1,1)</f>
        <v>$A$179</v>
      </c>
      <c r="D112" s="1" t="str">
        <f>ADDRESS(C121,D121-1,1,1)</f>
        <v>$DG$179</v>
      </c>
      <c r="E112"/>
    </row>
    <row r="113" spans="1:5" x14ac:dyDescent="0.25">
      <c r="A113" s="30">
        <v>490.95420250215363</v>
      </c>
      <c r="C113" s="1" t="str">
        <f>ADDRESS(C121+1,1,1,1)</f>
        <v>$A$180</v>
      </c>
      <c r="D113" s="1" t="str">
        <f>ADDRESS(C121-1,D121+1,1,1)</f>
        <v>$DI$178</v>
      </c>
    </row>
    <row r="114" spans="1:5" x14ac:dyDescent="0.25">
      <c r="A114" s="30">
        <v>467.57543095443202</v>
      </c>
      <c r="C114" s="1" t="str">
        <f>ADDRESS(C121,D121,1,1)</f>
        <v>$DH$179</v>
      </c>
      <c r="D114" s="1" t="str">
        <f>ADDRESS(C121+1,D121+1,1,1)</f>
        <v>$DI$180</v>
      </c>
    </row>
    <row r="115" spans="1:5" x14ac:dyDescent="0.25">
      <c r="A115" s="30">
        <v>445.30993424231622</v>
      </c>
      <c r="C115" s="1" t="str">
        <f>ADDRESS(C121+1,D121,1,1)</f>
        <v>$DH$180</v>
      </c>
    </row>
    <row r="116" spans="1:5" x14ac:dyDescent="0.25">
      <c r="A116" s="30">
        <v>424.10469927839637</v>
      </c>
      <c r="C116" s="1">
        <f>C117-1</f>
        <v>178</v>
      </c>
    </row>
    <row r="117" spans="1:5" x14ac:dyDescent="0.25">
      <c r="A117" s="30">
        <v>403.9092374079965</v>
      </c>
      <c r="C117" s="1">
        <f>C121</f>
        <v>179</v>
      </c>
      <c r="D117" s="1">
        <f>D121</f>
        <v>112</v>
      </c>
    </row>
    <row r="118" spans="1:5" x14ac:dyDescent="0.25">
      <c r="A118" s="30">
        <v>384.6754641980919</v>
      </c>
      <c r="C118" s="1">
        <f>C117+1</f>
        <v>180</v>
      </c>
      <c r="D118" s="1">
        <f>D117+1</f>
        <v>113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179</v>
      </c>
      <c r="D121" s="19">
        <v>112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R179</v>
      </c>
      <c r="D123" s="1" t="str">
        <f>"C"&amp;D121</f>
        <v>C112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19.613145188829147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100" x14ac:dyDescent="0.25">
      <c r="A145" s="30">
        <v>103.03467644609493</v>
      </c>
      <c r="E145"/>
    </row>
    <row r="146" spans="1:100" x14ac:dyDescent="0.25">
      <c r="A146" s="30">
        <v>98.128263281995174</v>
      </c>
      <c r="E146"/>
    </row>
    <row r="147" spans="1:100" x14ac:dyDescent="0.25">
      <c r="A147" s="30">
        <v>93.455488839995397</v>
      </c>
      <c r="E147"/>
      <c r="BO147" s="27" t="s">
        <v>8</v>
      </c>
    </row>
    <row r="148" spans="1:100" x14ac:dyDescent="0.25">
      <c r="A148" s="30">
        <v>89.005227466662276</v>
      </c>
      <c r="E148"/>
      <c r="BG148" s="27" t="s">
        <v>8</v>
      </c>
      <c r="BO148" s="27" t="s">
        <v>8</v>
      </c>
      <c r="BP148" s="27" t="s">
        <v>7</v>
      </c>
    </row>
    <row r="149" spans="1:100" x14ac:dyDescent="0.25">
      <c r="A149" s="30">
        <v>84.766883301583121</v>
      </c>
      <c r="E149"/>
      <c r="BG149" s="27" t="s">
        <v>8</v>
      </c>
      <c r="BH149" s="27" t="s">
        <v>7</v>
      </c>
      <c r="BI149" s="27" t="s">
        <v>8</v>
      </c>
      <c r="BO149" s="27" t="s">
        <v>8</v>
      </c>
      <c r="BP149" s="27" t="s">
        <v>7</v>
      </c>
    </row>
    <row r="150" spans="1:100" x14ac:dyDescent="0.25">
      <c r="A150" s="30">
        <v>80.730365049126775</v>
      </c>
      <c r="E150"/>
      <c r="BE150" s="27" t="s">
        <v>8</v>
      </c>
      <c r="BG150" s="27" t="s">
        <v>8</v>
      </c>
      <c r="BH150" s="27" t="s">
        <v>7</v>
      </c>
      <c r="BI150" s="27" t="s">
        <v>8</v>
      </c>
      <c r="BJ150" s="27" t="s">
        <v>7</v>
      </c>
      <c r="BO150" s="27" t="s">
        <v>8</v>
      </c>
      <c r="BP150" s="27" t="s">
        <v>7</v>
      </c>
    </row>
    <row r="151" spans="1:100" x14ac:dyDescent="0.25">
      <c r="A151" s="30">
        <v>76.886061951549308</v>
      </c>
      <c r="E151"/>
      <c r="BC151" s="27" t="s">
        <v>8</v>
      </c>
      <c r="BE151" s="27" t="s">
        <v>8</v>
      </c>
      <c r="BF151" s="27" t="s">
        <v>7</v>
      </c>
      <c r="BG151" s="27" t="s">
        <v>8</v>
      </c>
      <c r="BH151" s="27" t="s">
        <v>7</v>
      </c>
      <c r="BI151" s="27" t="s">
        <v>8</v>
      </c>
      <c r="BJ151" s="27" t="s">
        <v>7</v>
      </c>
      <c r="BK151" s="27" t="s">
        <v>8</v>
      </c>
      <c r="BO151" s="27" t="s">
        <v>8</v>
      </c>
      <c r="BP151" s="27" t="s">
        <v>7</v>
      </c>
    </row>
    <row r="152" spans="1:100" x14ac:dyDescent="0.25">
      <c r="A152" s="30">
        <v>73.22482090623744</v>
      </c>
      <c r="E152"/>
      <c r="BC152" s="27" t="s">
        <v>8</v>
      </c>
      <c r="BD152" s="27" t="s">
        <v>7</v>
      </c>
      <c r="BE152" s="27" t="s">
        <v>8</v>
      </c>
      <c r="BF152" s="27" t="s">
        <v>7</v>
      </c>
      <c r="BG152" s="27" t="s">
        <v>8</v>
      </c>
      <c r="BH152" s="27" t="s">
        <v>7</v>
      </c>
      <c r="BI152" s="27" t="s">
        <v>8</v>
      </c>
      <c r="BJ152" s="27" t="s">
        <v>7</v>
      </c>
      <c r="BK152" s="27" t="s">
        <v>8</v>
      </c>
      <c r="BL152" s="27" t="s">
        <v>7</v>
      </c>
      <c r="BO152" s="27" t="s">
        <v>8</v>
      </c>
      <c r="BP152" s="27" t="s">
        <v>7</v>
      </c>
    </row>
    <row r="153" spans="1:100" x14ac:dyDescent="0.25">
      <c r="A153" s="30">
        <v>69.737924672607079</v>
      </c>
      <c r="C153" s="7"/>
      <c r="D153"/>
      <c r="E153"/>
      <c r="BC153" s="27" t="s">
        <v>8</v>
      </c>
      <c r="BD153" s="27" t="s">
        <v>7</v>
      </c>
      <c r="BE153" s="27" t="s">
        <v>8</v>
      </c>
      <c r="BF153" s="27" t="s">
        <v>7</v>
      </c>
      <c r="BH153" s="27" t="s">
        <v>7</v>
      </c>
      <c r="BI153" s="27" t="s">
        <v>8</v>
      </c>
      <c r="BJ153" s="27" t="s">
        <v>7</v>
      </c>
      <c r="BK153" s="27" t="s">
        <v>8</v>
      </c>
      <c r="BL153" s="27" t="s">
        <v>7</v>
      </c>
      <c r="BM153" s="27" t="s">
        <v>8</v>
      </c>
      <c r="BO153" s="27" t="s">
        <v>8</v>
      </c>
      <c r="BP153" s="27" t="s">
        <v>7</v>
      </c>
    </row>
    <row r="154" spans="1:100" x14ac:dyDescent="0.25">
      <c r="A154" s="30">
        <v>66.417071116768639</v>
      </c>
      <c r="E154"/>
      <c r="I154" s="27" t="s">
        <v>8</v>
      </c>
      <c r="BA154" s="27" t="s">
        <v>8</v>
      </c>
      <c r="BC154" s="27" t="s">
        <v>8</v>
      </c>
      <c r="BD154" s="27" t="s">
        <v>7</v>
      </c>
      <c r="BE154" s="27" t="s">
        <v>8</v>
      </c>
      <c r="BH154" s="27" t="s">
        <v>7</v>
      </c>
      <c r="BJ154" s="27" t="s">
        <v>7</v>
      </c>
      <c r="BK154" s="27" t="s">
        <v>8</v>
      </c>
      <c r="BL154" s="27" t="s">
        <v>7</v>
      </c>
      <c r="BM154" s="27" t="s">
        <v>8</v>
      </c>
      <c r="BN154" s="27" t="s">
        <v>7</v>
      </c>
      <c r="BO154" s="27" t="s">
        <v>8</v>
      </c>
      <c r="BP154" s="27" t="s">
        <v>7</v>
      </c>
      <c r="BU154" s="27" t="s">
        <v>8</v>
      </c>
    </row>
    <row r="155" spans="1:100" x14ac:dyDescent="0.25">
      <c r="A155" s="30">
        <v>63.254353444541557</v>
      </c>
      <c r="E155"/>
      <c r="I155" s="27" t="s">
        <v>8</v>
      </c>
      <c r="J155" s="27" t="s">
        <v>7</v>
      </c>
      <c r="BA155" s="27" t="s">
        <v>8</v>
      </c>
      <c r="BB155" s="27" t="s">
        <v>7</v>
      </c>
      <c r="BC155" s="27" t="s">
        <v>8</v>
      </c>
      <c r="BD155" s="27" t="s">
        <v>7</v>
      </c>
      <c r="BJ155" s="27" t="s">
        <v>7</v>
      </c>
      <c r="BK155" s="27" t="s">
        <v>8</v>
      </c>
      <c r="BL155" s="27" t="s">
        <v>7</v>
      </c>
      <c r="BM155" s="27" t="s">
        <v>8</v>
      </c>
      <c r="BN155" s="27" t="s">
        <v>7</v>
      </c>
      <c r="BO155" s="27" t="s">
        <v>8</v>
      </c>
      <c r="BP155" s="27" t="s">
        <v>7</v>
      </c>
      <c r="BU155" s="27" t="s">
        <v>8</v>
      </c>
      <c r="BV155" s="27" t="s">
        <v>7</v>
      </c>
    </row>
    <row r="156" spans="1:100" x14ac:dyDescent="0.25">
      <c r="A156" s="30">
        <v>60.242241375753864</v>
      </c>
      <c r="C156"/>
      <c r="D156"/>
      <c r="E156"/>
      <c r="I156" s="27" t="s">
        <v>8</v>
      </c>
      <c r="J156" s="27" t="s">
        <v>7</v>
      </c>
      <c r="BA156" s="27" t="s">
        <v>8</v>
      </c>
      <c r="BB156" s="27" t="s">
        <v>7</v>
      </c>
      <c r="BC156" s="27" t="s">
        <v>8</v>
      </c>
      <c r="BJ156" s="27" t="s">
        <v>7</v>
      </c>
      <c r="BK156" s="27" t="s">
        <v>8</v>
      </c>
      <c r="BL156" s="27" t="s">
        <v>7</v>
      </c>
      <c r="BM156" s="27" t="s">
        <v>8</v>
      </c>
      <c r="BN156" s="27" t="s">
        <v>7</v>
      </c>
      <c r="BO156" s="27" t="s">
        <v>8</v>
      </c>
      <c r="BP156" s="27" t="s">
        <v>7</v>
      </c>
      <c r="BS156" s="27" t="s">
        <v>8</v>
      </c>
      <c r="BU156" s="27" t="s">
        <v>8</v>
      </c>
      <c r="BV156" s="27" t="s">
        <v>7</v>
      </c>
      <c r="CS156" s="27" t="s">
        <v>8</v>
      </c>
    </row>
    <row r="157" spans="1:100" x14ac:dyDescent="0.25">
      <c r="A157" s="30">
        <v>57.373563215003678</v>
      </c>
      <c r="E157"/>
      <c r="I157" s="27" t="s">
        <v>8</v>
      </c>
      <c r="J157" s="27" t="s">
        <v>7</v>
      </c>
      <c r="K157" s="27" t="s">
        <v>8</v>
      </c>
      <c r="BA157" s="27" t="s">
        <v>8</v>
      </c>
      <c r="BB157" s="27" t="s">
        <v>7</v>
      </c>
      <c r="BC157" s="27" t="s">
        <v>8</v>
      </c>
      <c r="BJ157" s="27" t="s">
        <v>7</v>
      </c>
      <c r="BK157" s="27" t="s">
        <v>8</v>
      </c>
      <c r="BL157" s="27" t="s">
        <v>7</v>
      </c>
      <c r="BN157" s="27" t="s">
        <v>7</v>
      </c>
      <c r="BO157" s="27" t="s">
        <v>8</v>
      </c>
      <c r="BP157" s="27" t="s">
        <v>7</v>
      </c>
      <c r="BS157" s="27" t="s">
        <v>8</v>
      </c>
      <c r="BT157" s="27" t="s">
        <v>7</v>
      </c>
      <c r="BU157" s="27" t="s">
        <v>8</v>
      </c>
      <c r="BV157" s="27" t="s">
        <v>7</v>
      </c>
      <c r="CS157" s="27" t="s">
        <v>8</v>
      </c>
      <c r="CT157" s="27" t="s">
        <v>7</v>
      </c>
      <c r="CU157" s="27" t="s">
        <v>8</v>
      </c>
    </row>
    <row r="158" spans="1:100" x14ac:dyDescent="0.25">
      <c r="A158" s="30">
        <v>54.641488776193974</v>
      </c>
      <c r="E158"/>
      <c r="I158" s="27" t="s">
        <v>8</v>
      </c>
      <c r="J158" s="27" t="s">
        <v>7</v>
      </c>
      <c r="K158" s="27" t="s">
        <v>8</v>
      </c>
      <c r="L158" s="27" t="s">
        <v>7</v>
      </c>
      <c r="BA158" s="27" t="s">
        <v>8</v>
      </c>
      <c r="BB158" s="27" t="s">
        <v>7</v>
      </c>
      <c r="BC158" s="27" t="s">
        <v>8</v>
      </c>
      <c r="BJ158" s="27" t="s">
        <v>7</v>
      </c>
      <c r="BN158" s="27" t="s">
        <v>7</v>
      </c>
      <c r="BP158" s="27" t="s">
        <v>7</v>
      </c>
      <c r="BS158" s="27" t="s">
        <v>8</v>
      </c>
      <c r="BT158" s="27" t="s">
        <v>7</v>
      </c>
      <c r="BU158" s="27" t="s">
        <v>8</v>
      </c>
      <c r="BV158" s="27" t="s">
        <v>7</v>
      </c>
      <c r="BW158" s="27" t="s">
        <v>8</v>
      </c>
      <c r="CM158" s="27" t="s">
        <v>8</v>
      </c>
      <c r="CQ158" s="27" t="s">
        <v>8</v>
      </c>
      <c r="CS158" s="27" t="s">
        <v>8</v>
      </c>
      <c r="CT158" s="27" t="s">
        <v>7</v>
      </c>
      <c r="CU158" s="27" t="s">
        <v>8</v>
      </c>
      <c r="CV158" s="27" t="s">
        <v>7</v>
      </c>
    </row>
    <row r="159" spans="1:100" x14ac:dyDescent="0.25">
      <c r="A159" s="30">
        <v>52.039513120184736</v>
      </c>
      <c r="E159" t="s">
        <v>8</v>
      </c>
      <c r="I159" s="27" t="s">
        <v>8</v>
      </c>
      <c r="J159" s="27" t="s">
        <v>7</v>
      </c>
      <c r="K159" s="27" t="s">
        <v>8</v>
      </c>
      <c r="L159" s="27" t="s">
        <v>7</v>
      </c>
      <c r="AQ159" s="27" t="s">
        <v>8</v>
      </c>
      <c r="AS159" s="27" t="s">
        <v>8</v>
      </c>
      <c r="BA159" s="27" t="s">
        <v>8</v>
      </c>
      <c r="BB159" s="27" t="s">
        <v>7</v>
      </c>
      <c r="BC159" s="27" t="s">
        <v>8</v>
      </c>
      <c r="BP159" s="27" t="s">
        <v>7</v>
      </c>
      <c r="BQ159" s="27" t="s">
        <v>8</v>
      </c>
      <c r="BS159" s="27" t="s">
        <v>8</v>
      </c>
      <c r="BT159" s="27" t="s">
        <v>7</v>
      </c>
      <c r="BU159" s="27" t="s">
        <v>8</v>
      </c>
      <c r="BV159" s="27" t="s">
        <v>7</v>
      </c>
      <c r="BW159" s="27" t="s">
        <v>8</v>
      </c>
      <c r="BX159" s="27" t="s">
        <v>7</v>
      </c>
      <c r="CM159" s="27" t="s">
        <v>8</v>
      </c>
      <c r="CN159" s="27" t="s">
        <v>7</v>
      </c>
      <c r="CQ159" s="27" t="s">
        <v>8</v>
      </c>
      <c r="CR159" s="27" t="s">
        <v>7</v>
      </c>
      <c r="CS159" s="27" t="s">
        <v>8</v>
      </c>
      <c r="CT159" s="27" t="s">
        <v>7</v>
      </c>
      <c r="CU159" s="27" t="s">
        <v>8</v>
      </c>
      <c r="CV159" s="27" t="s">
        <v>7</v>
      </c>
    </row>
    <row r="160" spans="1:100" x14ac:dyDescent="0.25">
      <c r="A160" s="30">
        <v>49.561441066842605</v>
      </c>
      <c r="C160"/>
      <c r="E160" t="s">
        <v>8</v>
      </c>
      <c r="F160" s="27" t="s">
        <v>7</v>
      </c>
      <c r="G160" s="27" t="s">
        <v>8</v>
      </c>
      <c r="I160" s="27" t="s">
        <v>8</v>
      </c>
      <c r="J160" s="27" t="s">
        <v>7</v>
      </c>
      <c r="L160" s="27" t="s">
        <v>7</v>
      </c>
      <c r="AQ160" s="27" t="s">
        <v>8</v>
      </c>
      <c r="AR160" s="27" t="s">
        <v>7</v>
      </c>
      <c r="AS160" s="27" t="s">
        <v>8</v>
      </c>
      <c r="AT160" s="27" t="s">
        <v>7</v>
      </c>
      <c r="BA160" s="27" t="s">
        <v>8</v>
      </c>
      <c r="BB160" s="27" t="s">
        <v>7</v>
      </c>
      <c r="BC160" s="27" t="s">
        <v>8</v>
      </c>
      <c r="BP160" s="27" t="s">
        <v>7</v>
      </c>
      <c r="BQ160" s="27" t="s">
        <v>8</v>
      </c>
      <c r="BR160" s="27" t="s">
        <v>7</v>
      </c>
      <c r="BS160" s="27" t="s">
        <v>8</v>
      </c>
      <c r="BT160" s="27" t="s">
        <v>7</v>
      </c>
      <c r="BU160" s="27" t="s">
        <v>8</v>
      </c>
      <c r="BV160" s="27" t="s">
        <v>7</v>
      </c>
      <c r="BW160" s="27" t="s">
        <v>8</v>
      </c>
      <c r="BX160" s="27" t="s">
        <v>7</v>
      </c>
      <c r="BY160" s="27" t="s">
        <v>8</v>
      </c>
      <c r="CM160" s="27" t="s">
        <v>8</v>
      </c>
      <c r="CN160" s="27" t="s">
        <v>7</v>
      </c>
      <c r="CO160" s="27" t="s">
        <v>8</v>
      </c>
      <c r="CQ160" s="27" t="s">
        <v>8</v>
      </c>
      <c r="CR160" s="27" t="s">
        <v>7</v>
      </c>
      <c r="CS160" s="27" t="s">
        <v>8</v>
      </c>
      <c r="CT160" s="27" t="s">
        <v>7</v>
      </c>
      <c r="CU160" s="27" t="s">
        <v>8</v>
      </c>
      <c r="CV160" s="27" t="s">
        <v>7</v>
      </c>
    </row>
    <row r="161" spans="1:112" x14ac:dyDescent="0.25">
      <c r="A161" s="30">
        <v>47.201372444612005</v>
      </c>
      <c r="E161" t="s">
        <v>8</v>
      </c>
      <c r="F161" s="27" t="s">
        <v>7</v>
      </c>
      <c r="G161" s="27" t="s">
        <v>8</v>
      </c>
      <c r="H161" s="27" t="s">
        <v>7</v>
      </c>
      <c r="I161" s="27" t="s">
        <v>8</v>
      </c>
      <c r="L161" s="27" t="s">
        <v>7</v>
      </c>
      <c r="AO161" s="27" t="s">
        <v>8</v>
      </c>
      <c r="AQ161" s="27" t="s">
        <v>8</v>
      </c>
      <c r="AR161" s="27" t="s">
        <v>7</v>
      </c>
      <c r="AS161" s="27" t="s">
        <v>8</v>
      </c>
      <c r="AT161" s="27" t="s">
        <v>7</v>
      </c>
      <c r="AW161" s="27" t="s">
        <v>8</v>
      </c>
      <c r="BA161" s="27" t="s">
        <v>8</v>
      </c>
      <c r="BB161" s="27" t="s">
        <v>7</v>
      </c>
      <c r="BC161" s="27" t="s">
        <v>8</v>
      </c>
      <c r="BP161" s="27" t="s">
        <v>7</v>
      </c>
      <c r="BQ161" s="27" t="s">
        <v>8</v>
      </c>
      <c r="BR161" s="27" t="s">
        <v>7</v>
      </c>
      <c r="BS161" s="27" t="s">
        <v>8</v>
      </c>
      <c r="BT161" s="27" t="s">
        <v>7</v>
      </c>
      <c r="BU161" s="27" t="s">
        <v>8</v>
      </c>
      <c r="BV161" s="27" t="s">
        <v>7</v>
      </c>
      <c r="BX161" s="27" t="s">
        <v>7</v>
      </c>
      <c r="BY161" s="27" t="s">
        <v>8</v>
      </c>
      <c r="BZ161" s="27" t="s">
        <v>7</v>
      </c>
      <c r="CM161" s="27" t="s">
        <v>8</v>
      </c>
      <c r="CN161" s="27" t="s">
        <v>7</v>
      </c>
      <c r="CO161" s="27" t="s">
        <v>8</v>
      </c>
      <c r="CP161" s="27" t="s">
        <v>7</v>
      </c>
      <c r="CQ161" s="27" t="s">
        <v>8</v>
      </c>
      <c r="CR161" s="27" t="s">
        <v>7</v>
      </c>
      <c r="CS161" s="27" t="s">
        <v>8</v>
      </c>
      <c r="CT161" s="27" t="s">
        <v>7</v>
      </c>
      <c r="CU161" s="27" t="s">
        <v>8</v>
      </c>
      <c r="CV161" s="27" t="s">
        <v>7</v>
      </c>
      <c r="CW161" s="27" t="s">
        <v>8</v>
      </c>
      <c r="CY161" s="27" t="s">
        <v>8</v>
      </c>
    </row>
    <row r="162" spans="1:112" x14ac:dyDescent="0.25">
      <c r="A162" s="30">
        <v>44.95368804248762</v>
      </c>
      <c r="E162" t="s">
        <v>8</v>
      </c>
      <c r="F162" s="27" t="s">
        <v>7</v>
      </c>
      <c r="G162" s="27" t="s">
        <v>8</v>
      </c>
      <c r="H162" s="27" t="s">
        <v>7</v>
      </c>
      <c r="I162" s="27" t="s">
        <v>8</v>
      </c>
      <c r="L162" s="27" t="s">
        <v>7</v>
      </c>
      <c r="U162" s="27" t="s">
        <v>8</v>
      </c>
      <c r="AO162" s="27" t="s">
        <v>8</v>
      </c>
      <c r="AP162" s="27" t="s">
        <v>7</v>
      </c>
      <c r="AQ162" s="27" t="s">
        <v>8</v>
      </c>
      <c r="AR162" s="27" t="s">
        <v>7</v>
      </c>
      <c r="AS162" s="27" t="s">
        <v>8</v>
      </c>
      <c r="AT162" s="27" t="s">
        <v>7</v>
      </c>
      <c r="AW162" s="27" t="s">
        <v>8</v>
      </c>
      <c r="AX162" s="27" t="s">
        <v>7</v>
      </c>
      <c r="AY162" s="27" t="s">
        <v>8</v>
      </c>
      <c r="BA162" s="27" t="s">
        <v>8</v>
      </c>
      <c r="BB162" s="27" t="s">
        <v>7</v>
      </c>
      <c r="BC162" s="27" t="s">
        <v>8</v>
      </c>
      <c r="BP162" s="27" t="s">
        <v>7</v>
      </c>
      <c r="BQ162" s="27" t="s">
        <v>8</v>
      </c>
      <c r="BR162" s="27" t="s">
        <v>7</v>
      </c>
      <c r="BS162" s="27" t="s">
        <v>8</v>
      </c>
      <c r="BT162" s="27" t="s">
        <v>7</v>
      </c>
      <c r="BU162" s="27" t="s">
        <v>8</v>
      </c>
      <c r="BX162" s="27" t="s">
        <v>7</v>
      </c>
      <c r="BY162" s="27" t="s">
        <v>8</v>
      </c>
      <c r="BZ162" s="27" t="s">
        <v>7</v>
      </c>
      <c r="CM162" s="27" t="s">
        <v>8</v>
      </c>
      <c r="CN162" s="27" t="s">
        <v>7</v>
      </c>
      <c r="CO162" s="27" t="s">
        <v>8</v>
      </c>
      <c r="CP162" s="27" t="s">
        <v>7</v>
      </c>
      <c r="CQ162" s="27" t="s">
        <v>8</v>
      </c>
      <c r="CR162" s="27" t="s">
        <v>7</v>
      </c>
      <c r="CS162" s="27" t="s">
        <v>8</v>
      </c>
      <c r="CT162" s="27" t="s">
        <v>7</v>
      </c>
      <c r="CU162" s="27" t="s">
        <v>8</v>
      </c>
      <c r="CV162" s="27" t="s">
        <v>7</v>
      </c>
      <c r="CW162" s="27" t="s">
        <v>8</v>
      </c>
      <c r="CX162" s="27" t="s">
        <v>7</v>
      </c>
      <c r="CY162" s="27" t="s">
        <v>8</v>
      </c>
      <c r="CZ162" s="27" t="s">
        <v>7</v>
      </c>
      <c r="DA162" s="27" t="s">
        <v>8</v>
      </c>
    </row>
    <row r="163" spans="1:112" x14ac:dyDescent="0.25">
      <c r="A163" s="30">
        <v>42.81303623094059</v>
      </c>
      <c r="E163" t="s">
        <v>8</v>
      </c>
      <c r="F163" s="27" t="s">
        <v>7</v>
      </c>
      <c r="H163" s="27" t="s">
        <v>7</v>
      </c>
      <c r="I163" s="27" t="s">
        <v>8</v>
      </c>
      <c r="L163" s="27" t="s">
        <v>7</v>
      </c>
      <c r="M163" s="27" t="s">
        <v>8</v>
      </c>
      <c r="U163" s="27" t="s">
        <v>8</v>
      </c>
      <c r="V163" s="27" t="s">
        <v>7</v>
      </c>
      <c r="AO163" s="27" t="s">
        <v>8</v>
      </c>
      <c r="AP163" s="27" t="s">
        <v>7</v>
      </c>
      <c r="AQ163" s="27" t="s">
        <v>8</v>
      </c>
      <c r="AR163" s="27" t="s">
        <v>7</v>
      </c>
      <c r="AS163" s="27" t="s">
        <v>8</v>
      </c>
      <c r="AT163" s="27" t="s">
        <v>7</v>
      </c>
      <c r="AW163" s="27" t="s">
        <v>8</v>
      </c>
      <c r="AX163" s="27" t="s">
        <v>7</v>
      </c>
      <c r="AY163" s="27" t="s">
        <v>8</v>
      </c>
      <c r="AZ163" s="27" t="s">
        <v>7</v>
      </c>
      <c r="BA163" s="27" t="s">
        <v>8</v>
      </c>
      <c r="BB163" s="27" t="s">
        <v>7</v>
      </c>
      <c r="BC163" s="27" t="s">
        <v>8</v>
      </c>
      <c r="BP163" s="27" t="s">
        <v>7</v>
      </c>
      <c r="BQ163" s="27" t="s">
        <v>8</v>
      </c>
      <c r="BR163" s="27" t="s">
        <v>7</v>
      </c>
      <c r="BS163" s="27" t="s">
        <v>8</v>
      </c>
      <c r="BT163" s="27" t="s">
        <v>7</v>
      </c>
      <c r="BU163" s="27" t="s">
        <v>8</v>
      </c>
      <c r="BX163" s="27" t="s">
        <v>7</v>
      </c>
      <c r="BY163" s="27" t="s">
        <v>8</v>
      </c>
      <c r="BZ163" s="27" t="s">
        <v>7</v>
      </c>
      <c r="CA163" s="27" t="s">
        <v>8</v>
      </c>
      <c r="CE163" s="27" t="s">
        <v>8</v>
      </c>
      <c r="CM163" s="27" t="s">
        <v>8</v>
      </c>
      <c r="CN163" s="27" t="s">
        <v>7</v>
      </c>
      <c r="CO163" s="27" t="s">
        <v>8</v>
      </c>
      <c r="CP163" s="27" t="s">
        <v>7</v>
      </c>
      <c r="CQ163" s="27" t="s">
        <v>8</v>
      </c>
      <c r="CR163" s="27" t="s">
        <v>7</v>
      </c>
      <c r="CT163" s="27" t="s">
        <v>7</v>
      </c>
      <c r="CU163" s="27" t="s">
        <v>8</v>
      </c>
      <c r="CV163" s="27" t="s">
        <v>7</v>
      </c>
      <c r="CW163" s="27" t="s">
        <v>8</v>
      </c>
      <c r="CX163" s="27" t="s">
        <v>7</v>
      </c>
      <c r="CY163" s="27" t="s">
        <v>8</v>
      </c>
      <c r="CZ163" s="27" t="s">
        <v>7</v>
      </c>
      <c r="DA163" s="27" t="s">
        <v>8</v>
      </c>
      <c r="DB163" s="27" t="s">
        <v>7</v>
      </c>
    </row>
    <row r="164" spans="1:112" x14ac:dyDescent="0.25">
      <c r="A164" s="30">
        <v>40.774320219943419</v>
      </c>
      <c r="E164" t="s">
        <v>8</v>
      </c>
      <c r="H164" s="27" t="s">
        <v>7</v>
      </c>
      <c r="I164" s="27" t="s">
        <v>8</v>
      </c>
      <c r="L164" s="27" t="s">
        <v>7</v>
      </c>
      <c r="M164" s="27" t="s">
        <v>8</v>
      </c>
      <c r="N164" s="27" t="s">
        <v>7</v>
      </c>
      <c r="U164" s="27" t="s">
        <v>8</v>
      </c>
      <c r="V164" s="27" t="s">
        <v>7</v>
      </c>
      <c r="Y164" s="27" t="s">
        <v>8</v>
      </c>
      <c r="AO164" s="27" t="s">
        <v>8</v>
      </c>
      <c r="AP164" s="27" t="s">
        <v>7</v>
      </c>
      <c r="AR164" s="27" t="s">
        <v>7</v>
      </c>
      <c r="AS164" s="27" t="s">
        <v>8</v>
      </c>
      <c r="AT164" s="27" t="s">
        <v>7</v>
      </c>
      <c r="AU164" s="27" t="s">
        <v>8</v>
      </c>
      <c r="AW164" s="27" t="s">
        <v>8</v>
      </c>
      <c r="AX164" s="27" t="s">
        <v>7</v>
      </c>
      <c r="AY164" s="27" t="s">
        <v>8</v>
      </c>
      <c r="AZ164" s="27" t="s">
        <v>7</v>
      </c>
      <c r="BA164" s="27" t="s">
        <v>8</v>
      </c>
      <c r="BB164" s="27" t="s">
        <v>7</v>
      </c>
      <c r="BC164" s="27" t="s">
        <v>8</v>
      </c>
      <c r="BP164" s="27" t="s">
        <v>7</v>
      </c>
      <c r="BQ164" s="27" t="s">
        <v>8</v>
      </c>
      <c r="BR164" s="27" t="s">
        <v>7</v>
      </c>
      <c r="BS164" s="27" t="s">
        <v>8</v>
      </c>
      <c r="BT164" s="27" t="s">
        <v>7</v>
      </c>
      <c r="BX164" s="27" t="s">
        <v>7</v>
      </c>
      <c r="BZ164" s="27" t="s">
        <v>7</v>
      </c>
      <c r="CA164" s="27" t="s">
        <v>8</v>
      </c>
      <c r="CB164" s="27" t="s">
        <v>7</v>
      </c>
      <c r="CE164" s="27" t="s">
        <v>8</v>
      </c>
      <c r="CF164" s="27" t="s">
        <v>7</v>
      </c>
      <c r="CM164" s="27" t="s">
        <v>8</v>
      </c>
      <c r="CN164" s="27" t="s">
        <v>7</v>
      </c>
      <c r="CO164" s="27" t="s">
        <v>8</v>
      </c>
      <c r="CP164" s="27" t="s">
        <v>7</v>
      </c>
      <c r="CQ164" s="27" t="s">
        <v>8</v>
      </c>
      <c r="CT164" s="27" t="s">
        <v>7</v>
      </c>
      <c r="CU164" s="27" t="s">
        <v>8</v>
      </c>
      <c r="CV164" s="27" t="s">
        <v>7</v>
      </c>
      <c r="CW164" s="27" t="s">
        <v>8</v>
      </c>
      <c r="CX164" s="27" t="s">
        <v>7</v>
      </c>
      <c r="CZ164" s="27" t="s">
        <v>7</v>
      </c>
      <c r="DA164" s="27" t="s">
        <v>8</v>
      </c>
      <c r="DB164" s="27" t="s">
        <v>7</v>
      </c>
    </row>
    <row r="165" spans="1:112" x14ac:dyDescent="0.25">
      <c r="A165" s="30">
        <v>38.832685923755633</v>
      </c>
      <c r="E165" t="s">
        <v>8</v>
      </c>
      <c r="H165" s="27" t="s">
        <v>7</v>
      </c>
      <c r="L165" s="27" t="s">
        <v>7</v>
      </c>
      <c r="M165" s="27" t="s">
        <v>8</v>
      </c>
      <c r="N165" s="27" t="s">
        <v>7</v>
      </c>
      <c r="O165" s="27" t="s">
        <v>8</v>
      </c>
      <c r="U165" s="27" t="s">
        <v>8</v>
      </c>
      <c r="V165" s="27" t="s">
        <v>7</v>
      </c>
      <c r="W165" s="27" t="s">
        <v>8</v>
      </c>
      <c r="Y165" s="27" t="s">
        <v>8</v>
      </c>
      <c r="Z165" s="27" t="s">
        <v>7</v>
      </c>
      <c r="AO165" s="27" t="s">
        <v>8</v>
      </c>
      <c r="AR165" s="27" t="s">
        <v>7</v>
      </c>
      <c r="AS165" s="27" t="s">
        <v>8</v>
      </c>
      <c r="AT165" s="27" t="s">
        <v>7</v>
      </c>
      <c r="AU165" s="27" t="s">
        <v>8</v>
      </c>
      <c r="AV165" s="27" t="s">
        <v>7</v>
      </c>
      <c r="AW165" s="27" t="s">
        <v>8</v>
      </c>
      <c r="AX165" s="27" t="s">
        <v>7</v>
      </c>
      <c r="AY165" s="27" t="s">
        <v>8</v>
      </c>
      <c r="AZ165" s="27" t="s">
        <v>7</v>
      </c>
      <c r="BB165" s="27" t="s">
        <v>7</v>
      </c>
      <c r="BP165" s="27" t="s">
        <v>7</v>
      </c>
      <c r="BQ165" s="27" t="s">
        <v>8</v>
      </c>
      <c r="BR165" s="27" t="s">
        <v>7</v>
      </c>
      <c r="BS165" s="27" t="s">
        <v>8</v>
      </c>
      <c r="BZ165" s="27" t="s">
        <v>7</v>
      </c>
      <c r="CA165" s="27" t="s">
        <v>8</v>
      </c>
      <c r="CB165" s="27" t="s">
        <v>7</v>
      </c>
      <c r="CE165" s="27" t="s">
        <v>8</v>
      </c>
      <c r="CF165" s="27" t="s">
        <v>7</v>
      </c>
      <c r="CK165" s="27" t="s">
        <v>8</v>
      </c>
      <c r="CM165" s="27" t="s">
        <v>8</v>
      </c>
      <c r="CN165" s="27" t="s">
        <v>7</v>
      </c>
      <c r="CP165" s="27" t="s">
        <v>7</v>
      </c>
      <c r="CT165" s="27" t="s">
        <v>7</v>
      </c>
      <c r="CU165" s="27" t="s">
        <v>8</v>
      </c>
      <c r="CV165" s="27" t="s">
        <v>7</v>
      </c>
      <c r="CZ165" s="27" t="s">
        <v>7</v>
      </c>
      <c r="DB165" s="27" t="s">
        <v>7</v>
      </c>
      <c r="DC165" s="27" t="s">
        <v>8</v>
      </c>
    </row>
    <row r="166" spans="1:112" x14ac:dyDescent="0.25">
      <c r="A166" s="30">
        <v>36.983510403576794</v>
      </c>
      <c r="E166" t="s">
        <v>8</v>
      </c>
      <c r="L166" s="27" t="s">
        <v>7</v>
      </c>
      <c r="N166" s="27" t="s">
        <v>7</v>
      </c>
      <c r="O166" s="27" t="s">
        <v>8</v>
      </c>
      <c r="P166" s="27" t="s">
        <v>7</v>
      </c>
      <c r="U166" s="27" t="s">
        <v>8</v>
      </c>
      <c r="V166" s="27" t="s">
        <v>7</v>
      </c>
      <c r="W166" s="27" t="s">
        <v>8</v>
      </c>
      <c r="X166" s="27" t="s">
        <v>7</v>
      </c>
      <c r="Y166" s="27" t="s">
        <v>8</v>
      </c>
      <c r="Z166" s="27" t="s">
        <v>7</v>
      </c>
      <c r="AI166" s="27" t="s">
        <v>8</v>
      </c>
      <c r="AM166" s="27" t="s">
        <v>8</v>
      </c>
      <c r="AO166" s="27" t="s">
        <v>8</v>
      </c>
      <c r="AR166" s="27" t="s">
        <v>7</v>
      </c>
      <c r="AT166" s="27" t="s">
        <v>7</v>
      </c>
      <c r="AU166" s="27" t="s">
        <v>8</v>
      </c>
      <c r="AV166" s="27" t="s">
        <v>7</v>
      </c>
      <c r="AW166" s="27" t="s">
        <v>8</v>
      </c>
      <c r="AX166" s="27" t="s">
        <v>7</v>
      </c>
      <c r="BP166" s="27" t="s">
        <v>7</v>
      </c>
      <c r="BR166" s="27" t="s">
        <v>7</v>
      </c>
      <c r="BS166" s="27" t="s">
        <v>8</v>
      </c>
      <c r="BZ166" s="27" t="s">
        <v>7</v>
      </c>
      <c r="CB166" s="27" t="s">
        <v>7</v>
      </c>
      <c r="CE166" s="27" t="s">
        <v>8</v>
      </c>
      <c r="CF166" s="27" t="s">
        <v>7</v>
      </c>
      <c r="CK166" s="27" t="s">
        <v>8</v>
      </c>
      <c r="CL166" s="27" t="s">
        <v>7</v>
      </c>
      <c r="CM166" s="27" t="s">
        <v>8</v>
      </c>
      <c r="CT166" s="27" t="s">
        <v>7</v>
      </c>
      <c r="DB166" s="27" t="s">
        <v>7</v>
      </c>
      <c r="DC166" s="27" t="s">
        <v>8</v>
      </c>
      <c r="DD166" s="27" t="s">
        <v>7</v>
      </c>
      <c r="DE166" s="27" t="s">
        <v>8</v>
      </c>
    </row>
    <row r="167" spans="1:112" x14ac:dyDescent="0.25">
      <c r="A167" s="30">
        <v>35.222390860549325</v>
      </c>
      <c r="E167" t="s">
        <v>8</v>
      </c>
      <c r="N167" s="27" t="s">
        <v>7</v>
      </c>
      <c r="O167" s="27" t="s">
        <v>8</v>
      </c>
      <c r="P167" s="27" t="s">
        <v>7</v>
      </c>
      <c r="Q167" s="27" t="s">
        <v>8</v>
      </c>
      <c r="U167" s="27" t="s">
        <v>8</v>
      </c>
      <c r="V167" s="27" t="s">
        <v>7</v>
      </c>
      <c r="W167" s="27" t="s">
        <v>8</v>
      </c>
      <c r="X167" s="27" t="s">
        <v>7</v>
      </c>
      <c r="Y167" s="27" t="s">
        <v>8</v>
      </c>
      <c r="Z167" s="27" t="s">
        <v>7</v>
      </c>
      <c r="AI167" s="27" t="s">
        <v>8</v>
      </c>
      <c r="AJ167" s="27" t="s">
        <v>7</v>
      </c>
      <c r="AM167" s="27" t="s">
        <v>8</v>
      </c>
      <c r="AN167" s="27" t="s">
        <v>7</v>
      </c>
      <c r="AO167" s="27" t="s">
        <v>8</v>
      </c>
      <c r="AT167" s="27" t="s">
        <v>7</v>
      </c>
      <c r="AU167" s="27" t="s">
        <v>8</v>
      </c>
      <c r="AV167" s="27" t="s">
        <v>7</v>
      </c>
      <c r="AW167" s="27" t="s">
        <v>8</v>
      </c>
      <c r="BR167" s="27" t="s">
        <v>7</v>
      </c>
      <c r="BS167" s="27" t="s">
        <v>8</v>
      </c>
      <c r="CB167" s="27" t="s">
        <v>7</v>
      </c>
      <c r="CE167" s="27" t="s">
        <v>8</v>
      </c>
      <c r="CF167" s="27" t="s">
        <v>7</v>
      </c>
      <c r="CG167" s="27" t="s">
        <v>8</v>
      </c>
      <c r="CK167" s="27" t="s">
        <v>8</v>
      </c>
      <c r="CL167" s="27" t="s">
        <v>7</v>
      </c>
      <c r="CM167" s="27" t="s">
        <v>8</v>
      </c>
      <c r="DB167" s="27" t="s">
        <v>7</v>
      </c>
      <c r="DC167" s="27" t="s">
        <v>8</v>
      </c>
      <c r="DD167" s="27" t="s">
        <v>7</v>
      </c>
      <c r="DE167" s="27" t="s">
        <v>8</v>
      </c>
      <c r="DF167" s="27" t="s">
        <v>7</v>
      </c>
    </row>
    <row r="168" spans="1:112" x14ac:dyDescent="0.25">
      <c r="A168" s="30">
        <v>33.545134152904119</v>
      </c>
      <c r="E168" t="s">
        <v>8</v>
      </c>
      <c r="N168" s="27" t="s">
        <v>7</v>
      </c>
      <c r="O168" s="27" t="s">
        <v>8</v>
      </c>
      <c r="P168" s="27" t="s">
        <v>7</v>
      </c>
      <c r="Q168" s="27" t="s">
        <v>8</v>
      </c>
      <c r="R168" s="27" t="s">
        <v>7</v>
      </c>
      <c r="U168" s="27" t="s">
        <v>8</v>
      </c>
      <c r="V168" s="27" t="s">
        <v>7</v>
      </c>
      <c r="W168" s="27" t="s">
        <v>8</v>
      </c>
      <c r="X168" s="27" t="s">
        <v>7</v>
      </c>
      <c r="Y168" s="27" t="s">
        <v>8</v>
      </c>
      <c r="Z168" s="27" t="s">
        <v>7</v>
      </c>
      <c r="AA168" s="27" t="s">
        <v>8</v>
      </c>
      <c r="AC168" s="27" t="s">
        <v>8</v>
      </c>
      <c r="AI168" s="27" t="s">
        <v>8</v>
      </c>
      <c r="AJ168" s="27" t="s">
        <v>7</v>
      </c>
      <c r="AM168" s="27" t="s">
        <v>8</v>
      </c>
      <c r="AN168" s="27" t="s">
        <v>7</v>
      </c>
      <c r="AO168" s="27" t="s">
        <v>8</v>
      </c>
      <c r="AT168" s="27" t="s">
        <v>7</v>
      </c>
      <c r="AU168" s="27" t="s">
        <v>8</v>
      </c>
      <c r="AV168" s="27" t="s">
        <v>7</v>
      </c>
      <c r="BR168" s="27" t="s">
        <v>7</v>
      </c>
      <c r="BS168" s="27" t="s">
        <v>8</v>
      </c>
      <c r="CB168" s="27" t="s">
        <v>7</v>
      </c>
      <c r="CE168" s="27" t="s">
        <v>8</v>
      </c>
      <c r="CF168" s="27" t="s">
        <v>7</v>
      </c>
      <c r="CG168" s="27" t="s">
        <v>8</v>
      </c>
      <c r="CH168" s="27" t="s">
        <v>7</v>
      </c>
      <c r="CI168" s="27" t="s">
        <v>8</v>
      </c>
      <c r="CK168" s="27" t="s">
        <v>8</v>
      </c>
      <c r="CL168" s="27" t="s">
        <v>7</v>
      </c>
      <c r="DB168" s="27" t="s">
        <v>7</v>
      </c>
      <c r="DD168" s="27" t="s">
        <v>7</v>
      </c>
      <c r="DE168" s="27" t="s">
        <v>8</v>
      </c>
      <c r="DF168" s="27" t="s">
        <v>7</v>
      </c>
    </row>
    <row r="169" spans="1:112" x14ac:dyDescent="0.25">
      <c r="A169" s="30">
        <v>31.947746812289637</v>
      </c>
      <c r="E169" t="s">
        <v>8</v>
      </c>
      <c r="N169" s="27" t="s">
        <v>7</v>
      </c>
      <c r="O169" s="27" t="s">
        <v>8</v>
      </c>
      <c r="P169" s="27" t="s">
        <v>7</v>
      </c>
      <c r="Q169" s="27" t="s">
        <v>8</v>
      </c>
      <c r="R169" s="27" t="s">
        <v>7</v>
      </c>
      <c r="U169" s="27" t="s">
        <v>8</v>
      </c>
      <c r="V169" s="27" t="s">
        <v>7</v>
      </c>
      <c r="W169" s="27" t="s">
        <v>8</v>
      </c>
      <c r="X169" s="27" t="s">
        <v>7</v>
      </c>
      <c r="Y169" s="27" t="s">
        <v>8</v>
      </c>
      <c r="Z169" s="27" t="s">
        <v>7</v>
      </c>
      <c r="AA169" s="27" t="s">
        <v>8</v>
      </c>
      <c r="AB169" s="27" t="s">
        <v>7</v>
      </c>
      <c r="AC169" s="27" t="s">
        <v>8</v>
      </c>
      <c r="AD169" s="27" t="s">
        <v>7</v>
      </c>
      <c r="AI169" s="27" t="s">
        <v>8</v>
      </c>
      <c r="AJ169" s="27" t="s">
        <v>7</v>
      </c>
      <c r="AM169" s="27" t="s">
        <v>8</v>
      </c>
      <c r="AN169" s="27" t="s">
        <v>7</v>
      </c>
      <c r="AT169" s="27" t="s">
        <v>7</v>
      </c>
      <c r="BR169" s="27" t="s">
        <v>7</v>
      </c>
      <c r="BS169" s="27" t="s">
        <v>8</v>
      </c>
      <c r="CB169" s="27" t="s">
        <v>7</v>
      </c>
      <c r="CE169" s="27" t="s">
        <v>8</v>
      </c>
      <c r="CF169" s="27" t="s">
        <v>7</v>
      </c>
      <c r="CG169" s="27" t="s">
        <v>8</v>
      </c>
      <c r="CH169" s="27" t="s">
        <v>7</v>
      </c>
      <c r="CI169" s="27" t="s">
        <v>8</v>
      </c>
      <c r="CJ169" s="27" t="s">
        <v>7</v>
      </c>
      <c r="CK169" s="27" t="s">
        <v>8</v>
      </c>
      <c r="DD169" s="27" t="s">
        <v>7</v>
      </c>
      <c r="DE169" s="27" t="s">
        <v>8</v>
      </c>
      <c r="DF169" s="27" t="s">
        <v>7</v>
      </c>
    </row>
    <row r="170" spans="1:112" x14ac:dyDescent="0.25">
      <c r="A170" s="30">
        <v>30.426425535513939</v>
      </c>
      <c r="E170" t="s">
        <v>8</v>
      </c>
      <c r="N170" s="27" t="s">
        <v>7</v>
      </c>
      <c r="O170" s="27" t="s">
        <v>8</v>
      </c>
      <c r="P170" s="27" t="s">
        <v>7</v>
      </c>
      <c r="Q170" s="27" t="s">
        <v>8</v>
      </c>
      <c r="R170" s="27" t="s">
        <v>7</v>
      </c>
      <c r="U170" s="27" t="s">
        <v>8</v>
      </c>
      <c r="V170" s="27" t="s">
        <v>7</v>
      </c>
      <c r="W170" s="27" t="s">
        <v>8</v>
      </c>
      <c r="X170" s="27" t="s">
        <v>7</v>
      </c>
      <c r="Y170" s="27" t="s">
        <v>8</v>
      </c>
      <c r="Z170" s="27" t="s">
        <v>7</v>
      </c>
      <c r="AA170" s="27" t="s">
        <v>8</v>
      </c>
      <c r="AB170" s="27" t="s">
        <v>7</v>
      </c>
      <c r="AC170" s="27" t="s">
        <v>8</v>
      </c>
      <c r="AD170" s="27" t="s">
        <v>7</v>
      </c>
      <c r="AE170" s="27" t="s">
        <v>8</v>
      </c>
      <c r="AG170" s="27" t="s">
        <v>8</v>
      </c>
      <c r="AI170" s="27" t="s">
        <v>8</v>
      </c>
      <c r="AJ170" s="27" t="s">
        <v>7</v>
      </c>
      <c r="AK170" s="27" t="s">
        <v>8</v>
      </c>
      <c r="AM170" s="27" t="s">
        <v>8</v>
      </c>
      <c r="BR170" s="27" t="s">
        <v>7</v>
      </c>
      <c r="BS170" s="27" t="s">
        <v>8</v>
      </c>
      <c r="CB170" s="27" t="s">
        <v>7</v>
      </c>
      <c r="CC170" s="27" t="s">
        <v>8</v>
      </c>
      <c r="CE170" s="27" t="s">
        <v>8</v>
      </c>
      <c r="CF170" s="27" t="s">
        <v>7</v>
      </c>
      <c r="CH170" s="27" t="s">
        <v>7</v>
      </c>
      <c r="CI170" s="27" t="s">
        <v>8</v>
      </c>
      <c r="CJ170" s="27" t="s">
        <v>7</v>
      </c>
      <c r="CK170" s="27" t="s">
        <v>8</v>
      </c>
      <c r="DD170" s="27" t="s">
        <v>7</v>
      </c>
      <c r="DF170" s="27" t="s">
        <v>7</v>
      </c>
    </row>
    <row r="171" spans="1:112" x14ac:dyDescent="0.25">
      <c r="A171" s="30">
        <v>28.977548129060892</v>
      </c>
      <c r="E171" t="s">
        <v>8</v>
      </c>
      <c r="N171" s="27" t="s">
        <v>7</v>
      </c>
      <c r="P171" s="27" t="s">
        <v>7</v>
      </c>
      <c r="Q171" s="27" t="s">
        <v>8</v>
      </c>
      <c r="R171" s="27" t="s">
        <v>7</v>
      </c>
      <c r="U171" s="27" t="s">
        <v>8</v>
      </c>
      <c r="V171" s="27" t="s">
        <v>7</v>
      </c>
      <c r="W171" s="27" t="s">
        <v>8</v>
      </c>
      <c r="X171" s="27" t="s">
        <v>7</v>
      </c>
      <c r="Y171" s="27" t="s">
        <v>8</v>
      </c>
      <c r="Z171" s="27" t="s">
        <v>7</v>
      </c>
      <c r="AB171" s="27" t="s">
        <v>7</v>
      </c>
      <c r="AC171" s="27" t="s">
        <v>8</v>
      </c>
      <c r="AD171" s="27" t="s">
        <v>7</v>
      </c>
      <c r="AE171" s="27" t="s">
        <v>8</v>
      </c>
      <c r="AF171" s="27" t="s">
        <v>7</v>
      </c>
      <c r="AG171" s="27" t="s">
        <v>8</v>
      </c>
      <c r="AH171" s="27" t="s">
        <v>7</v>
      </c>
      <c r="AI171" s="27" t="s">
        <v>8</v>
      </c>
      <c r="AJ171" s="27" t="s">
        <v>7</v>
      </c>
      <c r="AK171" s="27" t="s">
        <v>8</v>
      </c>
      <c r="AL171" s="27" t="s">
        <v>7</v>
      </c>
      <c r="AM171" s="27" t="s">
        <v>8</v>
      </c>
      <c r="BR171" s="27" t="s">
        <v>7</v>
      </c>
      <c r="CB171" s="27" t="s">
        <v>7</v>
      </c>
      <c r="CC171" s="27" t="s">
        <v>8</v>
      </c>
      <c r="CD171" s="27" t="s">
        <v>7</v>
      </c>
      <c r="CE171" s="27" t="s">
        <v>8</v>
      </c>
      <c r="CH171" s="27" t="s">
        <v>7</v>
      </c>
      <c r="CJ171" s="18" t="s">
        <v>7</v>
      </c>
      <c r="CK171" s="27" t="s">
        <v>8</v>
      </c>
      <c r="DF171" s="27" t="s">
        <v>7</v>
      </c>
    </row>
    <row r="172" spans="1:112" x14ac:dyDescent="0.25">
      <c r="A172" s="30">
        <v>27.597664884819896</v>
      </c>
      <c r="E172" t="s">
        <v>8</v>
      </c>
      <c r="P172" s="27" t="s">
        <v>7</v>
      </c>
      <c r="R172" s="27" t="s">
        <v>7</v>
      </c>
      <c r="S172" s="27" t="s">
        <v>8</v>
      </c>
      <c r="U172" s="27" t="s">
        <v>8</v>
      </c>
      <c r="V172" s="27" t="s">
        <v>7</v>
      </c>
      <c r="W172" s="27" t="s">
        <v>8</v>
      </c>
      <c r="X172" s="27" t="s">
        <v>7</v>
      </c>
      <c r="Y172" s="27" t="s">
        <v>8</v>
      </c>
      <c r="AB172" s="27" t="s">
        <v>7</v>
      </c>
      <c r="AC172" s="27" t="s">
        <v>8</v>
      </c>
      <c r="AD172" s="27" t="s">
        <v>7</v>
      </c>
      <c r="AE172" s="27" t="s">
        <v>8</v>
      </c>
      <c r="AF172" s="27" t="s">
        <v>7</v>
      </c>
      <c r="AG172" s="27" t="s">
        <v>8</v>
      </c>
      <c r="AH172" s="27" t="s">
        <v>7</v>
      </c>
      <c r="AI172" s="27" t="s">
        <v>8</v>
      </c>
      <c r="AJ172" s="27" t="s">
        <v>7</v>
      </c>
      <c r="AK172" s="27" t="s">
        <v>8</v>
      </c>
      <c r="AL172" s="27" t="s">
        <v>7</v>
      </c>
      <c r="AM172" s="27" t="s">
        <v>8</v>
      </c>
      <c r="CB172" s="27" t="s">
        <v>7</v>
      </c>
      <c r="CC172" s="27" t="s">
        <v>8</v>
      </c>
      <c r="CD172" s="27" t="s">
        <v>7</v>
      </c>
      <c r="CE172" s="27" t="s">
        <v>8</v>
      </c>
      <c r="CJ172" s="27" t="s">
        <v>7</v>
      </c>
      <c r="DF172" s="27" t="s">
        <v>7</v>
      </c>
    </row>
    <row r="173" spans="1:112" x14ac:dyDescent="0.25">
      <c r="A173" s="30">
        <v>26.283490366495137</v>
      </c>
      <c r="E173" t="s">
        <v>8</v>
      </c>
      <c r="R173" s="27" t="s">
        <v>7</v>
      </c>
      <c r="S173" s="27" t="s">
        <v>8</v>
      </c>
      <c r="T173" s="27" t="s">
        <v>7</v>
      </c>
      <c r="U173" s="27" t="s">
        <v>8</v>
      </c>
      <c r="V173" s="27" t="s">
        <v>7</v>
      </c>
      <c r="X173" s="27" t="s">
        <v>7</v>
      </c>
      <c r="AB173" s="27" t="s">
        <v>7</v>
      </c>
      <c r="AD173" s="27" t="s">
        <v>7</v>
      </c>
      <c r="AE173" s="27" t="s">
        <v>8</v>
      </c>
      <c r="AF173" s="27" t="s">
        <v>7</v>
      </c>
      <c r="AH173" s="27" t="s">
        <v>7</v>
      </c>
      <c r="AI173" s="27" t="s">
        <v>8</v>
      </c>
      <c r="AJ173" s="27" t="s">
        <v>7</v>
      </c>
      <c r="AL173" s="27" t="s">
        <v>7</v>
      </c>
      <c r="AM173" s="27" t="s">
        <v>8</v>
      </c>
      <c r="CB173" s="27" t="s">
        <v>7</v>
      </c>
      <c r="CC173" s="27" t="s">
        <v>8</v>
      </c>
      <c r="CD173" s="27" t="s">
        <v>7</v>
      </c>
      <c r="DF173" s="27" t="s">
        <v>7</v>
      </c>
    </row>
    <row r="174" spans="1:112" x14ac:dyDescent="0.25">
      <c r="A174" s="30">
        <v>25.031895587138223</v>
      </c>
      <c r="E174" t="s">
        <v>8</v>
      </c>
      <c r="R174" s="27" t="s">
        <v>7</v>
      </c>
      <c r="S174" s="27" t="s">
        <v>8</v>
      </c>
      <c r="T174" s="27" t="s">
        <v>7</v>
      </c>
      <c r="U174" s="27" t="s">
        <v>8</v>
      </c>
      <c r="AD174" s="27" t="s">
        <v>7</v>
      </c>
      <c r="AE174" s="27" t="s">
        <v>8</v>
      </c>
      <c r="AH174" s="27" t="s">
        <v>7</v>
      </c>
      <c r="AL174" s="27" t="s">
        <v>7</v>
      </c>
      <c r="CB174" s="27" t="s">
        <v>7</v>
      </c>
      <c r="CC174" s="27" t="s">
        <v>8</v>
      </c>
      <c r="DF174" s="27" t="s">
        <v>7</v>
      </c>
    </row>
    <row r="175" spans="1:112" x14ac:dyDescent="0.25">
      <c r="A175" s="30">
        <v>23.839900559179259</v>
      </c>
      <c r="E175" t="s">
        <v>8</v>
      </c>
      <c r="R175" s="27" t="s">
        <v>7</v>
      </c>
      <c r="T175" s="27" t="s">
        <v>7</v>
      </c>
      <c r="U175" s="27" t="s">
        <v>8</v>
      </c>
      <c r="AD175" s="27" t="s">
        <v>7</v>
      </c>
      <c r="AE175" s="27" t="s">
        <v>8</v>
      </c>
      <c r="CB175" s="27" t="s">
        <v>7</v>
      </c>
      <c r="DF175" s="27" t="s">
        <v>7</v>
      </c>
      <c r="DG175" s="27" t="s">
        <v>8</v>
      </c>
    </row>
    <row r="176" spans="1:112" x14ac:dyDescent="0.25">
      <c r="A176" s="30">
        <v>22.704667199218342</v>
      </c>
      <c r="E176" t="s">
        <v>8</v>
      </c>
      <c r="T176" s="27" t="s">
        <v>7</v>
      </c>
      <c r="AD176" s="27" t="s">
        <v>7</v>
      </c>
      <c r="AE176" s="27" t="s">
        <v>8</v>
      </c>
      <c r="DF176" s="27" t="s">
        <v>7</v>
      </c>
      <c r="DG176" s="27" t="s">
        <v>8</v>
      </c>
      <c r="DH176" s="27" t="s">
        <v>7</v>
      </c>
    </row>
    <row r="177" spans="1:112" x14ac:dyDescent="0.25">
      <c r="A177" s="30">
        <v>21.623492570684135</v>
      </c>
      <c r="E177" t="s">
        <v>8</v>
      </c>
      <c r="AD177" s="27" t="s">
        <v>7</v>
      </c>
      <c r="DF177" s="27" t="s">
        <v>7</v>
      </c>
      <c r="DG177" s="27" t="s">
        <v>8</v>
      </c>
      <c r="DH177" s="27" t="s">
        <v>7</v>
      </c>
    </row>
    <row r="178" spans="1:112" x14ac:dyDescent="0.25">
      <c r="A178" s="30">
        <v>20.593802448270605</v>
      </c>
      <c r="C178" s="7"/>
      <c r="D178"/>
      <c r="E178" t="s">
        <v>8</v>
      </c>
      <c r="DF178" s="27" t="s">
        <v>7</v>
      </c>
      <c r="DH178" s="27" t="s">
        <v>7</v>
      </c>
    </row>
    <row r="179" spans="1:112" x14ac:dyDescent="0.25">
      <c r="A179" s="30">
        <v>19.613145188829147</v>
      </c>
      <c r="E179" t="s">
        <v>8</v>
      </c>
      <c r="DH179" s="27" t="s">
        <v>7</v>
      </c>
    </row>
    <row r="180" spans="1:112" x14ac:dyDescent="0.25">
      <c r="A180" s="30">
        <v>18.679185894122998</v>
      </c>
      <c r="E180" t="s">
        <v>8</v>
      </c>
    </row>
    <row r="181" spans="1:112" x14ac:dyDescent="0.25">
      <c r="A181" s="30">
        <v>17.78970085154571</v>
      </c>
      <c r="C181"/>
      <c r="D181"/>
      <c r="E181" t="s">
        <v>8</v>
      </c>
    </row>
    <row r="182" spans="1:112" x14ac:dyDescent="0.25">
      <c r="A182" s="30">
        <v>16.942572239567344</v>
      </c>
      <c r="E182" t="s">
        <v>8</v>
      </c>
    </row>
    <row r="183" spans="1:112" x14ac:dyDescent="0.25">
      <c r="A183" s="30">
        <v>16.135783085302233</v>
      </c>
      <c r="E183" t="s">
        <v>8</v>
      </c>
    </row>
    <row r="184" spans="1:112" x14ac:dyDescent="0.25">
      <c r="A184" s="30">
        <v>15.367412462192602</v>
      </c>
      <c r="E184" t="s">
        <v>8</v>
      </c>
    </row>
    <row r="185" spans="1:112" x14ac:dyDescent="0.25">
      <c r="A185" s="30">
        <v>14.635630916373906</v>
      </c>
      <c r="C185"/>
      <c r="E185" t="s">
        <v>8</v>
      </c>
    </row>
    <row r="186" spans="1:112" x14ac:dyDescent="0.25">
      <c r="A186" s="30">
        <v>13.938696110832291</v>
      </c>
      <c r="E186" t="s">
        <v>8</v>
      </c>
    </row>
    <row r="187" spans="1:112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112" x14ac:dyDescent="0.25">
      <c r="A188" s="30">
        <v>12.64280826379346</v>
      </c>
      <c r="E188" t="s">
        <v>8</v>
      </c>
    </row>
    <row r="189" spans="1:112" x14ac:dyDescent="0.25">
      <c r="A189" s="30">
        <v>12.04076977504139</v>
      </c>
      <c r="E189" t="s">
        <v>8</v>
      </c>
    </row>
    <row r="190" spans="1:112" x14ac:dyDescent="0.25">
      <c r="A190" s="30">
        <v>11.467399785753704</v>
      </c>
      <c r="E190" t="s">
        <v>8</v>
      </c>
    </row>
    <row r="191" spans="1:112" x14ac:dyDescent="0.25">
      <c r="A191" s="30">
        <v>10.921333129289241</v>
      </c>
      <c r="E191" t="s">
        <v>8</v>
      </c>
    </row>
    <row r="192" spans="1:112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47" operator="equal">
      <formula>$U$1</formula>
    </cfRule>
    <cfRule type="cellIs" dxfId="67" priority="948" operator="equal">
      <formula>$S$1</formula>
    </cfRule>
  </conditionalFormatting>
  <conditionalFormatting sqref="D136">
    <cfRule type="cellIs" dxfId="66" priority="945" operator="equal">
      <formula>$S$1</formula>
    </cfRule>
    <cfRule type="cellIs" dxfId="65" priority="946" operator="equal">
      <formula>$U$1</formula>
    </cfRule>
  </conditionalFormatting>
  <conditionalFormatting sqref="C162">
    <cfRule type="cellIs" dxfId="64" priority="943" operator="equal">
      <formula>$U$1</formula>
    </cfRule>
    <cfRule type="cellIs" dxfId="63" priority="944" operator="equal">
      <formula>$S$1</formula>
    </cfRule>
  </conditionalFormatting>
  <conditionalFormatting sqref="D162">
    <cfRule type="cellIs" dxfId="62" priority="941" operator="equal">
      <formula>$S$1</formula>
    </cfRule>
    <cfRule type="cellIs" dxfId="61" priority="942" operator="equal">
      <formula>$U$1</formula>
    </cfRule>
  </conditionalFormatting>
  <conditionalFormatting sqref="C187">
    <cfRule type="cellIs" dxfId="60" priority="939" operator="equal">
      <formula>$U$1</formula>
    </cfRule>
    <cfRule type="cellIs" dxfId="59" priority="940" operator="equal">
      <formula>$S$1</formula>
    </cfRule>
  </conditionalFormatting>
  <conditionalFormatting sqref="D187">
    <cfRule type="cellIs" dxfId="58" priority="937" operator="equal">
      <formula>$S$1</formula>
    </cfRule>
    <cfRule type="cellIs" dxfId="57" priority="938" operator="equal">
      <formula>$U$1</formula>
    </cfRule>
  </conditionalFormatting>
  <conditionalFormatting sqref="C212">
    <cfRule type="cellIs" dxfId="56" priority="935" operator="equal">
      <formula>$U$1</formula>
    </cfRule>
    <cfRule type="cellIs" dxfId="55" priority="936" operator="equal">
      <formula>$S$1</formula>
    </cfRule>
  </conditionalFormatting>
  <conditionalFormatting sqref="D212">
    <cfRule type="cellIs" dxfId="54" priority="933" operator="equal">
      <formula>$S$1</formula>
    </cfRule>
    <cfRule type="cellIs" dxfId="53" priority="934" operator="equal">
      <formula>$U$1</formula>
    </cfRule>
  </conditionalFormatting>
  <conditionalFormatting sqref="C237">
    <cfRule type="cellIs" dxfId="52" priority="931" operator="equal">
      <formula>$U$1</formula>
    </cfRule>
    <cfRule type="cellIs" dxfId="51" priority="932" operator="equal">
      <formula>$S$1</formula>
    </cfRule>
  </conditionalFormatting>
  <conditionalFormatting sqref="D237">
    <cfRule type="cellIs" dxfId="50" priority="929" operator="equal">
      <formula>$S$1</formula>
    </cfRule>
    <cfRule type="cellIs" dxfId="49" priority="930" operator="equal">
      <formula>$U$1</formula>
    </cfRule>
  </conditionalFormatting>
  <conditionalFormatting sqref="C106">
    <cfRule type="cellIs" dxfId="48" priority="927" operator="equal">
      <formula>$U$1</formula>
    </cfRule>
    <cfRule type="cellIs" dxfId="47" priority="928" operator="equal">
      <formula>$S$1</formula>
    </cfRule>
  </conditionalFormatting>
  <conditionalFormatting sqref="D106">
    <cfRule type="cellIs" dxfId="46" priority="925" operator="equal">
      <formula>$S$1</formula>
    </cfRule>
    <cfRule type="cellIs" dxfId="45" priority="926" operator="equal">
      <formula>$U$1</formula>
    </cfRule>
  </conditionalFormatting>
  <conditionalFormatting sqref="C81">
    <cfRule type="cellIs" dxfId="44" priority="923" operator="equal">
      <formula>$U$1</formula>
    </cfRule>
    <cfRule type="cellIs" dxfId="43" priority="924" operator="equal">
      <formula>$S$1</formula>
    </cfRule>
  </conditionalFormatting>
  <conditionalFormatting sqref="D81">
    <cfRule type="cellIs" dxfId="42" priority="921" operator="equal">
      <formula>$S$1</formula>
    </cfRule>
    <cfRule type="cellIs" dxfId="41" priority="922" operator="equal">
      <formula>$U$1</formula>
    </cfRule>
  </conditionalFormatting>
  <conditionalFormatting sqref="C56">
    <cfRule type="cellIs" dxfId="40" priority="919" operator="equal">
      <formula>$U$1</formula>
    </cfRule>
    <cfRule type="cellIs" dxfId="39" priority="920" operator="equal">
      <formula>$S$1</formula>
    </cfRule>
  </conditionalFormatting>
  <conditionalFormatting sqref="D56">
    <cfRule type="cellIs" dxfId="38" priority="917" operator="equal">
      <formula>$S$1</formula>
    </cfRule>
    <cfRule type="cellIs" dxfId="37" priority="918" operator="equal">
      <formula>$U$1</formula>
    </cfRule>
  </conditionalFormatting>
  <conditionalFormatting sqref="C31">
    <cfRule type="cellIs" dxfId="36" priority="915" operator="equal">
      <formula>$U$1</formula>
    </cfRule>
    <cfRule type="cellIs" dxfId="35" priority="916" operator="equal">
      <formula>$S$1</formula>
    </cfRule>
  </conditionalFormatting>
  <conditionalFormatting sqref="D31">
    <cfRule type="cellIs" dxfId="34" priority="913" operator="equal">
      <formula>$S$1</formula>
    </cfRule>
    <cfRule type="cellIs" dxfId="33" priority="914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P90" sqref="AP90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42" x14ac:dyDescent="0.25">
      <c r="A65" s="30">
        <v>207.96505671840671</v>
      </c>
      <c r="E65"/>
    </row>
    <row r="66" spans="1:42" x14ac:dyDescent="0.25">
      <c r="A66" s="30">
        <v>189.05914247127882</v>
      </c>
      <c r="E66"/>
    </row>
    <row r="67" spans="1:42" x14ac:dyDescent="0.25">
      <c r="A67" s="30">
        <v>171.87194770116255</v>
      </c>
      <c r="C67" s="1" t="s">
        <v>15</v>
      </c>
      <c r="E67"/>
    </row>
    <row r="68" spans="1:42" x14ac:dyDescent="0.25">
      <c r="A68" s="30">
        <v>156.24722518287504</v>
      </c>
      <c r="C68" s="7">
        <v>0.11167815779424731</v>
      </c>
      <c r="D68"/>
      <c r="E68"/>
    </row>
    <row r="69" spans="1:42" x14ac:dyDescent="0.25">
      <c r="A69" s="30">
        <v>142.04293198443185</v>
      </c>
      <c r="E69"/>
    </row>
    <row r="70" spans="1:42" x14ac:dyDescent="0.25">
      <c r="A70" s="30">
        <v>129.1299381676653</v>
      </c>
      <c r="C70" s="1" t="s">
        <v>11</v>
      </c>
      <c r="D70" s="1" t="s">
        <v>12</v>
      </c>
      <c r="E70"/>
    </row>
    <row r="71" spans="1:42" x14ac:dyDescent="0.25">
      <c r="A71" s="30">
        <v>117.39085287969573</v>
      </c>
      <c r="C71"/>
      <c r="D71"/>
      <c r="E71"/>
    </row>
    <row r="72" spans="1:42" x14ac:dyDescent="0.25">
      <c r="A72" s="30">
        <v>106.71895716335975</v>
      </c>
      <c r="E72"/>
    </row>
    <row r="73" spans="1:42" x14ac:dyDescent="0.25">
      <c r="A73" s="30">
        <v>97.017233784872488</v>
      </c>
      <c r="C73" s="1" t="s">
        <v>13</v>
      </c>
      <c r="E73"/>
      <c r="AA73" s="27" t="s">
        <v>8</v>
      </c>
    </row>
    <row r="74" spans="1:42" x14ac:dyDescent="0.25">
      <c r="A74" s="30">
        <v>88.197485258974979</v>
      </c>
      <c r="C74" s="1">
        <f>C63</f>
        <v>0</v>
      </c>
      <c r="E74"/>
      <c r="W74" s="27" t="s">
        <v>8</v>
      </c>
      <c r="AA74" s="27" t="s">
        <v>8</v>
      </c>
      <c r="AB74" s="27" t="s">
        <v>7</v>
      </c>
    </row>
    <row r="75" spans="1:42" x14ac:dyDescent="0.25">
      <c r="A75" s="30">
        <v>80.179532053613613</v>
      </c>
      <c r="C75"/>
      <c r="D75"/>
      <c r="E75"/>
      <c r="W75" s="27" t="s">
        <v>8</v>
      </c>
      <c r="X75" s="27" t="s">
        <v>7</v>
      </c>
      <c r="AA75" s="27" t="s">
        <v>8</v>
      </c>
      <c r="AB75" s="27" t="s">
        <v>7</v>
      </c>
    </row>
    <row r="76" spans="1:42" x14ac:dyDescent="0.25">
      <c r="A76" s="30">
        <v>72.890483685103277</v>
      </c>
      <c r="C76" s="1" t="s">
        <v>14</v>
      </c>
      <c r="E76"/>
      <c r="W76" s="27" t="s">
        <v>8</v>
      </c>
      <c r="X76" s="27" t="s">
        <v>7</v>
      </c>
      <c r="Y76" s="27" t="s">
        <v>8</v>
      </c>
      <c r="AA76" s="27" t="s">
        <v>8</v>
      </c>
      <c r="AB76" s="27" t="s">
        <v>7</v>
      </c>
    </row>
    <row r="77" spans="1:42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 t="s">
        <v>8</v>
      </c>
      <c r="U77" s="27" t="s">
        <v>8</v>
      </c>
      <c r="W77" s="27" t="s">
        <v>8</v>
      </c>
      <c r="X77" s="27" t="s">
        <v>7</v>
      </c>
      <c r="Y77" s="27" t="s">
        <v>8</v>
      </c>
      <c r="Z77" s="27" t="s">
        <v>7</v>
      </c>
      <c r="AA77" s="27" t="s">
        <v>8</v>
      </c>
      <c r="AB77" s="27" t="s">
        <v>7</v>
      </c>
      <c r="AG77" s="27" t="s">
        <v>8</v>
      </c>
    </row>
    <row r="78" spans="1:42" x14ac:dyDescent="0.25">
      <c r="A78" s="30">
        <v>60.240069161242367</v>
      </c>
      <c r="E78" t="s">
        <v>8</v>
      </c>
      <c r="F78" s="27" t="s">
        <v>7</v>
      </c>
      <c r="U78" s="27" t="s">
        <v>8</v>
      </c>
      <c r="V78" s="27" t="s">
        <v>7</v>
      </c>
      <c r="W78" s="27" t="s">
        <v>8</v>
      </c>
      <c r="X78" s="27" t="s">
        <v>7</v>
      </c>
      <c r="Y78" s="27" t="s">
        <v>8</v>
      </c>
      <c r="Z78" s="27" t="s">
        <v>7</v>
      </c>
      <c r="AA78" s="27" t="s">
        <v>8</v>
      </c>
      <c r="AB78" s="27" t="s">
        <v>7</v>
      </c>
      <c r="AE78" s="27" t="s">
        <v>8</v>
      </c>
      <c r="AG78" s="27" t="s">
        <v>8</v>
      </c>
      <c r="AH78" s="27" t="s">
        <v>7</v>
      </c>
      <c r="AM78" s="27" t="s">
        <v>8</v>
      </c>
    </row>
    <row r="79" spans="1:42" x14ac:dyDescent="0.25">
      <c r="A79" s="30">
        <v>54.763699237493057</v>
      </c>
      <c r="E79" t="s">
        <v>8</v>
      </c>
      <c r="F79" s="27" t="s">
        <v>7</v>
      </c>
      <c r="U79" s="27" t="s">
        <v>8</v>
      </c>
      <c r="V79" s="27" t="s">
        <v>7</v>
      </c>
      <c r="W79" s="27" t="s">
        <v>8</v>
      </c>
      <c r="X79" s="27" t="s">
        <v>7</v>
      </c>
      <c r="Z79" s="27" t="s">
        <v>7</v>
      </c>
      <c r="AB79" s="27" t="s">
        <v>7</v>
      </c>
      <c r="AE79" s="27" t="s">
        <v>8</v>
      </c>
      <c r="AF79" s="27" t="s">
        <v>7</v>
      </c>
      <c r="AG79" s="27" t="s">
        <v>8</v>
      </c>
      <c r="AH79" s="27" t="s">
        <v>7</v>
      </c>
      <c r="AK79" s="27" t="s">
        <v>8</v>
      </c>
      <c r="AM79" s="27" t="s">
        <v>8</v>
      </c>
      <c r="AN79" s="27" t="s">
        <v>7</v>
      </c>
      <c r="AO79" s="27" t="s">
        <v>8</v>
      </c>
    </row>
    <row r="80" spans="1:42" x14ac:dyDescent="0.25">
      <c r="A80" s="30">
        <v>49.785181124993684</v>
      </c>
      <c r="E80" t="s">
        <v>8</v>
      </c>
      <c r="F80" s="27" t="s">
        <v>7</v>
      </c>
      <c r="O80" s="27" t="s">
        <v>8</v>
      </c>
      <c r="Q80" s="27" t="s">
        <v>8</v>
      </c>
      <c r="U80" s="27" t="s">
        <v>8</v>
      </c>
      <c r="V80" s="27" t="s">
        <v>7</v>
      </c>
      <c r="W80" s="27" t="s">
        <v>8</v>
      </c>
      <c r="AB80" s="27" t="s">
        <v>7</v>
      </c>
      <c r="AC80" s="27" t="s">
        <v>8</v>
      </c>
      <c r="AE80" s="27" t="s">
        <v>8</v>
      </c>
      <c r="AF80" s="27" t="s">
        <v>7</v>
      </c>
      <c r="AG80" s="27" t="s">
        <v>8</v>
      </c>
      <c r="AH80" s="27" t="s">
        <v>7</v>
      </c>
      <c r="AK80" s="27" t="s">
        <v>8</v>
      </c>
      <c r="AL80" s="27" t="s">
        <v>7</v>
      </c>
      <c r="AM80" s="27" t="s">
        <v>8</v>
      </c>
      <c r="AN80" s="27" t="s">
        <v>7</v>
      </c>
      <c r="AO80" s="27" t="s">
        <v>8</v>
      </c>
      <c r="AP80" s="27" t="s">
        <v>7</v>
      </c>
    </row>
    <row r="81" spans="1:42" x14ac:dyDescent="0.25">
      <c r="A81" s="30">
        <v>45.259255568176073</v>
      </c>
      <c r="E81" t="s">
        <v>8</v>
      </c>
      <c r="F81" s="27" t="s">
        <v>7</v>
      </c>
      <c r="G81" s="27" t="s">
        <v>8</v>
      </c>
      <c r="O81" s="27" t="s">
        <v>8</v>
      </c>
      <c r="P81" s="27" t="s">
        <v>7</v>
      </c>
      <c r="Q81" s="27" t="s">
        <v>8</v>
      </c>
      <c r="R81" s="27" t="s">
        <v>7</v>
      </c>
      <c r="S81" s="27" t="s">
        <v>8</v>
      </c>
      <c r="U81" s="27" t="s">
        <v>8</v>
      </c>
      <c r="V81" s="27" t="s">
        <v>7</v>
      </c>
      <c r="W81" s="27" t="s">
        <v>8</v>
      </c>
      <c r="AB81" s="27" t="s">
        <v>7</v>
      </c>
      <c r="AC81" s="27" t="s">
        <v>8</v>
      </c>
      <c r="AD81" s="27" t="s">
        <v>7</v>
      </c>
      <c r="AE81" s="27" t="s">
        <v>8</v>
      </c>
      <c r="AF81" s="27" t="s">
        <v>7</v>
      </c>
      <c r="AG81" s="27" t="s">
        <v>8</v>
      </c>
      <c r="AH81" s="27" t="s">
        <v>7</v>
      </c>
      <c r="AK81" s="27" t="s">
        <v>8</v>
      </c>
      <c r="AL81" s="27" t="s">
        <v>7</v>
      </c>
      <c r="AM81" s="27" t="s">
        <v>8</v>
      </c>
      <c r="AN81" s="27" t="s">
        <v>7</v>
      </c>
      <c r="AO81" s="27" t="s">
        <v>8</v>
      </c>
      <c r="AP81" s="27" t="s">
        <v>7</v>
      </c>
    </row>
    <row r="82" spans="1:42" x14ac:dyDescent="0.25">
      <c r="A82" s="30">
        <v>41.144777789250973</v>
      </c>
      <c r="E82" t="s">
        <v>8</v>
      </c>
      <c r="F82" s="27" t="s">
        <v>7</v>
      </c>
      <c r="G82" s="27" t="s">
        <v>8</v>
      </c>
      <c r="H82" s="27" t="s">
        <v>7</v>
      </c>
      <c r="K82" s="27" t="s">
        <v>8</v>
      </c>
      <c r="O82" s="27" t="s">
        <v>8</v>
      </c>
      <c r="P82" s="27" t="s">
        <v>7</v>
      </c>
      <c r="Q82" s="27" t="s">
        <v>8</v>
      </c>
      <c r="R82" s="27" t="s">
        <v>7</v>
      </c>
      <c r="S82" s="27" t="s">
        <v>8</v>
      </c>
      <c r="T82" s="27" t="s">
        <v>7</v>
      </c>
      <c r="U82" s="27" t="s">
        <v>8</v>
      </c>
      <c r="V82" s="27" t="s">
        <v>7</v>
      </c>
      <c r="AB82" s="27" t="s">
        <v>7</v>
      </c>
      <c r="AC82" s="27" t="s">
        <v>8</v>
      </c>
      <c r="AD82" s="27" t="s">
        <v>7</v>
      </c>
      <c r="AE82" s="27" t="s">
        <v>8</v>
      </c>
      <c r="AF82" s="27" t="s">
        <v>7</v>
      </c>
      <c r="AH82" s="27" t="s">
        <v>7</v>
      </c>
      <c r="AI82" s="27" t="s">
        <v>8</v>
      </c>
      <c r="AK82" s="27" t="s">
        <v>8</v>
      </c>
      <c r="AL82" s="27" t="s">
        <v>7</v>
      </c>
      <c r="AM82" s="27" t="s">
        <v>8</v>
      </c>
      <c r="AN82" s="27" t="s">
        <v>7</v>
      </c>
      <c r="AO82" s="27" t="s">
        <v>8</v>
      </c>
      <c r="AP82" s="27" t="s">
        <v>7</v>
      </c>
    </row>
    <row r="83" spans="1:42" x14ac:dyDescent="0.25">
      <c r="A83" s="30">
        <v>37.404343444773609</v>
      </c>
      <c r="E83" t="s">
        <v>8</v>
      </c>
      <c r="F83" s="27" t="s">
        <v>7</v>
      </c>
      <c r="G83" s="27" t="s">
        <v>8</v>
      </c>
      <c r="H83" s="27" t="s">
        <v>7</v>
      </c>
      <c r="I83" s="27" t="s">
        <v>8</v>
      </c>
      <c r="K83" s="27" t="s">
        <v>8</v>
      </c>
      <c r="L83" s="27" t="s">
        <v>7</v>
      </c>
      <c r="M83" s="27" t="s">
        <v>8</v>
      </c>
      <c r="O83" s="27" t="s">
        <v>8</v>
      </c>
      <c r="P83" s="27" t="s">
        <v>7</v>
      </c>
      <c r="R83" s="27" t="s">
        <v>7</v>
      </c>
      <c r="S83" s="27" t="s">
        <v>8</v>
      </c>
      <c r="T83" s="27" t="s">
        <v>7</v>
      </c>
      <c r="U83" s="27" t="s">
        <v>8</v>
      </c>
      <c r="AB83" s="27" t="s">
        <v>7</v>
      </c>
      <c r="AD83" s="27" t="s">
        <v>7</v>
      </c>
      <c r="AE83" s="27" t="s">
        <v>8</v>
      </c>
      <c r="AH83" s="27" t="s">
        <v>7</v>
      </c>
      <c r="AI83" s="27" t="s">
        <v>8</v>
      </c>
      <c r="AJ83" s="27" t="s">
        <v>7</v>
      </c>
      <c r="AK83" s="27" t="s">
        <v>8</v>
      </c>
      <c r="AL83" s="27" t="s">
        <v>7</v>
      </c>
      <c r="AN83" s="27" t="s">
        <v>7</v>
      </c>
      <c r="AP83" s="27" t="s">
        <v>7</v>
      </c>
    </row>
    <row r="84" spans="1:42" x14ac:dyDescent="0.25">
      <c r="A84" s="30">
        <v>34.003948586157826</v>
      </c>
      <c r="E84" t="s">
        <v>8</v>
      </c>
      <c r="F84" s="27" t="s">
        <v>7</v>
      </c>
      <c r="G84" s="27" t="s">
        <v>8</v>
      </c>
      <c r="H84" s="27" t="s">
        <v>7</v>
      </c>
      <c r="I84" s="27" t="s">
        <v>8</v>
      </c>
      <c r="J84" s="27" t="s">
        <v>7</v>
      </c>
      <c r="K84" s="27" t="s">
        <v>8</v>
      </c>
      <c r="L84" s="27" t="s">
        <v>7</v>
      </c>
      <c r="M84" s="27" t="s">
        <v>8</v>
      </c>
      <c r="N84" s="27" t="s">
        <v>7</v>
      </c>
      <c r="O84" s="27" t="s">
        <v>8</v>
      </c>
      <c r="R84" s="27" t="s">
        <v>7</v>
      </c>
      <c r="T84" s="27" t="s">
        <v>7</v>
      </c>
      <c r="AD84" s="27" t="s">
        <v>7</v>
      </c>
      <c r="AE84" s="27" t="s">
        <v>8</v>
      </c>
      <c r="AH84" s="27" t="s">
        <v>7</v>
      </c>
      <c r="AI84" s="27" t="s">
        <v>8</v>
      </c>
      <c r="AJ84" s="27" t="s">
        <v>7</v>
      </c>
      <c r="AK84" s="27" t="s">
        <v>8</v>
      </c>
      <c r="AP84" s="27" t="s">
        <v>7</v>
      </c>
    </row>
    <row r="85" spans="1:42" x14ac:dyDescent="0.25">
      <c r="A85" s="30">
        <v>30.912680532870748</v>
      </c>
      <c r="E85" t="s">
        <v>8</v>
      </c>
      <c r="F85" s="27" t="s">
        <v>7</v>
      </c>
      <c r="G85" s="27" t="s">
        <v>8</v>
      </c>
      <c r="H85" s="27" t="s">
        <v>7</v>
      </c>
      <c r="I85" s="27" t="s">
        <v>8</v>
      </c>
      <c r="J85" s="27" t="s">
        <v>7</v>
      </c>
      <c r="K85" s="27" t="s">
        <v>8</v>
      </c>
      <c r="L85" s="27" t="s">
        <v>7</v>
      </c>
      <c r="M85" s="27" t="s">
        <v>8</v>
      </c>
      <c r="N85" s="27" t="s">
        <v>7</v>
      </c>
      <c r="O85" s="27" t="s">
        <v>8</v>
      </c>
      <c r="AD85" s="27" t="s">
        <v>7</v>
      </c>
      <c r="AE85" s="27" t="s">
        <v>8</v>
      </c>
      <c r="AH85" s="27" t="s">
        <v>7</v>
      </c>
      <c r="AI85" s="27" t="s">
        <v>8</v>
      </c>
      <c r="AJ85" s="18" t="s">
        <v>7</v>
      </c>
      <c r="AK85" s="27" t="s">
        <v>8</v>
      </c>
      <c r="AP85" s="27" t="s">
        <v>7</v>
      </c>
    </row>
    <row r="86" spans="1:42" x14ac:dyDescent="0.25">
      <c r="A86" s="30">
        <v>28.102436848064315</v>
      </c>
      <c r="E86" t="s">
        <v>8</v>
      </c>
      <c r="F86" s="27" t="s">
        <v>7</v>
      </c>
      <c r="G86" s="27" t="s">
        <v>8</v>
      </c>
      <c r="H86" s="27" t="s">
        <v>7</v>
      </c>
      <c r="J86" s="27" t="s">
        <v>7</v>
      </c>
      <c r="L86" s="27" t="s">
        <v>7</v>
      </c>
      <c r="M86" s="27" t="s">
        <v>8</v>
      </c>
      <c r="N86" s="27" t="s">
        <v>7</v>
      </c>
      <c r="O86" s="27" t="s">
        <v>8</v>
      </c>
      <c r="AD86" s="27" t="s">
        <v>7</v>
      </c>
      <c r="AH86" s="27" t="s">
        <v>7</v>
      </c>
      <c r="AI86" s="27" t="s">
        <v>8</v>
      </c>
      <c r="AJ86" s="27" t="s">
        <v>7</v>
      </c>
      <c r="AP86" s="27" t="s">
        <v>7</v>
      </c>
    </row>
    <row r="87" spans="1:42" x14ac:dyDescent="0.25">
      <c r="A87" s="30">
        <v>25.547669861876649</v>
      </c>
      <c r="E87" t="s">
        <v>8</v>
      </c>
      <c r="F87" s="27" t="s">
        <v>7</v>
      </c>
      <c r="G87" s="27" t="s">
        <v>8</v>
      </c>
      <c r="L87" s="27" t="s">
        <v>7</v>
      </c>
      <c r="M87" s="27" t="s">
        <v>8</v>
      </c>
      <c r="N87" s="27" t="s">
        <v>7</v>
      </c>
      <c r="AH87" s="27" t="s">
        <v>7</v>
      </c>
      <c r="AI87" s="27" t="s">
        <v>8</v>
      </c>
      <c r="AP87" s="27" t="s">
        <v>7</v>
      </c>
    </row>
    <row r="88" spans="1:42" x14ac:dyDescent="0.25">
      <c r="A88" s="30">
        <v>23.225154419887861</v>
      </c>
      <c r="E88" t="s">
        <v>8</v>
      </c>
      <c r="F88" s="27" t="s">
        <v>7</v>
      </c>
      <c r="L88" s="27" t="s">
        <v>7</v>
      </c>
      <c r="AH88" s="27" t="s">
        <v>7</v>
      </c>
      <c r="AP88" s="27" t="s">
        <v>7</v>
      </c>
    </row>
    <row r="89" spans="1:42" x14ac:dyDescent="0.25">
      <c r="A89" s="30">
        <v>21.113776745352599</v>
      </c>
      <c r="E89" t="s">
        <v>8</v>
      </c>
      <c r="AP89" s="27" t="s">
        <v>7</v>
      </c>
    </row>
    <row r="90" spans="1:42" x14ac:dyDescent="0.25">
      <c r="A90" s="30">
        <v>19.194342495775089</v>
      </c>
      <c r="E90" t="s">
        <v>8</v>
      </c>
      <c r="AP90" s="27" t="s">
        <v>7</v>
      </c>
    </row>
    <row r="91" spans="1:42" x14ac:dyDescent="0.25">
      <c r="A91" s="30">
        <v>17.449402268886445</v>
      </c>
      <c r="E91" t="s">
        <v>8</v>
      </c>
    </row>
    <row r="92" spans="1:42" x14ac:dyDescent="0.25">
      <c r="A92" s="30">
        <v>15.863092971714948</v>
      </c>
      <c r="C92" s="1" t="s">
        <v>15</v>
      </c>
      <c r="E92" t="s">
        <v>8</v>
      </c>
    </row>
    <row r="93" spans="1:42" x14ac:dyDescent="0.25">
      <c r="A93" s="30">
        <v>14.420993610649951</v>
      </c>
      <c r="C93" s="7">
        <v>0.11167815779424731</v>
      </c>
      <c r="D93"/>
      <c r="E93" t="s">
        <v>8</v>
      </c>
    </row>
    <row r="94" spans="1:42" x14ac:dyDescent="0.25">
      <c r="A94" s="30">
        <v>13.109994191499954</v>
      </c>
      <c r="E94" t="s">
        <v>8</v>
      </c>
    </row>
    <row r="95" spans="1:42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42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$A$89</v>
      </c>
      <c r="D111" s="1" t="str">
        <f>ADDRESS(C121-1,D121,1,1)</f>
        <v>$AP$89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$A$90</v>
      </c>
      <c r="D112" s="1" t="str">
        <f>ADDRESS(C121,D121-1,1,1)</f>
        <v>$AO$90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$A$91</v>
      </c>
      <c r="D113" s="1" t="str">
        <f>ADDRESS(C121-1,D121+1,1,1)</f>
        <v>$AQ$89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$AP$90</v>
      </c>
      <c r="D114" s="1" t="str">
        <f>ADDRESS(C121+1,D121+1,1,1)</f>
        <v>$AQ$91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$AP$91</v>
      </c>
      <c r="E115" s="1" t="s">
        <v>8</v>
      </c>
    </row>
    <row r="116" spans="1:5" x14ac:dyDescent="0.25">
      <c r="A116" s="30">
        <v>1.6105100000000008</v>
      </c>
      <c r="C116" s="1">
        <f>C117-1</f>
        <v>89</v>
      </c>
      <c r="E116" s="1" t="s">
        <v>8</v>
      </c>
    </row>
    <row r="117" spans="1:5" x14ac:dyDescent="0.25">
      <c r="A117" s="30">
        <v>1.4641000000000006</v>
      </c>
      <c r="C117" s="1">
        <f>C121</f>
        <v>90</v>
      </c>
      <c r="D117" s="1">
        <f>D121</f>
        <v>42</v>
      </c>
      <c r="E117" s="1" t="s">
        <v>8</v>
      </c>
    </row>
    <row r="118" spans="1:5" x14ac:dyDescent="0.25">
      <c r="A118" s="30">
        <v>1.3310000000000004</v>
      </c>
      <c r="C118" s="1">
        <f>C117+1</f>
        <v>91</v>
      </c>
      <c r="D118" s="1">
        <f>D117+1</f>
        <v>43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90</v>
      </c>
      <c r="D121" s="19">
        <v>42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R90</v>
      </c>
      <c r="D123" s="1" t="str">
        <f>"C"&amp;D121</f>
        <v>C42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19.194342495775089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31" operator="equal">
      <formula>$U$1</formula>
    </cfRule>
    <cfRule type="cellIs" dxfId="30" priority="932" operator="equal">
      <formula>$S$1</formula>
    </cfRule>
  </conditionalFormatting>
  <conditionalFormatting sqref="D136">
    <cfRule type="cellIs" dxfId="29" priority="929" operator="equal">
      <formula>$S$1</formula>
    </cfRule>
    <cfRule type="cellIs" dxfId="28" priority="930" operator="equal">
      <formula>$U$1</formula>
    </cfRule>
  </conditionalFormatting>
  <conditionalFormatting sqref="C102">
    <cfRule type="cellIs" dxfId="27" priority="927" operator="equal">
      <formula>$U$1</formula>
    </cfRule>
    <cfRule type="cellIs" dxfId="26" priority="928" operator="equal">
      <formula>$S$1</formula>
    </cfRule>
  </conditionalFormatting>
  <conditionalFormatting sqref="D102">
    <cfRule type="cellIs" dxfId="25" priority="925" operator="equal">
      <formula>$S$1</formula>
    </cfRule>
    <cfRule type="cellIs" dxfId="24" priority="926" operator="equal">
      <formula>$U$1</formula>
    </cfRule>
  </conditionalFormatting>
  <conditionalFormatting sqref="C77">
    <cfRule type="cellIs" dxfId="23" priority="923" operator="equal">
      <formula>$U$1</formula>
    </cfRule>
    <cfRule type="cellIs" dxfId="22" priority="924" operator="equal">
      <formula>$S$1</formula>
    </cfRule>
  </conditionalFormatting>
  <conditionalFormatting sqref="D77">
    <cfRule type="cellIs" dxfId="21" priority="921" operator="equal">
      <formula>$S$1</formula>
    </cfRule>
    <cfRule type="cellIs" dxfId="20" priority="922" operator="equal">
      <formula>$U$1</formula>
    </cfRule>
  </conditionalFormatting>
  <conditionalFormatting sqref="C52">
    <cfRule type="cellIs" dxfId="19" priority="919" operator="equal">
      <formula>$U$1</formula>
    </cfRule>
    <cfRule type="cellIs" dxfId="18" priority="920" operator="equal">
      <formula>$S$1</formula>
    </cfRule>
  </conditionalFormatting>
  <conditionalFormatting sqref="D52">
    <cfRule type="cellIs" dxfId="17" priority="917" operator="equal">
      <formula>$S$1</formula>
    </cfRule>
    <cfRule type="cellIs" dxfId="16" priority="918" operator="equal">
      <formula>$U$1</formula>
    </cfRule>
  </conditionalFormatting>
  <conditionalFormatting sqref="C26">
    <cfRule type="cellIs" dxfId="15" priority="915" operator="equal">
      <formula>$U$1</formula>
    </cfRule>
    <cfRule type="cellIs" dxfId="14" priority="916" operator="equal">
      <formula>$S$1</formula>
    </cfRule>
  </conditionalFormatting>
  <conditionalFormatting sqref="D26">
    <cfRule type="cellIs" dxfId="13" priority="913" operator="equal">
      <formula>$S$1</formula>
    </cfRule>
    <cfRule type="cellIs" dxfId="12" priority="914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2022-01-28T01:19:27Z</dcterms:modified>
</cp:coreProperties>
</file>