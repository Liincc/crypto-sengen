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1AB4E1A-B21A-4483-A051-22A3723DF48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6" i="5"/>
  <c r="C118" i="5"/>
  <c r="C116" i="4"/>
  <c r="C118" i="4"/>
  <c r="D136" i="5"/>
  <c r="C136" i="5"/>
  <c r="C122" i="3"/>
  <c r="C133" i="3" s="1"/>
  <c r="C136" i="3" s="1"/>
  <c r="C118" i="3"/>
  <c r="R1194" i="1"/>
  <c r="D136" i="4" l="1"/>
  <c r="C138" i="4" s="1"/>
  <c r="C138" i="5"/>
  <c r="D136" i="3"/>
  <c r="C138" i="3" s="1"/>
  <c r="R1193" i="1"/>
  <c r="S1194" i="1"/>
  <c r="T1194" i="1" s="1"/>
  <c r="R1192" i="1" l="1"/>
  <c r="S1193" i="1"/>
  <c r="T1193" i="1" s="1"/>
  <c r="R1191" i="1" l="1"/>
  <c r="S1192" i="1"/>
  <c r="T1192" i="1" s="1"/>
  <c r="R1190" i="1" l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R1111" i="1" l="1"/>
  <c r="S1112" i="1"/>
  <c r="T1112" i="1" s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S601" i="1" l="1"/>
  <c r="T601" i="1" s="1"/>
  <c r="R600" i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R37" i="1" l="1"/>
  <c r="S38" i="1"/>
  <c r="T38" i="1" s="1"/>
  <c r="R36" i="1" l="1"/>
  <c r="S37" i="1"/>
  <c r="T37" i="1" s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<sst xmlns="http://schemas.openxmlformats.org/spreadsheetml/2006/main" count="8926" uniqueCount="34">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</sst>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0.19259999999999999</c:v>
                </c:pt>
                <c:pt idx="1">
                  <c:v>0.1966</c:v>
                </c:pt>
                <c:pt idx="2">
                  <c:v>0.1966</c:v>
                </c:pt>
                <c:pt idx="3">
                  <c:v>0.1978</c:v>
                </c:pt>
                <c:pt idx="4">
                  <c:v>0.2009</c:v>
                </c:pt>
                <c:pt idx="5">
                  <c:v>0.19239999999999999</c:v>
                </c:pt>
                <c:pt idx="6">
                  <c:v>0.20280000000000001</c:v>
                </c:pt>
                <c:pt idx="7">
                  <c:v>0.23150000000000001</c:v>
                </c:pt>
                <c:pt idx="8">
                  <c:v>0.24540000000000001</c:v>
                </c:pt>
                <c:pt idx="9">
                  <c:v>0.25409999999999999</c:v>
                </c:pt>
                <c:pt idx="10">
                  <c:v>0.25590000000000002</c:v>
                </c:pt>
                <c:pt idx="11">
                  <c:v>0.25890000000000002</c:v>
                </c:pt>
                <c:pt idx="12">
                  <c:v>0.25879999999999997</c:v>
                </c:pt>
                <c:pt idx="13">
                  <c:v>0.26440000000000002</c:v>
                </c:pt>
                <c:pt idx="14">
                  <c:v>0.26929999999999998</c:v>
                </c:pt>
                <c:pt idx="15">
                  <c:v>0.28220000000000001</c:v>
                </c:pt>
                <c:pt idx="16">
                  <c:v>0.26300000000000001</c:v>
                </c:pt>
                <c:pt idx="17">
                  <c:v>0.25290000000000001</c:v>
                </c:pt>
                <c:pt idx="18">
                  <c:v>0.26090000000000002</c:v>
                </c:pt>
                <c:pt idx="19">
                  <c:v>0.255</c:v>
                </c:pt>
                <c:pt idx="20">
                  <c:v>0.25690000000000002</c:v>
                </c:pt>
                <c:pt idx="21">
                  <c:v>0.2676</c:v>
                </c:pt>
                <c:pt idx="22">
                  <c:v>0.2661</c:v>
                </c:pt>
                <c:pt idx="23">
                  <c:v>0.27910000000000001</c:v>
                </c:pt>
                <c:pt idx="24">
                  <c:v>0.29020000000000001</c:v>
                </c:pt>
                <c:pt idx="25">
                  <c:v>0.29210000000000003</c:v>
                </c:pt>
                <c:pt idx="26">
                  <c:v>0.27650000000000002</c:v>
                </c:pt>
                <c:pt idx="27">
                  <c:v>0.26650000000000001</c:v>
                </c:pt>
                <c:pt idx="28">
                  <c:v>0.2681</c:v>
                </c:pt>
                <c:pt idx="29">
                  <c:v>0.26690000000000003</c:v>
                </c:pt>
                <c:pt idx="30">
                  <c:v>0.27400000000000002</c:v>
                </c:pt>
                <c:pt idx="31">
                  <c:v>0.2984</c:v>
                </c:pt>
                <c:pt idx="32">
                  <c:v>0.29139999999999999</c:v>
                </c:pt>
                <c:pt idx="33">
                  <c:v>0.28899999999999998</c:v>
                </c:pt>
                <c:pt idx="34">
                  <c:v>0.27789999999999998</c:v>
                </c:pt>
                <c:pt idx="35">
                  <c:v>0.28739999999999999</c:v>
                </c:pt>
                <c:pt idx="36">
                  <c:v>0.26729999999999998</c:v>
                </c:pt>
                <c:pt idx="37">
                  <c:v>0.2671</c:v>
                </c:pt>
                <c:pt idx="38">
                  <c:v>0.25740000000000002</c:v>
                </c:pt>
                <c:pt idx="39">
                  <c:v>0.25330000000000003</c:v>
                </c:pt>
                <c:pt idx="40">
                  <c:v>0.25530000000000003</c:v>
                </c:pt>
                <c:pt idx="41">
                  <c:v>0.25390000000000001</c:v>
                </c:pt>
                <c:pt idx="42">
                  <c:v>0.25559999999999999</c:v>
                </c:pt>
                <c:pt idx="43">
                  <c:v>0.27260000000000001</c:v>
                </c:pt>
                <c:pt idx="44">
                  <c:v>0.26729999999999998</c:v>
                </c:pt>
                <c:pt idx="45">
                  <c:v>0.25280000000000002</c:v>
                </c:pt>
                <c:pt idx="46">
                  <c:v>0.27560000000000001</c:v>
                </c:pt>
                <c:pt idx="47">
                  <c:v>0.26290000000000002</c:v>
                </c:pt>
                <c:pt idx="48">
                  <c:v>0.2606</c:v>
                </c:pt>
                <c:pt idx="49">
                  <c:v>0.27329999999999999</c:v>
                </c:pt>
                <c:pt idx="50">
                  <c:v>0.30590000000000001</c:v>
                </c:pt>
                <c:pt idx="51">
                  <c:v>0.28610000000000002</c:v>
                </c:pt>
                <c:pt idx="52">
                  <c:v>0.29399999999999998</c:v>
                </c:pt>
                <c:pt idx="53">
                  <c:v>0.27900000000000003</c:v>
                </c:pt>
                <c:pt idx="54">
                  <c:v>0.28910000000000002</c:v>
                </c:pt>
                <c:pt idx="55">
                  <c:v>0.32579999999999998</c:v>
                </c:pt>
                <c:pt idx="56">
                  <c:v>0.33960000000000001</c:v>
                </c:pt>
                <c:pt idx="57">
                  <c:v>0.32750000000000001</c:v>
                </c:pt>
                <c:pt idx="58">
                  <c:v>0.33579999999999999</c:v>
                </c:pt>
                <c:pt idx="59">
                  <c:v>0.32840000000000003</c:v>
                </c:pt>
                <c:pt idx="60">
                  <c:v>0.3236</c:v>
                </c:pt>
                <c:pt idx="61">
                  <c:v>0.32569999999999999</c:v>
                </c:pt>
                <c:pt idx="62">
                  <c:v>0.3291</c:v>
                </c:pt>
                <c:pt idx="63">
                  <c:v>0.34160000000000001</c:v>
                </c:pt>
                <c:pt idx="64">
                  <c:v>0.33700000000000002</c:v>
                </c:pt>
                <c:pt idx="65">
                  <c:v>0.34110000000000001</c:v>
                </c:pt>
                <c:pt idx="66">
                  <c:v>0.3362</c:v>
                </c:pt>
                <c:pt idx="67">
                  <c:v>0.34339999999999998</c:v>
                </c:pt>
                <c:pt idx="68">
                  <c:v>0.3483</c:v>
                </c:pt>
                <c:pt idx="69">
                  <c:v>0.35389999999999999</c:v>
                </c:pt>
                <c:pt idx="70">
                  <c:v>0.32779999999999998</c:v>
                </c:pt>
                <c:pt idx="71">
                  <c:v>0.3463</c:v>
                </c:pt>
                <c:pt idx="72">
                  <c:v>0.34289999999999998</c:v>
                </c:pt>
                <c:pt idx="73">
                  <c:v>0.37680000000000002</c:v>
                </c:pt>
                <c:pt idx="74">
                  <c:v>0.37730000000000002</c:v>
                </c:pt>
                <c:pt idx="75">
                  <c:v>0.37819999999999998</c:v>
                </c:pt>
                <c:pt idx="76">
                  <c:v>0.37890000000000001</c:v>
                </c:pt>
                <c:pt idx="77">
                  <c:v>0.39090000000000003</c:v>
                </c:pt>
                <c:pt idx="78">
                  <c:v>0.3831</c:v>
                </c:pt>
                <c:pt idx="79">
                  <c:v>0.41270000000000001</c:v>
                </c:pt>
                <c:pt idx="80">
                  <c:v>0.378</c:v>
                </c:pt>
                <c:pt idx="81">
                  <c:v>0.36359999999999998</c:v>
                </c:pt>
                <c:pt idx="82">
                  <c:v>0.35909999999999997</c:v>
                </c:pt>
                <c:pt idx="83">
                  <c:v>0.35870000000000002</c:v>
                </c:pt>
                <c:pt idx="84">
                  <c:v>0.36870000000000003</c:v>
                </c:pt>
                <c:pt idx="85">
                  <c:v>0.38519999999999999</c:v>
                </c:pt>
                <c:pt idx="86">
                  <c:v>0.38250000000000001</c:v>
                </c:pt>
                <c:pt idx="87">
                  <c:v>0.3659</c:v>
                </c:pt>
                <c:pt idx="88">
                  <c:v>0.3725</c:v>
                </c:pt>
                <c:pt idx="89">
                  <c:v>0.3584</c:v>
                </c:pt>
                <c:pt idx="90">
                  <c:v>0.36230000000000001</c:v>
                </c:pt>
                <c:pt idx="91">
                  <c:v>0.34260000000000002</c:v>
                </c:pt>
                <c:pt idx="92">
                  <c:v>0.33029999999999998</c:v>
                </c:pt>
                <c:pt idx="93">
                  <c:v>0.37309999999999999</c:v>
                </c:pt>
                <c:pt idx="94">
                  <c:v>0.38800000000000001</c:v>
                </c:pt>
                <c:pt idx="95">
                  <c:v>0.37230000000000002</c:v>
                </c:pt>
                <c:pt idx="96">
                  <c:v>0.378</c:v>
                </c:pt>
                <c:pt idx="97">
                  <c:v>0.37209999999999999</c:v>
                </c:pt>
                <c:pt idx="98">
                  <c:v>0.373</c:v>
                </c:pt>
                <c:pt idx="99">
                  <c:v>0.39179999999999998</c:v>
                </c:pt>
                <c:pt idx="100">
                  <c:v>0.37369999999999998</c:v>
                </c:pt>
                <c:pt idx="101">
                  <c:v>0.37959999999999999</c:v>
                </c:pt>
                <c:pt idx="102">
                  <c:v>0.38340000000000002</c:v>
                </c:pt>
                <c:pt idx="103">
                  <c:v>0.3967</c:v>
                </c:pt>
                <c:pt idx="104">
                  <c:v>0.36159999999999998</c:v>
                </c:pt>
                <c:pt idx="105">
                  <c:v>0.36980000000000002</c:v>
                </c:pt>
                <c:pt idx="106">
                  <c:v>0.36799999999999999</c:v>
                </c:pt>
                <c:pt idx="107">
                  <c:v>0.33279999999999998</c:v>
                </c:pt>
                <c:pt idx="108">
                  <c:v>0.34449999999999997</c:v>
                </c:pt>
                <c:pt idx="109">
                  <c:v>0.33110000000000001</c:v>
                </c:pt>
                <c:pt idx="110">
                  <c:v>0.35310000000000002</c:v>
                </c:pt>
                <c:pt idx="111">
                  <c:v>0.33629999999999999</c:v>
                </c:pt>
                <c:pt idx="112">
                  <c:v>0.34350000000000003</c:v>
                </c:pt>
                <c:pt idx="113">
                  <c:v>0.35780000000000001</c:v>
                </c:pt>
                <c:pt idx="114">
                  <c:v>0.31879999999999997</c:v>
                </c:pt>
                <c:pt idx="115">
                  <c:v>0.312</c:v>
                </c:pt>
                <c:pt idx="116">
                  <c:v>0.31419999999999998</c:v>
                </c:pt>
                <c:pt idx="117">
                  <c:v>0.31640000000000001</c:v>
                </c:pt>
                <c:pt idx="118">
                  <c:v>0.30030000000000001</c:v>
                </c:pt>
                <c:pt idx="119">
                  <c:v>0.2787</c:v>
                </c:pt>
                <c:pt idx="120">
                  <c:v>0.26960000000000001</c:v>
                </c:pt>
                <c:pt idx="121">
                  <c:v>0.25659999999999999</c:v>
                </c:pt>
                <c:pt idx="122">
                  <c:v>0.26500000000000001</c:v>
                </c:pt>
                <c:pt idx="123">
                  <c:v>0.27600000000000002</c:v>
                </c:pt>
                <c:pt idx="124">
                  <c:v>0.27679999999999999</c:v>
                </c:pt>
                <c:pt idx="125">
                  <c:v>0.28110000000000002</c:v>
                </c:pt>
                <c:pt idx="126">
                  <c:v>0.30299999999999999</c:v>
                </c:pt>
                <c:pt idx="127">
                  <c:v>0.29260000000000003</c:v>
                </c:pt>
                <c:pt idx="128">
                  <c:v>0.26590000000000003</c:v>
                </c:pt>
                <c:pt idx="129">
                  <c:v>0.28910000000000002</c:v>
                </c:pt>
                <c:pt idx="130">
                  <c:v>0.31340000000000001</c:v>
                </c:pt>
                <c:pt idx="131">
                  <c:v>0.32190000000000002</c:v>
                </c:pt>
                <c:pt idx="132">
                  <c:v>0.31950000000000001</c:v>
                </c:pt>
                <c:pt idx="133">
                  <c:v>0.33069999999999999</c:v>
                </c:pt>
                <c:pt idx="134">
                  <c:v>0.34100000000000003</c:v>
                </c:pt>
                <c:pt idx="135">
                  <c:v>0.33129999999999998</c:v>
                </c:pt>
                <c:pt idx="136">
                  <c:v>0.31859999999999999</c:v>
                </c:pt>
                <c:pt idx="137">
                  <c:v>0.33260000000000001</c:v>
                </c:pt>
                <c:pt idx="138">
                  <c:v>0.32519999999999999</c:v>
                </c:pt>
                <c:pt idx="139">
                  <c:v>0.31690000000000002</c:v>
                </c:pt>
                <c:pt idx="140">
                  <c:v>0.33260000000000001</c:v>
                </c:pt>
                <c:pt idx="141">
                  <c:v>0.32979999999999998</c:v>
                </c:pt>
                <c:pt idx="142">
                  <c:v>0.33579999999999999</c:v>
                </c:pt>
                <c:pt idx="143">
                  <c:v>0.4239</c:v>
                </c:pt>
                <c:pt idx="144">
                  <c:v>0.39760000000000001</c:v>
                </c:pt>
                <c:pt idx="145">
                  <c:v>0.36990000000000001</c:v>
                </c:pt>
                <c:pt idx="146">
                  <c:v>0.36880000000000002</c:v>
                </c:pt>
                <c:pt idx="147">
                  <c:v>0.35899999999999999</c:v>
                </c:pt>
                <c:pt idx="148">
                  <c:v>0.35339999999999999</c:v>
                </c:pt>
                <c:pt idx="149">
                  <c:v>0.33929999999999999</c:v>
                </c:pt>
                <c:pt idx="150">
                  <c:v>0.3296</c:v>
                </c:pt>
                <c:pt idx="151">
                  <c:v>0.34310000000000002</c:v>
                </c:pt>
                <c:pt idx="152">
                  <c:v>0.34760000000000002</c:v>
                </c:pt>
                <c:pt idx="153">
                  <c:v>0.35709999999999997</c:v>
                </c:pt>
                <c:pt idx="154">
                  <c:v>0.33479999999999999</c:v>
                </c:pt>
                <c:pt idx="155">
                  <c:v>0.35893999999999998</c:v>
                </c:pt>
                <c:pt idx="156">
                  <c:v>0.35037000000000001</c:v>
                </c:pt>
                <c:pt idx="157">
                  <c:v>0.37873000000000001</c:v>
                </c:pt>
                <c:pt idx="158">
                  <c:v>0.37514999999999998</c:v>
                </c:pt>
                <c:pt idx="159">
                  <c:v>0.37167</c:v>
                </c:pt>
                <c:pt idx="160">
                  <c:v>0.38489000000000001</c:v>
                </c:pt>
                <c:pt idx="161">
                  <c:v>0.36731999999999998</c:v>
                </c:pt>
                <c:pt idx="162">
                  <c:v>0.34150999999999998</c:v>
                </c:pt>
                <c:pt idx="163">
                  <c:v>0.3412</c:v>
                </c:pt>
                <c:pt idx="164">
                  <c:v>0.37128</c:v>
                </c:pt>
                <c:pt idx="165">
                  <c:v>0.39079000000000003</c:v>
                </c:pt>
                <c:pt idx="166">
                  <c:v>0.39473999999999998</c:v>
                </c:pt>
                <c:pt idx="167">
                  <c:v>0.35998999999999998</c:v>
                </c:pt>
                <c:pt idx="168">
                  <c:v>0.32876</c:v>
                </c:pt>
                <c:pt idx="169">
                  <c:v>0.33717999999999998</c:v>
                </c:pt>
                <c:pt idx="170">
                  <c:v>0.31019000000000002</c:v>
                </c:pt>
                <c:pt idx="171">
                  <c:v>0.29859999999999998</c:v>
                </c:pt>
                <c:pt idx="172">
                  <c:v>0.28716000000000003</c:v>
                </c:pt>
                <c:pt idx="173">
                  <c:v>0.30745</c:v>
                </c:pt>
                <c:pt idx="174">
                  <c:v>0.28532000000000002</c:v>
                </c:pt>
                <c:pt idx="175">
                  <c:v>0.28022000000000002</c:v>
                </c:pt>
                <c:pt idx="176">
                  <c:v>0.28055999999999998</c:v>
                </c:pt>
                <c:pt idx="177">
                  <c:v>0.27433000000000002</c:v>
                </c:pt>
                <c:pt idx="178">
                  <c:v>0.27437</c:v>
                </c:pt>
                <c:pt idx="179">
                  <c:v>0.27504000000000001</c:v>
                </c:pt>
                <c:pt idx="180">
                  <c:v>0.28421999999999997</c:v>
                </c:pt>
                <c:pt idx="181">
                  <c:v>0.27926000000000001</c:v>
                </c:pt>
                <c:pt idx="182">
                  <c:v>0.27244000000000002</c:v>
                </c:pt>
                <c:pt idx="183">
                  <c:v>0.27016000000000001</c:v>
                </c:pt>
                <c:pt idx="184">
                  <c:v>0.26290000000000002</c:v>
                </c:pt>
                <c:pt idx="185">
                  <c:v>0.26018999999999998</c:v>
                </c:pt>
                <c:pt idx="186">
                  <c:v>0.26172000000000001</c:v>
                </c:pt>
                <c:pt idx="187">
                  <c:v>0.26706000000000002</c:v>
                </c:pt>
                <c:pt idx="188">
                  <c:v>0.26924999999999999</c:v>
                </c:pt>
                <c:pt idx="189">
                  <c:v>0.26356000000000002</c:v>
                </c:pt>
                <c:pt idx="190">
                  <c:v>0.22825000000000001</c:v>
                </c:pt>
                <c:pt idx="191">
                  <c:v>0.21192</c:v>
                </c:pt>
                <c:pt idx="192">
                  <c:v>0.21148</c:v>
                </c:pt>
                <c:pt idx="193">
                  <c:v>0.22977</c:v>
                </c:pt>
                <c:pt idx="194">
                  <c:v>0.2326</c:v>
                </c:pt>
                <c:pt idx="195">
                  <c:v>0.23513000000000001</c:v>
                </c:pt>
                <c:pt idx="196">
                  <c:v>0.24081</c:v>
                </c:pt>
                <c:pt idx="197">
                  <c:v>0.23993999999999999</c:v>
                </c:pt>
                <c:pt idx="198">
                  <c:v>0.23222000000000001</c:v>
                </c:pt>
                <c:pt idx="199">
                  <c:v>0.23834</c:v>
                </c:pt>
                <c:pt idx="200">
                  <c:v>0.24595</c:v>
                </c:pt>
                <c:pt idx="201">
                  <c:v>0.24478</c:v>
                </c:pt>
                <c:pt idx="202">
                  <c:v>0.24565999999999999</c:v>
                </c:pt>
                <c:pt idx="203">
                  <c:v>0.24285999999999999</c:v>
                </c:pt>
                <c:pt idx="204">
                  <c:v>0.25641000000000003</c:v>
                </c:pt>
                <c:pt idx="205">
                  <c:v>0.26042999999999999</c:v>
                </c:pt>
                <c:pt idx="206">
                  <c:v>0.25325999999999999</c:v>
                </c:pt>
                <c:pt idx="207">
                  <c:v>0.26813999999999999</c:v>
                </c:pt>
                <c:pt idx="208">
                  <c:v>0.26394000000000001</c:v>
                </c:pt>
                <c:pt idx="209">
                  <c:v>0.26286999999999999</c:v>
                </c:pt>
                <c:pt idx="210">
                  <c:v>0.26889999999999997</c:v>
                </c:pt>
                <c:pt idx="211">
                  <c:v>0.28388999999999998</c:v>
                </c:pt>
                <c:pt idx="212">
                  <c:v>0.28320000000000001</c:v>
                </c:pt>
                <c:pt idx="213">
                  <c:v>0.26349</c:v>
                </c:pt>
                <c:pt idx="214">
                  <c:v>0.25979000000000002</c:v>
                </c:pt>
                <c:pt idx="215">
                  <c:v>0.24940000000000001</c:v>
                </c:pt>
                <c:pt idx="216">
                  <c:v>0.24091000000000001</c:v>
                </c:pt>
                <c:pt idx="217">
                  <c:v>0.26879999999999998</c:v>
                </c:pt>
                <c:pt idx="218">
                  <c:v>0.25546000000000002</c:v>
                </c:pt>
                <c:pt idx="219">
                  <c:v>0.23502999999999999</c:v>
                </c:pt>
                <c:pt idx="220">
                  <c:v>0.23580999999999999</c:v>
                </c:pt>
                <c:pt idx="221">
                  <c:v>0.29738999999999999</c:v>
                </c:pt>
                <c:pt idx="222">
                  <c:v>0.28853000000000001</c:v>
                </c:pt>
                <c:pt idx="223">
                  <c:v>0.29725000000000001</c:v>
                </c:pt>
                <c:pt idx="224">
                  <c:v>0.31751000000000001</c:v>
                </c:pt>
                <c:pt idx="225">
                  <c:v>0.31766</c:v>
                </c:pt>
                <c:pt idx="226">
                  <c:v>0.33351999999999998</c:v>
                </c:pt>
                <c:pt idx="227">
                  <c:v>0.34300000000000003</c:v>
                </c:pt>
                <c:pt idx="228">
                  <c:v>0.34486</c:v>
                </c:pt>
                <c:pt idx="229">
                  <c:v>0.32784000000000002</c:v>
                </c:pt>
                <c:pt idx="230">
                  <c:v>0.31816</c:v>
                </c:pt>
                <c:pt idx="231">
                  <c:v>0.33887</c:v>
                </c:pt>
                <c:pt idx="232">
                  <c:v>0.36501</c:v>
                </c:pt>
                <c:pt idx="233">
                  <c:v>0.34927999999999998</c:v>
                </c:pt>
                <c:pt idx="234">
                  <c:v>0.3463</c:v>
                </c:pt>
                <c:pt idx="235">
                  <c:v>0.38052999999999998</c:v>
                </c:pt>
                <c:pt idx="236">
                  <c:v>0.37487999999999999</c:v>
                </c:pt>
                <c:pt idx="237">
                  <c:v>0.38450000000000001</c:v>
                </c:pt>
                <c:pt idx="238">
                  <c:v>0.42530000000000001</c:v>
                </c:pt>
                <c:pt idx="239">
                  <c:v>0.41880000000000001</c:v>
                </c:pt>
                <c:pt idx="240">
                  <c:v>0.41864000000000001</c:v>
                </c:pt>
                <c:pt idx="241">
                  <c:v>0.40243000000000001</c:v>
                </c:pt>
                <c:pt idx="242">
                  <c:v>0.37465999999999999</c:v>
                </c:pt>
                <c:pt idx="243">
                  <c:v>0.36728</c:v>
                </c:pt>
                <c:pt idx="244">
                  <c:v>0.39933000000000002</c:v>
                </c:pt>
                <c:pt idx="245">
                  <c:v>0.42058000000000001</c:v>
                </c:pt>
                <c:pt idx="246">
                  <c:v>0.44368000000000002</c:v>
                </c:pt>
                <c:pt idx="247">
                  <c:v>0.42921999999999999</c:v>
                </c:pt>
                <c:pt idx="248">
                  <c:v>0.43963999999999998</c:v>
                </c:pt>
                <c:pt idx="249">
                  <c:v>0.36199999999999999</c:v>
                </c:pt>
                <c:pt idx="250">
                  <c:v>0.38917000000000002</c:v>
                </c:pt>
                <c:pt idx="251">
                  <c:v>0.41883999999999999</c:v>
                </c:pt>
                <c:pt idx="252">
                  <c:v>0.49469000000000002</c:v>
                </c:pt>
                <c:pt idx="253">
                  <c:v>0.44314999999999999</c:v>
                </c:pt>
                <c:pt idx="254">
                  <c:v>0.64539999999999997</c:v>
                </c:pt>
                <c:pt idx="255">
                  <c:v>0.64322999999999997</c:v>
                </c:pt>
                <c:pt idx="256">
                  <c:v>0.71026999999999996</c:v>
                </c:pt>
                <c:pt idx="257">
                  <c:v>0.68081000000000003</c:v>
                </c:pt>
                <c:pt idx="258">
                  <c:v>0.66884999999999994</c:v>
                </c:pt>
                <c:pt idx="259">
                  <c:v>0.65366000000000002</c:v>
                </c:pt>
                <c:pt idx="260">
                  <c:v>0.59553999999999996</c:v>
                </c:pt>
                <c:pt idx="261">
                  <c:v>0.73465000000000003</c:v>
                </c:pt>
                <c:pt idx="262">
                  <c:v>0.65642999999999996</c:v>
                </c:pt>
                <c:pt idx="263">
                  <c:v>0.62804000000000004</c:v>
                </c:pt>
                <c:pt idx="264">
                  <c:v>0.61380000000000001</c:v>
                </c:pt>
                <c:pt idx="265">
                  <c:v>0.63063000000000002</c:v>
                </c:pt>
                <c:pt idx="266">
                  <c:v>0.65085000000000004</c:v>
                </c:pt>
                <c:pt idx="267">
                  <c:v>0.60472999999999999</c:v>
                </c:pt>
                <c:pt idx="268">
                  <c:v>0.50151999999999997</c:v>
                </c:pt>
                <c:pt idx="269">
                  <c:v>0.55044000000000004</c:v>
                </c:pt>
                <c:pt idx="270">
                  <c:v>0.55601</c:v>
                </c:pt>
                <c:pt idx="271">
                  <c:v>0.54</c:v>
                </c:pt>
                <c:pt idx="272">
                  <c:v>0.52966000000000002</c:v>
                </c:pt>
                <c:pt idx="273">
                  <c:v>0.49162</c:v>
                </c:pt>
                <c:pt idx="274">
                  <c:v>0.49686999999999998</c:v>
                </c:pt>
                <c:pt idx="275">
                  <c:v>0.50963000000000003</c:v>
                </c:pt>
                <c:pt idx="276">
                  <c:v>0.48599999999999999</c:v>
                </c:pt>
                <c:pt idx="277">
                  <c:v>0.41620000000000001</c:v>
                </c:pt>
                <c:pt idx="278">
                  <c:v>0.42507</c:v>
                </c:pt>
                <c:pt idx="279">
                  <c:v>0.45068999999999998</c:v>
                </c:pt>
                <c:pt idx="280">
                  <c:v>0.44951000000000002</c:v>
                </c:pt>
                <c:pt idx="281">
                  <c:v>0.48893999999999999</c:v>
                </c:pt>
                <c:pt idx="282">
                  <c:v>0.52876999999999996</c:v>
                </c:pt>
                <c:pt idx="283">
                  <c:v>0.49981999999999999</c:v>
                </c:pt>
                <c:pt idx="284">
                  <c:v>0.54459000000000002</c:v>
                </c:pt>
                <c:pt idx="285">
                  <c:v>0.59136999999999995</c:v>
                </c:pt>
                <c:pt idx="286">
                  <c:v>0.61004999999999998</c:v>
                </c:pt>
                <c:pt idx="287">
                  <c:v>0.63966000000000001</c:v>
                </c:pt>
                <c:pt idx="288">
                  <c:v>0.63505</c:v>
                </c:pt>
                <c:pt idx="289">
                  <c:v>0.65700999999999998</c:v>
                </c:pt>
                <c:pt idx="290">
                  <c:v>0.59050999999999998</c:v>
                </c:pt>
                <c:pt idx="291">
                  <c:v>0.58440000000000003</c:v>
                </c:pt>
                <c:pt idx="292">
                  <c:v>0.56191999999999998</c:v>
                </c:pt>
                <c:pt idx="293">
                  <c:v>0.48607</c:v>
                </c:pt>
                <c:pt idx="294">
                  <c:v>0.505</c:v>
                </c:pt>
                <c:pt idx="295">
                  <c:v>0.47256999999999999</c:v>
                </c:pt>
                <c:pt idx="296">
                  <c:v>0.54205999999999999</c:v>
                </c:pt>
                <c:pt idx="297">
                  <c:v>0.53705999999999998</c:v>
                </c:pt>
                <c:pt idx="298">
                  <c:v>0.42851</c:v>
                </c:pt>
                <c:pt idx="299">
                  <c:v>0.40809000000000001</c:v>
                </c:pt>
                <c:pt idx="300">
                  <c:v>0.43897000000000003</c:v>
                </c:pt>
                <c:pt idx="301">
                  <c:v>0.42430000000000001</c:v>
                </c:pt>
                <c:pt idx="302">
                  <c:v>0.40560000000000002</c:v>
                </c:pt>
                <c:pt idx="303">
                  <c:v>0.40076000000000001</c:v>
                </c:pt>
                <c:pt idx="304">
                  <c:v>0.40445999999999999</c:v>
                </c:pt>
                <c:pt idx="305">
                  <c:v>0.39755000000000001</c:v>
                </c:pt>
                <c:pt idx="306">
                  <c:v>0.38185000000000002</c:v>
                </c:pt>
                <c:pt idx="307">
                  <c:v>0.3846</c:v>
                </c:pt>
                <c:pt idx="308">
                  <c:v>0.36112</c:v>
                </c:pt>
                <c:pt idx="309">
                  <c:v>0.36153000000000002</c:v>
                </c:pt>
                <c:pt idx="310">
                  <c:v>0.39517999999999998</c:v>
                </c:pt>
                <c:pt idx="311">
                  <c:v>0.39238000000000001</c:v>
                </c:pt>
                <c:pt idx="312">
                  <c:v>0.40347</c:v>
                </c:pt>
                <c:pt idx="313">
                  <c:v>0.41576999999999997</c:v>
                </c:pt>
                <c:pt idx="314">
                  <c:v>0.39485999999999999</c:v>
                </c:pt>
                <c:pt idx="315">
                  <c:v>0.39439000000000002</c:v>
                </c:pt>
                <c:pt idx="316">
                  <c:v>0.40267999999999998</c:v>
                </c:pt>
                <c:pt idx="317">
                  <c:v>0.39562999999999998</c:v>
                </c:pt>
                <c:pt idx="318">
                  <c:v>0.38429000000000002</c:v>
                </c:pt>
                <c:pt idx="319">
                  <c:v>0.38830999999999999</c:v>
                </c:pt>
                <c:pt idx="320">
                  <c:v>0.40661000000000003</c:v>
                </c:pt>
                <c:pt idx="321">
                  <c:v>0.38657000000000002</c:v>
                </c:pt>
                <c:pt idx="322">
                  <c:v>0.40564</c:v>
                </c:pt>
                <c:pt idx="323">
                  <c:v>0.40888999999999998</c:v>
                </c:pt>
                <c:pt idx="324">
                  <c:v>0.43186000000000002</c:v>
                </c:pt>
                <c:pt idx="325">
                  <c:v>0.41821000000000003</c:v>
                </c:pt>
                <c:pt idx="326">
                  <c:v>0.41265000000000002</c:v>
                </c:pt>
                <c:pt idx="327">
                  <c:v>0.40142</c:v>
                </c:pt>
                <c:pt idx="328">
                  <c:v>0.40483000000000002</c:v>
                </c:pt>
                <c:pt idx="329">
                  <c:v>0.41182000000000002</c:v>
                </c:pt>
                <c:pt idx="330">
                  <c:v>0.42052</c:v>
                </c:pt>
                <c:pt idx="331">
                  <c:v>0.41855999999999999</c:v>
                </c:pt>
                <c:pt idx="332">
                  <c:v>0.43069000000000002</c:v>
                </c:pt>
                <c:pt idx="333">
                  <c:v>0.40587000000000001</c:v>
                </c:pt>
                <c:pt idx="334">
                  <c:v>0.43791999999999998</c:v>
                </c:pt>
                <c:pt idx="335">
                  <c:v>0.40029999999999999</c:v>
                </c:pt>
                <c:pt idx="336">
                  <c:v>0.38022</c:v>
                </c:pt>
                <c:pt idx="337">
                  <c:v>0.40538000000000002</c:v>
                </c:pt>
                <c:pt idx="338">
                  <c:v>0.38651999999999997</c:v>
                </c:pt>
                <c:pt idx="339">
                  <c:v>0.46362999999999999</c:v>
                </c:pt>
                <c:pt idx="340">
                  <c:v>0.49601000000000001</c:v>
                </c:pt>
                <c:pt idx="341">
                  <c:v>0.48613000000000001</c:v>
                </c:pt>
                <c:pt idx="342">
                  <c:v>0.51278000000000001</c:v>
                </c:pt>
                <c:pt idx="343">
                  <c:v>0.49656</c:v>
                </c:pt>
                <c:pt idx="344">
                  <c:v>0.49736999999999998</c:v>
                </c:pt>
                <c:pt idx="345">
                  <c:v>0.48533999999999999</c:v>
                </c:pt>
                <c:pt idx="346">
                  <c:v>0.49474000000000001</c:v>
                </c:pt>
                <c:pt idx="347">
                  <c:v>0.51590999999999998</c:v>
                </c:pt>
                <c:pt idx="348">
                  <c:v>0.56455999999999995</c:v>
                </c:pt>
                <c:pt idx="349">
                  <c:v>0.52853000000000006</c:v>
                </c:pt>
                <c:pt idx="350">
                  <c:v>0.45604</c:v>
                </c:pt>
                <c:pt idx="351">
                  <c:v>0.41494999999999999</c:v>
                </c:pt>
                <c:pt idx="352">
                  <c:v>0.40022000000000002</c:v>
                </c:pt>
                <c:pt idx="353">
                  <c:v>0.39660000000000001</c:v>
                </c:pt>
                <c:pt idx="354">
                  <c:v>0.38540000000000002</c:v>
                </c:pt>
                <c:pt idx="355">
                  <c:v>0.37739</c:v>
                </c:pt>
                <c:pt idx="356">
                  <c:v>0.35154999999999997</c:v>
                </c:pt>
                <c:pt idx="357">
                  <c:v>0.32568999999999998</c:v>
                </c:pt>
                <c:pt idx="358">
                  <c:v>0.34670000000000001</c:v>
                </c:pt>
                <c:pt idx="359">
                  <c:v>0.33932000000000001</c:v>
                </c:pt>
                <c:pt idx="360">
                  <c:v>0.32323000000000002</c:v>
                </c:pt>
                <c:pt idx="361">
                  <c:v>0.30703999999999998</c:v>
                </c:pt>
                <c:pt idx="362">
                  <c:v>0.32790999999999998</c:v>
                </c:pt>
                <c:pt idx="363">
                  <c:v>0.29321999999999998</c:v>
                </c:pt>
                <c:pt idx="364">
                  <c:v>0.29305999999999999</c:v>
                </c:pt>
                <c:pt idx="365">
                  <c:v>0.23779</c:v>
                </c:pt>
                <c:pt idx="366">
                  <c:v>0.26144000000000001</c:v>
                </c:pt>
                <c:pt idx="367">
                  <c:v>0.26101999999999997</c:v>
                </c:pt>
                <c:pt idx="368">
                  <c:v>0.27138000000000001</c:v>
                </c:pt>
                <c:pt idx="369">
                  <c:v>0.26977000000000001</c:v>
                </c:pt>
                <c:pt idx="370">
                  <c:v>0.26940999999999998</c:v>
                </c:pt>
                <c:pt idx="371">
                  <c:v>0.25140000000000001</c:v>
                </c:pt>
                <c:pt idx="372">
                  <c:v>0.29358000000000001</c:v>
                </c:pt>
                <c:pt idx="373">
                  <c:v>0.29748000000000002</c:v>
                </c:pt>
                <c:pt idx="374">
                  <c:v>0.30543999999999999</c:v>
                </c:pt>
                <c:pt idx="375">
                  <c:v>0.30380000000000001</c:v>
                </c:pt>
                <c:pt idx="376">
                  <c:v>0.29075000000000001</c:v>
                </c:pt>
                <c:pt idx="377">
                  <c:v>0.28373999999999999</c:v>
                </c:pt>
                <c:pt idx="378">
                  <c:v>0.30349999999999999</c:v>
                </c:pt>
                <c:pt idx="379">
                  <c:v>0.30356</c:v>
                </c:pt>
                <c:pt idx="380">
                  <c:v>0.27993000000000001</c:v>
                </c:pt>
                <c:pt idx="381">
                  <c:v>0.27118999999999999</c:v>
                </c:pt>
                <c:pt idx="382">
                  <c:v>0.28449999999999998</c:v>
                </c:pt>
                <c:pt idx="383">
                  <c:v>0.31053999999999998</c:v>
                </c:pt>
                <c:pt idx="384">
                  <c:v>0.29699999999999999</c:v>
                </c:pt>
                <c:pt idx="385">
                  <c:v>0.31124000000000002</c:v>
                </c:pt>
                <c:pt idx="386">
                  <c:v>0.33938000000000001</c:v>
                </c:pt>
                <c:pt idx="387">
                  <c:v>0.19291</c:v>
                </c:pt>
                <c:pt idx="388">
                  <c:v>0.16403999999999999</c:v>
                </c:pt>
                <c:pt idx="389">
                  <c:v>0.13653000000000001</c:v>
                </c:pt>
                <c:pt idx="390">
                  <c:v>0.12751000000000001</c:v>
                </c:pt>
                <c:pt idx="391">
                  <c:v>0.13206999999999999</c:v>
                </c:pt>
                <c:pt idx="392">
                  <c:v>0.12762000000000001</c:v>
                </c:pt>
                <c:pt idx="393">
                  <c:v>0.13175000000000001</c:v>
                </c:pt>
                <c:pt idx="394">
                  <c:v>0.13830999999999999</c:v>
                </c:pt>
                <c:pt idx="395">
                  <c:v>0.14448</c:v>
                </c:pt>
                <c:pt idx="396">
                  <c:v>0.14527000000000001</c:v>
                </c:pt>
                <c:pt idx="397">
                  <c:v>0.14673</c:v>
                </c:pt>
                <c:pt idx="398">
                  <c:v>0.15237999999999999</c:v>
                </c:pt>
                <c:pt idx="399">
                  <c:v>0.15817999999999999</c:v>
                </c:pt>
                <c:pt idx="400">
                  <c:v>0.12661</c:v>
                </c:pt>
                <c:pt idx="401">
                  <c:v>0.16211999999999999</c:v>
                </c:pt>
                <c:pt idx="402">
                  <c:v>0.16519</c:v>
                </c:pt>
                <c:pt idx="403">
                  <c:v>0.17666000000000001</c:v>
                </c:pt>
                <c:pt idx="404">
                  <c:v>0.18139</c:v>
                </c:pt>
                <c:pt idx="405">
                  <c:v>0.18525</c:v>
                </c:pt>
                <c:pt idx="406">
                  <c:v>0.18612000000000001</c:v>
                </c:pt>
                <c:pt idx="407">
                  <c:v>0.19320999999999999</c:v>
                </c:pt>
                <c:pt idx="408">
                  <c:v>0.1661</c:v>
                </c:pt>
                <c:pt idx="409">
                  <c:v>0.17019999999999999</c:v>
                </c:pt>
                <c:pt idx="410">
                  <c:v>0.17610000000000001</c:v>
                </c:pt>
                <c:pt idx="411">
                  <c:v>0.15887999999999999</c:v>
                </c:pt>
                <c:pt idx="412">
                  <c:v>0.15076999999999999</c:v>
                </c:pt>
                <c:pt idx="413">
                  <c:v>0.16073000000000001</c:v>
                </c:pt>
                <c:pt idx="414">
                  <c:v>0.17205999999999999</c:v>
                </c:pt>
                <c:pt idx="415">
                  <c:v>0.15262999999999999</c:v>
                </c:pt>
                <c:pt idx="416">
                  <c:v>0.16803999999999999</c:v>
                </c:pt>
                <c:pt idx="417">
                  <c:v>0.17593</c:v>
                </c:pt>
                <c:pt idx="418">
                  <c:v>0.17169999999999999</c:v>
                </c:pt>
                <c:pt idx="419">
                  <c:v>0.16153999999999999</c:v>
                </c:pt>
                <c:pt idx="420">
                  <c:v>0.18436</c:v>
                </c:pt>
                <c:pt idx="421">
                  <c:v>0.18514</c:v>
                </c:pt>
                <c:pt idx="422">
                  <c:v>0.18382000000000001</c:v>
                </c:pt>
                <c:pt idx="423">
                  <c:v>0.20294999999999999</c:v>
                </c:pt>
                <c:pt idx="424">
                  <c:v>0.19423000000000001</c:v>
                </c:pt>
                <c:pt idx="425">
                  <c:v>0.20021</c:v>
                </c:pt>
                <c:pt idx="426">
                  <c:v>0.20699000000000001</c:v>
                </c:pt>
                <c:pt idx="427">
                  <c:v>0.16835</c:v>
                </c:pt>
                <c:pt idx="428">
                  <c:v>0.19295000000000001</c:v>
                </c:pt>
                <c:pt idx="429">
                  <c:v>0.19571</c:v>
                </c:pt>
                <c:pt idx="430">
                  <c:v>0.13231000000000001</c:v>
                </c:pt>
                <c:pt idx="431">
                  <c:v>0.10426000000000001</c:v>
                </c:pt>
                <c:pt idx="432">
                  <c:v>0.109</c:v>
                </c:pt>
                <c:pt idx="433">
                  <c:v>8.8529999999999998E-2</c:v>
                </c:pt>
                <c:pt idx="434">
                  <c:v>8.4010000000000001E-2</c:v>
                </c:pt>
                <c:pt idx="435">
                  <c:v>8.3650000000000002E-2</c:v>
                </c:pt>
                <c:pt idx="436">
                  <c:v>8.6499999999999994E-2</c:v>
                </c:pt>
                <c:pt idx="437">
                  <c:v>8.2500000000000004E-2</c:v>
                </c:pt>
                <c:pt idx="438">
                  <c:v>8.0089999999999995E-2</c:v>
                </c:pt>
                <c:pt idx="439">
                  <c:v>8.0939999999999998E-2</c:v>
                </c:pt>
                <c:pt idx="440">
                  <c:v>8.2489999999999994E-2</c:v>
                </c:pt>
                <c:pt idx="441">
                  <c:v>8.0689999999999998E-2</c:v>
                </c:pt>
                <c:pt idx="442">
                  <c:v>8.0390000000000003E-2</c:v>
                </c:pt>
                <c:pt idx="443">
                  <c:v>7.9670000000000005E-2</c:v>
                </c:pt>
                <c:pt idx="444">
                  <c:v>7.9699999999999993E-2</c:v>
                </c:pt>
                <c:pt idx="445">
                  <c:v>8.1500000000000003E-2</c:v>
                </c:pt>
                <c:pt idx="446">
                  <c:v>7.9519999999999993E-2</c:v>
                </c:pt>
                <c:pt idx="447">
                  <c:v>8.3879999999999996E-2</c:v>
                </c:pt>
                <c:pt idx="448">
                  <c:v>8.0390000000000003E-2</c:v>
                </c:pt>
                <c:pt idx="449">
                  <c:v>7.4560000000000001E-2</c:v>
                </c:pt>
                <c:pt idx="450">
                  <c:v>7.5420000000000001E-2</c:v>
                </c:pt>
                <c:pt idx="451">
                  <c:v>7.5569999999999998E-2</c:v>
                </c:pt>
                <c:pt idx="452">
                  <c:v>7.8609999999999999E-2</c:v>
                </c:pt>
                <c:pt idx="453">
                  <c:v>7.775E-2</c:v>
                </c:pt>
                <c:pt idx="454">
                  <c:v>7.6689999999999994E-2</c:v>
                </c:pt>
                <c:pt idx="455">
                  <c:v>7.7499999999999999E-2</c:v>
                </c:pt>
                <c:pt idx="456">
                  <c:v>7.8320000000000001E-2</c:v>
                </c:pt>
                <c:pt idx="457">
                  <c:v>8.183E-2</c:v>
                </c:pt>
                <c:pt idx="458">
                  <c:v>8.1040000000000001E-2</c:v>
                </c:pt>
                <c:pt idx="459">
                  <c:v>8.3040000000000003E-2</c:v>
                </c:pt>
                <c:pt idx="460">
                  <c:v>8.5610000000000006E-2</c:v>
                </c:pt>
                <c:pt idx="461">
                  <c:v>8.3680000000000004E-2</c:v>
                </c:pt>
                <c:pt idx="462">
                  <c:v>8.5519999999999999E-2</c:v>
                </c:pt>
                <c:pt idx="463">
                  <c:v>8.3580000000000002E-2</c:v>
                </c:pt>
                <c:pt idx="464">
                  <c:v>8.0750000000000002E-2</c:v>
                </c:pt>
                <c:pt idx="465">
                  <c:v>8.5199999999999998E-2</c:v>
                </c:pt>
                <c:pt idx="466">
                  <c:v>7.9420000000000004E-2</c:v>
                </c:pt>
                <c:pt idx="467">
                  <c:v>8.1519999999999995E-2</c:v>
                </c:pt>
                <c:pt idx="468">
                  <c:v>7.9089999999999994E-2</c:v>
                </c:pt>
                <c:pt idx="469">
                  <c:v>7.4079999999999993E-2</c:v>
                </c:pt>
                <c:pt idx="470">
                  <c:v>7.3980000000000004E-2</c:v>
                </c:pt>
                <c:pt idx="471">
                  <c:v>7.6350000000000001E-2</c:v>
                </c:pt>
                <c:pt idx="472">
                  <c:v>7.7609999999999998E-2</c:v>
                </c:pt>
                <c:pt idx="473">
                  <c:v>7.7130000000000004E-2</c:v>
                </c:pt>
                <c:pt idx="474">
                  <c:v>7.7299999999999994E-2</c:v>
                </c:pt>
                <c:pt idx="475">
                  <c:v>7.5020000000000003E-2</c:v>
                </c:pt>
                <c:pt idx="476">
                  <c:v>7.3109999999999994E-2</c:v>
                </c:pt>
                <c:pt idx="477">
                  <c:v>7.2330000000000005E-2</c:v>
                </c:pt>
                <c:pt idx="478">
                  <c:v>7.2370000000000004E-2</c:v>
                </c:pt>
                <c:pt idx="479">
                  <c:v>7.331E-2</c:v>
                </c:pt>
                <c:pt idx="480">
                  <c:v>7.2900000000000006E-2</c:v>
                </c:pt>
                <c:pt idx="481">
                  <c:v>7.0999999999999994E-2</c:v>
                </c:pt>
                <c:pt idx="482">
                  <c:v>7.0959999999999995E-2</c:v>
                </c:pt>
                <c:pt idx="483">
                  <c:v>7.3139999999999997E-2</c:v>
                </c:pt>
                <c:pt idx="484">
                  <c:v>7.4840000000000004E-2</c:v>
                </c:pt>
                <c:pt idx="485">
                  <c:v>7.4069999999999997E-2</c:v>
                </c:pt>
                <c:pt idx="486">
                  <c:v>7.3230000000000003E-2</c:v>
                </c:pt>
                <c:pt idx="487">
                  <c:v>7.3349999999999999E-2</c:v>
                </c:pt>
                <c:pt idx="488">
                  <c:v>7.3849999999999999E-2</c:v>
                </c:pt>
                <c:pt idx="489">
                  <c:v>7.467E-2</c:v>
                </c:pt>
                <c:pt idx="490">
                  <c:v>7.0430000000000006E-2</c:v>
                </c:pt>
                <c:pt idx="491">
                  <c:v>6.7400000000000002E-2</c:v>
                </c:pt>
                <c:pt idx="492">
                  <c:v>7.1669999999999998E-2</c:v>
                </c:pt>
                <c:pt idx="493">
                  <c:v>6.9959999999999994E-2</c:v>
                </c:pt>
                <c:pt idx="494">
                  <c:v>7.6929999999999998E-2</c:v>
                </c:pt>
                <c:pt idx="495">
                  <c:v>7.8570000000000001E-2</c:v>
                </c:pt>
                <c:pt idx="496">
                  <c:v>7.825E-2</c:v>
                </c:pt>
                <c:pt idx="497">
                  <c:v>8.0430000000000001E-2</c:v>
                </c:pt>
                <c:pt idx="498">
                  <c:v>7.9990000000000006E-2</c:v>
                </c:pt>
                <c:pt idx="499">
                  <c:v>7.7780000000000002E-2</c:v>
                </c:pt>
                <c:pt idx="500">
                  <c:v>8.0210000000000004E-2</c:v>
                </c:pt>
                <c:pt idx="501">
                  <c:v>8.0009999999999998E-2</c:v>
                </c:pt>
                <c:pt idx="502">
                  <c:v>8.3820000000000006E-2</c:v>
                </c:pt>
                <c:pt idx="503">
                  <c:v>8.3739999999999995E-2</c:v>
                </c:pt>
                <c:pt idx="504">
                  <c:v>8.1170000000000006E-2</c:v>
                </c:pt>
                <c:pt idx="505">
                  <c:v>7.8320000000000001E-2</c:v>
                </c:pt>
                <c:pt idx="506">
                  <c:v>7.7450000000000005E-2</c:v>
                </c:pt>
                <c:pt idx="507">
                  <c:v>7.8670000000000004E-2</c:v>
                </c:pt>
                <c:pt idx="508">
                  <c:v>7.7420000000000003E-2</c:v>
                </c:pt>
                <c:pt idx="509">
                  <c:v>7.5410000000000005E-2</c:v>
                </c:pt>
                <c:pt idx="510">
                  <c:v>8.0740000000000006E-2</c:v>
                </c:pt>
                <c:pt idx="511">
                  <c:v>7.7810000000000004E-2</c:v>
                </c:pt>
                <c:pt idx="512">
                  <c:v>9.2280000000000001E-2</c:v>
                </c:pt>
                <c:pt idx="513">
                  <c:v>9.8809999999999995E-2</c:v>
                </c:pt>
                <c:pt idx="514">
                  <c:v>9.6780000000000005E-2</c:v>
                </c:pt>
                <c:pt idx="515">
                  <c:v>9.8210000000000006E-2</c:v>
                </c:pt>
                <c:pt idx="516">
                  <c:v>9.6149999999999999E-2</c:v>
                </c:pt>
                <c:pt idx="517">
                  <c:v>9.5689999999999997E-2</c:v>
                </c:pt>
                <c:pt idx="518">
                  <c:v>9.3759999999999996E-2</c:v>
                </c:pt>
                <c:pt idx="519">
                  <c:v>9.8040000000000002E-2</c:v>
                </c:pt>
                <c:pt idx="520">
                  <c:v>9.7140000000000004E-2</c:v>
                </c:pt>
                <c:pt idx="521">
                  <c:v>0.10294</c:v>
                </c:pt>
                <c:pt idx="522">
                  <c:v>0.10292999999999999</c:v>
                </c:pt>
                <c:pt idx="523">
                  <c:v>0.10223</c:v>
                </c:pt>
                <c:pt idx="524">
                  <c:v>9.9489999999999995E-2</c:v>
                </c:pt>
                <c:pt idx="525">
                  <c:v>0.10728</c:v>
                </c:pt>
                <c:pt idx="526">
                  <c:v>0.10222000000000001</c:v>
                </c:pt>
                <c:pt idx="527">
                  <c:v>0.10807</c:v>
                </c:pt>
                <c:pt idx="528">
                  <c:v>0.11383</c:v>
                </c:pt>
                <c:pt idx="529">
                  <c:v>0.11516999999999999</c:v>
                </c:pt>
                <c:pt idx="530">
                  <c:v>0.10707</c:v>
                </c:pt>
                <c:pt idx="531">
                  <c:v>0.10478999999999999</c:v>
                </c:pt>
                <c:pt idx="532">
                  <c:v>0.10111000000000001</c:v>
                </c:pt>
                <c:pt idx="533">
                  <c:v>0.10147</c:v>
                </c:pt>
                <c:pt idx="534">
                  <c:v>0.10015</c:v>
                </c:pt>
                <c:pt idx="535">
                  <c:v>0.10625</c:v>
                </c:pt>
                <c:pt idx="536">
                  <c:v>0.10505</c:v>
                </c:pt>
                <c:pt idx="537">
                  <c:v>0.10324999999999999</c:v>
                </c:pt>
                <c:pt idx="538">
                  <c:v>0.10306</c:v>
                </c:pt>
                <c:pt idx="539">
                  <c:v>0.10624</c:v>
                </c:pt>
                <c:pt idx="540">
                  <c:v>0.10749</c:v>
                </c:pt>
                <c:pt idx="541">
                  <c:v>0.11015</c:v>
                </c:pt>
                <c:pt idx="542">
                  <c:v>0.10516</c:v>
                </c:pt>
                <c:pt idx="543">
                  <c:v>0.10251</c:v>
                </c:pt>
                <c:pt idx="544">
                  <c:v>0.10758</c:v>
                </c:pt>
                <c:pt idx="545">
                  <c:v>9.69E-2</c:v>
                </c:pt>
                <c:pt idx="546">
                  <c:v>9.6280000000000004E-2</c:v>
                </c:pt>
                <c:pt idx="547">
                  <c:v>9.4979999999999995E-2</c:v>
                </c:pt>
                <c:pt idx="548">
                  <c:v>9.7089999999999996E-2</c:v>
                </c:pt>
                <c:pt idx="549">
                  <c:v>9.4640000000000002E-2</c:v>
                </c:pt>
                <c:pt idx="550">
                  <c:v>9.9019999999999997E-2</c:v>
                </c:pt>
                <c:pt idx="551">
                  <c:v>0.10085</c:v>
                </c:pt>
                <c:pt idx="552">
                  <c:v>9.5759999999999998E-2</c:v>
                </c:pt>
                <c:pt idx="553">
                  <c:v>9.8150000000000001E-2</c:v>
                </c:pt>
                <c:pt idx="554">
                  <c:v>9.7379999999999994E-2</c:v>
                </c:pt>
                <c:pt idx="555">
                  <c:v>9.6530000000000005E-2</c:v>
                </c:pt>
                <c:pt idx="556">
                  <c:v>9.4280000000000003E-2</c:v>
                </c:pt>
                <c:pt idx="557">
                  <c:v>0.10009999999999999</c:v>
                </c:pt>
                <c:pt idx="558">
                  <c:v>0.10077</c:v>
                </c:pt>
                <c:pt idx="559">
                  <c:v>0.10397000000000001</c:v>
                </c:pt>
                <c:pt idx="560">
                  <c:v>0.10206999999999999</c:v>
                </c:pt>
                <c:pt idx="561">
                  <c:v>9.4359999999999999E-2</c:v>
                </c:pt>
                <c:pt idx="562">
                  <c:v>9.2079999999999995E-2</c:v>
                </c:pt>
                <c:pt idx="563">
                  <c:v>9.0090000000000003E-2</c:v>
                </c:pt>
                <c:pt idx="564">
                  <c:v>9.5320000000000002E-2</c:v>
                </c:pt>
                <c:pt idx="565">
                  <c:v>9.4109999999999999E-2</c:v>
                </c:pt>
                <c:pt idx="566">
                  <c:v>8.8999999999999996E-2</c:v>
                </c:pt>
                <c:pt idx="567">
                  <c:v>9.0480000000000005E-2</c:v>
                </c:pt>
                <c:pt idx="568">
                  <c:v>8.5379999999999998E-2</c:v>
                </c:pt>
                <c:pt idx="569">
                  <c:v>7.3480000000000004E-2</c:v>
                </c:pt>
                <c:pt idx="570">
                  <c:v>7.1739999999999998E-2</c:v>
                </c:pt>
                <c:pt idx="571">
                  <c:v>6.7169999999999994E-2</c:v>
                </c:pt>
                <c:pt idx="572">
                  <c:v>6.7979999999999999E-2</c:v>
                </c:pt>
                <c:pt idx="573">
                  <c:v>6.6979999999999998E-2</c:v>
                </c:pt>
                <c:pt idx="574">
                  <c:v>6.7610000000000003E-2</c:v>
                </c:pt>
                <c:pt idx="575">
                  <c:v>6.837E-2</c:v>
                </c:pt>
                <c:pt idx="576">
                  <c:v>6.6919999999999993E-2</c:v>
                </c:pt>
                <c:pt idx="577">
                  <c:v>6.5030000000000004E-2</c:v>
                </c:pt>
                <c:pt idx="578">
                  <c:v>6.4240000000000005E-2</c:v>
                </c:pt>
                <c:pt idx="579">
                  <c:v>6.2789999999999999E-2</c:v>
                </c:pt>
                <c:pt idx="580">
                  <c:v>6.6949999999999996E-2</c:v>
                </c:pt>
                <c:pt idx="581">
                  <c:v>6.7549999999999999E-2</c:v>
                </c:pt>
                <c:pt idx="582">
                  <c:v>6.8940000000000001E-2</c:v>
                </c:pt>
                <c:pt idx="583">
                  <c:v>7.1029999999999996E-2</c:v>
                </c:pt>
                <c:pt idx="584">
                  <c:v>7.1879999999999999E-2</c:v>
                </c:pt>
                <c:pt idx="585">
                  <c:v>6.8500000000000005E-2</c:v>
                </c:pt>
                <c:pt idx="586">
                  <c:v>6.9790000000000005E-2</c:v>
                </c:pt>
                <c:pt idx="587">
                  <c:v>6.9589999999999999E-2</c:v>
                </c:pt>
                <c:pt idx="588">
                  <c:v>7.0580000000000004E-2</c:v>
                </c:pt>
                <c:pt idx="589">
                  <c:v>7.1870000000000003E-2</c:v>
                </c:pt>
                <c:pt idx="590">
                  <c:v>7.1360000000000007E-2</c:v>
                </c:pt>
                <c:pt idx="591">
                  <c:v>7.0980000000000001E-2</c:v>
                </c:pt>
                <c:pt idx="592">
                  <c:v>7.077E-2</c:v>
                </c:pt>
                <c:pt idx="593">
                  <c:v>7.4090000000000003E-2</c:v>
                </c:pt>
                <c:pt idx="594">
                  <c:v>7.2819999999999996E-2</c:v>
                </c:pt>
                <c:pt idx="595">
                  <c:v>7.1069999999999994E-2</c:v>
                </c:pt>
                <c:pt idx="596">
                  <c:v>7.8850000000000003E-2</c:v>
                </c:pt>
                <c:pt idx="597">
                  <c:v>7.8170000000000003E-2</c:v>
                </c:pt>
                <c:pt idx="598">
                  <c:v>8.0060000000000006E-2</c:v>
                </c:pt>
                <c:pt idx="599">
                  <c:v>7.8799999999999995E-2</c:v>
                </c:pt>
                <c:pt idx="600">
                  <c:v>7.9699999999999993E-2</c:v>
                </c:pt>
                <c:pt idx="601">
                  <c:v>7.8880000000000006E-2</c:v>
                </c:pt>
                <c:pt idx="602">
                  <c:v>8.2040000000000002E-2</c:v>
                </c:pt>
                <c:pt idx="603">
                  <c:v>8.2780000000000006E-2</c:v>
                </c:pt>
                <c:pt idx="604">
                  <c:v>7.9509999999999997E-2</c:v>
                </c:pt>
                <c:pt idx="605">
                  <c:v>7.5730000000000006E-2</c:v>
                </c:pt>
                <c:pt idx="606">
                  <c:v>7.0499999999999993E-2</c:v>
                </c:pt>
                <c:pt idx="607">
                  <c:v>7.2520000000000001E-2</c:v>
                </c:pt>
                <c:pt idx="608">
                  <c:v>6.7769999999999997E-2</c:v>
                </c:pt>
                <c:pt idx="609">
                  <c:v>6.9099999999999995E-2</c:v>
                </c:pt>
                <c:pt idx="610">
                  <c:v>6.5970000000000001E-2</c:v>
                </c:pt>
                <c:pt idx="611">
                  <c:v>6.5060000000000007E-2</c:v>
                </c:pt>
                <c:pt idx="612">
                  <c:v>6.6239999999999993E-2</c:v>
                </c:pt>
                <c:pt idx="613">
                  <c:v>6.3899999999999998E-2</c:v>
                </c:pt>
                <c:pt idx="614">
                  <c:v>6.7129999999999995E-2</c:v>
                </c:pt>
                <c:pt idx="615">
                  <c:v>6.8110000000000004E-2</c:v>
                </c:pt>
                <c:pt idx="616">
                  <c:v>6.6439999999999999E-2</c:v>
                </c:pt>
                <c:pt idx="617">
                  <c:v>7.0930000000000007E-2</c:v>
                </c:pt>
                <c:pt idx="618">
                  <c:v>6.9790000000000005E-2</c:v>
                </c:pt>
                <c:pt idx="619">
                  <c:v>7.0269999999999999E-2</c:v>
                </c:pt>
                <c:pt idx="620">
                  <c:v>6.8729999999999999E-2</c:v>
                </c:pt>
                <c:pt idx="621">
                  <c:v>6.8059999999999996E-2</c:v>
                </c:pt>
                <c:pt idx="622">
                  <c:v>6.7280000000000006E-2</c:v>
                </c:pt>
                <c:pt idx="623">
                  <c:v>6.9260000000000002E-2</c:v>
                </c:pt>
                <c:pt idx="624">
                  <c:v>6.9769999999999999E-2</c:v>
                </c:pt>
                <c:pt idx="625">
                  <c:v>7.0169999999999996E-2</c:v>
                </c:pt>
                <c:pt idx="626">
                  <c:v>6.234E-2</c:v>
                </c:pt>
                <c:pt idx="627">
                  <c:v>6.4049999999999996E-2</c:v>
                </c:pt>
                <c:pt idx="628">
                  <c:v>7.1410000000000001E-2</c:v>
                </c:pt>
                <c:pt idx="629">
                  <c:v>7.2520000000000001E-2</c:v>
                </c:pt>
                <c:pt idx="630">
                  <c:v>7.2069999999999995E-2</c:v>
                </c:pt>
                <c:pt idx="631">
                  <c:v>6.9620000000000001E-2</c:v>
                </c:pt>
                <c:pt idx="632">
                  <c:v>7.2080000000000005E-2</c:v>
                </c:pt>
                <c:pt idx="633">
                  <c:v>7.3319999999999996E-2</c:v>
                </c:pt>
                <c:pt idx="634">
                  <c:v>7.2999999999999995E-2</c:v>
                </c:pt>
                <c:pt idx="635">
                  <c:v>7.5520000000000004E-2</c:v>
                </c:pt>
                <c:pt idx="636">
                  <c:v>7.2900000000000006E-2</c:v>
                </c:pt>
                <c:pt idx="637">
                  <c:v>6.7559999999999995E-2</c:v>
                </c:pt>
                <c:pt idx="638">
                  <c:v>7.2160000000000002E-2</c:v>
                </c:pt>
                <c:pt idx="639">
                  <c:v>6.855E-2</c:v>
                </c:pt>
                <c:pt idx="640">
                  <c:v>6.719E-2</c:v>
                </c:pt>
                <c:pt idx="641">
                  <c:v>6.1879999999999998E-2</c:v>
                </c:pt>
                <c:pt idx="642">
                  <c:v>6.1769999999999999E-2</c:v>
                </c:pt>
                <c:pt idx="643">
                  <c:v>6.1159999999999999E-2</c:v>
                </c:pt>
                <c:pt idx="644">
                  <c:v>6.2080000000000003E-2</c:v>
                </c:pt>
                <c:pt idx="645">
                  <c:v>5.4980000000000001E-2</c:v>
                </c:pt>
                <c:pt idx="646">
                  <c:v>5.0849999999999999E-2</c:v>
                </c:pt>
                <c:pt idx="647">
                  <c:v>4.947E-2</c:v>
                </c:pt>
                <c:pt idx="648">
                  <c:v>4.8800000000000003E-2</c:v>
                </c:pt>
                <c:pt idx="649">
                  <c:v>5.0560000000000001E-2</c:v>
                </c:pt>
                <c:pt idx="650">
                  <c:v>4.8559999999999999E-2</c:v>
                </c:pt>
                <c:pt idx="651">
                  <c:v>4.913E-2</c:v>
                </c:pt>
                <c:pt idx="652">
                  <c:v>4.607E-2</c:v>
                </c:pt>
                <c:pt idx="653">
                  <c:v>4.8050000000000002E-2</c:v>
                </c:pt>
                <c:pt idx="654">
                  <c:v>4.8160000000000001E-2</c:v>
                </c:pt>
                <c:pt idx="655">
                  <c:v>4.895E-2</c:v>
                </c:pt>
                <c:pt idx="656">
                  <c:v>4.9750000000000003E-2</c:v>
                </c:pt>
                <c:pt idx="657">
                  <c:v>4.7699999999999999E-2</c:v>
                </c:pt>
                <c:pt idx="658">
                  <c:v>5.1979999999999998E-2</c:v>
                </c:pt>
                <c:pt idx="659">
                  <c:v>5.1249999999999997E-2</c:v>
                </c:pt>
                <c:pt idx="660">
                  <c:v>4.845E-2</c:v>
                </c:pt>
                <c:pt idx="661">
                  <c:v>4.9849999999999998E-2</c:v>
                </c:pt>
                <c:pt idx="662">
                  <c:v>4.3499999999999997E-2</c:v>
                </c:pt>
                <c:pt idx="663">
                  <c:v>4.1840000000000002E-2</c:v>
                </c:pt>
                <c:pt idx="664">
                  <c:v>4.1399999999999999E-2</c:v>
                </c:pt>
                <c:pt idx="665">
                  <c:v>4.1230000000000003E-2</c:v>
                </c:pt>
                <c:pt idx="666">
                  <c:v>4.079E-2</c:v>
                </c:pt>
                <c:pt idx="667">
                  <c:v>4.0710000000000003E-2</c:v>
                </c:pt>
                <c:pt idx="668">
                  <c:v>4.0039999999999999E-2</c:v>
                </c:pt>
                <c:pt idx="669">
                  <c:v>3.773E-2</c:v>
                </c:pt>
                <c:pt idx="670">
                  <c:v>3.9949999999999999E-2</c:v>
                </c:pt>
                <c:pt idx="671">
                  <c:v>4.0399999999999998E-2</c:v>
                </c:pt>
                <c:pt idx="672">
                  <c:v>4.2840000000000003E-2</c:v>
                </c:pt>
                <c:pt idx="673">
                  <c:v>4.052E-2</c:v>
                </c:pt>
                <c:pt idx="674">
                  <c:v>4.0309999999999999E-2</c:v>
                </c:pt>
                <c:pt idx="675">
                  <c:v>3.9379999999999998E-2</c:v>
                </c:pt>
                <c:pt idx="676">
                  <c:v>3.6790000000000003E-2</c:v>
                </c:pt>
                <c:pt idx="677">
                  <c:v>3.9559999999999998E-2</c:v>
                </c:pt>
                <c:pt idx="678">
                  <c:v>3.9949999999999999E-2</c:v>
                </c:pt>
                <c:pt idx="679">
                  <c:v>4.1340000000000002E-2</c:v>
                </c:pt>
                <c:pt idx="680">
                  <c:v>3.6900000000000002E-2</c:v>
                </c:pt>
                <c:pt idx="681">
                  <c:v>3.7179999999999998E-2</c:v>
                </c:pt>
                <c:pt idx="682">
                  <c:v>3.5340000000000003E-2</c:v>
                </c:pt>
                <c:pt idx="683">
                  <c:v>3.7859999999999998E-2</c:v>
                </c:pt>
                <c:pt idx="684">
                  <c:v>3.6769999999999997E-2</c:v>
                </c:pt>
                <c:pt idx="685">
                  <c:v>3.9620000000000002E-2</c:v>
                </c:pt>
                <c:pt idx="686">
                  <c:v>3.1739999999999997E-2</c:v>
                </c:pt>
                <c:pt idx="687">
                  <c:v>5.042E-2</c:v>
                </c:pt>
                <c:pt idx="688">
                  <c:v>5.1979999999999998E-2</c:v>
                </c:pt>
                <c:pt idx="689">
                  <c:v>5.2350000000000001E-2</c:v>
                </c:pt>
                <c:pt idx="690">
                  <c:v>4.9689999999999998E-2</c:v>
                </c:pt>
                <c:pt idx="691">
                  <c:v>5.8279999999999998E-2</c:v>
                </c:pt>
                <c:pt idx="692">
                  <c:v>6.1370000000000001E-2</c:v>
                </c:pt>
                <c:pt idx="693">
                  <c:v>5.9659999999999998E-2</c:v>
                </c:pt>
                <c:pt idx="694">
                  <c:v>5.8569999999999997E-2</c:v>
                </c:pt>
                <c:pt idx="695">
                  <c:v>5.8160000000000003E-2</c:v>
                </c:pt>
                <c:pt idx="696">
                  <c:v>5.9679999999999997E-2</c:v>
                </c:pt>
                <c:pt idx="697">
                  <c:v>5.5820000000000002E-2</c:v>
                </c:pt>
                <c:pt idx="698">
                  <c:v>5.6939999999999998E-2</c:v>
                </c:pt>
                <c:pt idx="699">
                  <c:v>5.8409999999999997E-2</c:v>
                </c:pt>
                <c:pt idx="700">
                  <c:v>6.0449999999999997E-2</c:v>
                </c:pt>
                <c:pt idx="701">
                  <c:v>5.8729999999999997E-2</c:v>
                </c:pt>
                <c:pt idx="702">
                  <c:v>6.4019999999999994E-2</c:v>
                </c:pt>
                <c:pt idx="703">
                  <c:v>6.9110000000000005E-2</c:v>
                </c:pt>
                <c:pt idx="704">
                  <c:v>7.2989999999999999E-2</c:v>
                </c:pt>
                <c:pt idx="705">
                  <c:v>7.0300000000000001E-2</c:v>
                </c:pt>
                <c:pt idx="706">
                  <c:v>7.0989999999999998E-2</c:v>
                </c:pt>
                <c:pt idx="707">
                  <c:v>7.0400000000000004E-2</c:v>
                </c:pt>
                <c:pt idx="708">
                  <c:v>7.0129999999999998E-2</c:v>
                </c:pt>
                <c:pt idx="709">
                  <c:v>7.603E-2</c:v>
                </c:pt>
                <c:pt idx="710">
                  <c:v>7.2720000000000007E-2</c:v>
                </c:pt>
                <c:pt idx="711">
                  <c:v>7.4370000000000006E-2</c:v>
                </c:pt>
                <c:pt idx="712">
                  <c:v>7.8920000000000004E-2</c:v>
                </c:pt>
                <c:pt idx="713">
                  <c:v>8.6709999999999995E-2</c:v>
                </c:pt>
                <c:pt idx="714">
                  <c:v>8.3250000000000005E-2</c:v>
                </c:pt>
                <c:pt idx="715">
                  <c:v>8.004E-2</c:v>
                </c:pt>
                <c:pt idx="716">
                  <c:v>7.4039999999999995E-2</c:v>
                </c:pt>
                <c:pt idx="717">
                  <c:v>7.0510000000000003E-2</c:v>
                </c:pt>
                <c:pt idx="718">
                  <c:v>7.3270000000000002E-2</c:v>
                </c:pt>
                <c:pt idx="719">
                  <c:v>7.0900000000000005E-2</c:v>
                </c:pt>
                <c:pt idx="720">
                  <c:v>7.1879999999999999E-2</c:v>
                </c:pt>
                <c:pt idx="721">
                  <c:v>7.1129999999999999E-2</c:v>
                </c:pt>
                <c:pt idx="722">
                  <c:v>6.9080000000000003E-2</c:v>
                </c:pt>
                <c:pt idx="723">
                  <c:v>6.6339999999999996E-2</c:v>
                </c:pt>
                <c:pt idx="724">
                  <c:v>6.4299999999999996E-2</c:v>
                </c:pt>
                <c:pt idx="725">
                  <c:v>6.3450000000000006E-2</c:v>
                </c:pt>
                <c:pt idx="726">
                  <c:v>6.2239999999999997E-2</c:v>
                </c:pt>
                <c:pt idx="727">
                  <c:v>6.0600000000000001E-2</c:v>
                </c:pt>
                <c:pt idx="728">
                  <c:v>6.2799999999999995E-2</c:v>
                </c:pt>
                <c:pt idx="729">
                  <c:v>6.0830000000000002E-2</c:v>
                </c:pt>
                <c:pt idx="730">
                  <c:v>6.0720000000000003E-2</c:v>
                </c:pt>
                <c:pt idx="731">
                  <c:v>5.9709999999999999E-2</c:v>
                </c:pt>
                <c:pt idx="732">
                  <c:v>5.8409999999999997E-2</c:v>
                </c:pt>
                <c:pt idx="733">
                  <c:v>5.604E-2</c:v>
                </c:pt>
                <c:pt idx="734">
                  <c:v>5.7140000000000003E-2</c:v>
                </c:pt>
                <c:pt idx="735">
                  <c:v>5.833E-2</c:v>
                </c:pt>
                <c:pt idx="736">
                  <c:v>6.1359999999999998E-2</c:v>
                </c:pt>
                <c:pt idx="737">
                  <c:v>6.2789999999999999E-2</c:v>
                </c:pt>
                <c:pt idx="738">
                  <c:v>6.2740000000000004E-2</c:v>
                </c:pt>
                <c:pt idx="739">
                  <c:v>6.0040000000000003E-2</c:v>
                </c:pt>
                <c:pt idx="740">
                  <c:v>6.1490000000000003E-2</c:v>
                </c:pt>
                <c:pt idx="741">
                  <c:v>6.0720000000000003E-2</c:v>
                </c:pt>
                <c:pt idx="742">
                  <c:v>5.3670000000000002E-2</c:v>
                </c:pt>
                <c:pt idx="743">
                  <c:v>5.4800000000000001E-2</c:v>
                </c:pt>
                <c:pt idx="744">
                  <c:v>5.28E-2</c:v>
                </c:pt>
                <c:pt idx="745">
                  <c:v>4.8129999999999999E-2</c:v>
                </c:pt>
                <c:pt idx="746">
                  <c:v>4.9050000000000003E-2</c:v>
                </c:pt>
                <c:pt idx="747">
                  <c:v>4.8250000000000001E-2</c:v>
                </c:pt>
                <c:pt idx="748">
                  <c:v>4.802E-2</c:v>
                </c:pt>
                <c:pt idx="749">
                  <c:v>4.718E-2</c:v>
                </c:pt>
                <c:pt idx="750">
                  <c:v>4.768E-2</c:v>
                </c:pt>
                <c:pt idx="751">
                  <c:v>4.8390000000000002E-2</c:v>
                </c:pt>
                <c:pt idx="752">
                  <c:v>5.0459999999999998E-2</c:v>
                </c:pt>
                <c:pt idx="753">
                  <c:v>4.5440000000000001E-2</c:v>
                </c:pt>
                <c:pt idx="754">
                  <c:v>4.5650000000000003E-2</c:v>
                </c:pt>
                <c:pt idx="755">
                  <c:v>4.5659999999999999E-2</c:v>
                </c:pt>
                <c:pt idx="756">
                  <c:v>4.3610000000000003E-2</c:v>
                </c:pt>
                <c:pt idx="757">
                  <c:v>4.5289999999999997E-2</c:v>
                </c:pt>
                <c:pt idx="758">
                  <c:v>4.4949999999999997E-2</c:v>
                </c:pt>
                <c:pt idx="759">
                  <c:v>4.5519999999999998E-2</c:v>
                </c:pt>
                <c:pt idx="760">
                  <c:v>4.6190000000000002E-2</c:v>
                </c:pt>
                <c:pt idx="761">
                  <c:v>4.589E-2</c:v>
                </c:pt>
                <c:pt idx="762">
                  <c:v>4.5839999999999999E-2</c:v>
                </c:pt>
                <c:pt idx="763">
                  <c:v>4.4679999999999997E-2</c:v>
                </c:pt>
                <c:pt idx="764">
                  <c:v>4.4359999999999997E-2</c:v>
                </c:pt>
                <c:pt idx="765">
                  <c:v>4.5010000000000001E-2</c:v>
                </c:pt>
                <c:pt idx="766">
                  <c:v>4.4880000000000003E-2</c:v>
                </c:pt>
                <c:pt idx="767">
                  <c:v>4.7230000000000001E-2</c:v>
                </c:pt>
                <c:pt idx="768">
                  <c:v>4.539E-2</c:v>
                </c:pt>
                <c:pt idx="769">
                  <c:v>4.6190000000000002E-2</c:v>
                </c:pt>
                <c:pt idx="770">
                  <c:v>4.5190000000000001E-2</c:v>
                </c:pt>
                <c:pt idx="771">
                  <c:v>4.6550000000000001E-2</c:v>
                </c:pt>
                <c:pt idx="772">
                  <c:v>4.3310000000000001E-2</c:v>
                </c:pt>
                <c:pt idx="773">
                  <c:v>4.6960000000000002E-2</c:v>
                </c:pt>
                <c:pt idx="774">
                  <c:v>5.0970000000000001E-2</c:v>
                </c:pt>
                <c:pt idx="775">
                  <c:v>5.0900000000000001E-2</c:v>
                </c:pt>
                <c:pt idx="776">
                  <c:v>5.2699999999999997E-2</c:v>
                </c:pt>
                <c:pt idx="777">
                  <c:v>5.2010000000000001E-2</c:v>
                </c:pt>
                <c:pt idx="778">
                  <c:v>5.28E-2</c:v>
                </c:pt>
                <c:pt idx="779">
                  <c:v>5.3150000000000003E-2</c:v>
                </c:pt>
                <c:pt idx="780">
                  <c:v>5.4620000000000002E-2</c:v>
                </c:pt>
                <c:pt idx="781">
                  <c:v>5.5800000000000002E-2</c:v>
                </c:pt>
                <c:pt idx="782">
                  <c:v>5.5410000000000001E-2</c:v>
                </c:pt>
                <c:pt idx="783">
                  <c:v>5.5379999999999999E-2</c:v>
                </c:pt>
                <c:pt idx="784">
                  <c:v>5.5390000000000002E-2</c:v>
                </c:pt>
                <c:pt idx="785">
                  <c:v>5.4670000000000003E-2</c:v>
                </c:pt>
                <c:pt idx="786">
                  <c:v>5.5719999999999999E-2</c:v>
                </c:pt>
                <c:pt idx="787">
                  <c:v>5.5649999999999998E-2</c:v>
                </c:pt>
                <c:pt idx="788">
                  <c:v>5.7230000000000003E-2</c:v>
                </c:pt>
                <c:pt idx="789">
                  <c:v>5.7259999999999998E-2</c:v>
                </c:pt>
                <c:pt idx="790">
                  <c:v>5.8979999999999998E-2</c:v>
                </c:pt>
                <c:pt idx="791">
                  <c:v>5.7869999999999998E-2</c:v>
                </c:pt>
                <c:pt idx="792">
                  <c:v>5.8630000000000002E-2</c:v>
                </c:pt>
                <c:pt idx="793">
                  <c:v>5.7480000000000003E-2</c:v>
                </c:pt>
                <c:pt idx="794">
                  <c:v>5.7270000000000001E-2</c:v>
                </c:pt>
                <c:pt idx="795">
                  <c:v>5.5460000000000002E-2</c:v>
                </c:pt>
                <c:pt idx="796">
                  <c:v>6.1449999999999998E-2</c:v>
                </c:pt>
                <c:pt idx="797">
                  <c:v>5.9159999999999997E-2</c:v>
                </c:pt>
                <c:pt idx="798">
                  <c:v>6.0720000000000003E-2</c:v>
                </c:pt>
                <c:pt idx="799">
                  <c:v>6.4019999999999994E-2</c:v>
                </c:pt>
                <c:pt idx="800">
                  <c:v>6.5600000000000006E-2</c:v>
                </c:pt>
                <c:pt idx="801">
                  <c:v>6.6970000000000002E-2</c:v>
                </c:pt>
                <c:pt idx="802">
                  <c:v>7.1569999999999995E-2</c:v>
                </c:pt>
                <c:pt idx="803">
                  <c:v>7.1260000000000004E-2</c:v>
                </c:pt>
                <c:pt idx="804">
                  <c:v>7.2139999999999996E-2</c:v>
                </c:pt>
                <c:pt idx="805">
                  <c:v>7.4139999999999998E-2</c:v>
                </c:pt>
                <c:pt idx="806">
                  <c:v>7.6160000000000005E-2</c:v>
                </c:pt>
                <c:pt idx="807">
                  <c:v>7.6859999999999998E-2</c:v>
                </c:pt>
                <c:pt idx="808">
                  <c:v>0.08</c:v>
                </c:pt>
                <c:pt idx="809">
                  <c:v>7.8920000000000004E-2</c:v>
                </c:pt>
                <c:pt idx="810">
                  <c:v>7.3139999999999997E-2</c:v>
                </c:pt>
                <c:pt idx="811">
                  <c:v>7.1160000000000001E-2</c:v>
                </c:pt>
                <c:pt idx="812">
                  <c:v>7.4230000000000004E-2</c:v>
                </c:pt>
                <c:pt idx="813">
                  <c:v>7.6840000000000006E-2</c:v>
                </c:pt>
                <c:pt idx="814">
                  <c:v>8.2210000000000005E-2</c:v>
                </c:pt>
                <c:pt idx="815">
                  <c:v>7.9289999999999999E-2</c:v>
                </c:pt>
                <c:pt idx="816">
                  <c:v>6.8629999999999997E-2</c:v>
                </c:pt>
                <c:pt idx="817">
                  <c:v>7.1230000000000002E-2</c:v>
                </c:pt>
                <c:pt idx="818">
                  <c:v>6.9000000000000006E-2</c:v>
                </c:pt>
                <c:pt idx="819">
                  <c:v>6.5119999999999997E-2</c:v>
                </c:pt>
                <c:pt idx="820">
                  <c:v>6.3880000000000006E-2</c:v>
                </c:pt>
                <c:pt idx="821">
                  <c:v>6.6619999999999999E-2</c:v>
                </c:pt>
                <c:pt idx="822">
                  <c:v>6.4500000000000002E-2</c:v>
                </c:pt>
                <c:pt idx="823">
                  <c:v>6.5140000000000003E-2</c:v>
                </c:pt>
                <c:pt idx="824">
                  <c:v>6.2640000000000001E-2</c:v>
                </c:pt>
                <c:pt idx="825">
                  <c:v>6.429E-2</c:v>
                </c:pt>
                <c:pt idx="826">
                  <c:v>6.0150000000000002E-2</c:v>
                </c:pt>
                <c:pt idx="827">
                  <c:v>5.9839999999999997E-2</c:v>
                </c:pt>
                <c:pt idx="828">
                  <c:v>6.3210000000000002E-2</c:v>
                </c:pt>
                <c:pt idx="829">
                  <c:v>6.3869999999999996E-2</c:v>
                </c:pt>
                <c:pt idx="830">
                  <c:v>6.3200000000000006E-2</c:v>
                </c:pt>
                <c:pt idx="831">
                  <c:v>6.2469999999999998E-2</c:v>
                </c:pt>
                <c:pt idx="832">
                  <c:v>6.2990000000000004E-2</c:v>
                </c:pt>
                <c:pt idx="833">
                  <c:v>6.5049999999999997E-2</c:v>
                </c:pt>
                <c:pt idx="834">
                  <c:v>6.1710000000000001E-2</c:v>
                </c:pt>
                <c:pt idx="835">
                  <c:v>6.3899999999999998E-2</c:v>
                </c:pt>
                <c:pt idx="836">
                  <c:v>6.6129999999999994E-2</c:v>
                </c:pt>
                <c:pt idx="837">
                  <c:v>6.1359999999999998E-2</c:v>
                </c:pt>
                <c:pt idx="838">
                  <c:v>6.0830000000000002E-2</c:v>
                </c:pt>
                <c:pt idx="839">
                  <c:v>5.9700000000000003E-2</c:v>
                </c:pt>
                <c:pt idx="840">
                  <c:v>6.1460000000000001E-2</c:v>
                </c:pt>
                <c:pt idx="841">
                  <c:v>6.3079999999999997E-2</c:v>
                </c:pt>
                <c:pt idx="842">
                  <c:v>6.1809999999999997E-2</c:v>
                </c:pt>
                <c:pt idx="843">
                  <c:v>6.207E-2</c:v>
                </c:pt>
                <c:pt idx="844">
                  <c:v>5.8389999999999997E-2</c:v>
                </c:pt>
                <c:pt idx="845">
                  <c:v>5.8950000000000002E-2</c:v>
                </c:pt>
                <c:pt idx="846">
                  <c:v>5.8630000000000002E-2</c:v>
                </c:pt>
                <c:pt idx="847">
                  <c:v>5.8500000000000003E-2</c:v>
                </c:pt>
                <c:pt idx="848">
                  <c:v>5.9679999999999997E-2</c:v>
                </c:pt>
                <c:pt idx="849">
                  <c:v>5.8599999999999999E-2</c:v>
                </c:pt>
                <c:pt idx="850">
                  <c:v>6.182E-2</c:v>
                </c:pt>
                <c:pt idx="851">
                  <c:v>5.7910000000000003E-2</c:v>
                </c:pt>
                <c:pt idx="852">
                  <c:v>5.8310000000000001E-2</c:v>
                </c:pt>
                <c:pt idx="853">
                  <c:v>5.8880000000000002E-2</c:v>
                </c:pt>
                <c:pt idx="854">
                  <c:v>5.8430000000000003E-2</c:v>
                </c:pt>
                <c:pt idx="855">
                  <c:v>5.7320000000000003E-2</c:v>
                </c:pt>
                <c:pt idx="856">
                  <c:v>5.2749999999999998E-2</c:v>
                </c:pt>
                <c:pt idx="857">
                  <c:v>6.3600000000000004E-2</c:v>
                </c:pt>
                <c:pt idx="858">
                  <c:v>6.83E-2</c:v>
                </c:pt>
                <c:pt idx="859">
                  <c:v>6.9680000000000006E-2</c:v>
                </c:pt>
                <c:pt idx="860">
                  <c:v>7.1999999999999995E-2</c:v>
                </c:pt>
                <c:pt idx="861">
                  <c:v>8.072E-2</c:v>
                </c:pt>
                <c:pt idx="862">
                  <c:v>8.2570000000000005E-2</c:v>
                </c:pt>
                <c:pt idx="863">
                  <c:v>6.3469999999999999E-2</c:v>
                </c:pt>
                <c:pt idx="864">
                  <c:v>5.8639999999999998E-2</c:v>
                </c:pt>
                <c:pt idx="865">
                  <c:v>5.8250000000000003E-2</c:v>
                </c:pt>
                <c:pt idx="866">
                  <c:v>5.8680000000000003E-2</c:v>
                </c:pt>
                <c:pt idx="867">
                  <c:v>5.7770000000000002E-2</c:v>
                </c:pt>
                <c:pt idx="868">
                  <c:v>5.8290000000000002E-2</c:v>
                </c:pt>
                <c:pt idx="869">
                  <c:v>5.8590000000000003E-2</c:v>
                </c:pt>
                <c:pt idx="870">
                  <c:v>5.9630000000000002E-2</c:v>
                </c:pt>
                <c:pt idx="871">
                  <c:v>6.021E-2</c:v>
                </c:pt>
                <c:pt idx="872">
                  <c:v>6.105E-2</c:v>
                </c:pt>
                <c:pt idx="873">
                  <c:v>6.053E-2</c:v>
                </c:pt>
                <c:pt idx="874">
                  <c:v>5.8009999999999999E-2</c:v>
                </c:pt>
                <c:pt idx="875">
                  <c:v>6.0260000000000001E-2</c:v>
                </c:pt>
                <c:pt idx="876">
                  <c:v>6.1679999999999999E-2</c:v>
                </c:pt>
                <c:pt idx="877">
                  <c:v>6.3079999999999997E-2</c:v>
                </c:pt>
                <c:pt idx="878">
                  <c:v>6.3009999999999997E-2</c:v>
                </c:pt>
                <c:pt idx="879">
                  <c:v>6.2120000000000002E-2</c:v>
                </c:pt>
                <c:pt idx="880">
                  <c:v>6.1940000000000002E-2</c:v>
                </c:pt>
                <c:pt idx="881">
                  <c:v>6.191E-2</c:v>
                </c:pt>
                <c:pt idx="882">
                  <c:v>6.1620000000000001E-2</c:v>
                </c:pt>
                <c:pt idx="883">
                  <c:v>6.3979999999999995E-2</c:v>
                </c:pt>
                <c:pt idx="884">
                  <c:v>6.8500000000000005E-2</c:v>
                </c:pt>
                <c:pt idx="885">
                  <c:v>6.9599999999999995E-2</c:v>
                </c:pt>
                <c:pt idx="886">
                  <c:v>6.9400000000000003E-2</c:v>
                </c:pt>
                <c:pt idx="887">
                  <c:v>7.0349999999999996E-2</c:v>
                </c:pt>
                <c:pt idx="888">
                  <c:v>6.9199999999999998E-2</c:v>
                </c:pt>
                <c:pt idx="889">
                  <c:v>6.8180000000000004E-2</c:v>
                </c:pt>
                <c:pt idx="890">
                  <c:v>6.6909999999999997E-2</c:v>
                </c:pt>
                <c:pt idx="891">
                  <c:v>6.8769999999999998E-2</c:v>
                </c:pt>
                <c:pt idx="892">
                  <c:v>7.17E-2</c:v>
                </c:pt>
                <c:pt idx="893">
                  <c:v>7.0720000000000005E-2</c:v>
                </c:pt>
                <c:pt idx="894">
                  <c:v>6.7699999999999996E-2</c:v>
                </c:pt>
                <c:pt idx="895">
                  <c:v>6.8440000000000001E-2</c:v>
                </c:pt>
                <c:pt idx="896">
                  <c:v>7.0190000000000002E-2</c:v>
                </c:pt>
                <c:pt idx="897">
                  <c:v>6.9199999999999998E-2</c:v>
                </c:pt>
                <c:pt idx="898">
                  <c:v>7.442E-2</c:v>
                </c:pt>
                <c:pt idx="899">
                  <c:v>7.5469999999999995E-2</c:v>
                </c:pt>
                <c:pt idx="900">
                  <c:v>7.8200000000000006E-2</c:v>
                </c:pt>
                <c:pt idx="901">
                  <c:v>7.3749999999999996E-2</c:v>
                </c:pt>
                <c:pt idx="902">
                  <c:v>7.1819999999999995E-2</c:v>
                </c:pt>
                <c:pt idx="903">
                  <c:v>7.6910000000000006E-2</c:v>
                </c:pt>
                <c:pt idx="904">
                  <c:v>7.8589999999999993E-2</c:v>
                </c:pt>
                <c:pt idx="905">
                  <c:v>7.8369999999999995E-2</c:v>
                </c:pt>
                <c:pt idx="906">
                  <c:v>8.2409999999999997E-2</c:v>
                </c:pt>
                <c:pt idx="907">
                  <c:v>8.183E-2</c:v>
                </c:pt>
                <c:pt idx="908">
                  <c:v>8.2360000000000003E-2</c:v>
                </c:pt>
                <c:pt idx="909">
                  <c:v>8.1960000000000005E-2</c:v>
                </c:pt>
                <c:pt idx="910">
                  <c:v>8.2729999999999998E-2</c:v>
                </c:pt>
                <c:pt idx="911">
                  <c:v>8.3830000000000002E-2</c:v>
                </c:pt>
                <c:pt idx="912">
                  <c:v>8.3409999999999998E-2</c:v>
                </c:pt>
                <c:pt idx="913">
                  <c:v>8.3360000000000004E-2</c:v>
                </c:pt>
                <c:pt idx="914">
                  <c:v>8.4000000000000005E-2</c:v>
                </c:pt>
                <c:pt idx="915">
                  <c:v>8.4320000000000006E-2</c:v>
                </c:pt>
                <c:pt idx="916">
                  <c:v>8.7900000000000006E-2</c:v>
                </c:pt>
                <c:pt idx="917">
                  <c:v>8.5650000000000004E-2</c:v>
                </c:pt>
                <c:pt idx="918">
                  <c:v>8.6050000000000001E-2</c:v>
                </c:pt>
                <c:pt idx="919">
                  <c:v>8.4409999999999999E-2</c:v>
                </c:pt>
                <c:pt idx="920">
                  <c:v>8.8840000000000002E-2</c:v>
                </c:pt>
                <c:pt idx="921">
                  <c:v>9.1109999999999997E-2</c:v>
                </c:pt>
                <c:pt idx="922">
                  <c:v>9.4729999999999995E-2</c:v>
                </c:pt>
                <c:pt idx="923">
                  <c:v>9.332E-2</c:v>
                </c:pt>
                <c:pt idx="924">
                  <c:v>8.8300000000000003E-2</c:v>
                </c:pt>
                <c:pt idx="925">
                  <c:v>8.054E-2</c:v>
                </c:pt>
                <c:pt idx="926">
                  <c:v>7.8280000000000002E-2</c:v>
                </c:pt>
                <c:pt idx="927">
                  <c:v>8.5419999999999996E-2</c:v>
                </c:pt>
                <c:pt idx="928">
                  <c:v>8.5470000000000004E-2</c:v>
                </c:pt>
                <c:pt idx="929">
                  <c:v>9.6079999999999999E-2</c:v>
                </c:pt>
                <c:pt idx="930">
                  <c:v>9.7839999999999996E-2</c:v>
                </c:pt>
                <c:pt idx="931">
                  <c:v>8.6970000000000006E-2</c:v>
                </c:pt>
                <c:pt idx="932">
                  <c:v>9.4839999999999994E-2</c:v>
                </c:pt>
                <c:pt idx="933">
                  <c:v>0.10117</c:v>
                </c:pt>
                <c:pt idx="934">
                  <c:v>0.10395</c:v>
                </c:pt>
                <c:pt idx="935">
                  <c:v>0.10555</c:v>
                </c:pt>
                <c:pt idx="936">
                  <c:v>0.10373</c:v>
                </c:pt>
                <c:pt idx="937">
                  <c:v>0.10002999999999999</c:v>
                </c:pt>
                <c:pt idx="938">
                  <c:v>9.9080000000000001E-2</c:v>
                </c:pt>
                <c:pt idx="939">
                  <c:v>0.10559</c:v>
                </c:pt>
                <c:pt idx="940">
                  <c:v>0.10287</c:v>
                </c:pt>
                <c:pt idx="941">
                  <c:v>0.10596999999999999</c:v>
                </c:pt>
                <c:pt idx="942">
                  <c:v>0.10495</c:v>
                </c:pt>
                <c:pt idx="943">
                  <c:v>0.11491</c:v>
                </c:pt>
                <c:pt idx="944">
                  <c:v>0.11169</c:v>
                </c:pt>
                <c:pt idx="945">
                  <c:v>0.10921</c:v>
                </c:pt>
                <c:pt idx="946">
                  <c:v>0.12317</c:v>
                </c:pt>
                <c:pt idx="947">
                  <c:v>0.12399</c:v>
                </c:pt>
                <c:pt idx="948">
                  <c:v>0.12845000000000001</c:v>
                </c:pt>
                <c:pt idx="949">
                  <c:v>0.12817000000000001</c:v>
                </c:pt>
                <c:pt idx="950">
                  <c:v>0.12981000000000001</c:v>
                </c:pt>
                <c:pt idx="951">
                  <c:v>0.12315</c:v>
                </c:pt>
                <c:pt idx="952">
                  <c:v>0.12099</c:v>
                </c:pt>
                <c:pt idx="953">
                  <c:v>0.12382</c:v>
                </c:pt>
                <c:pt idx="954">
                  <c:v>0.1237</c:v>
                </c:pt>
                <c:pt idx="955">
                  <c:v>0.13086999999999999</c:v>
                </c:pt>
                <c:pt idx="956">
                  <c:v>0.12958</c:v>
                </c:pt>
                <c:pt idx="957">
                  <c:v>0.12637999999999999</c:v>
                </c:pt>
                <c:pt idx="958">
                  <c:v>0.12486</c:v>
                </c:pt>
                <c:pt idx="959">
                  <c:v>0.12414</c:v>
                </c:pt>
                <c:pt idx="960">
                  <c:v>0.12697</c:v>
                </c:pt>
                <c:pt idx="961">
                  <c:v>0.12234</c:v>
                </c:pt>
                <c:pt idx="962">
                  <c:v>0.12323000000000001</c:v>
                </c:pt>
                <c:pt idx="963">
                  <c:v>0.11845</c:v>
                </c:pt>
                <c:pt idx="964">
                  <c:v>0.12376</c:v>
                </c:pt>
                <c:pt idx="965">
                  <c:v>0.12705</c:v>
                </c:pt>
                <c:pt idx="966">
                  <c:v>0.12479999999999999</c:v>
                </c:pt>
                <c:pt idx="967">
                  <c:v>0.12119000000000001</c:v>
                </c:pt>
                <c:pt idx="968">
                  <c:v>0.12106</c:v>
                </c:pt>
                <c:pt idx="969">
                  <c:v>0.12764</c:v>
                </c:pt>
                <c:pt idx="970">
                  <c:v>0.13639000000000001</c:v>
                </c:pt>
                <c:pt idx="971">
                  <c:v>0.13256999999999999</c:v>
                </c:pt>
                <c:pt idx="972">
                  <c:v>0.13347999999999999</c:v>
                </c:pt>
                <c:pt idx="973">
                  <c:v>0.12872</c:v>
                </c:pt>
                <c:pt idx="974">
                  <c:v>0.13566</c:v>
                </c:pt>
                <c:pt idx="975">
                  <c:v>0.13916999999999999</c:v>
                </c:pt>
                <c:pt idx="976">
                  <c:v>0.13778000000000001</c:v>
                </c:pt>
                <c:pt idx="977">
                  <c:v>0.13159999999999999</c:v>
                </c:pt>
                <c:pt idx="978">
                  <c:v>0.12475</c:v>
                </c:pt>
                <c:pt idx="979">
                  <c:v>0.12522</c:v>
                </c:pt>
                <c:pt idx="980">
                  <c:v>0.12483</c:v>
                </c:pt>
                <c:pt idx="981">
                  <c:v>0.12173</c:v>
                </c:pt>
                <c:pt idx="982">
                  <c:v>0.13358999999999999</c:v>
                </c:pt>
                <c:pt idx="983">
                  <c:v>0.13494999999999999</c:v>
                </c:pt>
                <c:pt idx="984">
                  <c:v>0.14263999999999999</c:v>
                </c:pt>
                <c:pt idx="985">
                  <c:v>0.13128999999999999</c:v>
                </c:pt>
                <c:pt idx="986">
                  <c:v>0.13084000000000001</c:v>
                </c:pt>
                <c:pt idx="987">
                  <c:v>0.13805000000000001</c:v>
                </c:pt>
                <c:pt idx="988">
                  <c:v>0.14126</c:v>
                </c:pt>
                <c:pt idx="989">
                  <c:v>0.11337999999999999</c:v>
                </c:pt>
                <c:pt idx="990">
                  <c:v>9.9510000000000001E-2</c:v>
                </c:pt>
                <c:pt idx="991">
                  <c:v>9.8229999999999998E-2</c:v>
                </c:pt>
                <c:pt idx="992">
                  <c:v>0.10273</c:v>
                </c:pt>
                <c:pt idx="993">
                  <c:v>9.2380000000000004E-2</c:v>
                </c:pt>
                <c:pt idx="994">
                  <c:v>8.8830000000000006E-2</c:v>
                </c:pt>
                <c:pt idx="995">
                  <c:v>9.2160000000000006E-2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5-4DA4-B49B-4AE487A5ED6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131.27113193748718</c:v>
                </c:pt>
                <c:pt idx="1">
                  <c:v>131.33966555748717</c:v>
                </c:pt>
                <c:pt idx="2">
                  <c:v>131.75014704222403</c:v>
                </c:pt>
                <c:pt idx="3">
                  <c:v>131.32639683350607</c:v>
                </c:pt>
                <c:pt idx="4">
                  <c:v>129.92473182354044</c:v>
                </c:pt>
                <c:pt idx="5">
                  <c:v>128.73266849518222</c:v>
                </c:pt>
                <c:pt idx="6">
                  <c:v>128.15968535516001</c:v>
                </c:pt>
                <c:pt idx="7">
                  <c:v>129.65213964640023</c:v>
                </c:pt>
                <c:pt idx="8">
                  <c:v>130.31732702430415</c:v>
                </c:pt>
                <c:pt idx="9">
                  <c:v>130.7732725414009</c:v>
                </c:pt>
                <c:pt idx="10">
                  <c:v>130.60108443510876</c:v>
                </c:pt>
                <c:pt idx="11">
                  <c:v>130.44720631679195</c:v>
                </c:pt>
                <c:pt idx="12">
                  <c:v>130.36925796069437</c:v>
                </c:pt>
                <c:pt idx="13">
                  <c:v>131.13340138098422</c:v>
                </c:pt>
                <c:pt idx="14">
                  <c:v>132.30300762989989</c:v>
                </c:pt>
                <c:pt idx="15">
                  <c:v>133.23522566693691</c:v>
                </c:pt>
                <c:pt idx="16">
                  <c:v>132.72137176095077</c:v>
                </c:pt>
                <c:pt idx="17">
                  <c:v>132.08565090864306</c:v>
                </c:pt>
                <c:pt idx="18">
                  <c:v>131.82462344919102</c:v>
                </c:pt>
                <c:pt idx="19">
                  <c:v>131.56178289792979</c:v>
                </c:pt>
                <c:pt idx="20">
                  <c:v>131.6186049812631</c:v>
                </c:pt>
                <c:pt idx="21">
                  <c:v>131.96871518540104</c:v>
                </c:pt>
                <c:pt idx="22">
                  <c:v>131.6343036820677</c:v>
                </c:pt>
                <c:pt idx="23">
                  <c:v>132.17488246963529</c:v>
                </c:pt>
                <c:pt idx="24">
                  <c:v>132.88724603823991</c:v>
                </c:pt>
                <c:pt idx="25">
                  <c:v>133.10268359823991</c:v>
                </c:pt>
                <c:pt idx="26">
                  <c:v>132.41474834681136</c:v>
                </c:pt>
                <c:pt idx="27">
                  <c:v>131.92344803924379</c:v>
                </c:pt>
                <c:pt idx="28">
                  <c:v>132.03073935035488</c:v>
                </c:pt>
                <c:pt idx="29">
                  <c:v>132.01969072467921</c:v>
                </c:pt>
                <c:pt idx="30">
                  <c:v>132.56883384967921</c:v>
                </c:pt>
                <c:pt idx="31">
                  <c:v>133.68062388944753</c:v>
                </c:pt>
                <c:pt idx="32">
                  <c:v>133.67087771128962</c:v>
                </c:pt>
                <c:pt idx="33">
                  <c:v>133.39176705293801</c:v>
                </c:pt>
                <c:pt idx="34">
                  <c:v>133.04302758065373</c:v>
                </c:pt>
                <c:pt idx="35">
                  <c:v>133.53292400035522</c:v>
                </c:pt>
                <c:pt idx="36">
                  <c:v>132.52568707861613</c:v>
                </c:pt>
                <c:pt idx="37">
                  <c:v>133.51223430650072</c:v>
                </c:pt>
                <c:pt idx="38">
                  <c:v>132.52706614973425</c:v>
                </c:pt>
                <c:pt idx="39">
                  <c:v>133.36327387905627</c:v>
                </c:pt>
                <c:pt idx="40">
                  <c:v>133.97776461213803</c:v>
                </c:pt>
                <c:pt idx="41">
                  <c:v>134.34945057615079</c:v>
                </c:pt>
                <c:pt idx="42">
                  <c:v>134.36317973436505</c:v>
                </c:pt>
                <c:pt idx="43">
                  <c:v>135.28253912110083</c:v>
                </c:pt>
                <c:pt idx="44">
                  <c:v>134.19793242910083</c:v>
                </c:pt>
                <c:pt idx="45">
                  <c:v>133.07443596345982</c:v>
                </c:pt>
                <c:pt idx="46">
                  <c:v>133.9051312717275</c:v>
                </c:pt>
                <c:pt idx="47">
                  <c:v>133.76137019409592</c:v>
                </c:pt>
                <c:pt idx="48">
                  <c:v>133.70926049726665</c:v>
                </c:pt>
                <c:pt idx="49">
                  <c:v>134.90001635284807</c:v>
                </c:pt>
                <c:pt idx="50">
                  <c:v>136.41353261248551</c:v>
                </c:pt>
                <c:pt idx="51">
                  <c:v>135.0275940185924</c:v>
                </c:pt>
                <c:pt idx="52">
                  <c:v>135.63052018859241</c:v>
                </c:pt>
                <c:pt idx="53">
                  <c:v>132.87947209794982</c:v>
                </c:pt>
                <c:pt idx="54">
                  <c:v>132.45519947251506</c:v>
                </c:pt>
                <c:pt idx="55">
                  <c:v>131.06683529175552</c:v>
                </c:pt>
                <c:pt idx="56">
                  <c:v>133.8742120426231</c:v>
                </c:pt>
                <c:pt idx="57">
                  <c:v>132.9193979011105</c:v>
                </c:pt>
                <c:pt idx="58">
                  <c:v>133.7804624423226</c:v>
                </c:pt>
                <c:pt idx="59">
                  <c:v>134.30218272159919</c:v>
                </c:pt>
                <c:pt idx="60">
                  <c:v>134.24983811905685</c:v>
                </c:pt>
                <c:pt idx="61">
                  <c:v>133.35511277409441</c:v>
                </c:pt>
                <c:pt idx="62">
                  <c:v>133.64850613299853</c:v>
                </c:pt>
                <c:pt idx="63">
                  <c:v>133.4625985480204</c:v>
                </c:pt>
                <c:pt idx="64">
                  <c:v>132.92102567693442</c:v>
                </c:pt>
                <c:pt idx="65">
                  <c:v>132.90975565178292</c:v>
                </c:pt>
                <c:pt idx="66">
                  <c:v>131.88692800309866</c:v>
                </c:pt>
                <c:pt idx="67">
                  <c:v>132.90814599309869</c:v>
                </c:pt>
                <c:pt idx="68">
                  <c:v>132.9007528346639</c:v>
                </c:pt>
                <c:pt idx="69">
                  <c:v>132.81523077898822</c:v>
                </c:pt>
                <c:pt idx="70">
                  <c:v>131.85029451654381</c:v>
                </c:pt>
                <c:pt idx="71">
                  <c:v>132.36534094207911</c:v>
                </c:pt>
                <c:pt idx="72">
                  <c:v>131.58090505068373</c:v>
                </c:pt>
                <c:pt idx="73">
                  <c:v>132.50813013179013</c:v>
                </c:pt>
                <c:pt idx="74">
                  <c:v>133.50017131937634</c:v>
                </c:pt>
                <c:pt idx="75">
                  <c:v>133.16891035297633</c:v>
                </c:pt>
                <c:pt idx="76">
                  <c:v>132.92521344200071</c:v>
                </c:pt>
                <c:pt idx="77">
                  <c:v>132.95906122307454</c:v>
                </c:pt>
                <c:pt idx="78">
                  <c:v>132.71725429635919</c:v>
                </c:pt>
                <c:pt idx="79">
                  <c:v>135.01594299624111</c:v>
                </c:pt>
                <c:pt idx="80">
                  <c:v>133.09958868650693</c:v>
                </c:pt>
                <c:pt idx="81">
                  <c:v>131.84840271914169</c:v>
                </c:pt>
                <c:pt idx="82">
                  <c:v>131.42563608148211</c:v>
                </c:pt>
                <c:pt idx="83">
                  <c:v>131.18553588261685</c:v>
                </c:pt>
                <c:pt idx="84">
                  <c:v>132.08148698164914</c:v>
                </c:pt>
                <c:pt idx="85">
                  <c:v>132.8852069342891</c:v>
                </c:pt>
                <c:pt idx="86">
                  <c:v>132.77047648114225</c:v>
                </c:pt>
                <c:pt idx="87">
                  <c:v>131.49576849934226</c:v>
                </c:pt>
                <c:pt idx="88">
                  <c:v>131.56190811654653</c:v>
                </c:pt>
                <c:pt idx="89">
                  <c:v>131.69887830808736</c:v>
                </c:pt>
                <c:pt idx="90">
                  <c:v>131.69023147931185</c:v>
                </c:pt>
                <c:pt idx="91">
                  <c:v>130.54724819623493</c:v>
                </c:pt>
                <c:pt idx="92">
                  <c:v>129.68074781929877</c:v>
                </c:pt>
                <c:pt idx="93">
                  <c:v>130.53558107979057</c:v>
                </c:pt>
                <c:pt idx="94">
                  <c:v>131.14137010790941</c:v>
                </c:pt>
                <c:pt idx="95">
                  <c:v>130.10220136757042</c:v>
                </c:pt>
                <c:pt idx="96">
                  <c:v>130.59507385483872</c:v>
                </c:pt>
                <c:pt idx="97">
                  <c:v>129.77366166045775</c:v>
                </c:pt>
                <c:pt idx="98">
                  <c:v>129.94639883414197</c:v>
                </c:pt>
                <c:pt idx="99">
                  <c:v>131.91696877055989</c:v>
                </c:pt>
                <c:pt idx="100">
                  <c:v>129.86214518302322</c:v>
                </c:pt>
                <c:pt idx="101">
                  <c:v>130.004151498807</c:v>
                </c:pt>
                <c:pt idx="102">
                  <c:v>131.40619130416786</c:v>
                </c:pt>
                <c:pt idx="103">
                  <c:v>131.46933424928412</c:v>
                </c:pt>
                <c:pt idx="104">
                  <c:v>130.53588779842408</c:v>
                </c:pt>
                <c:pt idx="105">
                  <c:v>130.60650236520377</c:v>
                </c:pt>
                <c:pt idx="106">
                  <c:v>131.38576744317169</c:v>
                </c:pt>
                <c:pt idx="107">
                  <c:v>128.97946803866952</c:v>
                </c:pt>
                <c:pt idx="108">
                  <c:v>128.90704843835456</c:v>
                </c:pt>
                <c:pt idx="109">
                  <c:v>128.45586243743992</c:v>
                </c:pt>
                <c:pt idx="110">
                  <c:v>129.5886587394136</c:v>
                </c:pt>
                <c:pt idx="111">
                  <c:v>129.25570189293632</c:v>
                </c:pt>
                <c:pt idx="112">
                  <c:v>130.1812701485685</c:v>
                </c:pt>
                <c:pt idx="113">
                  <c:v>133.14663836383167</c:v>
                </c:pt>
                <c:pt idx="114">
                  <c:v>130.5752416701404</c:v>
                </c:pt>
                <c:pt idx="115">
                  <c:v>129.51245401229426</c:v>
                </c:pt>
                <c:pt idx="116">
                  <c:v>128.47643562955315</c:v>
                </c:pt>
                <c:pt idx="117">
                  <c:v>129.01076731435313</c:v>
                </c:pt>
                <c:pt idx="118">
                  <c:v>128.3400275627742</c:v>
                </c:pt>
                <c:pt idx="119">
                  <c:v>126.69285075486906</c:v>
                </c:pt>
                <c:pt idx="120">
                  <c:v>126.10571192395999</c:v>
                </c:pt>
                <c:pt idx="121">
                  <c:v>125.88731302195997</c:v>
                </c:pt>
                <c:pt idx="122">
                  <c:v>126.57891713563548</c:v>
                </c:pt>
                <c:pt idx="123">
                  <c:v>127.2774391969258</c:v>
                </c:pt>
                <c:pt idx="124">
                  <c:v>126.96069843025913</c:v>
                </c:pt>
                <c:pt idx="125">
                  <c:v>127.09495352871075</c:v>
                </c:pt>
                <c:pt idx="126">
                  <c:v>127.54045062001509</c:v>
                </c:pt>
                <c:pt idx="127">
                  <c:v>126.43038507406914</c:v>
                </c:pt>
                <c:pt idx="128">
                  <c:v>125.29238606345938</c:v>
                </c:pt>
                <c:pt idx="129">
                  <c:v>126.17965336089732</c:v>
                </c:pt>
                <c:pt idx="130">
                  <c:v>126.9186622001088</c:v>
                </c:pt>
                <c:pt idx="131">
                  <c:v>127.28659364037907</c:v>
                </c:pt>
                <c:pt idx="132">
                  <c:v>127.23236242116646</c:v>
                </c:pt>
                <c:pt idx="133">
                  <c:v>127.69307240420993</c:v>
                </c:pt>
                <c:pt idx="134">
                  <c:v>127.97494980216806</c:v>
                </c:pt>
                <c:pt idx="135">
                  <c:v>126.93068915073947</c:v>
                </c:pt>
                <c:pt idx="136">
                  <c:v>125.8936239295856</c:v>
                </c:pt>
                <c:pt idx="137">
                  <c:v>126.42175100158562</c:v>
                </c:pt>
                <c:pt idx="138">
                  <c:v>125.97376911872847</c:v>
                </c:pt>
                <c:pt idx="139">
                  <c:v>125.80026349878628</c:v>
                </c:pt>
                <c:pt idx="140">
                  <c:v>127.57927928554084</c:v>
                </c:pt>
                <c:pt idx="141">
                  <c:v>127.59832781412779</c:v>
                </c:pt>
                <c:pt idx="142">
                  <c:v>126.6009688086171</c:v>
                </c:pt>
                <c:pt idx="143">
                  <c:v>127.47057977099388</c:v>
                </c:pt>
                <c:pt idx="144">
                  <c:v>125.32658874755126</c:v>
                </c:pt>
                <c:pt idx="145">
                  <c:v>123.89250607504228</c:v>
                </c:pt>
                <c:pt idx="146">
                  <c:v>124.52262494747946</c:v>
                </c:pt>
                <c:pt idx="147">
                  <c:v>124.05212778635824</c:v>
                </c:pt>
                <c:pt idx="148">
                  <c:v>124.17768554458324</c:v>
                </c:pt>
                <c:pt idx="149">
                  <c:v>123.17032263681625</c:v>
                </c:pt>
                <c:pt idx="150">
                  <c:v>123.42494702473573</c:v>
                </c:pt>
                <c:pt idx="151">
                  <c:v>124.30869363609936</c:v>
                </c:pt>
                <c:pt idx="152">
                  <c:v>124.81854657763783</c:v>
                </c:pt>
                <c:pt idx="153">
                  <c:v>125.11028809001144</c:v>
                </c:pt>
                <c:pt idx="154">
                  <c:v>124.03575961922928</c:v>
                </c:pt>
                <c:pt idx="155">
                  <c:v>124.76279592414998</c:v>
                </c:pt>
                <c:pt idx="156">
                  <c:v>123.622864975803</c:v>
                </c:pt>
                <c:pt idx="157">
                  <c:v>124.90253846173519</c:v>
                </c:pt>
                <c:pt idx="158">
                  <c:v>124.94932229622478</c:v>
                </c:pt>
                <c:pt idx="159">
                  <c:v>124.79206776320339</c:v>
                </c:pt>
                <c:pt idx="160">
                  <c:v>125.31539071823343</c:v>
                </c:pt>
                <c:pt idx="161">
                  <c:v>123.97930505121556</c:v>
                </c:pt>
                <c:pt idx="162">
                  <c:v>122.38329740914521</c:v>
                </c:pt>
                <c:pt idx="163">
                  <c:v>122.38912115251613</c:v>
                </c:pt>
                <c:pt idx="164">
                  <c:v>124.16858448530151</c:v>
                </c:pt>
                <c:pt idx="165">
                  <c:v>126.03654538834658</c:v>
                </c:pt>
                <c:pt idx="166">
                  <c:v>125.44414286480806</c:v>
                </c:pt>
                <c:pt idx="167">
                  <c:v>123.04373392545924</c:v>
                </c:pt>
                <c:pt idx="168">
                  <c:v>121.62466707845874</c:v>
                </c:pt>
                <c:pt idx="169">
                  <c:v>122.22777768272819</c:v>
                </c:pt>
                <c:pt idx="170">
                  <c:v>121.4524933451556</c:v>
                </c:pt>
                <c:pt idx="171">
                  <c:v>120.69713776676285</c:v>
                </c:pt>
                <c:pt idx="172">
                  <c:v>120.07183186294633</c:v>
                </c:pt>
                <c:pt idx="173">
                  <c:v>121.18391595338359</c:v>
                </c:pt>
                <c:pt idx="174">
                  <c:v>119.58093452947558</c:v>
                </c:pt>
                <c:pt idx="175">
                  <c:v>118.70192526827897</c:v>
                </c:pt>
                <c:pt idx="176">
                  <c:v>117.88248426106377</c:v>
                </c:pt>
                <c:pt idx="177">
                  <c:v>117.29928465511851</c:v>
                </c:pt>
                <c:pt idx="178">
                  <c:v>116.96565949261112</c:v>
                </c:pt>
                <c:pt idx="179">
                  <c:v>117.42164781420421</c:v>
                </c:pt>
                <c:pt idx="180">
                  <c:v>118.70108483958285</c:v>
                </c:pt>
                <c:pt idx="181">
                  <c:v>118.28426967840086</c:v>
                </c:pt>
                <c:pt idx="182">
                  <c:v>117.65622087943372</c:v>
                </c:pt>
                <c:pt idx="183">
                  <c:v>117.13571472633235</c:v>
                </c:pt>
                <c:pt idx="184">
                  <c:v>117.11408405658348</c:v>
                </c:pt>
                <c:pt idx="185">
                  <c:v>116.83992498353201</c:v>
                </c:pt>
                <c:pt idx="186">
                  <c:v>118.26633399776414</c:v>
                </c:pt>
                <c:pt idx="187">
                  <c:v>118.12680378769025</c:v>
                </c:pt>
                <c:pt idx="188">
                  <c:v>118.03792615179985</c:v>
                </c:pt>
                <c:pt idx="189">
                  <c:v>116.98089949596834</c:v>
                </c:pt>
                <c:pt idx="190">
                  <c:v>114.24883535795342</c:v>
                </c:pt>
                <c:pt idx="191">
                  <c:v>113.13939287350335</c:v>
                </c:pt>
                <c:pt idx="192">
                  <c:v>112.29362678935324</c:v>
                </c:pt>
                <c:pt idx="193">
                  <c:v>113.11477739227112</c:v>
                </c:pt>
                <c:pt idx="194">
                  <c:v>113.52240523997946</c:v>
                </c:pt>
                <c:pt idx="195">
                  <c:v>113.59634815167253</c:v>
                </c:pt>
                <c:pt idx="196">
                  <c:v>115.65749979135893</c:v>
                </c:pt>
                <c:pt idx="197">
                  <c:v>114.87051545632274</c:v>
                </c:pt>
                <c:pt idx="198">
                  <c:v>114.1236368813401</c:v>
                </c:pt>
                <c:pt idx="199">
                  <c:v>114.40705706663441</c:v>
                </c:pt>
                <c:pt idx="200">
                  <c:v>114.95119184697374</c:v>
                </c:pt>
                <c:pt idx="201">
                  <c:v>114.686158694044</c:v>
                </c:pt>
                <c:pt idx="202">
                  <c:v>114.75924072530587</c:v>
                </c:pt>
                <c:pt idx="203">
                  <c:v>114.16852722248996</c:v>
                </c:pt>
                <c:pt idx="204">
                  <c:v>114.82188342791791</c:v>
                </c:pt>
                <c:pt idx="205">
                  <c:v>115.64526226812502</c:v>
                </c:pt>
                <c:pt idx="206">
                  <c:v>115.59579138798968</c:v>
                </c:pt>
                <c:pt idx="207">
                  <c:v>116.30582163366358</c:v>
                </c:pt>
                <c:pt idx="208">
                  <c:v>115.97636848837206</c:v>
                </c:pt>
                <c:pt idx="209">
                  <c:v>116.05939261850033</c:v>
                </c:pt>
                <c:pt idx="210">
                  <c:v>116.05494093304401</c:v>
                </c:pt>
                <c:pt idx="211">
                  <c:v>116.31951860897671</c:v>
                </c:pt>
                <c:pt idx="212">
                  <c:v>115.33881059117532</c:v>
                </c:pt>
                <c:pt idx="213">
                  <c:v>114.81229434543322</c:v>
                </c:pt>
                <c:pt idx="214">
                  <c:v>114.66170888297873</c:v>
                </c:pt>
                <c:pt idx="215">
                  <c:v>113.3217321857602</c:v>
                </c:pt>
                <c:pt idx="216">
                  <c:v>112.14683560915117</c:v>
                </c:pt>
                <c:pt idx="217">
                  <c:v>113.71282416683955</c:v>
                </c:pt>
                <c:pt idx="218">
                  <c:v>112.70586616149356</c:v>
                </c:pt>
                <c:pt idx="219">
                  <c:v>111.96709832343639</c:v>
                </c:pt>
                <c:pt idx="220">
                  <c:v>111.23850714310504</c:v>
                </c:pt>
                <c:pt idx="221">
                  <c:v>113.65971738152224</c:v>
                </c:pt>
                <c:pt idx="222">
                  <c:v>112.55497516448621</c:v>
                </c:pt>
                <c:pt idx="223">
                  <c:v>113.39453450048622</c:v>
                </c:pt>
                <c:pt idx="224">
                  <c:v>113.7801353956731</c:v>
                </c:pt>
                <c:pt idx="225">
                  <c:v>114.04294875234699</c:v>
                </c:pt>
                <c:pt idx="226">
                  <c:v>115.16248132636092</c:v>
                </c:pt>
                <c:pt idx="227">
                  <c:v>116.07238963577313</c:v>
                </c:pt>
                <c:pt idx="228">
                  <c:v>115.46753823458971</c:v>
                </c:pt>
                <c:pt idx="229">
                  <c:v>114.32569675114539</c:v>
                </c:pt>
                <c:pt idx="230">
                  <c:v>113.79963857829223</c:v>
                </c:pt>
                <c:pt idx="231">
                  <c:v>114.80318973721189</c:v>
                </c:pt>
                <c:pt idx="232">
                  <c:v>115.65462745131701</c:v>
                </c:pt>
                <c:pt idx="233">
                  <c:v>113.72993071126294</c:v>
                </c:pt>
                <c:pt idx="234">
                  <c:v>112.17615248425871</c:v>
                </c:pt>
                <c:pt idx="235">
                  <c:v>113.41527874326357</c:v>
                </c:pt>
                <c:pt idx="236">
                  <c:v>113.34468694506683</c:v>
                </c:pt>
                <c:pt idx="237">
                  <c:v>114.14580871113138</c:v>
                </c:pt>
                <c:pt idx="238">
                  <c:v>115.16472829608522</c:v>
                </c:pt>
                <c:pt idx="239">
                  <c:v>114.8029867941386</c:v>
                </c:pt>
                <c:pt idx="240">
                  <c:v>115.05139076013396</c:v>
                </c:pt>
                <c:pt idx="241">
                  <c:v>114.82085555436909</c:v>
                </c:pt>
                <c:pt idx="242">
                  <c:v>113.0810934702142</c:v>
                </c:pt>
                <c:pt idx="243">
                  <c:v>112.8724007835648</c:v>
                </c:pt>
                <c:pt idx="244">
                  <c:v>113.59583301856932</c:v>
                </c:pt>
                <c:pt idx="245">
                  <c:v>113.15979253218171</c:v>
                </c:pt>
                <c:pt idx="246">
                  <c:v>114.021134462826</c:v>
                </c:pt>
                <c:pt idx="247">
                  <c:v>114.21984061916632</c:v>
                </c:pt>
                <c:pt idx="248">
                  <c:v>114.79308147254676</c:v>
                </c:pt>
                <c:pt idx="249">
                  <c:v>110.33100430154545</c:v>
                </c:pt>
                <c:pt idx="250">
                  <c:v>108.26747703900014</c:v>
                </c:pt>
                <c:pt idx="251">
                  <c:v>108.71863227028605</c:v>
                </c:pt>
                <c:pt idx="252">
                  <c:v>110.00131955175812</c:v>
                </c:pt>
                <c:pt idx="253">
                  <c:v>107.74040750881896</c:v>
                </c:pt>
                <c:pt idx="254">
                  <c:v>109.23665629426495</c:v>
                </c:pt>
                <c:pt idx="255">
                  <c:v>111.65798948060976</c:v>
                </c:pt>
                <c:pt idx="256">
                  <c:v>114.44754206094601</c:v>
                </c:pt>
                <c:pt idx="257">
                  <c:v>116.76063678478747</c:v>
                </c:pt>
                <c:pt idx="258">
                  <c:v>119.0584768698416</c:v>
                </c:pt>
                <c:pt idx="259">
                  <c:v>119.25263204891097</c:v>
                </c:pt>
                <c:pt idx="260">
                  <c:v>113.66905504132234</c:v>
                </c:pt>
                <c:pt idx="261">
                  <c:v>117.55480385141701</c:v>
                </c:pt>
                <c:pt idx="262">
                  <c:v>111.06799007309934</c:v>
                </c:pt>
                <c:pt idx="263">
                  <c:v>116.7473282281546</c:v>
                </c:pt>
                <c:pt idx="264">
                  <c:v>114.33362360079755</c:v>
                </c:pt>
                <c:pt idx="265">
                  <c:v>115.24238027634195</c:v>
                </c:pt>
                <c:pt idx="266">
                  <c:v>116.91841113581037</c:v>
                </c:pt>
                <c:pt idx="267">
                  <c:v>115.22664263086112</c:v>
                </c:pt>
                <c:pt idx="268">
                  <c:v>110.27851740424181</c:v>
                </c:pt>
                <c:pt idx="269">
                  <c:v>112.43548030787018</c:v>
                </c:pt>
                <c:pt idx="270">
                  <c:v>113.27282240094291</c:v>
                </c:pt>
                <c:pt idx="271">
                  <c:v>111.07785405725964</c:v>
                </c:pt>
                <c:pt idx="272">
                  <c:v>109.36198487625964</c:v>
                </c:pt>
                <c:pt idx="273">
                  <c:v>107.58499585862639</c:v>
                </c:pt>
                <c:pt idx="274">
                  <c:v>107.65725312061258</c:v>
                </c:pt>
                <c:pt idx="275">
                  <c:v>107.76005689679857</c:v>
                </c:pt>
                <c:pt idx="276">
                  <c:v>106.71219702186568</c:v>
                </c:pt>
                <c:pt idx="277">
                  <c:v>104.00327144004095</c:v>
                </c:pt>
                <c:pt idx="278">
                  <c:v>104.55595700743717</c:v>
                </c:pt>
                <c:pt idx="279">
                  <c:v>105.88433148323125</c:v>
                </c:pt>
                <c:pt idx="280">
                  <c:v>101.60793685897427</c:v>
                </c:pt>
                <c:pt idx="281">
                  <c:v>104.21493708237595</c:v>
                </c:pt>
                <c:pt idx="282">
                  <c:v>106.32153635633036</c:v>
                </c:pt>
                <c:pt idx="283">
                  <c:v>103.76371904102419</c:v>
                </c:pt>
                <c:pt idx="284">
                  <c:v>105.98322378420126</c:v>
                </c:pt>
                <c:pt idx="285">
                  <c:v>104.54995930112605</c:v>
                </c:pt>
                <c:pt idx="286">
                  <c:v>106.86977221325755</c:v>
                </c:pt>
                <c:pt idx="287">
                  <c:v>106.81751282909029</c:v>
                </c:pt>
                <c:pt idx="288">
                  <c:v>105.43877356469424</c:v>
                </c:pt>
                <c:pt idx="289">
                  <c:v>105.81756974858898</c:v>
                </c:pt>
                <c:pt idx="290">
                  <c:v>101.51161219882835</c:v>
                </c:pt>
                <c:pt idx="291">
                  <c:v>100.72099517429704</c:v>
                </c:pt>
                <c:pt idx="292">
                  <c:v>106.57464488455507</c:v>
                </c:pt>
                <c:pt idx="293">
                  <c:v>103.11469581364275</c:v>
                </c:pt>
                <c:pt idx="294">
                  <c:v>104.06234093589592</c:v>
                </c:pt>
                <c:pt idx="295">
                  <c:v>101.1516156521038</c:v>
                </c:pt>
                <c:pt idx="296">
                  <c:v>104.30786850931972</c:v>
                </c:pt>
                <c:pt idx="297">
                  <c:v>101.9759813316316</c:v>
                </c:pt>
                <c:pt idx="298">
                  <c:v>94.896129769677103</c:v>
                </c:pt>
                <c:pt idx="299">
                  <c:v>93.489656527222863</c:v>
                </c:pt>
                <c:pt idx="300">
                  <c:v>96.558209506123077</c:v>
                </c:pt>
                <c:pt idx="301">
                  <c:v>98.190929273368283</c:v>
                </c:pt>
                <c:pt idx="302">
                  <c:v>96.374528035048598</c:v>
                </c:pt>
                <c:pt idx="303">
                  <c:v>94.452629083537914</c:v>
                </c:pt>
                <c:pt idx="304">
                  <c:v>95.523454489121477</c:v>
                </c:pt>
                <c:pt idx="305">
                  <c:v>95.138877064490245</c:v>
                </c:pt>
                <c:pt idx="306">
                  <c:v>94.781952280484575</c:v>
                </c:pt>
                <c:pt idx="307">
                  <c:v>94.608791888737457</c:v>
                </c:pt>
                <c:pt idx="308">
                  <c:v>93.495585186472141</c:v>
                </c:pt>
                <c:pt idx="309">
                  <c:v>92.719081567563052</c:v>
                </c:pt>
                <c:pt idx="310">
                  <c:v>93.57571113100208</c:v>
                </c:pt>
                <c:pt idx="311">
                  <c:v>94.104993433315727</c:v>
                </c:pt>
                <c:pt idx="312">
                  <c:v>96.55877645778979</c:v>
                </c:pt>
                <c:pt idx="313">
                  <c:v>97.253369856529204</c:v>
                </c:pt>
                <c:pt idx="314">
                  <c:v>97.148340953464796</c:v>
                </c:pt>
                <c:pt idx="315">
                  <c:v>97.151785033494818</c:v>
                </c:pt>
                <c:pt idx="316">
                  <c:v>98.439008837547036</c:v>
                </c:pt>
                <c:pt idx="317">
                  <c:v>97.167689006303618</c:v>
                </c:pt>
                <c:pt idx="318">
                  <c:v>96.811551737787013</c:v>
                </c:pt>
                <c:pt idx="319">
                  <c:v>96.685287102902564</c:v>
                </c:pt>
                <c:pt idx="320">
                  <c:v>97.976320442695041</c:v>
                </c:pt>
                <c:pt idx="321">
                  <c:v>96.610980910329474</c:v>
                </c:pt>
                <c:pt idx="322">
                  <c:v>97.314896020797121</c:v>
                </c:pt>
                <c:pt idx="323">
                  <c:v>97.028942947425278</c:v>
                </c:pt>
                <c:pt idx="324">
                  <c:v>98.522976133722054</c:v>
                </c:pt>
                <c:pt idx="325">
                  <c:v>96.806161694198039</c:v>
                </c:pt>
                <c:pt idx="326">
                  <c:v>95.630050425106859</c:v>
                </c:pt>
                <c:pt idx="327">
                  <c:v>95.513443381945692</c:v>
                </c:pt>
                <c:pt idx="328">
                  <c:v>95.357009270443555</c:v>
                </c:pt>
                <c:pt idx="329">
                  <c:v>94.626266656018913</c:v>
                </c:pt>
                <c:pt idx="330">
                  <c:v>95.185950028217732</c:v>
                </c:pt>
                <c:pt idx="331">
                  <c:v>95.986007698541087</c:v>
                </c:pt>
                <c:pt idx="332">
                  <c:v>95.725430754179754</c:v>
                </c:pt>
                <c:pt idx="333">
                  <c:v>95.147745314880282</c:v>
                </c:pt>
                <c:pt idx="334">
                  <c:v>95.989936942887411</c:v>
                </c:pt>
                <c:pt idx="335">
                  <c:v>95.59077225406071</c:v>
                </c:pt>
                <c:pt idx="336">
                  <c:v>93.29106166459033</c:v>
                </c:pt>
                <c:pt idx="337">
                  <c:v>95.010726616435448</c:v>
                </c:pt>
                <c:pt idx="338">
                  <c:v>94.602550979017508</c:v>
                </c:pt>
                <c:pt idx="339">
                  <c:v>94.74625554965786</c:v>
                </c:pt>
                <c:pt idx="340">
                  <c:v>94.253571735636669</c:v>
                </c:pt>
                <c:pt idx="341">
                  <c:v>93.686765157926274</c:v>
                </c:pt>
                <c:pt idx="342">
                  <c:v>94.457773385572921</c:v>
                </c:pt>
                <c:pt idx="343">
                  <c:v>93.093200718982686</c:v>
                </c:pt>
                <c:pt idx="344">
                  <c:v>93.517976012770646</c:v>
                </c:pt>
                <c:pt idx="345">
                  <c:v>92.2360269433144</c:v>
                </c:pt>
                <c:pt idx="346">
                  <c:v>93.099015432815293</c:v>
                </c:pt>
                <c:pt idx="347">
                  <c:v>91.699029462477498</c:v>
                </c:pt>
                <c:pt idx="348">
                  <c:v>93.6140453046945</c:v>
                </c:pt>
                <c:pt idx="349">
                  <c:v>92.308329987330964</c:v>
                </c:pt>
                <c:pt idx="350">
                  <c:v>87.179196557673805</c:v>
                </c:pt>
                <c:pt idx="351">
                  <c:v>84.256744210099512</c:v>
                </c:pt>
                <c:pt idx="352">
                  <c:v>83.274624016166726</c:v>
                </c:pt>
                <c:pt idx="353">
                  <c:v>81.44662121421311</c:v>
                </c:pt>
                <c:pt idx="354">
                  <c:v>78.640553826101936</c:v>
                </c:pt>
                <c:pt idx="355">
                  <c:v>81.476375797951619</c:v>
                </c:pt>
                <c:pt idx="356">
                  <c:v>79.399453855969</c:v>
                </c:pt>
                <c:pt idx="357">
                  <c:v>77.332588783009712</c:v>
                </c:pt>
                <c:pt idx="358">
                  <c:v>78.294696995165509</c:v>
                </c:pt>
                <c:pt idx="359">
                  <c:v>75.959355712599915</c:v>
                </c:pt>
                <c:pt idx="360">
                  <c:v>74.282047275792323</c:v>
                </c:pt>
                <c:pt idx="361">
                  <c:v>76.4708523990234</c:v>
                </c:pt>
                <c:pt idx="362">
                  <c:v>79.124642533110716</c:v>
                </c:pt>
                <c:pt idx="363">
                  <c:v>77.559666914635287</c:v>
                </c:pt>
                <c:pt idx="364">
                  <c:v>93.060215671022263</c:v>
                </c:pt>
                <c:pt idx="365">
                  <c:v>89.81925256431137</c:v>
                </c:pt>
                <c:pt idx="366">
                  <c:v>90.67870611491422</c:v>
                </c:pt>
                <c:pt idx="367">
                  <c:v>89.829141314153233</c:v>
                </c:pt>
                <c:pt idx="368">
                  <c:v>91.429886144268195</c:v>
                </c:pt>
                <c:pt idx="369">
                  <c:v>91.696217416843297</c:v>
                </c:pt>
                <c:pt idx="370">
                  <c:v>92.077382701112171</c:v>
                </c:pt>
                <c:pt idx="371">
                  <c:v>89.814481024099081</c:v>
                </c:pt>
                <c:pt idx="372">
                  <c:v>91.810760024579494</c:v>
                </c:pt>
                <c:pt idx="373">
                  <c:v>90.518647443895603</c:v>
                </c:pt>
                <c:pt idx="374">
                  <c:v>92.984858966656191</c:v>
                </c:pt>
                <c:pt idx="375">
                  <c:v>91.528769165185111</c:v>
                </c:pt>
                <c:pt idx="376">
                  <c:v>91.170953269819833</c:v>
                </c:pt>
                <c:pt idx="377">
                  <c:v>92.125348753307009</c:v>
                </c:pt>
                <c:pt idx="378">
                  <c:v>92.572409829051821</c:v>
                </c:pt>
                <c:pt idx="379">
                  <c:v>93.260895009884521</c:v>
                </c:pt>
                <c:pt idx="380">
                  <c:v>89.89654336305928</c:v>
                </c:pt>
                <c:pt idx="381">
                  <c:v>90.556467943708924</c:v>
                </c:pt>
                <c:pt idx="382">
                  <c:v>85.230785847234912</c:v>
                </c:pt>
                <c:pt idx="383">
                  <c:v>86.630746079850312</c:v>
                </c:pt>
                <c:pt idx="384">
                  <c:v>85.208950281534058</c:v>
                </c:pt>
                <c:pt idx="385">
                  <c:v>84.840601444539416</c:v>
                </c:pt>
                <c:pt idx="386">
                  <c:v>95.739222169357816</c:v>
                </c:pt>
                <c:pt idx="387">
                  <c:v>79.55563580111388</c:v>
                </c:pt>
                <c:pt idx="388">
                  <c:v>74.535172253693872</c:v>
                </c:pt>
                <c:pt idx="389">
                  <c:v>66.554382588976011</c:v>
                </c:pt>
                <c:pt idx="390">
                  <c:v>64.004233622822099</c:v>
                </c:pt>
                <c:pt idx="391">
                  <c:v>65.781758918172699</c:v>
                </c:pt>
                <c:pt idx="392">
                  <c:v>66.180143033559929</c:v>
                </c:pt>
                <c:pt idx="393">
                  <c:v>66.197231430179528</c:v>
                </c:pt>
                <c:pt idx="394">
                  <c:v>67.285489067459665</c:v>
                </c:pt>
                <c:pt idx="395">
                  <c:v>67.378034373099496</c:v>
                </c:pt>
                <c:pt idx="396">
                  <c:v>68.962846054565176</c:v>
                </c:pt>
                <c:pt idx="397">
                  <c:v>68.887112239431346</c:v>
                </c:pt>
                <c:pt idx="398">
                  <c:v>70.131610350764404</c:v>
                </c:pt>
                <c:pt idx="399">
                  <c:v>72.479946235816072</c:v>
                </c:pt>
                <c:pt idx="400">
                  <c:v>66.430323256067155</c:v>
                </c:pt>
                <c:pt idx="401">
                  <c:v>69.911040241145884</c:v>
                </c:pt>
                <c:pt idx="402">
                  <c:v>69.672271831266258</c:v>
                </c:pt>
                <c:pt idx="403">
                  <c:v>70.551003101802308</c:v>
                </c:pt>
                <c:pt idx="404">
                  <c:v>71.084112025166959</c:v>
                </c:pt>
                <c:pt idx="405">
                  <c:v>72.134803007308179</c:v>
                </c:pt>
                <c:pt idx="406">
                  <c:v>71.097093890562562</c:v>
                </c:pt>
                <c:pt idx="407">
                  <c:v>75.361892136411115</c:v>
                </c:pt>
                <c:pt idx="408">
                  <c:v>70.672769319127809</c:v>
                </c:pt>
                <c:pt idx="409">
                  <c:v>72.189300064795006</c:v>
                </c:pt>
                <c:pt idx="410">
                  <c:v>73.360158207596029</c:v>
                </c:pt>
                <c:pt idx="411">
                  <c:v>70.661170122370805</c:v>
                </c:pt>
                <c:pt idx="412">
                  <c:v>70.107586918620498</c:v>
                </c:pt>
                <c:pt idx="413">
                  <c:v>73.387900546670153</c:v>
                </c:pt>
                <c:pt idx="414">
                  <c:v>77.633286550153997</c:v>
                </c:pt>
                <c:pt idx="415">
                  <c:v>73.086922550529096</c:v>
                </c:pt>
                <c:pt idx="416">
                  <c:v>74.495432215231077</c:v>
                </c:pt>
                <c:pt idx="417">
                  <c:v>75.080186312891144</c:v>
                </c:pt>
                <c:pt idx="418">
                  <c:v>74.43622094899753</c:v>
                </c:pt>
                <c:pt idx="419">
                  <c:v>73.531682574200786</c:v>
                </c:pt>
                <c:pt idx="420">
                  <c:v>75.980133072162701</c:v>
                </c:pt>
                <c:pt idx="421">
                  <c:v>76.125145321109812</c:v>
                </c:pt>
                <c:pt idx="422">
                  <c:v>74.768306978559949</c:v>
                </c:pt>
                <c:pt idx="423">
                  <c:v>76.377739350667724</c:v>
                </c:pt>
                <c:pt idx="424">
                  <c:v>73.084248111459786</c:v>
                </c:pt>
                <c:pt idx="425">
                  <c:v>73.912292542557353</c:v>
                </c:pt>
                <c:pt idx="426">
                  <c:v>80.442781316157351</c:v>
                </c:pt>
                <c:pt idx="427">
                  <c:v>68.256822949767155</c:v>
                </c:pt>
                <c:pt idx="428">
                  <c:v>72.15096573141048</c:v>
                </c:pt>
                <c:pt idx="429">
                  <c:v>82.834337178834048</c:v>
                </c:pt>
                <c:pt idx="430">
                  <c:v>62.614214952563657</c:v>
                </c:pt>
                <c:pt idx="431">
                  <c:v>55.634793063016531</c:v>
                </c:pt>
                <c:pt idx="432">
                  <c:v>56.512585825729204</c:v>
                </c:pt>
                <c:pt idx="433">
                  <c:v>51.284678749700134</c:v>
                </c:pt>
                <c:pt idx="434">
                  <c:v>50.188035541845295</c:v>
                </c:pt>
                <c:pt idx="435">
                  <c:v>50.148232987310877</c:v>
                </c:pt>
                <c:pt idx="436">
                  <c:v>50.491337891715375</c:v>
                </c:pt>
                <c:pt idx="437">
                  <c:v>49.918248780940978</c:v>
                </c:pt>
                <c:pt idx="438">
                  <c:v>49.230769906622804</c:v>
                </c:pt>
                <c:pt idx="439">
                  <c:v>49.313335178070894</c:v>
                </c:pt>
                <c:pt idx="440">
                  <c:v>49.95046574968115</c:v>
                </c:pt>
                <c:pt idx="441">
                  <c:v>49.349245878525913</c:v>
                </c:pt>
                <c:pt idx="442">
                  <c:v>48.953783762874963</c:v>
                </c:pt>
                <c:pt idx="443">
                  <c:v>49.184044341378609</c:v>
                </c:pt>
                <c:pt idx="444">
                  <c:v>49.888231279572636</c:v>
                </c:pt>
                <c:pt idx="445">
                  <c:v>50.045615999063024</c:v>
                </c:pt>
                <c:pt idx="446">
                  <c:v>49.83913835436185</c:v>
                </c:pt>
                <c:pt idx="447">
                  <c:v>50.806130225133764</c:v>
                </c:pt>
                <c:pt idx="448">
                  <c:v>50.29302304557693</c:v>
                </c:pt>
                <c:pt idx="449">
                  <c:v>49.644086232159545</c:v>
                </c:pt>
                <c:pt idx="450">
                  <c:v>49.501957062351842</c:v>
                </c:pt>
                <c:pt idx="451">
                  <c:v>49.202000040526848</c:v>
                </c:pt>
                <c:pt idx="452">
                  <c:v>49.853034258291274</c:v>
                </c:pt>
                <c:pt idx="453">
                  <c:v>49.447801026978226</c:v>
                </c:pt>
                <c:pt idx="454">
                  <c:v>49.647943312518102</c:v>
                </c:pt>
                <c:pt idx="455">
                  <c:v>49.529254304010024</c:v>
                </c:pt>
                <c:pt idx="456">
                  <c:v>49.35876157301572</c:v>
                </c:pt>
                <c:pt idx="457">
                  <c:v>50.081512061765714</c:v>
                </c:pt>
                <c:pt idx="458">
                  <c:v>50.26257596550024</c:v>
                </c:pt>
                <c:pt idx="459">
                  <c:v>50.695829513263945</c:v>
                </c:pt>
                <c:pt idx="460">
                  <c:v>51.012908397144834</c:v>
                </c:pt>
                <c:pt idx="461">
                  <c:v>50.603287942284688</c:v>
                </c:pt>
                <c:pt idx="462">
                  <c:v>50.95467142684933</c:v>
                </c:pt>
                <c:pt idx="463">
                  <c:v>51.086546415985588</c:v>
                </c:pt>
                <c:pt idx="464">
                  <c:v>50.965377092817278</c:v>
                </c:pt>
                <c:pt idx="465">
                  <c:v>52.345123284181753</c:v>
                </c:pt>
                <c:pt idx="466">
                  <c:v>51.261415506895325</c:v>
                </c:pt>
                <c:pt idx="467">
                  <c:v>51.826637494264446</c:v>
                </c:pt>
                <c:pt idx="468">
                  <c:v>51.253349229365995</c:v>
                </c:pt>
                <c:pt idx="469">
                  <c:v>49.932497830767097</c:v>
                </c:pt>
                <c:pt idx="470">
                  <c:v>49.359774947118453</c:v>
                </c:pt>
                <c:pt idx="471">
                  <c:v>49.981963390469225</c:v>
                </c:pt>
                <c:pt idx="472">
                  <c:v>50.089587406356102</c:v>
                </c:pt>
                <c:pt idx="473">
                  <c:v>50.054358464652402</c:v>
                </c:pt>
                <c:pt idx="474">
                  <c:v>50.525943578778623</c:v>
                </c:pt>
                <c:pt idx="475">
                  <c:v>50.176028032366524</c:v>
                </c:pt>
                <c:pt idx="476">
                  <c:v>49.566682103814792</c:v>
                </c:pt>
                <c:pt idx="477">
                  <c:v>48.860589167103036</c:v>
                </c:pt>
                <c:pt idx="478">
                  <c:v>48.618198137363102</c:v>
                </c:pt>
                <c:pt idx="479">
                  <c:v>49.338947966845325</c:v>
                </c:pt>
                <c:pt idx="480">
                  <c:v>49.237404702008376</c:v>
                </c:pt>
                <c:pt idx="481">
                  <c:v>48.906542161866433</c:v>
                </c:pt>
                <c:pt idx="482">
                  <c:v>49.123627576678523</c:v>
                </c:pt>
                <c:pt idx="483">
                  <c:v>49.258296813721842</c:v>
                </c:pt>
                <c:pt idx="484">
                  <c:v>49.576801047778062</c:v>
                </c:pt>
                <c:pt idx="485">
                  <c:v>48.892489843873143</c:v>
                </c:pt>
                <c:pt idx="486">
                  <c:v>48.59362663550472</c:v>
                </c:pt>
                <c:pt idx="487">
                  <c:v>49.26716445252719</c:v>
                </c:pt>
                <c:pt idx="488">
                  <c:v>49.046171507567188</c:v>
                </c:pt>
                <c:pt idx="489">
                  <c:v>49.292872856355601</c:v>
                </c:pt>
                <c:pt idx="490">
                  <c:v>48.037558226264004</c:v>
                </c:pt>
                <c:pt idx="491">
                  <c:v>46.87322146482169</c:v>
                </c:pt>
                <c:pt idx="492">
                  <c:v>47.760744162766869</c:v>
                </c:pt>
                <c:pt idx="493">
                  <c:v>47.250266003188464</c:v>
                </c:pt>
                <c:pt idx="494">
                  <c:v>48.185536208971996</c:v>
                </c:pt>
                <c:pt idx="495">
                  <c:v>48.187890235913343</c:v>
                </c:pt>
                <c:pt idx="496">
                  <c:v>47.980368017092829</c:v>
                </c:pt>
                <c:pt idx="497">
                  <c:v>48.277724332902885</c:v>
                </c:pt>
                <c:pt idx="498">
                  <c:v>48.130959779494539</c:v>
                </c:pt>
                <c:pt idx="499">
                  <c:v>47.311455072959433</c:v>
                </c:pt>
                <c:pt idx="500">
                  <c:v>48.284867187126096</c:v>
                </c:pt>
                <c:pt idx="501">
                  <c:v>48.396115515064558</c:v>
                </c:pt>
                <c:pt idx="502">
                  <c:v>49.081610746821312</c:v>
                </c:pt>
                <c:pt idx="503">
                  <c:v>48.884873197487977</c:v>
                </c:pt>
                <c:pt idx="504">
                  <c:v>48.230856619511151</c:v>
                </c:pt>
                <c:pt idx="505">
                  <c:v>47.99536422141896</c:v>
                </c:pt>
                <c:pt idx="506">
                  <c:v>47.736837694076108</c:v>
                </c:pt>
                <c:pt idx="507">
                  <c:v>47.606682042080536</c:v>
                </c:pt>
                <c:pt idx="508">
                  <c:v>46.561356074880536</c:v>
                </c:pt>
                <c:pt idx="509">
                  <c:v>45.837060376296968</c:v>
                </c:pt>
                <c:pt idx="510">
                  <c:v>46.896210505028577</c:v>
                </c:pt>
                <c:pt idx="511">
                  <c:v>45.753682348395408</c:v>
                </c:pt>
                <c:pt idx="512">
                  <c:v>47.289259187117352</c:v>
                </c:pt>
                <c:pt idx="513">
                  <c:v>47.794432969975695</c:v>
                </c:pt>
                <c:pt idx="514">
                  <c:v>47.398780795377824</c:v>
                </c:pt>
                <c:pt idx="515">
                  <c:v>47.489869922853067</c:v>
                </c:pt>
                <c:pt idx="516">
                  <c:v>46.748351108208439</c:v>
                </c:pt>
                <c:pt idx="517">
                  <c:v>46.613637929405812</c:v>
                </c:pt>
                <c:pt idx="518">
                  <c:v>46.190441190339143</c:v>
                </c:pt>
                <c:pt idx="519">
                  <c:v>46.484417691093817</c:v>
                </c:pt>
                <c:pt idx="520">
                  <c:v>46.590934844152116</c:v>
                </c:pt>
                <c:pt idx="521">
                  <c:v>47.283376101680133</c:v>
                </c:pt>
                <c:pt idx="522">
                  <c:v>47.499820913903818</c:v>
                </c:pt>
                <c:pt idx="523">
                  <c:v>46.58957409034592</c:v>
                </c:pt>
                <c:pt idx="524">
                  <c:v>45.497602650607028</c:v>
                </c:pt>
                <c:pt idx="525">
                  <c:v>47.243423199411581</c:v>
                </c:pt>
                <c:pt idx="526">
                  <c:v>45.822492933705526</c:v>
                </c:pt>
                <c:pt idx="527">
                  <c:v>46.479197648995651</c:v>
                </c:pt>
                <c:pt idx="528">
                  <c:v>47.629748781427089</c:v>
                </c:pt>
                <c:pt idx="529">
                  <c:v>48.28433979485758</c:v>
                </c:pt>
                <c:pt idx="530">
                  <c:v>46.185848276725999</c:v>
                </c:pt>
                <c:pt idx="531">
                  <c:v>45.674294738926953</c:v>
                </c:pt>
                <c:pt idx="532">
                  <c:v>44.927447476069815</c:v>
                </c:pt>
                <c:pt idx="533">
                  <c:v>44.126903797641233</c:v>
                </c:pt>
                <c:pt idx="534">
                  <c:v>43.251102673603263</c:v>
                </c:pt>
                <c:pt idx="535">
                  <c:v>43.860437164421015</c:v>
                </c:pt>
                <c:pt idx="536">
                  <c:v>43.010497886198799</c:v>
                </c:pt>
                <c:pt idx="537">
                  <c:v>42.831179542001266</c:v>
                </c:pt>
                <c:pt idx="538">
                  <c:v>42.580444716707149</c:v>
                </c:pt>
                <c:pt idx="539">
                  <c:v>41.65572621485763</c:v>
                </c:pt>
                <c:pt idx="540">
                  <c:v>41.52048902641878</c:v>
                </c:pt>
                <c:pt idx="541">
                  <c:v>42.239401967810238</c:v>
                </c:pt>
                <c:pt idx="542">
                  <c:v>40.701301676472859</c:v>
                </c:pt>
                <c:pt idx="543">
                  <c:v>40.737866148354342</c:v>
                </c:pt>
                <c:pt idx="544">
                  <c:v>40.034566385837074</c:v>
                </c:pt>
                <c:pt idx="545">
                  <c:v>36.762704917765831</c:v>
                </c:pt>
                <c:pt idx="546">
                  <c:v>35.801073629432494</c:v>
                </c:pt>
                <c:pt idx="547">
                  <c:v>35.464798335170101</c:v>
                </c:pt>
                <c:pt idx="548">
                  <c:v>36.921526734083152</c:v>
                </c:pt>
                <c:pt idx="549">
                  <c:v>35.805753899199438</c:v>
                </c:pt>
                <c:pt idx="550">
                  <c:v>35.484522742340154</c:v>
                </c:pt>
                <c:pt idx="551">
                  <c:v>36.969242488286547</c:v>
                </c:pt>
                <c:pt idx="552">
                  <c:v>35.371485892154674</c:v>
                </c:pt>
                <c:pt idx="553">
                  <c:v>35.667813401464322</c:v>
                </c:pt>
                <c:pt idx="554">
                  <c:v>36.41353859790209</c:v>
                </c:pt>
                <c:pt idx="555">
                  <c:v>35.38903337903168</c:v>
                </c:pt>
                <c:pt idx="556">
                  <c:v>35.056288189091283</c:v>
                </c:pt>
                <c:pt idx="557">
                  <c:v>36.925692434138448</c:v>
                </c:pt>
                <c:pt idx="558">
                  <c:v>36.507934405555254</c:v>
                </c:pt>
                <c:pt idx="559">
                  <c:v>37.249452973151186</c:v>
                </c:pt>
                <c:pt idx="560">
                  <c:v>36.137150511687629</c:v>
                </c:pt>
                <c:pt idx="561">
                  <c:v>31.708274138375124</c:v>
                </c:pt>
                <c:pt idx="562">
                  <c:v>29.615110938544518</c:v>
                </c:pt>
                <c:pt idx="563">
                  <c:v>27.461280899750488</c:v>
                </c:pt>
                <c:pt idx="564">
                  <c:v>29.058296167605917</c:v>
                </c:pt>
                <c:pt idx="565">
                  <c:v>27.777277314790567</c:v>
                </c:pt>
                <c:pt idx="566">
                  <c:v>28.676684601138795</c:v>
                </c:pt>
                <c:pt idx="567">
                  <c:v>25.800852804736991</c:v>
                </c:pt>
                <c:pt idx="568">
                  <c:v>26.241032084781452</c:v>
                </c:pt>
                <c:pt idx="569">
                  <c:v>22.392488435247206</c:v>
                </c:pt>
                <c:pt idx="570">
                  <c:v>21.324496086261693</c:v>
                </c:pt>
                <c:pt idx="571">
                  <c:v>19.83071363316855</c:v>
                </c:pt>
                <c:pt idx="572">
                  <c:v>19.387427420224807</c:v>
                </c:pt>
                <c:pt idx="573">
                  <c:v>18.997724113796231</c:v>
                </c:pt>
                <c:pt idx="574">
                  <c:v>19.433723845425718</c:v>
                </c:pt>
                <c:pt idx="575">
                  <c:v>20.114120088620734</c:v>
                </c:pt>
                <c:pt idx="576">
                  <c:v>19.726055796244644</c:v>
                </c:pt>
                <c:pt idx="577">
                  <c:v>19.181584320907433</c:v>
                </c:pt>
                <c:pt idx="578">
                  <c:v>18.586888139649368</c:v>
                </c:pt>
                <c:pt idx="579">
                  <c:v>18.228599937903098</c:v>
                </c:pt>
                <c:pt idx="580">
                  <c:v>18.23717312008807</c:v>
                </c:pt>
                <c:pt idx="581">
                  <c:v>18.441817775088076</c:v>
                </c:pt>
                <c:pt idx="582">
                  <c:v>18.288506331851924</c:v>
                </c:pt>
                <c:pt idx="583">
                  <c:v>18.836260016580738</c:v>
                </c:pt>
                <c:pt idx="584">
                  <c:v>18.924356187359962</c:v>
                </c:pt>
                <c:pt idx="585">
                  <c:v>18.306291270129194</c:v>
                </c:pt>
                <c:pt idx="586">
                  <c:v>18.565443182537567</c:v>
                </c:pt>
                <c:pt idx="587">
                  <c:v>18.378874032482265</c:v>
                </c:pt>
                <c:pt idx="588">
                  <c:v>18.431638433860755</c:v>
                </c:pt>
                <c:pt idx="589">
                  <c:v>18.49110547744494</c:v>
                </c:pt>
                <c:pt idx="590">
                  <c:v>18.463405837117175</c:v>
                </c:pt>
                <c:pt idx="591">
                  <c:v>18.201895887332043</c:v>
                </c:pt>
                <c:pt idx="592">
                  <c:v>17.189587328834499</c:v>
                </c:pt>
                <c:pt idx="593">
                  <c:v>17.562136049061305</c:v>
                </c:pt>
                <c:pt idx="594">
                  <c:v>17.155288323794633</c:v>
                </c:pt>
                <c:pt idx="595">
                  <c:v>17.09897727886888</c:v>
                </c:pt>
                <c:pt idx="596">
                  <c:v>18.054005763009361</c:v>
                </c:pt>
                <c:pt idx="597">
                  <c:v>17.630193837009354</c:v>
                </c:pt>
                <c:pt idx="598">
                  <c:v>17.9829390254781</c:v>
                </c:pt>
                <c:pt idx="599">
                  <c:v>17.399164632873052</c:v>
                </c:pt>
                <c:pt idx="600">
                  <c:v>17.082759523264361</c:v>
                </c:pt>
                <c:pt idx="601">
                  <c:v>17.06239219425413</c:v>
                </c:pt>
                <c:pt idx="602">
                  <c:v>18.967196750569922</c:v>
                </c:pt>
                <c:pt idx="603">
                  <c:v>19.480063801152912</c:v>
                </c:pt>
                <c:pt idx="604">
                  <c:v>17.743236782876888</c:v>
                </c:pt>
                <c:pt idx="605">
                  <c:v>17.172533881934484</c:v>
                </c:pt>
                <c:pt idx="606">
                  <c:v>15.519948718394105</c:v>
                </c:pt>
                <c:pt idx="607">
                  <c:v>17.240787314729186</c:v>
                </c:pt>
                <c:pt idx="608">
                  <c:v>16.020152905453152</c:v>
                </c:pt>
                <c:pt idx="609">
                  <c:v>16.349919088699728</c:v>
                </c:pt>
                <c:pt idx="610">
                  <c:v>15.786941532585713</c:v>
                </c:pt>
                <c:pt idx="611">
                  <c:v>15.848153632598333</c:v>
                </c:pt>
                <c:pt idx="612">
                  <c:v>15.817724633868792</c:v>
                </c:pt>
                <c:pt idx="613">
                  <c:v>15.111540289945991</c:v>
                </c:pt>
                <c:pt idx="614">
                  <c:v>15.725909323027073</c:v>
                </c:pt>
                <c:pt idx="615">
                  <c:v>16.065828134857266</c:v>
                </c:pt>
                <c:pt idx="616">
                  <c:v>15.725563883764718</c:v>
                </c:pt>
                <c:pt idx="617">
                  <c:v>16.329234882007857</c:v>
                </c:pt>
                <c:pt idx="618">
                  <c:v>15.554521455999669</c:v>
                </c:pt>
                <c:pt idx="619">
                  <c:v>15.142662212083469</c:v>
                </c:pt>
                <c:pt idx="620">
                  <c:v>14.869472981730738</c:v>
                </c:pt>
                <c:pt idx="621">
                  <c:v>15.433548715896539</c:v>
                </c:pt>
                <c:pt idx="622">
                  <c:v>14.968381929042273</c:v>
                </c:pt>
                <c:pt idx="623">
                  <c:v>15.772305957489216</c:v>
                </c:pt>
                <c:pt idx="624">
                  <c:v>15.852339112769787</c:v>
                </c:pt>
                <c:pt idx="625">
                  <c:v>15.546693263610623</c:v>
                </c:pt>
                <c:pt idx="626">
                  <c:v>13.56597902303783</c:v>
                </c:pt>
                <c:pt idx="627">
                  <c:v>13.839404167185828</c:v>
                </c:pt>
                <c:pt idx="628">
                  <c:v>14.430150943221911</c:v>
                </c:pt>
                <c:pt idx="629">
                  <c:v>15.29911087998156</c:v>
                </c:pt>
                <c:pt idx="630">
                  <c:v>15.239680244894606</c:v>
                </c:pt>
                <c:pt idx="631">
                  <c:v>14.598816343158084</c:v>
                </c:pt>
                <c:pt idx="632">
                  <c:v>15.891494882948539</c:v>
                </c:pt>
                <c:pt idx="633">
                  <c:v>16.030155705865401</c:v>
                </c:pt>
                <c:pt idx="634">
                  <c:v>14.649243477508762</c:v>
                </c:pt>
                <c:pt idx="635">
                  <c:v>15.470225835572485</c:v>
                </c:pt>
                <c:pt idx="636">
                  <c:v>14.290567550136636</c:v>
                </c:pt>
                <c:pt idx="637">
                  <c:v>12.92548770613663</c:v>
                </c:pt>
                <c:pt idx="638">
                  <c:v>14.775551116654334</c:v>
                </c:pt>
                <c:pt idx="639">
                  <c:v>12.342554216959035</c:v>
                </c:pt>
                <c:pt idx="640">
                  <c:v>12.800190148830131</c:v>
                </c:pt>
                <c:pt idx="641">
                  <c:v>11.749495756510559</c:v>
                </c:pt>
                <c:pt idx="642">
                  <c:v>11.729363145962617</c:v>
                </c:pt>
                <c:pt idx="643">
                  <c:v>11.877549976765593</c:v>
                </c:pt>
                <c:pt idx="644">
                  <c:v>13.143776594592955</c:v>
                </c:pt>
                <c:pt idx="645">
                  <c:v>12.087495309996308</c:v>
                </c:pt>
                <c:pt idx="646">
                  <c:v>10.843485117314168</c:v>
                </c:pt>
                <c:pt idx="647">
                  <c:v>10.59376070619923</c:v>
                </c:pt>
                <c:pt idx="648">
                  <c:v>12.300970184031527</c:v>
                </c:pt>
                <c:pt idx="649">
                  <c:v>12.650513545982745</c:v>
                </c:pt>
                <c:pt idx="650">
                  <c:v>12.127076635674445</c:v>
                </c:pt>
                <c:pt idx="651">
                  <c:v>12.437474536850917</c:v>
                </c:pt>
                <c:pt idx="652">
                  <c:v>10.852020969432312</c:v>
                </c:pt>
                <c:pt idx="653">
                  <c:v>11.501573624417603</c:v>
                </c:pt>
                <c:pt idx="654">
                  <c:v>11.7214052376676</c:v>
                </c:pt>
                <c:pt idx="655">
                  <c:v>10.983666074502036</c:v>
                </c:pt>
                <c:pt idx="656">
                  <c:v>11.844994672229905</c:v>
                </c:pt>
                <c:pt idx="657">
                  <c:v>10.738557612953787</c:v>
                </c:pt>
                <c:pt idx="658">
                  <c:v>11.354800511936372</c:v>
                </c:pt>
                <c:pt idx="659">
                  <c:v>10.365561450118188</c:v>
                </c:pt>
                <c:pt idx="660">
                  <c:v>9.4649997599606159</c:v>
                </c:pt>
                <c:pt idx="661">
                  <c:v>10.327185954857169</c:v>
                </c:pt>
                <c:pt idx="662">
                  <c:v>7.9735064099726696</c:v>
                </c:pt>
                <c:pt idx="663">
                  <c:v>7.32049888611418</c:v>
                </c:pt>
                <c:pt idx="664">
                  <c:v>7.1514083115613838</c:v>
                </c:pt>
                <c:pt idx="665">
                  <c:v>7.1048562413527954</c:v>
                </c:pt>
                <c:pt idx="666">
                  <c:v>7.5029806890624684</c:v>
                </c:pt>
                <c:pt idx="667">
                  <c:v>7.0114678902573404</c:v>
                </c:pt>
                <c:pt idx="668">
                  <c:v>6.8008857636462272</c:v>
                </c:pt>
                <c:pt idx="669">
                  <c:v>6.4961348519099946</c:v>
                </c:pt>
                <c:pt idx="670">
                  <c:v>7.0565484859099952</c:v>
                </c:pt>
                <c:pt idx="671">
                  <c:v>6.9034493683237894</c:v>
                </c:pt>
                <c:pt idx="672">
                  <c:v>7.4912189898952199</c:v>
                </c:pt>
                <c:pt idx="673">
                  <c:v>6.8791403715829151</c:v>
                </c:pt>
                <c:pt idx="674">
                  <c:v>6.4102597668843515</c:v>
                </c:pt>
                <c:pt idx="675">
                  <c:v>5.8354302729826211</c:v>
                </c:pt>
                <c:pt idx="676">
                  <c:v>5.0802248890205961</c:v>
                </c:pt>
                <c:pt idx="677">
                  <c:v>5.9888062983777388</c:v>
                </c:pt>
                <c:pt idx="678">
                  <c:v>5.9540846393223683</c:v>
                </c:pt>
                <c:pt idx="679">
                  <c:v>5.9890679640718032</c:v>
                </c:pt>
                <c:pt idx="680">
                  <c:v>5.1490720110490766</c:v>
                </c:pt>
                <c:pt idx="681">
                  <c:v>4.7098956005253987</c:v>
                </c:pt>
                <c:pt idx="682">
                  <c:v>4.3611602941455789</c:v>
                </c:pt>
                <c:pt idx="683">
                  <c:v>4.095850539572405</c:v>
                </c:pt>
                <c:pt idx="684">
                  <c:v>4.2837401140526854</c:v>
                </c:pt>
                <c:pt idx="685">
                  <c:v>4.9520398136773913</c:v>
                </c:pt>
                <c:pt idx="686">
                  <c:v>2.2818507918555229</c:v>
                </c:pt>
                <c:pt idx="687">
                  <c:v>5.2157328664472518</c:v>
                </c:pt>
                <c:pt idx="688">
                  <c:v>4.9947785173876627</c:v>
                </c:pt>
                <c:pt idx="689">
                  <c:v>4.9464191521586569</c:v>
                </c:pt>
                <c:pt idx="690">
                  <c:v>3.0035624913826884</c:v>
                </c:pt>
                <c:pt idx="691">
                  <c:v>4.3185286322351466</c:v>
                </c:pt>
                <c:pt idx="692">
                  <c:v>4.8026225384004579</c:v>
                </c:pt>
                <c:pt idx="693">
                  <c:v>4.0948166450700993</c:v>
                </c:pt>
                <c:pt idx="694">
                  <c:v>4.1714662961537821</c:v>
                </c:pt>
                <c:pt idx="695">
                  <c:v>3.997927976250752</c:v>
                </c:pt>
                <c:pt idx="696">
                  <c:v>4.4330405715733292</c:v>
                </c:pt>
                <c:pt idx="697">
                  <c:v>3.8227362102575402</c:v>
                </c:pt>
                <c:pt idx="698">
                  <c:v>4.2430805537523852</c:v>
                </c:pt>
                <c:pt idx="699">
                  <c:v>4.9077100921174646</c:v>
                </c:pt>
                <c:pt idx="700">
                  <c:v>5.2947980880941206</c:v>
                </c:pt>
                <c:pt idx="701">
                  <c:v>4.5824016972185868</c:v>
                </c:pt>
                <c:pt idx="702">
                  <c:v>5.1587219231817762</c:v>
                </c:pt>
                <c:pt idx="703">
                  <c:v>6.1505686729716089</c:v>
                </c:pt>
                <c:pt idx="704">
                  <c:v>6.5452634731137884</c:v>
                </c:pt>
                <c:pt idx="705">
                  <c:v>6.015475217940879</c:v>
                </c:pt>
                <c:pt idx="706">
                  <c:v>6.0772995086075454</c:v>
                </c:pt>
                <c:pt idx="707">
                  <c:v>6.1857528173456418</c:v>
                </c:pt>
                <c:pt idx="708">
                  <c:v>5.4969582758389128</c:v>
                </c:pt>
                <c:pt idx="709">
                  <c:v>6.3295730729532513</c:v>
                </c:pt>
                <c:pt idx="710">
                  <c:v>5.0610651863050773</c:v>
                </c:pt>
                <c:pt idx="711">
                  <c:v>4.0024702088204096</c:v>
                </c:pt>
                <c:pt idx="712">
                  <c:v>3.8009775708098936</c:v>
                </c:pt>
                <c:pt idx="713">
                  <c:v>4.9541793599384194</c:v>
                </c:pt>
                <c:pt idx="714">
                  <c:v>3.2870249663623317</c:v>
                </c:pt>
                <c:pt idx="715">
                  <c:v>3.2341778020282557</c:v>
                </c:pt>
                <c:pt idx="716">
                  <c:v>1.9347996210598373</c:v>
                </c:pt>
                <c:pt idx="717">
                  <c:v>0.42113517480308449</c:v>
                </c:pt>
                <c:pt idx="718">
                  <c:v>0.82699819687204457</c:v>
                </c:pt>
                <c:pt idx="719">
                  <c:v>4.940620172981843E-3</c:v>
                </c:pt>
                <c:pt idx="720">
                  <c:v>-0.65932418374909874</c:v>
                </c:pt>
                <c:pt idx="721">
                  <c:v>-0.29073700959472892</c:v>
                </c:pt>
                <c:pt idx="722">
                  <c:v>-1.7784068430924669</c:v>
                </c:pt>
                <c:pt idx="723">
                  <c:v>-3.3697186528774217</c:v>
                </c:pt>
                <c:pt idx="724">
                  <c:v>-4.4422789867519956</c:v>
                </c:pt>
                <c:pt idx="725">
                  <c:v>-4.4499003189976065</c:v>
                </c:pt>
                <c:pt idx="726">
                  <c:v>-4.36009407446479</c:v>
                </c:pt>
                <c:pt idx="727">
                  <c:v>-5.1616165717681017</c:v>
                </c:pt>
                <c:pt idx="728">
                  <c:v>-4.5635870210865761</c:v>
                </c:pt>
                <c:pt idx="729">
                  <c:v>-5.6736875862093816</c:v>
                </c:pt>
                <c:pt idx="730">
                  <c:v>-4.8455442069186017</c:v>
                </c:pt>
                <c:pt idx="731">
                  <c:v>-4.9183686529877884</c:v>
                </c:pt>
                <c:pt idx="732">
                  <c:v>-5.2073818143650321</c:v>
                </c:pt>
                <c:pt idx="733">
                  <c:v>-5.8830349558423816</c:v>
                </c:pt>
                <c:pt idx="734">
                  <c:v>-5.5726844899600279</c:v>
                </c:pt>
                <c:pt idx="735">
                  <c:v>-5.95722477199969</c:v>
                </c:pt>
                <c:pt idx="736">
                  <c:v>-5.4386641213733178</c:v>
                </c:pt>
                <c:pt idx="737">
                  <c:v>-4.762141961704506</c:v>
                </c:pt>
                <c:pt idx="738">
                  <c:v>-4.4567564105287447</c:v>
                </c:pt>
                <c:pt idx="739">
                  <c:v>-5.0626328949582815</c:v>
                </c:pt>
                <c:pt idx="740">
                  <c:v>-3.270205428220458</c:v>
                </c:pt>
                <c:pt idx="741">
                  <c:v>-2.9653772263704621</c:v>
                </c:pt>
                <c:pt idx="742">
                  <c:v>-3.8642449076788905</c:v>
                </c:pt>
                <c:pt idx="743">
                  <c:v>-3.9209780922985638</c:v>
                </c:pt>
                <c:pt idx="744">
                  <c:v>-4.3611733446762155</c:v>
                </c:pt>
                <c:pt idx="745">
                  <c:v>-4.9057273308673501</c:v>
                </c:pt>
                <c:pt idx="746">
                  <c:v>-4.8248397612783087</c:v>
                </c:pt>
                <c:pt idx="747">
                  <c:v>-5.0512962122783094</c:v>
                </c:pt>
                <c:pt idx="748">
                  <c:v>-4.9381343268874014</c:v>
                </c:pt>
                <c:pt idx="749">
                  <c:v>-5.7958596912194764</c:v>
                </c:pt>
                <c:pt idx="750">
                  <c:v>-5.5710878249069777</c:v>
                </c:pt>
                <c:pt idx="751">
                  <c:v>-5.3662314291308588</c:v>
                </c:pt>
                <c:pt idx="752">
                  <c:v>-4.9203119243066844</c:v>
                </c:pt>
                <c:pt idx="753">
                  <c:v>-5.7269380908503731</c:v>
                </c:pt>
                <c:pt idx="754">
                  <c:v>-5.5742717176428256</c:v>
                </c:pt>
                <c:pt idx="755">
                  <c:v>-5.6515865318650489</c:v>
                </c:pt>
                <c:pt idx="756">
                  <c:v>-5.8695884643240648</c:v>
                </c:pt>
                <c:pt idx="757">
                  <c:v>-5.7173017704465146</c:v>
                </c:pt>
                <c:pt idx="758">
                  <c:v>-5.7456312357036579</c:v>
                </c:pt>
                <c:pt idx="759">
                  <c:v>-5.6540716778251516</c:v>
                </c:pt>
                <c:pt idx="760">
                  <c:v>-5.4863639337271115</c:v>
                </c:pt>
                <c:pt idx="761">
                  <c:v>-5.4710568946463045</c:v>
                </c:pt>
                <c:pt idx="762">
                  <c:v>-5.3357252608752184</c:v>
                </c:pt>
                <c:pt idx="763">
                  <c:v>-5.5653810086892888</c:v>
                </c:pt>
                <c:pt idx="764">
                  <c:v>-5.5012972832571885</c:v>
                </c:pt>
                <c:pt idx="765">
                  <c:v>-5.5245145712958985</c:v>
                </c:pt>
                <c:pt idx="766">
                  <c:v>-5.4792721255513728</c:v>
                </c:pt>
                <c:pt idx="767">
                  <c:v>-5.1626651082767969</c:v>
                </c:pt>
                <c:pt idx="768">
                  <c:v>-5.5056702466421799</c:v>
                </c:pt>
                <c:pt idx="769">
                  <c:v>-5.2757529073564644</c:v>
                </c:pt>
                <c:pt idx="770">
                  <c:v>-5.710115714642181</c:v>
                </c:pt>
                <c:pt idx="771">
                  <c:v>-5.4037519116462649</c:v>
                </c:pt>
                <c:pt idx="772">
                  <c:v>-5.9063785459842686</c:v>
                </c:pt>
                <c:pt idx="773">
                  <c:v>-5.4272818417342688</c:v>
                </c:pt>
                <c:pt idx="774">
                  <c:v>-4.8832204006831059</c:v>
                </c:pt>
                <c:pt idx="775">
                  <c:v>-4.9213826729638086</c:v>
                </c:pt>
                <c:pt idx="776">
                  <c:v>-4.7931467798855163</c:v>
                </c:pt>
                <c:pt idx="777">
                  <c:v>-4.871586687942119</c:v>
                </c:pt>
                <c:pt idx="778">
                  <c:v>-4.7195478346754527</c:v>
                </c:pt>
                <c:pt idx="779">
                  <c:v>-4.5890996035073099</c:v>
                </c:pt>
                <c:pt idx="780">
                  <c:v>-4.5033988245599419</c:v>
                </c:pt>
                <c:pt idx="781">
                  <c:v>-4.4134673311037211</c:v>
                </c:pt>
                <c:pt idx="782">
                  <c:v>-4.5436251163071111</c:v>
                </c:pt>
                <c:pt idx="783">
                  <c:v>-4.4281022761071096</c:v>
                </c:pt>
                <c:pt idx="784">
                  <c:v>-4.4540597446183874</c:v>
                </c:pt>
                <c:pt idx="785">
                  <c:v>-4.7096054073210913</c:v>
                </c:pt>
                <c:pt idx="786">
                  <c:v>-4.4859126100190085</c:v>
                </c:pt>
                <c:pt idx="787">
                  <c:v>-4.4512796332268012</c:v>
                </c:pt>
                <c:pt idx="788">
                  <c:v>-4.2000859535459485</c:v>
                </c:pt>
                <c:pt idx="789">
                  <c:v>-4.3770446792216253</c:v>
                </c:pt>
                <c:pt idx="790">
                  <c:v>-4.2227906291048365</c:v>
                </c:pt>
                <c:pt idx="791">
                  <c:v>-4.2515107163826134</c:v>
                </c:pt>
                <c:pt idx="792">
                  <c:v>-4.1399563718477284</c:v>
                </c:pt>
                <c:pt idx="793">
                  <c:v>-4.5548870844450144</c:v>
                </c:pt>
                <c:pt idx="794">
                  <c:v>-4.6548041984000728</c:v>
                </c:pt>
                <c:pt idx="795">
                  <c:v>-4.9087439847963861</c:v>
                </c:pt>
                <c:pt idx="796">
                  <c:v>-4.2087420289248545</c:v>
                </c:pt>
                <c:pt idx="797">
                  <c:v>-4.7983253971963471</c:v>
                </c:pt>
                <c:pt idx="798">
                  <c:v>-5.3619072077650216</c:v>
                </c:pt>
                <c:pt idx="799">
                  <c:v>-5.3619072077650234</c:v>
                </c:pt>
                <c:pt idx="800">
                  <c:v>-5.1099394706556458</c:v>
                </c:pt>
                <c:pt idx="801">
                  <c:v>-5.2575620818209376</c:v>
                </c:pt>
                <c:pt idx="802">
                  <c:v>-5.0109435740463306</c:v>
                </c:pt>
                <c:pt idx="803">
                  <c:v>-4.8298862147862138</c:v>
                </c:pt>
                <c:pt idx="804">
                  <c:v>-4.6514007414424681</c:v>
                </c:pt>
                <c:pt idx="805">
                  <c:v>-4.5196217207321068</c:v>
                </c:pt>
                <c:pt idx="806">
                  <c:v>-4.4857953158661266</c:v>
                </c:pt>
                <c:pt idx="807">
                  <c:v>-4.3652047139194625</c:v>
                </c:pt>
                <c:pt idx="808">
                  <c:v>-3.8228361824329768</c:v>
                </c:pt>
                <c:pt idx="809">
                  <c:v>-4.5639245082143534</c:v>
                </c:pt>
                <c:pt idx="810">
                  <c:v>-5.2874781204129695</c:v>
                </c:pt>
                <c:pt idx="811">
                  <c:v>-5.6833196463186288</c:v>
                </c:pt>
                <c:pt idx="812">
                  <c:v>-5.1869876409058939</c:v>
                </c:pt>
                <c:pt idx="813">
                  <c:v>-4.6465272638468145</c:v>
                </c:pt>
                <c:pt idx="814">
                  <c:v>-2.9769243861676919</c:v>
                </c:pt>
                <c:pt idx="815">
                  <c:v>-1.8694073408466443</c:v>
                </c:pt>
                <c:pt idx="816">
                  <c:v>-3.0785356656054379</c:v>
                </c:pt>
                <c:pt idx="817">
                  <c:v>-2.3502713221824534</c:v>
                </c:pt>
                <c:pt idx="818">
                  <c:v>-3.4809446872122454</c:v>
                </c:pt>
                <c:pt idx="819">
                  <c:v>-3.8442326967984592</c:v>
                </c:pt>
                <c:pt idx="820">
                  <c:v>-5.0181225627857158</c:v>
                </c:pt>
                <c:pt idx="821">
                  <c:v>-4.5461472726076373</c:v>
                </c:pt>
                <c:pt idx="822">
                  <c:v>-4.3361748911752045</c:v>
                </c:pt>
                <c:pt idx="823">
                  <c:v>-3.1927968262476689</c:v>
                </c:pt>
                <c:pt idx="824">
                  <c:v>-3.8836623782476716</c:v>
                </c:pt>
                <c:pt idx="825">
                  <c:v>-3.0240899442720628</c:v>
                </c:pt>
                <c:pt idx="826">
                  <c:v>-3.4642011869318265</c:v>
                </c:pt>
                <c:pt idx="827">
                  <c:v>-3.4990307759707875</c:v>
                </c:pt>
                <c:pt idx="828">
                  <c:v>-3.4088021401930089</c:v>
                </c:pt>
                <c:pt idx="829">
                  <c:v>-3.0875761515301501</c:v>
                </c:pt>
                <c:pt idx="830">
                  <c:v>-3.2930232440023697</c:v>
                </c:pt>
                <c:pt idx="831">
                  <c:v>-3.4144225914463164</c:v>
                </c:pt>
                <c:pt idx="832">
                  <c:v>-3.2047020293118131</c:v>
                </c:pt>
                <c:pt idx="833">
                  <c:v>-3.1149581281012879</c:v>
                </c:pt>
                <c:pt idx="834">
                  <c:v>-3.8504753912577652</c:v>
                </c:pt>
                <c:pt idx="835">
                  <c:v>-3.6572612878577657</c:v>
                </c:pt>
                <c:pt idx="836">
                  <c:v>-3.4446985000226005</c:v>
                </c:pt>
                <c:pt idx="837">
                  <c:v>-4.0268157019044892</c:v>
                </c:pt>
                <c:pt idx="838">
                  <c:v>-3.9762250926103717</c:v>
                </c:pt>
                <c:pt idx="839">
                  <c:v>-4.0249729484093661</c:v>
                </c:pt>
                <c:pt idx="840">
                  <c:v>-3.6757694154527289</c:v>
                </c:pt>
                <c:pt idx="841">
                  <c:v>-3.5528958146068788</c:v>
                </c:pt>
                <c:pt idx="842">
                  <c:v>-3.5544541809575265</c:v>
                </c:pt>
                <c:pt idx="843">
                  <c:v>-3.4142244647199007</c:v>
                </c:pt>
                <c:pt idx="844">
                  <c:v>-3.8538038730376907</c:v>
                </c:pt>
                <c:pt idx="845">
                  <c:v>-3.9085237664767143</c:v>
                </c:pt>
                <c:pt idx="846">
                  <c:v>-4.0007240256195731</c:v>
                </c:pt>
                <c:pt idx="847">
                  <c:v>-3.9928768385890061</c:v>
                </c:pt>
                <c:pt idx="848">
                  <c:v>-3.9239440351735486</c:v>
                </c:pt>
                <c:pt idx="849">
                  <c:v>-4.2597717440187362</c:v>
                </c:pt>
                <c:pt idx="850">
                  <c:v>-3.8549767273468949</c:v>
                </c:pt>
                <c:pt idx="851">
                  <c:v>-4.6122231423118691</c:v>
                </c:pt>
                <c:pt idx="852">
                  <c:v>-4.7097906521690129</c:v>
                </c:pt>
                <c:pt idx="853">
                  <c:v>-4.7951575012048879</c:v>
                </c:pt>
                <c:pt idx="854">
                  <c:v>-5.4379101516059603</c:v>
                </c:pt>
                <c:pt idx="855">
                  <c:v>-5.6070646683223453</c:v>
                </c:pt>
                <c:pt idx="856">
                  <c:v>-5.9535805772976103</c:v>
                </c:pt>
                <c:pt idx="857">
                  <c:v>-4.6951064190997265</c:v>
                </c:pt>
                <c:pt idx="858">
                  <c:v>-3.6020081140454896</c:v>
                </c:pt>
                <c:pt idx="859">
                  <c:v>-3.6461753991278445</c:v>
                </c:pt>
                <c:pt idx="860">
                  <c:v>-3.3788296583943205</c:v>
                </c:pt>
                <c:pt idx="861">
                  <c:v>-1.5699204938178029</c:v>
                </c:pt>
                <c:pt idx="862">
                  <c:v>-1.1493370322634711</c:v>
                </c:pt>
                <c:pt idx="863">
                  <c:v>-2.8229601072047874</c:v>
                </c:pt>
                <c:pt idx="864">
                  <c:v>-3.0050355560731483</c:v>
                </c:pt>
                <c:pt idx="865">
                  <c:v>-3.0510230206749172</c:v>
                </c:pt>
                <c:pt idx="866">
                  <c:v>-2.9727620088724485</c:v>
                </c:pt>
                <c:pt idx="867">
                  <c:v>-3.1079679124109112</c:v>
                </c:pt>
                <c:pt idx="868">
                  <c:v>-2.9971363782897016</c:v>
                </c:pt>
                <c:pt idx="869">
                  <c:v>-3.0079569325192104</c:v>
                </c:pt>
                <c:pt idx="870">
                  <c:v>-2.9075598633373936</c:v>
                </c:pt>
                <c:pt idx="871">
                  <c:v>-2.7962990062619228</c:v>
                </c:pt>
                <c:pt idx="872">
                  <c:v>-2.7112696948034074</c:v>
                </c:pt>
                <c:pt idx="873">
                  <c:v>-2.7524216091331941</c:v>
                </c:pt>
                <c:pt idx="874">
                  <c:v>-2.8792643739144439</c:v>
                </c:pt>
                <c:pt idx="875">
                  <c:v>-2.6853372469746848</c:v>
                </c:pt>
                <c:pt idx="876">
                  <c:v>-2.5785541663578622</c:v>
                </c:pt>
                <c:pt idx="877">
                  <c:v>-2.5200303762053196</c:v>
                </c:pt>
                <c:pt idx="878">
                  <c:v>-2.4989742608816199</c:v>
                </c:pt>
                <c:pt idx="879">
                  <c:v>-2.5468612841678935</c:v>
                </c:pt>
                <c:pt idx="880">
                  <c:v>-2.5793203901371249</c:v>
                </c:pt>
                <c:pt idx="881">
                  <c:v>-2.6204608089355115</c:v>
                </c:pt>
                <c:pt idx="882">
                  <c:v>-2.593545597935512</c:v>
                </c:pt>
                <c:pt idx="883">
                  <c:v>-2.5372545561321882</c:v>
                </c:pt>
                <c:pt idx="884">
                  <c:v>-2.4039094637183949</c:v>
                </c:pt>
                <c:pt idx="885">
                  <c:v>-2.4005882545755384</c:v>
                </c:pt>
                <c:pt idx="886">
                  <c:v>-2.3701220046063751</c:v>
                </c:pt>
                <c:pt idx="887">
                  <c:v>-2.3162858620870383</c:v>
                </c:pt>
                <c:pt idx="888">
                  <c:v>-2.4010964726975037</c:v>
                </c:pt>
                <c:pt idx="889">
                  <c:v>-2.525822298411788</c:v>
                </c:pt>
                <c:pt idx="890">
                  <c:v>-2.5746460717993482</c:v>
                </c:pt>
                <c:pt idx="891">
                  <c:v>-2.5500272549676648</c:v>
                </c:pt>
                <c:pt idx="892">
                  <c:v>-2.4822108554757722</c:v>
                </c:pt>
                <c:pt idx="893">
                  <c:v>-2.5325107012012626</c:v>
                </c:pt>
                <c:pt idx="894">
                  <c:v>-2.5960562797699374</c:v>
                </c:pt>
                <c:pt idx="895">
                  <c:v>-2.5845419352878656</c:v>
                </c:pt>
                <c:pt idx="896">
                  <c:v>-2.5570949877878655</c:v>
                </c:pt>
                <c:pt idx="897">
                  <c:v>-2.6342861169691525</c:v>
                </c:pt>
                <c:pt idx="898">
                  <c:v>-2.493414527078063</c:v>
                </c:pt>
                <c:pt idx="899">
                  <c:v>-2.5135530129637775</c:v>
                </c:pt>
                <c:pt idx="900">
                  <c:v>-2.4128192739072989</c:v>
                </c:pt>
                <c:pt idx="901">
                  <c:v>-2.5431617170456642</c:v>
                </c:pt>
                <c:pt idx="902">
                  <c:v>-2.6615685362577861</c:v>
                </c:pt>
                <c:pt idx="903">
                  <c:v>-2.3976417842033397</c:v>
                </c:pt>
                <c:pt idx="904">
                  <c:v>-2.3028940014931369</c:v>
                </c:pt>
                <c:pt idx="905">
                  <c:v>-2.390261930301901</c:v>
                </c:pt>
                <c:pt idx="906">
                  <c:v>-2.2453567104517127</c:v>
                </c:pt>
                <c:pt idx="907">
                  <c:v>-2.181857099541169</c:v>
                </c:pt>
                <c:pt idx="908">
                  <c:v>-2.2074704999966146</c:v>
                </c:pt>
                <c:pt idx="909">
                  <c:v>-2.2151377587613208</c:v>
                </c:pt>
                <c:pt idx="910">
                  <c:v>-2.1392172626877013</c:v>
                </c:pt>
                <c:pt idx="911">
                  <c:v>-2.1301986237040271</c:v>
                </c:pt>
                <c:pt idx="912">
                  <c:v>-2.0950599072866365</c:v>
                </c:pt>
                <c:pt idx="913">
                  <c:v>-2.0975641898140336</c:v>
                </c:pt>
                <c:pt idx="914">
                  <c:v>-2.033500117518436</c:v>
                </c:pt>
                <c:pt idx="915">
                  <c:v>-2.0929206803232554</c:v>
                </c:pt>
                <c:pt idx="916">
                  <c:v>-1.980128250567891</c:v>
                </c:pt>
                <c:pt idx="917">
                  <c:v>-2.0508536775520185</c:v>
                </c:pt>
                <c:pt idx="918">
                  <c:v>-1.9868673001158819</c:v>
                </c:pt>
                <c:pt idx="919">
                  <c:v>-2.1275053037585963</c:v>
                </c:pt>
                <c:pt idx="920">
                  <c:v>-2.0070562192390238</c:v>
                </c:pt>
                <c:pt idx="921">
                  <c:v>-1.9979603323456419</c:v>
                </c:pt>
                <c:pt idx="922">
                  <c:v>-1.9501610481754288</c:v>
                </c:pt>
                <c:pt idx="923">
                  <c:v>-1.9611855389547712</c:v>
                </c:pt>
                <c:pt idx="924">
                  <c:v>-2.2973493430852052</c:v>
                </c:pt>
                <c:pt idx="925">
                  <c:v>-2.5455882132718735</c:v>
                </c:pt>
                <c:pt idx="926">
                  <c:v>-2.6294980159584402</c:v>
                </c:pt>
                <c:pt idx="927">
                  <c:v>-2.3093344487892096</c:v>
                </c:pt>
                <c:pt idx="928">
                  <c:v>-2.3781164405268589</c:v>
                </c:pt>
                <c:pt idx="929">
                  <c:v>-2.1041850525166019</c:v>
                </c:pt>
                <c:pt idx="930">
                  <c:v>-2.1171585995667104</c:v>
                </c:pt>
                <c:pt idx="931">
                  <c:v>-2.4267070538002673</c:v>
                </c:pt>
                <c:pt idx="932">
                  <c:v>-2.1929804578680643</c:v>
                </c:pt>
                <c:pt idx="933">
                  <c:v>-2.0191431686900727</c:v>
                </c:pt>
                <c:pt idx="934">
                  <c:v>-1.8957877069752045</c:v>
                </c:pt>
                <c:pt idx="935">
                  <c:v>-1.8029701879008242</c:v>
                </c:pt>
                <c:pt idx="936">
                  <c:v>-1.950459881446279</c:v>
                </c:pt>
                <c:pt idx="937">
                  <c:v>-2.0056911365155861</c:v>
                </c:pt>
                <c:pt idx="938">
                  <c:v>-1.9775387265660584</c:v>
                </c:pt>
                <c:pt idx="939">
                  <c:v>-1.7538840141489156</c:v>
                </c:pt>
                <c:pt idx="940">
                  <c:v>-1.9945826629722783</c:v>
                </c:pt>
                <c:pt idx="941">
                  <c:v>-1.9212224891982337</c:v>
                </c:pt>
                <c:pt idx="942">
                  <c:v>-1.9454951674776626</c:v>
                </c:pt>
                <c:pt idx="943">
                  <c:v>-1.4720512233959182</c:v>
                </c:pt>
                <c:pt idx="944">
                  <c:v>-1.5427462241209011</c:v>
                </c:pt>
                <c:pt idx="945">
                  <c:v>-1.6726804472637573</c:v>
                </c:pt>
                <c:pt idx="946">
                  <c:v>-1.0610580518862058</c:v>
                </c:pt>
                <c:pt idx="947">
                  <c:v>-0.16769665568751516</c:v>
                </c:pt>
                <c:pt idx="948">
                  <c:v>0.14004312926649204</c:v>
                </c:pt>
                <c:pt idx="949">
                  <c:v>-9.9969896602364189E-2</c:v>
                </c:pt>
                <c:pt idx="950">
                  <c:v>0.45007776556605489</c:v>
                </c:pt>
                <c:pt idx="951">
                  <c:v>0.22672079172551809</c:v>
                </c:pt>
                <c:pt idx="952">
                  <c:v>0.17319369737257789</c:v>
                </c:pt>
                <c:pt idx="953">
                  <c:v>0.35908369139319596</c:v>
                </c:pt>
                <c:pt idx="954">
                  <c:v>0.4998522011771464</c:v>
                </c:pt>
                <c:pt idx="955">
                  <c:v>0.75327415330242598</c:v>
                </c:pt>
                <c:pt idx="956">
                  <c:v>0.56342258727385641</c:v>
                </c:pt>
                <c:pt idx="957">
                  <c:v>0.55070009394331254</c:v>
                </c:pt>
                <c:pt idx="958">
                  <c:v>0.43424155328958219</c:v>
                </c:pt>
                <c:pt idx="959">
                  <c:v>0.12918664687915216</c:v>
                </c:pt>
                <c:pt idx="960">
                  <c:v>0.34865640150137417</c:v>
                </c:pt>
                <c:pt idx="961">
                  <c:v>0.10109163941435648</c:v>
                </c:pt>
                <c:pt idx="962">
                  <c:v>-2.0503146967146883E-2</c:v>
                </c:pt>
                <c:pt idx="963">
                  <c:v>-0.23593638827026336</c:v>
                </c:pt>
                <c:pt idx="964">
                  <c:v>-0.14142868267570216</c:v>
                </c:pt>
                <c:pt idx="965">
                  <c:v>-7.4252407720928282E-2</c:v>
                </c:pt>
                <c:pt idx="966">
                  <c:v>-7.0642059711171351E-2</c:v>
                </c:pt>
                <c:pt idx="967">
                  <c:v>-0.32255974197405146</c:v>
                </c:pt>
                <c:pt idx="968">
                  <c:v>-0.24033063151571893</c:v>
                </c:pt>
                <c:pt idx="969">
                  <c:v>-0.13898885298861585</c:v>
                </c:pt>
                <c:pt idx="970">
                  <c:v>0.32517143569677703</c:v>
                </c:pt>
                <c:pt idx="971">
                  <c:v>0.18901959954956896</c:v>
                </c:pt>
                <c:pt idx="972">
                  <c:v>8.6629208276028033E-2</c:v>
                </c:pt>
                <c:pt idx="973">
                  <c:v>-0.29281678497397035</c:v>
                </c:pt>
                <c:pt idx="974">
                  <c:v>0.34528513502761249</c:v>
                </c:pt>
                <c:pt idx="975">
                  <c:v>0.23928447403637321</c:v>
                </c:pt>
                <c:pt idx="976">
                  <c:v>-4.3500221734697336E-2</c:v>
                </c:pt>
                <c:pt idx="977">
                  <c:v>-7.2026822180806846E-2</c:v>
                </c:pt>
                <c:pt idx="978">
                  <c:v>-0.27138070639822898</c:v>
                </c:pt>
                <c:pt idx="979">
                  <c:v>-0.16507174405236488</c:v>
                </c:pt>
                <c:pt idx="980">
                  <c:v>-0.17720201350867607</c:v>
                </c:pt>
                <c:pt idx="981">
                  <c:v>-0.41764440189730156</c:v>
                </c:pt>
                <c:pt idx="982">
                  <c:v>-1.7396213801500811E-2</c:v>
                </c:pt>
                <c:pt idx="983">
                  <c:v>5.5158139475784771E-3</c:v>
                </c:pt>
                <c:pt idx="984">
                  <c:v>3.4068068755743204E-2</c:v>
                </c:pt>
                <c:pt idx="985">
                  <c:v>-0.42301881215357884</c:v>
                </c:pt>
                <c:pt idx="986">
                  <c:v>1.5095312966266311E-2</c:v>
                </c:pt>
                <c:pt idx="987">
                  <c:v>-0.27749882881728172</c:v>
                </c:pt>
                <c:pt idx="988">
                  <c:v>0.87969277516195543</c:v>
                </c:pt>
                <c:pt idx="989">
                  <c:v>9.6728114687350167E-2</c:v>
                </c:pt>
                <c:pt idx="990">
                  <c:v>-0.51862745769743135</c:v>
                </c:pt>
                <c:pt idx="991">
                  <c:v>-0.34588950565814575</c:v>
                </c:pt>
                <c:pt idx="992">
                  <c:v>-0.18101187605214156</c:v>
                </c:pt>
                <c:pt idx="993">
                  <c:v>-0.42921862904096841</c:v>
                </c:pt>
                <c:pt idx="994">
                  <c:v>-0.59014645184023917</c:v>
                </c:pt>
                <c:pt idx="995">
                  <c:v>-0.47699481720701115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A5-4DA4-B49B-4AE487A5E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84655"/>
        <c:axId val="131389647"/>
      </c:lineChart>
      <c:dateAx>
        <c:axId val="1313846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89647"/>
        <c:crosses val="autoZero"/>
        <c:auto val="1"/>
        <c:lblOffset val="100"/>
        <c:baseTimeUnit val="days"/>
      </c:dateAx>
      <c:valAx>
        <c:axId val="13138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84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451A99-48D7-4762-98E3-AFFFAD0F48D8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D3D73-4720-489B-ADE8-45B24B75411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0.79849999999999999</v>
      </c>
      <c r="D2" s="4">
        <f>MIN(D3:D1912)</f>
        <v>2.5999999999999999E-2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0.1966</v>
      </c>
      <c r="C5">
        <v>0.19819999999999999</v>
      </c>
      <c r="D5">
        <v>0.19259999999999999</v>
      </c>
      <c r="E5">
        <v>0.19259999999999999</v>
      </c>
      <c r="F5">
        <v>6853362</v>
      </c>
      <c r="G5">
        <v>0.19259999999999999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-6853362</v>
      </c>
      <c r="R5">
        <f t="shared" ref="R5" si="2">R6+Q5</f>
        <v>13127113193.748718</v>
      </c>
      <c r="S5">
        <f t="shared" ref="S5" si="3">R5/100000</f>
        <v>131271.1319374872</v>
      </c>
      <c r="T5">
        <f t="shared" ref="T5" si="4">S5/1000</f>
        <v>131.27113193748718</v>
      </c>
    </row>
    <row r="6" spans="1:20" x14ac:dyDescent="0.25">
      <c r="A6" s="5">
        <v>44587</v>
      </c>
      <c r="B6">
        <v>0.19670000000000001</v>
      </c>
      <c r="C6">
        <v>0.20830000000000001</v>
      </c>
      <c r="D6">
        <v>0.19120000000000001</v>
      </c>
      <c r="E6">
        <v>0.1966</v>
      </c>
      <c r="F6">
        <v>111416403</v>
      </c>
      <c r="G6">
        <v>0.1966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-0.36842105263158048</v>
      </c>
      <c r="Q6">
        <f t="shared" ref="Q6" si="6">F6*P6</f>
        <v>-41048148.473684378</v>
      </c>
      <c r="R6">
        <f t="shared" ref="R6" si="7">R7+Q6</f>
        <v>13133966555.748718</v>
      </c>
      <c r="S6">
        <f t="shared" ref="S6" si="8">R6/100000</f>
        <v>131339.66555748717</v>
      </c>
      <c r="T6">
        <f t="shared" ref="T6" si="9">S6/1000</f>
        <v>131.33966555748717</v>
      </c>
    </row>
    <row r="7" spans="1:20" x14ac:dyDescent="0.25">
      <c r="A7" s="5">
        <v>44586</v>
      </c>
      <c r="B7">
        <v>0.19789999999999999</v>
      </c>
      <c r="C7">
        <v>0.1996</v>
      </c>
      <c r="D7">
        <v>0.18790000000000001</v>
      </c>
      <c r="E7">
        <v>0.1966</v>
      </c>
      <c r="F7">
        <v>86980306</v>
      </c>
      <c r="G7">
        <v>0.1966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0.48717948717948623</v>
      </c>
      <c r="Q7">
        <f t="shared" ref="Q7" si="11">F7*P7</f>
        <v>42375020.87179479</v>
      </c>
      <c r="R7">
        <f t="shared" ref="R7" si="12">R8+Q7</f>
        <v>13175014704.222403</v>
      </c>
      <c r="S7">
        <f t="shared" ref="S7" si="13">R7/100000</f>
        <v>131750.14704222404</v>
      </c>
      <c r="T7">
        <f t="shared" ref="T7" si="14">S7/1000</f>
        <v>131.75014704222403</v>
      </c>
    </row>
    <row r="8" spans="1:20" x14ac:dyDescent="0.25">
      <c r="A8" s="5">
        <v>44585</v>
      </c>
      <c r="B8">
        <v>0.20080000000000001</v>
      </c>
      <c r="C8">
        <v>0.2009</v>
      </c>
      <c r="D8">
        <v>0.17180000000000001</v>
      </c>
      <c r="E8">
        <v>0.1978</v>
      </c>
      <c r="F8">
        <v>178115510</v>
      </c>
      <c r="G8">
        <v>0.1978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0.78694158075601417</v>
      </c>
      <c r="Q8">
        <f t="shared" ref="Q8" si="16">F8*P8</f>
        <v>140166500.99656364</v>
      </c>
      <c r="R8">
        <f t="shared" ref="R8" si="17">R9+Q8</f>
        <v>13132639683.350607</v>
      </c>
      <c r="S8">
        <f t="shared" ref="S8" si="18">R8/100000</f>
        <v>131326.39683350606</v>
      </c>
      <c r="T8">
        <f t="shared" ref="T8" si="19">S8/1000</f>
        <v>131.32639683350607</v>
      </c>
    </row>
    <row r="9" spans="1:20" x14ac:dyDescent="0.25">
      <c r="A9" s="5">
        <v>44584</v>
      </c>
      <c r="B9">
        <v>0.19239999999999999</v>
      </c>
      <c r="C9">
        <v>0.2011</v>
      </c>
      <c r="D9">
        <v>0.18770000000000001</v>
      </c>
      <c r="E9">
        <v>0.2009</v>
      </c>
      <c r="F9">
        <v>122874220</v>
      </c>
      <c r="G9">
        <v>0.2009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0.97014925373134242</v>
      </c>
      <c r="Q9">
        <f t="shared" ref="Q9" si="21">F9*P9</f>
        <v>119206332.83582079</v>
      </c>
      <c r="R9">
        <f t="shared" ref="R9" si="22">R10+Q9</f>
        <v>12992473182.354044</v>
      </c>
      <c r="S9">
        <f t="shared" ref="S9" si="23">R9/100000</f>
        <v>129924.73182354044</v>
      </c>
      <c r="T9">
        <f t="shared" ref="T9" si="24">S9/1000</f>
        <v>129.92473182354044</v>
      </c>
    </row>
    <row r="10" spans="1:20" x14ac:dyDescent="0.25">
      <c r="A10" s="5">
        <v>44583</v>
      </c>
      <c r="B10">
        <v>0.20269999999999999</v>
      </c>
      <c r="C10">
        <v>0.20810000000000001</v>
      </c>
      <c r="D10">
        <v>0.1676</v>
      </c>
      <c r="E10">
        <v>0.19239999999999999</v>
      </c>
      <c r="F10">
        <v>255008979.90000001</v>
      </c>
      <c r="G10">
        <v>0.19239999999999999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0.22469135802469056</v>
      </c>
      <c r="Q10">
        <f t="shared" ref="Q10" si="26">F10*P10</f>
        <v>57298314.002222024</v>
      </c>
      <c r="R10">
        <f t="shared" ref="R10" si="27">R11+Q10</f>
        <v>12873266849.518223</v>
      </c>
      <c r="S10">
        <f t="shared" ref="S10" si="28">R10/100000</f>
        <v>128732.66849518222</v>
      </c>
      <c r="T10">
        <f t="shared" ref="T10" si="29">S10/1000</f>
        <v>128.73266849518222</v>
      </c>
    </row>
    <row r="11" spans="1:20" x14ac:dyDescent="0.25">
      <c r="A11" s="5">
        <v>44582</v>
      </c>
      <c r="B11">
        <v>0.23139999999999999</v>
      </c>
      <c r="C11">
        <v>0.23380000000000001</v>
      </c>
      <c r="D11">
        <v>0.19800000000000001</v>
      </c>
      <c r="E11">
        <v>0.20280000000000001</v>
      </c>
      <c r="F11">
        <v>203930777.19999999</v>
      </c>
      <c r="G11">
        <v>0.20280000000000001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-0.73184357541899447</v>
      </c>
      <c r="Q11">
        <f t="shared" ref="Q11" si="31">F11*P11</f>
        <v>-149245429.12402236</v>
      </c>
      <c r="R11">
        <f t="shared" ref="R11" si="32">R12+Q11</f>
        <v>12815968535.516001</v>
      </c>
      <c r="S11">
        <f t="shared" ref="S11" si="33">R11/100000</f>
        <v>128159.68535516001</v>
      </c>
      <c r="T11">
        <f t="shared" ref="T11" si="34">S11/1000</f>
        <v>128.15968535516001</v>
      </c>
    </row>
    <row r="12" spans="1:20" x14ac:dyDescent="0.25">
      <c r="A12" s="5">
        <v>44581</v>
      </c>
      <c r="B12">
        <v>0.2455</v>
      </c>
      <c r="C12">
        <v>0.25259999999999999</v>
      </c>
      <c r="D12">
        <v>0.22969999999999999</v>
      </c>
      <c r="E12">
        <v>0.23150000000000001</v>
      </c>
      <c r="F12">
        <v>78926378</v>
      </c>
      <c r="G12">
        <v>0.23150000000000001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-0.84279475982532548</v>
      </c>
      <c r="Q12">
        <f t="shared" ref="Q12" si="36">F12*P12</f>
        <v>-66518737.790392853</v>
      </c>
      <c r="R12">
        <f t="shared" ref="R12" si="37">R13+Q12</f>
        <v>12965213964.640022</v>
      </c>
      <c r="S12">
        <f t="shared" ref="S12" si="38">R12/100000</f>
        <v>129652.13964640022</v>
      </c>
      <c r="T12">
        <f t="shared" ref="T12" si="39">S12/1000</f>
        <v>129.65213964640023</v>
      </c>
    </row>
    <row r="13" spans="1:20" x14ac:dyDescent="0.25">
      <c r="A13" s="5">
        <v>44580</v>
      </c>
      <c r="B13">
        <v>0.254</v>
      </c>
      <c r="C13">
        <v>0.25580000000000003</v>
      </c>
      <c r="D13">
        <v>0.24340000000000001</v>
      </c>
      <c r="E13">
        <v>0.24540000000000001</v>
      </c>
      <c r="F13">
        <v>67306243</v>
      </c>
      <c r="G13">
        <v>0.24540000000000001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-0.67741935483870996</v>
      </c>
      <c r="Q13">
        <f t="shared" ref="Q13" si="41">F13*P13</f>
        <v>-45594551.709677435</v>
      </c>
      <c r="R13">
        <f t="shared" ref="R13" si="42">R14+Q13</f>
        <v>13031732702.430414</v>
      </c>
      <c r="S13">
        <f t="shared" ref="S13" si="43">R13/100000</f>
        <v>130317.32702430415</v>
      </c>
      <c r="T13">
        <f t="shared" ref="T13" si="44">S13/1000</f>
        <v>130.31732702430415</v>
      </c>
    </row>
    <row r="14" spans="1:20" x14ac:dyDescent="0.25">
      <c r="A14" s="5">
        <v>44579</v>
      </c>
      <c r="B14">
        <v>0.25600000000000001</v>
      </c>
      <c r="C14">
        <v>0.2576</v>
      </c>
      <c r="D14">
        <v>0.2487</v>
      </c>
      <c r="E14">
        <v>0.25409999999999999</v>
      </c>
      <c r="F14">
        <v>80656534</v>
      </c>
      <c r="G14">
        <v>0.25409999999999999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0.21348314606741425</v>
      </c>
      <c r="Q14">
        <f t="shared" ref="Q14" si="46">F14*P14</f>
        <v>17218810.629213363</v>
      </c>
      <c r="R14">
        <f t="shared" ref="R14" si="47">R15+Q14</f>
        <v>13077327254.140091</v>
      </c>
      <c r="S14">
        <f t="shared" ref="S14" si="48">R14/100000</f>
        <v>130773.2725414009</v>
      </c>
      <c r="T14">
        <f t="shared" ref="T14" si="49">S14/1000</f>
        <v>130.7732725414009</v>
      </c>
    </row>
    <row r="15" spans="1:20" x14ac:dyDescent="0.25">
      <c r="A15" s="5">
        <v>44578</v>
      </c>
      <c r="B15">
        <v>0.25879999999999997</v>
      </c>
      <c r="C15">
        <v>0.25979999999999998</v>
      </c>
      <c r="D15">
        <v>0.24970000000000001</v>
      </c>
      <c r="E15">
        <v>0.25590000000000002</v>
      </c>
      <c r="F15">
        <v>67572565</v>
      </c>
      <c r="G15">
        <v>0.25590000000000002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0.22772277227723353</v>
      </c>
      <c r="Q15">
        <f t="shared" ref="Q15" si="51">F15*P15</f>
        <v>15387811.831683561</v>
      </c>
      <c r="R15">
        <f t="shared" ref="R15" si="52">R16+Q15</f>
        <v>13060108443.510878</v>
      </c>
      <c r="S15">
        <f t="shared" ref="S15" si="53">R15/100000</f>
        <v>130601.08443510877</v>
      </c>
      <c r="T15">
        <f t="shared" ref="T15" si="54">S15/1000</f>
        <v>130.60108443510876</v>
      </c>
    </row>
    <row r="16" spans="1:20" x14ac:dyDescent="0.25">
      <c r="A16" s="5">
        <v>44577</v>
      </c>
      <c r="B16">
        <v>0.25900000000000001</v>
      </c>
      <c r="C16">
        <v>0.26250000000000001</v>
      </c>
      <c r="D16">
        <v>0.25430000000000003</v>
      </c>
      <c r="E16">
        <v>0.25890000000000002</v>
      </c>
      <c r="F16">
        <v>63917652</v>
      </c>
      <c r="G16">
        <v>0.25890000000000002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0.12195121951219545</v>
      </c>
      <c r="Q16">
        <f t="shared" ref="Q16" si="56">F16*P16</f>
        <v>7794835.6097561186</v>
      </c>
      <c r="R16">
        <f t="shared" ref="R16" si="57">R17+Q16</f>
        <v>13044720631.679193</v>
      </c>
      <c r="S16">
        <f t="shared" ref="S16" si="58">R16/100000</f>
        <v>130447.20631679194</v>
      </c>
      <c r="T16">
        <f t="shared" ref="T16" si="59">S16/1000</f>
        <v>130.44720631679195</v>
      </c>
    </row>
    <row r="17" spans="1:20" x14ac:dyDescent="0.25">
      <c r="A17" s="5">
        <v>44576</v>
      </c>
      <c r="B17">
        <v>0.26440000000000002</v>
      </c>
      <c r="C17">
        <v>0.2697</v>
      </c>
      <c r="D17">
        <v>0.25590000000000002</v>
      </c>
      <c r="E17">
        <v>0.25879999999999997</v>
      </c>
      <c r="F17">
        <v>131814740</v>
      </c>
      <c r="G17">
        <v>0.25879999999999997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-0.57971014492754169</v>
      </c>
      <c r="Q17">
        <f t="shared" ref="Q17" si="61">F17*P17</f>
        <v>-76414342.02898623</v>
      </c>
      <c r="R17">
        <f t="shared" ref="R17" si="62">R18+Q17</f>
        <v>13036925796.069437</v>
      </c>
      <c r="S17">
        <f t="shared" ref="S17" si="63">R17/100000</f>
        <v>130369.25796069438</v>
      </c>
      <c r="T17">
        <f t="shared" ref="T17" si="64">S17/1000</f>
        <v>130.36925796069437</v>
      </c>
    </row>
    <row r="18" spans="1:20" x14ac:dyDescent="0.25">
      <c r="A18" s="5">
        <v>44575</v>
      </c>
      <c r="B18">
        <v>0.26919999999999999</v>
      </c>
      <c r="C18">
        <v>0.2863</v>
      </c>
      <c r="D18">
        <v>0.26140000000000002</v>
      </c>
      <c r="E18">
        <v>0.26440000000000002</v>
      </c>
      <c r="F18">
        <v>154090982</v>
      </c>
      <c r="G18">
        <v>0.26440000000000002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-0.75903614457831281</v>
      </c>
      <c r="Q18">
        <f t="shared" ref="Q18" si="66">F18*P18</f>
        <v>-116960624.8915662</v>
      </c>
      <c r="R18">
        <f t="shared" ref="R18" si="67">R19+Q18</f>
        <v>13113340138.098423</v>
      </c>
      <c r="S18">
        <f t="shared" ref="S18" si="68">R18/100000</f>
        <v>131133.40138098423</v>
      </c>
      <c r="T18">
        <f t="shared" ref="T18" si="69">S18/1000</f>
        <v>131.13340138098422</v>
      </c>
    </row>
    <row r="19" spans="1:20" x14ac:dyDescent="0.25">
      <c r="A19" s="5">
        <v>44574</v>
      </c>
      <c r="B19">
        <v>0.2823</v>
      </c>
      <c r="C19">
        <v>0.29010000000000002</v>
      </c>
      <c r="D19">
        <v>0.26850000000000002</v>
      </c>
      <c r="E19">
        <v>0.26929999999999998</v>
      </c>
      <c r="F19">
        <v>100679548</v>
      </c>
      <c r="G19">
        <v>0.26929999999999998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-0.92592592592592893</v>
      </c>
      <c r="Q19">
        <f t="shared" ref="Q19" si="71">F19*P19</f>
        <v>-93221803.703704</v>
      </c>
      <c r="R19">
        <f t="shared" ref="R19" si="72">R20+Q19</f>
        <v>13230300762.989988</v>
      </c>
      <c r="S19">
        <f t="shared" ref="S19" si="73">R19/100000</f>
        <v>132303.00762989989</v>
      </c>
      <c r="T19">
        <f t="shared" ref="T19" si="74">S19/1000</f>
        <v>132.30300762989989</v>
      </c>
    </row>
    <row r="20" spans="1:20" x14ac:dyDescent="0.25">
      <c r="A20" s="5">
        <v>44573</v>
      </c>
      <c r="B20">
        <v>0.26300000000000001</v>
      </c>
      <c r="C20">
        <v>0.29170000000000001</v>
      </c>
      <c r="D20">
        <v>0.26279999999999998</v>
      </c>
      <c r="E20">
        <v>0.28220000000000001</v>
      </c>
      <c r="F20">
        <v>150003817</v>
      </c>
      <c r="G20">
        <v>0.28220000000000001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0.34256055363321825</v>
      </c>
      <c r="Q20">
        <f t="shared" ref="Q20" si="76">F20*P20</f>
        <v>51385390.598615952</v>
      </c>
      <c r="R20">
        <f t="shared" ref="R20" si="77">R21+Q20</f>
        <v>13323522566.693693</v>
      </c>
      <c r="S20">
        <f t="shared" ref="S20" si="78">R20/100000</f>
        <v>133235.22566693692</v>
      </c>
      <c r="T20">
        <f t="shared" ref="T20" si="79">S20/1000</f>
        <v>133.23522566693691</v>
      </c>
    </row>
    <row r="21" spans="1:20" x14ac:dyDescent="0.25">
      <c r="A21" s="5">
        <v>44572</v>
      </c>
      <c r="B21">
        <v>0.25280000000000002</v>
      </c>
      <c r="C21">
        <v>0.2636</v>
      </c>
      <c r="D21">
        <v>0.248</v>
      </c>
      <c r="E21">
        <v>0.26300000000000001</v>
      </c>
      <c r="F21">
        <v>68869759</v>
      </c>
      <c r="G21">
        <v>0.26300000000000001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0.92307692307692446</v>
      </c>
      <c r="Q21">
        <f t="shared" ref="Q21" si="81">F21*P21</f>
        <v>63572085.230769329</v>
      </c>
      <c r="R21">
        <f t="shared" ref="R21" si="82">R22+Q21</f>
        <v>13272137176.095078</v>
      </c>
      <c r="S21">
        <f t="shared" ref="S21" si="83">R21/100000</f>
        <v>132721.37176095077</v>
      </c>
      <c r="T21">
        <f t="shared" ref="T21" si="84">S21/1000</f>
        <v>132.72137176095077</v>
      </c>
    </row>
    <row r="22" spans="1:20" x14ac:dyDescent="0.25">
      <c r="A22" s="5">
        <v>44571</v>
      </c>
      <c r="B22">
        <v>0.26100000000000001</v>
      </c>
      <c r="C22">
        <v>0.2641</v>
      </c>
      <c r="D22">
        <v>0.2349</v>
      </c>
      <c r="E22">
        <v>0.25290000000000001</v>
      </c>
      <c r="F22">
        <v>112088262</v>
      </c>
      <c r="G22">
        <v>0.25290000000000001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0.23287671232876805</v>
      </c>
      <c r="Q22">
        <f t="shared" ref="Q22" si="86">F22*P22</f>
        <v>26102745.945205584</v>
      </c>
      <c r="R22">
        <f t="shared" ref="R22" si="87">R23+Q22</f>
        <v>13208565090.864307</v>
      </c>
      <c r="S22">
        <f t="shared" ref="S22" si="88">R22/100000</f>
        <v>132085.65090864306</v>
      </c>
      <c r="T22">
        <f t="shared" ref="T22" si="89">S22/1000</f>
        <v>132.08565090864306</v>
      </c>
    </row>
    <row r="23" spans="1:20" x14ac:dyDescent="0.25">
      <c r="A23" s="5">
        <v>44570</v>
      </c>
      <c r="B23">
        <v>0.25509999999999999</v>
      </c>
      <c r="C23">
        <v>0.26400000000000001</v>
      </c>
      <c r="D23">
        <v>0.25290000000000001</v>
      </c>
      <c r="E23">
        <v>0.26090000000000002</v>
      </c>
      <c r="F23">
        <v>59541431</v>
      </c>
      <c r="G23">
        <v>0.26090000000000002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0.44144144144144287</v>
      </c>
      <c r="Q23">
        <f t="shared" ref="Q23" si="91">F23*P23</f>
        <v>26284055.126126211</v>
      </c>
      <c r="R23">
        <f t="shared" ref="R23" si="92">R24+Q23</f>
        <v>13182462344.919102</v>
      </c>
      <c r="S23">
        <f t="shared" ref="S23" si="93">R23/100000</f>
        <v>131824.62344919101</v>
      </c>
      <c r="T23">
        <f t="shared" ref="T23" si="94">S23/1000</f>
        <v>131.82462344919102</v>
      </c>
    </row>
    <row r="24" spans="1:20" x14ac:dyDescent="0.25">
      <c r="A24" s="5">
        <v>44569</v>
      </c>
      <c r="B24">
        <v>0.2571</v>
      </c>
      <c r="C24">
        <v>0.2646</v>
      </c>
      <c r="D24">
        <v>0.24660000000000001</v>
      </c>
      <c r="E24">
        <v>0.255</v>
      </c>
      <c r="F24">
        <v>85233125</v>
      </c>
      <c r="G24">
        <v>0.255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-6.6666666666667082E-2</v>
      </c>
      <c r="Q24">
        <f t="shared" ref="Q24" si="96">F24*P24</f>
        <v>-5682208.3333333684</v>
      </c>
      <c r="R24">
        <f t="shared" ref="R24" si="97">R25+Q24</f>
        <v>13156178289.792976</v>
      </c>
      <c r="S24">
        <f t="shared" ref="S24" si="98">R24/100000</f>
        <v>131561.78289792978</v>
      </c>
      <c r="T24">
        <f t="shared" ref="T24" si="99">S24/1000</f>
        <v>131.56178289792979</v>
      </c>
    </row>
    <row r="25" spans="1:20" x14ac:dyDescent="0.25">
      <c r="A25" s="5">
        <v>44568</v>
      </c>
      <c r="B25">
        <v>0.26750000000000002</v>
      </c>
      <c r="C25">
        <v>0.26840000000000003</v>
      </c>
      <c r="D25">
        <v>0.251</v>
      </c>
      <c r="E25">
        <v>0.25690000000000002</v>
      </c>
      <c r="F25">
        <v>108784242</v>
      </c>
      <c r="G25">
        <v>0.25690000000000002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-0.32183908045976928</v>
      </c>
      <c r="Q25">
        <f t="shared" ref="Q25" si="101">F25*P25</f>
        <v>-35011020.413793012</v>
      </c>
      <c r="R25">
        <f t="shared" ref="R25" si="102">R26+Q25</f>
        <v>13161860498.12631</v>
      </c>
      <c r="S25">
        <f t="shared" ref="S25" si="103">R25/100000</f>
        <v>131618.60498126311</v>
      </c>
      <c r="T25">
        <f t="shared" ref="T25" si="104">S25/1000</f>
        <v>131.6186049812631</v>
      </c>
    </row>
    <row r="26" spans="1:20" x14ac:dyDescent="0.25">
      <c r="A26" s="5">
        <v>44567</v>
      </c>
      <c r="B26">
        <v>0.26619999999999999</v>
      </c>
      <c r="C26">
        <v>0.27239999999999998</v>
      </c>
      <c r="D26">
        <v>0.25800000000000001</v>
      </c>
      <c r="E26">
        <v>0.2676</v>
      </c>
      <c r="F26">
        <v>100323451</v>
      </c>
      <c r="G26">
        <v>0.2676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0.33333333333333592</v>
      </c>
      <c r="Q26">
        <f t="shared" ref="Q26" si="106">F26*P26</f>
        <v>33441150.333333593</v>
      </c>
      <c r="R26">
        <f t="shared" ref="R26" si="107">R27+Q26</f>
        <v>13196871518.540104</v>
      </c>
      <c r="S26">
        <f t="shared" ref="S26" si="108">R26/100000</f>
        <v>131968.71518540103</v>
      </c>
      <c r="T26">
        <f t="shared" ref="T26" si="109">S26/1000</f>
        <v>131.96871518540104</v>
      </c>
    </row>
    <row r="27" spans="1:20" x14ac:dyDescent="0.25">
      <c r="A27" s="5">
        <v>44566</v>
      </c>
      <c r="B27">
        <v>0.27929999999999999</v>
      </c>
      <c r="C27">
        <v>0.29499999999999998</v>
      </c>
      <c r="D27">
        <v>0.25430000000000003</v>
      </c>
      <c r="E27">
        <v>0.2661</v>
      </c>
      <c r="F27">
        <v>128664074</v>
      </c>
      <c r="G27">
        <v>0.2661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-0.42014742014742068</v>
      </c>
      <c r="Q27">
        <f t="shared" ref="Q27" si="111">F27*P27</f>
        <v>-54057878.756756827</v>
      </c>
      <c r="R27">
        <f t="shared" ref="R27" si="112">R28+Q27</f>
        <v>13163430368.20677</v>
      </c>
      <c r="S27">
        <f t="shared" ref="S27" si="113">R27/100000</f>
        <v>131634.30368206769</v>
      </c>
      <c r="T27">
        <f t="shared" ref="T27" si="114">S27/1000</f>
        <v>131.6343036820677</v>
      </c>
    </row>
    <row r="28" spans="1:20" x14ac:dyDescent="0.25">
      <c r="A28" s="5">
        <v>44565</v>
      </c>
      <c r="B28">
        <v>0.29039999999999999</v>
      </c>
      <c r="C28">
        <v>0.2913</v>
      </c>
      <c r="D28">
        <v>0.27839999999999998</v>
      </c>
      <c r="E28">
        <v>0.27910000000000001</v>
      </c>
      <c r="F28">
        <v>79908609</v>
      </c>
      <c r="G28">
        <v>0.27910000000000001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-0.89147286821704919</v>
      </c>
      <c r="Q28">
        <f t="shared" ref="Q28" si="116">F28*P28</f>
        <v>-71236356.860464707</v>
      </c>
      <c r="R28">
        <f t="shared" ref="R28" si="117">R29+Q28</f>
        <v>13217488246.963528</v>
      </c>
      <c r="S28">
        <f t="shared" ref="S28" si="118">R28/100000</f>
        <v>132174.88246963528</v>
      </c>
      <c r="T28">
        <f t="shared" ref="T28" si="119">S28/1000</f>
        <v>132.17488246963529</v>
      </c>
    </row>
    <row r="29" spans="1:20" x14ac:dyDescent="0.25">
      <c r="A29" s="5">
        <v>44564</v>
      </c>
      <c r="B29">
        <v>0.29199999999999998</v>
      </c>
      <c r="C29">
        <v>0.29759999999999998</v>
      </c>
      <c r="D29">
        <v>0.28539999999999999</v>
      </c>
      <c r="E29">
        <v>0.29020000000000001</v>
      </c>
      <c r="F29">
        <v>101089932</v>
      </c>
      <c r="G29">
        <v>0.29020000000000001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-0.21311475409835559</v>
      </c>
      <c r="Q29">
        <f t="shared" ref="Q29" si="121">F29*P29</f>
        <v>-21543755.99999949</v>
      </c>
      <c r="R29">
        <f t="shared" ref="R29" si="122">R30+Q29</f>
        <v>13288724603.823992</v>
      </c>
      <c r="S29">
        <f t="shared" ref="S29" si="123">R29/100000</f>
        <v>132887.24603823991</v>
      </c>
      <c r="T29">
        <f t="shared" ref="T29" si="124">S29/1000</f>
        <v>132.88724603823991</v>
      </c>
    </row>
    <row r="30" spans="1:20" x14ac:dyDescent="0.25">
      <c r="A30" s="5">
        <v>44563</v>
      </c>
      <c r="B30">
        <v>0.2767</v>
      </c>
      <c r="C30">
        <v>0.2923</v>
      </c>
      <c r="D30">
        <v>0.27550000000000002</v>
      </c>
      <c r="E30">
        <v>0.29210000000000003</v>
      </c>
      <c r="F30">
        <v>70471416</v>
      </c>
      <c r="G30">
        <v>0.29210000000000003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0.97619047619047883</v>
      </c>
      <c r="Q30">
        <f t="shared" ref="Q30" si="126">F30*P30</f>
        <v>68793525.142857328</v>
      </c>
      <c r="R30">
        <f t="shared" ref="R30" si="127">R31+Q30</f>
        <v>13310268359.823992</v>
      </c>
      <c r="S30">
        <f t="shared" ref="S30" si="128">R30/100000</f>
        <v>133102.68359823991</v>
      </c>
      <c r="T30">
        <f t="shared" ref="T30" si="129">S30/1000</f>
        <v>133.10268359823991</v>
      </c>
    </row>
    <row r="31" spans="1:20" x14ac:dyDescent="0.25">
      <c r="A31" s="5">
        <v>44562</v>
      </c>
      <c r="B31">
        <v>0.26650000000000001</v>
      </c>
      <c r="C31">
        <v>0.27710000000000001</v>
      </c>
      <c r="D31">
        <v>0.26600000000000001</v>
      </c>
      <c r="E31">
        <v>0.27650000000000002</v>
      </c>
      <c r="F31">
        <v>55085186</v>
      </c>
      <c r="G31">
        <v>0.27650000000000002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0.89189189189189377</v>
      </c>
      <c r="Q31">
        <f t="shared" ref="Q31" si="131">F31*P31</f>
        <v>49130030.756756857</v>
      </c>
      <c r="R31">
        <f t="shared" ref="R31" si="132">R32+Q31</f>
        <v>13241474834.681135</v>
      </c>
      <c r="S31">
        <f t="shared" ref="S31" si="133">R31/100000</f>
        <v>132414.74834681136</v>
      </c>
      <c r="T31">
        <f t="shared" ref="T31" si="134">S31/1000</f>
        <v>132.41474834681136</v>
      </c>
    </row>
    <row r="32" spans="1:20" x14ac:dyDescent="0.25">
      <c r="A32" s="5">
        <v>44561</v>
      </c>
      <c r="B32">
        <v>0.26800000000000002</v>
      </c>
      <c r="C32">
        <v>0.27679999999999999</v>
      </c>
      <c r="D32">
        <v>0.25879999999999997</v>
      </c>
      <c r="E32">
        <v>0.26650000000000001</v>
      </c>
      <c r="F32">
        <v>74278600</v>
      </c>
      <c r="G32">
        <v>0.26650000000000001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-0.14444444444444074</v>
      </c>
      <c r="Q32">
        <f t="shared" ref="Q32" si="136">F32*P32</f>
        <v>-10729131.111110836</v>
      </c>
      <c r="R32">
        <f t="shared" ref="R32" si="137">R33+Q32</f>
        <v>13192344803.924377</v>
      </c>
      <c r="S32">
        <f t="shared" ref="S32" si="138">R32/100000</f>
        <v>131923.44803924378</v>
      </c>
      <c r="T32">
        <f t="shared" ref="T32" si="139">S32/1000</f>
        <v>131.92344803924379</v>
      </c>
    </row>
    <row r="33" spans="1:20" x14ac:dyDescent="0.25">
      <c r="A33" s="5">
        <v>44560</v>
      </c>
      <c r="B33">
        <v>0.26669999999999999</v>
      </c>
      <c r="C33">
        <v>0.27539999999999998</v>
      </c>
      <c r="D33">
        <v>0.2606</v>
      </c>
      <c r="E33">
        <v>0.2681</v>
      </c>
      <c r="F33">
        <v>81759830</v>
      </c>
      <c r="G33">
        <v>0.2681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1.3513513513515794E-2</v>
      </c>
      <c r="Q33">
        <f t="shared" ref="Q33" si="141">F33*P33</f>
        <v>1104862.5675677541</v>
      </c>
      <c r="R33">
        <f t="shared" ref="R33" si="142">R34+Q33</f>
        <v>13203073935.035488</v>
      </c>
      <c r="S33">
        <f t="shared" ref="S33" si="143">R33/100000</f>
        <v>132030.73935035488</v>
      </c>
      <c r="T33">
        <f t="shared" ref="T33" si="144">S33/1000</f>
        <v>132.03073935035488</v>
      </c>
    </row>
    <row r="34" spans="1:20" x14ac:dyDescent="0.25">
      <c r="A34" s="5">
        <v>44559</v>
      </c>
      <c r="B34">
        <v>0.27400000000000002</v>
      </c>
      <c r="C34">
        <v>0.27950000000000003</v>
      </c>
      <c r="D34">
        <v>0.26429999999999998</v>
      </c>
      <c r="E34">
        <v>0.26690000000000003</v>
      </c>
      <c r="F34">
        <v>83469755</v>
      </c>
      <c r="G34">
        <v>0.26690000000000003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-0.6578947368421002</v>
      </c>
      <c r="Q34">
        <f t="shared" ref="Q34" si="146">F34*P34</f>
        <v>-54914312.499999575</v>
      </c>
      <c r="R34">
        <f t="shared" ref="R34" si="147">R35+Q34</f>
        <v>13201969072.46792</v>
      </c>
      <c r="S34">
        <f t="shared" ref="S34" si="148">R34/100000</f>
        <v>132019.69072467921</v>
      </c>
      <c r="T34">
        <f t="shared" ref="T34" si="149">S34/1000</f>
        <v>132.01969072467921</v>
      </c>
    </row>
    <row r="35" spans="1:20" x14ac:dyDescent="0.25">
      <c r="A35" s="5">
        <v>44558</v>
      </c>
      <c r="B35">
        <v>0.2984</v>
      </c>
      <c r="C35">
        <v>0.29899999999999999</v>
      </c>
      <c r="D35">
        <v>0.27310000000000001</v>
      </c>
      <c r="E35">
        <v>0.27400000000000002</v>
      </c>
      <c r="F35">
        <v>119482830</v>
      </c>
      <c r="G35">
        <v>0.27400000000000002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-0.93050193050192953</v>
      </c>
      <c r="Q35">
        <f t="shared" ref="Q35" si="151">F35*P35</f>
        <v>-111179003.97683387</v>
      </c>
      <c r="R35">
        <f t="shared" ref="R35" si="152">R36+Q35</f>
        <v>13256883384.96792</v>
      </c>
      <c r="S35">
        <f t="shared" ref="S35" si="153">R35/100000</f>
        <v>132568.83384967921</v>
      </c>
      <c r="T35">
        <f t="shared" ref="T35" si="154">S35/1000</f>
        <v>132.56883384967921</v>
      </c>
    </row>
    <row r="36" spans="1:20" x14ac:dyDescent="0.25">
      <c r="A36" s="5">
        <v>44557</v>
      </c>
      <c r="B36">
        <v>0.29149999999999998</v>
      </c>
      <c r="C36">
        <v>0.30590000000000001</v>
      </c>
      <c r="D36">
        <v>0.29070000000000001</v>
      </c>
      <c r="E36">
        <v>0.2984</v>
      </c>
      <c r="F36">
        <v>74070954</v>
      </c>
      <c r="G36">
        <v>0.2984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1.3157894736840663E-2</v>
      </c>
      <c r="Q36">
        <f t="shared" ref="Q36" si="156">F36*P36</f>
        <v>974617.81578936684</v>
      </c>
      <c r="R36">
        <f t="shared" ref="R36" si="157">R37+Q36</f>
        <v>13368062388.944754</v>
      </c>
      <c r="S36">
        <f t="shared" ref="S36" si="158">R36/100000</f>
        <v>133680.62388944754</v>
      </c>
      <c r="T36">
        <f t="shared" ref="T36" si="159">S36/1000</f>
        <v>133.68062388944753</v>
      </c>
    </row>
    <row r="37" spans="1:20" x14ac:dyDescent="0.25">
      <c r="A37" s="5">
        <v>44556</v>
      </c>
      <c r="B37">
        <v>0.28889999999999999</v>
      </c>
      <c r="C37">
        <v>0.29389999999999999</v>
      </c>
      <c r="D37">
        <v>0.2848</v>
      </c>
      <c r="E37">
        <v>0.29139999999999999</v>
      </c>
      <c r="F37">
        <v>61948951</v>
      </c>
      <c r="G37">
        <v>0.29139999999999999</v>
      </c>
      <c r="L37" t="s">
        <v>8</v>
      </c>
      <c r="M37" t="s">
        <v>7</v>
      </c>
      <c r="N37" t="s">
        <v>7</v>
      </c>
      <c r="P37">
        <f t="shared" ref="P37" si="160">IF(C37=D37,0,((E37-D37)-(C37-E37))/(C37-D37))</f>
        <v>0.45054945054944989</v>
      </c>
      <c r="Q37">
        <f t="shared" ref="Q37" si="161">F37*P37</f>
        <v>27911065.835164793</v>
      </c>
      <c r="R37">
        <f t="shared" ref="R37" si="162">R38+Q37</f>
        <v>13367087771.128963</v>
      </c>
      <c r="S37">
        <f t="shared" ref="S37" si="163">R37/100000</f>
        <v>133670.87771128962</v>
      </c>
      <c r="T37">
        <f t="shared" ref="T37" si="164">S37/1000</f>
        <v>133.67087771128962</v>
      </c>
    </row>
    <row r="38" spans="1:20" x14ac:dyDescent="0.25">
      <c r="A38" s="5">
        <v>44555</v>
      </c>
      <c r="B38">
        <v>0.27789999999999998</v>
      </c>
      <c r="C38">
        <v>0.29480000000000001</v>
      </c>
      <c r="D38">
        <v>0.27510000000000001</v>
      </c>
      <c r="E38">
        <v>0.28899999999999998</v>
      </c>
      <c r="F38">
        <v>84816884</v>
      </c>
      <c r="G38">
        <v>0.28899999999999998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0.4111675126903524</v>
      </c>
      <c r="Q38">
        <f t="shared" ref="Q38" si="166">F38*P38</f>
        <v>34873947.228426151</v>
      </c>
      <c r="R38">
        <f t="shared" ref="R38" si="167">R39+Q38</f>
        <v>13339176705.293798</v>
      </c>
      <c r="S38">
        <f t="shared" ref="S38" si="168">R38/100000</f>
        <v>133391.767052938</v>
      </c>
      <c r="T38">
        <f t="shared" ref="T38" si="169">S38/1000</f>
        <v>133.39176705293801</v>
      </c>
    </row>
    <row r="39" spans="1:20" x14ac:dyDescent="0.25">
      <c r="A39" s="5">
        <v>44554</v>
      </c>
      <c r="B39">
        <v>0.28749999999999998</v>
      </c>
      <c r="C39">
        <v>0.28839999999999999</v>
      </c>
      <c r="D39">
        <v>0.27500000000000002</v>
      </c>
      <c r="E39">
        <v>0.27789999999999998</v>
      </c>
      <c r="F39">
        <v>86376474</v>
      </c>
      <c r="G39">
        <v>0.27789999999999998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-0.5671641791044828</v>
      </c>
      <c r="Q39">
        <f t="shared" ref="Q39" si="171">F39*P39</f>
        <v>-48989641.970149703</v>
      </c>
      <c r="R39">
        <f t="shared" ref="R39" si="172">R40+Q39</f>
        <v>13304302758.065372</v>
      </c>
      <c r="S39">
        <f t="shared" ref="S39" si="173">R39/100000</f>
        <v>133043.02758065372</v>
      </c>
      <c r="T39">
        <f t="shared" ref="T39" si="174">S39/1000</f>
        <v>133.04302758065373</v>
      </c>
    </row>
    <row r="40" spans="1:20" x14ac:dyDescent="0.25">
      <c r="A40" s="5">
        <v>44553</v>
      </c>
      <c r="B40">
        <v>0.26719999999999999</v>
      </c>
      <c r="C40">
        <v>0.28960000000000002</v>
      </c>
      <c r="D40">
        <v>0.26429999999999998</v>
      </c>
      <c r="E40">
        <v>0.28739999999999999</v>
      </c>
      <c r="F40">
        <v>121928680</v>
      </c>
      <c r="G40">
        <v>0.28739999999999999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0.82608695652173669</v>
      </c>
      <c r="Q40">
        <f t="shared" ref="Q40" si="176">F40*P40</f>
        <v>100723692.17391275</v>
      </c>
      <c r="R40">
        <f t="shared" ref="R40" si="177">R41+Q40</f>
        <v>13353292400.035522</v>
      </c>
      <c r="S40">
        <f t="shared" ref="S40" si="178">R40/100000</f>
        <v>133532.92400035521</v>
      </c>
      <c r="T40">
        <f t="shared" ref="T40" si="179">S40/1000</f>
        <v>133.53292400035522</v>
      </c>
    </row>
    <row r="41" spans="1:20" x14ac:dyDescent="0.25">
      <c r="A41" s="5">
        <v>44552</v>
      </c>
      <c r="B41">
        <v>0.26719999999999999</v>
      </c>
      <c r="C41">
        <v>0.27700000000000002</v>
      </c>
      <c r="D41">
        <v>0.2666</v>
      </c>
      <c r="E41">
        <v>0.26729999999999998</v>
      </c>
      <c r="F41">
        <v>114001013</v>
      </c>
      <c r="G41">
        <v>0.26729999999999998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-0.86538461538461975</v>
      </c>
      <c r="Q41">
        <f t="shared" ref="Q41" si="181">F41*P41</f>
        <v>-98654722.788462043</v>
      </c>
      <c r="R41">
        <f t="shared" ref="R41" si="182">R42+Q41</f>
        <v>13252568707.86161</v>
      </c>
      <c r="S41">
        <f t="shared" ref="S41" si="183">R41/100000</f>
        <v>132525.68707861612</v>
      </c>
      <c r="T41">
        <f t="shared" ref="T41" si="184">S41/1000</f>
        <v>132.52568707861613</v>
      </c>
    </row>
    <row r="42" spans="1:20" x14ac:dyDescent="0.25">
      <c r="A42" s="5">
        <v>44551</v>
      </c>
      <c r="B42">
        <v>0.25740000000000002</v>
      </c>
      <c r="C42">
        <v>0.26910000000000001</v>
      </c>
      <c r="D42">
        <v>0.25240000000000001</v>
      </c>
      <c r="E42">
        <v>0.2671</v>
      </c>
      <c r="F42">
        <v>129545734</v>
      </c>
      <c r="G42">
        <v>0.2671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0.76047904191616733</v>
      </c>
      <c r="Q42">
        <f t="shared" ref="Q42" si="186">F42*P42</f>
        <v>98516815.676646665</v>
      </c>
      <c r="R42">
        <f t="shared" ref="R42" si="187">R43+Q42</f>
        <v>13351223430.650072</v>
      </c>
      <c r="S42">
        <f t="shared" ref="S42" si="188">R42/100000</f>
        <v>133512.23430650073</v>
      </c>
      <c r="T42">
        <f t="shared" ref="T42" si="189">S42/1000</f>
        <v>133.51223430650072</v>
      </c>
    </row>
    <row r="43" spans="1:20" x14ac:dyDescent="0.25">
      <c r="A43" s="5">
        <v>44550</v>
      </c>
      <c r="B43">
        <v>0.25319999999999998</v>
      </c>
      <c r="C43">
        <v>0.27379999999999999</v>
      </c>
      <c r="D43">
        <v>0.25019999999999998</v>
      </c>
      <c r="E43">
        <v>0.25740000000000002</v>
      </c>
      <c r="F43">
        <v>214505461</v>
      </c>
      <c r="G43">
        <v>0.25740000000000002</v>
      </c>
      <c r="L43" t="s">
        <v>8</v>
      </c>
      <c r="M43" t="s">
        <v>7</v>
      </c>
      <c r="N43" t="s">
        <v>7</v>
      </c>
      <c r="P43">
        <f t="shared" ref="P43" si="190">IF(C43=D43,0,((E43-D43)-(C43-E43))/(C43-D43))</f>
        <v>-0.38983050847457318</v>
      </c>
      <c r="Q43">
        <f t="shared" ref="Q43" si="191">F43*P43</f>
        <v>-83620772.932202727</v>
      </c>
      <c r="R43">
        <f t="shared" ref="R43" si="192">R44+Q43</f>
        <v>13252706614.973425</v>
      </c>
      <c r="S43">
        <f t="shared" ref="S43" si="193">R43/100000</f>
        <v>132527.06614973425</v>
      </c>
      <c r="T43">
        <f t="shared" ref="T43" si="194">S43/1000</f>
        <v>132.52706614973425</v>
      </c>
    </row>
    <row r="44" spans="1:20" x14ac:dyDescent="0.25">
      <c r="A44" s="5">
        <v>44549</v>
      </c>
      <c r="B44">
        <v>0.25509999999999999</v>
      </c>
      <c r="C44">
        <v>0.26719999999999999</v>
      </c>
      <c r="D44">
        <v>0.25130000000000002</v>
      </c>
      <c r="E44">
        <v>0.25330000000000003</v>
      </c>
      <c r="F44">
        <v>82104224</v>
      </c>
      <c r="G44">
        <v>0.25330000000000003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-0.74842767295597412</v>
      </c>
      <c r="Q44">
        <f t="shared" ref="Q44" si="196">F44*P44</f>
        <v>-61449073.308176041</v>
      </c>
      <c r="R44">
        <f t="shared" ref="R44" si="197">R45+Q44</f>
        <v>13336327387.905628</v>
      </c>
      <c r="S44">
        <f t="shared" ref="S44" si="198">R44/100000</f>
        <v>133363.27387905627</v>
      </c>
      <c r="T44">
        <f t="shared" ref="T44" si="199">S44/1000</f>
        <v>133.36327387905627</v>
      </c>
    </row>
    <row r="45" spans="1:20" x14ac:dyDescent="0.25">
      <c r="A45" s="5">
        <v>44548</v>
      </c>
      <c r="B45">
        <v>0.254</v>
      </c>
      <c r="C45">
        <v>0.2661</v>
      </c>
      <c r="D45">
        <v>0.25040000000000001</v>
      </c>
      <c r="E45">
        <v>0.25530000000000003</v>
      </c>
      <c r="F45">
        <v>98906265</v>
      </c>
      <c r="G45">
        <v>0.25530000000000003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-0.37579617834394674</v>
      </c>
      <c r="Q45">
        <f t="shared" ref="Q45" si="201">F45*P45</f>
        <v>-37168596.40127366</v>
      </c>
      <c r="R45">
        <f t="shared" ref="R45" si="202">R46+Q45</f>
        <v>13397776461.213804</v>
      </c>
      <c r="S45">
        <f t="shared" ref="S45" si="203">R45/100000</f>
        <v>133977.76461213804</v>
      </c>
      <c r="T45">
        <f t="shared" ref="T45" si="204">S45/1000</f>
        <v>133.97776461213803</v>
      </c>
    </row>
    <row r="46" spans="1:20" x14ac:dyDescent="0.25">
      <c r="A46" s="5">
        <v>44547</v>
      </c>
      <c r="B46">
        <v>0.25559999999999999</v>
      </c>
      <c r="C46">
        <v>0.26240000000000002</v>
      </c>
      <c r="D46">
        <v>0.24560000000000001</v>
      </c>
      <c r="E46">
        <v>0.25390000000000001</v>
      </c>
      <c r="F46">
        <v>115324929</v>
      </c>
      <c r="G46">
        <v>0.25390000000000001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-1.1904761904762239E-2</v>
      </c>
      <c r="Q46">
        <f t="shared" ref="Q46" si="206">F46*P46</f>
        <v>-1372915.82142861</v>
      </c>
      <c r="R46">
        <f t="shared" ref="R46" si="207">R47+Q46</f>
        <v>13434945057.615078</v>
      </c>
      <c r="S46">
        <f t="shared" ref="S46" si="208">R46/100000</f>
        <v>134349.45057615079</v>
      </c>
      <c r="T46">
        <f t="shared" ref="T46" si="209">S46/1000</f>
        <v>134.34945057615079</v>
      </c>
    </row>
    <row r="47" spans="1:20" x14ac:dyDescent="0.25">
      <c r="A47" s="5">
        <v>44546</v>
      </c>
      <c r="B47">
        <v>0.27260000000000001</v>
      </c>
      <c r="C47">
        <v>0.27410000000000001</v>
      </c>
      <c r="D47">
        <v>0.25480000000000003</v>
      </c>
      <c r="E47">
        <v>0.25559999999999999</v>
      </c>
      <c r="F47">
        <v>100246532</v>
      </c>
      <c r="G47">
        <v>0.25559999999999999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-0.91709844559585818</v>
      </c>
      <c r="Q47">
        <f t="shared" ref="Q47" si="211">F47*P47</f>
        <v>-91935938.673575461</v>
      </c>
      <c r="R47">
        <f t="shared" ref="R47" si="212">R48+Q47</f>
        <v>13436317973.436506</v>
      </c>
      <c r="S47">
        <f t="shared" ref="S47" si="213">R47/100000</f>
        <v>134363.17973436505</v>
      </c>
      <c r="T47">
        <f t="shared" ref="T47" si="214">S47/1000</f>
        <v>134.36317973436505</v>
      </c>
    </row>
    <row r="48" spans="1:20" x14ac:dyDescent="0.25">
      <c r="A48" s="5">
        <v>44545</v>
      </c>
      <c r="B48">
        <v>0.26719999999999999</v>
      </c>
      <c r="C48">
        <v>0.27589999999999998</v>
      </c>
      <c r="D48">
        <v>0.24590000000000001</v>
      </c>
      <c r="E48">
        <v>0.27260000000000001</v>
      </c>
      <c r="F48">
        <v>139052140</v>
      </c>
      <c r="G48">
        <v>0.27260000000000001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0.7800000000000018</v>
      </c>
      <c r="Q48">
        <f t="shared" ref="Q48" si="216">F48*P48</f>
        <v>108460669.20000026</v>
      </c>
      <c r="R48">
        <f t="shared" ref="R48" si="217">R49+Q48</f>
        <v>13528253912.110083</v>
      </c>
      <c r="S48">
        <f t="shared" ref="S48" si="218">R48/100000</f>
        <v>135282.53912110082</v>
      </c>
      <c r="T48">
        <f t="shared" ref="T48" si="219">S48/1000</f>
        <v>135.28253912110083</v>
      </c>
    </row>
    <row r="49" spans="1:20" x14ac:dyDescent="0.25">
      <c r="A49" s="5">
        <v>44544</v>
      </c>
      <c r="B49">
        <v>0.25280000000000002</v>
      </c>
      <c r="C49">
        <v>0.27079999999999999</v>
      </c>
      <c r="D49">
        <v>0.24740000000000001</v>
      </c>
      <c r="E49">
        <v>0.26729999999999998</v>
      </c>
      <c r="F49">
        <v>160303764</v>
      </c>
      <c r="G49">
        <v>0.26729999999999998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0.70085470085470025</v>
      </c>
      <c r="Q49">
        <f t="shared" ref="Q49" si="221">F49*P49</f>
        <v>112349646.56410247</v>
      </c>
      <c r="R49">
        <f t="shared" ref="R49" si="222">R50+Q49</f>
        <v>13419793242.910082</v>
      </c>
      <c r="S49">
        <f t="shared" ref="S49" si="223">R49/100000</f>
        <v>134197.93242910082</v>
      </c>
      <c r="T49">
        <f t="shared" ref="T49" si="224">S49/1000</f>
        <v>134.19793242910083</v>
      </c>
    </row>
    <row r="50" spans="1:20" x14ac:dyDescent="0.25">
      <c r="A50" s="5">
        <v>44543</v>
      </c>
      <c r="B50">
        <v>0.2757</v>
      </c>
      <c r="C50">
        <v>0.27639999999999998</v>
      </c>
      <c r="D50">
        <v>0.251</v>
      </c>
      <c r="E50">
        <v>0.25280000000000002</v>
      </c>
      <c r="F50">
        <v>96787435</v>
      </c>
      <c r="G50">
        <v>0.25280000000000002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-0.8582677165354311</v>
      </c>
      <c r="Q50">
        <f t="shared" ref="Q50" si="226">F50*P50</f>
        <v>-83069530.826771468</v>
      </c>
      <c r="R50">
        <f t="shared" ref="R50" si="227">R51+Q50</f>
        <v>13307443596.34598</v>
      </c>
      <c r="S50">
        <f t="shared" ref="S50" si="228">R50/100000</f>
        <v>133074.43596345981</v>
      </c>
      <c r="T50">
        <f t="shared" ref="T50" si="229">S50/1000</f>
        <v>133.07443596345982</v>
      </c>
    </row>
    <row r="51" spans="1:20" x14ac:dyDescent="0.25">
      <c r="A51" s="5">
        <v>44542</v>
      </c>
      <c r="B51">
        <v>0.27460000000000001</v>
      </c>
      <c r="C51">
        <v>0.28170000000000001</v>
      </c>
      <c r="D51">
        <v>0.26650000000000001</v>
      </c>
      <c r="E51">
        <v>0.27560000000000001</v>
      </c>
      <c r="F51">
        <v>72838946</v>
      </c>
      <c r="G51">
        <v>0.27560000000000001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0.19736842105263186</v>
      </c>
      <c r="Q51">
        <f t="shared" ref="Q51" si="231">F51*P51</f>
        <v>14376107.763157915</v>
      </c>
      <c r="R51">
        <f t="shared" ref="R51" si="232">R52+Q51</f>
        <v>13390513127.17275</v>
      </c>
      <c r="S51">
        <f t="shared" ref="S51" si="233">R51/100000</f>
        <v>133905.1312717275</v>
      </c>
      <c r="T51">
        <f t="shared" ref="T51" si="234">S51/1000</f>
        <v>133.9051312717275</v>
      </c>
    </row>
    <row r="52" spans="1:20" x14ac:dyDescent="0.25">
      <c r="A52" s="5">
        <v>44541</v>
      </c>
      <c r="B52">
        <v>0.26040000000000002</v>
      </c>
      <c r="C52">
        <v>0.2641</v>
      </c>
      <c r="D52">
        <v>0.25590000000000002</v>
      </c>
      <c r="E52">
        <v>0.26290000000000002</v>
      </c>
      <c r="F52">
        <v>7367233</v>
      </c>
      <c r="G52">
        <v>0.26290000000000002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0.70731707317073633</v>
      </c>
      <c r="Q52">
        <f t="shared" ref="Q52" si="236">F52*P52</f>
        <v>5210969.6829268634</v>
      </c>
      <c r="R52">
        <f t="shared" ref="R52" si="237">R53+Q52</f>
        <v>13376137019.409592</v>
      </c>
      <c r="S52">
        <f t="shared" ref="S52" si="238">R52/100000</f>
        <v>133761.37019409591</v>
      </c>
      <c r="T52">
        <f t="shared" ref="T52" si="239">S52/1000</f>
        <v>133.76137019409592</v>
      </c>
    </row>
    <row r="53" spans="1:20" x14ac:dyDescent="0.25">
      <c r="A53" s="5">
        <v>44540</v>
      </c>
      <c r="B53">
        <v>0.2732</v>
      </c>
      <c r="C53">
        <v>0.28070000000000001</v>
      </c>
      <c r="D53">
        <v>0.25919999999999999</v>
      </c>
      <c r="E53">
        <v>0.2606</v>
      </c>
      <c r="F53">
        <v>136905085</v>
      </c>
      <c r="G53">
        <v>0.2606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-0.86976744186046406</v>
      </c>
      <c r="Q53">
        <f t="shared" ref="Q53" si="241">F53*P53</f>
        <v>-119075585.55813938</v>
      </c>
      <c r="R53">
        <f t="shared" ref="R53" si="242">R54+Q53</f>
        <v>13370926049.726665</v>
      </c>
      <c r="S53">
        <f t="shared" ref="S53" si="243">R53/100000</f>
        <v>133709.26049726666</v>
      </c>
      <c r="T53">
        <f t="shared" ref="T53" si="244">S53/1000</f>
        <v>133.70926049726665</v>
      </c>
    </row>
    <row r="54" spans="1:20" x14ac:dyDescent="0.25">
      <c r="A54" s="5">
        <v>44539</v>
      </c>
      <c r="B54">
        <v>0.30590000000000001</v>
      </c>
      <c r="C54">
        <v>0.30620000000000003</v>
      </c>
      <c r="D54">
        <v>0.27310000000000001</v>
      </c>
      <c r="E54">
        <v>0.27329999999999999</v>
      </c>
      <c r="F54">
        <v>153203022</v>
      </c>
      <c r="G54">
        <v>0.27329999999999999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-0.98791540785498622</v>
      </c>
      <c r="Q54">
        <f t="shared" ref="Q54" si="246">F54*P54</f>
        <v>-151351625.96374643</v>
      </c>
      <c r="R54">
        <f t="shared" ref="R54" si="247">R55+Q54</f>
        <v>13490001635.284805</v>
      </c>
      <c r="S54">
        <f t="shared" ref="S54" si="248">R54/100000</f>
        <v>134900.01635284806</v>
      </c>
      <c r="T54">
        <f t="shared" ref="T54" si="249">S54/1000</f>
        <v>134.90001635284807</v>
      </c>
    </row>
    <row r="55" spans="1:20" x14ac:dyDescent="0.25">
      <c r="A55" s="5">
        <v>44538</v>
      </c>
      <c r="B55">
        <v>0.28610000000000002</v>
      </c>
      <c r="C55">
        <v>0.30869999999999997</v>
      </c>
      <c r="D55">
        <v>0.28249999999999997</v>
      </c>
      <c r="E55">
        <v>0.30590000000000001</v>
      </c>
      <c r="F55">
        <v>176269860</v>
      </c>
      <c r="G55">
        <v>0.30590000000000001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0.78625954198473513</v>
      </c>
      <c r="Q55">
        <f t="shared" ref="Q55" si="251">F55*P55</f>
        <v>138593859.38931337</v>
      </c>
      <c r="R55">
        <f t="shared" ref="R55" si="252">R56+Q55</f>
        <v>13641353261.248552</v>
      </c>
      <c r="S55">
        <f t="shared" ref="S55" si="253">R55/100000</f>
        <v>136413.53261248552</v>
      </c>
      <c r="T55">
        <f t="shared" ref="T55" si="254">S55/1000</f>
        <v>136.41353261248551</v>
      </c>
    </row>
    <row r="56" spans="1:20" x14ac:dyDescent="0.25">
      <c r="A56" s="5">
        <v>44537</v>
      </c>
      <c r="B56">
        <v>0.29409999999999997</v>
      </c>
      <c r="C56">
        <v>0.2999</v>
      </c>
      <c r="D56">
        <v>0.28000000000000003</v>
      </c>
      <c r="E56">
        <v>0.28610000000000002</v>
      </c>
      <c r="F56">
        <v>155821179</v>
      </c>
      <c r="G56">
        <v>0.28610000000000002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-0.3869346733668339</v>
      </c>
      <c r="Q56">
        <f t="shared" ref="Q56" si="256">F56*P56</f>
        <v>-60292616.999999955</v>
      </c>
      <c r="R56">
        <f t="shared" ref="R56" si="257">R57+Q56</f>
        <v>13502759401.85924</v>
      </c>
      <c r="S56">
        <f t="shared" ref="S56" si="258">R56/100000</f>
        <v>135027.59401859238</v>
      </c>
      <c r="T56">
        <f t="shared" ref="T56" si="259">S56/1000</f>
        <v>135.0275940185924</v>
      </c>
    </row>
    <row r="57" spans="1:20" x14ac:dyDescent="0.25">
      <c r="A57" s="5">
        <v>44536</v>
      </c>
      <c r="B57">
        <v>0.2792</v>
      </c>
      <c r="C57">
        <v>0.29680000000000001</v>
      </c>
      <c r="D57">
        <v>0.247</v>
      </c>
      <c r="E57">
        <v>0.29399999999999998</v>
      </c>
      <c r="F57">
        <v>309959717</v>
      </c>
      <c r="G57">
        <v>0.29399999999999998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0.8875502008032119</v>
      </c>
      <c r="Q57">
        <f t="shared" ref="Q57" si="261">F57*P57</f>
        <v>275104809.06425673</v>
      </c>
      <c r="R57">
        <f t="shared" ref="R57" si="262">R58+Q57</f>
        <v>13563052018.85924</v>
      </c>
      <c r="S57">
        <f t="shared" ref="S57" si="263">R57/100000</f>
        <v>135630.5201885924</v>
      </c>
      <c r="T57">
        <f t="shared" ref="T57" si="264">S57/1000</f>
        <v>135.63052018859241</v>
      </c>
    </row>
    <row r="58" spans="1:20" x14ac:dyDescent="0.25">
      <c r="A58" s="5">
        <v>44535</v>
      </c>
      <c r="B58">
        <v>0.28899999999999998</v>
      </c>
      <c r="C58">
        <v>0.29399999999999998</v>
      </c>
      <c r="D58">
        <v>0.25719999999999998</v>
      </c>
      <c r="E58">
        <v>0.27900000000000003</v>
      </c>
      <c r="F58">
        <v>229606362</v>
      </c>
      <c r="G58">
        <v>0.27900000000000003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0.18478260869565447</v>
      </c>
      <c r="Q58">
        <f t="shared" ref="Q58" si="266">F58*P58</f>
        <v>42427262.543478787</v>
      </c>
      <c r="R58">
        <f t="shared" ref="R58" si="267">R59+Q58</f>
        <v>13287947209.794983</v>
      </c>
      <c r="S58">
        <f t="shared" ref="S58" si="268">R58/100000</f>
        <v>132879.47209794982</v>
      </c>
      <c r="T58">
        <f t="shared" ref="T58" si="269">S58/1000</f>
        <v>132.87947209794982</v>
      </c>
    </row>
    <row r="59" spans="1:20" x14ac:dyDescent="0.25">
      <c r="A59" s="5">
        <v>44534</v>
      </c>
      <c r="B59">
        <v>0.3256</v>
      </c>
      <c r="C59">
        <v>0.32590000000000002</v>
      </c>
      <c r="D59">
        <v>0.22359999999999999</v>
      </c>
      <c r="E59">
        <v>0.28910000000000002</v>
      </c>
      <c r="F59">
        <v>494876849.10000002</v>
      </c>
      <c r="G59">
        <v>0.28910000000000002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0.28054740957966784</v>
      </c>
      <c r="Q59">
        <f t="shared" ref="Q59" si="271">F59*P59</f>
        <v>138836418.07595319</v>
      </c>
      <c r="R59">
        <f t="shared" ref="R59" si="272">R60+Q59</f>
        <v>13245519947.251505</v>
      </c>
      <c r="S59">
        <f t="shared" ref="S59" si="273">R59/100000</f>
        <v>132455.19947251506</v>
      </c>
      <c r="T59">
        <f t="shared" ref="T59" si="274">S59/1000</f>
        <v>132.45519947251506</v>
      </c>
    </row>
    <row r="60" spans="1:20" x14ac:dyDescent="0.25">
      <c r="A60" s="5">
        <v>44533</v>
      </c>
      <c r="B60">
        <v>0.3397</v>
      </c>
      <c r="C60">
        <v>0.3649</v>
      </c>
      <c r="D60">
        <v>0.3211</v>
      </c>
      <c r="E60">
        <v>0.32579999999999998</v>
      </c>
      <c r="F60">
        <v>357450877</v>
      </c>
      <c r="G60">
        <v>0.32579999999999998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-0.78538812785388212</v>
      </c>
      <c r="Q60">
        <f t="shared" ref="Q60" si="276">F60*P60</f>
        <v>-280737675.08675832</v>
      </c>
      <c r="R60">
        <f t="shared" ref="R60" si="277">R61+Q60</f>
        <v>13106683529.175552</v>
      </c>
      <c r="S60">
        <f t="shared" ref="S60" si="278">R60/100000</f>
        <v>131066.83529175552</v>
      </c>
      <c r="T60">
        <f t="shared" ref="T60" si="279">S60/1000</f>
        <v>131.06683529175552</v>
      </c>
    </row>
    <row r="61" spans="1:20" x14ac:dyDescent="0.25">
      <c r="A61" s="5">
        <v>44532</v>
      </c>
      <c r="B61">
        <v>0.32729999999999998</v>
      </c>
      <c r="C61">
        <v>0.3407</v>
      </c>
      <c r="D61">
        <v>0.31690000000000002</v>
      </c>
      <c r="E61">
        <v>0.33960000000000001</v>
      </c>
      <c r="F61">
        <v>105206373</v>
      </c>
      <c r="G61">
        <v>0.33960000000000001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0.90756302521008481</v>
      </c>
      <c r="Q61">
        <f t="shared" ref="Q61" si="281">F61*P61</f>
        <v>95481414.151260585</v>
      </c>
      <c r="R61">
        <f t="shared" ref="R61" si="282">R62+Q61</f>
        <v>13387421204.26231</v>
      </c>
      <c r="S61">
        <f t="shared" ref="S61" si="283">R61/100000</f>
        <v>133874.21204262311</v>
      </c>
      <c r="T61">
        <f t="shared" ref="T61" si="284">S61/1000</f>
        <v>133.8742120426231</v>
      </c>
    </row>
    <row r="62" spans="1:20" x14ac:dyDescent="0.25">
      <c r="A62" s="5">
        <v>44531</v>
      </c>
      <c r="B62">
        <v>0.33589999999999998</v>
      </c>
      <c r="C62">
        <v>0.34520000000000001</v>
      </c>
      <c r="D62">
        <v>0.32540000000000002</v>
      </c>
      <c r="E62">
        <v>0.32750000000000001</v>
      </c>
      <c r="F62">
        <v>109288961</v>
      </c>
      <c r="G62">
        <v>0.32750000000000001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-0.78787878787878862</v>
      </c>
      <c r="Q62">
        <f t="shared" ref="Q62" si="286">F62*P62</f>
        <v>-86106454.121212199</v>
      </c>
      <c r="R62">
        <f t="shared" ref="R62" si="287">R63+Q62</f>
        <v>13291939790.11105</v>
      </c>
      <c r="S62">
        <f t="shared" ref="S62" si="288">R62/100000</f>
        <v>132919.3979011105</v>
      </c>
      <c r="T62">
        <f t="shared" ref="T62" si="289">S62/1000</f>
        <v>132.9193979011105</v>
      </c>
    </row>
    <row r="63" spans="1:20" x14ac:dyDescent="0.25">
      <c r="A63" s="5">
        <v>44530</v>
      </c>
      <c r="B63">
        <v>0.32829999999999998</v>
      </c>
      <c r="C63">
        <v>0.35139999999999999</v>
      </c>
      <c r="D63">
        <v>0.32790000000000002</v>
      </c>
      <c r="E63">
        <v>0.33579999999999999</v>
      </c>
      <c r="F63">
        <v>159226319</v>
      </c>
      <c r="G63">
        <v>0.33579999999999999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-0.3276595744680873</v>
      </c>
      <c r="Q63">
        <f t="shared" ref="Q63" si="291">F63*P63</f>
        <v>-52172027.927659921</v>
      </c>
      <c r="R63">
        <f t="shared" ref="R63" si="292">R64+Q63</f>
        <v>13378046244.232262</v>
      </c>
      <c r="S63">
        <f t="shared" ref="S63" si="293">R63/100000</f>
        <v>133780.46244232261</v>
      </c>
      <c r="T63">
        <f t="shared" ref="T63" si="294">S63/1000</f>
        <v>133.7804624423226</v>
      </c>
    </row>
    <row r="64" spans="1:20" x14ac:dyDescent="0.25">
      <c r="A64" s="5">
        <v>44529</v>
      </c>
      <c r="B64">
        <v>0.3236</v>
      </c>
      <c r="C64">
        <v>0.33400000000000002</v>
      </c>
      <c r="D64">
        <v>0.32219999999999999</v>
      </c>
      <c r="E64">
        <v>0.32840000000000003</v>
      </c>
      <c r="F64">
        <v>102944385</v>
      </c>
      <c r="G64">
        <v>0.32840000000000003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5.0847457627122311E-2</v>
      </c>
      <c r="Q64">
        <f t="shared" ref="Q64" si="296">F64*P64</f>
        <v>5234460.2542376658</v>
      </c>
      <c r="R64">
        <f t="shared" ref="R64" si="297">R65+Q64</f>
        <v>13430218272.159922</v>
      </c>
      <c r="S64">
        <f t="shared" ref="S64" si="298">R64/100000</f>
        <v>134302.18272159921</v>
      </c>
      <c r="T64">
        <f t="shared" ref="T64" si="299">S64/1000</f>
        <v>134.30218272159919</v>
      </c>
    </row>
    <row r="65" spans="1:20" x14ac:dyDescent="0.25">
      <c r="A65" s="5">
        <v>44528</v>
      </c>
      <c r="B65">
        <v>0.32579999999999998</v>
      </c>
      <c r="C65">
        <v>0.3266</v>
      </c>
      <c r="D65">
        <v>0.3</v>
      </c>
      <c r="E65">
        <v>0.3236</v>
      </c>
      <c r="F65">
        <v>115532496</v>
      </c>
      <c r="G65">
        <v>0.3236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0.77443609022556381</v>
      </c>
      <c r="Q65">
        <f t="shared" ref="Q65" si="301">F65*P65</f>
        <v>89472534.496240586</v>
      </c>
      <c r="R65">
        <f t="shared" ref="R65" si="302">R66+Q65</f>
        <v>13424983811.905684</v>
      </c>
      <c r="S65">
        <f t="shared" ref="S65" si="303">R65/100000</f>
        <v>134249.83811905683</v>
      </c>
      <c r="T65">
        <f t="shared" ref="T65" si="304">S65/1000</f>
        <v>134.24983811905685</v>
      </c>
    </row>
    <row r="66" spans="1:20" x14ac:dyDescent="0.25">
      <c r="A66" s="5">
        <v>44527</v>
      </c>
      <c r="B66">
        <v>0.32919999999999999</v>
      </c>
      <c r="C66">
        <v>0.33500000000000002</v>
      </c>
      <c r="D66">
        <v>0.32040000000000002</v>
      </c>
      <c r="E66">
        <v>0.32569999999999999</v>
      </c>
      <c r="F66">
        <v>107088576</v>
      </c>
      <c r="G66">
        <v>0.32569999999999999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-0.27397260273973006</v>
      </c>
      <c r="Q66">
        <f t="shared" ref="Q66" si="306">F66*P66</f>
        <v>-29339335.890411392</v>
      </c>
      <c r="R66">
        <f t="shared" ref="R66" si="307">R67+Q66</f>
        <v>13335511277.409443</v>
      </c>
      <c r="S66">
        <f t="shared" ref="S66" si="308">R66/100000</f>
        <v>133355.11277409442</v>
      </c>
      <c r="T66">
        <f t="shared" ref="T66" si="309">S66/1000</f>
        <v>133.35511277409441</v>
      </c>
    </row>
    <row r="67" spans="1:20" x14ac:dyDescent="0.25">
      <c r="A67" s="5">
        <v>44526</v>
      </c>
      <c r="B67">
        <v>0.34160000000000001</v>
      </c>
      <c r="C67">
        <v>0.35039999999999999</v>
      </c>
      <c r="D67">
        <v>0.30459999999999998</v>
      </c>
      <c r="E67">
        <v>0.3291</v>
      </c>
      <c r="F67">
        <v>266080231</v>
      </c>
      <c r="G67">
        <v>0.3291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6.9868995633188546E-2</v>
      </c>
      <c r="Q67">
        <f t="shared" ref="Q67" si="311">F67*P67</f>
        <v>18590758.497816801</v>
      </c>
      <c r="R67">
        <f t="shared" ref="R67" si="312">R68+Q67</f>
        <v>13364850613.299854</v>
      </c>
      <c r="S67">
        <f t="shared" ref="S67" si="313">R67/100000</f>
        <v>133648.50613299853</v>
      </c>
      <c r="T67">
        <f t="shared" ref="T67" si="314">S67/1000</f>
        <v>133.64850613299853</v>
      </c>
    </row>
    <row r="68" spans="1:20" x14ac:dyDescent="0.25">
      <c r="A68" s="5">
        <v>44525</v>
      </c>
      <c r="B68">
        <v>0.32719999999999999</v>
      </c>
      <c r="C68">
        <v>0.3478</v>
      </c>
      <c r="D68">
        <v>0.32569999999999999</v>
      </c>
      <c r="E68">
        <v>0.34160000000000001</v>
      </c>
      <c r="F68">
        <v>123389283</v>
      </c>
      <c r="G68">
        <v>0.34160000000000001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0.43891402714932298</v>
      </c>
      <c r="Q68">
        <f t="shared" ref="Q68" si="316">F68*P68</f>
        <v>54157287.108597495</v>
      </c>
      <c r="R68">
        <f t="shared" ref="R68" si="317">R69+Q68</f>
        <v>13346259854.802038</v>
      </c>
      <c r="S68">
        <f t="shared" ref="S68" si="318">R68/100000</f>
        <v>133462.59854802038</v>
      </c>
      <c r="T68">
        <f t="shared" ref="T68" si="319">S68/1000</f>
        <v>133.4625985480204</v>
      </c>
    </row>
    <row r="69" spans="1:20" x14ac:dyDescent="0.25">
      <c r="A69" s="5">
        <v>44524</v>
      </c>
      <c r="B69">
        <v>0.3412</v>
      </c>
      <c r="C69">
        <v>0.34179999999999999</v>
      </c>
      <c r="D69">
        <v>0.33189999999999997</v>
      </c>
      <c r="E69">
        <v>0.33700000000000002</v>
      </c>
      <c r="F69">
        <v>37191083</v>
      </c>
      <c r="G69">
        <v>0.33700000000000002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3.0303030303038121E-2</v>
      </c>
      <c r="Q69">
        <f t="shared" ref="Q69" si="321">F69*P69</f>
        <v>1127002.5151518059</v>
      </c>
      <c r="R69">
        <f t="shared" ref="R69" si="322">R70+Q69</f>
        <v>13292102567.693441</v>
      </c>
      <c r="S69">
        <f t="shared" ref="S69" si="323">R69/100000</f>
        <v>132921.02567693443</v>
      </c>
      <c r="T69">
        <f t="shared" ref="T69" si="324">S69/1000</f>
        <v>132.92102567693442</v>
      </c>
    </row>
    <row r="70" spans="1:20" x14ac:dyDescent="0.25">
      <c r="A70" s="5">
        <v>44523</v>
      </c>
      <c r="B70">
        <v>0.33610000000000001</v>
      </c>
      <c r="C70">
        <v>0.34279999999999999</v>
      </c>
      <c r="D70">
        <v>0.3276</v>
      </c>
      <c r="E70">
        <v>0.34110000000000001</v>
      </c>
      <c r="F70">
        <v>131754070</v>
      </c>
      <c r="G70">
        <v>0.34110000000000001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0.77631578947368685</v>
      </c>
      <c r="Q70">
        <f t="shared" ref="Q70" si="326">F70*P70</f>
        <v>102282764.86842141</v>
      </c>
      <c r="R70">
        <f t="shared" ref="R70" si="327">R71+Q70</f>
        <v>13290975565.178289</v>
      </c>
      <c r="S70">
        <f t="shared" ref="S70" si="328">R70/100000</f>
        <v>132909.75565178291</v>
      </c>
      <c r="T70">
        <f t="shared" ref="T70" si="329">S70/1000</f>
        <v>132.90975565178292</v>
      </c>
    </row>
    <row r="71" spans="1:20" x14ac:dyDescent="0.25">
      <c r="A71" s="5">
        <v>44522</v>
      </c>
      <c r="B71">
        <v>0.34350000000000003</v>
      </c>
      <c r="C71">
        <v>0.35670000000000002</v>
      </c>
      <c r="D71">
        <v>0.33150000000000002</v>
      </c>
      <c r="E71">
        <v>0.3362</v>
      </c>
      <c r="F71">
        <v>162877806</v>
      </c>
      <c r="G71">
        <v>0.3362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-0.62698412698412842</v>
      </c>
      <c r="Q71">
        <f t="shared" ref="Q71" si="331">F71*P71</f>
        <v>-102121799.00000024</v>
      </c>
      <c r="R71">
        <f t="shared" ref="R71" si="332">R72+Q71</f>
        <v>13188692800.309868</v>
      </c>
      <c r="S71">
        <f t="shared" ref="S71" si="333">R71/100000</f>
        <v>131886.92800309867</v>
      </c>
      <c r="T71">
        <f t="shared" ref="T71" si="334">S71/1000</f>
        <v>131.88692800309866</v>
      </c>
    </row>
    <row r="72" spans="1:20" x14ac:dyDescent="0.25">
      <c r="A72" s="5">
        <v>44521</v>
      </c>
      <c r="B72">
        <v>0.34839999999999999</v>
      </c>
      <c r="C72">
        <v>0.34910000000000002</v>
      </c>
      <c r="D72">
        <v>0.33760000000000001</v>
      </c>
      <c r="E72">
        <v>0.34339999999999998</v>
      </c>
      <c r="F72">
        <v>85021322</v>
      </c>
      <c r="G72">
        <v>0.34339999999999998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8.6956521739072513E-3</v>
      </c>
      <c r="Q72">
        <f t="shared" ref="Q72" si="336">F72*P72</f>
        <v>739315.84347776836</v>
      </c>
      <c r="R72">
        <f t="shared" ref="R72" si="337">R73+Q72</f>
        <v>13290814599.309868</v>
      </c>
      <c r="S72">
        <f t="shared" ref="S72" si="338">R72/100000</f>
        <v>132908.14599309867</v>
      </c>
      <c r="T72">
        <f t="shared" ref="T72" si="339">S72/1000</f>
        <v>132.90814599309869</v>
      </c>
    </row>
    <row r="73" spans="1:20" x14ac:dyDescent="0.25">
      <c r="A73" s="5">
        <v>44520</v>
      </c>
      <c r="B73">
        <v>0.35389999999999999</v>
      </c>
      <c r="C73">
        <v>0.35849999999999999</v>
      </c>
      <c r="D73">
        <v>0.33629999999999999</v>
      </c>
      <c r="E73">
        <v>0.3483</v>
      </c>
      <c r="F73">
        <v>105477202</v>
      </c>
      <c r="G73">
        <v>0.3483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8.1081081081082168E-2</v>
      </c>
      <c r="Q73">
        <f t="shared" ref="Q73" si="341">F73*P73</f>
        <v>8552205.5675676819</v>
      </c>
      <c r="R73">
        <f t="shared" ref="R73" si="342">R74+Q73</f>
        <v>13290075283.466391</v>
      </c>
      <c r="S73">
        <f t="shared" ref="S73" si="343">R73/100000</f>
        <v>132900.7528346639</v>
      </c>
      <c r="T73">
        <f t="shared" ref="T73" si="344">S73/1000</f>
        <v>132.9007528346639</v>
      </c>
    </row>
    <row r="74" spans="1:20" x14ac:dyDescent="0.25">
      <c r="A74" s="5">
        <v>44519</v>
      </c>
      <c r="B74">
        <v>0.3276</v>
      </c>
      <c r="C74">
        <v>0.35670000000000002</v>
      </c>
      <c r="D74">
        <v>0.32519999999999999</v>
      </c>
      <c r="E74">
        <v>0.35389999999999999</v>
      </c>
      <c r="F74">
        <v>117357113</v>
      </c>
      <c r="G74">
        <v>0.35389999999999999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0.82222222222222086</v>
      </c>
      <c r="Q74">
        <f t="shared" ref="Q74" si="346">F74*P74</f>
        <v>96493626.244444281</v>
      </c>
      <c r="R74">
        <f t="shared" ref="R74" si="347">R75+Q74</f>
        <v>13281523077.898823</v>
      </c>
      <c r="S74">
        <f t="shared" ref="S74" si="348">R74/100000</f>
        <v>132815.23077898822</v>
      </c>
      <c r="T74">
        <f t="shared" ref="T74" si="349">S74/1000</f>
        <v>132.81523077898822</v>
      </c>
    </row>
    <row r="75" spans="1:20" x14ac:dyDescent="0.25">
      <c r="A75" s="5">
        <v>44518</v>
      </c>
      <c r="B75">
        <v>0.34620000000000001</v>
      </c>
      <c r="C75">
        <v>0.35620000000000002</v>
      </c>
      <c r="D75">
        <v>0.31230000000000002</v>
      </c>
      <c r="E75">
        <v>0.32779999999999998</v>
      </c>
      <c r="F75">
        <v>175275489</v>
      </c>
      <c r="G75">
        <v>0.32779999999999998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-0.29384965831435261</v>
      </c>
      <c r="Q75">
        <f t="shared" ref="Q75" si="351">F75*P75</f>
        <v>-51504642.553531073</v>
      </c>
      <c r="R75">
        <f t="shared" ref="R75" si="352">R76+Q75</f>
        <v>13185029451.654379</v>
      </c>
      <c r="S75">
        <f t="shared" ref="S75" si="353">R75/100000</f>
        <v>131850.2945165438</v>
      </c>
      <c r="T75">
        <f t="shared" ref="T75" si="354">S75/1000</f>
        <v>131.85029451654381</v>
      </c>
    </row>
    <row r="76" spans="1:20" x14ac:dyDescent="0.25">
      <c r="A76" s="5">
        <v>44517</v>
      </c>
      <c r="B76">
        <v>0.34300000000000003</v>
      </c>
      <c r="C76">
        <v>0.34949999999999998</v>
      </c>
      <c r="D76">
        <v>0.33229999999999998</v>
      </c>
      <c r="E76">
        <v>0.3463</v>
      </c>
      <c r="F76">
        <v>124928679</v>
      </c>
      <c r="G76">
        <v>0.3463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0.62790697674418816</v>
      </c>
      <c r="Q76">
        <f t="shared" ref="Q76" si="356">F76*P76</f>
        <v>78443589.139535144</v>
      </c>
      <c r="R76">
        <f t="shared" ref="R76" si="357">R77+Q76</f>
        <v>13236534094.207911</v>
      </c>
      <c r="S76">
        <f t="shared" ref="S76" si="358">R76/100000</f>
        <v>132365.34094207911</v>
      </c>
      <c r="T76">
        <f t="shared" ref="T76" si="359">S76/1000</f>
        <v>132.36534094207911</v>
      </c>
    </row>
    <row r="77" spans="1:20" x14ac:dyDescent="0.25">
      <c r="A77" s="5">
        <v>44516</v>
      </c>
      <c r="B77">
        <v>0.37690000000000001</v>
      </c>
      <c r="C77">
        <v>0.377</v>
      </c>
      <c r="D77">
        <v>0.33</v>
      </c>
      <c r="E77">
        <v>0.34289999999999998</v>
      </c>
      <c r="F77">
        <v>205564051</v>
      </c>
      <c r="G77">
        <v>0.34289999999999998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-0.4510638297872353</v>
      </c>
      <c r="Q77">
        <f t="shared" ref="Q77" si="361">F77*P77</f>
        <v>-92722508.110638559</v>
      </c>
      <c r="R77">
        <f t="shared" ref="R77" si="362">R78+Q77</f>
        <v>13158090505.068375</v>
      </c>
      <c r="S77">
        <f t="shared" ref="S77" si="363">R77/100000</f>
        <v>131580.90505068374</v>
      </c>
      <c r="T77">
        <f t="shared" ref="T77" si="364">S77/1000</f>
        <v>131.58090505068373</v>
      </c>
    </row>
    <row r="78" spans="1:20" x14ac:dyDescent="0.25">
      <c r="A78" s="5">
        <v>44515</v>
      </c>
      <c r="B78">
        <v>0.37730000000000002</v>
      </c>
      <c r="C78">
        <v>0.39400000000000002</v>
      </c>
      <c r="D78">
        <v>0.37369999999999998</v>
      </c>
      <c r="E78">
        <v>0.37680000000000002</v>
      </c>
      <c r="F78">
        <v>142825788</v>
      </c>
      <c r="G78">
        <v>0.37680000000000002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-0.69458128078817327</v>
      </c>
      <c r="Q78">
        <f t="shared" ref="Q78" si="366">F78*P78</f>
        <v>-99204118.758620113</v>
      </c>
      <c r="R78">
        <f t="shared" ref="R78" si="367">R79+Q78</f>
        <v>13250813013.179012</v>
      </c>
      <c r="S78">
        <f t="shared" ref="S78" si="368">R78/100000</f>
        <v>132508.13013179012</v>
      </c>
      <c r="T78">
        <f t="shared" ref="T78" si="369">S78/1000</f>
        <v>132.50813013179013</v>
      </c>
    </row>
    <row r="79" spans="1:20" x14ac:dyDescent="0.25">
      <c r="A79" s="5">
        <v>44514</v>
      </c>
      <c r="B79">
        <v>0.37809999999999999</v>
      </c>
      <c r="C79">
        <v>0.38200000000000001</v>
      </c>
      <c r="D79">
        <v>0.36699999999999999</v>
      </c>
      <c r="E79">
        <v>0.37730000000000002</v>
      </c>
      <c r="F79">
        <v>88730616</v>
      </c>
      <c r="G79">
        <v>0.37730000000000002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0.37333333333333629</v>
      </c>
      <c r="Q79">
        <f t="shared" ref="Q79" si="371">F79*P79</f>
        <v>33126096.640000261</v>
      </c>
      <c r="R79">
        <f t="shared" ref="R79" si="372">R80+Q79</f>
        <v>13350017131.937632</v>
      </c>
      <c r="S79">
        <f t="shared" ref="S79" si="373">R79/100000</f>
        <v>133500.17131937633</v>
      </c>
      <c r="T79">
        <f t="shared" ref="T79" si="374">S79/1000</f>
        <v>133.50017131937634</v>
      </c>
    </row>
    <row r="80" spans="1:20" x14ac:dyDescent="0.25">
      <c r="A80" s="5">
        <v>44513</v>
      </c>
      <c r="B80">
        <v>0.37909999999999999</v>
      </c>
      <c r="C80">
        <v>0.38269999999999998</v>
      </c>
      <c r="D80">
        <v>0.37040000000000001</v>
      </c>
      <c r="E80">
        <v>0.37819999999999998</v>
      </c>
      <c r="F80">
        <v>90832485</v>
      </c>
      <c r="G80">
        <v>0.37819999999999998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0.26829268292682729</v>
      </c>
      <c r="Q80">
        <f t="shared" ref="Q80" si="376">F80*P80</f>
        <v>24369691.097560797</v>
      </c>
      <c r="R80">
        <f t="shared" ref="R80" si="377">R81+Q80</f>
        <v>13316891035.297632</v>
      </c>
      <c r="S80">
        <f t="shared" ref="S80" si="378">R80/100000</f>
        <v>133168.91035297632</v>
      </c>
      <c r="T80">
        <f t="shared" ref="T80" si="379">S80/1000</f>
        <v>133.16891035297633</v>
      </c>
    </row>
    <row r="81" spans="1:20" x14ac:dyDescent="0.25">
      <c r="A81" s="5">
        <v>44512</v>
      </c>
      <c r="B81">
        <v>0.39079999999999998</v>
      </c>
      <c r="C81">
        <v>0.39410000000000001</v>
      </c>
      <c r="D81">
        <v>0.36430000000000001</v>
      </c>
      <c r="E81">
        <v>0.37890000000000001</v>
      </c>
      <c r="F81">
        <v>168110646</v>
      </c>
      <c r="G81">
        <v>0.37890000000000001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-2.0134228187919111E-2</v>
      </c>
      <c r="Q81">
        <f t="shared" ref="Q81" si="381">F81*P81</f>
        <v>-3384778.1073824912</v>
      </c>
      <c r="R81">
        <f t="shared" ref="R81" si="382">R82+Q81</f>
        <v>13292521344.200071</v>
      </c>
      <c r="S81">
        <f t="shared" ref="S81" si="383">R81/100000</f>
        <v>132925.21344200071</v>
      </c>
      <c r="T81">
        <f t="shared" ref="T81" si="384">S81/1000</f>
        <v>132.92521344200071</v>
      </c>
    </row>
    <row r="82" spans="1:20" x14ac:dyDescent="0.25">
      <c r="A82" s="5">
        <v>44511</v>
      </c>
      <c r="B82">
        <v>0.38300000000000001</v>
      </c>
      <c r="C82">
        <v>0.40300000000000002</v>
      </c>
      <c r="D82">
        <v>0.37559999999999999</v>
      </c>
      <c r="E82">
        <v>0.39090000000000003</v>
      </c>
      <c r="F82">
        <v>207047181</v>
      </c>
      <c r="G82">
        <v>0.39090000000000003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0.11678832116788437</v>
      </c>
      <c r="Q82">
        <f t="shared" ref="Q82" si="386">F82*P82</f>
        <v>24180692.671533089</v>
      </c>
      <c r="R82">
        <f t="shared" ref="R82" si="387">R83+Q82</f>
        <v>13295906122.307453</v>
      </c>
      <c r="S82">
        <f t="shared" ref="S82" si="388">R82/100000</f>
        <v>132959.06122307453</v>
      </c>
      <c r="T82">
        <f t="shared" ref="T82" si="389">S82/1000</f>
        <v>132.95906122307454</v>
      </c>
    </row>
    <row r="83" spans="1:20" x14ac:dyDescent="0.25">
      <c r="A83" s="5">
        <v>44510</v>
      </c>
      <c r="B83">
        <v>0.41260000000000002</v>
      </c>
      <c r="C83">
        <v>0.44119999999999998</v>
      </c>
      <c r="D83">
        <v>0.36330000000000001</v>
      </c>
      <c r="E83">
        <v>0.3831</v>
      </c>
      <c r="F83">
        <v>467540077.60000002</v>
      </c>
      <c r="G83">
        <v>0.3831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-0.49165596919127108</v>
      </c>
      <c r="Q83">
        <f t="shared" ref="Q83" si="391">F83*P83</f>
        <v>-229868869.98819011</v>
      </c>
      <c r="R83">
        <f t="shared" ref="R83" si="392">R84+Q83</f>
        <v>13271725429.63592</v>
      </c>
      <c r="S83">
        <f t="shared" ref="S83" si="393">R83/100000</f>
        <v>132717.2542963592</v>
      </c>
      <c r="T83">
        <f t="shared" ref="T83" si="394">S83/1000</f>
        <v>132.71725429635919</v>
      </c>
    </row>
    <row r="84" spans="1:20" x14ac:dyDescent="0.25">
      <c r="A84" s="5">
        <v>44509</v>
      </c>
      <c r="B84">
        <v>0.378</v>
      </c>
      <c r="C84">
        <v>0.42220000000000002</v>
      </c>
      <c r="D84">
        <v>0.37330000000000002</v>
      </c>
      <c r="E84">
        <v>0.41270000000000001</v>
      </c>
      <c r="F84">
        <v>313410454</v>
      </c>
      <c r="G84">
        <v>0.41270000000000001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0.61145194274028591</v>
      </c>
      <c r="Q84">
        <f t="shared" ref="Q84" si="396">F84*P84</f>
        <v>191635430.97341502</v>
      </c>
      <c r="R84">
        <f t="shared" ref="R84" si="397">R85+Q84</f>
        <v>13501594299.624109</v>
      </c>
      <c r="S84">
        <f t="shared" ref="S84" si="398">R84/100000</f>
        <v>135015.94299624109</v>
      </c>
      <c r="T84">
        <f t="shared" ref="T84" si="399">S84/1000</f>
        <v>135.01594299624111</v>
      </c>
    </row>
    <row r="85" spans="1:20" x14ac:dyDescent="0.25">
      <c r="A85" s="5">
        <v>44508</v>
      </c>
      <c r="B85">
        <v>0.36359999999999998</v>
      </c>
      <c r="C85">
        <v>0.37890000000000001</v>
      </c>
      <c r="D85">
        <v>0.36220000000000002</v>
      </c>
      <c r="E85">
        <v>0.378</v>
      </c>
      <c r="F85">
        <v>140233595</v>
      </c>
      <c r="G85">
        <v>0.378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0.89221556886227393</v>
      </c>
      <c r="Q85">
        <f t="shared" ref="Q85" si="401">F85*P85</f>
        <v>125118596.73652673</v>
      </c>
      <c r="R85">
        <f t="shared" ref="R85" si="402">R86+Q85</f>
        <v>13309958868.650694</v>
      </c>
      <c r="S85">
        <f t="shared" ref="S85" si="403">R85/100000</f>
        <v>133099.58868650693</v>
      </c>
      <c r="T85">
        <f t="shared" ref="T85" si="404">S85/1000</f>
        <v>133.09958868650693</v>
      </c>
    </row>
    <row r="86" spans="1:20" x14ac:dyDescent="0.25">
      <c r="A86" s="5">
        <v>44507</v>
      </c>
      <c r="B86">
        <v>0.35909999999999997</v>
      </c>
      <c r="C86">
        <v>0.36559999999999998</v>
      </c>
      <c r="D86">
        <v>0.35620000000000002</v>
      </c>
      <c r="E86">
        <v>0.36359999999999998</v>
      </c>
      <c r="F86">
        <v>73592711</v>
      </c>
      <c r="G86">
        <v>0.36359999999999998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0.57446808510638092</v>
      </c>
      <c r="Q86">
        <f t="shared" ref="Q86" si="406">F86*P86</f>
        <v>42276663.765957296</v>
      </c>
      <c r="R86">
        <f t="shared" ref="R86" si="407">R87+Q86</f>
        <v>13184840271.914167</v>
      </c>
      <c r="S86">
        <f t="shared" ref="S86" si="408">R86/100000</f>
        <v>131848.40271914168</v>
      </c>
      <c r="T86">
        <f t="shared" ref="T86" si="409">S86/1000</f>
        <v>131.84840271914169</v>
      </c>
    </row>
    <row r="87" spans="1:20" x14ac:dyDescent="0.25">
      <c r="A87" s="5">
        <v>44506</v>
      </c>
      <c r="B87">
        <v>0.3589</v>
      </c>
      <c r="C87">
        <v>0.36409999999999998</v>
      </c>
      <c r="D87">
        <v>0.35</v>
      </c>
      <c r="E87">
        <v>0.35909999999999997</v>
      </c>
      <c r="F87">
        <v>82571044</v>
      </c>
      <c r="G87">
        <v>0.35909999999999997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0.29078014184397105</v>
      </c>
      <c r="Q87">
        <f t="shared" ref="Q87" si="411">F87*P87</f>
        <v>24010019.886524774</v>
      </c>
      <c r="R87">
        <f t="shared" ref="R87" si="412">R88+Q87</f>
        <v>13142563608.148211</v>
      </c>
      <c r="S87">
        <f t="shared" ref="S87" si="413">R87/100000</f>
        <v>131425.63608148211</v>
      </c>
      <c r="T87">
        <f t="shared" ref="T87" si="414">S87/1000</f>
        <v>131.42563608148211</v>
      </c>
    </row>
    <row r="88" spans="1:20" x14ac:dyDescent="0.25">
      <c r="A88" s="5">
        <v>44505</v>
      </c>
      <c r="B88">
        <v>0.36870000000000003</v>
      </c>
      <c r="C88">
        <v>0.37369999999999998</v>
      </c>
      <c r="D88">
        <v>0.35820000000000002</v>
      </c>
      <c r="E88">
        <v>0.35870000000000002</v>
      </c>
      <c r="F88">
        <v>95774083</v>
      </c>
      <c r="G88">
        <v>0.35870000000000002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-0.93548387096774166</v>
      </c>
      <c r="Q88">
        <f t="shared" ref="Q88" si="416">F88*P88</f>
        <v>-89595109.90322578</v>
      </c>
      <c r="R88">
        <f t="shared" ref="R88" si="417">R89+Q88</f>
        <v>13118553588.261686</v>
      </c>
      <c r="S88">
        <f t="shared" ref="S88" si="418">R88/100000</f>
        <v>131185.53588261685</v>
      </c>
      <c r="T88">
        <f t="shared" ref="T88" si="419">S88/1000</f>
        <v>131.18553588261685</v>
      </c>
    </row>
    <row r="89" spans="1:20" x14ac:dyDescent="0.25">
      <c r="A89" s="5">
        <v>44504</v>
      </c>
      <c r="B89">
        <v>0.38529999999999998</v>
      </c>
      <c r="C89">
        <v>0.39</v>
      </c>
      <c r="D89">
        <v>0.36499999999999999</v>
      </c>
      <c r="E89">
        <v>0.36870000000000003</v>
      </c>
      <c r="F89">
        <v>114164766</v>
      </c>
      <c r="G89">
        <v>0.36870000000000003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-0.70399999999999729</v>
      </c>
      <c r="Q89">
        <f t="shared" ref="Q89" si="421">F89*P89</f>
        <v>-80371995.263999686</v>
      </c>
      <c r="R89">
        <f t="shared" ref="R89" si="422">R90+Q89</f>
        <v>13208148698.164911</v>
      </c>
      <c r="S89">
        <f t="shared" ref="S89" si="423">R89/100000</f>
        <v>132081.48698164913</v>
      </c>
      <c r="T89">
        <f t="shared" ref="T89" si="424">S89/1000</f>
        <v>132.08148698164914</v>
      </c>
    </row>
    <row r="90" spans="1:20" x14ac:dyDescent="0.25">
      <c r="A90" s="5">
        <v>44503</v>
      </c>
      <c r="B90">
        <v>0.38240000000000002</v>
      </c>
      <c r="C90">
        <v>0.3987</v>
      </c>
      <c r="D90">
        <v>0.37009999999999998</v>
      </c>
      <c r="E90">
        <v>0.38519999999999999</v>
      </c>
      <c r="F90">
        <v>205080685</v>
      </c>
      <c r="G90">
        <v>0.38519999999999999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5.5944055944055576E-2</v>
      </c>
      <c r="Q90">
        <f t="shared" ref="Q90" si="426">F90*P90</f>
        <v>11473045.314685239</v>
      </c>
      <c r="R90">
        <f t="shared" ref="R90" si="427">R91+Q90</f>
        <v>13288520693.428911</v>
      </c>
      <c r="S90">
        <f t="shared" ref="S90" si="428">R90/100000</f>
        <v>132885.2069342891</v>
      </c>
      <c r="T90">
        <f t="shared" ref="T90" si="429">S90/1000</f>
        <v>132.8852069342891</v>
      </c>
    </row>
    <row r="91" spans="1:20" x14ac:dyDescent="0.25">
      <c r="A91" s="5">
        <v>44502</v>
      </c>
      <c r="B91">
        <v>0.3659</v>
      </c>
      <c r="C91">
        <v>0.38279999999999997</v>
      </c>
      <c r="D91">
        <v>0.36280000000000001</v>
      </c>
      <c r="E91">
        <v>0.38250000000000001</v>
      </c>
      <c r="F91">
        <v>131413194</v>
      </c>
      <c r="G91">
        <v>0.38250000000000001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0.97000000000000319</v>
      </c>
      <c r="Q91">
        <f t="shared" ref="Q91" si="431">F91*P91</f>
        <v>127470798.18000042</v>
      </c>
      <c r="R91">
        <f t="shared" ref="R91" si="432">R92+Q91</f>
        <v>13277047648.114225</v>
      </c>
      <c r="S91">
        <f t="shared" ref="S91" si="433">R91/100000</f>
        <v>132770.47648114225</v>
      </c>
      <c r="T91">
        <f t="shared" ref="T91" si="434">S91/1000</f>
        <v>132.77047648114225</v>
      </c>
    </row>
    <row r="92" spans="1:20" x14ac:dyDescent="0.25">
      <c r="A92" s="5">
        <v>44501</v>
      </c>
      <c r="B92">
        <v>0.3725</v>
      </c>
      <c r="C92">
        <v>0.37569999999999998</v>
      </c>
      <c r="D92">
        <v>0.35709999999999997</v>
      </c>
      <c r="E92">
        <v>0.3659</v>
      </c>
      <c r="F92">
        <v>123019688</v>
      </c>
      <c r="G92">
        <v>0.3659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-5.3763440860212099E-2</v>
      </c>
      <c r="Q92">
        <f t="shared" ref="Q92" si="436">F92*P92</f>
        <v>-6613961.7204297436</v>
      </c>
      <c r="R92">
        <f t="shared" ref="R92" si="437">R93+Q92</f>
        <v>13149576849.934225</v>
      </c>
      <c r="S92">
        <f t="shared" ref="S92" si="438">R92/100000</f>
        <v>131495.76849934226</v>
      </c>
      <c r="T92">
        <f t="shared" ref="T92" si="439">S92/1000</f>
        <v>131.49576849934226</v>
      </c>
    </row>
    <row r="93" spans="1:20" x14ac:dyDescent="0.25">
      <c r="A93" s="5">
        <v>44500</v>
      </c>
      <c r="B93">
        <v>0.3584</v>
      </c>
      <c r="C93">
        <v>0.38990000000000002</v>
      </c>
      <c r="D93">
        <v>0.35680000000000001</v>
      </c>
      <c r="E93">
        <v>0.3725</v>
      </c>
      <c r="F93">
        <v>266689020</v>
      </c>
      <c r="G93">
        <v>0.3725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-5.1359516616315222E-2</v>
      </c>
      <c r="Q93">
        <f t="shared" ref="Q93" si="441">F93*P93</f>
        <v>-13697019.154078823</v>
      </c>
      <c r="R93">
        <f t="shared" ref="R93" si="442">R94+Q93</f>
        <v>13156190811.654655</v>
      </c>
      <c r="S93">
        <f t="shared" ref="S93" si="443">R93/100000</f>
        <v>131561.90811654655</v>
      </c>
      <c r="T93">
        <f t="shared" ref="T93" si="444">S93/1000</f>
        <v>131.56190811654653</v>
      </c>
    </row>
    <row r="94" spans="1:20" x14ac:dyDescent="0.25">
      <c r="A94" s="5">
        <v>44499</v>
      </c>
      <c r="B94">
        <v>0.36230000000000001</v>
      </c>
      <c r="C94">
        <v>0.36570000000000003</v>
      </c>
      <c r="D94">
        <v>0.35099999999999998</v>
      </c>
      <c r="E94">
        <v>0.3584</v>
      </c>
      <c r="F94">
        <v>127108383</v>
      </c>
      <c r="G94">
        <v>0.3584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6.8027210884346037E-3</v>
      </c>
      <c r="Q94">
        <f t="shared" ref="Q94" si="446">F94*P94</f>
        <v>864682.87755092245</v>
      </c>
      <c r="R94">
        <f t="shared" ref="R94" si="447">R95+Q94</f>
        <v>13169887830.808735</v>
      </c>
      <c r="S94">
        <f t="shared" ref="S94" si="448">R94/100000</f>
        <v>131698.87830808735</v>
      </c>
      <c r="T94">
        <f t="shared" ref="T94" si="449">S94/1000</f>
        <v>131.69887830808736</v>
      </c>
    </row>
    <row r="95" spans="1:20" x14ac:dyDescent="0.25">
      <c r="A95" s="5">
        <v>44498</v>
      </c>
      <c r="B95">
        <v>0.3427</v>
      </c>
      <c r="C95">
        <v>0.36380000000000001</v>
      </c>
      <c r="D95">
        <v>0.34039999999999998</v>
      </c>
      <c r="E95">
        <v>0.36230000000000001</v>
      </c>
      <c r="F95">
        <v>131106906</v>
      </c>
      <c r="G95">
        <v>0.36230000000000001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0.87179487179487181</v>
      </c>
      <c r="Q95">
        <f t="shared" ref="Q95" si="451">F95*P95</f>
        <v>114298328.3076923</v>
      </c>
      <c r="R95">
        <f t="shared" ref="R95" si="452">R96+Q95</f>
        <v>13169023147.931185</v>
      </c>
      <c r="S95">
        <f t="shared" ref="S95" si="453">R95/100000</f>
        <v>131690.23147931186</v>
      </c>
      <c r="T95">
        <f t="shared" ref="T95" si="454">S95/1000</f>
        <v>131.69023147931185</v>
      </c>
    </row>
    <row r="96" spans="1:20" x14ac:dyDescent="0.25">
      <c r="A96" s="5">
        <v>44497</v>
      </c>
      <c r="B96">
        <v>0.33050000000000002</v>
      </c>
      <c r="C96">
        <v>0.3488</v>
      </c>
      <c r="D96">
        <v>0.32529999999999998</v>
      </c>
      <c r="E96">
        <v>0.34260000000000002</v>
      </c>
      <c r="F96">
        <v>183448278</v>
      </c>
      <c r="G96">
        <v>0.34260000000000002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0.4723404255319168</v>
      </c>
      <c r="Q96">
        <f t="shared" ref="Q96" si="456">F96*P96</f>
        <v>86650037.693617374</v>
      </c>
      <c r="R96">
        <f t="shared" ref="R96" si="457">R97+Q96</f>
        <v>13054724819.623493</v>
      </c>
      <c r="S96">
        <f t="shared" ref="S96" si="458">R96/100000</f>
        <v>130547.24819623493</v>
      </c>
      <c r="T96">
        <f t="shared" ref="T96" si="459">S96/1000</f>
        <v>130.54724819623493</v>
      </c>
    </row>
    <row r="97" spans="1:20" x14ac:dyDescent="0.25">
      <c r="A97" s="5">
        <v>44496</v>
      </c>
      <c r="B97">
        <v>0.37309999999999999</v>
      </c>
      <c r="C97">
        <v>0.37540000000000001</v>
      </c>
      <c r="D97">
        <v>0.30830000000000002</v>
      </c>
      <c r="E97">
        <v>0.33029999999999998</v>
      </c>
      <c r="F97">
        <v>248308709</v>
      </c>
      <c r="G97">
        <v>0.33029999999999998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-0.34426229508196821</v>
      </c>
      <c r="Q97">
        <f t="shared" ref="Q97" si="461">F97*P97</f>
        <v>-85483326.049180567</v>
      </c>
      <c r="R97">
        <f t="shared" ref="R97" si="462">R98+Q97</f>
        <v>12968074781.929876</v>
      </c>
      <c r="S97">
        <f t="shared" ref="S97" si="463">R97/100000</f>
        <v>129680.74781929876</v>
      </c>
      <c r="T97">
        <f t="shared" ref="T97" si="464">S97/1000</f>
        <v>129.68074781929877</v>
      </c>
    </row>
    <row r="98" spans="1:20" x14ac:dyDescent="0.25">
      <c r="A98" s="5">
        <v>44495</v>
      </c>
      <c r="B98">
        <v>0.3881</v>
      </c>
      <c r="C98">
        <v>0.38829999999999998</v>
      </c>
      <c r="D98">
        <v>0.36809999999999998</v>
      </c>
      <c r="E98">
        <v>0.37309999999999999</v>
      </c>
      <c r="F98">
        <v>119969984</v>
      </c>
      <c r="G98">
        <v>0.37309999999999999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-0.5049504950495044</v>
      </c>
      <c r="Q98">
        <f t="shared" ref="Q98" si="466">F98*P98</f>
        <v>-60578902.811881125</v>
      </c>
      <c r="R98">
        <f t="shared" ref="R98" si="467">R99+Q98</f>
        <v>13053558107.979057</v>
      </c>
      <c r="S98">
        <f t="shared" ref="S98" si="468">R98/100000</f>
        <v>130535.58107979057</v>
      </c>
      <c r="T98">
        <f t="shared" ref="T98" si="469">S98/1000</f>
        <v>130.53558107979057</v>
      </c>
    </row>
    <row r="99" spans="1:20" x14ac:dyDescent="0.25">
      <c r="A99" s="5">
        <v>44494</v>
      </c>
      <c r="B99">
        <v>0.37219999999999998</v>
      </c>
      <c r="C99">
        <v>0.38840000000000002</v>
      </c>
      <c r="D99">
        <v>0.37069999999999997</v>
      </c>
      <c r="E99">
        <v>0.38800000000000001</v>
      </c>
      <c r="F99">
        <v>108836016</v>
      </c>
      <c r="G99">
        <v>0.38800000000000001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0.95480225988700451</v>
      </c>
      <c r="Q99">
        <f t="shared" ref="Q99" si="471">F99*P99</f>
        <v>103916874.03389817</v>
      </c>
      <c r="R99">
        <f t="shared" ref="R99" si="472">R100+Q99</f>
        <v>13114137010.790939</v>
      </c>
      <c r="S99">
        <f t="shared" ref="S99" si="473">R99/100000</f>
        <v>131141.3701079094</v>
      </c>
      <c r="T99">
        <f t="shared" ref="T99" si="474">S99/1000</f>
        <v>131.14137010790941</v>
      </c>
    </row>
    <row r="100" spans="1:20" x14ac:dyDescent="0.25">
      <c r="A100" s="5">
        <v>44493</v>
      </c>
      <c r="B100">
        <v>0.37780000000000002</v>
      </c>
      <c r="C100">
        <v>0.38650000000000001</v>
      </c>
      <c r="D100">
        <v>0.36599999999999999</v>
      </c>
      <c r="E100">
        <v>0.37230000000000002</v>
      </c>
      <c r="F100">
        <v>127897291</v>
      </c>
      <c r="G100">
        <v>0.37230000000000002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-0.38536585365853443</v>
      </c>
      <c r="Q100">
        <f t="shared" ref="Q100" si="476">F100*P100</f>
        <v>-49287248.726828992</v>
      </c>
      <c r="R100">
        <f t="shared" ref="R100" si="477">R101+Q100</f>
        <v>13010220136.757042</v>
      </c>
      <c r="S100">
        <f t="shared" ref="S100" si="478">R100/100000</f>
        <v>130102.20136757042</v>
      </c>
      <c r="T100">
        <f t="shared" ref="T100" si="479">S100/1000</f>
        <v>130.10220136757042</v>
      </c>
    </row>
    <row r="101" spans="1:20" x14ac:dyDescent="0.25">
      <c r="A101" s="5">
        <v>44492</v>
      </c>
      <c r="B101">
        <v>0.37219999999999998</v>
      </c>
      <c r="C101">
        <v>0.37840000000000001</v>
      </c>
      <c r="D101">
        <v>0.3679</v>
      </c>
      <c r="E101">
        <v>0.378</v>
      </c>
      <c r="F101">
        <v>88915753</v>
      </c>
      <c r="G101">
        <v>0.378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0.92380952380952175</v>
      </c>
      <c r="Q101">
        <f t="shared" ref="Q101" si="481">F101*P101</f>
        <v>82141219.438095048</v>
      </c>
      <c r="R101">
        <f t="shared" ref="R101" si="482">R102+Q101</f>
        <v>13059507385.483871</v>
      </c>
      <c r="S101">
        <f t="shared" ref="S101" si="483">R101/100000</f>
        <v>130595.07385483872</v>
      </c>
      <c r="T101">
        <f t="shared" ref="T101" si="484">S101/1000</f>
        <v>130.59507385483872</v>
      </c>
    </row>
    <row r="102" spans="1:20" x14ac:dyDescent="0.25">
      <c r="A102" s="5">
        <v>44491</v>
      </c>
      <c r="B102">
        <v>0.37309999999999999</v>
      </c>
      <c r="C102">
        <v>0.38069999999999998</v>
      </c>
      <c r="D102">
        <v>0.36549999999999999</v>
      </c>
      <c r="E102">
        <v>0.37209999999999999</v>
      </c>
      <c r="F102">
        <v>131280252</v>
      </c>
      <c r="G102">
        <v>0.37209999999999999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-0.13157894736842124</v>
      </c>
      <c r="Q102">
        <f t="shared" ref="Q102" si="486">F102*P102</f>
        <v>-17273717.368421078</v>
      </c>
      <c r="R102">
        <f t="shared" ref="R102" si="487">R103+Q102</f>
        <v>12977366166.045776</v>
      </c>
      <c r="S102">
        <f t="shared" ref="S102" si="488">R102/100000</f>
        <v>129773.66166045776</v>
      </c>
      <c r="T102">
        <f t="shared" ref="T102" si="489">S102/1000</f>
        <v>129.77366166045775</v>
      </c>
    </row>
    <row r="103" spans="1:20" x14ac:dyDescent="0.25">
      <c r="A103" s="5">
        <v>44490</v>
      </c>
      <c r="B103">
        <v>0.39179999999999998</v>
      </c>
      <c r="C103">
        <v>0.39800000000000002</v>
      </c>
      <c r="D103">
        <v>0.37119999999999997</v>
      </c>
      <c r="E103">
        <v>0.373</v>
      </c>
      <c r="F103">
        <v>227634803</v>
      </c>
      <c r="G103">
        <v>0.373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-0.86567164179104328</v>
      </c>
      <c r="Q103">
        <f t="shared" ref="Q103" si="491">F103*P103</f>
        <v>-197056993.64179072</v>
      </c>
      <c r="R103">
        <f t="shared" ref="R103" si="492">R104+Q103</f>
        <v>12994639883.414198</v>
      </c>
      <c r="S103">
        <f t="shared" ref="S103" si="493">R103/100000</f>
        <v>129946.39883414198</v>
      </c>
      <c r="T103">
        <f t="shared" ref="T103" si="494">S103/1000</f>
        <v>129.94639883414197</v>
      </c>
    </row>
    <row r="104" spans="1:20" x14ac:dyDescent="0.25">
      <c r="A104" s="5">
        <v>44489</v>
      </c>
      <c r="B104">
        <v>0.37369999999999998</v>
      </c>
      <c r="C104">
        <v>0.39229999999999998</v>
      </c>
      <c r="D104">
        <v>0.35820000000000002</v>
      </c>
      <c r="E104">
        <v>0.39179999999999998</v>
      </c>
      <c r="F104">
        <v>211690285</v>
      </c>
      <c r="G104">
        <v>0.39179999999999998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0.97067448680351898</v>
      </c>
      <c r="Q104">
        <f t="shared" ref="Q104" si="496">F104*P104</f>
        <v>205482358.75366569</v>
      </c>
      <c r="R104">
        <f t="shared" ref="R104" si="497">R105+Q104</f>
        <v>13191696877.055988</v>
      </c>
      <c r="S104">
        <f t="shared" ref="S104" si="498">R104/100000</f>
        <v>131916.96877055988</v>
      </c>
      <c r="T104">
        <f t="shared" ref="T104" si="499">S104/1000</f>
        <v>131.91696877055989</v>
      </c>
    </row>
    <row r="105" spans="1:20" x14ac:dyDescent="0.25">
      <c r="A105" s="5">
        <v>44488</v>
      </c>
      <c r="B105">
        <v>0.37940000000000002</v>
      </c>
      <c r="C105">
        <v>0.38400000000000001</v>
      </c>
      <c r="D105">
        <v>0.36549999999999999</v>
      </c>
      <c r="E105">
        <v>0.37369999999999998</v>
      </c>
      <c r="F105">
        <v>125100802</v>
      </c>
      <c r="G105">
        <v>0.37369999999999998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-0.11351351351351592</v>
      </c>
      <c r="Q105">
        <f t="shared" ref="Q105" si="501">F105*P105</f>
        <v>-14200631.578378679</v>
      </c>
      <c r="R105">
        <f t="shared" ref="R105" si="502">R106+Q105</f>
        <v>12986214518.302322</v>
      </c>
      <c r="S105">
        <f t="shared" ref="S105" si="503">R105/100000</f>
        <v>129862.14518302323</v>
      </c>
      <c r="T105">
        <f t="shared" ref="T105" si="504">S105/1000</f>
        <v>129.86214518302322</v>
      </c>
    </row>
    <row r="106" spans="1:20" x14ac:dyDescent="0.25">
      <c r="A106" s="5">
        <v>44487</v>
      </c>
      <c r="B106">
        <v>0.38329999999999997</v>
      </c>
      <c r="C106">
        <v>0.3957</v>
      </c>
      <c r="D106">
        <v>0.37630000000000002</v>
      </c>
      <c r="E106">
        <v>0.37959999999999999</v>
      </c>
      <c r="F106">
        <v>212496658</v>
      </c>
      <c r="G106">
        <v>0.37959999999999999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-0.65979381443299234</v>
      </c>
      <c r="Q106">
        <f t="shared" ref="Q106" si="506">F106*P106</f>
        <v>-140203980.53608304</v>
      </c>
      <c r="R106">
        <f t="shared" ref="R106" si="507">R107+Q106</f>
        <v>13000415149.880701</v>
      </c>
      <c r="S106">
        <f t="shared" ref="S106" si="508">R106/100000</f>
        <v>130004.15149880701</v>
      </c>
      <c r="T106">
        <f t="shared" ref="T106" si="509">S106/1000</f>
        <v>130.004151498807</v>
      </c>
    </row>
    <row r="107" spans="1:20" x14ac:dyDescent="0.25">
      <c r="A107" s="5">
        <v>44486</v>
      </c>
      <c r="B107">
        <v>0.3967</v>
      </c>
      <c r="C107">
        <v>0.4032</v>
      </c>
      <c r="D107">
        <v>0.36449999999999999</v>
      </c>
      <c r="E107">
        <v>0.38340000000000002</v>
      </c>
      <c r="F107">
        <v>271514664</v>
      </c>
      <c r="G107">
        <v>0.38340000000000002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-2.3255813953487237E-2</v>
      </c>
      <c r="Q107">
        <f t="shared" ref="Q107" si="511">F107*P107</f>
        <v>-6314294.5116275987</v>
      </c>
      <c r="R107">
        <f t="shared" ref="R107" si="512">R108+Q107</f>
        <v>13140619130.416784</v>
      </c>
      <c r="S107">
        <f t="shared" ref="S107" si="513">R107/100000</f>
        <v>131406.19130416785</v>
      </c>
      <c r="T107">
        <f t="shared" ref="T107" si="514">S107/1000</f>
        <v>131.40619130416786</v>
      </c>
    </row>
    <row r="108" spans="1:20" x14ac:dyDescent="0.25">
      <c r="A108" s="5">
        <v>44485</v>
      </c>
      <c r="B108">
        <v>0.36149999999999999</v>
      </c>
      <c r="C108">
        <v>0.42070000000000002</v>
      </c>
      <c r="D108">
        <v>0.3614</v>
      </c>
      <c r="E108">
        <v>0.3967</v>
      </c>
      <c r="F108">
        <v>489852872</v>
      </c>
      <c r="G108">
        <v>0.3967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0.19055649241146666</v>
      </c>
      <c r="Q108">
        <f t="shared" ref="Q108" si="516">F108*P108</f>
        <v>93344645.086003155</v>
      </c>
      <c r="R108">
        <f t="shared" ref="R108" si="517">R109+Q108</f>
        <v>13146933424.928411</v>
      </c>
      <c r="S108">
        <f t="shared" ref="S108" si="518">R108/100000</f>
        <v>131469.33424928412</v>
      </c>
      <c r="T108">
        <f t="shared" ref="T108" si="519">S108/1000</f>
        <v>131.46933424928412</v>
      </c>
    </row>
    <row r="109" spans="1:20" x14ac:dyDescent="0.25">
      <c r="A109" s="5">
        <v>44484</v>
      </c>
      <c r="B109">
        <v>0.3695</v>
      </c>
      <c r="C109">
        <v>0.37380000000000002</v>
      </c>
      <c r="D109">
        <v>0.35020000000000001</v>
      </c>
      <c r="E109">
        <v>0.36159999999999998</v>
      </c>
      <c r="F109">
        <v>208312972</v>
      </c>
      <c r="G109">
        <v>0.36159999999999998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-3.3898305084749072E-2</v>
      </c>
      <c r="Q109">
        <f t="shared" ref="Q109" si="521">F109*P109</f>
        <v>-7061456.6779667912</v>
      </c>
      <c r="R109">
        <f t="shared" ref="R109" si="522">R110+Q109</f>
        <v>13053588779.842409</v>
      </c>
      <c r="S109">
        <f t="shared" ref="S109" si="523">R109/100000</f>
        <v>130535.8877984241</v>
      </c>
      <c r="T109">
        <f t="shared" ref="T109" si="524">S109/1000</f>
        <v>130.53588779842408</v>
      </c>
    </row>
    <row r="110" spans="1:20" x14ac:dyDescent="0.25">
      <c r="A110" s="5">
        <v>44483</v>
      </c>
      <c r="B110">
        <v>0.36799999999999999</v>
      </c>
      <c r="C110">
        <v>0.38229999999999997</v>
      </c>
      <c r="D110">
        <v>0.36359999999999998</v>
      </c>
      <c r="E110">
        <v>0.36980000000000002</v>
      </c>
      <c r="F110">
        <v>231305666</v>
      </c>
      <c r="G110">
        <v>0.36980000000000002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-0.33689839572192076</v>
      </c>
      <c r="Q110">
        <f t="shared" ref="Q110" si="526">F110*P110</f>
        <v>-77926507.796790436</v>
      </c>
      <c r="R110">
        <f t="shared" ref="R110" si="527">R111+Q110</f>
        <v>13060650236.520376</v>
      </c>
      <c r="S110">
        <f t="shared" ref="S110" si="528">R110/100000</f>
        <v>130606.50236520376</v>
      </c>
      <c r="T110">
        <f t="shared" ref="T110" si="529">S110/1000</f>
        <v>130.60650236520377</v>
      </c>
    </row>
    <row r="111" spans="1:20" x14ac:dyDescent="0.25">
      <c r="A111" s="5">
        <v>44482</v>
      </c>
      <c r="B111">
        <v>0.33260000000000001</v>
      </c>
      <c r="C111">
        <v>0.3765</v>
      </c>
      <c r="D111">
        <v>0.33029999999999998</v>
      </c>
      <c r="E111">
        <v>0.36799999999999999</v>
      </c>
      <c r="F111">
        <v>380722714</v>
      </c>
      <c r="G111">
        <v>0.36799999999999999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0.63203463203463184</v>
      </c>
      <c r="Q111">
        <f t="shared" ref="Q111" si="531">F111*P111</f>
        <v>240629940.45021638</v>
      </c>
      <c r="R111">
        <f t="shared" ref="R111" si="532">R112+Q111</f>
        <v>13138576744.317167</v>
      </c>
      <c r="S111">
        <f t="shared" ref="S111" si="533">R111/100000</f>
        <v>131385.76744317167</v>
      </c>
      <c r="T111">
        <f t="shared" ref="T111" si="534">S111/1000</f>
        <v>131.38576744317169</v>
      </c>
    </row>
    <row r="112" spans="1:20" x14ac:dyDescent="0.25">
      <c r="A112" s="5">
        <v>44481</v>
      </c>
      <c r="B112">
        <v>0.34439999999999998</v>
      </c>
      <c r="C112">
        <v>0.34489999999999998</v>
      </c>
      <c r="D112">
        <v>0.31950000000000001</v>
      </c>
      <c r="E112">
        <v>0.33279999999999998</v>
      </c>
      <c r="F112">
        <v>153288154</v>
      </c>
      <c r="G112">
        <v>0.33279999999999998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4.7244094488188185E-2</v>
      </c>
      <c r="Q112">
        <f t="shared" ref="Q112" si="536">F112*P112</f>
        <v>7241960.0314959418</v>
      </c>
      <c r="R112">
        <f t="shared" ref="R112" si="537">R113+Q112</f>
        <v>12897946803.866951</v>
      </c>
      <c r="S112">
        <f t="shared" ref="S112" si="538">R112/100000</f>
        <v>128979.46803866951</v>
      </c>
      <c r="T112">
        <f t="shared" ref="T112" si="539">S112/1000</f>
        <v>128.97946803866952</v>
      </c>
    </row>
    <row r="113" spans="1:20" x14ac:dyDescent="0.25">
      <c r="A113" s="5">
        <v>44480</v>
      </c>
      <c r="B113">
        <v>0.33119999999999999</v>
      </c>
      <c r="C113">
        <v>0.3574</v>
      </c>
      <c r="D113">
        <v>0.3246</v>
      </c>
      <c r="E113">
        <v>0.34449999999999997</v>
      </c>
      <c r="F113">
        <v>211412869</v>
      </c>
      <c r="G113">
        <v>0.34449999999999997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0.21341463414633999</v>
      </c>
      <c r="Q113">
        <f t="shared" ref="Q113" si="541">F113*P113</f>
        <v>45118600.091463104</v>
      </c>
      <c r="R113">
        <f t="shared" ref="R113" si="542">R114+Q113</f>
        <v>12890704843.835455</v>
      </c>
      <c r="S113">
        <f t="shared" ref="S113" si="543">R113/100000</f>
        <v>128907.04843835456</v>
      </c>
      <c r="T113">
        <f t="shared" ref="T113" si="544">S113/1000</f>
        <v>128.90704843835456</v>
      </c>
    </row>
    <row r="114" spans="1:20" x14ac:dyDescent="0.25">
      <c r="A114" s="5">
        <v>44479</v>
      </c>
      <c r="B114">
        <v>0.35320000000000001</v>
      </c>
      <c r="C114">
        <v>0.35899999999999999</v>
      </c>
      <c r="D114">
        <v>0.3286</v>
      </c>
      <c r="E114">
        <v>0.33110000000000001</v>
      </c>
      <c r="F114">
        <v>135578770</v>
      </c>
      <c r="G114">
        <v>0.33110000000000001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-0.83552631578947345</v>
      </c>
      <c r="Q114">
        <f t="shared" ref="Q114" si="546">F114*P114</f>
        <v>-113279630.19736838</v>
      </c>
      <c r="R114">
        <f t="shared" ref="R114" si="547">R115+Q114</f>
        <v>12845586243.743992</v>
      </c>
      <c r="S114">
        <f t="shared" ref="S114" si="548">R114/100000</f>
        <v>128455.86243743992</v>
      </c>
      <c r="T114">
        <f t="shared" ref="T114" si="549">S114/1000</f>
        <v>128.45586243743992</v>
      </c>
    </row>
    <row r="115" spans="1:20" x14ac:dyDescent="0.25">
      <c r="A115" s="5">
        <v>44478</v>
      </c>
      <c r="B115">
        <v>0.33639999999999998</v>
      </c>
      <c r="C115">
        <v>0.36780000000000002</v>
      </c>
      <c r="D115">
        <v>0.33260000000000001</v>
      </c>
      <c r="E115">
        <v>0.35310000000000002</v>
      </c>
      <c r="F115">
        <v>202070362</v>
      </c>
      <c r="G115">
        <v>0.35310000000000002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0.16477272727272801</v>
      </c>
      <c r="Q115">
        <f t="shared" ref="Q115" si="551">F115*P115</f>
        <v>33295684.647727422</v>
      </c>
      <c r="R115">
        <f t="shared" ref="R115" si="552">R116+Q115</f>
        <v>12958865873.94136</v>
      </c>
      <c r="S115">
        <f t="shared" ref="S115" si="553">R115/100000</f>
        <v>129588.6587394136</v>
      </c>
      <c r="T115">
        <f t="shared" ref="T115" si="554">S115/1000</f>
        <v>129.5886587394136</v>
      </c>
    </row>
    <row r="116" spans="1:20" x14ac:dyDescent="0.25">
      <c r="A116" s="5">
        <v>44477</v>
      </c>
      <c r="B116">
        <v>0.34360000000000002</v>
      </c>
      <c r="C116">
        <v>0.34970000000000001</v>
      </c>
      <c r="D116">
        <v>0.33229999999999998</v>
      </c>
      <c r="E116">
        <v>0.33629999999999999</v>
      </c>
      <c r="F116">
        <v>171328592</v>
      </c>
      <c r="G116">
        <v>0.33629999999999999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-0.5402298850574716</v>
      </c>
      <c r="Q116">
        <f t="shared" ref="Q116" si="556">F116*P116</f>
        <v>-92556825.563218445</v>
      </c>
      <c r="R116">
        <f t="shared" ref="R116" si="557">R117+Q116</f>
        <v>12925570189.293633</v>
      </c>
      <c r="S116">
        <f t="shared" ref="S116" si="558">R116/100000</f>
        <v>129255.70189293633</v>
      </c>
      <c r="T116">
        <f t="shared" ref="T116" si="559">S116/1000</f>
        <v>129.25570189293632</v>
      </c>
    </row>
    <row r="117" spans="1:20" x14ac:dyDescent="0.25">
      <c r="A117" s="5">
        <v>44476</v>
      </c>
      <c r="B117">
        <v>0.35820000000000002</v>
      </c>
      <c r="C117">
        <v>0.37019999999999997</v>
      </c>
      <c r="D117">
        <v>0.3417</v>
      </c>
      <c r="E117">
        <v>0.34350000000000003</v>
      </c>
      <c r="F117">
        <v>339409615</v>
      </c>
      <c r="G117">
        <v>0.34350000000000003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-0.87368421052631395</v>
      </c>
      <c r="Q117">
        <f t="shared" ref="Q117" si="561">F117*P117</f>
        <v>-296536821.52631515</v>
      </c>
      <c r="R117">
        <f t="shared" ref="R117" si="562">R118+Q117</f>
        <v>13018127014.856852</v>
      </c>
      <c r="S117">
        <f t="shared" ref="S117" si="563">R117/100000</f>
        <v>130181.27014856851</v>
      </c>
      <c r="T117">
        <f t="shared" ref="T117" si="564">S117/1000</f>
        <v>130.1812701485685</v>
      </c>
    </row>
    <row r="118" spans="1:20" x14ac:dyDescent="0.25">
      <c r="A118" s="5">
        <v>44475</v>
      </c>
      <c r="B118">
        <v>0.31909999999999999</v>
      </c>
      <c r="C118">
        <v>0.36499999999999999</v>
      </c>
      <c r="D118">
        <v>0.3054</v>
      </c>
      <c r="E118">
        <v>0.35780000000000001</v>
      </c>
      <c r="F118">
        <v>339060272</v>
      </c>
      <c r="G118">
        <v>0.35780000000000001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0.7583892617449669</v>
      </c>
      <c r="Q118">
        <f t="shared" ref="Q118" si="566">F118*P118</f>
        <v>257139669.36912766</v>
      </c>
      <c r="R118">
        <f t="shared" ref="R118" si="567">R119+Q118</f>
        <v>13314663836.383167</v>
      </c>
      <c r="S118">
        <f t="shared" ref="S118" si="568">R118/100000</f>
        <v>133146.63836383168</v>
      </c>
      <c r="T118">
        <f t="shared" ref="T118" si="569">S118/1000</f>
        <v>133.14663836383167</v>
      </c>
    </row>
    <row r="119" spans="1:20" x14ac:dyDescent="0.25">
      <c r="A119" s="5">
        <v>44474</v>
      </c>
      <c r="B119">
        <v>0.3105</v>
      </c>
      <c r="C119">
        <v>0.32050000000000001</v>
      </c>
      <c r="D119">
        <v>0.3075</v>
      </c>
      <c r="E119">
        <v>0.31879999999999997</v>
      </c>
      <c r="F119">
        <v>143919162</v>
      </c>
      <c r="G119">
        <v>0.31879999999999997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0.73846153846153328</v>
      </c>
      <c r="Q119">
        <f t="shared" ref="Q119" si="571">F119*P119</f>
        <v>106278765.78461464</v>
      </c>
      <c r="R119">
        <f t="shared" ref="R119" si="572">R120+Q119</f>
        <v>13057524167.01404</v>
      </c>
      <c r="S119">
        <f t="shared" ref="S119" si="573">R119/100000</f>
        <v>130575.2416701404</v>
      </c>
      <c r="T119">
        <f t="shared" ref="T119" si="574">S119/1000</f>
        <v>130.5752416701404</v>
      </c>
    </row>
    <row r="120" spans="1:20" x14ac:dyDescent="0.25">
      <c r="A120" s="5">
        <v>44473</v>
      </c>
      <c r="B120">
        <v>0.31490000000000001</v>
      </c>
      <c r="C120">
        <v>0.31540000000000001</v>
      </c>
      <c r="D120">
        <v>0.29570000000000002</v>
      </c>
      <c r="E120">
        <v>0.312</v>
      </c>
      <c r="F120">
        <v>158213660</v>
      </c>
      <c r="G120">
        <v>0.312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0.65482233502537923</v>
      </c>
      <c r="Q120">
        <f t="shared" ref="Q120" si="576">F120*P120</f>
        <v>103601838.27411143</v>
      </c>
      <c r="R120">
        <f t="shared" ref="R120" si="577">R121+Q120</f>
        <v>12951245401.229425</v>
      </c>
      <c r="S120">
        <f t="shared" ref="S120" si="578">R120/100000</f>
        <v>129512.45401229426</v>
      </c>
      <c r="T120">
        <f t="shared" ref="T120" si="579">S120/1000</f>
        <v>129.51245401229426</v>
      </c>
    </row>
    <row r="121" spans="1:20" x14ac:dyDescent="0.25">
      <c r="A121" s="5">
        <v>44472</v>
      </c>
      <c r="B121">
        <v>0.31640000000000001</v>
      </c>
      <c r="C121">
        <v>0.32269999999999999</v>
      </c>
      <c r="D121">
        <v>0.31019999999999998</v>
      </c>
      <c r="E121">
        <v>0.31419999999999998</v>
      </c>
      <c r="F121">
        <v>148425468</v>
      </c>
      <c r="G121">
        <v>0.31419999999999998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-0.36</v>
      </c>
      <c r="Q121">
        <f t="shared" ref="Q121" si="581">F121*P121</f>
        <v>-53433168.479999997</v>
      </c>
      <c r="R121">
        <f t="shared" ref="R121" si="582">R122+Q121</f>
        <v>12847643562.955315</v>
      </c>
      <c r="S121">
        <f t="shared" ref="S121" si="583">R121/100000</f>
        <v>128476.43562955315</v>
      </c>
      <c r="T121">
        <f t="shared" ref="T121" si="584">S121/1000</f>
        <v>128.47643562955315</v>
      </c>
    </row>
    <row r="122" spans="1:20" x14ac:dyDescent="0.25">
      <c r="A122" s="5">
        <v>44471</v>
      </c>
      <c r="B122">
        <v>0.3004</v>
      </c>
      <c r="C122">
        <v>0.3266</v>
      </c>
      <c r="D122">
        <v>0.29239999999999999</v>
      </c>
      <c r="E122">
        <v>0.31640000000000001</v>
      </c>
      <c r="F122">
        <v>166226808</v>
      </c>
      <c r="G122">
        <v>0.31640000000000001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0.40350877192982548</v>
      </c>
      <c r="Q122">
        <f t="shared" ref="Q122" si="586">F122*P122</f>
        <v>67073975.157894887</v>
      </c>
      <c r="R122">
        <f t="shared" ref="R122" si="587">R123+Q122</f>
        <v>12901076731.435314</v>
      </c>
      <c r="S122">
        <f t="shared" ref="S122" si="588">R122/100000</f>
        <v>129010.76731435314</v>
      </c>
      <c r="T122">
        <f t="shared" ref="T122" si="589">S122/1000</f>
        <v>129.01076731435313</v>
      </c>
    </row>
    <row r="123" spans="1:20" x14ac:dyDescent="0.25">
      <c r="A123" s="5">
        <v>44470</v>
      </c>
      <c r="B123">
        <v>0.27879999999999999</v>
      </c>
      <c r="C123">
        <v>0.30059999999999998</v>
      </c>
      <c r="D123">
        <v>0.27529999999999999</v>
      </c>
      <c r="E123">
        <v>0.30030000000000001</v>
      </c>
      <c r="F123">
        <v>168718920</v>
      </c>
      <c r="G123">
        <v>0.30030000000000001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0.97628458498023973</v>
      </c>
      <c r="Q123">
        <f t="shared" ref="Q123" si="591">F123*P123</f>
        <v>164717680.79051426</v>
      </c>
      <c r="R123">
        <f t="shared" ref="R123" si="592">R124+Q123</f>
        <v>12834002756.27742</v>
      </c>
      <c r="S123">
        <f t="shared" ref="S123" si="593">R123/100000</f>
        <v>128340.02756277419</v>
      </c>
      <c r="T123">
        <f t="shared" ref="T123" si="594">S123/1000</f>
        <v>128.3400275627742</v>
      </c>
    </row>
    <row r="124" spans="1:20" x14ac:dyDescent="0.25">
      <c r="A124" s="5">
        <v>44469</v>
      </c>
      <c r="B124">
        <v>0.26979999999999998</v>
      </c>
      <c r="C124">
        <v>0.28060000000000002</v>
      </c>
      <c r="D124">
        <v>0.26850000000000002</v>
      </c>
      <c r="E124">
        <v>0.2787</v>
      </c>
      <c r="F124">
        <v>85594938</v>
      </c>
      <c r="G124">
        <v>0.2787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0.68595041322313832</v>
      </c>
      <c r="Q124">
        <f t="shared" ref="Q124" si="596">F124*P124</f>
        <v>58713883.090908907</v>
      </c>
      <c r="R124">
        <f t="shared" ref="R124" si="597">R125+Q124</f>
        <v>12669285075.486906</v>
      </c>
      <c r="S124">
        <f t="shared" ref="S124" si="598">R124/100000</f>
        <v>126692.85075486905</v>
      </c>
      <c r="T124">
        <f t="shared" ref="T124" si="599">S124/1000</f>
        <v>126.69285075486906</v>
      </c>
    </row>
    <row r="125" spans="1:20" x14ac:dyDescent="0.25">
      <c r="A125" s="5">
        <v>44468</v>
      </c>
      <c r="B125">
        <v>0.25659999999999999</v>
      </c>
      <c r="C125">
        <v>0.27939999999999998</v>
      </c>
      <c r="D125">
        <v>0.25490000000000002</v>
      </c>
      <c r="E125">
        <v>0.26960000000000001</v>
      </c>
      <c r="F125">
        <v>109199451</v>
      </c>
      <c r="G125">
        <v>0.26960000000000001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0.2000000000000009</v>
      </c>
      <c r="Q125">
        <f t="shared" ref="Q125" si="601">F125*P125</f>
        <v>21839890.2000001</v>
      </c>
      <c r="R125">
        <f t="shared" ref="R125" si="602">R126+Q125</f>
        <v>12610571192.395998</v>
      </c>
      <c r="S125">
        <f t="shared" ref="S125" si="603">R125/100000</f>
        <v>126105.71192395999</v>
      </c>
      <c r="T125">
        <f t="shared" ref="T125" si="604">S125/1000</f>
        <v>126.10571192395999</v>
      </c>
    </row>
    <row r="126" spans="1:20" x14ac:dyDescent="0.25">
      <c r="A126" s="5">
        <v>44467</v>
      </c>
      <c r="B126">
        <v>0.26479999999999998</v>
      </c>
      <c r="C126">
        <v>0.26989999999999997</v>
      </c>
      <c r="D126">
        <v>0.25480000000000003</v>
      </c>
      <c r="E126">
        <v>0.25659999999999999</v>
      </c>
      <c r="F126">
        <v>90810627.099999994</v>
      </c>
      <c r="G126">
        <v>0.25659999999999999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-0.76158940397351327</v>
      </c>
      <c r="Q126">
        <f t="shared" ref="Q126" si="606">F126*P126</f>
        <v>-69160411.367549971</v>
      </c>
      <c r="R126">
        <f t="shared" ref="R126" si="607">R127+Q126</f>
        <v>12588731302.195997</v>
      </c>
      <c r="S126">
        <f t="shared" ref="S126" si="608">R126/100000</f>
        <v>125887.31302195997</v>
      </c>
      <c r="T126">
        <f t="shared" ref="T126" si="609">S126/1000</f>
        <v>125.88731302195997</v>
      </c>
    </row>
    <row r="127" spans="1:20" x14ac:dyDescent="0.25">
      <c r="A127" s="5">
        <v>44466</v>
      </c>
      <c r="B127">
        <v>0.27589999999999998</v>
      </c>
      <c r="C127">
        <v>0.2833</v>
      </c>
      <c r="D127">
        <v>0.26469999999999999</v>
      </c>
      <c r="E127">
        <v>0.26500000000000001</v>
      </c>
      <c r="F127">
        <v>72180613</v>
      </c>
      <c r="G127">
        <v>0.26500000000000001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-0.96774193548386855</v>
      </c>
      <c r="Q127">
        <f t="shared" ref="Q127" si="611">F127*P127</f>
        <v>-69852206.12903209</v>
      </c>
      <c r="R127">
        <f t="shared" ref="R127" si="612">R128+Q127</f>
        <v>12657891713.563547</v>
      </c>
      <c r="S127">
        <f t="shared" ref="S127" si="613">R127/100000</f>
        <v>126578.91713563548</v>
      </c>
      <c r="T127">
        <f t="shared" ref="T127" si="614">S127/1000</f>
        <v>126.57891713563548</v>
      </c>
    </row>
    <row r="128" spans="1:20" x14ac:dyDescent="0.25">
      <c r="A128" s="5">
        <v>44465</v>
      </c>
      <c r="B128">
        <v>0.27700000000000002</v>
      </c>
      <c r="C128">
        <v>0.28370000000000001</v>
      </c>
      <c r="D128">
        <v>0.2606</v>
      </c>
      <c r="E128">
        <v>0.27600000000000002</v>
      </c>
      <c r="F128">
        <v>95022230</v>
      </c>
      <c r="G128">
        <v>0.27600000000000002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0.33333333333333492</v>
      </c>
      <c r="Q128">
        <f t="shared" ref="Q128" si="616">F128*P128</f>
        <v>31674076.666666817</v>
      </c>
      <c r="R128">
        <f t="shared" ref="R128" si="617">R129+Q128</f>
        <v>12727743919.692579</v>
      </c>
      <c r="S128">
        <f t="shared" ref="S128" si="618">R128/100000</f>
        <v>127277.4391969258</v>
      </c>
      <c r="T128">
        <f t="shared" ref="T128" si="619">S128/1000</f>
        <v>127.2774391969258</v>
      </c>
    </row>
    <row r="129" spans="1:20" x14ac:dyDescent="0.25">
      <c r="A129" s="5">
        <v>44464</v>
      </c>
      <c r="B129">
        <v>0.28100000000000003</v>
      </c>
      <c r="C129">
        <v>0.28570000000000001</v>
      </c>
      <c r="D129">
        <v>0.2702</v>
      </c>
      <c r="E129">
        <v>0.27679999999999999</v>
      </c>
      <c r="F129">
        <v>90476262</v>
      </c>
      <c r="G129">
        <v>0.27679999999999999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-0.14838709677419498</v>
      </c>
      <c r="Q129">
        <f t="shared" ref="Q129" si="621">F129*P129</f>
        <v>-13425509.845161419</v>
      </c>
      <c r="R129">
        <f t="shared" ref="R129" si="622">R130+Q129</f>
        <v>12696069843.025913</v>
      </c>
      <c r="S129">
        <f t="shared" ref="S129" si="623">R129/100000</f>
        <v>126960.69843025913</v>
      </c>
      <c r="T129">
        <f t="shared" ref="T129" si="624">S129/1000</f>
        <v>126.96069843025913</v>
      </c>
    </row>
    <row r="130" spans="1:20" x14ac:dyDescent="0.25">
      <c r="A130" s="5">
        <v>44463</v>
      </c>
      <c r="B130">
        <v>0.30299999999999999</v>
      </c>
      <c r="C130">
        <v>0.30570000000000003</v>
      </c>
      <c r="D130">
        <v>0.26889999999999997</v>
      </c>
      <c r="E130">
        <v>0.28110000000000002</v>
      </c>
      <c r="F130">
        <v>132212040</v>
      </c>
      <c r="G130">
        <v>0.28110000000000002</v>
      </c>
      <c r="L130" t="s">
        <v>8</v>
      </c>
      <c r="M130" t="s">
        <v>7</v>
      </c>
      <c r="N130" t="s">
        <v>7</v>
      </c>
      <c r="P130">
        <f t="shared" ref="P130" si="625">IF(C130=D130,0,((E130-D130)-(C130-E130))/(C130-D130))</f>
        <v>-0.33695652173912904</v>
      </c>
      <c r="Q130">
        <f t="shared" ref="Q130" si="626">F130*P130</f>
        <v>-44549709.130434602</v>
      </c>
      <c r="R130">
        <f t="shared" ref="R130" si="627">R131+Q130</f>
        <v>12709495352.871075</v>
      </c>
      <c r="S130">
        <f t="shared" ref="S130" si="628">R130/100000</f>
        <v>127094.95352871074</v>
      </c>
      <c r="T130">
        <f t="shared" ref="T130" si="629">S130/1000</f>
        <v>127.09495352871075</v>
      </c>
    </row>
    <row r="131" spans="1:20" x14ac:dyDescent="0.25">
      <c r="A131" s="5">
        <v>44462</v>
      </c>
      <c r="B131">
        <v>0.2923</v>
      </c>
      <c r="C131">
        <v>0.30320000000000003</v>
      </c>
      <c r="D131">
        <v>0.28839999999999999</v>
      </c>
      <c r="E131">
        <v>0.30299999999999999</v>
      </c>
      <c r="F131">
        <v>114090070</v>
      </c>
      <c r="G131">
        <v>0.30299999999999999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0.97297297297296848</v>
      </c>
      <c r="Q131">
        <f t="shared" ref="Q131" si="631">F131*P131</f>
        <v>111006554.59459408</v>
      </c>
      <c r="R131">
        <f t="shared" ref="R131" si="632">R132+Q131</f>
        <v>12754045062.001509</v>
      </c>
      <c r="S131">
        <f t="shared" ref="S131" si="633">R131/100000</f>
        <v>127540.45062001509</v>
      </c>
      <c r="T131">
        <f t="shared" ref="T131" si="634">S131/1000</f>
        <v>127.54045062001509</v>
      </c>
    </row>
    <row r="132" spans="1:20" x14ac:dyDescent="0.25">
      <c r="A132" s="5">
        <v>44461</v>
      </c>
      <c r="B132">
        <v>0.2661</v>
      </c>
      <c r="C132">
        <v>0.29330000000000001</v>
      </c>
      <c r="D132">
        <v>0.26050000000000001</v>
      </c>
      <c r="E132">
        <v>0.29260000000000003</v>
      </c>
      <c r="F132">
        <v>118873782</v>
      </c>
      <c r="G132">
        <v>0.29260000000000003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0.957317073170733</v>
      </c>
      <c r="Q132">
        <f t="shared" ref="Q132" si="636">F132*P132</f>
        <v>113799901.06097576</v>
      </c>
      <c r="R132">
        <f t="shared" ref="R132" si="637">R133+Q132</f>
        <v>12643038507.406914</v>
      </c>
      <c r="S132">
        <f t="shared" ref="S132" si="638">R132/100000</f>
        <v>126430.38507406914</v>
      </c>
      <c r="T132">
        <f t="shared" ref="T132" si="639">S132/1000</f>
        <v>126.43038507406914</v>
      </c>
    </row>
    <row r="133" spans="1:20" x14ac:dyDescent="0.25">
      <c r="A133" s="5">
        <v>44460</v>
      </c>
      <c r="B133">
        <v>0.2823</v>
      </c>
      <c r="C133">
        <v>0.28749999999999998</v>
      </c>
      <c r="D133">
        <v>0.2601</v>
      </c>
      <c r="E133">
        <v>0.26590000000000003</v>
      </c>
      <c r="F133">
        <v>153867873.09999999</v>
      </c>
      <c r="G133">
        <v>0.26590000000000003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-0.5766423357664211</v>
      </c>
      <c r="Q133">
        <f t="shared" ref="Q133" si="641">F133*P133</f>
        <v>-88726729.743795276</v>
      </c>
      <c r="R133">
        <f t="shared" ref="R133" si="642">R134+Q133</f>
        <v>12529238606.345938</v>
      </c>
      <c r="S133">
        <f t="shared" ref="S133" si="643">R133/100000</f>
        <v>125292.38606345937</v>
      </c>
      <c r="T133">
        <f t="shared" ref="T133" si="644">S133/1000</f>
        <v>125.29238606345938</v>
      </c>
    </row>
    <row r="134" spans="1:20" x14ac:dyDescent="0.25">
      <c r="A134" s="5">
        <v>44459</v>
      </c>
      <c r="B134">
        <v>0.3135</v>
      </c>
      <c r="C134">
        <v>0.31469999999999998</v>
      </c>
      <c r="D134">
        <v>0.2868</v>
      </c>
      <c r="E134">
        <v>0.28910000000000002</v>
      </c>
      <c r="F134">
        <v>88490758</v>
      </c>
      <c r="G134">
        <v>0.28910000000000002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-0.83512544802867195</v>
      </c>
      <c r="Q134">
        <f t="shared" ref="Q134" si="646">F134*P134</f>
        <v>-73900883.92114678</v>
      </c>
      <c r="R134">
        <f t="shared" ref="R134" si="647">R135+Q134</f>
        <v>12617965336.089733</v>
      </c>
      <c r="S134">
        <f t="shared" ref="S134" si="648">R134/100000</f>
        <v>126179.65336089733</v>
      </c>
      <c r="T134">
        <f t="shared" ref="T134" si="649">S134/1000</f>
        <v>126.17965336089732</v>
      </c>
    </row>
    <row r="135" spans="1:20" x14ac:dyDescent="0.25">
      <c r="A135" s="5">
        <v>44458</v>
      </c>
      <c r="B135">
        <v>0.32190000000000002</v>
      </c>
      <c r="C135">
        <v>0.32490000000000002</v>
      </c>
      <c r="D135">
        <v>0.31009999999999999</v>
      </c>
      <c r="E135">
        <v>0.31340000000000001</v>
      </c>
      <c r="F135">
        <v>66407138</v>
      </c>
      <c r="G135">
        <v>0.31340000000000001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-0.55405405405405173</v>
      </c>
      <c r="Q135">
        <f t="shared" ref="Q135" si="651">F135*P135</f>
        <v>-36793144.027026869</v>
      </c>
      <c r="R135">
        <f t="shared" ref="R135" si="652">R136+Q135</f>
        <v>12691866220.01088</v>
      </c>
      <c r="S135">
        <f t="shared" ref="S135" si="653">R135/100000</f>
        <v>126918.6622001088</v>
      </c>
      <c r="T135">
        <f t="shared" ref="T135" si="654">S135/1000</f>
        <v>126.9186622001088</v>
      </c>
    </row>
    <row r="136" spans="1:20" x14ac:dyDescent="0.25">
      <c r="A136" s="5">
        <v>44457</v>
      </c>
      <c r="B136">
        <v>0.31950000000000001</v>
      </c>
      <c r="C136">
        <v>0.32779999999999998</v>
      </c>
      <c r="D136">
        <v>0.31509999999999999</v>
      </c>
      <c r="E136">
        <v>0.32190000000000002</v>
      </c>
      <c r="F136">
        <v>76526276</v>
      </c>
      <c r="G136">
        <v>0.32190000000000002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7.0866141732288834E-2</v>
      </c>
      <c r="Q136">
        <f t="shared" ref="Q136" si="656">F136*P136</f>
        <v>5423121.9212602535</v>
      </c>
      <c r="R136">
        <f t="shared" ref="R136" si="657">R137+Q136</f>
        <v>12728659364.037907</v>
      </c>
      <c r="S136">
        <f t="shared" ref="S136" si="658">R136/100000</f>
        <v>127286.59364037907</v>
      </c>
      <c r="T136">
        <f t="shared" ref="T136" si="659">S136/1000</f>
        <v>127.28659364037907</v>
      </c>
    </row>
    <row r="137" spans="1:20" x14ac:dyDescent="0.25">
      <c r="A137" s="5">
        <v>44456</v>
      </c>
      <c r="B137">
        <v>0.3306</v>
      </c>
      <c r="C137">
        <v>0.33300000000000002</v>
      </c>
      <c r="D137">
        <v>0.31459999999999999</v>
      </c>
      <c r="E137">
        <v>0.31950000000000001</v>
      </c>
      <c r="F137">
        <v>98570508</v>
      </c>
      <c r="G137">
        <v>0.31950000000000001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-0.46739130434782522</v>
      </c>
      <c r="Q137">
        <f t="shared" ref="Q137" si="661">F137*P137</f>
        <v>-46070998.304347739</v>
      </c>
      <c r="R137">
        <f t="shared" ref="R137" si="662">R138+Q137</f>
        <v>12723236242.116646</v>
      </c>
      <c r="S137">
        <f t="shared" ref="S137" si="663">R137/100000</f>
        <v>127232.36242116646</v>
      </c>
      <c r="T137">
        <f t="shared" ref="T137" si="664">S137/1000</f>
        <v>127.23236242116646</v>
      </c>
    </row>
    <row r="138" spans="1:20" x14ac:dyDescent="0.25">
      <c r="A138" s="5">
        <v>44455</v>
      </c>
      <c r="B138">
        <v>0.34100000000000003</v>
      </c>
      <c r="C138">
        <v>0.34239999999999998</v>
      </c>
      <c r="D138">
        <v>0.32329999999999998</v>
      </c>
      <c r="E138">
        <v>0.33069999999999999</v>
      </c>
      <c r="F138">
        <v>125206007</v>
      </c>
      <c r="G138">
        <v>0.33069999999999999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-0.2251308900523544</v>
      </c>
      <c r="Q138">
        <f t="shared" ref="Q138" si="666">F138*P138</f>
        <v>-28187739.795811314</v>
      </c>
      <c r="R138">
        <f t="shared" ref="R138" si="667">R139+Q138</f>
        <v>12769307240.420994</v>
      </c>
      <c r="S138">
        <f t="shared" ref="S138" si="668">R138/100000</f>
        <v>127693.07240420993</v>
      </c>
      <c r="T138">
        <f t="shared" ref="T138" si="669">S138/1000</f>
        <v>127.69307240420993</v>
      </c>
    </row>
    <row r="139" spans="1:20" x14ac:dyDescent="0.25">
      <c r="A139" s="5">
        <v>44454</v>
      </c>
      <c r="B139">
        <v>0.33129999999999998</v>
      </c>
      <c r="C139">
        <v>0.34189999999999998</v>
      </c>
      <c r="D139">
        <v>0.32719999999999999</v>
      </c>
      <c r="E139">
        <v>0.34100000000000003</v>
      </c>
      <c r="F139">
        <v>118997144</v>
      </c>
      <c r="G139">
        <v>0.34100000000000003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0.87755102040816912</v>
      </c>
      <c r="Q139">
        <f t="shared" ref="Q139" si="671">F139*P139</f>
        <v>104426065.14285783</v>
      </c>
      <c r="R139">
        <f t="shared" ref="R139" si="672">R140+Q139</f>
        <v>12797494980.216805</v>
      </c>
      <c r="S139">
        <f t="shared" ref="S139" si="673">R139/100000</f>
        <v>127974.94980216805</v>
      </c>
      <c r="T139">
        <f t="shared" ref="T139" si="674">S139/1000</f>
        <v>127.97494980216806</v>
      </c>
    </row>
    <row r="140" spans="1:20" x14ac:dyDescent="0.25">
      <c r="A140" s="5">
        <v>44453</v>
      </c>
      <c r="B140">
        <v>0.31859999999999999</v>
      </c>
      <c r="C140">
        <v>0.33160000000000001</v>
      </c>
      <c r="D140">
        <v>0.316</v>
      </c>
      <c r="E140">
        <v>0.33129999999999998</v>
      </c>
      <c r="F140">
        <v>107854783</v>
      </c>
      <c r="G140">
        <v>0.33129999999999998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0.96153846153845868</v>
      </c>
      <c r="Q140">
        <f t="shared" ref="Q140" si="676">F140*P140</f>
        <v>103706522.11538431</v>
      </c>
      <c r="R140">
        <f t="shared" ref="R140" si="677">R141+Q140</f>
        <v>12693068915.073946</v>
      </c>
      <c r="S140">
        <f t="shared" ref="S140" si="678">R140/100000</f>
        <v>126930.68915073946</v>
      </c>
      <c r="T140">
        <f t="shared" ref="T140" si="679">S140/1000</f>
        <v>126.93068915073947</v>
      </c>
    </row>
    <row r="141" spans="1:20" x14ac:dyDescent="0.25">
      <c r="A141" s="5">
        <v>44452</v>
      </c>
      <c r="B141">
        <v>0.33250000000000002</v>
      </c>
      <c r="C141">
        <v>0.33650000000000002</v>
      </c>
      <c r="D141">
        <v>0.3095</v>
      </c>
      <c r="E141">
        <v>0.31859999999999999</v>
      </c>
      <c r="F141">
        <v>162038988</v>
      </c>
      <c r="G141">
        <v>0.31859999999999999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-0.32592592592592673</v>
      </c>
      <c r="Q141">
        <f t="shared" ref="Q141" si="681">F141*P141</f>
        <v>-52812707.20000013</v>
      </c>
      <c r="R141">
        <f t="shared" ref="R141" si="682">R142+Q141</f>
        <v>12589362392.958561</v>
      </c>
      <c r="S141">
        <f t="shared" ref="S141" si="683">R141/100000</f>
        <v>125893.62392958561</v>
      </c>
      <c r="T141">
        <f t="shared" ref="T141" si="684">S141/1000</f>
        <v>125.8936239295856</v>
      </c>
    </row>
    <row r="142" spans="1:20" x14ac:dyDescent="0.25">
      <c r="A142" s="5">
        <v>44451</v>
      </c>
      <c r="B142">
        <v>0.3251</v>
      </c>
      <c r="C142">
        <v>0.33939999999999998</v>
      </c>
      <c r="D142">
        <v>0.317</v>
      </c>
      <c r="E142">
        <v>0.33260000000000001</v>
      </c>
      <c r="F142">
        <v>114031752</v>
      </c>
      <c r="G142">
        <v>0.33260000000000001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0.39285714285714463</v>
      </c>
      <c r="Q142">
        <f t="shared" ref="Q142" si="686">F142*P142</f>
        <v>44798188.285714485</v>
      </c>
      <c r="R142">
        <f t="shared" ref="R142" si="687">R143+Q142</f>
        <v>12642175100.158562</v>
      </c>
      <c r="S142">
        <f t="shared" ref="S142" si="688">R142/100000</f>
        <v>126421.75100158562</v>
      </c>
      <c r="T142">
        <f t="shared" ref="T142" si="689">S142/1000</f>
        <v>126.42175100158562</v>
      </c>
    </row>
    <row r="143" spans="1:20" x14ac:dyDescent="0.25">
      <c r="A143" s="5">
        <v>44450</v>
      </c>
      <c r="B143">
        <v>0.31680000000000003</v>
      </c>
      <c r="C143">
        <v>0.33260000000000001</v>
      </c>
      <c r="D143">
        <v>0.31530000000000002</v>
      </c>
      <c r="E143">
        <v>0.32519999999999999</v>
      </c>
      <c r="F143">
        <v>120065889</v>
      </c>
      <c r="G143">
        <v>0.32519999999999999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0.14450867052022828</v>
      </c>
      <c r="Q143">
        <f t="shared" ref="Q143" si="691">F143*P143</f>
        <v>17350561.994219299</v>
      </c>
      <c r="R143">
        <f t="shared" ref="R143" si="692">R144+Q143</f>
        <v>12597376911.872847</v>
      </c>
      <c r="S143">
        <f t="shared" ref="S143" si="693">R143/100000</f>
        <v>125973.76911872847</v>
      </c>
      <c r="T143">
        <f t="shared" ref="T143" si="694">S143/1000</f>
        <v>125.97376911872847</v>
      </c>
    </row>
    <row r="144" spans="1:20" x14ac:dyDescent="0.25">
      <c r="A144" s="5">
        <v>44449</v>
      </c>
      <c r="B144">
        <v>0.33260000000000001</v>
      </c>
      <c r="C144">
        <v>0.36</v>
      </c>
      <c r="D144">
        <v>0.31069999999999998</v>
      </c>
      <c r="E144">
        <v>0.31690000000000002</v>
      </c>
      <c r="F144">
        <v>237684223</v>
      </c>
      <c r="G144">
        <v>0.31690000000000002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-0.74847870182555631</v>
      </c>
      <c r="Q144">
        <f t="shared" ref="Q144" si="696">F144*P144</f>
        <v>-177901578.67545605</v>
      </c>
      <c r="R144">
        <f t="shared" ref="R144" si="697">R145+Q144</f>
        <v>12580026349.878628</v>
      </c>
      <c r="S144">
        <f t="shared" ref="S144" si="698">R144/100000</f>
        <v>125800.26349878628</v>
      </c>
      <c r="T144">
        <f t="shared" ref="T144" si="699">S144/1000</f>
        <v>125.80026349878628</v>
      </c>
    </row>
    <row r="145" spans="1:20" x14ac:dyDescent="0.25">
      <c r="A145" s="5">
        <v>44448</v>
      </c>
      <c r="B145">
        <v>0.32979999999999998</v>
      </c>
      <c r="C145">
        <v>0.34189999999999998</v>
      </c>
      <c r="D145">
        <v>0.32350000000000001</v>
      </c>
      <c r="E145">
        <v>0.33260000000000001</v>
      </c>
      <c r="F145">
        <v>175246463</v>
      </c>
      <c r="G145">
        <v>0.33260000000000001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-1.0869565217390124E-2</v>
      </c>
      <c r="Q145">
        <f t="shared" ref="Q145" si="701">F145*P145</f>
        <v>-1904852.8586954453</v>
      </c>
      <c r="R145">
        <f t="shared" ref="R145" si="702">R146+Q145</f>
        <v>12757927928.554083</v>
      </c>
      <c r="S145">
        <f t="shared" ref="S145" si="703">R145/100000</f>
        <v>127579.27928554083</v>
      </c>
      <c r="T145">
        <f t="shared" ref="T145" si="704">S145/1000</f>
        <v>127.57927928554084</v>
      </c>
    </row>
    <row r="146" spans="1:20" x14ac:dyDescent="0.25">
      <c r="A146" s="5">
        <v>44447</v>
      </c>
      <c r="B146">
        <v>0.33600000000000002</v>
      </c>
      <c r="C146">
        <v>0.34300000000000003</v>
      </c>
      <c r="D146">
        <v>0.3009</v>
      </c>
      <c r="E146">
        <v>0.32979999999999998</v>
      </c>
      <c r="F146">
        <v>267444676</v>
      </c>
      <c r="G146">
        <v>0.32979999999999998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0.37292161520189848</v>
      </c>
      <c r="Q146">
        <f t="shared" ref="Q146" si="706">F146*P146</f>
        <v>99735900.55106841</v>
      </c>
      <c r="R146">
        <f t="shared" ref="R146" si="707">R147+Q146</f>
        <v>12759832781.412779</v>
      </c>
      <c r="S146">
        <f t="shared" ref="S146" si="708">R146/100000</f>
        <v>127598.32781412778</v>
      </c>
      <c r="T146">
        <f t="shared" ref="T146" si="709">S146/1000</f>
        <v>127.59832781412779</v>
      </c>
    </row>
    <row r="147" spans="1:20" x14ac:dyDescent="0.25">
      <c r="A147" s="5">
        <v>44446</v>
      </c>
      <c r="B147">
        <v>0.42380000000000001</v>
      </c>
      <c r="C147">
        <v>0.4244</v>
      </c>
      <c r="D147">
        <v>0.27100000000000002</v>
      </c>
      <c r="E147">
        <v>0.33579999999999999</v>
      </c>
      <c r="F147">
        <v>560497149.70000005</v>
      </c>
      <c r="G147">
        <v>0.33579999999999999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-0.15514993481095207</v>
      </c>
      <c r="Q147">
        <f t="shared" ref="Q147" si="711">F147*P147</f>
        <v>-86961096.237679452</v>
      </c>
      <c r="R147">
        <f t="shared" ref="R147" si="712">R148+Q147</f>
        <v>12660096880.86171</v>
      </c>
      <c r="S147">
        <f t="shared" ref="S147" si="713">R147/100000</f>
        <v>126600.96880861709</v>
      </c>
      <c r="T147">
        <f t="shared" ref="T147" si="714">S147/1000</f>
        <v>126.6009688086171</v>
      </c>
    </row>
    <row r="148" spans="1:20" x14ac:dyDescent="0.25">
      <c r="A148" s="5">
        <v>44445</v>
      </c>
      <c r="B148">
        <v>0.39779999999999999</v>
      </c>
      <c r="C148">
        <v>0.432</v>
      </c>
      <c r="D148">
        <v>0.38929999999999998</v>
      </c>
      <c r="E148">
        <v>0.4239</v>
      </c>
      <c r="F148">
        <v>345465723.39999998</v>
      </c>
      <c r="G148">
        <v>0.4239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0.62060889929742424</v>
      </c>
      <c r="Q148">
        <f t="shared" ref="Q148" si="716">F148*P148</f>
        <v>214399102.34426239</v>
      </c>
      <c r="R148">
        <f t="shared" ref="R148" si="717">R149+Q148</f>
        <v>12747057977.099388</v>
      </c>
      <c r="S148">
        <f t="shared" ref="S148" si="718">R148/100000</f>
        <v>127470.57977099388</v>
      </c>
      <c r="T148">
        <f t="shared" ref="T148" si="719">S148/1000</f>
        <v>127.47057977099388</v>
      </c>
    </row>
    <row r="149" spans="1:20" x14ac:dyDescent="0.25">
      <c r="A149" s="5">
        <v>44444</v>
      </c>
      <c r="B149">
        <v>0.36990000000000001</v>
      </c>
      <c r="C149">
        <v>0.39806000000000002</v>
      </c>
      <c r="D149">
        <v>0.36799999999999999</v>
      </c>
      <c r="E149">
        <v>0.39760000000000001</v>
      </c>
      <c r="F149">
        <v>147935913.30000001</v>
      </c>
      <c r="G149">
        <v>0.39760000000000001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0.96939454424484262</v>
      </c>
      <c r="Q149">
        <f t="shared" ref="Q149" si="721">F149*P149</f>
        <v>143408267.25089806</v>
      </c>
      <c r="R149">
        <f t="shared" ref="R149" si="722">R150+Q149</f>
        <v>12532658874.755125</v>
      </c>
      <c r="S149">
        <f t="shared" ref="S149" si="723">R149/100000</f>
        <v>125326.58874755126</v>
      </c>
      <c r="T149">
        <f t="shared" ref="T149" si="724">S149/1000</f>
        <v>125.32658874755126</v>
      </c>
    </row>
    <row r="150" spans="1:20" x14ac:dyDescent="0.25">
      <c r="A150" s="5">
        <v>44443</v>
      </c>
      <c r="B150">
        <v>0.36880000000000002</v>
      </c>
      <c r="C150">
        <v>0.3846</v>
      </c>
      <c r="D150">
        <v>0.36470000000000002</v>
      </c>
      <c r="E150">
        <v>0.36990000000000001</v>
      </c>
      <c r="F150">
        <v>131993321.7</v>
      </c>
      <c r="G150">
        <v>0.36990000000000001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-0.4773869346733679</v>
      </c>
      <c r="Q150">
        <f t="shared" ref="Q150" si="726">F150*P150</f>
        <v>-63011887.243718736</v>
      </c>
      <c r="R150">
        <f t="shared" ref="R150" si="727">R151+Q150</f>
        <v>12389250607.504227</v>
      </c>
      <c r="S150">
        <f t="shared" ref="S150" si="728">R150/100000</f>
        <v>123892.50607504227</v>
      </c>
      <c r="T150">
        <f t="shared" ref="T150" si="729">S150/1000</f>
        <v>123.89250607504228</v>
      </c>
    </row>
    <row r="151" spans="1:20" x14ac:dyDescent="0.25">
      <c r="A151" s="5">
        <v>44442</v>
      </c>
      <c r="B151">
        <v>0.35909999999999997</v>
      </c>
      <c r="C151">
        <v>0.37790000000000001</v>
      </c>
      <c r="D151">
        <v>0.35149999999999998</v>
      </c>
      <c r="E151">
        <v>0.36880000000000002</v>
      </c>
      <c r="F151">
        <v>151477134.80000001</v>
      </c>
      <c r="G151">
        <v>0.36880000000000002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0.31060606060606172</v>
      </c>
      <c r="Q151">
        <f t="shared" ref="Q151" si="731">F151*P151</f>
        <v>47049716.112121381</v>
      </c>
      <c r="R151">
        <f t="shared" ref="R151" si="732">R152+Q151</f>
        <v>12452262494.747946</v>
      </c>
      <c r="S151">
        <f t="shared" ref="S151" si="733">R151/100000</f>
        <v>124522.62494747946</v>
      </c>
      <c r="T151">
        <f t="shared" ref="T151" si="734">S151/1000</f>
        <v>124.52262494747946</v>
      </c>
    </row>
    <row r="152" spans="1:20" x14ac:dyDescent="0.25">
      <c r="A152" s="5">
        <v>44441</v>
      </c>
      <c r="B152">
        <v>0.35339999999999999</v>
      </c>
      <c r="C152">
        <v>0.36759999999999998</v>
      </c>
      <c r="D152">
        <v>0.35160000000000002</v>
      </c>
      <c r="E152">
        <v>0.35899999999999999</v>
      </c>
      <c r="F152">
        <v>167410344.30000001</v>
      </c>
      <c r="G152">
        <v>0.35899999999999999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-7.5000000000002343E-2</v>
      </c>
      <c r="Q152">
        <f t="shared" ref="Q152" si="736">F152*P152</f>
        <v>-12555775.822500393</v>
      </c>
      <c r="R152">
        <f t="shared" ref="R152" si="737">R153+Q152</f>
        <v>12405212778.635824</v>
      </c>
      <c r="S152">
        <f t="shared" ref="S152" si="738">R152/100000</f>
        <v>124052.12778635824</v>
      </c>
      <c r="T152">
        <f t="shared" ref="T152" si="739">S152/1000</f>
        <v>124.05212778635824</v>
      </c>
    </row>
    <row r="153" spans="1:20" x14ac:dyDescent="0.25">
      <c r="A153" s="5">
        <v>44440</v>
      </c>
      <c r="B153">
        <v>0.33929999999999999</v>
      </c>
      <c r="C153">
        <v>0.35620000000000002</v>
      </c>
      <c r="D153">
        <v>0.33560000000000001</v>
      </c>
      <c r="E153">
        <v>0.35339999999999999</v>
      </c>
      <c r="F153">
        <v>138344506</v>
      </c>
      <c r="G153">
        <v>0.35339999999999999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0.72815533980582292</v>
      </c>
      <c r="Q153">
        <f t="shared" ref="Q153" si="741">F153*P153</f>
        <v>100736290.77669871</v>
      </c>
      <c r="R153">
        <f t="shared" ref="R153" si="742">R154+Q153</f>
        <v>12417768554.458324</v>
      </c>
      <c r="S153">
        <f t="shared" ref="S153" si="743">R153/100000</f>
        <v>124177.68554458325</v>
      </c>
      <c r="T153">
        <f t="shared" ref="T153" si="744">S153/1000</f>
        <v>124.17768554458324</v>
      </c>
    </row>
    <row r="154" spans="1:20" x14ac:dyDescent="0.25">
      <c r="A154" s="5">
        <v>44439</v>
      </c>
      <c r="B154">
        <v>0.32979999999999998</v>
      </c>
      <c r="C154">
        <v>0.35670000000000002</v>
      </c>
      <c r="D154">
        <v>0.32690000000000002</v>
      </c>
      <c r="E154">
        <v>0.33929999999999999</v>
      </c>
      <c r="F154">
        <v>151756135.19999999</v>
      </c>
      <c r="G154">
        <v>0.33929999999999999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-0.16778523489933092</v>
      </c>
      <c r="Q154">
        <f t="shared" ref="Q154" si="746">F154*P154</f>
        <v>-25462438.79194662</v>
      </c>
      <c r="R154">
        <f t="shared" ref="R154" si="747">R155+Q154</f>
        <v>12317032263.681625</v>
      </c>
      <c r="S154">
        <f t="shared" ref="S154" si="748">R154/100000</f>
        <v>123170.32263681626</v>
      </c>
      <c r="T154">
        <f t="shared" ref="T154" si="749">S154/1000</f>
        <v>123.17032263681625</v>
      </c>
    </row>
    <row r="155" spans="1:20" x14ac:dyDescent="0.25">
      <c r="A155" s="5">
        <v>44438</v>
      </c>
      <c r="B155">
        <v>0.34329999999999999</v>
      </c>
      <c r="C155">
        <v>0.34599999999999997</v>
      </c>
      <c r="D155">
        <v>0.32840000000000003</v>
      </c>
      <c r="E155">
        <v>0.3296</v>
      </c>
      <c r="F155">
        <v>102328555</v>
      </c>
      <c r="G155">
        <v>0.3296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-0.86363636363636564</v>
      </c>
      <c r="Q155">
        <f t="shared" ref="Q155" si="751">F155*P155</f>
        <v>-88374661.136363849</v>
      </c>
      <c r="R155">
        <f t="shared" ref="R155" si="752">R156+Q155</f>
        <v>12342494702.473572</v>
      </c>
      <c r="S155">
        <f t="shared" ref="S155" si="753">R155/100000</f>
        <v>123424.94702473572</v>
      </c>
      <c r="T155">
        <f t="shared" ref="T155" si="754">S155/1000</f>
        <v>123.42494702473573</v>
      </c>
    </row>
    <row r="156" spans="1:20" x14ac:dyDescent="0.25">
      <c r="A156" s="5">
        <v>44437</v>
      </c>
      <c r="B156">
        <v>0.34760000000000002</v>
      </c>
      <c r="C156">
        <v>0.35360000000000003</v>
      </c>
      <c r="D156">
        <v>0.34060000000000001</v>
      </c>
      <c r="E156">
        <v>0.34310000000000002</v>
      </c>
      <c r="F156">
        <v>82851103</v>
      </c>
      <c r="G156">
        <v>0.34310000000000002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-0.61538461538461542</v>
      </c>
      <c r="Q156">
        <f t="shared" ref="Q156" si="756">F156*P156</f>
        <v>-50985294.15384616</v>
      </c>
      <c r="R156">
        <f t="shared" ref="R156" si="757">R157+Q156</f>
        <v>12430869363.609936</v>
      </c>
      <c r="S156">
        <f t="shared" ref="S156" si="758">R156/100000</f>
        <v>124308.69363609936</v>
      </c>
      <c r="T156">
        <f t="shared" ref="T156" si="759">S156/1000</f>
        <v>124.30869363609936</v>
      </c>
    </row>
    <row r="157" spans="1:20" x14ac:dyDescent="0.25">
      <c r="A157" s="5">
        <v>44436</v>
      </c>
      <c r="B157">
        <v>0.35709999999999997</v>
      </c>
      <c r="C157">
        <v>0.36</v>
      </c>
      <c r="D157">
        <v>0.34179999999999999</v>
      </c>
      <c r="E157">
        <v>0.34760000000000002</v>
      </c>
      <c r="F157">
        <v>80449932.200000003</v>
      </c>
      <c r="G157">
        <v>0.34760000000000002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-0.36263736263735941</v>
      </c>
      <c r="Q157">
        <f t="shared" ref="Q157" si="761">F157*P157</f>
        <v>-29174151.237362377</v>
      </c>
      <c r="R157">
        <f t="shared" ref="R157" si="762">R158+Q157</f>
        <v>12481854657.763783</v>
      </c>
      <c r="S157">
        <f t="shared" ref="S157" si="763">R157/100000</f>
        <v>124818.54657763783</v>
      </c>
      <c r="T157">
        <f t="shared" ref="T157" si="764">S157/1000</f>
        <v>124.81854657763783</v>
      </c>
    </row>
    <row r="158" spans="1:20" x14ac:dyDescent="0.25">
      <c r="A158" s="5">
        <v>44435</v>
      </c>
      <c r="B158">
        <v>0.33489999999999998</v>
      </c>
      <c r="C158">
        <v>0.35758000000000001</v>
      </c>
      <c r="D158">
        <v>0.32819999999999999</v>
      </c>
      <c r="E158">
        <v>0.35709999999999997</v>
      </c>
      <c r="F158">
        <v>111082499.90000001</v>
      </c>
      <c r="G158">
        <v>0.35709999999999997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0.96732471068754011</v>
      </c>
      <c r="Q158">
        <f t="shared" ref="Q158" si="766">F158*P158</f>
        <v>107452847.07821621</v>
      </c>
      <c r="R158">
        <f t="shared" ref="R158" si="767">R159+Q158</f>
        <v>12511028809.001144</v>
      </c>
      <c r="S158">
        <f t="shared" ref="S158" si="768">R158/100000</f>
        <v>125110.28809001144</v>
      </c>
      <c r="T158">
        <f t="shared" ref="T158" si="769">S158/1000</f>
        <v>125.11028809001144</v>
      </c>
    </row>
    <row r="159" spans="1:20" x14ac:dyDescent="0.25">
      <c r="A159" s="5">
        <v>44434</v>
      </c>
      <c r="B159">
        <v>0.35892000000000002</v>
      </c>
      <c r="C159">
        <v>0.36351</v>
      </c>
      <c r="D159">
        <v>0.3306</v>
      </c>
      <c r="E159">
        <v>0.33479999999999999</v>
      </c>
      <c r="F159">
        <v>97620419.400000006</v>
      </c>
      <c r="G159">
        <v>0.33479999999999999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-0.74475843208751247</v>
      </c>
      <c r="Q159">
        <f t="shared" ref="Q159" si="771">F159*P159</f>
        <v>-72703630.492069393</v>
      </c>
      <c r="R159">
        <f t="shared" ref="R159" si="772">R160+Q159</f>
        <v>12403575961.922928</v>
      </c>
      <c r="S159">
        <f t="shared" ref="S159" si="773">R159/100000</f>
        <v>124035.75961922928</v>
      </c>
      <c r="T159">
        <f t="shared" ref="T159" si="774">S159/1000</f>
        <v>124.03575961922928</v>
      </c>
    </row>
    <row r="160" spans="1:20" x14ac:dyDescent="0.25">
      <c r="A160" s="5">
        <v>44433</v>
      </c>
      <c r="B160">
        <v>0.35027000000000003</v>
      </c>
      <c r="C160">
        <v>0.35977999999999999</v>
      </c>
      <c r="D160">
        <v>0.34144999999999998</v>
      </c>
      <c r="E160">
        <v>0.35893999999999998</v>
      </c>
      <c r="F160">
        <v>125495100.8</v>
      </c>
      <c r="G160">
        <v>0.35893999999999998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0.90834697217675864</v>
      </c>
      <c r="Q160">
        <f t="shared" ref="Q160" si="776">F160*P160</f>
        <v>113993094.83469711</v>
      </c>
      <c r="R160">
        <f t="shared" ref="R160" si="777">R161+Q160</f>
        <v>12476279592.414997</v>
      </c>
      <c r="S160">
        <f t="shared" ref="S160" si="778">R160/100000</f>
        <v>124762.79592414998</v>
      </c>
      <c r="T160">
        <f t="shared" ref="T160" si="779">S160/1000</f>
        <v>124.76279592414998</v>
      </c>
    </row>
    <row r="161" spans="1:20" x14ac:dyDescent="0.25">
      <c r="A161" s="5">
        <v>44432</v>
      </c>
      <c r="B161">
        <v>0.37872</v>
      </c>
      <c r="C161">
        <v>0.38052999999999998</v>
      </c>
      <c r="D161">
        <v>0.34984999999999999</v>
      </c>
      <c r="E161">
        <v>0.35037000000000001</v>
      </c>
      <c r="F161">
        <v>132457431</v>
      </c>
      <c r="G161">
        <v>0.35037000000000001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-0.96610169491525288</v>
      </c>
      <c r="Q161">
        <f t="shared" ref="Q161" si="781">F161*P161</f>
        <v>-127967348.59322016</v>
      </c>
      <c r="R161">
        <f t="shared" ref="R161" si="782">R162+Q161</f>
        <v>12362286497.580299</v>
      </c>
      <c r="S161">
        <f t="shared" ref="S161" si="783">R161/100000</f>
        <v>123622.86497580299</v>
      </c>
      <c r="T161">
        <f t="shared" ref="T161" si="784">S161/1000</f>
        <v>123.622864975803</v>
      </c>
    </row>
    <row r="162" spans="1:20" x14ac:dyDescent="0.25">
      <c r="A162" s="5">
        <v>44431</v>
      </c>
      <c r="B162">
        <v>0.37232999999999999</v>
      </c>
      <c r="C162">
        <v>0.38784999999999997</v>
      </c>
      <c r="D162">
        <v>0.37008000000000002</v>
      </c>
      <c r="E162">
        <v>0.37873000000000001</v>
      </c>
      <c r="F162">
        <v>176882710.40000001</v>
      </c>
      <c r="G162">
        <v>0.37873000000000001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-2.6449071468765992E-2</v>
      </c>
      <c r="Q162">
        <f t="shared" ref="Q162" si="786">F162*P162</f>
        <v>-4678383.4489586381</v>
      </c>
      <c r="R162">
        <f t="shared" ref="R162" si="787">R163+Q162</f>
        <v>12490253846.173519</v>
      </c>
      <c r="S162">
        <f t="shared" ref="S162" si="788">R162/100000</f>
        <v>124902.5384617352</v>
      </c>
      <c r="T162">
        <f t="shared" ref="T162" si="789">S162/1000</f>
        <v>124.90253846173519</v>
      </c>
    </row>
    <row r="163" spans="1:20" x14ac:dyDescent="0.25">
      <c r="A163" s="5">
        <v>44430</v>
      </c>
      <c r="B163">
        <v>0.37141000000000002</v>
      </c>
      <c r="C163">
        <v>0.37563999999999997</v>
      </c>
      <c r="D163">
        <v>0.36815999999999999</v>
      </c>
      <c r="E163">
        <v>0.37514999999999998</v>
      </c>
      <c r="F163">
        <v>18096367.800000001</v>
      </c>
      <c r="G163">
        <v>0.37514999999999998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0.8689839572192537</v>
      </c>
      <c r="Q163">
        <f t="shared" ref="Q163" si="791">F163*P163</f>
        <v>15725453.302139081</v>
      </c>
      <c r="R163">
        <f t="shared" ref="R163" si="792">R164+Q163</f>
        <v>12494932229.622478</v>
      </c>
      <c r="S163">
        <f t="shared" ref="S163" si="793">R163/100000</f>
        <v>124949.32229622478</v>
      </c>
      <c r="T163">
        <f t="shared" ref="T163" si="794">S163/1000</f>
        <v>124.94932229622478</v>
      </c>
    </row>
    <row r="164" spans="1:20" x14ac:dyDescent="0.25">
      <c r="A164" s="5">
        <v>44429</v>
      </c>
      <c r="B164">
        <v>0.38489000000000001</v>
      </c>
      <c r="C164">
        <v>0.38494</v>
      </c>
      <c r="D164">
        <v>0.36696000000000001</v>
      </c>
      <c r="E164">
        <v>0.37167</v>
      </c>
      <c r="F164">
        <v>109922274.90000001</v>
      </c>
      <c r="G164">
        <v>0.37167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-0.47608453837597409</v>
      </c>
      <c r="Q164">
        <f t="shared" ref="Q164" si="796">F164*P164</f>
        <v>-52332295.503003426</v>
      </c>
      <c r="R164">
        <f t="shared" ref="R164" si="797">R165+Q164</f>
        <v>12479206776.320339</v>
      </c>
      <c r="S164">
        <f t="shared" ref="S164" si="798">R164/100000</f>
        <v>124792.06776320339</v>
      </c>
      <c r="T164">
        <f t="shared" ref="T164" si="799">S164/1000</f>
        <v>124.79206776320339</v>
      </c>
    </row>
    <row r="165" spans="1:20" x14ac:dyDescent="0.25">
      <c r="A165" s="5">
        <v>44428</v>
      </c>
      <c r="B165">
        <v>0.36718000000000001</v>
      </c>
      <c r="C165">
        <v>0.38795000000000002</v>
      </c>
      <c r="D165">
        <v>0.36</v>
      </c>
      <c r="E165">
        <v>0.38489000000000001</v>
      </c>
      <c r="F165">
        <v>171065480.5</v>
      </c>
      <c r="G165">
        <v>0.38489000000000001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0.78103756708407845</v>
      </c>
      <c r="Q165">
        <f t="shared" ref="Q165" si="801">F165*P165</f>
        <v>133608566.70178886</v>
      </c>
      <c r="R165">
        <f t="shared" ref="R165" si="802">R166+Q165</f>
        <v>12531539071.823343</v>
      </c>
      <c r="S165">
        <f t="shared" ref="S165" si="803">R165/100000</f>
        <v>125315.39071823344</v>
      </c>
      <c r="T165">
        <f t="shared" ref="T165" si="804">S165/1000</f>
        <v>125.31539071823343</v>
      </c>
    </row>
    <row r="166" spans="1:20" x14ac:dyDescent="0.25">
      <c r="A166" s="5">
        <v>44427</v>
      </c>
      <c r="B166">
        <v>0.34159</v>
      </c>
      <c r="C166">
        <v>0.36863000000000001</v>
      </c>
      <c r="D166">
        <v>0.33123999999999998</v>
      </c>
      <c r="E166">
        <v>0.36731999999999998</v>
      </c>
      <c r="F166">
        <v>171627051.30000001</v>
      </c>
      <c r="G166">
        <v>0.36731999999999998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0.92992778817865562</v>
      </c>
      <c r="Q166">
        <f t="shared" ref="Q166" si="806">F166*P166</f>
        <v>159600764.20703366</v>
      </c>
      <c r="R166">
        <f t="shared" ref="R166" si="807">R167+Q166</f>
        <v>12397930505.121555</v>
      </c>
      <c r="S166">
        <f t="shared" ref="S166" si="808">R166/100000</f>
        <v>123979.30505121556</v>
      </c>
      <c r="T166">
        <f t="shared" ref="T166" si="809">S166/1000</f>
        <v>123.97930505121556</v>
      </c>
    </row>
    <row r="167" spans="1:20" x14ac:dyDescent="0.25">
      <c r="A167" s="5">
        <v>44426</v>
      </c>
      <c r="B167">
        <v>0.34098000000000001</v>
      </c>
      <c r="C167">
        <v>0.35949999999999999</v>
      </c>
      <c r="D167">
        <v>0.32363999999999998</v>
      </c>
      <c r="E167">
        <v>0.34150999999999998</v>
      </c>
      <c r="F167">
        <v>174032864.40000001</v>
      </c>
      <c r="G167">
        <v>0.34150999999999998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-3.3463469046293636E-3</v>
      </c>
      <c r="Q167">
        <f t="shared" ref="Q167" si="811">F167*P167</f>
        <v>-582374.3370887218</v>
      </c>
      <c r="R167">
        <f t="shared" ref="R167" si="812">R168+Q167</f>
        <v>12238329740.914522</v>
      </c>
      <c r="S167">
        <f t="shared" ref="S167" si="813">R167/100000</f>
        <v>122383.29740914522</v>
      </c>
      <c r="T167">
        <f t="shared" ref="T167" si="814">S167/1000</f>
        <v>122.38329740914521</v>
      </c>
    </row>
    <row r="168" spans="1:20" x14ac:dyDescent="0.25">
      <c r="A168" s="5">
        <v>44425</v>
      </c>
      <c r="B168">
        <v>0.37173</v>
      </c>
      <c r="C168">
        <v>0.38400000000000001</v>
      </c>
      <c r="D168">
        <v>0.33907999999999999</v>
      </c>
      <c r="E168">
        <v>0.3412</v>
      </c>
      <c r="F168">
        <v>196493345.40000001</v>
      </c>
      <c r="G168">
        <v>0.3412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-0.90560997328584103</v>
      </c>
      <c r="Q168">
        <f t="shared" ref="Q168" si="816">F168*P168</f>
        <v>-177946333.27853954</v>
      </c>
      <c r="R168">
        <f t="shared" ref="R168" si="817">R169+Q168</f>
        <v>12238912115.251612</v>
      </c>
      <c r="S168">
        <f t="shared" ref="S168" si="818">R168/100000</f>
        <v>122389.12115251612</v>
      </c>
      <c r="T168">
        <f t="shared" ref="T168" si="819">S168/1000</f>
        <v>122.38912115251613</v>
      </c>
    </row>
    <row r="169" spans="1:20" x14ac:dyDescent="0.25">
      <c r="A169" s="5">
        <v>44424</v>
      </c>
      <c r="B169">
        <v>0.39079000000000003</v>
      </c>
      <c r="C169">
        <v>0.41</v>
      </c>
      <c r="D169">
        <v>0.36828</v>
      </c>
      <c r="E169">
        <v>0.37128</v>
      </c>
      <c r="F169">
        <v>218172813.19999999</v>
      </c>
      <c r="G169">
        <v>0.37128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-0.85618408437200366</v>
      </c>
      <c r="Q169">
        <f t="shared" ref="Q169" si="821">F169*P169</f>
        <v>-186796090.30450618</v>
      </c>
      <c r="R169">
        <f t="shared" ref="R169" si="822">R170+Q169</f>
        <v>12416858448.530151</v>
      </c>
      <c r="S169">
        <f t="shared" ref="S169" si="823">R169/100000</f>
        <v>124168.58448530152</v>
      </c>
      <c r="T169">
        <f t="shared" ref="T169" si="824">S169/1000</f>
        <v>124.16858448530151</v>
      </c>
    </row>
    <row r="170" spans="1:20" x14ac:dyDescent="0.25">
      <c r="A170" s="5">
        <v>44423</v>
      </c>
      <c r="B170">
        <v>0.39467000000000002</v>
      </c>
      <c r="C170">
        <v>0.40337000000000001</v>
      </c>
      <c r="D170">
        <v>0.37</v>
      </c>
      <c r="E170">
        <v>0.39079000000000003</v>
      </c>
      <c r="F170">
        <v>240785288.80000001</v>
      </c>
      <c r="G170">
        <v>0.39079000000000003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0.24602936769553635</v>
      </c>
      <c r="Q170">
        <f t="shared" ref="Q170" si="826">F170*P170</f>
        <v>59240252.35385111</v>
      </c>
      <c r="R170">
        <f t="shared" ref="R170" si="827">R171+Q170</f>
        <v>12603654538.834658</v>
      </c>
      <c r="S170">
        <f t="shared" ref="S170" si="828">R170/100000</f>
        <v>126036.54538834658</v>
      </c>
      <c r="T170">
        <f t="shared" ref="T170" si="829">S170/1000</f>
        <v>126.03654538834658</v>
      </c>
    </row>
    <row r="171" spans="1:20" x14ac:dyDescent="0.25">
      <c r="A171" s="5">
        <v>44422</v>
      </c>
      <c r="B171">
        <v>0.35998999999999998</v>
      </c>
      <c r="C171">
        <v>0.39989000000000002</v>
      </c>
      <c r="D171">
        <v>0.35043999999999997</v>
      </c>
      <c r="E171">
        <v>0.39473999999999998</v>
      </c>
      <c r="F171">
        <v>303193415.19999999</v>
      </c>
      <c r="G171">
        <v>0.39473999999999998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0.79170879676440697</v>
      </c>
      <c r="Q171">
        <f t="shared" ref="Q171" si="831">F171*P171</f>
        <v>240040893.93488324</v>
      </c>
      <c r="R171">
        <f t="shared" ref="R171" si="832">R172+Q171</f>
        <v>12544414286.480806</v>
      </c>
      <c r="S171">
        <f t="shared" ref="S171" si="833">R171/100000</f>
        <v>125444.14286480806</v>
      </c>
      <c r="T171">
        <f t="shared" ref="T171" si="834">S171/1000</f>
        <v>125.44414286480806</v>
      </c>
    </row>
    <row r="172" spans="1:20" x14ac:dyDescent="0.25">
      <c r="A172" s="5">
        <v>44421</v>
      </c>
      <c r="B172">
        <v>0.32847999999999999</v>
      </c>
      <c r="C172">
        <v>0.36515999999999998</v>
      </c>
      <c r="D172">
        <v>0.32382</v>
      </c>
      <c r="E172">
        <v>0.35998999999999998</v>
      </c>
      <c r="F172">
        <v>189239430.5</v>
      </c>
      <c r="G172">
        <v>0.35998999999999998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0.7498790517658438</v>
      </c>
      <c r="Q172">
        <f t="shared" ref="Q172" si="836">F172*P172</f>
        <v>141906684.7000483</v>
      </c>
      <c r="R172">
        <f t="shared" ref="R172" si="837">R173+Q172</f>
        <v>12304373392.545923</v>
      </c>
      <c r="S172">
        <f t="shared" ref="S172" si="838">R172/100000</f>
        <v>123043.73392545924</v>
      </c>
      <c r="T172">
        <f t="shared" ref="T172" si="839">S172/1000</f>
        <v>123.04373392545924</v>
      </c>
    </row>
    <row r="173" spans="1:20" x14ac:dyDescent="0.25">
      <c r="A173" s="5">
        <v>44420</v>
      </c>
      <c r="B173">
        <v>0.33742</v>
      </c>
      <c r="C173">
        <v>0.35306999999999999</v>
      </c>
      <c r="D173">
        <v>0.31476999999999999</v>
      </c>
      <c r="E173">
        <v>0.32876</v>
      </c>
      <c r="F173">
        <v>223828838.59999999</v>
      </c>
      <c r="G173">
        <v>0.32876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-0.26945169712793721</v>
      </c>
      <c r="Q173">
        <f t="shared" ref="Q173" si="841">F173*P173</f>
        <v>-60311060.426945142</v>
      </c>
      <c r="R173">
        <f t="shared" ref="R173" si="842">R174+Q173</f>
        <v>12162466707.845875</v>
      </c>
      <c r="S173">
        <f t="shared" ref="S173" si="843">R173/100000</f>
        <v>121624.66707845875</v>
      </c>
      <c r="T173">
        <f t="shared" ref="T173" si="844">S173/1000</f>
        <v>121.62466707845874</v>
      </c>
    </row>
    <row r="174" spans="1:20" x14ac:dyDescent="0.25">
      <c r="A174" s="5">
        <v>44419</v>
      </c>
      <c r="B174">
        <v>0.31013000000000002</v>
      </c>
      <c r="C174">
        <v>0.35249999999999998</v>
      </c>
      <c r="D174">
        <v>0.30945</v>
      </c>
      <c r="E174">
        <v>0.33717999999999998</v>
      </c>
      <c r="F174">
        <v>268944325</v>
      </c>
      <c r="G174">
        <v>0.33717999999999998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0.28826945412311228</v>
      </c>
      <c r="Q174">
        <f t="shared" ref="Q174" si="846">F174*P174</f>
        <v>77528433.757258892</v>
      </c>
      <c r="R174">
        <f t="shared" ref="R174" si="847">R175+Q174</f>
        <v>12222777768.27282</v>
      </c>
      <c r="S174">
        <f t="shared" ref="S174" si="848">R174/100000</f>
        <v>122227.77768272819</v>
      </c>
      <c r="T174">
        <f t="shared" ref="T174" si="849">S174/1000</f>
        <v>122.22777768272819</v>
      </c>
    </row>
    <row r="175" spans="1:20" x14ac:dyDescent="0.25">
      <c r="A175" s="5">
        <v>44418</v>
      </c>
      <c r="B175">
        <v>0.29851</v>
      </c>
      <c r="C175">
        <v>0.315</v>
      </c>
      <c r="D175">
        <v>0.29514000000000001</v>
      </c>
      <c r="E175">
        <v>0.31019000000000002</v>
      </c>
      <c r="F175">
        <v>146497673.69999999</v>
      </c>
      <c r="G175">
        <v>0.31019000000000002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0.51560926485397951</v>
      </c>
      <c r="Q175">
        <f t="shared" ref="Q175" si="851">F175*P175</f>
        <v>75535557.839275166</v>
      </c>
      <c r="R175">
        <f t="shared" ref="R175" si="852">R176+Q175</f>
        <v>12145249334.51556</v>
      </c>
      <c r="S175">
        <f t="shared" ref="S175" si="853">R175/100000</f>
        <v>121452.4933451556</v>
      </c>
      <c r="T175">
        <f t="shared" ref="T175" si="854">S175/1000</f>
        <v>121.4524933451556</v>
      </c>
    </row>
    <row r="176" spans="1:20" x14ac:dyDescent="0.25">
      <c r="A176" s="5">
        <v>44417</v>
      </c>
      <c r="B176">
        <v>0.28697</v>
      </c>
      <c r="C176">
        <v>0.30569000000000002</v>
      </c>
      <c r="D176">
        <v>0.27953</v>
      </c>
      <c r="E176">
        <v>0.29859999999999998</v>
      </c>
      <c r="F176">
        <v>136544260.80000001</v>
      </c>
      <c r="G176">
        <v>0.29859999999999998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0.45795107033638865</v>
      </c>
      <c r="Q176">
        <f t="shared" ref="Q176" si="856">F176*P176</f>
        <v>62530590.381650999</v>
      </c>
      <c r="R176">
        <f t="shared" ref="R176" si="857">R177+Q176</f>
        <v>12069713776.676285</v>
      </c>
      <c r="S176">
        <f t="shared" ref="S176" si="858">R176/100000</f>
        <v>120697.13776676285</v>
      </c>
      <c r="T176">
        <f t="shared" ref="T176" si="859">S176/1000</f>
        <v>120.69713776676285</v>
      </c>
    </row>
    <row r="177" spans="1:20" x14ac:dyDescent="0.25">
      <c r="A177" s="5">
        <v>44416</v>
      </c>
      <c r="B177">
        <v>0.30740000000000001</v>
      </c>
      <c r="C177">
        <v>0.31364999999999998</v>
      </c>
      <c r="D177">
        <v>0.28552</v>
      </c>
      <c r="E177">
        <v>0.28716000000000003</v>
      </c>
      <c r="F177">
        <v>125887024</v>
      </c>
      <c r="G177">
        <v>0.28716000000000003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-0.88339850693209876</v>
      </c>
      <c r="Q177">
        <f t="shared" ref="Q177" si="861">F177*P177</f>
        <v>-111208409.04372528</v>
      </c>
      <c r="R177">
        <f t="shared" ref="R177" si="862">R178+Q177</f>
        <v>12007183186.294634</v>
      </c>
      <c r="S177">
        <f t="shared" ref="S177" si="863">R177/100000</f>
        <v>120071.83186294633</v>
      </c>
      <c r="T177">
        <f t="shared" ref="T177" si="864">S177/1000</f>
        <v>120.07183186294633</v>
      </c>
    </row>
    <row r="178" spans="1:20" x14ac:dyDescent="0.25">
      <c r="A178" s="5">
        <v>44415</v>
      </c>
      <c r="B178">
        <v>0.28531000000000001</v>
      </c>
      <c r="C178">
        <v>0.31180000000000002</v>
      </c>
      <c r="D178">
        <v>0.28169</v>
      </c>
      <c r="E178">
        <v>0.30745</v>
      </c>
      <c r="F178">
        <v>225435640.69999999</v>
      </c>
      <c r="G178">
        <v>0.30745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0.7110594486881423</v>
      </c>
      <c r="Q178">
        <f t="shared" ref="Q178" si="866">F178*P178</f>
        <v>160298142.39080012</v>
      </c>
      <c r="R178">
        <f t="shared" ref="R178" si="867">R179+Q178</f>
        <v>12118391595.33836</v>
      </c>
      <c r="S178">
        <f t="shared" ref="S178" si="868">R178/100000</f>
        <v>121183.91595338359</v>
      </c>
      <c r="T178">
        <f t="shared" ref="T178" si="869">S178/1000</f>
        <v>121.18391595338359</v>
      </c>
    </row>
    <row r="179" spans="1:20" x14ac:dyDescent="0.25">
      <c r="A179" s="5">
        <v>44414</v>
      </c>
      <c r="B179">
        <v>0.28022000000000002</v>
      </c>
      <c r="C179">
        <v>0.28620000000000001</v>
      </c>
      <c r="D179">
        <v>0.27429999999999999</v>
      </c>
      <c r="E179">
        <v>0.28532000000000002</v>
      </c>
      <c r="F179">
        <v>103157891.59999999</v>
      </c>
      <c r="G179">
        <v>0.28532000000000002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0.85210084033613609</v>
      </c>
      <c r="Q179">
        <f t="shared" ref="Q179" si="871">F179*P179</f>
        <v>87900926.119664028</v>
      </c>
      <c r="R179">
        <f t="shared" ref="R179" si="872">R180+Q179</f>
        <v>11958093452.947559</v>
      </c>
      <c r="S179">
        <f t="shared" ref="S179" si="873">R179/100000</f>
        <v>119580.93452947559</v>
      </c>
      <c r="T179">
        <f t="shared" ref="T179" si="874">S179/1000</f>
        <v>119.58093452947558</v>
      </c>
    </row>
    <row r="180" spans="1:20" x14ac:dyDescent="0.25">
      <c r="A180" s="5">
        <v>44413</v>
      </c>
      <c r="B180">
        <v>0.28055999999999998</v>
      </c>
      <c r="C180">
        <v>0.28253</v>
      </c>
      <c r="D180">
        <v>0.26515</v>
      </c>
      <c r="E180">
        <v>0.28022000000000002</v>
      </c>
      <c r="F180">
        <v>111613516.5</v>
      </c>
      <c r="G180">
        <v>0.28022000000000002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0.734177215189876</v>
      </c>
      <c r="Q180">
        <f t="shared" ref="Q180" si="876">F180*P180</f>
        <v>81944100.721519276</v>
      </c>
      <c r="R180">
        <f t="shared" ref="R180" si="877">R181+Q180</f>
        <v>11870192526.827896</v>
      </c>
      <c r="S180">
        <f t="shared" ref="S180" si="878">R180/100000</f>
        <v>118701.92526827897</v>
      </c>
      <c r="T180">
        <f t="shared" ref="T180" si="879">S180/1000</f>
        <v>118.70192526827897</v>
      </c>
    </row>
    <row r="181" spans="1:20" x14ac:dyDescent="0.25">
      <c r="A181" s="5">
        <v>44412</v>
      </c>
      <c r="B181">
        <v>0.27411000000000002</v>
      </c>
      <c r="C181">
        <v>0.28399999999999997</v>
      </c>
      <c r="D181">
        <v>0.26500000000000001</v>
      </c>
      <c r="E181">
        <v>0.28055999999999998</v>
      </c>
      <c r="F181">
        <v>91425680.799999997</v>
      </c>
      <c r="G181">
        <v>0.28055999999999998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0.63789473684210463</v>
      </c>
      <c r="Q181">
        <f t="shared" ref="Q181" si="881">F181*P181</f>
        <v>58319960.594526254</v>
      </c>
      <c r="R181">
        <f t="shared" ref="R181" si="882">R182+Q181</f>
        <v>11788248426.106377</v>
      </c>
      <c r="S181">
        <f t="shared" ref="S181" si="883">R181/100000</f>
        <v>117882.48426106377</v>
      </c>
      <c r="T181">
        <f t="shared" ref="T181" si="884">S181/1000</f>
        <v>117.88248426106377</v>
      </c>
    </row>
    <row r="182" spans="1:20" x14ac:dyDescent="0.25">
      <c r="A182" s="5">
        <v>44411</v>
      </c>
      <c r="B182">
        <v>0.27431</v>
      </c>
      <c r="C182">
        <v>0.27897</v>
      </c>
      <c r="D182">
        <v>0.26407000000000003</v>
      </c>
      <c r="E182">
        <v>0.27433000000000002</v>
      </c>
      <c r="F182">
        <v>88452222.799999997</v>
      </c>
      <c r="G182">
        <v>0.27433000000000002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0.37718120805369298</v>
      </c>
      <c r="Q182">
        <f t="shared" ref="Q182" si="886">F182*P182</f>
        <v>33362516.250738405</v>
      </c>
      <c r="R182">
        <f t="shared" ref="R182" si="887">R183+Q182</f>
        <v>11729928465.51185</v>
      </c>
      <c r="S182">
        <f t="shared" ref="S182" si="888">R182/100000</f>
        <v>117299.28465511851</v>
      </c>
      <c r="T182">
        <f t="shared" ref="T182" si="889">S182/1000</f>
        <v>117.29928465511851</v>
      </c>
    </row>
    <row r="183" spans="1:20" x14ac:dyDescent="0.25">
      <c r="A183" s="5">
        <v>44410</v>
      </c>
      <c r="B183">
        <v>0.27512999999999999</v>
      </c>
      <c r="C183">
        <v>0.28652</v>
      </c>
      <c r="D183">
        <v>0.26830999999999999</v>
      </c>
      <c r="E183">
        <v>0.27437</v>
      </c>
      <c r="F183">
        <v>136347246.90000001</v>
      </c>
      <c r="G183">
        <v>0.27437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-0.33443163097199247</v>
      </c>
      <c r="Q183">
        <f t="shared" ref="Q183" si="891">F183*P183</f>
        <v>-45598832.159307949</v>
      </c>
      <c r="R183">
        <f t="shared" ref="R183" si="892">R184+Q183</f>
        <v>11696565949.261112</v>
      </c>
      <c r="S183">
        <f t="shared" ref="S183" si="893">R183/100000</f>
        <v>116965.65949261113</v>
      </c>
      <c r="T183">
        <f t="shared" ref="T183" si="894">S183/1000</f>
        <v>116.96565949261112</v>
      </c>
    </row>
    <row r="184" spans="1:20" x14ac:dyDescent="0.25">
      <c r="A184" s="5">
        <v>44409</v>
      </c>
      <c r="B184">
        <v>0.28460999999999997</v>
      </c>
      <c r="C184">
        <v>0.30093999999999999</v>
      </c>
      <c r="D184">
        <v>0.27210000000000001</v>
      </c>
      <c r="E184">
        <v>0.27504000000000001</v>
      </c>
      <c r="F184">
        <v>160709772.69999999</v>
      </c>
      <c r="G184">
        <v>0.27504000000000001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-0.79611650485436891</v>
      </c>
      <c r="Q184">
        <f t="shared" ref="Q184" si="896">F184*P184</f>
        <v>-127943702.53786406</v>
      </c>
      <c r="R184">
        <f t="shared" ref="R184" si="897">R185+Q184</f>
        <v>11742164781.42042</v>
      </c>
      <c r="S184">
        <f t="shared" ref="S184" si="898">R184/100000</f>
        <v>117421.6478142042</v>
      </c>
      <c r="T184">
        <f t="shared" ref="T184" si="899">S184/1000</f>
        <v>117.42164781420421</v>
      </c>
    </row>
    <row r="185" spans="1:20" x14ac:dyDescent="0.25">
      <c r="A185" s="5">
        <v>44408</v>
      </c>
      <c r="B185">
        <v>0.27927999999999997</v>
      </c>
      <c r="C185">
        <v>0.28975000000000001</v>
      </c>
      <c r="D185">
        <v>0.27310000000000001</v>
      </c>
      <c r="E185">
        <v>0.28421999999999997</v>
      </c>
      <c r="F185">
        <v>124149775.2</v>
      </c>
      <c r="G185">
        <v>0.28421999999999997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0.33573573573573146</v>
      </c>
      <c r="Q185">
        <f t="shared" ref="Q185" si="901">F185*P185</f>
        <v>41681516.118197665</v>
      </c>
      <c r="R185">
        <f t="shared" ref="R185" si="902">R186+Q185</f>
        <v>11870108483.958284</v>
      </c>
      <c r="S185">
        <f t="shared" ref="S185" si="903">R185/100000</f>
        <v>118701.08483958285</v>
      </c>
      <c r="T185">
        <f t="shared" ref="T185" si="904">S185/1000</f>
        <v>118.70108483958285</v>
      </c>
    </row>
    <row r="186" spans="1:20" x14ac:dyDescent="0.25">
      <c r="A186" s="5">
        <v>44407</v>
      </c>
      <c r="B186">
        <v>0.27249000000000001</v>
      </c>
      <c r="C186">
        <v>0.28525</v>
      </c>
      <c r="D186">
        <v>0.26212999999999997</v>
      </c>
      <c r="E186">
        <v>0.27926000000000001</v>
      </c>
      <c r="F186">
        <v>130345495.8</v>
      </c>
      <c r="G186">
        <v>0.27926000000000001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0.48183391003460313</v>
      </c>
      <c r="Q186">
        <f t="shared" ref="Q186" si="906">F186*P186</f>
        <v>62804879.896712936</v>
      </c>
      <c r="R186">
        <f t="shared" ref="R186" si="907">R187+Q186</f>
        <v>11828426967.840086</v>
      </c>
      <c r="S186">
        <f t="shared" ref="S186" si="908">R186/100000</f>
        <v>118284.26967840086</v>
      </c>
      <c r="T186">
        <f t="shared" ref="T186" si="909">S186/1000</f>
        <v>118.28426967840086</v>
      </c>
    </row>
    <row r="187" spans="1:20" x14ac:dyDescent="0.25">
      <c r="A187" s="5">
        <v>44406</v>
      </c>
      <c r="B187">
        <v>0.27011000000000002</v>
      </c>
      <c r="C187">
        <v>0.27505000000000002</v>
      </c>
      <c r="D187">
        <v>0.26183000000000001</v>
      </c>
      <c r="E187">
        <v>0.27244000000000002</v>
      </c>
      <c r="F187">
        <v>86013641.799999997</v>
      </c>
      <c r="G187">
        <v>0.27244000000000002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0.60514372163388819</v>
      </c>
      <c r="Q187">
        <f t="shared" ref="Q187" si="911">F187*P187</f>
        <v>52050615.310136169</v>
      </c>
      <c r="R187">
        <f t="shared" ref="R187" si="912">R188+Q187</f>
        <v>11765622087.943373</v>
      </c>
      <c r="S187">
        <f t="shared" ref="S187" si="913">R187/100000</f>
        <v>117656.22087943372</v>
      </c>
      <c r="T187">
        <f t="shared" ref="T187" si="914">S187/1000</f>
        <v>117.65622087943372</v>
      </c>
    </row>
    <row r="188" spans="1:20" x14ac:dyDescent="0.25">
      <c r="A188" s="5">
        <v>44405</v>
      </c>
      <c r="B188">
        <v>0.26308999999999999</v>
      </c>
      <c r="C188">
        <v>0.28222999999999998</v>
      </c>
      <c r="D188">
        <v>0.25778000000000001</v>
      </c>
      <c r="E188">
        <v>0.27016000000000001</v>
      </c>
      <c r="F188">
        <v>170603185.59999999</v>
      </c>
      <c r="G188">
        <v>0.27016000000000001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1.2678936605318316E-2</v>
      </c>
      <c r="Q188">
        <f t="shared" ref="Q188" si="916">F188*P188</f>
        <v>2163066.9748877548</v>
      </c>
      <c r="R188">
        <f t="shared" ref="R188" si="917">R189+Q188</f>
        <v>11713571472.633236</v>
      </c>
      <c r="S188">
        <f t="shared" ref="S188" si="918">R188/100000</f>
        <v>117135.71472633236</v>
      </c>
      <c r="T188">
        <f t="shared" ref="T188" si="919">S188/1000</f>
        <v>117.13571472633235</v>
      </c>
    </row>
    <row r="189" spans="1:20" x14ac:dyDescent="0.25">
      <c r="A189" s="5">
        <v>44404</v>
      </c>
      <c r="B189">
        <v>0.26027</v>
      </c>
      <c r="C189">
        <v>0.27011000000000002</v>
      </c>
      <c r="D189">
        <v>0.25107000000000002</v>
      </c>
      <c r="E189">
        <v>0.26290000000000002</v>
      </c>
      <c r="F189">
        <v>112986769.5</v>
      </c>
      <c r="G189">
        <v>0.26290000000000002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0.24264705882353008</v>
      </c>
      <c r="Q189">
        <f t="shared" ref="Q189" si="921">F189*P189</f>
        <v>27415907.305147134</v>
      </c>
      <c r="R189">
        <f t="shared" ref="R189" si="922">R190+Q189</f>
        <v>11711408405.658348</v>
      </c>
      <c r="S189">
        <f t="shared" ref="S189" si="923">R189/100000</f>
        <v>117114.08405658348</v>
      </c>
      <c r="T189">
        <f t="shared" ref="T189" si="924">S189/1000</f>
        <v>117.11408405658348</v>
      </c>
    </row>
    <row r="190" spans="1:20" x14ac:dyDescent="0.25">
      <c r="A190" s="5">
        <v>44403</v>
      </c>
      <c r="B190">
        <v>0.26151999999999997</v>
      </c>
      <c r="C190">
        <v>0.28444000000000003</v>
      </c>
      <c r="D190">
        <v>0.25661</v>
      </c>
      <c r="E190">
        <v>0.26018999999999998</v>
      </c>
      <c r="F190">
        <v>192051102.40000001</v>
      </c>
      <c r="G190">
        <v>0.26018999999999998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-0.74272367948257501</v>
      </c>
      <c r="Q190">
        <f t="shared" ref="Q190" si="926">F190*P190</f>
        <v>-142640901.4232128</v>
      </c>
      <c r="R190">
        <f t="shared" ref="R190" si="927">R191+Q190</f>
        <v>11683992498.353201</v>
      </c>
      <c r="S190">
        <f t="shared" ref="S190" si="928">R190/100000</f>
        <v>116839.92498353201</v>
      </c>
      <c r="T190">
        <f t="shared" ref="T190" si="929">S190/1000</f>
        <v>116.83992498353201</v>
      </c>
    </row>
    <row r="191" spans="1:20" x14ac:dyDescent="0.25">
      <c r="A191" s="5">
        <v>44402</v>
      </c>
      <c r="B191">
        <v>0.26705000000000001</v>
      </c>
      <c r="C191">
        <v>0.26743</v>
      </c>
      <c r="D191">
        <v>0.25335000000000002</v>
      </c>
      <c r="E191">
        <v>0.26172000000000001</v>
      </c>
      <c r="F191">
        <v>73856592.400000006</v>
      </c>
      <c r="G191">
        <v>0.26172000000000001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0.1889204545454545</v>
      </c>
      <c r="Q191">
        <f t="shared" ref="Q191" si="931">F191*P191</f>
        <v>13953021.007386362</v>
      </c>
      <c r="R191">
        <f t="shared" ref="R191" si="932">R192+Q191</f>
        <v>11826633399.776413</v>
      </c>
      <c r="S191">
        <f t="shared" ref="S191" si="933">R191/100000</f>
        <v>118266.33399776413</v>
      </c>
      <c r="T191">
        <f t="shared" ref="T191:T197" si="934">S191/1000</f>
        <v>118.26633399776414</v>
      </c>
    </row>
    <row r="192" spans="1:20" x14ac:dyDescent="0.25">
      <c r="A192" s="5">
        <v>44401</v>
      </c>
      <c r="B192">
        <v>0.26918999999999998</v>
      </c>
      <c r="C192">
        <v>0.27242</v>
      </c>
      <c r="D192">
        <v>0.26074000000000003</v>
      </c>
      <c r="E192">
        <v>0.26706000000000002</v>
      </c>
      <c r="F192">
        <v>108134457</v>
      </c>
      <c r="G192">
        <v>0.26706000000000002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8.2191780821919441E-2</v>
      </c>
      <c r="Q192">
        <f t="shared" ref="Q192" si="936">F192*P192</f>
        <v>8887763.5890412722</v>
      </c>
      <c r="R192">
        <f t="shared" ref="R192" si="937">R193+Q192</f>
        <v>11812680378.769026</v>
      </c>
      <c r="S192">
        <f t="shared" ref="S192" si="938">R192/100000</f>
        <v>118126.80378769025</v>
      </c>
      <c r="T192">
        <f t="shared" si="934"/>
        <v>118.12680378769025</v>
      </c>
    </row>
    <row r="193" spans="1:20" x14ac:dyDescent="0.25">
      <c r="A193" s="5">
        <v>44400</v>
      </c>
      <c r="B193">
        <v>0.26357999999999998</v>
      </c>
      <c r="C193">
        <v>0.27800000000000002</v>
      </c>
      <c r="D193">
        <v>0.24868000000000001</v>
      </c>
      <c r="E193">
        <v>0.26924999999999999</v>
      </c>
      <c r="F193">
        <v>262199843.90000001</v>
      </c>
      <c r="G193">
        <v>0.26924999999999999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0.40313778990449989</v>
      </c>
      <c r="Q193">
        <f t="shared" ref="Q193" si="940">F193*P193</f>
        <v>105702665.58315086</v>
      </c>
      <c r="R193">
        <f t="shared" ref="R193" si="941">R194+Q193</f>
        <v>11803792615.179985</v>
      </c>
      <c r="S193">
        <f t="shared" ref="S193" si="942">R193/100000</f>
        <v>118037.92615179985</v>
      </c>
      <c r="T193">
        <f t="shared" si="934"/>
        <v>118.03792615179985</v>
      </c>
    </row>
    <row r="194" spans="1:20" x14ac:dyDescent="0.25">
      <c r="A194" s="5">
        <v>44399</v>
      </c>
      <c r="B194">
        <v>0.2283</v>
      </c>
      <c r="C194">
        <v>0.26795000000000002</v>
      </c>
      <c r="D194">
        <v>0.22367999999999999</v>
      </c>
      <c r="E194">
        <v>0.26356000000000002</v>
      </c>
      <c r="F194">
        <v>340795940.80000001</v>
      </c>
      <c r="G194">
        <v>0.26356000000000002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0.80167156087643998</v>
      </c>
      <c r="Q194">
        <f t="shared" ref="Q194" si="944">F194*P194</f>
        <v>273206413.80149084</v>
      </c>
      <c r="R194">
        <f t="shared" ref="R194" si="945">R195+Q194</f>
        <v>11698089949.596834</v>
      </c>
      <c r="S194">
        <f t="shared" ref="S194" si="946">R194/100000</f>
        <v>116980.89949596835</v>
      </c>
      <c r="T194">
        <f t="shared" si="934"/>
        <v>116.98089949596834</v>
      </c>
    </row>
    <row r="195" spans="1:20" x14ac:dyDescent="0.25">
      <c r="A195" s="5">
        <v>44398</v>
      </c>
      <c r="B195">
        <v>0.21201999999999999</v>
      </c>
      <c r="C195">
        <v>0.22994999999999999</v>
      </c>
      <c r="D195">
        <v>0.20682</v>
      </c>
      <c r="E195">
        <v>0.22825000000000001</v>
      </c>
      <c r="F195">
        <v>130062872.09999999</v>
      </c>
      <c r="G195">
        <v>0.22825000000000001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0.85300475572849277</v>
      </c>
      <c r="Q195">
        <f t="shared" ref="Q195" si="948">F195*P195</f>
        <v>110944248.4450067</v>
      </c>
      <c r="R195">
        <f t="shared" ref="R195" si="949">R196+Q195</f>
        <v>11424883535.795343</v>
      </c>
      <c r="S195">
        <f t="shared" ref="S195" si="950">R195/100000</f>
        <v>114248.83535795343</v>
      </c>
      <c r="T195">
        <f t="shared" si="934"/>
        <v>114.24883535795342</v>
      </c>
    </row>
    <row r="196" spans="1:20" x14ac:dyDescent="0.25">
      <c r="A196" s="5">
        <v>44397</v>
      </c>
      <c r="B196">
        <v>0.21149000000000001</v>
      </c>
      <c r="C196">
        <v>0.21545</v>
      </c>
      <c r="D196">
        <v>0.19853000000000001</v>
      </c>
      <c r="E196">
        <v>0.21192</v>
      </c>
      <c r="F196">
        <v>145135518.69999999</v>
      </c>
      <c r="G196">
        <v>0.21192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0.5827423167848691</v>
      </c>
      <c r="Q196">
        <f t="shared" ref="Q196" si="952">F196*P196</f>
        <v>84576608.415011689</v>
      </c>
      <c r="R196">
        <f t="shared" ref="R196" si="953">R197+Q196</f>
        <v>11313939287.350336</v>
      </c>
      <c r="S196">
        <f t="shared" ref="S196" si="954">R196/100000</f>
        <v>113139.39287350336</v>
      </c>
      <c r="T196">
        <f t="shared" si="934"/>
        <v>113.13939287350335</v>
      </c>
    </row>
    <row r="197" spans="1:20" x14ac:dyDescent="0.25">
      <c r="A197" s="5">
        <v>44396</v>
      </c>
      <c r="B197">
        <v>0.2298</v>
      </c>
      <c r="C197">
        <v>0.23116</v>
      </c>
      <c r="D197">
        <v>0.2107</v>
      </c>
      <c r="E197">
        <v>0.21148</v>
      </c>
      <c r="F197">
        <v>88892811.299999997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-0.92375366568914929</v>
      </c>
      <c r="Q197">
        <f t="shared" ref="Q197" si="956">F197*P197</f>
        <v>-82115060.291788831</v>
      </c>
      <c r="R197">
        <f t="shared" ref="R197" si="957">R198+Q197</f>
        <v>11229362678.935324</v>
      </c>
      <c r="S197">
        <f t="shared" ref="S197" si="958">R197/100000</f>
        <v>112293.62678935323</v>
      </c>
      <c r="T197">
        <f t="shared" si="934"/>
        <v>112.29362678935324</v>
      </c>
    </row>
    <row r="198" spans="1:20" x14ac:dyDescent="0.25">
      <c r="A198" s="5">
        <v>44395</v>
      </c>
      <c r="B198">
        <v>0.23255999999999999</v>
      </c>
      <c r="C198">
        <v>0.24052000000000001</v>
      </c>
      <c r="D198">
        <v>0.22611999999999999</v>
      </c>
      <c r="E198">
        <v>0.22977</v>
      </c>
      <c r="F198">
        <v>82673817</v>
      </c>
      <c r="G198">
        <v>0</v>
      </c>
      <c r="L198" t="s">
        <v>7</v>
      </c>
      <c r="M198" t="s">
        <v>8</v>
      </c>
      <c r="N198" t="s">
        <v>8</v>
      </c>
      <c r="P198">
        <f t="shared" ref="P198:P261" si="959">IF(C198=D198,0,((E198-D198)-(C198-E198))/(C198-D198))</f>
        <v>-0.49305555555555441</v>
      </c>
      <c r="Q198">
        <f t="shared" ref="Q198:Q261" si="960">F198*P198</f>
        <v>-40762784.770833239</v>
      </c>
      <c r="R198">
        <f t="shared" ref="R198:R261" si="961">R199+Q198</f>
        <v>11311477739.227112</v>
      </c>
      <c r="S198">
        <f t="shared" ref="S198:S261" si="962">R198/100000</f>
        <v>113114.77739227112</v>
      </c>
      <c r="T198">
        <f t="shared" ref="T198:T261" si="963">S198/1000</f>
        <v>113.11477739227112</v>
      </c>
    </row>
    <row r="199" spans="1:20" x14ac:dyDescent="0.25">
      <c r="A199" s="5">
        <v>44394</v>
      </c>
      <c r="B199">
        <v>0.23529</v>
      </c>
      <c r="C199">
        <v>0.23854</v>
      </c>
      <c r="D199">
        <v>0.22742999999999999</v>
      </c>
      <c r="E199">
        <v>0.2326</v>
      </c>
      <c r="F199">
        <v>106689058.3</v>
      </c>
      <c r="G199">
        <v>0</v>
      </c>
      <c r="L199" t="s">
        <v>7</v>
      </c>
      <c r="M199" t="s">
        <v>8</v>
      </c>
      <c r="N199" t="s">
        <v>8</v>
      </c>
      <c r="P199">
        <f t="shared" si="959"/>
        <v>-6.9306930693068619E-2</v>
      </c>
      <c r="Q199">
        <f t="shared" si="960"/>
        <v>-7394291.1693068575</v>
      </c>
      <c r="R199">
        <f t="shared" si="961"/>
        <v>11352240523.997946</v>
      </c>
      <c r="S199">
        <f t="shared" si="962"/>
        <v>113522.40523997946</v>
      </c>
      <c r="T199">
        <f t="shared" si="963"/>
        <v>113.52240523997946</v>
      </c>
    </row>
    <row r="200" spans="1:20" x14ac:dyDescent="0.25">
      <c r="A200" s="5">
        <v>44393</v>
      </c>
      <c r="B200">
        <v>0.2409</v>
      </c>
      <c r="C200">
        <v>0.25800000000000001</v>
      </c>
      <c r="D200">
        <v>0.23300000000000001</v>
      </c>
      <c r="E200">
        <v>0.23513000000000001</v>
      </c>
      <c r="F200">
        <v>248451258.40000001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-0.82960000000000056</v>
      </c>
      <c r="Q200">
        <f t="shared" si="960"/>
        <v>-206115163.96864015</v>
      </c>
      <c r="R200">
        <f t="shared" si="961"/>
        <v>11359634815.167253</v>
      </c>
      <c r="S200">
        <f t="shared" si="962"/>
        <v>113596.34815167253</v>
      </c>
      <c r="T200">
        <f t="shared" si="963"/>
        <v>113.59634815167253</v>
      </c>
    </row>
    <row r="201" spans="1:20" x14ac:dyDescent="0.25">
      <c r="A201" s="5">
        <v>44392</v>
      </c>
      <c r="B201">
        <v>0.24</v>
      </c>
      <c r="C201">
        <v>0.24343000000000001</v>
      </c>
      <c r="D201">
        <v>0.22602</v>
      </c>
      <c r="E201">
        <v>0.24081</v>
      </c>
      <c r="F201">
        <v>112583379.40000001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0.69902354968408842</v>
      </c>
      <c r="Q201">
        <f t="shared" si="960"/>
        <v>78698433.503618479</v>
      </c>
      <c r="R201">
        <f t="shared" si="961"/>
        <v>11565749979.135893</v>
      </c>
      <c r="S201">
        <f t="shared" si="962"/>
        <v>115657.49979135893</v>
      </c>
      <c r="T201">
        <f t="shared" si="963"/>
        <v>115.65749979135893</v>
      </c>
    </row>
    <row r="202" spans="1:20" x14ac:dyDescent="0.25">
      <c r="A202" s="5">
        <v>44391</v>
      </c>
      <c r="B202">
        <v>0.23224</v>
      </c>
      <c r="C202">
        <v>0.24490999999999999</v>
      </c>
      <c r="D202">
        <v>0.21898000000000001</v>
      </c>
      <c r="E202">
        <v>0.23993999999999999</v>
      </c>
      <c r="F202">
        <v>121116707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0.616660239105283</v>
      </c>
      <c r="Q202">
        <f t="shared" si="960"/>
        <v>74687857.498264506</v>
      </c>
      <c r="R202">
        <f t="shared" si="961"/>
        <v>11487051545.632275</v>
      </c>
      <c r="S202">
        <f t="shared" si="962"/>
        <v>114870.51545632274</v>
      </c>
      <c r="T202">
        <f t="shared" si="963"/>
        <v>114.87051545632274</v>
      </c>
    </row>
    <row r="203" spans="1:20" x14ac:dyDescent="0.25">
      <c r="A203" s="5">
        <v>44390</v>
      </c>
      <c r="B203">
        <v>0.23834</v>
      </c>
      <c r="C203">
        <v>0.24232000000000001</v>
      </c>
      <c r="D203">
        <v>0.22703000000000001</v>
      </c>
      <c r="E203">
        <v>0.23222000000000001</v>
      </c>
      <c r="F203">
        <v>88258546.5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-0.32112491824722028</v>
      </c>
      <c r="Q203">
        <f t="shared" si="960"/>
        <v>-28342018.529430989</v>
      </c>
      <c r="R203">
        <f t="shared" si="961"/>
        <v>11412363688.13401</v>
      </c>
      <c r="S203">
        <f t="shared" si="962"/>
        <v>114123.63688134011</v>
      </c>
      <c r="T203">
        <f t="shared" si="963"/>
        <v>114.1236368813401</v>
      </c>
    </row>
    <row r="204" spans="1:20" x14ac:dyDescent="0.25">
      <c r="A204" s="5">
        <v>44389</v>
      </c>
      <c r="B204">
        <v>0.246</v>
      </c>
      <c r="C204">
        <v>0.25219000000000003</v>
      </c>
      <c r="D204">
        <v>0.23554</v>
      </c>
      <c r="E204">
        <v>0.23834</v>
      </c>
      <c r="F204">
        <v>81989539.299999997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-0.66366366366366458</v>
      </c>
      <c r="Q204">
        <f t="shared" si="960"/>
        <v>-54413478.033934005</v>
      </c>
      <c r="R204">
        <f t="shared" si="961"/>
        <v>11440705706.663441</v>
      </c>
      <c r="S204">
        <f t="shared" si="962"/>
        <v>114407.05706663441</v>
      </c>
      <c r="T204">
        <f t="shared" si="963"/>
        <v>114.40705706663441</v>
      </c>
    </row>
    <row r="205" spans="1:20" x14ac:dyDescent="0.25">
      <c r="A205" s="5">
        <v>44388</v>
      </c>
      <c r="B205">
        <v>0.24489</v>
      </c>
      <c r="C205">
        <v>0.24807999999999999</v>
      </c>
      <c r="D205">
        <v>0.24010999999999999</v>
      </c>
      <c r="E205">
        <v>0.24595</v>
      </c>
      <c r="F205">
        <v>56935693.5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0.46549560853199706</v>
      </c>
      <c r="Q205">
        <f t="shared" si="960"/>
        <v>26503315.292973768</v>
      </c>
      <c r="R205">
        <f t="shared" si="961"/>
        <v>11495119184.697374</v>
      </c>
      <c r="S205">
        <f t="shared" si="962"/>
        <v>114951.19184697374</v>
      </c>
      <c r="T205">
        <f t="shared" si="963"/>
        <v>114.95119184697374</v>
      </c>
    </row>
    <row r="206" spans="1:20" x14ac:dyDescent="0.25">
      <c r="A206" s="5">
        <v>44387</v>
      </c>
      <c r="B206">
        <v>0.24559</v>
      </c>
      <c r="C206">
        <v>0.25295000000000001</v>
      </c>
      <c r="D206">
        <v>0.23821000000000001</v>
      </c>
      <c r="E206">
        <v>0.24478</v>
      </c>
      <c r="F206">
        <v>67326821.299999997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-0.10854816824966199</v>
      </c>
      <c r="Q206">
        <f t="shared" si="960"/>
        <v>-7308203.1261873264</v>
      </c>
      <c r="R206">
        <f t="shared" si="961"/>
        <v>11468615869.4044</v>
      </c>
      <c r="S206">
        <f t="shared" si="962"/>
        <v>114686.158694044</v>
      </c>
      <c r="T206">
        <f t="shared" si="963"/>
        <v>114.686158694044</v>
      </c>
    </row>
    <row r="207" spans="1:20" x14ac:dyDescent="0.25">
      <c r="A207" s="5">
        <v>44386</v>
      </c>
      <c r="B207">
        <v>0.24290999999999999</v>
      </c>
      <c r="C207">
        <v>0.24937000000000001</v>
      </c>
      <c r="D207">
        <v>0.23241999999999999</v>
      </c>
      <c r="E207">
        <v>0.24565999999999999</v>
      </c>
      <c r="F207">
        <v>105063944.09999999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0.56224188790560303</v>
      </c>
      <c r="Q207">
        <f t="shared" si="960"/>
        <v>59071350.281592742</v>
      </c>
      <c r="R207">
        <f t="shared" si="961"/>
        <v>11475924072.530588</v>
      </c>
      <c r="S207">
        <f t="shared" si="962"/>
        <v>114759.24072530588</v>
      </c>
      <c r="T207">
        <f t="shared" si="963"/>
        <v>114.75924072530587</v>
      </c>
    </row>
    <row r="208" spans="1:20" x14ac:dyDescent="0.25">
      <c r="A208" s="5">
        <v>44385</v>
      </c>
      <c r="B208">
        <v>0.25655</v>
      </c>
      <c r="C208">
        <v>0.25775999999999999</v>
      </c>
      <c r="D208">
        <v>0.23888000000000001</v>
      </c>
      <c r="E208">
        <v>0.24285999999999999</v>
      </c>
      <c r="F208">
        <v>112961219.40000001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-0.57838983050847592</v>
      </c>
      <c r="Q208">
        <f t="shared" si="960"/>
        <v>-65335620.542796768</v>
      </c>
      <c r="R208">
        <f t="shared" si="961"/>
        <v>11416852722.248995</v>
      </c>
      <c r="S208">
        <f t="shared" si="962"/>
        <v>114168.52722248995</v>
      </c>
      <c r="T208">
        <f t="shared" si="963"/>
        <v>114.16852722248996</v>
      </c>
    </row>
    <row r="209" spans="1:20" x14ac:dyDescent="0.25">
      <c r="A209" s="5">
        <v>44384</v>
      </c>
      <c r="B209">
        <v>0.26036999999999999</v>
      </c>
      <c r="C209">
        <v>0.26571</v>
      </c>
      <c r="D209">
        <v>0.25557000000000002</v>
      </c>
      <c r="E209">
        <v>0.25641000000000003</v>
      </c>
      <c r="F209">
        <v>98688669.5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-0.8343195266272172</v>
      </c>
      <c r="Q209">
        <f t="shared" si="960"/>
        <v>-82337884.020709887</v>
      </c>
      <c r="R209">
        <f t="shared" si="961"/>
        <v>11482188342.791792</v>
      </c>
      <c r="S209">
        <f t="shared" si="962"/>
        <v>114821.88342791791</v>
      </c>
      <c r="T209">
        <f t="shared" si="963"/>
        <v>114.82188342791791</v>
      </c>
    </row>
    <row r="210" spans="1:20" x14ac:dyDescent="0.25">
      <c r="A210" s="5">
        <v>44383</v>
      </c>
      <c r="B210">
        <v>0.25348999999999999</v>
      </c>
      <c r="C210">
        <v>0.26784000000000002</v>
      </c>
      <c r="D210">
        <v>0.25224999999999997</v>
      </c>
      <c r="E210">
        <v>0.26042999999999999</v>
      </c>
      <c r="F210">
        <v>100162470.3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4.9390635022449683E-2</v>
      </c>
      <c r="Q210">
        <f t="shared" si="960"/>
        <v>4947088.0135342563</v>
      </c>
      <c r="R210">
        <f t="shared" si="961"/>
        <v>11564526226.812502</v>
      </c>
      <c r="S210">
        <f t="shared" si="962"/>
        <v>115645.26226812502</v>
      </c>
      <c r="T210">
        <f t="shared" si="963"/>
        <v>115.64526226812502</v>
      </c>
    </row>
    <row r="211" spans="1:20" x14ac:dyDescent="0.25">
      <c r="A211" s="5">
        <v>44382</v>
      </c>
      <c r="B211">
        <v>0.26794000000000001</v>
      </c>
      <c r="C211">
        <v>0.26794000000000001</v>
      </c>
      <c r="D211">
        <v>0.25042999999999999</v>
      </c>
      <c r="E211">
        <v>0.25325999999999999</v>
      </c>
      <c r="F211">
        <v>104916705.5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-0.67675613934894407</v>
      </c>
      <c r="Q211">
        <f t="shared" si="960"/>
        <v>-71003024.567390129</v>
      </c>
      <c r="R211">
        <f t="shared" si="961"/>
        <v>11559579138.798967</v>
      </c>
      <c r="S211">
        <f t="shared" si="962"/>
        <v>115595.79138798968</v>
      </c>
      <c r="T211">
        <f t="shared" si="963"/>
        <v>115.59579138798968</v>
      </c>
    </row>
    <row r="212" spans="1:20" x14ac:dyDescent="0.25">
      <c r="A212" s="5">
        <v>44381</v>
      </c>
      <c r="B212">
        <v>0.26382</v>
      </c>
      <c r="C212">
        <v>0.27234999999999998</v>
      </c>
      <c r="D212">
        <v>0.25856000000000001</v>
      </c>
      <c r="E212">
        <v>0.26813999999999999</v>
      </c>
      <c r="F212">
        <v>84602586.099999994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0.38941261783901365</v>
      </c>
      <c r="Q212">
        <f t="shared" si="960"/>
        <v>32945314.529151548</v>
      </c>
      <c r="R212">
        <f t="shared" si="961"/>
        <v>11630582163.366358</v>
      </c>
      <c r="S212">
        <f t="shared" si="962"/>
        <v>116305.82163366358</v>
      </c>
      <c r="T212">
        <f t="shared" si="963"/>
        <v>116.30582163366358</v>
      </c>
    </row>
    <row r="213" spans="1:20" x14ac:dyDescent="0.25">
      <c r="A213" s="5">
        <v>44380</v>
      </c>
      <c r="B213">
        <v>0.26295000000000002</v>
      </c>
      <c r="C213">
        <v>0.26999000000000001</v>
      </c>
      <c r="D213">
        <v>0.25891999999999998</v>
      </c>
      <c r="E213">
        <v>0.26394000000000001</v>
      </c>
      <c r="F213">
        <v>89230788.400000006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-9.3044263775968666E-2</v>
      </c>
      <c r="Q213">
        <f t="shared" si="960"/>
        <v>-8302413.0128272455</v>
      </c>
      <c r="R213">
        <f t="shared" si="961"/>
        <v>11597636848.837206</v>
      </c>
      <c r="S213">
        <f t="shared" si="962"/>
        <v>115976.36848837206</v>
      </c>
      <c r="T213">
        <f t="shared" si="963"/>
        <v>115.97636848837206</v>
      </c>
    </row>
    <row r="214" spans="1:20" x14ac:dyDescent="0.25">
      <c r="A214" s="5">
        <v>44379</v>
      </c>
      <c r="B214">
        <v>0.26869999999999999</v>
      </c>
      <c r="C214">
        <v>0.27339999999999998</v>
      </c>
      <c r="D214">
        <v>0.25223000000000001</v>
      </c>
      <c r="E214">
        <v>0.26286999999999999</v>
      </c>
      <c r="F214">
        <v>85674710.099999994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5.1960321209257986E-3</v>
      </c>
      <c r="Q214">
        <f t="shared" si="960"/>
        <v>445168.54563060589</v>
      </c>
      <c r="R214">
        <f t="shared" si="961"/>
        <v>11605939261.850033</v>
      </c>
      <c r="S214">
        <f t="shared" si="962"/>
        <v>116059.39261850032</v>
      </c>
      <c r="T214">
        <f t="shared" si="963"/>
        <v>116.05939261850033</v>
      </c>
    </row>
    <row r="215" spans="1:20" x14ac:dyDescent="0.25">
      <c r="A215" s="5">
        <v>44378</v>
      </c>
      <c r="B215">
        <v>0.28393000000000002</v>
      </c>
      <c r="C215">
        <v>0.28427999999999998</v>
      </c>
      <c r="D215">
        <v>0.25962000000000002</v>
      </c>
      <c r="E215">
        <v>0.26889999999999997</v>
      </c>
      <c r="F215">
        <v>106958778.5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-0.24736415247364396</v>
      </c>
      <c r="Q215">
        <f t="shared" si="960"/>
        <v>-26457767.593268711</v>
      </c>
      <c r="R215">
        <f t="shared" si="961"/>
        <v>11605494093.304401</v>
      </c>
      <c r="S215">
        <f t="shared" si="962"/>
        <v>116054.94093304401</v>
      </c>
      <c r="T215">
        <f t="shared" si="963"/>
        <v>116.05494093304401</v>
      </c>
    </row>
    <row r="216" spans="1:20" x14ac:dyDescent="0.25">
      <c r="A216" s="5">
        <v>44377</v>
      </c>
      <c r="B216">
        <v>0.28301999999999999</v>
      </c>
      <c r="C216">
        <v>0.28615000000000002</v>
      </c>
      <c r="D216">
        <v>0.26601000000000002</v>
      </c>
      <c r="E216">
        <v>0.28388999999999998</v>
      </c>
      <c r="F216">
        <v>126449804.59999999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0.77557100297914194</v>
      </c>
      <c r="Q216">
        <f t="shared" si="960"/>
        <v>98070801.780138507</v>
      </c>
      <c r="R216">
        <f t="shared" si="961"/>
        <v>11631951860.897671</v>
      </c>
      <c r="S216">
        <f t="shared" si="962"/>
        <v>116319.51860897671</v>
      </c>
      <c r="T216">
        <f t="shared" si="963"/>
        <v>116.31951860897671</v>
      </c>
    </row>
    <row r="217" spans="1:20" x14ac:dyDescent="0.25">
      <c r="A217" s="5">
        <v>44376</v>
      </c>
      <c r="B217">
        <v>0.26349</v>
      </c>
      <c r="C217">
        <v>0.29374</v>
      </c>
      <c r="D217">
        <v>0.26236999999999999</v>
      </c>
      <c r="E217">
        <v>0.28320000000000001</v>
      </c>
      <c r="F217">
        <v>160513261.69999999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0.3280204016576353</v>
      </c>
      <c r="Q217">
        <f t="shared" si="960"/>
        <v>52651624.574211121</v>
      </c>
      <c r="R217">
        <f t="shared" si="961"/>
        <v>11533881059.117533</v>
      </c>
      <c r="S217">
        <f t="shared" si="962"/>
        <v>115338.81059117532</v>
      </c>
      <c r="T217">
        <f t="shared" si="963"/>
        <v>115.33881059117532</v>
      </c>
    </row>
    <row r="218" spans="1:20" x14ac:dyDescent="0.25">
      <c r="A218" s="5">
        <v>44375</v>
      </c>
      <c r="B218">
        <v>0.25968999999999998</v>
      </c>
      <c r="C218">
        <v>0.26948</v>
      </c>
      <c r="D218">
        <v>0.25574999999999998</v>
      </c>
      <c r="E218">
        <v>0.26349</v>
      </c>
      <c r="F218">
        <v>118145051.40000001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0.12745812090313377</v>
      </c>
      <c r="Q218">
        <f t="shared" si="960"/>
        <v>15058546.245448155</v>
      </c>
      <c r="R218">
        <f t="shared" si="961"/>
        <v>11481229434.543322</v>
      </c>
      <c r="S218">
        <f t="shared" si="962"/>
        <v>114812.29434543321</v>
      </c>
      <c r="T218">
        <f t="shared" si="963"/>
        <v>114.81229434543322</v>
      </c>
    </row>
    <row r="219" spans="1:20" x14ac:dyDescent="0.25">
      <c r="A219" s="5">
        <v>44374</v>
      </c>
      <c r="B219">
        <v>0.24947</v>
      </c>
      <c r="C219">
        <v>0.25986999999999999</v>
      </c>
      <c r="D219">
        <v>0.23913999999999999</v>
      </c>
      <c r="E219">
        <v>0.25979000000000002</v>
      </c>
      <c r="F219">
        <v>135039946.19999999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0.99228171731789971</v>
      </c>
      <c r="Q219">
        <f t="shared" si="960"/>
        <v>133997669.72185278</v>
      </c>
      <c r="R219">
        <f t="shared" si="961"/>
        <v>11466170888.297873</v>
      </c>
      <c r="S219">
        <f t="shared" si="962"/>
        <v>114661.70888297872</v>
      </c>
      <c r="T219">
        <f t="shared" si="963"/>
        <v>114.66170888297873</v>
      </c>
    </row>
    <row r="220" spans="1:20" x14ac:dyDescent="0.25">
      <c r="A220" s="5">
        <v>44373</v>
      </c>
      <c r="B220">
        <v>0.24088999999999999</v>
      </c>
      <c r="C220">
        <v>0.24965999999999999</v>
      </c>
      <c r="D220">
        <v>0.22814999999999999</v>
      </c>
      <c r="E220">
        <v>0.24940000000000001</v>
      </c>
      <c r="F220">
        <v>120400311.40000001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0.9758251975825214</v>
      </c>
      <c r="Q220">
        <f t="shared" si="960"/>
        <v>117489657.66090211</v>
      </c>
      <c r="R220">
        <f t="shared" si="961"/>
        <v>11332173218.576019</v>
      </c>
      <c r="S220">
        <f t="shared" si="962"/>
        <v>113321.73218576019</v>
      </c>
      <c r="T220">
        <f t="shared" si="963"/>
        <v>113.3217321857602</v>
      </c>
    </row>
    <row r="221" spans="1:20" x14ac:dyDescent="0.25">
      <c r="A221" s="5">
        <v>44372</v>
      </c>
      <c r="B221">
        <v>0.26878000000000002</v>
      </c>
      <c r="C221">
        <v>0.27442</v>
      </c>
      <c r="D221">
        <v>0.24034</v>
      </c>
      <c r="E221">
        <v>0.24091000000000001</v>
      </c>
      <c r="F221">
        <v>162018488.30000001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-0.96654929577464699</v>
      </c>
      <c r="Q221">
        <f t="shared" si="960"/>
        <v>-156598855.7688379</v>
      </c>
      <c r="R221">
        <f t="shared" si="961"/>
        <v>11214683560.915117</v>
      </c>
      <c r="S221">
        <f t="shared" si="962"/>
        <v>112146.83560915117</v>
      </c>
      <c r="T221">
        <f t="shared" si="963"/>
        <v>112.14683560915117</v>
      </c>
    </row>
    <row r="222" spans="1:20" x14ac:dyDescent="0.25">
      <c r="A222" s="5">
        <v>44371</v>
      </c>
      <c r="B222">
        <v>0.25564999999999999</v>
      </c>
      <c r="C222">
        <v>0.27331</v>
      </c>
      <c r="D222">
        <v>0.24302000000000001</v>
      </c>
      <c r="E222">
        <v>0.26879999999999998</v>
      </c>
      <c r="F222">
        <v>143398015.90000001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0.70221195113898871</v>
      </c>
      <c r="Q222">
        <f t="shared" si="960"/>
        <v>100695800.53459872</v>
      </c>
      <c r="R222">
        <f t="shared" si="961"/>
        <v>11371282416.683954</v>
      </c>
      <c r="S222">
        <f t="shared" si="962"/>
        <v>113712.82416683955</v>
      </c>
      <c r="T222">
        <f t="shared" si="963"/>
        <v>113.71282416683955</v>
      </c>
    </row>
    <row r="223" spans="1:20" x14ac:dyDescent="0.25">
      <c r="A223" s="5">
        <v>44370</v>
      </c>
      <c r="B223">
        <v>0.23530999999999999</v>
      </c>
      <c r="C223">
        <v>0.27</v>
      </c>
      <c r="D223">
        <v>0.22433</v>
      </c>
      <c r="E223">
        <v>0.25546000000000002</v>
      </c>
      <c r="F223">
        <v>203372677.30000001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0.3632581563389537</v>
      </c>
      <c r="Q223">
        <f t="shared" si="960"/>
        <v>73876783.80571498</v>
      </c>
      <c r="R223">
        <f t="shared" si="961"/>
        <v>11270586616.149355</v>
      </c>
      <c r="S223">
        <f t="shared" si="962"/>
        <v>112705.86616149356</v>
      </c>
      <c r="T223">
        <f t="shared" si="963"/>
        <v>112.70586616149356</v>
      </c>
    </row>
    <row r="224" spans="1:20" x14ac:dyDescent="0.25">
      <c r="A224" s="5">
        <v>44369</v>
      </c>
      <c r="B224">
        <v>0.23599999999999999</v>
      </c>
      <c r="C224">
        <v>0.25913000000000003</v>
      </c>
      <c r="D224">
        <v>0.19877</v>
      </c>
      <c r="E224">
        <v>0.23502999999999999</v>
      </c>
      <c r="F224">
        <v>361659240.5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0.2014579191517552</v>
      </c>
      <c r="Q224">
        <f t="shared" si="960"/>
        <v>72859118.033134192</v>
      </c>
      <c r="R224">
        <f t="shared" si="961"/>
        <v>11196709832.343639</v>
      </c>
      <c r="S224">
        <f t="shared" si="962"/>
        <v>111967.0983234364</v>
      </c>
      <c r="T224">
        <f t="shared" si="963"/>
        <v>111.96709832343639</v>
      </c>
    </row>
    <row r="225" spans="1:20" x14ac:dyDescent="0.25">
      <c r="A225" s="5">
        <v>44368</v>
      </c>
      <c r="B225">
        <v>0.29737000000000002</v>
      </c>
      <c r="C225">
        <v>0.30249999999999999</v>
      </c>
      <c r="D225">
        <v>0.2351</v>
      </c>
      <c r="E225">
        <v>0.23580999999999999</v>
      </c>
      <c r="F225">
        <v>247331873.40000001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-0.97893175074184013</v>
      </c>
      <c r="Q225">
        <f t="shared" si="960"/>
        <v>-242121023.84172118</v>
      </c>
      <c r="R225">
        <f t="shared" si="961"/>
        <v>11123850714.310505</v>
      </c>
      <c r="S225">
        <f t="shared" si="962"/>
        <v>111238.50714310505</v>
      </c>
      <c r="T225">
        <f t="shared" si="963"/>
        <v>111.23850714310504</v>
      </c>
    </row>
    <row r="226" spans="1:20" x14ac:dyDescent="0.25">
      <c r="A226" s="5">
        <v>44367</v>
      </c>
      <c r="B226">
        <v>0.28860999999999998</v>
      </c>
      <c r="C226">
        <v>0.29925000000000002</v>
      </c>
      <c r="D226">
        <v>0.26928999999999997</v>
      </c>
      <c r="E226">
        <v>0.29738999999999999</v>
      </c>
      <c r="F226">
        <v>126135963.5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0.87583444592790216</v>
      </c>
      <c r="Q226">
        <f t="shared" si="960"/>
        <v>110474221.70360459</v>
      </c>
      <c r="R226">
        <f t="shared" si="961"/>
        <v>11365971738.152225</v>
      </c>
      <c r="S226">
        <f t="shared" si="962"/>
        <v>113659.71738152225</v>
      </c>
      <c r="T226">
        <f t="shared" si="963"/>
        <v>113.65971738152224</v>
      </c>
    </row>
    <row r="227" spans="1:20" x14ac:dyDescent="0.25">
      <c r="A227" s="5">
        <v>44366</v>
      </c>
      <c r="B227">
        <v>0.29726000000000002</v>
      </c>
      <c r="C227">
        <v>0.30659999999999998</v>
      </c>
      <c r="D227">
        <v>0.28853000000000001</v>
      </c>
      <c r="E227">
        <v>0.28853000000000001</v>
      </c>
      <c r="F227">
        <v>83955933.599999994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-1</v>
      </c>
      <c r="Q227">
        <f t="shared" si="960"/>
        <v>-83955933.599999994</v>
      </c>
      <c r="R227">
        <f t="shared" si="961"/>
        <v>11255497516.448622</v>
      </c>
      <c r="S227">
        <f t="shared" si="962"/>
        <v>112554.97516448621</v>
      </c>
      <c r="T227">
        <f t="shared" si="963"/>
        <v>112.55497516448621</v>
      </c>
    </row>
    <row r="228" spans="1:20" x14ac:dyDescent="0.25">
      <c r="A228" s="5">
        <v>44365</v>
      </c>
      <c r="B228">
        <v>0.31756000000000001</v>
      </c>
      <c r="C228">
        <v>0.31868000000000002</v>
      </c>
      <c r="D228">
        <v>0.28454000000000002</v>
      </c>
      <c r="E228">
        <v>0.29725000000000001</v>
      </c>
      <c r="F228">
        <v>150968056.90000001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-0.25541886350322218</v>
      </c>
      <c r="Q228">
        <f t="shared" si="960"/>
        <v>-38560089.518687785</v>
      </c>
      <c r="R228">
        <f t="shared" si="961"/>
        <v>11339453450.048622</v>
      </c>
      <c r="S228">
        <f t="shared" si="962"/>
        <v>113394.53450048622</v>
      </c>
      <c r="T228">
        <f t="shared" si="963"/>
        <v>113.39453450048622</v>
      </c>
    </row>
    <row r="229" spans="1:20" x14ac:dyDescent="0.25">
      <c r="A229" s="5">
        <v>44364</v>
      </c>
      <c r="B229">
        <v>0.31767000000000001</v>
      </c>
      <c r="C229">
        <v>0.33029999999999998</v>
      </c>
      <c r="D229">
        <v>0.31</v>
      </c>
      <c r="E229">
        <v>0.31751000000000001</v>
      </c>
      <c r="F229">
        <v>101043771.59999999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-0.26009852216748547</v>
      </c>
      <c r="Q229">
        <f t="shared" si="960"/>
        <v>-26281335.667388938</v>
      </c>
      <c r="R229">
        <f t="shared" si="961"/>
        <v>11378013539.56731</v>
      </c>
      <c r="S229">
        <f t="shared" si="962"/>
        <v>113780.1353956731</v>
      </c>
      <c r="T229">
        <f t="shared" si="963"/>
        <v>113.7801353956731</v>
      </c>
    </row>
    <row r="230" spans="1:20" x14ac:dyDescent="0.25">
      <c r="A230" s="5">
        <v>44363</v>
      </c>
      <c r="B230">
        <v>0.33352999999999999</v>
      </c>
      <c r="C230">
        <v>0.34200000000000003</v>
      </c>
      <c r="D230">
        <v>0.31474000000000002</v>
      </c>
      <c r="E230">
        <v>0.31766</v>
      </c>
      <c r="F230">
        <v>142476461.09999999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-0.78576669112252551</v>
      </c>
      <c r="Q230">
        <f t="shared" si="960"/>
        <v>-111953257.40139422</v>
      </c>
      <c r="R230">
        <f t="shared" si="961"/>
        <v>11404294875.234699</v>
      </c>
      <c r="S230">
        <f t="shared" si="962"/>
        <v>114042.94875234699</v>
      </c>
      <c r="T230">
        <f t="shared" si="963"/>
        <v>114.04294875234699</v>
      </c>
    </row>
    <row r="231" spans="1:20" x14ac:dyDescent="0.25">
      <c r="A231" s="5">
        <v>44362</v>
      </c>
      <c r="B231">
        <v>0.34300000000000003</v>
      </c>
      <c r="C231">
        <v>0.35199000000000003</v>
      </c>
      <c r="D231">
        <v>0.32967000000000002</v>
      </c>
      <c r="E231">
        <v>0.33351999999999998</v>
      </c>
      <c r="F231">
        <v>138913498.40000001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-0.65501792114695667</v>
      </c>
      <c r="Q231">
        <f t="shared" si="960"/>
        <v>-90990830.941219091</v>
      </c>
      <c r="R231">
        <f t="shared" si="961"/>
        <v>11516248132.636093</v>
      </c>
      <c r="S231">
        <f t="shared" si="962"/>
        <v>115162.48132636092</v>
      </c>
      <c r="T231">
        <f t="shared" si="963"/>
        <v>115.16248132636092</v>
      </c>
    </row>
    <row r="232" spans="1:20" x14ac:dyDescent="0.25">
      <c r="A232" s="5">
        <v>44361</v>
      </c>
      <c r="B232">
        <v>0.34486</v>
      </c>
      <c r="C232">
        <v>0.34989999999999999</v>
      </c>
      <c r="D232">
        <v>0.32700000000000001</v>
      </c>
      <c r="E232">
        <v>0.34300000000000003</v>
      </c>
      <c r="F232">
        <v>152209858.09999999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0.39737991266375816</v>
      </c>
      <c r="Q232">
        <f t="shared" si="960"/>
        <v>60485140.118341021</v>
      </c>
      <c r="R232">
        <f t="shared" si="961"/>
        <v>11607238963.577312</v>
      </c>
      <c r="S232">
        <f t="shared" si="962"/>
        <v>116072.38963577313</v>
      </c>
      <c r="T232">
        <f t="shared" si="963"/>
        <v>116.07238963577313</v>
      </c>
    </row>
    <row r="233" spans="1:20" x14ac:dyDescent="0.25">
      <c r="A233" s="5">
        <v>44360</v>
      </c>
      <c r="B233">
        <v>0.32791999999999999</v>
      </c>
      <c r="C233">
        <v>0.34854000000000002</v>
      </c>
      <c r="D233">
        <v>0.31091000000000002</v>
      </c>
      <c r="E233">
        <v>0.34486</v>
      </c>
      <c r="F233">
        <v>141947456.30000001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0.80441137390379924</v>
      </c>
      <c r="Q233">
        <f t="shared" si="960"/>
        <v>114184148.34443252</v>
      </c>
      <c r="R233">
        <f t="shared" si="961"/>
        <v>11546753823.458971</v>
      </c>
      <c r="S233">
        <f t="shared" si="962"/>
        <v>115467.53823458971</v>
      </c>
      <c r="T233">
        <f t="shared" si="963"/>
        <v>115.46753823458971</v>
      </c>
    </row>
    <row r="234" spans="1:20" x14ac:dyDescent="0.25">
      <c r="A234" s="5">
        <v>44359</v>
      </c>
      <c r="B234">
        <v>0.31811</v>
      </c>
      <c r="C234">
        <v>0.34399999999999997</v>
      </c>
      <c r="D234">
        <v>0.29932999999999998</v>
      </c>
      <c r="E234">
        <v>0.32784000000000002</v>
      </c>
      <c r="F234">
        <v>190275454.09999999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0.27647190508171227</v>
      </c>
      <c r="Q234">
        <f t="shared" si="960"/>
        <v>52605817.285314895</v>
      </c>
      <c r="R234">
        <f t="shared" si="961"/>
        <v>11432569675.114538</v>
      </c>
      <c r="S234">
        <f t="shared" si="962"/>
        <v>114325.69675114538</v>
      </c>
      <c r="T234">
        <f t="shared" si="963"/>
        <v>114.32569675114539</v>
      </c>
    </row>
    <row r="235" spans="1:20" x14ac:dyDescent="0.25">
      <c r="A235" s="5">
        <v>44358</v>
      </c>
      <c r="B235">
        <v>0.33883000000000002</v>
      </c>
      <c r="C235">
        <v>0.34282000000000001</v>
      </c>
      <c r="D235">
        <v>0.31394</v>
      </c>
      <c r="E235">
        <v>0.31816</v>
      </c>
      <c r="F235">
        <v>141793334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-0.70775623268698062</v>
      </c>
      <c r="Q235">
        <f t="shared" si="960"/>
        <v>-100355115.89196676</v>
      </c>
      <c r="R235">
        <f t="shared" si="961"/>
        <v>11379963857.829224</v>
      </c>
      <c r="S235">
        <f t="shared" si="962"/>
        <v>113799.63857829223</v>
      </c>
      <c r="T235">
        <f t="shared" si="963"/>
        <v>113.79963857829223</v>
      </c>
    </row>
    <row r="236" spans="1:20" x14ac:dyDescent="0.25">
      <c r="A236" s="5">
        <v>44357</v>
      </c>
      <c r="B236">
        <v>0.36513000000000001</v>
      </c>
      <c r="C236">
        <v>0.36717</v>
      </c>
      <c r="D236">
        <v>0.33101999999999998</v>
      </c>
      <c r="E236">
        <v>0.33887</v>
      </c>
      <c r="F236">
        <v>150510872.19999999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-0.56569847856154798</v>
      </c>
      <c r="Q236">
        <f t="shared" si="960"/>
        <v>-85143771.410511583</v>
      </c>
      <c r="R236">
        <f t="shared" si="961"/>
        <v>11480318973.721189</v>
      </c>
      <c r="S236">
        <f t="shared" si="962"/>
        <v>114803.1897372119</v>
      </c>
      <c r="T236">
        <f t="shared" si="963"/>
        <v>114.80318973721189</v>
      </c>
    </row>
    <row r="237" spans="1:20" x14ac:dyDescent="0.25">
      <c r="A237" s="5">
        <v>44356</v>
      </c>
      <c r="B237">
        <v>0.34922999999999998</v>
      </c>
      <c r="C237">
        <v>0.36542999999999998</v>
      </c>
      <c r="D237">
        <v>0.32438</v>
      </c>
      <c r="E237">
        <v>0.36501</v>
      </c>
      <c r="F237">
        <v>196490428.19999999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0.97953714981729711</v>
      </c>
      <c r="Q237">
        <f t="shared" si="960"/>
        <v>192469674.00540826</v>
      </c>
      <c r="R237">
        <f t="shared" si="961"/>
        <v>11565462745.131701</v>
      </c>
      <c r="S237">
        <f t="shared" si="962"/>
        <v>115654.62745131701</v>
      </c>
      <c r="T237">
        <f t="shared" si="963"/>
        <v>115.65462745131701</v>
      </c>
    </row>
    <row r="238" spans="1:20" x14ac:dyDescent="0.25">
      <c r="A238" s="5">
        <v>44355</v>
      </c>
      <c r="B238">
        <v>0.34654000000000001</v>
      </c>
      <c r="C238">
        <v>0.35676000000000002</v>
      </c>
      <c r="D238">
        <v>0.30952000000000002</v>
      </c>
      <c r="E238">
        <v>0.34927999999999998</v>
      </c>
      <c r="F238">
        <v>227386875.59999999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0.68331922099915154</v>
      </c>
      <c r="Q238">
        <f t="shared" si="960"/>
        <v>155377822.70042297</v>
      </c>
      <c r="R238">
        <f t="shared" si="961"/>
        <v>11372993071.126293</v>
      </c>
      <c r="S238">
        <f t="shared" si="962"/>
        <v>113729.93071126293</v>
      </c>
      <c r="T238">
        <f t="shared" si="963"/>
        <v>113.72993071126294</v>
      </c>
    </row>
    <row r="239" spans="1:20" x14ac:dyDescent="0.25">
      <c r="A239" s="5">
        <v>44354</v>
      </c>
      <c r="B239">
        <v>0.38046000000000002</v>
      </c>
      <c r="C239">
        <v>0.39166000000000001</v>
      </c>
      <c r="D239">
        <v>0.34229999999999999</v>
      </c>
      <c r="E239">
        <v>0.3463</v>
      </c>
      <c r="F239">
        <v>147880251.80000001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-0.83792544570502425</v>
      </c>
      <c r="Q239">
        <f t="shared" si="960"/>
        <v>-123912625.90048623</v>
      </c>
      <c r="R239">
        <f t="shared" si="961"/>
        <v>11217615248.425871</v>
      </c>
      <c r="S239">
        <f t="shared" si="962"/>
        <v>112176.15248425871</v>
      </c>
      <c r="T239">
        <f t="shared" si="963"/>
        <v>112.17615248425871</v>
      </c>
    </row>
    <row r="240" spans="1:20" x14ac:dyDescent="0.25">
      <c r="A240" s="5">
        <v>44353</v>
      </c>
      <c r="B240">
        <v>0.37480000000000002</v>
      </c>
      <c r="C240">
        <v>0.38850000000000001</v>
      </c>
      <c r="D240">
        <v>0.37136999999999998</v>
      </c>
      <c r="E240">
        <v>0.38052999999999998</v>
      </c>
      <c r="F240">
        <v>101616596.90000001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6.9468768242846854E-2</v>
      </c>
      <c r="Q240">
        <f t="shared" si="960"/>
        <v>7059179.8196728909</v>
      </c>
      <c r="R240">
        <f t="shared" si="961"/>
        <v>11341527874.326357</v>
      </c>
      <c r="S240">
        <f t="shared" si="962"/>
        <v>113415.27874326357</v>
      </c>
      <c r="T240">
        <f t="shared" si="963"/>
        <v>113.41527874326357</v>
      </c>
    </row>
    <row r="241" spans="1:20" x14ac:dyDescent="0.25">
      <c r="A241" s="5">
        <v>44352</v>
      </c>
      <c r="B241">
        <v>0.38450000000000001</v>
      </c>
      <c r="C241">
        <v>0.40575</v>
      </c>
      <c r="D241">
        <v>0.36298999999999998</v>
      </c>
      <c r="E241">
        <v>0.37487999999999999</v>
      </c>
      <c r="F241">
        <v>180484545.40000001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-0.44387277829747401</v>
      </c>
      <c r="Q241">
        <f t="shared" si="960"/>
        <v>-80112176.606454581</v>
      </c>
      <c r="R241">
        <f t="shared" si="961"/>
        <v>11334468694.506683</v>
      </c>
      <c r="S241">
        <f t="shared" si="962"/>
        <v>113344.68694506683</v>
      </c>
      <c r="T241">
        <f t="shared" si="963"/>
        <v>113.34468694506683</v>
      </c>
    </row>
    <row r="242" spans="1:20" x14ac:dyDescent="0.25">
      <c r="A242" s="5">
        <v>44351</v>
      </c>
      <c r="B242">
        <v>0.42548000000000002</v>
      </c>
      <c r="C242">
        <v>0.42548000000000002</v>
      </c>
      <c r="D242">
        <v>0.36915999999999999</v>
      </c>
      <c r="E242">
        <v>0.38450000000000001</v>
      </c>
      <c r="F242">
        <v>223812601.5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-0.45525568181818143</v>
      </c>
      <c r="Q242">
        <f t="shared" si="960"/>
        <v>-101891958.49538344</v>
      </c>
      <c r="R242">
        <f t="shared" si="961"/>
        <v>11414580871.113138</v>
      </c>
      <c r="S242">
        <f t="shared" si="962"/>
        <v>114145.80871113138</v>
      </c>
      <c r="T242">
        <f t="shared" si="963"/>
        <v>114.14580871113138</v>
      </c>
    </row>
    <row r="243" spans="1:20" x14ac:dyDescent="0.25">
      <c r="A243" s="5">
        <v>44350</v>
      </c>
      <c r="B243">
        <v>0.41875000000000001</v>
      </c>
      <c r="C243">
        <v>0.43414000000000003</v>
      </c>
      <c r="D243">
        <v>0.41241</v>
      </c>
      <c r="E243">
        <v>0.42530000000000001</v>
      </c>
      <c r="F243">
        <v>194089946.59999999</v>
      </c>
      <c r="G243">
        <v>0</v>
      </c>
      <c r="L243" t="s">
        <v>7</v>
      </c>
      <c r="M243" t="s">
        <v>8</v>
      </c>
      <c r="N243" t="s">
        <v>7</v>
      </c>
      <c r="P243">
        <f t="shared" si="959"/>
        <v>0.18637827887712807</v>
      </c>
      <c r="Q243">
        <f t="shared" si="960"/>
        <v>36174150.194661692</v>
      </c>
      <c r="R243">
        <f t="shared" si="961"/>
        <v>11516472829.608522</v>
      </c>
      <c r="S243">
        <f t="shared" si="962"/>
        <v>115164.72829608522</v>
      </c>
      <c r="T243">
        <f t="shared" si="963"/>
        <v>115.16472829608522</v>
      </c>
    </row>
    <row r="244" spans="1:20" x14ac:dyDescent="0.25">
      <c r="A244" s="5">
        <v>44349</v>
      </c>
      <c r="B244">
        <v>0.41872999999999999</v>
      </c>
      <c r="C244">
        <v>0.43547999999999998</v>
      </c>
      <c r="D244">
        <v>0.40538000000000002</v>
      </c>
      <c r="E244">
        <v>0.41880000000000001</v>
      </c>
      <c r="F244">
        <v>229354582.09999999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-0.10830564784053121</v>
      </c>
      <c r="Q244">
        <f t="shared" si="960"/>
        <v>-24840396.599534802</v>
      </c>
      <c r="R244">
        <f t="shared" si="961"/>
        <v>11480298679.41386</v>
      </c>
      <c r="S244">
        <f t="shared" si="962"/>
        <v>114802.9867941386</v>
      </c>
      <c r="T244">
        <f t="shared" si="963"/>
        <v>114.8029867941386</v>
      </c>
    </row>
    <row r="245" spans="1:20" x14ac:dyDescent="0.25">
      <c r="A245" s="5">
        <v>44348</v>
      </c>
      <c r="B245">
        <v>0.40266999999999997</v>
      </c>
      <c r="C245">
        <v>0.44994000000000001</v>
      </c>
      <c r="D245">
        <v>0.38368000000000002</v>
      </c>
      <c r="E245">
        <v>0.41864000000000001</v>
      </c>
      <c r="F245">
        <v>417356905.30000001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5.523694536673706E-2</v>
      </c>
      <c r="Q245">
        <f t="shared" si="960"/>
        <v>23053520.576486554</v>
      </c>
      <c r="R245">
        <f t="shared" si="961"/>
        <v>11505139076.013395</v>
      </c>
      <c r="S245">
        <f t="shared" si="962"/>
        <v>115051.39076013396</v>
      </c>
      <c r="T245">
        <f t="shared" si="963"/>
        <v>115.05139076013396</v>
      </c>
    </row>
    <row r="246" spans="1:20" x14ac:dyDescent="0.25">
      <c r="A246" s="5">
        <v>44347</v>
      </c>
      <c r="B246">
        <v>0.37441000000000002</v>
      </c>
      <c r="C246">
        <v>0.40971000000000002</v>
      </c>
      <c r="D246">
        <v>0.36509999999999998</v>
      </c>
      <c r="E246">
        <v>0.40243000000000001</v>
      </c>
      <c r="F246">
        <v>258272168.30000001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0.67361578121497412</v>
      </c>
      <c r="Q246">
        <f t="shared" si="960"/>
        <v>173976208.41548979</v>
      </c>
      <c r="R246">
        <f t="shared" si="961"/>
        <v>11482085555.436909</v>
      </c>
      <c r="S246">
        <f t="shared" si="962"/>
        <v>114820.85555436909</v>
      </c>
      <c r="T246">
        <f t="shared" si="963"/>
        <v>114.82085555436909</v>
      </c>
    </row>
    <row r="247" spans="1:20" x14ac:dyDescent="0.25">
      <c r="A247" s="5">
        <v>44346</v>
      </c>
      <c r="B247">
        <v>0.36726999999999999</v>
      </c>
      <c r="C247">
        <v>0.39888000000000001</v>
      </c>
      <c r="D247">
        <v>0.34503</v>
      </c>
      <c r="E247">
        <v>0.37465999999999999</v>
      </c>
      <c r="F247">
        <v>207728302.69999999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0.10046425255338848</v>
      </c>
      <c r="Q247">
        <f t="shared" si="960"/>
        <v>20869268.66493953</v>
      </c>
      <c r="R247">
        <f t="shared" si="961"/>
        <v>11308109347.02142</v>
      </c>
      <c r="S247">
        <f t="shared" si="962"/>
        <v>113081.0934702142</v>
      </c>
      <c r="T247">
        <f t="shared" si="963"/>
        <v>113.0810934702142</v>
      </c>
    </row>
    <row r="248" spans="1:20" x14ac:dyDescent="0.25">
      <c r="A248" s="5">
        <v>44345</v>
      </c>
      <c r="B248">
        <v>0.39918999999999999</v>
      </c>
      <c r="C248">
        <v>0.40997</v>
      </c>
      <c r="D248">
        <v>0.34349000000000002</v>
      </c>
      <c r="E248">
        <v>0.36728</v>
      </c>
      <c r="F248">
        <v>254464417.90000001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-0.28429602888086691</v>
      </c>
      <c r="Q248">
        <f t="shared" si="960"/>
        <v>-72343223.500451386</v>
      </c>
      <c r="R248">
        <f t="shared" si="961"/>
        <v>11287240078.35648</v>
      </c>
      <c r="S248">
        <f t="shared" si="962"/>
        <v>112872.40078356479</v>
      </c>
      <c r="T248">
        <f t="shared" si="963"/>
        <v>112.8724007835648</v>
      </c>
    </row>
    <row r="249" spans="1:20" x14ac:dyDescent="0.25">
      <c r="A249" s="5">
        <v>44344</v>
      </c>
      <c r="B249">
        <v>0.42060999999999998</v>
      </c>
      <c r="C249">
        <v>0.42599999999999999</v>
      </c>
      <c r="D249">
        <v>0.36408000000000001</v>
      </c>
      <c r="E249">
        <v>0.39933000000000002</v>
      </c>
      <c r="F249">
        <v>314680966.39999998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0.1385658914728688</v>
      </c>
      <c r="Q249">
        <f t="shared" si="960"/>
        <v>43604048.638759866</v>
      </c>
      <c r="R249">
        <f t="shared" si="961"/>
        <v>11359583301.856932</v>
      </c>
      <c r="S249">
        <f t="shared" si="962"/>
        <v>113595.83301856932</v>
      </c>
      <c r="T249">
        <f t="shared" si="963"/>
        <v>113.59583301856932</v>
      </c>
    </row>
    <row r="250" spans="1:20" x14ac:dyDescent="0.25">
      <c r="A250" s="5">
        <v>44343</v>
      </c>
      <c r="B250">
        <v>0.44367000000000001</v>
      </c>
      <c r="C250">
        <v>0.44700000000000001</v>
      </c>
      <c r="D250">
        <v>0.40888000000000002</v>
      </c>
      <c r="E250">
        <v>0.42058000000000001</v>
      </c>
      <c r="F250">
        <v>223059472.80000001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-0.38614900314795425</v>
      </c>
      <c r="Q250">
        <f t="shared" si="960"/>
        <v>-86134193.064428225</v>
      </c>
      <c r="R250">
        <f t="shared" si="961"/>
        <v>11315979253.218172</v>
      </c>
      <c r="S250">
        <f t="shared" si="962"/>
        <v>113159.79253218172</v>
      </c>
      <c r="T250">
        <f t="shared" si="963"/>
        <v>113.15979253218171</v>
      </c>
    </row>
    <row r="251" spans="1:20" x14ac:dyDescent="0.25">
      <c r="A251" s="5">
        <v>44342</v>
      </c>
      <c r="B251">
        <v>0.42910999999999999</v>
      </c>
      <c r="C251">
        <v>0.47</v>
      </c>
      <c r="D251">
        <v>0.42031000000000002</v>
      </c>
      <c r="E251">
        <v>0.44368000000000002</v>
      </c>
      <c r="F251">
        <v>334701996.89999998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-5.9368082109075369E-2</v>
      </c>
      <c r="Q251">
        <f t="shared" si="960"/>
        <v>-19870615.634030689</v>
      </c>
      <c r="R251">
        <f t="shared" si="961"/>
        <v>11402113446.2826</v>
      </c>
      <c r="S251">
        <f t="shared" si="962"/>
        <v>114021.134462826</v>
      </c>
      <c r="T251">
        <f t="shared" si="963"/>
        <v>114.021134462826</v>
      </c>
    </row>
    <row r="252" spans="1:20" x14ac:dyDescent="0.25">
      <c r="A252" s="5">
        <v>44341</v>
      </c>
      <c r="B252">
        <v>0.43928</v>
      </c>
      <c r="C252">
        <v>0.46</v>
      </c>
      <c r="D252">
        <v>0.40622000000000003</v>
      </c>
      <c r="E252">
        <v>0.42921999999999999</v>
      </c>
      <c r="F252">
        <v>396258266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-0.14466344365935413</v>
      </c>
      <c r="Q252">
        <f t="shared" si="960"/>
        <v>-57324085.33804436</v>
      </c>
      <c r="R252">
        <f t="shared" si="961"/>
        <v>11421984061.916632</v>
      </c>
      <c r="S252">
        <f t="shared" si="962"/>
        <v>114219.84061916632</v>
      </c>
      <c r="T252">
        <f t="shared" si="963"/>
        <v>114.21984061916632</v>
      </c>
    </row>
    <row r="253" spans="1:20" x14ac:dyDescent="0.25">
      <c r="A253" s="5">
        <v>44340</v>
      </c>
      <c r="B253">
        <v>0.36201</v>
      </c>
      <c r="C253">
        <v>0.45</v>
      </c>
      <c r="D253">
        <v>0.35874</v>
      </c>
      <c r="E253">
        <v>0.43963999999999998</v>
      </c>
      <c r="F253">
        <v>577274117.70000005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0.772956388341003</v>
      </c>
      <c r="Q253">
        <f t="shared" si="960"/>
        <v>446207717.10013109</v>
      </c>
      <c r="R253">
        <f t="shared" si="961"/>
        <v>11479308147.254677</v>
      </c>
      <c r="S253">
        <f t="shared" si="962"/>
        <v>114793.08147254676</v>
      </c>
      <c r="T253">
        <f t="shared" si="963"/>
        <v>114.79308147254676</v>
      </c>
    </row>
    <row r="254" spans="1:20" x14ac:dyDescent="0.25">
      <c r="A254" s="5">
        <v>44339</v>
      </c>
      <c r="B254">
        <v>0.38917000000000002</v>
      </c>
      <c r="C254">
        <v>0.40134999999999998</v>
      </c>
      <c r="D254">
        <v>0.27334999999999998</v>
      </c>
      <c r="E254">
        <v>0.36199999999999999</v>
      </c>
      <c r="F254">
        <v>535763670.60000002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0.38515625000000009</v>
      </c>
      <c r="Q254">
        <f t="shared" si="960"/>
        <v>206352726.25453129</v>
      </c>
      <c r="R254">
        <f t="shared" si="961"/>
        <v>11033100430.154545</v>
      </c>
      <c r="S254">
        <f t="shared" si="962"/>
        <v>110331.00430154544</v>
      </c>
      <c r="T254">
        <f t="shared" si="963"/>
        <v>110.33100430154545</v>
      </c>
    </row>
    <row r="255" spans="1:20" x14ac:dyDescent="0.25">
      <c r="A255" s="5">
        <v>44338</v>
      </c>
      <c r="B255">
        <v>0.41883999999999999</v>
      </c>
      <c r="C255">
        <v>0.42209000000000002</v>
      </c>
      <c r="D255">
        <v>0.36416999999999999</v>
      </c>
      <c r="E255">
        <v>0.38917000000000002</v>
      </c>
      <c r="F255">
        <v>329935744.89999998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-0.13674033149171233</v>
      </c>
      <c r="Q255">
        <f t="shared" si="960"/>
        <v>-45115523.128591031</v>
      </c>
      <c r="R255">
        <f t="shared" si="961"/>
        <v>10826747703.900013</v>
      </c>
      <c r="S255">
        <f t="shared" si="962"/>
        <v>108267.47703900014</v>
      </c>
      <c r="T255">
        <f t="shared" si="963"/>
        <v>108.26747703900014</v>
      </c>
    </row>
    <row r="256" spans="1:20" x14ac:dyDescent="0.25">
      <c r="A256" s="5">
        <v>44337</v>
      </c>
      <c r="B256">
        <v>0.49469999999999997</v>
      </c>
      <c r="C256">
        <v>0.51315</v>
      </c>
      <c r="D256">
        <v>0.37014000000000002</v>
      </c>
      <c r="E256">
        <v>0.41883999999999999</v>
      </c>
      <c r="F256">
        <v>402186161.19999999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-0.3189287462415219</v>
      </c>
      <c r="Q256">
        <f t="shared" si="960"/>
        <v>-128268728.14720662</v>
      </c>
      <c r="R256">
        <f t="shared" si="961"/>
        <v>10871863227.028605</v>
      </c>
      <c r="S256">
        <f t="shared" si="962"/>
        <v>108718.63227028605</v>
      </c>
      <c r="T256">
        <f t="shared" si="963"/>
        <v>108.71863227028605</v>
      </c>
    </row>
    <row r="257" spans="1:20" x14ac:dyDescent="0.25">
      <c r="A257" s="5">
        <v>44336</v>
      </c>
      <c r="B257">
        <v>0.44302000000000002</v>
      </c>
      <c r="C257">
        <v>0.53386</v>
      </c>
      <c r="D257">
        <v>0.39578000000000002</v>
      </c>
      <c r="E257">
        <v>0.49469000000000002</v>
      </c>
      <c r="F257">
        <v>522575719.60000002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0.43264774044032461</v>
      </c>
      <c r="Q257">
        <f t="shared" si="960"/>
        <v>226091204.29391667</v>
      </c>
      <c r="R257">
        <f t="shared" si="961"/>
        <v>11000131955.175812</v>
      </c>
      <c r="S257">
        <f t="shared" si="962"/>
        <v>110001.31955175812</v>
      </c>
      <c r="T257">
        <f t="shared" si="963"/>
        <v>110.00131955175812</v>
      </c>
    </row>
    <row r="258" spans="1:20" x14ac:dyDescent="0.25">
      <c r="A258" s="5">
        <v>44335</v>
      </c>
      <c r="B258">
        <v>0.64551000000000003</v>
      </c>
      <c r="C258">
        <v>0.65576000000000001</v>
      </c>
      <c r="D258">
        <v>0.28499999999999998</v>
      </c>
      <c r="E258">
        <v>0.44314999999999999</v>
      </c>
      <c r="F258">
        <v>1018636062.6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-0.14688747437695546</v>
      </c>
      <c r="Q258">
        <f t="shared" si="960"/>
        <v>-149624878.54460031</v>
      </c>
      <c r="R258">
        <f t="shared" si="961"/>
        <v>10774040750.881895</v>
      </c>
      <c r="S258">
        <f t="shared" si="962"/>
        <v>107740.40750881896</v>
      </c>
      <c r="T258">
        <f t="shared" si="963"/>
        <v>107.74040750881896</v>
      </c>
    </row>
    <row r="259" spans="1:20" x14ac:dyDescent="0.25">
      <c r="A259" s="5">
        <v>44334</v>
      </c>
      <c r="B259">
        <v>0.64305999999999996</v>
      </c>
      <c r="C259">
        <v>0.7</v>
      </c>
      <c r="D259">
        <v>0.62999000000000005</v>
      </c>
      <c r="E259">
        <v>0.64539999999999997</v>
      </c>
      <c r="F259">
        <v>432553040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-0.55977717468933164</v>
      </c>
      <c r="Q259">
        <f t="shared" si="960"/>
        <v>-242133318.63448146</v>
      </c>
      <c r="R259">
        <f t="shared" si="961"/>
        <v>10923665629.426495</v>
      </c>
      <c r="S259">
        <f t="shared" si="962"/>
        <v>109236.65629426495</v>
      </c>
      <c r="T259">
        <f t="shared" si="963"/>
        <v>109.23665629426495</v>
      </c>
    </row>
    <row r="260" spans="1:20" x14ac:dyDescent="0.25">
      <c r="A260" s="5">
        <v>44333</v>
      </c>
      <c r="B260">
        <v>0.71050999999999997</v>
      </c>
      <c r="C260">
        <v>0.71321000000000001</v>
      </c>
      <c r="D260">
        <v>0.61899000000000004</v>
      </c>
      <c r="E260">
        <v>0.64322999999999997</v>
      </c>
      <c r="F260">
        <v>574620997.20000005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-0.48545956272553736</v>
      </c>
      <c r="Q260">
        <f t="shared" si="960"/>
        <v>-278955258.03362423</v>
      </c>
      <c r="R260">
        <f t="shared" si="961"/>
        <v>11165798948.060976</v>
      </c>
      <c r="S260">
        <f t="shared" si="962"/>
        <v>111657.98948060976</v>
      </c>
      <c r="T260">
        <f t="shared" si="963"/>
        <v>111.65798948060976</v>
      </c>
    </row>
    <row r="261" spans="1:20" x14ac:dyDescent="0.25">
      <c r="A261" s="5">
        <v>44332</v>
      </c>
      <c r="B261">
        <v>0.68076999999999999</v>
      </c>
      <c r="C261">
        <v>0.79849999999999999</v>
      </c>
      <c r="D261">
        <v>0.66</v>
      </c>
      <c r="E261">
        <v>0.71026999999999996</v>
      </c>
      <c r="F261">
        <v>843950524.89999998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-0.2740794223826723</v>
      </c>
      <c r="Q261">
        <f t="shared" si="960"/>
        <v>-231309472.38414508</v>
      </c>
      <c r="R261">
        <f t="shared" si="961"/>
        <v>11444754206.094601</v>
      </c>
      <c r="S261">
        <f t="shared" si="962"/>
        <v>114447.54206094601</v>
      </c>
      <c r="T261">
        <f t="shared" si="963"/>
        <v>114.44754206094601</v>
      </c>
    </row>
    <row r="262" spans="1:20" x14ac:dyDescent="0.25">
      <c r="A262" s="5">
        <v>44331</v>
      </c>
      <c r="B262">
        <v>0.66942000000000002</v>
      </c>
      <c r="C262">
        <v>0.74358999999999997</v>
      </c>
      <c r="D262">
        <v>0.64936000000000005</v>
      </c>
      <c r="E262">
        <v>0.68081000000000003</v>
      </c>
      <c r="F262">
        <v>691112260.5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-0.33248434681099431</v>
      </c>
      <c r="Q262">
        <f t="shared" ref="Q262:Q325" si="965">F262*P262</f>
        <v>-229784008.50541225</v>
      </c>
      <c r="R262">
        <f t="shared" ref="R262:R325" si="966">R263+Q262</f>
        <v>11676063678.478746</v>
      </c>
      <c r="S262">
        <f t="shared" ref="S262:S325" si="967">R262/100000</f>
        <v>116760.63678478746</v>
      </c>
      <c r="T262">
        <f t="shared" ref="T262:T325" si="968">S262/1000</f>
        <v>116.76063678478747</v>
      </c>
    </row>
    <row r="263" spans="1:20" x14ac:dyDescent="0.25">
      <c r="A263" s="5">
        <v>44330</v>
      </c>
      <c r="B263">
        <v>0.65363000000000004</v>
      </c>
      <c r="C263">
        <v>0.70816999999999997</v>
      </c>
      <c r="D263">
        <v>0.63263000000000003</v>
      </c>
      <c r="E263">
        <v>0.66884999999999994</v>
      </c>
      <c r="F263">
        <v>473112329.89999998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-4.1037860736035284E-2</v>
      </c>
      <c r="Q263">
        <f t="shared" si="965"/>
        <v>-19415517.906937379</v>
      </c>
      <c r="R263">
        <f t="shared" si="966"/>
        <v>11905847686.984159</v>
      </c>
      <c r="S263">
        <f t="shared" si="967"/>
        <v>119058.4768698416</v>
      </c>
      <c r="T263">
        <f t="shared" si="968"/>
        <v>119.0584768698416</v>
      </c>
    </row>
    <row r="264" spans="1:20" x14ac:dyDescent="0.25">
      <c r="A264" s="5">
        <v>44329</v>
      </c>
      <c r="B264">
        <v>0.59104000000000001</v>
      </c>
      <c r="C264">
        <v>0.66200000000000003</v>
      </c>
      <c r="D264">
        <v>0.53871000000000002</v>
      </c>
      <c r="E264">
        <v>0.65366000000000002</v>
      </c>
      <c r="F264">
        <v>645717296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0.86470922215913681</v>
      </c>
      <c r="Q264">
        <f t="shared" si="965"/>
        <v>558357700.75886106</v>
      </c>
      <c r="R264">
        <f t="shared" si="966"/>
        <v>11925263204.891096</v>
      </c>
      <c r="S264">
        <f t="shared" si="967"/>
        <v>119252.63204891096</v>
      </c>
      <c r="T264">
        <f t="shared" si="968"/>
        <v>119.25263204891097</v>
      </c>
    </row>
    <row r="265" spans="1:20" x14ac:dyDescent="0.25">
      <c r="A265" s="5">
        <v>44328</v>
      </c>
      <c r="B265">
        <v>0.73485999999999996</v>
      </c>
      <c r="C265">
        <v>0.745</v>
      </c>
      <c r="D265">
        <v>0.57891999999999999</v>
      </c>
      <c r="E265">
        <v>0.59553999999999996</v>
      </c>
      <c r="F265">
        <v>485806355.30000001</v>
      </c>
      <c r="G265">
        <v>0</v>
      </c>
      <c r="L265" t="s">
        <v>7</v>
      </c>
      <c r="M265" t="s">
        <v>7</v>
      </c>
      <c r="N265" t="s">
        <v>8</v>
      </c>
      <c r="P265">
        <f t="shared" si="964"/>
        <v>-0.79985549132948019</v>
      </c>
      <c r="Q265">
        <f t="shared" si="965"/>
        <v>-388574881.00946552</v>
      </c>
      <c r="R265">
        <f t="shared" si="966"/>
        <v>11366905504.132235</v>
      </c>
      <c r="S265">
        <f t="shared" si="967"/>
        <v>113669.05504132234</v>
      </c>
      <c r="T265">
        <f t="shared" si="968"/>
        <v>113.66905504132234</v>
      </c>
    </row>
    <row r="266" spans="1:20" x14ac:dyDescent="0.25">
      <c r="A266" s="5">
        <v>44327</v>
      </c>
      <c r="B266">
        <v>0.65683000000000002</v>
      </c>
      <c r="C266">
        <v>0.74321000000000004</v>
      </c>
      <c r="D266">
        <v>0.61980999999999997</v>
      </c>
      <c r="E266">
        <v>0.73465000000000003</v>
      </c>
      <c r="F266">
        <v>753173523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0.8612641815235007</v>
      </c>
      <c r="Q266">
        <f t="shared" si="965"/>
        <v>648681377.83176649</v>
      </c>
      <c r="R266">
        <f t="shared" si="966"/>
        <v>11755480385.141701</v>
      </c>
      <c r="S266">
        <f t="shared" si="967"/>
        <v>117554.803851417</v>
      </c>
      <c r="T266">
        <f t="shared" si="968"/>
        <v>117.55480385141701</v>
      </c>
    </row>
    <row r="267" spans="1:20" x14ac:dyDescent="0.25">
      <c r="A267" s="5">
        <v>44326</v>
      </c>
      <c r="B267">
        <v>0.62783</v>
      </c>
      <c r="C267">
        <v>0.78</v>
      </c>
      <c r="D267">
        <v>0.60802</v>
      </c>
      <c r="E267">
        <v>0.65642999999999996</v>
      </c>
      <c r="F267">
        <v>1299537754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-0.43702756134434301</v>
      </c>
      <c r="Q267">
        <f t="shared" si="965"/>
        <v>-567933815.50552475</v>
      </c>
      <c r="R267">
        <f t="shared" si="966"/>
        <v>11106799007.309935</v>
      </c>
      <c r="S267">
        <f t="shared" si="967"/>
        <v>111067.99007309934</v>
      </c>
      <c r="T267">
        <f t="shared" si="968"/>
        <v>111.06799007309934</v>
      </c>
    </row>
    <row r="268" spans="1:20" x14ac:dyDescent="0.25">
      <c r="A268" s="5">
        <v>44325</v>
      </c>
      <c r="B268">
        <v>0.61451</v>
      </c>
      <c r="C268">
        <v>0.63324000000000003</v>
      </c>
      <c r="D268">
        <v>0.57476000000000005</v>
      </c>
      <c r="E268">
        <v>0.62804000000000004</v>
      </c>
      <c r="F268">
        <v>293580379.80000001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0.82216142270861892</v>
      </c>
      <c r="Q268">
        <f t="shared" si="965"/>
        <v>241370462.73570469</v>
      </c>
      <c r="R268">
        <f t="shared" si="966"/>
        <v>11674732822.81546</v>
      </c>
      <c r="S268">
        <f t="shared" si="967"/>
        <v>116747.3282281546</v>
      </c>
      <c r="T268">
        <f t="shared" si="968"/>
        <v>116.7473282281546</v>
      </c>
    </row>
    <row r="269" spans="1:20" x14ac:dyDescent="0.25">
      <c r="A269" s="5">
        <v>44324</v>
      </c>
      <c r="B269">
        <v>0.63085999999999998</v>
      </c>
      <c r="C269">
        <v>0.64081999999999995</v>
      </c>
      <c r="D269">
        <v>0.60377000000000003</v>
      </c>
      <c r="E269">
        <v>0.61380000000000001</v>
      </c>
      <c r="F269">
        <v>198172070.80000001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-0.45856950067476349</v>
      </c>
      <c r="Q269">
        <f t="shared" si="965"/>
        <v>-90875667.554439887</v>
      </c>
      <c r="R269">
        <f t="shared" si="966"/>
        <v>11433362360.079756</v>
      </c>
      <c r="S269">
        <f t="shared" si="967"/>
        <v>114333.62360079755</v>
      </c>
      <c r="T269">
        <f t="shared" si="968"/>
        <v>114.33362360079755</v>
      </c>
    </row>
    <row r="270" spans="1:20" x14ac:dyDescent="0.25">
      <c r="A270" s="5">
        <v>44323</v>
      </c>
      <c r="B270">
        <v>0.65085000000000004</v>
      </c>
      <c r="C270">
        <v>0.68899999999999995</v>
      </c>
      <c r="D270">
        <v>0.60426999999999997</v>
      </c>
      <c r="E270">
        <v>0.63063000000000002</v>
      </c>
      <c r="F270">
        <v>443642907.60000002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-0.37778826861796155</v>
      </c>
      <c r="Q270">
        <f t="shared" si="965"/>
        <v>-167603085.94684231</v>
      </c>
      <c r="R270">
        <f t="shared" si="966"/>
        <v>11524238027.634195</v>
      </c>
      <c r="S270">
        <f t="shared" si="967"/>
        <v>115242.38027634195</v>
      </c>
      <c r="T270">
        <f t="shared" si="968"/>
        <v>115.24238027634195</v>
      </c>
    </row>
    <row r="271" spans="1:20" x14ac:dyDescent="0.25">
      <c r="A271" s="5">
        <v>44322</v>
      </c>
      <c r="B271">
        <v>0.60502</v>
      </c>
      <c r="C271">
        <v>0.69</v>
      </c>
      <c r="D271">
        <v>0.59428000000000003</v>
      </c>
      <c r="E271">
        <v>0.65085000000000004</v>
      </c>
      <c r="F271">
        <v>929598629.70000005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0.18198913497701752</v>
      </c>
      <c r="Q271">
        <f t="shared" si="965"/>
        <v>169176850.49492383</v>
      </c>
      <c r="R271">
        <f t="shared" si="966"/>
        <v>11691841113.581038</v>
      </c>
      <c r="S271">
        <f t="shared" si="967"/>
        <v>116918.41113581037</v>
      </c>
      <c r="T271">
        <f t="shared" si="968"/>
        <v>116.91841113581037</v>
      </c>
    </row>
    <row r="272" spans="1:20" x14ac:dyDescent="0.25">
      <c r="A272" s="5">
        <v>44321</v>
      </c>
      <c r="B272">
        <v>0.50156000000000001</v>
      </c>
      <c r="C272">
        <v>0.60599999999999998</v>
      </c>
      <c r="D272">
        <v>0.49562</v>
      </c>
      <c r="E272">
        <v>0.60472999999999999</v>
      </c>
      <c r="F272">
        <v>506467046.10000002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0.97698858488856688</v>
      </c>
      <c r="Q272">
        <f t="shared" si="965"/>
        <v>494812522.66193157</v>
      </c>
      <c r="R272">
        <f t="shared" si="966"/>
        <v>11522664263.086113</v>
      </c>
      <c r="S272">
        <f t="shared" si="967"/>
        <v>115226.64263086113</v>
      </c>
      <c r="T272">
        <f t="shared" si="968"/>
        <v>115.22664263086112</v>
      </c>
    </row>
    <row r="273" spans="1:20" x14ac:dyDescent="0.25">
      <c r="A273" s="5">
        <v>44320</v>
      </c>
      <c r="B273">
        <v>0.55081000000000002</v>
      </c>
      <c r="C273">
        <v>0.55091000000000001</v>
      </c>
      <c r="D273">
        <v>0.49364999999999998</v>
      </c>
      <c r="E273">
        <v>0.50151999999999997</v>
      </c>
      <c r="F273">
        <v>297465548.80000001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-0.72511351728955697</v>
      </c>
      <c r="Q273">
        <f t="shared" si="965"/>
        <v>-215696290.36283636</v>
      </c>
      <c r="R273">
        <f t="shared" si="966"/>
        <v>11027851740.424181</v>
      </c>
      <c r="S273">
        <f t="shared" si="967"/>
        <v>110278.51740424181</v>
      </c>
      <c r="T273">
        <f t="shared" si="968"/>
        <v>110.27851740424181</v>
      </c>
    </row>
    <row r="274" spans="1:20" x14ac:dyDescent="0.25">
      <c r="A274" s="5">
        <v>44319</v>
      </c>
      <c r="B274">
        <v>0.55576999999999999</v>
      </c>
      <c r="C274">
        <v>0.57321999999999995</v>
      </c>
      <c r="D274">
        <v>0.53939999999999999</v>
      </c>
      <c r="E274">
        <v>0.55044000000000004</v>
      </c>
      <c r="F274">
        <v>241217287.80000001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-0.34713187463039252</v>
      </c>
      <c r="Q274">
        <f t="shared" si="965"/>
        <v>-83734209.307272911</v>
      </c>
      <c r="R274">
        <f t="shared" si="966"/>
        <v>11243548030.787018</v>
      </c>
      <c r="S274">
        <f t="shared" si="967"/>
        <v>112435.48030787018</v>
      </c>
      <c r="T274">
        <f t="shared" si="968"/>
        <v>112.43548030787018</v>
      </c>
    </row>
    <row r="275" spans="1:20" x14ac:dyDescent="0.25">
      <c r="A275" s="5">
        <v>44318</v>
      </c>
      <c r="B275">
        <v>0.53998999999999997</v>
      </c>
      <c r="C275">
        <v>0.55989999999999995</v>
      </c>
      <c r="D275">
        <v>0.50612999999999997</v>
      </c>
      <c r="E275">
        <v>0.55601</v>
      </c>
      <c r="F275">
        <v>256628501.5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0.85530965222243072</v>
      </c>
      <c r="Q275">
        <f t="shared" si="965"/>
        <v>219496834.36832854</v>
      </c>
      <c r="R275">
        <f t="shared" si="966"/>
        <v>11327282240.094292</v>
      </c>
      <c r="S275">
        <f t="shared" si="967"/>
        <v>113272.82240094291</v>
      </c>
      <c r="T275">
        <f t="shared" si="968"/>
        <v>113.27282240094291</v>
      </c>
    </row>
    <row r="276" spans="1:20" x14ac:dyDescent="0.25">
      <c r="A276" s="5">
        <v>44317</v>
      </c>
      <c r="B276">
        <v>0.52966000000000002</v>
      </c>
      <c r="C276">
        <v>0.54</v>
      </c>
      <c r="D276">
        <v>0.51029999999999998</v>
      </c>
      <c r="E276">
        <v>0.54</v>
      </c>
      <c r="F276">
        <v>171586918.09999999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1</v>
      </c>
      <c r="Q276">
        <f t="shared" si="965"/>
        <v>171586918.09999999</v>
      </c>
      <c r="R276">
        <f t="shared" si="966"/>
        <v>11107785405.725964</v>
      </c>
      <c r="S276">
        <f t="shared" si="967"/>
        <v>111077.85405725964</v>
      </c>
      <c r="T276">
        <f t="shared" si="968"/>
        <v>111.07785405725964</v>
      </c>
    </row>
    <row r="277" spans="1:20" x14ac:dyDescent="0.25">
      <c r="A277" s="5">
        <v>44316</v>
      </c>
      <c r="B277">
        <v>0.49151</v>
      </c>
      <c r="C277">
        <v>0.54083000000000003</v>
      </c>
      <c r="D277">
        <v>0.48476999999999998</v>
      </c>
      <c r="E277">
        <v>0.52966000000000002</v>
      </c>
      <c r="F277">
        <v>295427059.10000002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0.60149839457723864</v>
      </c>
      <c r="Q277">
        <f t="shared" si="965"/>
        <v>177698901.76332501</v>
      </c>
      <c r="R277">
        <f t="shared" si="966"/>
        <v>10936198487.625963</v>
      </c>
      <c r="S277">
        <f t="shared" si="967"/>
        <v>109361.98487625964</v>
      </c>
      <c r="T277">
        <f t="shared" si="968"/>
        <v>109.36198487625964</v>
      </c>
    </row>
    <row r="278" spans="1:20" x14ac:dyDescent="0.25">
      <c r="A278" s="5">
        <v>44315</v>
      </c>
      <c r="B278">
        <v>0.49723000000000001</v>
      </c>
      <c r="C278">
        <v>0.50863000000000003</v>
      </c>
      <c r="D278">
        <v>0.47602</v>
      </c>
      <c r="E278">
        <v>0.49162</v>
      </c>
      <c r="F278">
        <v>167114135.69999999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-4.3238270469181883E-2</v>
      </c>
      <c r="Q278">
        <f t="shared" si="965"/>
        <v>-7225726.1986201629</v>
      </c>
      <c r="R278">
        <f t="shared" si="966"/>
        <v>10758499585.862638</v>
      </c>
      <c r="S278">
        <f t="shared" si="967"/>
        <v>107584.99585862638</v>
      </c>
      <c r="T278">
        <f t="shared" si="968"/>
        <v>107.58499585862639</v>
      </c>
    </row>
    <row r="279" spans="1:20" x14ac:dyDescent="0.25">
      <c r="A279" s="5">
        <v>44314</v>
      </c>
      <c r="B279">
        <v>0.50963999999999998</v>
      </c>
      <c r="C279">
        <v>0.52183000000000002</v>
      </c>
      <c r="D279">
        <v>0.4743</v>
      </c>
      <c r="E279">
        <v>0.49686999999999998</v>
      </c>
      <c r="F279">
        <v>204446170.80000001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-5.0284031138229705E-2</v>
      </c>
      <c r="Q279">
        <f t="shared" si="965"/>
        <v>-10280377.618599029</v>
      </c>
      <c r="R279">
        <f t="shared" si="966"/>
        <v>10765725312.061258</v>
      </c>
      <c r="S279">
        <f t="shared" si="967"/>
        <v>107657.25312061259</v>
      </c>
      <c r="T279">
        <f t="shared" si="968"/>
        <v>107.65725312061258</v>
      </c>
    </row>
    <row r="280" spans="1:20" x14ac:dyDescent="0.25">
      <c r="A280" s="5">
        <v>44313</v>
      </c>
      <c r="B280">
        <v>0.48596</v>
      </c>
      <c r="C280">
        <v>0.52246000000000004</v>
      </c>
      <c r="D280">
        <v>0.47626000000000002</v>
      </c>
      <c r="E280">
        <v>0.50963000000000003</v>
      </c>
      <c r="F280">
        <v>235691948.5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0.44458874458874448</v>
      </c>
      <c r="Q280">
        <f t="shared" si="965"/>
        <v>104785987.49329002</v>
      </c>
      <c r="R280">
        <f t="shared" si="966"/>
        <v>10776005689.679857</v>
      </c>
      <c r="S280">
        <f t="shared" si="967"/>
        <v>107760.05689679857</v>
      </c>
      <c r="T280">
        <f t="shared" si="968"/>
        <v>107.76005689679857</v>
      </c>
    </row>
    <row r="281" spans="1:20" x14ac:dyDescent="0.25">
      <c r="A281" s="5">
        <v>44312</v>
      </c>
      <c r="B281">
        <v>0.41632000000000002</v>
      </c>
      <c r="C281">
        <v>0.48654999999999998</v>
      </c>
      <c r="D281">
        <v>0.41392000000000001</v>
      </c>
      <c r="E281">
        <v>0.48599999999999999</v>
      </c>
      <c r="F281">
        <v>275058388.10000002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0.98485474321905564</v>
      </c>
      <c r="Q281">
        <f t="shared" si="965"/>
        <v>270892558.18247288</v>
      </c>
      <c r="R281">
        <f t="shared" si="966"/>
        <v>10671219702.186567</v>
      </c>
      <c r="S281">
        <f t="shared" si="967"/>
        <v>106712.19702186568</v>
      </c>
      <c r="T281">
        <f t="shared" si="968"/>
        <v>106.71219702186568</v>
      </c>
    </row>
    <row r="282" spans="1:20" x14ac:dyDescent="0.25">
      <c r="A282" s="5">
        <v>44311</v>
      </c>
      <c r="B282">
        <v>0.42498000000000002</v>
      </c>
      <c r="C282">
        <v>0.44483</v>
      </c>
      <c r="D282">
        <v>0.40031</v>
      </c>
      <c r="E282">
        <v>0.41620000000000001</v>
      </c>
      <c r="F282">
        <v>193136275.19999999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-0.286163522012578</v>
      </c>
      <c r="Q282">
        <f t="shared" si="965"/>
        <v>-55268556.739622518</v>
      </c>
      <c r="R282">
        <f t="shared" si="966"/>
        <v>10400327144.004095</v>
      </c>
      <c r="S282">
        <f t="shared" si="967"/>
        <v>104003.27144004095</v>
      </c>
      <c r="T282">
        <f t="shared" si="968"/>
        <v>104.00327144004095</v>
      </c>
    </row>
    <row r="283" spans="1:20" x14ac:dyDescent="0.25">
      <c r="A283" s="5">
        <v>44310</v>
      </c>
      <c r="B283">
        <v>0.45065</v>
      </c>
      <c r="C283">
        <v>0.46126</v>
      </c>
      <c r="D283">
        <v>0.41202</v>
      </c>
      <c r="E283">
        <v>0.42507</v>
      </c>
      <c r="F283">
        <v>282667066.5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-0.46994313566206319</v>
      </c>
      <c r="Q283">
        <f t="shared" si="965"/>
        <v>-132837447.57940693</v>
      </c>
      <c r="R283">
        <f t="shared" si="966"/>
        <v>10455595700.743717</v>
      </c>
      <c r="S283">
        <f t="shared" si="967"/>
        <v>104555.95700743717</v>
      </c>
      <c r="T283">
        <f t="shared" si="968"/>
        <v>104.55595700743717</v>
      </c>
    </row>
    <row r="284" spans="1:20" x14ac:dyDescent="0.25">
      <c r="A284" s="5">
        <v>44309</v>
      </c>
      <c r="B284">
        <v>0.44979999999999998</v>
      </c>
      <c r="C284">
        <v>0.45723000000000003</v>
      </c>
      <c r="D284">
        <v>0.35822999999999999</v>
      </c>
      <c r="E284">
        <v>0.45068999999999998</v>
      </c>
      <c r="F284">
        <v>492741000.69999999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0.86787878787878703</v>
      </c>
      <c r="Q284">
        <f t="shared" si="965"/>
        <v>427639462.42569655</v>
      </c>
      <c r="R284">
        <f t="shared" si="966"/>
        <v>10588433148.323124</v>
      </c>
      <c r="S284">
        <f t="shared" si="967"/>
        <v>105884.33148323125</v>
      </c>
      <c r="T284">
        <f t="shared" si="968"/>
        <v>105.88433148323125</v>
      </c>
    </row>
    <row r="285" spans="1:20" x14ac:dyDescent="0.25">
      <c r="A285" s="5">
        <v>44308</v>
      </c>
      <c r="B285">
        <v>0.48891000000000001</v>
      </c>
      <c r="C285">
        <v>0.51500000000000001</v>
      </c>
      <c r="D285">
        <v>0.44400000000000001</v>
      </c>
      <c r="E285">
        <v>0.44951000000000002</v>
      </c>
      <c r="F285">
        <v>308597892.39999998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-0.8447887323943658</v>
      </c>
      <c r="Q285">
        <f t="shared" si="965"/>
        <v>-260700022.34016886</v>
      </c>
      <c r="R285">
        <f t="shared" si="966"/>
        <v>10160793685.897427</v>
      </c>
      <c r="S285">
        <f t="shared" si="967"/>
        <v>101607.93685897427</v>
      </c>
      <c r="T285">
        <f t="shared" si="968"/>
        <v>101.60793685897427</v>
      </c>
    </row>
    <row r="286" spans="1:20" x14ac:dyDescent="0.25">
      <c r="A286" s="5">
        <v>44307</v>
      </c>
      <c r="B286">
        <v>0.52895000000000003</v>
      </c>
      <c r="C286">
        <v>0.53756000000000004</v>
      </c>
      <c r="D286">
        <v>0.48404000000000003</v>
      </c>
      <c r="E286">
        <v>0.48893999999999999</v>
      </c>
      <c r="F286">
        <v>257880130.69999999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-0.81689088191330494</v>
      </c>
      <c r="Q286">
        <f t="shared" si="965"/>
        <v>-210659927.39544132</v>
      </c>
      <c r="R286">
        <f t="shared" si="966"/>
        <v>10421493708.237595</v>
      </c>
      <c r="S286">
        <f t="shared" si="967"/>
        <v>104214.93708237595</v>
      </c>
      <c r="T286">
        <f t="shared" si="968"/>
        <v>104.21493708237595</v>
      </c>
    </row>
    <row r="287" spans="1:20" x14ac:dyDescent="0.25">
      <c r="A287" s="5">
        <v>44306</v>
      </c>
      <c r="B287">
        <v>0.49947000000000003</v>
      </c>
      <c r="C287">
        <v>0.53129999999999999</v>
      </c>
      <c r="D287">
        <v>0.46800000000000003</v>
      </c>
      <c r="E287">
        <v>0.52876999999999996</v>
      </c>
      <c r="F287">
        <v>278004526.19999999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0.92006319115323754</v>
      </c>
      <c r="Q287">
        <f t="shared" si="965"/>
        <v>255781731.53061584</v>
      </c>
      <c r="R287">
        <f t="shared" si="966"/>
        <v>10632153635.633036</v>
      </c>
      <c r="S287">
        <f t="shared" si="967"/>
        <v>106321.53635633035</v>
      </c>
      <c r="T287">
        <f t="shared" si="968"/>
        <v>106.32153635633036</v>
      </c>
    </row>
    <row r="288" spans="1:20" x14ac:dyDescent="0.25">
      <c r="A288" s="5">
        <v>44305</v>
      </c>
      <c r="B288">
        <v>0.54483000000000004</v>
      </c>
      <c r="C288">
        <v>0.56601000000000001</v>
      </c>
      <c r="D288">
        <v>0.48858000000000001</v>
      </c>
      <c r="E288">
        <v>0.49981999999999999</v>
      </c>
      <c r="F288">
        <v>312750231.60000002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-0.70967325326101061</v>
      </c>
      <c r="Q288">
        <f t="shared" si="965"/>
        <v>-221950474.31770653</v>
      </c>
      <c r="R288">
        <f t="shared" si="966"/>
        <v>10376371904.102419</v>
      </c>
      <c r="S288">
        <f t="shared" si="967"/>
        <v>103763.71904102419</v>
      </c>
      <c r="T288">
        <f t="shared" si="968"/>
        <v>103.76371904102419</v>
      </c>
    </row>
    <row r="289" spans="1:20" x14ac:dyDescent="0.25">
      <c r="A289" s="5">
        <v>44304</v>
      </c>
      <c r="B289">
        <v>0.59130000000000005</v>
      </c>
      <c r="C289">
        <v>0.60041</v>
      </c>
      <c r="D289">
        <v>0.4375</v>
      </c>
      <c r="E289">
        <v>0.54459000000000002</v>
      </c>
      <c r="F289">
        <v>455418601.39999998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0.31471364557117448</v>
      </c>
      <c r="Q289">
        <f t="shared" si="965"/>
        <v>143326448.30751958</v>
      </c>
      <c r="R289">
        <f t="shared" si="966"/>
        <v>10598322378.420126</v>
      </c>
      <c r="S289">
        <f t="shared" si="967"/>
        <v>105983.22378420125</v>
      </c>
      <c r="T289">
        <f t="shared" si="968"/>
        <v>105.98322378420126</v>
      </c>
    </row>
    <row r="290" spans="1:20" x14ac:dyDescent="0.25">
      <c r="A290" s="5">
        <v>44303</v>
      </c>
      <c r="B290">
        <v>0.6099</v>
      </c>
      <c r="C290">
        <v>0.64400000000000002</v>
      </c>
      <c r="D290">
        <v>0.58801999999999999</v>
      </c>
      <c r="E290">
        <v>0.59136999999999995</v>
      </c>
      <c r="F290">
        <v>263520955.40000001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-0.88031439799928679</v>
      </c>
      <c r="Q290">
        <f t="shared" si="965"/>
        <v>-231981291.21314791</v>
      </c>
      <c r="R290">
        <f t="shared" si="966"/>
        <v>10454995930.112606</v>
      </c>
      <c r="S290">
        <f t="shared" si="967"/>
        <v>104549.95930112606</v>
      </c>
      <c r="T290">
        <f t="shared" si="968"/>
        <v>104.54995930112605</v>
      </c>
    </row>
    <row r="291" spans="1:20" x14ac:dyDescent="0.25">
      <c r="A291" s="5">
        <v>44302</v>
      </c>
      <c r="B291">
        <v>0.63966000000000001</v>
      </c>
      <c r="C291">
        <v>0.65371000000000001</v>
      </c>
      <c r="D291">
        <v>0.56516</v>
      </c>
      <c r="E291">
        <v>0.61004999999999998</v>
      </c>
      <c r="F291">
        <v>376225078.69999999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1.3890457368717709E-2</v>
      </c>
      <c r="Q291">
        <f t="shared" si="965"/>
        <v>5225938.416724815</v>
      </c>
      <c r="R291">
        <f t="shared" si="966"/>
        <v>10686977221.325754</v>
      </c>
      <c r="S291">
        <f t="shared" si="967"/>
        <v>106869.77221325754</v>
      </c>
      <c r="T291">
        <f t="shared" si="968"/>
        <v>106.86977221325755</v>
      </c>
    </row>
    <row r="292" spans="1:20" x14ac:dyDescent="0.25">
      <c r="A292" s="5">
        <v>44301</v>
      </c>
      <c r="B292">
        <v>0.63509000000000004</v>
      </c>
      <c r="C292">
        <v>0.64980000000000004</v>
      </c>
      <c r="D292">
        <v>0.61387000000000003</v>
      </c>
      <c r="E292">
        <v>0.63966000000000001</v>
      </c>
      <c r="F292">
        <v>316537391.5</v>
      </c>
      <c r="G292">
        <v>0</v>
      </c>
      <c r="L292" t="s">
        <v>7</v>
      </c>
      <c r="M292" t="s">
        <v>8</v>
      </c>
      <c r="N292" t="s">
        <v>8</v>
      </c>
      <c r="P292">
        <f t="shared" si="964"/>
        <v>0.43556916225994807</v>
      </c>
      <c r="Q292">
        <f t="shared" si="965"/>
        <v>137873926.43960422</v>
      </c>
      <c r="R292">
        <f t="shared" si="966"/>
        <v>10681751282.909029</v>
      </c>
      <c r="S292">
        <f t="shared" si="967"/>
        <v>106817.51282909029</v>
      </c>
      <c r="T292">
        <f t="shared" si="968"/>
        <v>106.81751282909029</v>
      </c>
    </row>
    <row r="293" spans="1:20" x14ac:dyDescent="0.25">
      <c r="A293" s="5">
        <v>44300</v>
      </c>
      <c r="B293">
        <v>0.65700999999999998</v>
      </c>
      <c r="C293">
        <v>0.69099999999999995</v>
      </c>
      <c r="D293">
        <v>0.58555000000000001</v>
      </c>
      <c r="E293">
        <v>0.63505</v>
      </c>
      <c r="F293">
        <v>619287714.60000002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-6.1166429587481835E-2</v>
      </c>
      <c r="Q293">
        <f t="shared" si="965"/>
        <v>-37879618.389473446</v>
      </c>
      <c r="R293">
        <f t="shared" si="966"/>
        <v>10543877356.469425</v>
      </c>
      <c r="S293">
        <f t="shared" si="967"/>
        <v>105438.77356469425</v>
      </c>
      <c r="T293">
        <f t="shared" si="968"/>
        <v>105.43877356469424</v>
      </c>
    </row>
    <row r="294" spans="1:20" x14ac:dyDescent="0.25">
      <c r="A294" s="5">
        <v>44299</v>
      </c>
      <c r="B294">
        <v>0.59050999999999998</v>
      </c>
      <c r="C294">
        <v>0.68400000000000005</v>
      </c>
      <c r="D294">
        <v>0.57628999999999997</v>
      </c>
      <c r="E294">
        <v>0.65700999999999998</v>
      </c>
      <c r="F294">
        <v>863195026.39999998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0.49883947637173803</v>
      </c>
      <c r="Q294">
        <f t="shared" si="965"/>
        <v>430595754.97606456</v>
      </c>
      <c r="R294">
        <f t="shared" si="966"/>
        <v>10581756974.858898</v>
      </c>
      <c r="S294">
        <f t="shared" si="967"/>
        <v>105817.56974858898</v>
      </c>
      <c r="T294">
        <f t="shared" si="968"/>
        <v>105.81756974858898</v>
      </c>
    </row>
    <row r="295" spans="1:20" x14ac:dyDescent="0.25">
      <c r="A295" s="5">
        <v>44298</v>
      </c>
      <c r="B295">
        <v>0.58445000000000003</v>
      </c>
      <c r="C295">
        <v>0.60799999999999998</v>
      </c>
      <c r="D295">
        <v>0.56613999999999998</v>
      </c>
      <c r="E295">
        <v>0.59050999999999998</v>
      </c>
      <c r="F295">
        <v>481035300.10000002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0.164357381748686</v>
      </c>
      <c r="Q295">
        <f t="shared" si="965"/>
        <v>79061702.453129441</v>
      </c>
      <c r="R295">
        <f t="shared" si="966"/>
        <v>10151161219.882833</v>
      </c>
      <c r="S295">
        <f t="shared" si="967"/>
        <v>101511.61219882834</v>
      </c>
      <c r="T295">
        <f t="shared" si="968"/>
        <v>101.51161219882835</v>
      </c>
    </row>
    <row r="296" spans="1:20" x14ac:dyDescent="0.25">
      <c r="A296" s="5">
        <v>44297</v>
      </c>
      <c r="B296">
        <v>0.56193000000000004</v>
      </c>
      <c r="C296">
        <v>0.65620000000000001</v>
      </c>
      <c r="D296">
        <v>0.55520999999999998</v>
      </c>
      <c r="E296">
        <v>0.58440000000000003</v>
      </c>
      <c r="F296">
        <v>1387374053.5999999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-0.42192296266957041</v>
      </c>
      <c r="Q296">
        <f t="shared" si="965"/>
        <v>-585364971.02580333</v>
      </c>
      <c r="R296">
        <f t="shared" si="966"/>
        <v>10072099517.429705</v>
      </c>
      <c r="S296">
        <f t="shared" si="967"/>
        <v>100720.99517429704</v>
      </c>
      <c r="T296">
        <f t="shared" si="968"/>
        <v>100.72099517429704</v>
      </c>
    </row>
    <row r="297" spans="1:20" x14ac:dyDescent="0.25">
      <c r="A297" s="5">
        <v>44296</v>
      </c>
      <c r="B297">
        <v>0.48576999999999998</v>
      </c>
      <c r="C297">
        <v>0.59399999999999997</v>
      </c>
      <c r="D297">
        <v>0.48176000000000002</v>
      </c>
      <c r="E297">
        <v>0.56191999999999998</v>
      </c>
      <c r="F297">
        <v>807705249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0.42836778332145381</v>
      </c>
      <c r="Q297">
        <f t="shared" si="965"/>
        <v>345994907.0912329</v>
      </c>
      <c r="R297">
        <f t="shared" si="966"/>
        <v>10657464488.455507</v>
      </c>
      <c r="S297">
        <f t="shared" si="967"/>
        <v>106574.64488455508</v>
      </c>
      <c r="T297">
        <f t="shared" si="968"/>
        <v>106.57464488455507</v>
      </c>
    </row>
    <row r="298" spans="1:20" x14ac:dyDescent="0.25">
      <c r="A298" s="5">
        <v>44295</v>
      </c>
      <c r="B298">
        <v>0.50488</v>
      </c>
      <c r="C298">
        <v>0.50856000000000001</v>
      </c>
      <c r="D298">
        <v>0.47696</v>
      </c>
      <c r="E298">
        <v>0.48607</v>
      </c>
      <c r="F298">
        <v>223808564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-0.42341772151898721</v>
      </c>
      <c r="Q298">
        <f t="shared" si="965"/>
        <v>-94764512.22531642</v>
      </c>
      <c r="R298">
        <f t="shared" si="966"/>
        <v>10311469581.364275</v>
      </c>
      <c r="S298">
        <f t="shared" si="967"/>
        <v>103114.69581364276</v>
      </c>
      <c r="T298">
        <f t="shared" si="968"/>
        <v>103.11469581364275</v>
      </c>
    </row>
    <row r="299" spans="1:20" x14ac:dyDescent="0.25">
      <c r="A299" s="5">
        <v>44294</v>
      </c>
      <c r="B299">
        <v>0.47233000000000003</v>
      </c>
      <c r="C299">
        <v>0.50522</v>
      </c>
      <c r="D299">
        <v>0.46664</v>
      </c>
      <c r="E299">
        <v>0.505</v>
      </c>
      <c r="F299">
        <v>294430470.5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0.98859512700881291</v>
      </c>
      <c r="Q299">
        <f t="shared" si="965"/>
        <v>291072528.37921202</v>
      </c>
      <c r="R299">
        <f t="shared" si="966"/>
        <v>10406234093.589592</v>
      </c>
      <c r="S299">
        <f t="shared" si="967"/>
        <v>104062.34093589592</v>
      </c>
      <c r="T299">
        <f t="shared" si="968"/>
        <v>104.06234093589592</v>
      </c>
    </row>
    <row r="300" spans="1:20" x14ac:dyDescent="0.25">
      <c r="A300" s="5">
        <v>44293</v>
      </c>
      <c r="B300">
        <v>0.54205999999999999</v>
      </c>
      <c r="C300">
        <v>0.54690000000000005</v>
      </c>
      <c r="D300">
        <v>0.45195000000000002</v>
      </c>
      <c r="E300">
        <v>0.47256999999999999</v>
      </c>
      <c r="F300">
        <v>557970971.5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-0.56566614007372373</v>
      </c>
      <c r="Q300">
        <f t="shared" si="965"/>
        <v>-315625285.7215907</v>
      </c>
      <c r="R300">
        <f t="shared" si="966"/>
        <v>10115161565.210381</v>
      </c>
      <c r="S300">
        <f t="shared" si="967"/>
        <v>101151.61565210381</v>
      </c>
      <c r="T300">
        <f t="shared" si="968"/>
        <v>101.1516156521038</v>
      </c>
    </row>
    <row r="301" spans="1:20" x14ac:dyDescent="0.25">
      <c r="A301" s="5">
        <v>44292</v>
      </c>
      <c r="B301">
        <v>0.53703999999999996</v>
      </c>
      <c r="C301">
        <v>0.57799999999999996</v>
      </c>
      <c r="D301">
        <v>0.48033999999999999</v>
      </c>
      <c r="E301">
        <v>0.54205999999999999</v>
      </c>
      <c r="F301">
        <v>883367345.89999998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0.26397706328077036</v>
      </c>
      <c r="Q301">
        <f t="shared" si="965"/>
        <v>233188717.76881045</v>
      </c>
      <c r="R301">
        <f t="shared" si="966"/>
        <v>10430786850.931971</v>
      </c>
      <c r="S301">
        <f t="shared" si="967"/>
        <v>104307.86850931971</v>
      </c>
      <c r="T301">
        <f t="shared" si="968"/>
        <v>104.30786850931972</v>
      </c>
    </row>
    <row r="302" spans="1:20" x14ac:dyDescent="0.25">
      <c r="A302" s="5">
        <v>44291</v>
      </c>
      <c r="B302">
        <v>0.42859000000000003</v>
      </c>
      <c r="C302">
        <v>0.54949000000000003</v>
      </c>
      <c r="D302">
        <v>0.42202000000000001</v>
      </c>
      <c r="E302">
        <v>0.53705999999999998</v>
      </c>
      <c r="F302">
        <v>879513379.39999998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0.80497371930650274</v>
      </c>
      <c r="Q302">
        <f t="shared" si="965"/>
        <v>707985156.19544923</v>
      </c>
      <c r="R302">
        <f t="shared" si="966"/>
        <v>10197598133.16316</v>
      </c>
      <c r="S302">
        <f t="shared" si="967"/>
        <v>101975.9813316316</v>
      </c>
      <c r="T302">
        <f t="shared" si="968"/>
        <v>101.9759813316316</v>
      </c>
    </row>
    <row r="303" spans="1:20" x14ac:dyDescent="0.25">
      <c r="A303" s="5">
        <v>44290</v>
      </c>
      <c r="B303">
        <v>0.40809000000000001</v>
      </c>
      <c r="C303">
        <v>0.43464000000000003</v>
      </c>
      <c r="D303">
        <v>0.40065000000000001</v>
      </c>
      <c r="E303">
        <v>0.42851</v>
      </c>
      <c r="F303">
        <v>220000117.40000001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0.63930567814062833</v>
      </c>
      <c r="Q303">
        <f t="shared" si="965"/>
        <v>140647324.24542484</v>
      </c>
      <c r="R303">
        <f t="shared" si="966"/>
        <v>9489612976.9677105</v>
      </c>
      <c r="S303">
        <f t="shared" si="967"/>
        <v>94896.129769677107</v>
      </c>
      <c r="T303">
        <f t="shared" si="968"/>
        <v>94.896129769677103</v>
      </c>
    </row>
    <row r="304" spans="1:20" x14ac:dyDescent="0.25">
      <c r="A304" s="5">
        <v>44289</v>
      </c>
      <c r="B304">
        <v>0.43912000000000001</v>
      </c>
      <c r="C304">
        <v>0.45839000000000002</v>
      </c>
      <c r="D304">
        <v>0.40587000000000001</v>
      </c>
      <c r="E304">
        <v>0.40809000000000001</v>
      </c>
      <c r="F304">
        <v>335192184.80000001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-0.91546077684691551</v>
      </c>
      <c r="Q304">
        <f t="shared" si="965"/>
        <v>-306855297.89002287</v>
      </c>
      <c r="R304">
        <f t="shared" si="966"/>
        <v>9348965652.7222862</v>
      </c>
      <c r="S304">
        <f t="shared" si="967"/>
        <v>93489.656527222862</v>
      </c>
      <c r="T304">
        <f t="shared" si="968"/>
        <v>93.489656527222863</v>
      </c>
    </row>
    <row r="305" spans="1:20" x14ac:dyDescent="0.25">
      <c r="A305" s="5">
        <v>44288</v>
      </c>
      <c r="B305">
        <v>0.42430000000000001</v>
      </c>
      <c r="C305">
        <v>0.46853</v>
      </c>
      <c r="D305">
        <v>0.42420000000000002</v>
      </c>
      <c r="E305">
        <v>0.43897000000000003</v>
      </c>
      <c r="F305">
        <v>489374356.19999999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-0.33363410782765568</v>
      </c>
      <c r="Q305">
        <f t="shared" si="965"/>
        <v>-163271976.72452039</v>
      </c>
      <c r="R305">
        <f t="shared" si="966"/>
        <v>9655820950.6123085</v>
      </c>
      <c r="S305">
        <f t="shared" si="967"/>
        <v>96558.209506123079</v>
      </c>
      <c r="T305">
        <f t="shared" si="968"/>
        <v>96.558209506123077</v>
      </c>
    </row>
    <row r="306" spans="1:20" x14ac:dyDescent="0.25">
      <c r="A306" s="5">
        <v>44287</v>
      </c>
      <c r="B306">
        <v>0.40577999999999997</v>
      </c>
      <c r="C306">
        <v>0.42986999999999997</v>
      </c>
      <c r="D306">
        <v>0.40033999999999997</v>
      </c>
      <c r="E306">
        <v>0.42430000000000001</v>
      </c>
      <c r="F306">
        <v>291671172.19999999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0.62275651879444882</v>
      </c>
      <c r="Q306">
        <f t="shared" si="965"/>
        <v>181640123.83196822</v>
      </c>
      <c r="R306">
        <f t="shared" si="966"/>
        <v>9819092927.3368282</v>
      </c>
      <c r="S306">
        <f t="shared" si="967"/>
        <v>98190.929273368281</v>
      </c>
      <c r="T306">
        <f t="shared" si="968"/>
        <v>98.190929273368283</v>
      </c>
    </row>
    <row r="307" spans="1:20" x14ac:dyDescent="0.25">
      <c r="A307" s="5">
        <v>44286</v>
      </c>
      <c r="B307">
        <v>0.40077000000000002</v>
      </c>
      <c r="C307">
        <v>0.40700999999999998</v>
      </c>
      <c r="D307">
        <v>0.37611</v>
      </c>
      <c r="E307">
        <v>0.40560000000000002</v>
      </c>
      <c r="F307">
        <v>211491017.09999999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0.90873786407767199</v>
      </c>
      <c r="Q307">
        <f t="shared" si="965"/>
        <v>192189895.15106839</v>
      </c>
      <c r="R307">
        <f t="shared" si="966"/>
        <v>9637452803.5048599</v>
      </c>
      <c r="S307">
        <f t="shared" si="967"/>
        <v>96374.528035048599</v>
      </c>
      <c r="T307">
        <f t="shared" si="968"/>
        <v>96.374528035048598</v>
      </c>
    </row>
    <row r="308" spans="1:20" x14ac:dyDescent="0.25">
      <c r="A308" s="5">
        <v>44285</v>
      </c>
      <c r="B308">
        <v>0.40444999999999998</v>
      </c>
      <c r="C308">
        <v>0.41338000000000003</v>
      </c>
      <c r="D308">
        <v>0.39782000000000001</v>
      </c>
      <c r="E308">
        <v>0.40076000000000001</v>
      </c>
      <c r="F308">
        <v>172128546.59999999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-0.62210796915167166</v>
      </c>
      <c r="Q308">
        <f t="shared" si="965"/>
        <v>-107082540.55835487</v>
      </c>
      <c r="R308">
        <f t="shared" si="966"/>
        <v>9445262908.3537922</v>
      </c>
      <c r="S308">
        <f t="shared" si="967"/>
        <v>94452.629083537919</v>
      </c>
      <c r="T308">
        <f t="shared" si="968"/>
        <v>94.452629083537914</v>
      </c>
    </row>
    <row r="309" spans="1:20" x14ac:dyDescent="0.25">
      <c r="A309" s="5">
        <v>44284</v>
      </c>
      <c r="B309">
        <v>0.39754</v>
      </c>
      <c r="C309">
        <v>0.41327000000000003</v>
      </c>
      <c r="D309">
        <v>0.39106000000000002</v>
      </c>
      <c r="E309">
        <v>0.40445999999999999</v>
      </c>
      <c r="F309">
        <v>186088553.40000001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0.20666366501575534</v>
      </c>
      <c r="Q309">
        <f t="shared" si="965"/>
        <v>38457742.463124104</v>
      </c>
      <c r="R309">
        <f t="shared" si="966"/>
        <v>9552345448.9121475</v>
      </c>
      <c r="S309">
        <f t="shared" si="967"/>
        <v>95523.454489121475</v>
      </c>
      <c r="T309">
        <f t="shared" si="968"/>
        <v>95.523454489121477</v>
      </c>
    </row>
    <row r="310" spans="1:20" x14ac:dyDescent="0.25">
      <c r="A310" s="5">
        <v>44283</v>
      </c>
      <c r="B310">
        <v>0.38195000000000001</v>
      </c>
      <c r="C310">
        <v>0.41327000000000003</v>
      </c>
      <c r="D310">
        <v>0.37796999999999997</v>
      </c>
      <c r="E310">
        <v>0.39755000000000001</v>
      </c>
      <c r="F310">
        <v>326410489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0.1093484419263463</v>
      </c>
      <c r="Q310">
        <f t="shared" si="965"/>
        <v>35692478.400566794</v>
      </c>
      <c r="R310">
        <f t="shared" si="966"/>
        <v>9513887706.4490242</v>
      </c>
      <c r="S310">
        <f t="shared" si="967"/>
        <v>95138.87706449024</v>
      </c>
      <c r="T310">
        <f t="shared" si="968"/>
        <v>95.138877064490245</v>
      </c>
    </row>
    <row r="311" spans="1:20" x14ac:dyDescent="0.25">
      <c r="A311" s="5">
        <v>44282</v>
      </c>
      <c r="B311">
        <v>0.38447999999999999</v>
      </c>
      <c r="C311">
        <v>0.38995999999999997</v>
      </c>
      <c r="D311">
        <v>0.37081999999999998</v>
      </c>
      <c r="E311">
        <v>0.38185000000000002</v>
      </c>
      <c r="F311">
        <v>113503078.7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0.1525600835945711</v>
      </c>
      <c r="Q311">
        <f t="shared" si="965"/>
        <v>17316039.174713183</v>
      </c>
      <c r="R311">
        <f t="shared" si="966"/>
        <v>9478195228.0484581</v>
      </c>
      <c r="S311">
        <f t="shared" si="967"/>
        <v>94781.952280484576</v>
      </c>
      <c r="T311">
        <f t="shared" si="968"/>
        <v>94.781952280484575</v>
      </c>
    </row>
    <row r="312" spans="1:20" x14ac:dyDescent="0.25">
      <c r="A312" s="5">
        <v>44281</v>
      </c>
      <c r="B312">
        <v>0.36135</v>
      </c>
      <c r="C312">
        <v>0.38729000000000002</v>
      </c>
      <c r="D312">
        <v>0.36033999999999999</v>
      </c>
      <c r="E312">
        <v>0.3846</v>
      </c>
      <c r="F312">
        <v>139086326.5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0.80037105751391302</v>
      </c>
      <c r="Q312">
        <f t="shared" si="965"/>
        <v>111320670.22653039</v>
      </c>
      <c r="R312">
        <f t="shared" si="966"/>
        <v>9460879188.873745</v>
      </c>
      <c r="S312">
        <f t="shared" si="967"/>
        <v>94608.791888737454</v>
      </c>
      <c r="T312">
        <f t="shared" si="968"/>
        <v>94.608791888737457</v>
      </c>
    </row>
    <row r="313" spans="1:20" x14ac:dyDescent="0.25">
      <c r="A313" s="5">
        <v>44280</v>
      </c>
      <c r="B313">
        <v>0.36186000000000001</v>
      </c>
      <c r="C313">
        <v>0.3705</v>
      </c>
      <c r="D313">
        <v>0.34101999999999999</v>
      </c>
      <c r="E313">
        <v>0.36112</v>
      </c>
      <c r="F313">
        <v>213538495.19999999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0.36363636363636381</v>
      </c>
      <c r="Q313">
        <f t="shared" si="965"/>
        <v>77650361.89090912</v>
      </c>
      <c r="R313">
        <f t="shared" si="966"/>
        <v>9349558518.6472149</v>
      </c>
      <c r="S313">
        <f t="shared" si="967"/>
        <v>93495.585186472148</v>
      </c>
      <c r="T313">
        <f t="shared" si="968"/>
        <v>93.495585186472141</v>
      </c>
    </row>
    <row r="314" spans="1:20" x14ac:dyDescent="0.25">
      <c r="A314" s="5">
        <v>44279</v>
      </c>
      <c r="B314">
        <v>0.39488000000000001</v>
      </c>
      <c r="C314">
        <v>0.40311000000000002</v>
      </c>
      <c r="D314">
        <v>0.34776000000000001</v>
      </c>
      <c r="E314">
        <v>0.36153000000000002</v>
      </c>
      <c r="F314">
        <v>170494233.5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-0.50243902439024379</v>
      </c>
      <c r="Q314">
        <f t="shared" si="965"/>
        <v>-85662956.343902424</v>
      </c>
      <c r="R314">
        <f t="shared" si="966"/>
        <v>9271908156.7563057</v>
      </c>
      <c r="S314">
        <f t="shared" si="967"/>
        <v>92719.081567563058</v>
      </c>
      <c r="T314">
        <f t="shared" si="968"/>
        <v>92.719081567563052</v>
      </c>
    </row>
    <row r="315" spans="1:20" x14ac:dyDescent="0.25">
      <c r="A315" s="5">
        <v>44278</v>
      </c>
      <c r="B315">
        <v>0.39228000000000002</v>
      </c>
      <c r="C315">
        <v>0.40870000000000001</v>
      </c>
      <c r="D315">
        <v>0.38736999999999999</v>
      </c>
      <c r="E315">
        <v>0.39517999999999998</v>
      </c>
      <c r="F315">
        <v>197716138.5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-0.26769807782466215</v>
      </c>
      <c r="Q315">
        <f t="shared" si="965"/>
        <v>-52928230.231364682</v>
      </c>
      <c r="R315">
        <f t="shared" si="966"/>
        <v>9357571113.1002083</v>
      </c>
      <c r="S315">
        <f t="shared" si="967"/>
        <v>93575.711131002085</v>
      </c>
      <c r="T315">
        <f t="shared" si="968"/>
        <v>93.57571113100208</v>
      </c>
    </row>
    <row r="316" spans="1:20" x14ac:dyDescent="0.25">
      <c r="A316" s="5">
        <v>44277</v>
      </c>
      <c r="B316">
        <v>0.40348000000000001</v>
      </c>
      <c r="C316">
        <v>0.42525000000000002</v>
      </c>
      <c r="D316">
        <v>0.39</v>
      </c>
      <c r="E316">
        <v>0.39238000000000001</v>
      </c>
      <c r="F316">
        <v>283685967.89999998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-0.86496453900709258</v>
      </c>
      <c r="Q316">
        <f t="shared" si="965"/>
        <v>-245378302.44740435</v>
      </c>
      <c r="R316">
        <f t="shared" si="966"/>
        <v>9410499343.3315735</v>
      </c>
      <c r="S316">
        <f t="shared" si="967"/>
        <v>94104.993433315729</v>
      </c>
      <c r="T316">
        <f t="shared" si="968"/>
        <v>94.104993433315727</v>
      </c>
    </row>
    <row r="317" spans="1:20" x14ac:dyDescent="0.25">
      <c r="A317" s="5">
        <v>44276</v>
      </c>
      <c r="B317">
        <v>0.41597000000000001</v>
      </c>
      <c r="C317">
        <v>0.42371999999999999</v>
      </c>
      <c r="D317">
        <v>0.39183000000000001</v>
      </c>
      <c r="E317">
        <v>0.40347</v>
      </c>
      <c r="F317">
        <v>257265778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-0.26999059266227698</v>
      </c>
      <c r="Q317">
        <f t="shared" si="965"/>
        <v>-69459339.873941779</v>
      </c>
      <c r="R317">
        <f t="shared" si="966"/>
        <v>9655877645.7789783</v>
      </c>
      <c r="S317">
        <f t="shared" si="967"/>
        <v>96558.776457789791</v>
      </c>
      <c r="T317">
        <f t="shared" si="968"/>
        <v>96.55877645778979</v>
      </c>
    </row>
    <row r="318" spans="1:20" x14ac:dyDescent="0.25">
      <c r="A318" s="5">
        <v>44275</v>
      </c>
      <c r="B318">
        <v>0.39484999999999998</v>
      </c>
      <c r="C318">
        <v>0.43801000000000001</v>
      </c>
      <c r="D318">
        <v>0.39205000000000001</v>
      </c>
      <c r="E318">
        <v>0.41576999999999997</v>
      </c>
      <c r="F318">
        <v>326157323.30000001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3.2201914708440506E-2</v>
      </c>
      <c r="Q318">
        <f t="shared" si="965"/>
        <v>10502890.306439856</v>
      </c>
      <c r="R318">
        <f t="shared" si="966"/>
        <v>9725336985.6529198</v>
      </c>
      <c r="S318">
        <f t="shared" si="967"/>
        <v>97253.3698565292</v>
      </c>
      <c r="T318">
        <f t="shared" si="968"/>
        <v>97.253369856529204</v>
      </c>
    </row>
    <row r="319" spans="1:20" x14ac:dyDescent="0.25">
      <c r="A319" s="5">
        <v>44274</v>
      </c>
      <c r="B319">
        <v>0.39457999999999999</v>
      </c>
      <c r="C319">
        <v>0.40221000000000001</v>
      </c>
      <c r="D319">
        <v>0.38755000000000001</v>
      </c>
      <c r="E319">
        <v>0.39485999999999999</v>
      </c>
      <c r="F319">
        <v>126225533.09999999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-2.7285129604392895E-3</v>
      </c>
      <c r="Q319">
        <f t="shared" si="965"/>
        <v>-344408.00300170854</v>
      </c>
      <c r="R319">
        <f t="shared" si="966"/>
        <v>9714834095.3464794</v>
      </c>
      <c r="S319">
        <f t="shared" si="967"/>
        <v>97148.340953464794</v>
      </c>
      <c r="T319">
        <f t="shared" si="968"/>
        <v>97.148340953464796</v>
      </c>
    </row>
    <row r="320" spans="1:20" x14ac:dyDescent="0.25">
      <c r="A320" s="5">
        <v>44273</v>
      </c>
      <c r="B320">
        <v>0.40278000000000003</v>
      </c>
      <c r="C320">
        <v>0.40860999999999997</v>
      </c>
      <c r="D320">
        <v>0.39328999999999997</v>
      </c>
      <c r="E320">
        <v>0.39439000000000002</v>
      </c>
      <c r="F320">
        <v>150306925.90000001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-0.85639686684072514</v>
      </c>
      <c r="Q320">
        <f t="shared" si="965"/>
        <v>-128722380.40522105</v>
      </c>
      <c r="R320">
        <f t="shared" si="966"/>
        <v>9715178503.3494816</v>
      </c>
      <c r="S320">
        <f t="shared" si="967"/>
        <v>97151.785033494816</v>
      </c>
      <c r="T320">
        <f t="shared" si="968"/>
        <v>97.151785033494818</v>
      </c>
    </row>
    <row r="321" spans="1:20" x14ac:dyDescent="0.25">
      <c r="A321" s="5">
        <v>44272</v>
      </c>
      <c r="B321">
        <v>0.39562999999999998</v>
      </c>
      <c r="C321">
        <v>0.40494999999999998</v>
      </c>
      <c r="D321">
        <v>0.38634000000000002</v>
      </c>
      <c r="E321">
        <v>0.40267999999999998</v>
      </c>
      <c r="F321">
        <v>168153959.19999999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0.75604513702310594</v>
      </c>
      <c r="Q321">
        <f t="shared" si="965"/>
        <v>127131983.12434176</v>
      </c>
      <c r="R321">
        <f t="shared" si="966"/>
        <v>9843900883.7547035</v>
      </c>
      <c r="S321">
        <f t="shared" si="967"/>
        <v>98439.008837547037</v>
      </c>
      <c r="T321">
        <f t="shared" si="968"/>
        <v>98.439008837547036</v>
      </c>
    </row>
    <row r="322" spans="1:20" x14ac:dyDescent="0.25">
      <c r="A322" s="5">
        <v>44271</v>
      </c>
      <c r="B322">
        <v>0.38428000000000001</v>
      </c>
      <c r="C322">
        <v>0.41331000000000001</v>
      </c>
      <c r="D322">
        <v>0.37297000000000002</v>
      </c>
      <c r="E322">
        <v>0.39562999999999998</v>
      </c>
      <c r="F322">
        <v>288485490.19999999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0.12345066931085599</v>
      </c>
      <c r="Q322">
        <f t="shared" si="965"/>
        <v>35613726.851660386</v>
      </c>
      <c r="R322">
        <f t="shared" si="966"/>
        <v>9716768900.6303616</v>
      </c>
      <c r="S322">
        <f t="shared" si="967"/>
        <v>97167.689006303612</v>
      </c>
      <c r="T322">
        <f t="shared" si="968"/>
        <v>97.167689006303618</v>
      </c>
    </row>
    <row r="323" spans="1:20" x14ac:dyDescent="0.25">
      <c r="A323" s="5">
        <v>44270</v>
      </c>
      <c r="B323">
        <v>0.38833000000000001</v>
      </c>
      <c r="C323">
        <v>0.39922999999999997</v>
      </c>
      <c r="D323">
        <v>0.36720999999999998</v>
      </c>
      <c r="E323">
        <v>0.38429000000000002</v>
      </c>
      <c r="F323">
        <v>188924935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6.6833229231732877E-2</v>
      </c>
      <c r="Q323">
        <f t="shared" si="965"/>
        <v>12626463.488445234</v>
      </c>
      <c r="R323">
        <f t="shared" si="966"/>
        <v>9681155173.7787018</v>
      </c>
      <c r="S323">
        <f t="shared" si="967"/>
        <v>96811.551737787013</v>
      </c>
      <c r="T323">
        <f t="shared" si="968"/>
        <v>96.811551737787013</v>
      </c>
    </row>
    <row r="324" spans="1:20" x14ac:dyDescent="0.25">
      <c r="A324" s="5">
        <v>44269</v>
      </c>
      <c r="B324">
        <v>0.40658</v>
      </c>
      <c r="C324">
        <v>0.40887000000000001</v>
      </c>
      <c r="D324">
        <v>0.38762000000000002</v>
      </c>
      <c r="E324">
        <v>0.38830999999999999</v>
      </c>
      <c r="F324">
        <v>138069745.69999999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-0.93505882352941472</v>
      </c>
      <c r="Q324">
        <f t="shared" si="965"/>
        <v>-129103333.97924745</v>
      </c>
      <c r="R324">
        <f t="shared" si="966"/>
        <v>9668528710.2902565</v>
      </c>
      <c r="S324">
        <f t="shared" si="967"/>
        <v>96685.28710290257</v>
      </c>
      <c r="T324">
        <f t="shared" si="968"/>
        <v>96.685287102902564</v>
      </c>
    </row>
    <row r="325" spans="1:20" x14ac:dyDescent="0.25">
      <c r="A325" s="5">
        <v>44268</v>
      </c>
      <c r="B325">
        <v>0.38668000000000002</v>
      </c>
      <c r="C325">
        <v>0.41199999999999998</v>
      </c>
      <c r="D325">
        <v>0.37540000000000001</v>
      </c>
      <c r="E325">
        <v>0.40661000000000003</v>
      </c>
      <c r="F325">
        <v>193537671.90000001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0.70546448087431934</v>
      </c>
      <c r="Q325">
        <f t="shared" si="965"/>
        <v>136533953.23655784</v>
      </c>
      <c r="R325">
        <f t="shared" si="966"/>
        <v>9797632044.2695045</v>
      </c>
      <c r="S325">
        <f t="shared" si="967"/>
        <v>97976.32044269504</v>
      </c>
      <c r="T325">
        <f t="shared" si="968"/>
        <v>97.976320442695041</v>
      </c>
    </row>
    <row r="326" spans="1:20" x14ac:dyDescent="0.25">
      <c r="A326" s="5">
        <v>44267</v>
      </c>
      <c r="B326">
        <v>0.40561999999999998</v>
      </c>
      <c r="C326">
        <v>0.40706999999999999</v>
      </c>
      <c r="D326">
        <v>0.37739</v>
      </c>
      <c r="E326">
        <v>0.38657000000000002</v>
      </c>
      <c r="F326">
        <v>184560074.90000001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-0.38140161725067206</v>
      </c>
      <c r="Q326">
        <f t="shared" ref="Q326:Q389" si="970">F326*P326</f>
        <v>-70391511.046765164</v>
      </c>
      <c r="R326">
        <f t="shared" ref="R326:R389" si="971">R327+Q326</f>
        <v>9661098091.0329475</v>
      </c>
      <c r="S326">
        <f t="shared" ref="S326:S389" si="972">R326/100000</f>
        <v>96610.980910329468</v>
      </c>
      <c r="T326">
        <f t="shared" ref="T326:T389" si="973">S326/1000</f>
        <v>96.610980910329474</v>
      </c>
    </row>
    <row r="327" spans="1:20" x14ac:dyDescent="0.25">
      <c r="A327" s="5">
        <v>44266</v>
      </c>
      <c r="B327">
        <v>0.40912999999999999</v>
      </c>
      <c r="C327">
        <v>0.41289999999999999</v>
      </c>
      <c r="D327">
        <v>0.39557999999999999</v>
      </c>
      <c r="E327">
        <v>0.40564</v>
      </c>
      <c r="F327">
        <v>176882401.09999999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0.16166281755196446</v>
      </c>
      <c r="Q327">
        <f t="shared" si="970"/>
        <v>28595307.337182697</v>
      </c>
      <c r="R327">
        <f t="shared" si="971"/>
        <v>9731489602.0797119</v>
      </c>
      <c r="S327">
        <f t="shared" si="972"/>
        <v>97314.896020797125</v>
      </c>
      <c r="T327">
        <f t="shared" si="973"/>
        <v>97.314896020797121</v>
      </c>
    </row>
    <row r="328" spans="1:20" x14ac:dyDescent="0.25">
      <c r="A328" s="5">
        <v>44265</v>
      </c>
      <c r="B328">
        <v>0.43192000000000003</v>
      </c>
      <c r="C328">
        <v>0.43325999999999998</v>
      </c>
      <c r="D328">
        <v>0.40583000000000002</v>
      </c>
      <c r="E328">
        <v>0.40888999999999998</v>
      </c>
      <c r="F328">
        <v>192310325.19999999</v>
      </c>
      <c r="G328">
        <v>0</v>
      </c>
      <c r="L328" t="s">
        <v>8</v>
      </c>
      <c r="M328" t="s">
        <v>7</v>
      </c>
      <c r="N328" t="s">
        <v>8</v>
      </c>
      <c r="P328">
        <f t="shared" si="969"/>
        <v>-0.77688662048851942</v>
      </c>
      <c r="Q328">
        <f t="shared" si="970"/>
        <v>-149403318.62967613</v>
      </c>
      <c r="R328">
        <f t="shared" si="971"/>
        <v>9702894294.7425289</v>
      </c>
      <c r="S328">
        <f t="shared" si="972"/>
        <v>97028.942947425283</v>
      </c>
      <c r="T328">
        <f t="shared" si="973"/>
        <v>97.028942947425278</v>
      </c>
    </row>
    <row r="329" spans="1:20" x14ac:dyDescent="0.25">
      <c r="A329" s="5">
        <v>44264</v>
      </c>
      <c r="B329">
        <v>0.41837999999999997</v>
      </c>
      <c r="C329">
        <v>0.43480000000000002</v>
      </c>
      <c r="D329">
        <v>0.41274</v>
      </c>
      <c r="E329">
        <v>0.43186000000000002</v>
      </c>
      <c r="F329">
        <v>234072475.5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0.73345421577515912</v>
      </c>
      <c r="Q329">
        <f t="shared" si="970"/>
        <v>171681443.95240265</v>
      </c>
      <c r="R329">
        <f t="shared" si="971"/>
        <v>9852297613.3722057</v>
      </c>
      <c r="S329">
        <f t="shared" si="972"/>
        <v>98522.976133722055</v>
      </c>
      <c r="T329">
        <f t="shared" si="973"/>
        <v>98.522976133722054</v>
      </c>
    </row>
    <row r="330" spans="1:20" x14ac:dyDescent="0.25">
      <c r="A330" s="5">
        <v>44263</v>
      </c>
      <c r="B330">
        <v>0.41265000000000002</v>
      </c>
      <c r="C330">
        <v>0.42099999999999999</v>
      </c>
      <c r="D330">
        <v>0.40256999999999998</v>
      </c>
      <c r="E330">
        <v>0.41821000000000003</v>
      </c>
      <c r="F330">
        <v>168682729.09999999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0.6972327726532872</v>
      </c>
      <c r="Q330">
        <f t="shared" si="970"/>
        <v>117611126.90911633</v>
      </c>
      <c r="R330">
        <f t="shared" si="971"/>
        <v>9680616169.4198036</v>
      </c>
      <c r="S330">
        <f t="shared" si="972"/>
        <v>96806.161694198032</v>
      </c>
      <c r="T330">
        <f t="shared" si="973"/>
        <v>96.806161694198039</v>
      </c>
    </row>
    <row r="331" spans="1:20" x14ac:dyDescent="0.25">
      <c r="A331" s="5">
        <v>44262</v>
      </c>
      <c r="B331">
        <v>0.40159</v>
      </c>
      <c r="C331">
        <v>0.42237999999999998</v>
      </c>
      <c r="D331">
        <v>0.40140999999999999</v>
      </c>
      <c r="E331">
        <v>0.41265000000000002</v>
      </c>
      <c r="F331">
        <v>161937065.90000001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7.2007629947547336E-2</v>
      </c>
      <c r="Q331">
        <f t="shared" si="970"/>
        <v>11660704.316118786</v>
      </c>
      <c r="R331">
        <f t="shared" si="971"/>
        <v>9563005042.5106869</v>
      </c>
      <c r="S331">
        <f t="shared" si="972"/>
        <v>95630.050425106863</v>
      </c>
      <c r="T331">
        <f t="shared" si="973"/>
        <v>95.630050425106859</v>
      </c>
    </row>
    <row r="332" spans="1:20" x14ac:dyDescent="0.25">
      <c r="A332" s="5">
        <v>44261</v>
      </c>
      <c r="B332">
        <v>0.40489000000000003</v>
      </c>
      <c r="C332">
        <v>0.40849000000000002</v>
      </c>
      <c r="D332">
        <v>0.39204</v>
      </c>
      <c r="E332">
        <v>0.40142</v>
      </c>
      <c r="F332">
        <v>111400049.09999999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0.14042553191489215</v>
      </c>
      <c r="Q332">
        <f t="shared" si="970"/>
        <v>15643411.150212603</v>
      </c>
      <c r="R332">
        <f t="shared" si="971"/>
        <v>9551344338.1945686</v>
      </c>
      <c r="S332">
        <f t="shared" si="972"/>
        <v>95513.44338194569</v>
      </c>
      <c r="T332">
        <f t="shared" si="973"/>
        <v>95.513443381945692</v>
      </c>
    </row>
    <row r="333" spans="1:20" x14ac:dyDescent="0.25">
      <c r="A333" s="5">
        <v>44260</v>
      </c>
      <c r="B333">
        <v>0.41195999999999999</v>
      </c>
      <c r="C333">
        <v>0.41282000000000002</v>
      </c>
      <c r="D333">
        <v>0.38555</v>
      </c>
      <c r="E333">
        <v>0.40483000000000002</v>
      </c>
      <c r="F333">
        <v>176504438.40000001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0.41400806747341456</v>
      </c>
      <c r="Q333">
        <f t="shared" si="970"/>
        <v>73074261.442464352</v>
      </c>
      <c r="R333">
        <f t="shared" si="971"/>
        <v>9535700927.0443554</v>
      </c>
      <c r="S333">
        <f t="shared" si="972"/>
        <v>95357.009270443552</v>
      </c>
      <c r="T333">
        <f t="shared" si="973"/>
        <v>95.357009270443555</v>
      </c>
    </row>
    <row r="334" spans="1:20" x14ac:dyDescent="0.25">
      <c r="A334" s="5">
        <v>44259</v>
      </c>
      <c r="B334">
        <v>0.42081000000000002</v>
      </c>
      <c r="C334">
        <v>0.42849999999999999</v>
      </c>
      <c r="D334">
        <v>0.40118999999999999</v>
      </c>
      <c r="E334">
        <v>0.41182000000000002</v>
      </c>
      <c r="F334">
        <v>252643849.5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-0.22153057488099392</v>
      </c>
      <c r="Q334">
        <f t="shared" si="970"/>
        <v>-55968337.219882309</v>
      </c>
      <c r="R334">
        <f t="shared" si="971"/>
        <v>9462626665.6018906</v>
      </c>
      <c r="S334">
        <f t="shared" si="972"/>
        <v>94626.26665601891</v>
      </c>
      <c r="T334">
        <f t="shared" si="973"/>
        <v>94.626266656018913</v>
      </c>
    </row>
    <row r="335" spans="1:20" x14ac:dyDescent="0.25">
      <c r="A335" s="5">
        <v>44258</v>
      </c>
      <c r="B335">
        <v>0.41857</v>
      </c>
      <c r="C335">
        <v>0.43859999999999999</v>
      </c>
      <c r="D335">
        <v>0.41188000000000002</v>
      </c>
      <c r="E335">
        <v>0.42052</v>
      </c>
      <c r="F335">
        <v>226457001.59999999</v>
      </c>
      <c r="G335">
        <v>0</v>
      </c>
      <c r="L335" t="s">
        <v>8</v>
      </c>
      <c r="M335" t="s">
        <v>7</v>
      </c>
      <c r="N335" t="s">
        <v>8</v>
      </c>
      <c r="P335">
        <f t="shared" si="969"/>
        <v>-0.35329341317365331</v>
      </c>
      <c r="Q335">
        <f t="shared" si="970"/>
        <v>-80005767.03233546</v>
      </c>
      <c r="R335">
        <f t="shared" si="971"/>
        <v>9518595002.8217735</v>
      </c>
      <c r="S335">
        <f t="shared" si="972"/>
        <v>95185.950028217732</v>
      </c>
      <c r="T335">
        <f t="shared" si="973"/>
        <v>95.185950028217732</v>
      </c>
    </row>
    <row r="336" spans="1:20" x14ac:dyDescent="0.25">
      <c r="A336" s="5">
        <v>44257</v>
      </c>
      <c r="B336">
        <v>0.43101</v>
      </c>
      <c r="C336">
        <v>0.43631999999999999</v>
      </c>
      <c r="D336">
        <v>0.39655000000000001</v>
      </c>
      <c r="E336">
        <v>0.41855999999999999</v>
      </c>
      <c r="F336">
        <v>243838707.69999999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0.10686447070656221</v>
      </c>
      <c r="Q336">
        <f t="shared" si="970"/>
        <v>26057694.436132636</v>
      </c>
      <c r="R336">
        <f t="shared" si="971"/>
        <v>9598600769.8541088</v>
      </c>
      <c r="S336">
        <f t="shared" si="972"/>
        <v>95986.007698541085</v>
      </c>
      <c r="T336">
        <f t="shared" si="973"/>
        <v>95.986007698541087</v>
      </c>
    </row>
    <row r="337" spans="1:20" x14ac:dyDescent="0.25">
      <c r="A337" s="5">
        <v>44256</v>
      </c>
      <c r="B337">
        <v>0.40540999999999999</v>
      </c>
      <c r="C337">
        <v>0.45</v>
      </c>
      <c r="D337">
        <v>0.40000999999999998</v>
      </c>
      <c r="E337">
        <v>0.43069000000000002</v>
      </c>
      <c r="F337">
        <v>253988523.40000001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0.22744548909782034</v>
      </c>
      <c r="Q337">
        <f t="shared" si="970"/>
        <v>57768543.929946184</v>
      </c>
      <c r="R337">
        <f t="shared" si="971"/>
        <v>9572543075.4179764</v>
      </c>
      <c r="S337">
        <f t="shared" si="972"/>
        <v>95725.430754179761</v>
      </c>
      <c r="T337">
        <f t="shared" si="973"/>
        <v>95.725430754179754</v>
      </c>
    </row>
    <row r="338" spans="1:20" x14ac:dyDescent="0.25">
      <c r="A338" s="5">
        <v>44255</v>
      </c>
      <c r="B338">
        <v>0.43845000000000001</v>
      </c>
      <c r="C338">
        <v>0.45024999999999998</v>
      </c>
      <c r="D338">
        <v>0.38</v>
      </c>
      <c r="E338">
        <v>0.40587000000000001</v>
      </c>
      <c r="F338">
        <v>319632425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-0.26348754448398543</v>
      </c>
      <c r="Q338">
        <f t="shared" si="970"/>
        <v>-84219162.800711632</v>
      </c>
      <c r="R338">
        <f t="shared" si="971"/>
        <v>9514774531.4880295</v>
      </c>
      <c r="S338">
        <f t="shared" si="972"/>
        <v>95147.745314880289</v>
      </c>
      <c r="T338">
        <f t="shared" si="973"/>
        <v>95.147745314880282</v>
      </c>
    </row>
    <row r="339" spans="1:20" x14ac:dyDescent="0.25">
      <c r="A339" s="5">
        <v>44254</v>
      </c>
      <c r="B339">
        <v>0.40066000000000002</v>
      </c>
      <c r="C339">
        <v>0.47171000000000002</v>
      </c>
      <c r="D339">
        <v>0.39860000000000001</v>
      </c>
      <c r="E339">
        <v>0.43791999999999998</v>
      </c>
      <c r="F339">
        <v>527720260.39999998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7.5639447408014274E-2</v>
      </c>
      <c r="Q339">
        <f t="shared" si="970"/>
        <v>39916468.882669397</v>
      </c>
      <c r="R339">
        <f t="shared" si="971"/>
        <v>9598993694.2887402</v>
      </c>
      <c r="S339">
        <f t="shared" si="972"/>
        <v>95989.936942887405</v>
      </c>
      <c r="T339">
        <f t="shared" si="973"/>
        <v>95.989936942887411</v>
      </c>
    </row>
    <row r="340" spans="1:20" x14ac:dyDescent="0.25">
      <c r="A340" s="5">
        <v>44253</v>
      </c>
      <c r="B340">
        <v>0.38080000000000003</v>
      </c>
      <c r="C340">
        <v>0.40146999999999999</v>
      </c>
      <c r="D340">
        <v>0.35457</v>
      </c>
      <c r="E340">
        <v>0.40029999999999999</v>
      </c>
      <c r="F340">
        <v>242047636.09999999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0.95010660980810213</v>
      </c>
      <c r="Q340">
        <f t="shared" si="970"/>
        <v>229971058.94703618</v>
      </c>
      <c r="R340">
        <f t="shared" si="971"/>
        <v>9559077225.4060707</v>
      </c>
      <c r="S340">
        <f t="shared" si="972"/>
        <v>95590.772254060706</v>
      </c>
      <c r="T340">
        <f t="shared" si="973"/>
        <v>95.59077225406071</v>
      </c>
    </row>
    <row r="341" spans="1:20" x14ac:dyDescent="0.25">
      <c r="A341" s="5">
        <v>44252</v>
      </c>
      <c r="B341">
        <v>0.40492</v>
      </c>
      <c r="C341">
        <v>0.42544999999999999</v>
      </c>
      <c r="D341">
        <v>0.37637999999999999</v>
      </c>
      <c r="E341">
        <v>0.38022</v>
      </c>
      <c r="F341">
        <v>203875233.59999999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-0.84348889341756639</v>
      </c>
      <c r="Q341">
        <f t="shared" si="970"/>
        <v>-171966495.18451184</v>
      </c>
      <c r="R341">
        <f t="shared" si="971"/>
        <v>9329106166.459034</v>
      </c>
      <c r="S341">
        <f t="shared" si="972"/>
        <v>93291.061664590336</v>
      </c>
      <c r="T341">
        <f t="shared" si="973"/>
        <v>93.29106166459033</v>
      </c>
    </row>
    <row r="342" spans="1:20" x14ac:dyDescent="0.25">
      <c r="A342" s="5">
        <v>44251</v>
      </c>
      <c r="B342">
        <v>0.38646999999999998</v>
      </c>
      <c r="C342">
        <v>0.43386000000000002</v>
      </c>
      <c r="D342">
        <v>0.36763000000000001</v>
      </c>
      <c r="E342">
        <v>0.40538000000000002</v>
      </c>
      <c r="F342">
        <v>291623219.69999999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0.13996678242488297</v>
      </c>
      <c r="Q342">
        <f t="shared" si="970"/>
        <v>40817563.741793744</v>
      </c>
      <c r="R342">
        <f t="shared" si="971"/>
        <v>9501072661.6435452</v>
      </c>
      <c r="S342">
        <f t="shared" si="972"/>
        <v>95010.726616435451</v>
      </c>
      <c r="T342">
        <f t="shared" si="973"/>
        <v>95.010726616435448</v>
      </c>
    </row>
    <row r="343" spans="1:20" x14ac:dyDescent="0.25">
      <c r="A343" s="5">
        <v>44250</v>
      </c>
      <c r="B343">
        <v>0.46301999999999999</v>
      </c>
      <c r="C343">
        <v>0.46503</v>
      </c>
      <c r="D343">
        <v>0.31154999999999999</v>
      </c>
      <c r="E343">
        <v>0.38651999999999997</v>
      </c>
      <c r="F343">
        <v>623044562.20000005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-2.3064894448788394E-2</v>
      </c>
      <c r="Q343">
        <f t="shared" si="970"/>
        <v>-14370457.064034577</v>
      </c>
      <c r="R343">
        <f t="shared" si="971"/>
        <v>9460255097.9017506</v>
      </c>
      <c r="S343">
        <f t="shared" si="972"/>
        <v>94602.550979017513</v>
      </c>
      <c r="T343">
        <f t="shared" si="973"/>
        <v>94.602550979017508</v>
      </c>
    </row>
    <row r="344" spans="1:20" x14ac:dyDescent="0.25">
      <c r="A344" s="5">
        <v>44249</v>
      </c>
      <c r="B344">
        <v>0.49601000000000001</v>
      </c>
      <c r="C344">
        <v>0.52700000000000002</v>
      </c>
      <c r="D344">
        <v>0.38685000000000003</v>
      </c>
      <c r="E344">
        <v>0.46362999999999999</v>
      </c>
      <c r="F344">
        <v>514911532.69999999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9.5683196575097551E-2</v>
      </c>
      <c r="Q344">
        <f t="shared" si="970"/>
        <v>49268381.402118869</v>
      </c>
      <c r="R344">
        <f t="shared" si="971"/>
        <v>9474625554.965786</v>
      </c>
      <c r="S344">
        <f t="shared" si="972"/>
        <v>94746.255549657857</v>
      </c>
      <c r="T344">
        <f t="shared" si="973"/>
        <v>94.74625554965786</v>
      </c>
    </row>
    <row r="345" spans="1:20" x14ac:dyDescent="0.25">
      <c r="A345" s="5">
        <v>44248</v>
      </c>
      <c r="B345">
        <v>0.48587999999999998</v>
      </c>
      <c r="C345">
        <v>0.50861999999999996</v>
      </c>
      <c r="D345">
        <v>0.47371000000000002</v>
      </c>
      <c r="E345">
        <v>0.49601000000000001</v>
      </c>
      <c r="F345">
        <v>204202452.30000001</v>
      </c>
      <c r="G345">
        <v>0</v>
      </c>
      <c r="L345" t="s">
        <v>7</v>
      </c>
      <c r="M345" t="s">
        <v>8</v>
      </c>
      <c r="N345" t="s">
        <v>7</v>
      </c>
      <c r="P345">
        <f t="shared" si="969"/>
        <v>0.27757089659123596</v>
      </c>
      <c r="Q345">
        <f t="shared" si="970"/>
        <v>56680657.771040097</v>
      </c>
      <c r="R345">
        <f t="shared" si="971"/>
        <v>9425357173.5636673</v>
      </c>
      <c r="S345">
        <f t="shared" si="972"/>
        <v>94253.571735636666</v>
      </c>
      <c r="T345">
        <f t="shared" si="973"/>
        <v>94.253571735636669</v>
      </c>
    </row>
    <row r="346" spans="1:20" x14ac:dyDescent="0.25">
      <c r="A346" s="5">
        <v>44247</v>
      </c>
      <c r="B346">
        <v>0.51278000000000001</v>
      </c>
      <c r="C346">
        <v>0.53269</v>
      </c>
      <c r="D346">
        <v>0.4556</v>
      </c>
      <c r="E346">
        <v>0.48613000000000001</v>
      </c>
      <c r="F346">
        <v>370786177.60000002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-0.20793877286288742</v>
      </c>
      <c r="Q346">
        <f t="shared" si="970"/>
        <v>-77100822.764664635</v>
      </c>
      <c r="R346">
        <f t="shared" si="971"/>
        <v>9368676515.7926273</v>
      </c>
      <c r="S346">
        <f t="shared" si="972"/>
        <v>93686.765157926275</v>
      </c>
      <c r="T346">
        <f t="shared" si="973"/>
        <v>93.686765157926274</v>
      </c>
    </row>
    <row r="347" spans="1:20" x14ac:dyDescent="0.25">
      <c r="A347" s="5">
        <v>44246</v>
      </c>
      <c r="B347">
        <v>0.49653999999999998</v>
      </c>
      <c r="C347">
        <v>0.52200000000000002</v>
      </c>
      <c r="D347">
        <v>0.48248999999999997</v>
      </c>
      <c r="E347">
        <v>0.51278000000000001</v>
      </c>
      <c r="F347">
        <v>255881661.40000001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0.53328271323715537</v>
      </c>
      <c r="Q347">
        <f t="shared" si="970"/>
        <v>136457266.65902311</v>
      </c>
      <c r="R347">
        <f t="shared" si="971"/>
        <v>9445777338.557291</v>
      </c>
      <c r="S347">
        <f t="shared" si="972"/>
        <v>94457.773385572917</v>
      </c>
      <c r="T347">
        <f t="shared" si="973"/>
        <v>94.457773385572921</v>
      </c>
    </row>
    <row r="348" spans="1:20" x14ac:dyDescent="0.25">
      <c r="A348" s="5">
        <v>44245</v>
      </c>
      <c r="B348">
        <v>0.49747999999999998</v>
      </c>
      <c r="C348">
        <v>0.51632</v>
      </c>
      <c r="D348">
        <v>0.48311999999999999</v>
      </c>
      <c r="E348">
        <v>0.49656</v>
      </c>
      <c r="F348">
        <v>223141451.80000001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-0.19036144578313224</v>
      </c>
      <c r="Q348">
        <f t="shared" si="970"/>
        <v>-42477529.378795117</v>
      </c>
      <c r="R348">
        <f t="shared" si="971"/>
        <v>9309320071.8982677</v>
      </c>
      <c r="S348">
        <f t="shared" si="972"/>
        <v>93093.200718982684</v>
      </c>
      <c r="T348">
        <f t="shared" si="973"/>
        <v>93.093200718982686</v>
      </c>
    </row>
    <row r="349" spans="1:20" x14ac:dyDescent="0.25">
      <c r="A349" s="5">
        <v>44244</v>
      </c>
      <c r="B349">
        <v>0.48526000000000002</v>
      </c>
      <c r="C349">
        <v>0.50971</v>
      </c>
      <c r="D349">
        <v>0.45578999999999997</v>
      </c>
      <c r="E349">
        <v>0.49736999999999998</v>
      </c>
      <c r="F349">
        <v>236397721.69999999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0.54228486646884233</v>
      </c>
      <c r="Q349">
        <f t="shared" si="970"/>
        <v>128194906.94562304</v>
      </c>
      <c r="R349">
        <f t="shared" si="971"/>
        <v>9351797601.2770634</v>
      </c>
      <c r="S349">
        <f t="shared" si="972"/>
        <v>93517.976012770639</v>
      </c>
      <c r="T349">
        <f t="shared" si="973"/>
        <v>93.517976012770646</v>
      </c>
    </row>
    <row r="350" spans="1:20" x14ac:dyDescent="0.25">
      <c r="A350" s="5">
        <v>44243</v>
      </c>
      <c r="B350">
        <v>0.49448999999999999</v>
      </c>
      <c r="C350">
        <v>0.51800000000000002</v>
      </c>
      <c r="D350">
        <v>0.46756999999999999</v>
      </c>
      <c r="E350">
        <v>0.48533999999999999</v>
      </c>
      <c r="F350">
        <v>292280117.69999999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-0.29526075748562375</v>
      </c>
      <c r="Q350">
        <f t="shared" si="970"/>
        <v>-86298848.950089261</v>
      </c>
      <c r="R350">
        <f t="shared" si="971"/>
        <v>9223602694.33144</v>
      </c>
      <c r="S350">
        <f t="shared" si="972"/>
        <v>92236.026943314399</v>
      </c>
      <c r="T350">
        <f t="shared" si="973"/>
        <v>92.2360269433144</v>
      </c>
    </row>
    <row r="351" spans="1:20" x14ac:dyDescent="0.25">
      <c r="A351" s="5">
        <v>44242</v>
      </c>
      <c r="B351">
        <v>0.51554999999999995</v>
      </c>
      <c r="C351">
        <v>0.53998999999999997</v>
      </c>
      <c r="D351">
        <v>0.42</v>
      </c>
      <c r="E351">
        <v>0.49474000000000001</v>
      </c>
      <c r="F351">
        <v>569631456.70000005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0.24577048087340675</v>
      </c>
      <c r="Q351">
        <f t="shared" si="970"/>
        <v>139998597.03377819</v>
      </c>
      <c r="R351">
        <f t="shared" si="971"/>
        <v>9309901543.2815285</v>
      </c>
      <c r="S351">
        <f t="shared" si="972"/>
        <v>93099.015432815286</v>
      </c>
      <c r="T351">
        <f t="shared" si="973"/>
        <v>93.099015432815293</v>
      </c>
    </row>
    <row r="352" spans="1:20" x14ac:dyDescent="0.25">
      <c r="A352" s="5">
        <v>44241</v>
      </c>
      <c r="B352">
        <v>0.56454000000000004</v>
      </c>
      <c r="C352">
        <v>0.57784000000000002</v>
      </c>
      <c r="D352">
        <v>0.49296000000000001</v>
      </c>
      <c r="E352">
        <v>0.51590999999999998</v>
      </c>
      <c r="F352">
        <v>416999858.10000002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-0.45923656927427031</v>
      </c>
      <c r="Q352">
        <f t="shared" si="970"/>
        <v>-191501584.22170156</v>
      </c>
      <c r="R352">
        <f t="shared" si="971"/>
        <v>9169902946.2477493</v>
      </c>
      <c r="S352">
        <f t="shared" si="972"/>
        <v>91699.029462477498</v>
      </c>
      <c r="T352">
        <f t="shared" si="973"/>
        <v>91.699029462477498</v>
      </c>
    </row>
    <row r="353" spans="1:20" x14ac:dyDescent="0.25">
      <c r="A353" s="5">
        <v>44240</v>
      </c>
      <c r="B353">
        <v>0.52851000000000004</v>
      </c>
      <c r="C353">
        <v>0.60692000000000002</v>
      </c>
      <c r="D353">
        <v>0.50753000000000004</v>
      </c>
      <c r="E353">
        <v>0.56455999999999995</v>
      </c>
      <c r="F353">
        <v>884628802.95000005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0.14760036220947634</v>
      </c>
      <c r="Q353">
        <f t="shared" si="970"/>
        <v>130571531.73635548</v>
      </c>
      <c r="R353">
        <f t="shared" si="971"/>
        <v>9361404530.46945</v>
      </c>
      <c r="S353">
        <f t="shared" si="972"/>
        <v>93614.045304694504</v>
      </c>
      <c r="T353">
        <f t="shared" si="973"/>
        <v>93.6140453046945</v>
      </c>
    </row>
    <row r="354" spans="1:20" x14ac:dyDescent="0.25">
      <c r="A354" s="5">
        <v>44239</v>
      </c>
      <c r="B354">
        <v>0.45607999999999999</v>
      </c>
      <c r="C354">
        <v>0.53634999999999999</v>
      </c>
      <c r="D354">
        <v>0.43639</v>
      </c>
      <c r="E354">
        <v>0.52853000000000006</v>
      </c>
      <c r="F354">
        <v>608050495.28999996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0.84353741496598766</v>
      </c>
      <c r="Q354">
        <f t="shared" si="970"/>
        <v>512913342.96571505</v>
      </c>
      <c r="R354">
        <f t="shared" si="971"/>
        <v>9230832998.7330952</v>
      </c>
      <c r="S354">
        <f t="shared" si="972"/>
        <v>92308.329987330959</v>
      </c>
      <c r="T354">
        <f t="shared" si="973"/>
        <v>92.308329987330964</v>
      </c>
    </row>
    <row r="355" spans="1:20" x14ac:dyDescent="0.25">
      <c r="A355" s="5">
        <v>44238</v>
      </c>
      <c r="B355">
        <v>0.41494999999999999</v>
      </c>
      <c r="C355">
        <v>0.47</v>
      </c>
      <c r="D355">
        <v>0.41043000000000002</v>
      </c>
      <c r="E355">
        <v>0.45604</v>
      </c>
      <c r="F355">
        <v>550048930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0.53130770522074933</v>
      </c>
      <c r="Q355">
        <f t="shared" si="970"/>
        <v>292245234.75742859</v>
      </c>
      <c r="R355">
        <f t="shared" si="971"/>
        <v>8717919655.7673798</v>
      </c>
      <c r="S355">
        <f t="shared" si="972"/>
        <v>87179.1965576738</v>
      </c>
      <c r="T355">
        <f t="shared" si="973"/>
        <v>87.179196557673805</v>
      </c>
    </row>
    <row r="356" spans="1:20" x14ac:dyDescent="0.25">
      <c r="A356" s="5">
        <v>44237</v>
      </c>
      <c r="B356">
        <v>0.40017999999999998</v>
      </c>
      <c r="C356">
        <v>0.44696000000000002</v>
      </c>
      <c r="D356">
        <v>0.372</v>
      </c>
      <c r="E356">
        <v>0.41494999999999999</v>
      </c>
      <c r="F356">
        <v>672940856.83000004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0.14594450373532478</v>
      </c>
      <c r="Q356">
        <f t="shared" si="970"/>
        <v>98212019.393278599</v>
      </c>
      <c r="R356">
        <f t="shared" si="971"/>
        <v>8425674421.0099506</v>
      </c>
      <c r="S356">
        <f t="shared" si="972"/>
        <v>84256.74421009951</v>
      </c>
      <c r="T356">
        <f t="shared" si="973"/>
        <v>84.256744210099512</v>
      </c>
    </row>
    <row r="357" spans="1:20" x14ac:dyDescent="0.25">
      <c r="A357" s="5">
        <v>44236</v>
      </c>
      <c r="B357">
        <v>0.39660000000000001</v>
      </c>
      <c r="C357">
        <v>0.40566999999999998</v>
      </c>
      <c r="D357">
        <v>0.38240000000000002</v>
      </c>
      <c r="E357">
        <v>0.40022000000000002</v>
      </c>
      <c r="F357">
        <v>343877325.80000001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0.5315857327030542</v>
      </c>
      <c r="Q357">
        <f t="shared" si="970"/>
        <v>182800280.19535989</v>
      </c>
      <c r="R357">
        <f t="shared" si="971"/>
        <v>8327462401.6166716</v>
      </c>
      <c r="S357">
        <f t="shared" si="972"/>
        <v>83274.624016166723</v>
      </c>
      <c r="T357">
        <f t="shared" si="973"/>
        <v>83.274624016166726</v>
      </c>
    </row>
    <row r="358" spans="1:20" x14ac:dyDescent="0.25">
      <c r="A358" s="5">
        <v>44235</v>
      </c>
      <c r="B358">
        <v>0.38535000000000003</v>
      </c>
      <c r="C358">
        <v>0.40350000000000003</v>
      </c>
      <c r="D358">
        <v>0.37319000000000002</v>
      </c>
      <c r="E358">
        <v>0.39660000000000001</v>
      </c>
      <c r="F358">
        <v>515153861.5</v>
      </c>
      <c r="G358">
        <v>0</v>
      </c>
      <c r="L358" t="s">
        <v>7</v>
      </c>
      <c r="M358" t="s">
        <v>8</v>
      </c>
      <c r="N358" t="s">
        <v>8</v>
      </c>
      <c r="P358">
        <f t="shared" si="969"/>
        <v>0.54470471791487851</v>
      </c>
      <c r="Q358">
        <f t="shared" si="970"/>
        <v>280606738.81111789</v>
      </c>
      <c r="R358">
        <f t="shared" si="971"/>
        <v>8144662121.4213114</v>
      </c>
      <c r="S358">
        <f t="shared" si="972"/>
        <v>81446.621214213112</v>
      </c>
      <c r="T358">
        <f t="shared" si="973"/>
        <v>81.44662121421311</v>
      </c>
    </row>
    <row r="359" spans="1:20" x14ac:dyDescent="0.25">
      <c r="A359" s="5">
        <v>44234</v>
      </c>
      <c r="B359">
        <v>0.37766</v>
      </c>
      <c r="C359">
        <v>0.42249999999999999</v>
      </c>
      <c r="D359">
        <v>0.36264999999999997</v>
      </c>
      <c r="E359">
        <v>0.38540000000000002</v>
      </c>
      <c r="F359">
        <v>1182745261.4300001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-0.2397660818713436</v>
      </c>
      <c r="Q359">
        <f t="shared" si="970"/>
        <v>-283582197.18496907</v>
      </c>
      <c r="R359">
        <f t="shared" si="971"/>
        <v>7864055382.6101933</v>
      </c>
      <c r="S359">
        <f t="shared" si="972"/>
        <v>78640.553826101939</v>
      </c>
      <c r="T359">
        <f t="shared" si="973"/>
        <v>78.640553826101936</v>
      </c>
    </row>
    <row r="360" spans="1:20" x14ac:dyDescent="0.25">
      <c r="A360" s="5">
        <v>44233</v>
      </c>
      <c r="B360">
        <v>0.35164000000000001</v>
      </c>
      <c r="C360">
        <v>0.39800000000000002</v>
      </c>
      <c r="D360">
        <v>0.33585999999999999</v>
      </c>
      <c r="E360">
        <v>0.37739</v>
      </c>
      <c r="F360">
        <v>616921269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0.33665915674283853</v>
      </c>
      <c r="Q360">
        <f t="shared" si="970"/>
        <v>207692194.19826186</v>
      </c>
      <c r="R360">
        <f t="shared" si="971"/>
        <v>8147637579.7951622</v>
      </c>
      <c r="S360">
        <f t="shared" si="972"/>
        <v>81476.375797951623</v>
      </c>
      <c r="T360">
        <f t="shared" si="973"/>
        <v>81.476375797951619</v>
      </c>
    </row>
    <row r="361" spans="1:20" x14ac:dyDescent="0.25">
      <c r="A361" s="5">
        <v>44232</v>
      </c>
      <c r="B361">
        <v>0.32596999999999998</v>
      </c>
      <c r="C361">
        <v>0.36284</v>
      </c>
      <c r="D361">
        <v>0.32500000000000001</v>
      </c>
      <c r="E361">
        <v>0.35154999999999997</v>
      </c>
      <c r="F361">
        <v>512517525.30000001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0.40327695560253557</v>
      </c>
      <c r="Q361">
        <f t="shared" si="970"/>
        <v>206686507.29592949</v>
      </c>
      <c r="R361">
        <f t="shared" si="971"/>
        <v>7939945385.5969</v>
      </c>
      <c r="S361">
        <f t="shared" si="972"/>
        <v>79399.453855968997</v>
      </c>
      <c r="T361">
        <f t="shared" si="973"/>
        <v>79.399453855969</v>
      </c>
    </row>
    <row r="362" spans="1:20" x14ac:dyDescent="0.25">
      <c r="A362" s="5">
        <v>44231</v>
      </c>
      <c r="B362">
        <v>0.34671999999999997</v>
      </c>
      <c r="C362">
        <v>0.34999000000000002</v>
      </c>
      <c r="D362">
        <v>0.31244</v>
      </c>
      <c r="E362">
        <v>0.32568999999999998</v>
      </c>
      <c r="F362">
        <v>326942654.89999998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-0.29427430093209189</v>
      </c>
      <c r="Q362">
        <f t="shared" si="970"/>
        <v>-96210821.215579659</v>
      </c>
      <c r="R362">
        <f t="shared" si="971"/>
        <v>7733258878.3009701</v>
      </c>
      <c r="S362">
        <f t="shared" si="972"/>
        <v>77332.588783009705</v>
      </c>
      <c r="T362">
        <f t="shared" si="973"/>
        <v>77.332588783009712</v>
      </c>
    </row>
    <row r="363" spans="1:20" x14ac:dyDescent="0.25">
      <c r="A363" s="5">
        <v>44230</v>
      </c>
      <c r="B363">
        <v>0.33932000000000001</v>
      </c>
      <c r="C363">
        <v>0.34871999999999997</v>
      </c>
      <c r="D363">
        <v>0.32919999999999999</v>
      </c>
      <c r="E363">
        <v>0.34670000000000001</v>
      </c>
      <c r="F363">
        <v>294482311.60000002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0.79303278688524914</v>
      </c>
      <c r="Q363">
        <f t="shared" si="970"/>
        <v>233534128.25655836</v>
      </c>
      <c r="R363">
        <f t="shared" si="971"/>
        <v>7829469699.5165501</v>
      </c>
      <c r="S363">
        <f t="shared" si="972"/>
        <v>78294.696995165505</v>
      </c>
      <c r="T363">
        <f t="shared" si="973"/>
        <v>78.294696995165509</v>
      </c>
    </row>
    <row r="364" spans="1:20" x14ac:dyDescent="0.25">
      <c r="A364" s="5">
        <v>44229</v>
      </c>
      <c r="B364">
        <v>0.32353999999999999</v>
      </c>
      <c r="C364">
        <v>0.34999000000000002</v>
      </c>
      <c r="D364">
        <v>0.31735000000000002</v>
      </c>
      <c r="E364">
        <v>0.33932000000000001</v>
      </c>
      <c r="F364">
        <v>484489799.80000001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0.34620098039215613</v>
      </c>
      <c r="Q364">
        <f t="shared" si="970"/>
        <v>167730843.68075946</v>
      </c>
      <c r="R364">
        <f t="shared" si="971"/>
        <v>7595935571.2599916</v>
      </c>
      <c r="S364">
        <f t="shared" si="972"/>
        <v>75959.355712599921</v>
      </c>
      <c r="T364">
        <f t="shared" si="973"/>
        <v>75.959355712599915</v>
      </c>
    </row>
    <row r="365" spans="1:20" x14ac:dyDescent="0.25">
      <c r="A365" s="5">
        <v>44228</v>
      </c>
      <c r="B365">
        <v>0.30703999999999998</v>
      </c>
      <c r="C365">
        <v>0.36960999999999999</v>
      </c>
      <c r="D365">
        <v>0.29236000000000001</v>
      </c>
      <c r="E365">
        <v>0.32323000000000002</v>
      </c>
      <c r="F365">
        <v>1090168896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-0.20077669902912584</v>
      </c>
      <c r="Q365">
        <f t="shared" si="970"/>
        <v>-218880512.32310638</v>
      </c>
      <c r="R365">
        <f t="shared" si="971"/>
        <v>7428204727.5792322</v>
      </c>
      <c r="S365">
        <f t="shared" si="972"/>
        <v>74282.047275792327</v>
      </c>
      <c r="T365">
        <f t="shared" si="973"/>
        <v>74.282047275792323</v>
      </c>
    </row>
    <row r="366" spans="1:20" x14ac:dyDescent="0.25">
      <c r="A366" s="5">
        <v>44227</v>
      </c>
      <c r="B366">
        <v>0.32846999999999998</v>
      </c>
      <c r="C366">
        <v>0.33949000000000001</v>
      </c>
      <c r="D366">
        <v>0.29322999999999999</v>
      </c>
      <c r="E366">
        <v>0.30703999999999998</v>
      </c>
      <c r="F366">
        <v>658606929.20000005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-0.40293990488543097</v>
      </c>
      <c r="Q366">
        <f t="shared" si="970"/>
        <v>-265379013.40873379</v>
      </c>
      <c r="R366">
        <f t="shared" si="971"/>
        <v>7647085239.902339</v>
      </c>
      <c r="S366">
        <f t="shared" si="972"/>
        <v>76470.852399023395</v>
      </c>
      <c r="T366">
        <f t="shared" si="973"/>
        <v>76.4708523990234</v>
      </c>
    </row>
    <row r="367" spans="1:20" x14ac:dyDescent="0.25">
      <c r="A367" s="5">
        <v>44226</v>
      </c>
      <c r="B367">
        <v>0.29326999999999998</v>
      </c>
      <c r="C367">
        <v>0.36499999999999999</v>
      </c>
      <c r="D367">
        <v>0.27944000000000002</v>
      </c>
      <c r="E367">
        <v>0.32790999999999998</v>
      </c>
      <c r="F367">
        <v>1176619630.2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0.13300607760635752</v>
      </c>
      <c r="Q367">
        <f t="shared" si="970"/>
        <v>156497561.84754488</v>
      </c>
      <c r="R367">
        <f t="shared" si="971"/>
        <v>7912464253.3110723</v>
      </c>
      <c r="S367">
        <f t="shared" si="972"/>
        <v>79124.642533110717</v>
      </c>
      <c r="T367">
        <f t="shared" si="973"/>
        <v>79.124642533110716</v>
      </c>
    </row>
    <row r="368" spans="1:20" x14ac:dyDescent="0.25">
      <c r="A368" s="5">
        <v>44225</v>
      </c>
      <c r="B368">
        <v>0.29329</v>
      </c>
      <c r="C368">
        <v>0.38367000000000001</v>
      </c>
      <c r="D368">
        <v>0.28560000000000002</v>
      </c>
      <c r="E368">
        <v>0.29321999999999998</v>
      </c>
      <c r="F368">
        <v>1835251498.9000001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-0.84460079535026078</v>
      </c>
      <c r="Q368">
        <f t="shared" si="970"/>
        <v>-1550054875.6386983</v>
      </c>
      <c r="R368">
        <f t="shared" si="971"/>
        <v>7755966691.4635277</v>
      </c>
      <c r="S368">
        <f t="shared" si="972"/>
        <v>77559.66691463528</v>
      </c>
      <c r="T368">
        <f t="shared" si="973"/>
        <v>77.559666914635287</v>
      </c>
    </row>
    <row r="369" spans="1:20" x14ac:dyDescent="0.25">
      <c r="A369" s="5">
        <v>44224</v>
      </c>
      <c r="B369">
        <v>0.23766999999999999</v>
      </c>
      <c r="C369">
        <v>0.30376999999999998</v>
      </c>
      <c r="D369">
        <v>0.23202999999999999</v>
      </c>
      <c r="E369">
        <v>0.29305999999999999</v>
      </c>
      <c r="F369">
        <v>462056226.69999999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0.70142180094786732</v>
      </c>
      <c r="Q369">
        <f t="shared" si="970"/>
        <v>324096310.67109007</v>
      </c>
      <c r="R369">
        <f t="shared" si="971"/>
        <v>9306021567.1022263</v>
      </c>
      <c r="S369">
        <f t="shared" si="972"/>
        <v>93060.215671022263</v>
      </c>
      <c r="T369">
        <f t="shared" si="973"/>
        <v>93.060215671022263</v>
      </c>
    </row>
    <row r="370" spans="1:20" x14ac:dyDescent="0.25">
      <c r="A370" s="5">
        <v>44223</v>
      </c>
      <c r="B370">
        <v>0.26156000000000001</v>
      </c>
      <c r="C370">
        <v>0.26228000000000001</v>
      </c>
      <c r="D370">
        <v>0.2301</v>
      </c>
      <c r="E370">
        <v>0.23779</v>
      </c>
      <c r="F370">
        <v>164626281.30000001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-0.52206339341205721</v>
      </c>
      <c r="Q370">
        <f t="shared" si="970"/>
        <v>-85945355.060285896</v>
      </c>
      <c r="R370">
        <f t="shared" si="971"/>
        <v>8981925256.4311371</v>
      </c>
      <c r="S370">
        <f t="shared" si="972"/>
        <v>89819.252564311377</v>
      </c>
      <c r="T370">
        <f t="shared" si="973"/>
        <v>89.81925256431137</v>
      </c>
    </row>
    <row r="371" spans="1:20" x14ac:dyDescent="0.25">
      <c r="A371" s="5">
        <v>44222</v>
      </c>
      <c r="B371">
        <v>0.26094000000000001</v>
      </c>
      <c r="C371">
        <v>0.26518000000000003</v>
      </c>
      <c r="D371">
        <v>0.24836</v>
      </c>
      <c r="E371">
        <v>0.26144000000000001</v>
      </c>
      <c r="F371">
        <v>152994432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0.55529131985731095</v>
      </c>
      <c r="Q371">
        <f t="shared" si="970"/>
        <v>84956480.076099604</v>
      </c>
      <c r="R371">
        <f t="shared" si="971"/>
        <v>9067870611.4914227</v>
      </c>
      <c r="S371">
        <f t="shared" si="972"/>
        <v>90678.706114914225</v>
      </c>
      <c r="T371">
        <f t="shared" si="973"/>
        <v>90.67870611491422</v>
      </c>
    </row>
    <row r="372" spans="1:20" x14ac:dyDescent="0.25">
      <c r="A372" s="5">
        <v>44221</v>
      </c>
      <c r="B372">
        <v>0.27139000000000002</v>
      </c>
      <c r="C372">
        <v>0.27714</v>
      </c>
      <c r="D372">
        <v>0.25974000000000003</v>
      </c>
      <c r="E372">
        <v>0.26101999999999997</v>
      </c>
      <c r="F372">
        <v>187688410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-0.85287356321839658</v>
      </c>
      <c r="Q372">
        <f t="shared" si="970"/>
        <v>-160074483.01149532</v>
      </c>
      <c r="R372">
        <f t="shared" si="971"/>
        <v>8982914131.4153233</v>
      </c>
      <c r="S372">
        <f t="shared" si="972"/>
        <v>89829.141314153239</v>
      </c>
      <c r="T372">
        <f t="shared" si="973"/>
        <v>89.829141314153233</v>
      </c>
    </row>
    <row r="373" spans="1:20" x14ac:dyDescent="0.25">
      <c r="A373" s="5">
        <v>44220</v>
      </c>
      <c r="B373">
        <v>0.26976</v>
      </c>
      <c r="C373">
        <v>0.28310000000000002</v>
      </c>
      <c r="D373">
        <v>0.26219999999999999</v>
      </c>
      <c r="E373">
        <v>0.27138000000000001</v>
      </c>
      <c r="F373">
        <v>219146598.30000001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-0.12153110047846809</v>
      </c>
      <c r="Q373">
        <f t="shared" si="970"/>
        <v>-26633127.257511783</v>
      </c>
      <c r="R373">
        <f t="shared" si="971"/>
        <v>9142988614.4268188</v>
      </c>
      <c r="S373">
        <f t="shared" si="972"/>
        <v>91429.886144268195</v>
      </c>
      <c r="T373">
        <f t="shared" si="973"/>
        <v>91.429886144268195</v>
      </c>
    </row>
    <row r="374" spans="1:20" x14ac:dyDescent="0.25">
      <c r="A374" s="5">
        <v>44219</v>
      </c>
      <c r="B374">
        <v>0.26928000000000002</v>
      </c>
      <c r="C374">
        <v>0.27956999999999999</v>
      </c>
      <c r="D374">
        <v>0.26301999999999998</v>
      </c>
      <c r="E374">
        <v>0.26977000000000001</v>
      </c>
      <c r="F374">
        <v>206829031.30000001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-0.18429003021147675</v>
      </c>
      <c r="Q374">
        <f t="shared" si="970"/>
        <v>-38116528.426887475</v>
      </c>
      <c r="R374">
        <f t="shared" si="971"/>
        <v>9169621741.68433</v>
      </c>
      <c r="S374">
        <f t="shared" si="972"/>
        <v>91696.217416843298</v>
      </c>
      <c r="T374">
        <f t="shared" si="973"/>
        <v>91.696217416843297</v>
      </c>
    </row>
    <row r="375" spans="1:20" x14ac:dyDescent="0.25">
      <c r="A375" s="5">
        <v>44218</v>
      </c>
      <c r="B375">
        <v>0.25124999999999997</v>
      </c>
      <c r="C375">
        <v>0.28199999999999997</v>
      </c>
      <c r="D375">
        <v>0.22700000000000001</v>
      </c>
      <c r="E375">
        <v>0.26940999999999998</v>
      </c>
      <c r="F375">
        <v>417369524.60000002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0.54218181818181821</v>
      </c>
      <c r="Q375">
        <f t="shared" si="970"/>
        <v>226290167.70130911</v>
      </c>
      <c r="R375">
        <f t="shared" si="971"/>
        <v>9207738270.1112175</v>
      </c>
      <c r="S375">
        <f t="shared" si="972"/>
        <v>92077.382701112176</v>
      </c>
      <c r="T375">
        <f t="shared" si="973"/>
        <v>92.077382701112171</v>
      </c>
    </row>
    <row r="376" spans="1:20" x14ac:dyDescent="0.25">
      <c r="A376" s="5">
        <v>44217</v>
      </c>
      <c r="B376">
        <v>0.29364000000000001</v>
      </c>
      <c r="C376">
        <v>0.29492000000000002</v>
      </c>
      <c r="D376">
        <v>0.24288000000000001</v>
      </c>
      <c r="E376">
        <v>0.25140000000000001</v>
      </c>
      <c r="F376">
        <v>296818169.10000002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-0.67255956956187546</v>
      </c>
      <c r="Q376">
        <f t="shared" si="970"/>
        <v>-199627900.04803997</v>
      </c>
      <c r="R376">
        <f t="shared" si="971"/>
        <v>8981448102.4099083</v>
      </c>
      <c r="S376">
        <f t="shared" si="972"/>
        <v>89814.481024099077</v>
      </c>
      <c r="T376">
        <f t="shared" si="973"/>
        <v>89.814481024099081</v>
      </c>
    </row>
    <row r="377" spans="1:20" x14ac:dyDescent="0.25">
      <c r="A377" s="5">
        <v>44216</v>
      </c>
      <c r="B377">
        <v>0.29775000000000001</v>
      </c>
      <c r="C377">
        <v>0.30192999999999998</v>
      </c>
      <c r="D377">
        <v>0.27345999999999998</v>
      </c>
      <c r="E377">
        <v>0.29358000000000001</v>
      </c>
      <c r="F377">
        <v>312544139.10000002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0.4134176325957169</v>
      </c>
      <c r="Q377">
        <f t="shared" si="970"/>
        <v>129211258.06838845</v>
      </c>
      <c r="R377">
        <f t="shared" si="971"/>
        <v>9181076002.4579487</v>
      </c>
      <c r="S377">
        <f t="shared" si="972"/>
        <v>91810.760024579489</v>
      </c>
      <c r="T377">
        <f t="shared" si="973"/>
        <v>91.810760024579494</v>
      </c>
    </row>
    <row r="378" spans="1:20" x14ac:dyDescent="0.25">
      <c r="A378" s="5">
        <v>44215</v>
      </c>
      <c r="B378">
        <v>0.30530000000000002</v>
      </c>
      <c r="C378">
        <v>0.31995000000000001</v>
      </c>
      <c r="D378">
        <v>0.28999999999999998</v>
      </c>
      <c r="E378">
        <v>0.29748000000000002</v>
      </c>
      <c r="F378">
        <v>492748733.19999999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-0.50050083472453866</v>
      </c>
      <c r="Q378">
        <f t="shared" si="970"/>
        <v>-246621152.276059</v>
      </c>
      <c r="R378">
        <f t="shared" si="971"/>
        <v>9051864744.3895607</v>
      </c>
      <c r="S378">
        <f t="shared" si="972"/>
        <v>90518.647443895607</v>
      </c>
      <c r="T378">
        <f t="shared" si="973"/>
        <v>90.518647443895603</v>
      </c>
    </row>
    <row r="379" spans="1:20" x14ac:dyDescent="0.25">
      <c r="A379" s="5">
        <v>44214</v>
      </c>
      <c r="B379">
        <v>0.30368000000000001</v>
      </c>
      <c r="C379">
        <v>0.30929000000000001</v>
      </c>
      <c r="D379">
        <v>0.29303000000000001</v>
      </c>
      <c r="E379">
        <v>0.30543999999999999</v>
      </c>
      <c r="F379">
        <v>276589020.69999999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0.52644526445264195</v>
      </c>
      <c r="Q379">
        <f t="shared" si="970"/>
        <v>145608980.14710876</v>
      </c>
      <c r="R379">
        <f t="shared" si="971"/>
        <v>9298485896.6656189</v>
      </c>
      <c r="S379">
        <f t="shared" si="972"/>
        <v>92984.858966656189</v>
      </c>
      <c r="T379">
        <f t="shared" si="973"/>
        <v>92.984858966656191</v>
      </c>
    </row>
    <row r="380" spans="1:20" x14ac:dyDescent="0.25">
      <c r="A380" s="5">
        <v>44213</v>
      </c>
      <c r="B380">
        <v>0.29075000000000001</v>
      </c>
      <c r="C380">
        <v>0.31940000000000002</v>
      </c>
      <c r="D380">
        <v>0.28599999999999998</v>
      </c>
      <c r="E380">
        <v>0.30380000000000001</v>
      </c>
      <c r="F380">
        <v>543229586.60000002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6.5868263473054869E-2</v>
      </c>
      <c r="Q380">
        <f t="shared" si="970"/>
        <v>35781589.536527477</v>
      </c>
      <c r="R380">
        <f t="shared" si="971"/>
        <v>9152876916.5185108</v>
      </c>
      <c r="S380">
        <f t="shared" si="972"/>
        <v>91528.769165185106</v>
      </c>
      <c r="T380">
        <f t="shared" si="973"/>
        <v>91.528769165185111</v>
      </c>
    </row>
    <row r="381" spans="1:20" x14ac:dyDescent="0.25">
      <c r="A381" s="5">
        <v>44212</v>
      </c>
      <c r="B381">
        <v>0.28388999999999998</v>
      </c>
      <c r="C381">
        <v>0.31190000000000001</v>
      </c>
      <c r="D381">
        <v>0.27679999999999999</v>
      </c>
      <c r="E381">
        <v>0.29075000000000001</v>
      </c>
      <c r="F381">
        <v>465267798.19999999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-0.20512820512820457</v>
      </c>
      <c r="Q381">
        <f t="shared" si="970"/>
        <v>-95439548.34871769</v>
      </c>
      <c r="R381">
        <f t="shared" si="971"/>
        <v>9117095326.9819832</v>
      </c>
      <c r="S381">
        <f t="shared" si="972"/>
        <v>91170.953269819831</v>
      </c>
      <c r="T381">
        <f t="shared" si="973"/>
        <v>91.170953269819833</v>
      </c>
    </row>
    <row r="382" spans="1:20" x14ac:dyDescent="0.25">
      <c r="A382" s="5">
        <v>44211</v>
      </c>
      <c r="B382">
        <v>0.30349999999999999</v>
      </c>
      <c r="C382">
        <v>0.31375999999999998</v>
      </c>
      <c r="D382">
        <v>0.25890000000000002</v>
      </c>
      <c r="E382">
        <v>0.28373999999999999</v>
      </c>
      <c r="F382">
        <v>473470475.19999999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-9.4422165512213288E-2</v>
      </c>
      <c r="Q382">
        <f t="shared" si="970"/>
        <v>-44706107.574480675</v>
      </c>
      <c r="R382">
        <f t="shared" si="971"/>
        <v>9212534875.3307018</v>
      </c>
      <c r="S382">
        <f t="shared" si="972"/>
        <v>92125.348753307015</v>
      </c>
      <c r="T382">
        <f t="shared" si="973"/>
        <v>92.125348753307009</v>
      </c>
    </row>
    <row r="383" spans="1:20" x14ac:dyDescent="0.25">
      <c r="A383" s="5">
        <v>44210</v>
      </c>
      <c r="B383">
        <v>0.30381999999999998</v>
      </c>
      <c r="C383">
        <v>0.32440000000000002</v>
      </c>
      <c r="D383">
        <v>0.28758</v>
      </c>
      <c r="E383">
        <v>0.30349999999999999</v>
      </c>
      <c r="F383">
        <v>509036633.69999999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-0.13525258011950128</v>
      </c>
      <c r="Q383">
        <f t="shared" si="970"/>
        <v>-68848518.083270475</v>
      </c>
      <c r="R383">
        <f t="shared" si="971"/>
        <v>9257240982.9051819</v>
      </c>
      <c r="S383">
        <f t="shared" si="972"/>
        <v>92572.409829051816</v>
      </c>
      <c r="T383">
        <f t="shared" si="973"/>
        <v>92.572409829051821</v>
      </c>
    </row>
    <row r="384" spans="1:20" x14ac:dyDescent="0.25">
      <c r="A384" s="5">
        <v>44209</v>
      </c>
      <c r="B384">
        <v>0.27990999999999999</v>
      </c>
      <c r="C384">
        <v>0.31</v>
      </c>
      <c r="D384">
        <v>0.27200000000000002</v>
      </c>
      <c r="E384">
        <v>0.30356</v>
      </c>
      <c r="F384">
        <v>508938545.30000001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0.66105263157894711</v>
      </c>
      <c r="Q384">
        <f t="shared" si="970"/>
        <v>336435164.68252617</v>
      </c>
      <c r="R384">
        <f t="shared" si="971"/>
        <v>9326089500.9884529</v>
      </c>
      <c r="S384">
        <f t="shared" si="972"/>
        <v>93260.895009884523</v>
      </c>
      <c r="T384">
        <f t="shared" si="973"/>
        <v>93.260895009884521</v>
      </c>
    </row>
    <row r="385" spans="1:20" x14ac:dyDescent="0.25">
      <c r="A385" s="5">
        <v>44208</v>
      </c>
      <c r="B385">
        <v>0.27116000000000001</v>
      </c>
      <c r="C385">
        <v>0.311</v>
      </c>
      <c r="D385">
        <v>0.253</v>
      </c>
      <c r="E385">
        <v>0.27993000000000001</v>
      </c>
      <c r="F385">
        <v>924532021.20000005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-7.1379310344827196E-2</v>
      </c>
      <c r="Q385">
        <f t="shared" si="970"/>
        <v>-65992458.064965159</v>
      </c>
      <c r="R385">
        <f t="shared" si="971"/>
        <v>8989654336.3059273</v>
      </c>
      <c r="S385">
        <f t="shared" si="972"/>
        <v>89896.543363059274</v>
      </c>
      <c r="T385">
        <f t="shared" si="973"/>
        <v>89.89654336305928</v>
      </c>
    </row>
    <row r="386" spans="1:20" x14ac:dyDescent="0.25">
      <c r="A386" s="5">
        <v>44207</v>
      </c>
      <c r="B386">
        <v>0.28449000000000002</v>
      </c>
      <c r="C386">
        <v>0.28505999999999998</v>
      </c>
      <c r="D386">
        <v>0.21065</v>
      </c>
      <c r="E386">
        <v>0.27118999999999999</v>
      </c>
      <c r="F386">
        <v>849119358.89999998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0.62720064507458684</v>
      </c>
      <c r="Q386">
        <f t="shared" si="970"/>
        <v>532568209.6473996</v>
      </c>
      <c r="R386">
        <f t="shared" si="971"/>
        <v>9055646794.3708916</v>
      </c>
      <c r="S386">
        <f t="shared" si="972"/>
        <v>90556.467943708922</v>
      </c>
      <c r="T386">
        <f t="shared" si="973"/>
        <v>90.556467943708924</v>
      </c>
    </row>
    <row r="387" spans="1:20" x14ac:dyDescent="0.25">
      <c r="A387" s="5">
        <v>44206</v>
      </c>
      <c r="B387">
        <v>0.31069999999999998</v>
      </c>
      <c r="C387">
        <v>0.32500000000000001</v>
      </c>
      <c r="D387">
        <v>0.26</v>
      </c>
      <c r="E387">
        <v>0.28449999999999998</v>
      </c>
      <c r="F387">
        <v>568733844.5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-0.24615384615384722</v>
      </c>
      <c r="Q387">
        <f t="shared" si="970"/>
        <v>-139996023.26153907</v>
      </c>
      <c r="R387">
        <f t="shared" si="971"/>
        <v>8523078584.7234917</v>
      </c>
      <c r="S387">
        <f t="shared" si="972"/>
        <v>85230.785847234918</v>
      </c>
      <c r="T387">
        <f t="shared" si="973"/>
        <v>85.230785847234912</v>
      </c>
    </row>
    <row r="388" spans="1:20" x14ac:dyDescent="0.25">
      <c r="A388" s="5">
        <v>44205</v>
      </c>
      <c r="B388">
        <v>0.29705999999999999</v>
      </c>
      <c r="C388">
        <v>0.32900000000000001</v>
      </c>
      <c r="D388">
        <v>0.28132000000000001</v>
      </c>
      <c r="E388">
        <v>0.31053999999999998</v>
      </c>
      <c r="F388">
        <v>630029959.70000005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0.22567114093959598</v>
      </c>
      <c r="Q388">
        <f t="shared" si="970"/>
        <v>142179579.83162668</v>
      </c>
      <c r="R388">
        <f t="shared" si="971"/>
        <v>8663074607.9850311</v>
      </c>
      <c r="S388">
        <f t="shared" si="972"/>
        <v>86630.746079850316</v>
      </c>
      <c r="T388">
        <f t="shared" si="973"/>
        <v>86.630746079850312</v>
      </c>
    </row>
    <row r="389" spans="1:20" x14ac:dyDescent="0.25">
      <c r="A389" s="5">
        <v>44204</v>
      </c>
      <c r="B389">
        <v>0.31141000000000002</v>
      </c>
      <c r="C389">
        <v>0.33119999999999999</v>
      </c>
      <c r="D389">
        <v>0.26013999999999998</v>
      </c>
      <c r="E389">
        <v>0.29699999999999999</v>
      </c>
      <c r="F389">
        <v>984017607.39999998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3.7433155080213838E-2</v>
      </c>
      <c r="Q389">
        <f t="shared" si="970"/>
        <v>36834883.699465178</v>
      </c>
      <c r="R389">
        <f t="shared" si="971"/>
        <v>8520895028.1534052</v>
      </c>
      <c r="S389">
        <f t="shared" si="972"/>
        <v>85208.950281534053</v>
      </c>
      <c r="T389">
        <f t="shared" si="973"/>
        <v>85.208950281534058</v>
      </c>
    </row>
    <row r="390" spans="1:20" x14ac:dyDescent="0.25">
      <c r="A390" s="5">
        <v>44203</v>
      </c>
      <c r="B390">
        <v>0.33976000000000001</v>
      </c>
      <c r="C390">
        <v>0.41193999999999997</v>
      </c>
      <c r="D390">
        <v>0.28888000000000003</v>
      </c>
      <c r="E390">
        <v>0.31124000000000002</v>
      </c>
      <c r="F390">
        <v>1712004424.8099999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-0.63660003250446939</v>
      </c>
      <c r="Q390">
        <f t="shared" ref="Q390:Q453" si="975">F390*P390</f>
        <v>-1089862072.4818413</v>
      </c>
      <c r="R390">
        <f t="shared" ref="R390:R453" si="976">R391+Q390</f>
        <v>8484060144.4539404</v>
      </c>
      <c r="S390">
        <f t="shared" ref="S390:S453" si="977">R390/100000</f>
        <v>84840.60144453941</v>
      </c>
      <c r="T390">
        <f t="shared" ref="T390:T453" si="978">S390/1000</f>
        <v>84.840601444539416</v>
      </c>
    </row>
    <row r="391" spans="1:20" x14ac:dyDescent="0.25">
      <c r="A391" s="5">
        <v>44202</v>
      </c>
      <c r="B391">
        <v>0.19303000000000001</v>
      </c>
      <c r="C391">
        <v>0.39</v>
      </c>
      <c r="D391">
        <v>0.19166</v>
      </c>
      <c r="E391">
        <v>0.33938000000000001</v>
      </c>
      <c r="F391">
        <v>3305718352.5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0.48956337602097416</v>
      </c>
      <c r="Q391">
        <f t="shared" si="975"/>
        <v>1618358636.8243928</v>
      </c>
      <c r="R391">
        <f t="shared" si="976"/>
        <v>9573922216.9357815</v>
      </c>
      <c r="S391">
        <f t="shared" si="977"/>
        <v>95739.222169357818</v>
      </c>
      <c r="T391">
        <f t="shared" si="978"/>
        <v>95.739222169357816</v>
      </c>
    </row>
    <row r="392" spans="1:20" x14ac:dyDescent="0.25">
      <c r="A392" s="5">
        <v>44201</v>
      </c>
      <c r="B392">
        <v>0.1641</v>
      </c>
      <c r="C392">
        <v>0.21</v>
      </c>
      <c r="D392">
        <v>0.15</v>
      </c>
      <c r="E392">
        <v>0.19291</v>
      </c>
      <c r="F392">
        <v>1166645286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0.43033333333333351</v>
      </c>
      <c r="Q392">
        <f t="shared" si="975"/>
        <v>502046354.74200022</v>
      </c>
      <c r="R392">
        <f t="shared" si="976"/>
        <v>7955563580.1113882</v>
      </c>
      <c r="S392">
        <f t="shared" si="977"/>
        <v>79555.63580111388</v>
      </c>
      <c r="T392">
        <f t="shared" si="978"/>
        <v>79.55563580111388</v>
      </c>
    </row>
    <row r="393" spans="1:20" x14ac:dyDescent="0.25">
      <c r="A393" s="5">
        <v>44200</v>
      </c>
      <c r="B393">
        <v>0.13655999999999999</v>
      </c>
      <c r="C393">
        <v>0.16750000000000001</v>
      </c>
      <c r="D393">
        <v>0.1278</v>
      </c>
      <c r="E393">
        <v>0.16403999999999999</v>
      </c>
      <c r="F393">
        <v>966556893.5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0.82569269521410493</v>
      </c>
      <c r="Q393">
        <f t="shared" si="975"/>
        <v>798078966.47178757</v>
      </c>
      <c r="R393">
        <f t="shared" si="976"/>
        <v>7453517225.3693876</v>
      </c>
      <c r="S393">
        <f t="shared" si="977"/>
        <v>74535.172253693876</v>
      </c>
      <c r="T393">
        <f t="shared" si="978"/>
        <v>74.535172253693872</v>
      </c>
    </row>
    <row r="394" spans="1:20" x14ac:dyDescent="0.25">
      <c r="A394" s="5">
        <v>44199</v>
      </c>
      <c r="B394">
        <v>0.12751999999999999</v>
      </c>
      <c r="C394">
        <v>0.13927</v>
      </c>
      <c r="D394">
        <v>0.124</v>
      </c>
      <c r="E394">
        <v>0.13653000000000001</v>
      </c>
      <c r="F394">
        <v>397760722.30000001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0.64112639161755192</v>
      </c>
      <c r="Q394">
        <f t="shared" si="975"/>
        <v>255014896.61539012</v>
      </c>
      <c r="R394">
        <f t="shared" si="976"/>
        <v>6655438258.8976002</v>
      </c>
      <c r="S394">
        <f t="shared" si="977"/>
        <v>66554.382588976005</v>
      </c>
      <c r="T394">
        <f t="shared" si="978"/>
        <v>66.554382588976011</v>
      </c>
    </row>
    <row r="395" spans="1:20" x14ac:dyDescent="0.25">
      <c r="A395" s="5">
        <v>44198</v>
      </c>
      <c r="B395">
        <v>0.13222999999999999</v>
      </c>
      <c r="C395">
        <v>0.13514999999999999</v>
      </c>
      <c r="D395">
        <v>0.12665000000000001</v>
      </c>
      <c r="E395">
        <v>0.12751000000000001</v>
      </c>
      <c r="F395">
        <v>222846091.59999999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-0.79764705882352904</v>
      </c>
      <c r="Q395">
        <f t="shared" si="975"/>
        <v>-177752529.53505874</v>
      </c>
      <c r="R395">
        <f t="shared" si="976"/>
        <v>6400423362.2822104</v>
      </c>
      <c r="S395">
        <f t="shared" si="977"/>
        <v>64004.233622822103</v>
      </c>
      <c r="T395">
        <f t="shared" si="978"/>
        <v>64.004233622822099</v>
      </c>
    </row>
    <row r="396" spans="1:20" x14ac:dyDescent="0.25">
      <c r="A396" s="5">
        <v>44197</v>
      </c>
      <c r="B396">
        <v>0.12759000000000001</v>
      </c>
      <c r="C396">
        <v>0.13991999999999999</v>
      </c>
      <c r="D396">
        <v>0.12644</v>
      </c>
      <c r="E396">
        <v>0.13206999999999999</v>
      </c>
      <c r="F396">
        <v>241901706.09999999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-0.16468842729970334</v>
      </c>
      <c r="Q396">
        <f t="shared" si="975"/>
        <v>-39838411.538724057</v>
      </c>
      <c r="R396">
        <f t="shared" si="976"/>
        <v>6578175891.8172693</v>
      </c>
      <c r="S396">
        <f t="shared" si="977"/>
        <v>65781.758918172694</v>
      </c>
      <c r="T396">
        <f t="shared" si="978"/>
        <v>65.781758918172699</v>
      </c>
    </row>
    <row r="397" spans="1:20" x14ac:dyDescent="0.25">
      <c r="A397" s="5">
        <v>44196</v>
      </c>
      <c r="B397">
        <v>0.13178000000000001</v>
      </c>
      <c r="C397">
        <v>0.13275999999999999</v>
      </c>
      <c r="D397">
        <v>0.12256</v>
      </c>
      <c r="E397">
        <v>0.12762000000000001</v>
      </c>
      <c r="F397">
        <v>217877056.90000001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-7.8431372548989301E-3</v>
      </c>
      <c r="Q397">
        <f t="shared" si="975"/>
        <v>-1708839.661960124</v>
      </c>
      <c r="R397">
        <f t="shared" si="976"/>
        <v>6618014303.3559933</v>
      </c>
      <c r="S397">
        <f t="shared" si="977"/>
        <v>66180.143033559929</v>
      </c>
      <c r="T397">
        <f t="shared" si="978"/>
        <v>66.180143033559929</v>
      </c>
    </row>
    <row r="398" spans="1:20" x14ac:dyDescent="0.25">
      <c r="A398" s="5">
        <v>44195</v>
      </c>
      <c r="B398">
        <v>0.13825999999999999</v>
      </c>
      <c r="C398">
        <v>0.13944999999999999</v>
      </c>
      <c r="D398">
        <v>0.12842000000000001</v>
      </c>
      <c r="E398">
        <v>0.13175000000000001</v>
      </c>
      <c r="F398">
        <v>274679216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-0.39619220308250147</v>
      </c>
      <c r="Q398">
        <f t="shared" si="975"/>
        <v>-108825763.72801429</v>
      </c>
      <c r="R398">
        <f t="shared" si="976"/>
        <v>6619723143.0179529</v>
      </c>
      <c r="S398">
        <f t="shared" si="977"/>
        <v>66197.231430179527</v>
      </c>
      <c r="T398">
        <f t="shared" si="978"/>
        <v>66.197231430179528</v>
      </c>
    </row>
    <row r="399" spans="1:20" x14ac:dyDescent="0.25">
      <c r="A399" s="5">
        <v>44194</v>
      </c>
      <c r="B399">
        <v>0.14432</v>
      </c>
      <c r="C399">
        <v>0.14910999999999999</v>
      </c>
      <c r="D399">
        <v>0.12801000000000001</v>
      </c>
      <c r="E399">
        <v>0.13830999999999999</v>
      </c>
      <c r="F399">
        <v>390541189.80000001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-2.3696682464456335E-2</v>
      </c>
      <c r="Q399">
        <f t="shared" si="975"/>
        <v>-9254530.563981574</v>
      </c>
      <c r="R399">
        <f t="shared" si="976"/>
        <v>6728548906.7459669</v>
      </c>
      <c r="S399">
        <f t="shared" si="977"/>
        <v>67285.489067459668</v>
      </c>
      <c r="T399">
        <f t="shared" si="978"/>
        <v>67.285489067459665</v>
      </c>
    </row>
    <row r="400" spans="1:20" x14ac:dyDescent="0.25">
      <c r="A400" s="5">
        <v>44193</v>
      </c>
      <c r="B400">
        <v>0.14538000000000001</v>
      </c>
      <c r="C400">
        <v>0.15501000000000001</v>
      </c>
      <c r="D400">
        <v>0.14146</v>
      </c>
      <c r="E400">
        <v>0.14448</v>
      </c>
      <c r="F400">
        <v>285941388.60000002</v>
      </c>
      <c r="G400">
        <v>0</v>
      </c>
      <c r="L400" t="s">
        <v>8</v>
      </c>
      <c r="M400" t="s">
        <v>7</v>
      </c>
      <c r="N400" t="s">
        <v>8</v>
      </c>
      <c r="P400">
        <f t="shared" si="974"/>
        <v>-0.55424354243542528</v>
      </c>
      <c r="Q400">
        <f t="shared" si="975"/>
        <v>-158481168.14656854</v>
      </c>
      <c r="R400">
        <f t="shared" si="976"/>
        <v>6737803437.3099489</v>
      </c>
      <c r="S400">
        <f t="shared" si="977"/>
        <v>67378.034373099494</v>
      </c>
      <c r="T400">
        <f t="shared" si="978"/>
        <v>67.378034373099496</v>
      </c>
    </row>
    <row r="401" spans="1:20" x14ac:dyDescent="0.25">
      <c r="A401" s="5">
        <v>44192</v>
      </c>
      <c r="B401">
        <v>0.14677999999999999</v>
      </c>
      <c r="C401">
        <v>0.15592</v>
      </c>
      <c r="D401">
        <v>0.13425000000000001</v>
      </c>
      <c r="E401">
        <v>0.14527000000000001</v>
      </c>
      <c r="F401">
        <v>443554533.5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1.7074296262113951E-2</v>
      </c>
      <c r="Q401">
        <f t="shared" si="975"/>
        <v>7573381.5133827478</v>
      </c>
      <c r="R401">
        <f t="shared" si="976"/>
        <v>6896284605.4565172</v>
      </c>
      <c r="S401">
        <f t="shared" si="977"/>
        <v>68962.846054565176</v>
      </c>
      <c r="T401">
        <f t="shared" si="978"/>
        <v>68.962846054565176</v>
      </c>
    </row>
    <row r="402" spans="1:20" x14ac:dyDescent="0.25">
      <c r="A402" s="5">
        <v>44191</v>
      </c>
      <c r="B402">
        <v>0.15240000000000001</v>
      </c>
      <c r="C402">
        <v>0.15570999999999999</v>
      </c>
      <c r="D402">
        <v>0.14388000000000001</v>
      </c>
      <c r="E402">
        <v>0.14673</v>
      </c>
      <c r="F402">
        <v>240169863.90000001</v>
      </c>
      <c r="G402">
        <v>0</v>
      </c>
      <c r="L402" t="s">
        <v>7</v>
      </c>
      <c r="M402" t="s">
        <v>8</v>
      </c>
      <c r="N402" t="s">
        <v>8</v>
      </c>
      <c r="P402">
        <f t="shared" si="974"/>
        <v>-0.51817413355874953</v>
      </c>
      <c r="Q402">
        <f t="shared" si="975"/>
        <v>-124449811.1333053</v>
      </c>
      <c r="R402">
        <f t="shared" si="976"/>
        <v>6888711223.9431343</v>
      </c>
      <c r="S402">
        <f t="shared" si="977"/>
        <v>68887.112239431342</v>
      </c>
      <c r="T402">
        <f t="shared" si="978"/>
        <v>68.887112239431346</v>
      </c>
    </row>
    <row r="403" spans="1:20" x14ac:dyDescent="0.25">
      <c r="A403" s="5">
        <v>44190</v>
      </c>
      <c r="B403">
        <v>0.15819</v>
      </c>
      <c r="C403">
        <v>0.16700999999999999</v>
      </c>
      <c r="D403">
        <v>0.14804</v>
      </c>
      <c r="E403">
        <v>0.15237999999999999</v>
      </c>
      <c r="F403">
        <v>432924506.69999999</v>
      </c>
      <c r="G403">
        <v>0</v>
      </c>
      <c r="L403" t="s">
        <v>7</v>
      </c>
      <c r="M403" t="s">
        <v>8</v>
      </c>
      <c r="N403" t="s">
        <v>8</v>
      </c>
      <c r="P403">
        <f t="shared" si="974"/>
        <v>-0.54243542435424508</v>
      </c>
      <c r="Q403">
        <f t="shared" si="975"/>
        <v>-234833588.50516671</v>
      </c>
      <c r="R403">
        <f t="shared" si="976"/>
        <v>7013161035.0764399</v>
      </c>
      <c r="S403">
        <f t="shared" si="977"/>
        <v>70131.6103507644</v>
      </c>
      <c r="T403">
        <f t="shared" si="978"/>
        <v>70.131610350764404</v>
      </c>
    </row>
    <row r="404" spans="1:20" x14ac:dyDescent="0.25">
      <c r="A404" s="5">
        <v>44189</v>
      </c>
      <c r="B404">
        <v>0.12679000000000001</v>
      </c>
      <c r="C404">
        <v>0.16681000000000001</v>
      </c>
      <c r="D404">
        <v>0.12280000000000001</v>
      </c>
      <c r="E404">
        <v>0.15817999999999999</v>
      </c>
      <c r="F404">
        <v>995304326.5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0.60781640536241655</v>
      </c>
      <c r="Q404">
        <f t="shared" si="975"/>
        <v>604962297.97489095</v>
      </c>
      <c r="R404">
        <f t="shared" si="976"/>
        <v>7247994623.5816069</v>
      </c>
      <c r="S404">
        <f t="shared" si="977"/>
        <v>72479.946235816067</v>
      </c>
      <c r="T404">
        <f t="shared" si="978"/>
        <v>72.479946235816072</v>
      </c>
    </row>
    <row r="405" spans="1:20" x14ac:dyDescent="0.25">
      <c r="A405" s="5">
        <v>44188</v>
      </c>
      <c r="B405">
        <v>0.16200999999999999</v>
      </c>
      <c r="C405">
        <v>0.16200999999999999</v>
      </c>
      <c r="D405">
        <v>0.11056000000000001</v>
      </c>
      <c r="E405">
        <v>0.12661</v>
      </c>
      <c r="F405">
        <v>925492965.79999995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-0.37609329446064138</v>
      </c>
      <c r="Q405">
        <f t="shared" si="975"/>
        <v>-348071698.50787169</v>
      </c>
      <c r="R405">
        <f t="shared" si="976"/>
        <v>6643032325.6067162</v>
      </c>
      <c r="S405">
        <f t="shared" si="977"/>
        <v>66430.32325606716</v>
      </c>
      <c r="T405">
        <f t="shared" si="978"/>
        <v>66.430323256067155</v>
      </c>
    </row>
    <row r="406" spans="1:20" x14ac:dyDescent="0.25">
      <c r="A406" s="5">
        <v>44187</v>
      </c>
      <c r="B406">
        <v>0.16522000000000001</v>
      </c>
      <c r="C406">
        <v>0.16980000000000001</v>
      </c>
      <c r="D406">
        <v>0.15301999999999999</v>
      </c>
      <c r="E406">
        <v>0.16211999999999999</v>
      </c>
      <c r="F406">
        <v>282150275.89999998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8.4624553039331071E-2</v>
      </c>
      <c r="Q406">
        <f t="shared" si="975"/>
        <v>23876840.987961445</v>
      </c>
      <c r="R406">
        <f t="shared" si="976"/>
        <v>6991104024.1145878</v>
      </c>
      <c r="S406">
        <f t="shared" si="977"/>
        <v>69911.040241145878</v>
      </c>
      <c r="T406">
        <f t="shared" si="978"/>
        <v>69.911040241145884</v>
      </c>
    </row>
    <row r="407" spans="1:20" x14ac:dyDescent="0.25">
      <c r="A407" s="5">
        <v>44186</v>
      </c>
      <c r="B407">
        <v>0.17657999999999999</v>
      </c>
      <c r="C407">
        <v>0.18032000000000001</v>
      </c>
      <c r="D407">
        <v>0.1598</v>
      </c>
      <c r="E407">
        <v>0.16519</v>
      </c>
      <c r="F407">
        <v>185129011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-0.47465886939571117</v>
      </c>
      <c r="Q407">
        <f t="shared" si="975"/>
        <v>-87873127.053606182</v>
      </c>
      <c r="R407">
        <f t="shared" si="976"/>
        <v>6967227183.126626</v>
      </c>
      <c r="S407">
        <f t="shared" si="977"/>
        <v>69672.271831266262</v>
      </c>
      <c r="T407">
        <f t="shared" si="978"/>
        <v>69.672271831266258</v>
      </c>
    </row>
    <row r="408" spans="1:20" x14ac:dyDescent="0.25">
      <c r="A408" s="5">
        <v>44185</v>
      </c>
      <c r="B408">
        <v>0.18151999999999999</v>
      </c>
      <c r="C408">
        <v>0.18271000000000001</v>
      </c>
      <c r="D408">
        <v>0.17366000000000001</v>
      </c>
      <c r="E408">
        <v>0.17666000000000001</v>
      </c>
      <c r="F408">
        <v>158184778.90000001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-0.33701657458563494</v>
      </c>
      <c r="Q408">
        <f t="shared" si="975"/>
        <v>-53310892.336464025</v>
      </c>
      <c r="R408">
        <f t="shared" si="976"/>
        <v>7055100310.180232</v>
      </c>
      <c r="S408">
        <f t="shared" si="977"/>
        <v>70551.003101802315</v>
      </c>
      <c r="T408">
        <f t="shared" si="978"/>
        <v>70.551003101802308</v>
      </c>
    </row>
    <row r="409" spans="1:20" x14ac:dyDescent="0.25">
      <c r="A409" s="5">
        <v>44184</v>
      </c>
      <c r="B409">
        <v>0.18528</v>
      </c>
      <c r="C409">
        <v>0.18797</v>
      </c>
      <c r="D409">
        <v>0.17926</v>
      </c>
      <c r="E409">
        <v>0.18139</v>
      </c>
      <c r="F409">
        <v>205652100.09999999</v>
      </c>
      <c r="G409">
        <v>0</v>
      </c>
      <c r="L409" t="s">
        <v>7</v>
      </c>
      <c r="M409" t="s">
        <v>8</v>
      </c>
      <c r="N409" t="s">
        <v>8</v>
      </c>
      <c r="P409">
        <f t="shared" si="974"/>
        <v>-0.51090700344431828</v>
      </c>
      <c r="Q409">
        <f t="shared" si="975"/>
        <v>-105069098.21412198</v>
      </c>
      <c r="R409">
        <f t="shared" si="976"/>
        <v>7108411202.516696</v>
      </c>
      <c r="S409">
        <f t="shared" si="977"/>
        <v>71084.112025166964</v>
      </c>
      <c r="T409">
        <f t="shared" si="978"/>
        <v>71.084112025166959</v>
      </c>
    </row>
    <row r="410" spans="1:20" x14ac:dyDescent="0.25">
      <c r="A410" s="5">
        <v>44183</v>
      </c>
      <c r="B410">
        <v>0.18609999999999999</v>
      </c>
      <c r="C410">
        <v>0.18990000000000001</v>
      </c>
      <c r="D410">
        <v>0.17680999999999999</v>
      </c>
      <c r="E410">
        <v>0.18525</v>
      </c>
      <c r="F410">
        <v>358406658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0.289533995416347</v>
      </c>
      <c r="Q410">
        <f t="shared" si="975"/>
        <v>103770911.67456025</v>
      </c>
      <c r="R410">
        <f t="shared" si="976"/>
        <v>7213480300.7308178</v>
      </c>
      <c r="S410">
        <f t="shared" si="977"/>
        <v>72134.803007308175</v>
      </c>
      <c r="T410">
        <f t="shared" si="978"/>
        <v>72.134803007308179</v>
      </c>
    </row>
    <row r="411" spans="1:20" x14ac:dyDescent="0.25">
      <c r="A411" s="5">
        <v>44182</v>
      </c>
      <c r="B411">
        <v>0.19320999999999999</v>
      </c>
      <c r="C411">
        <v>0.20877999999999999</v>
      </c>
      <c r="D411">
        <v>0.1792</v>
      </c>
      <c r="E411">
        <v>0.18612000000000001</v>
      </c>
      <c r="F411">
        <v>801478603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-0.53211629479377887</v>
      </c>
      <c r="Q411">
        <f t="shared" si="975"/>
        <v>-426479824.58485407</v>
      </c>
      <c r="R411">
        <f t="shared" si="976"/>
        <v>7109709389.0562572</v>
      </c>
      <c r="S411">
        <f t="shared" si="977"/>
        <v>71097.093890562566</v>
      </c>
      <c r="T411">
        <f t="shared" si="978"/>
        <v>71.097093890562562</v>
      </c>
    </row>
    <row r="412" spans="1:20" x14ac:dyDescent="0.25">
      <c r="A412" s="5">
        <v>44181</v>
      </c>
      <c r="B412">
        <v>0.16614000000000001</v>
      </c>
      <c r="C412">
        <v>0.19500000000000001</v>
      </c>
      <c r="D412">
        <v>0.15928</v>
      </c>
      <c r="E412">
        <v>0.19320999999999999</v>
      </c>
      <c r="F412">
        <v>521143332.39999998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0.8997760358342658</v>
      </c>
      <c r="Q412">
        <f t="shared" si="975"/>
        <v>468912281.72833109</v>
      </c>
      <c r="R412">
        <f t="shared" si="976"/>
        <v>7536189213.6411114</v>
      </c>
      <c r="S412">
        <f t="shared" si="977"/>
        <v>75361.892136411116</v>
      </c>
      <c r="T412">
        <f t="shared" si="978"/>
        <v>75.361892136411115</v>
      </c>
    </row>
    <row r="413" spans="1:20" x14ac:dyDescent="0.25">
      <c r="A413" s="5">
        <v>44180</v>
      </c>
      <c r="B413">
        <v>0.17019999999999999</v>
      </c>
      <c r="C413">
        <v>0.17680999999999999</v>
      </c>
      <c r="D413">
        <v>0.16442999999999999</v>
      </c>
      <c r="E413">
        <v>0.1661</v>
      </c>
      <c r="F413">
        <v>207684188.40000001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-0.73021001615508807</v>
      </c>
      <c r="Q413">
        <f t="shared" si="975"/>
        <v>-151653074.56672037</v>
      </c>
      <c r="R413">
        <f t="shared" si="976"/>
        <v>7067276931.9127808</v>
      </c>
      <c r="S413">
        <f t="shared" si="977"/>
        <v>70672.769319127809</v>
      </c>
      <c r="T413">
        <f t="shared" si="978"/>
        <v>70.672769319127809</v>
      </c>
    </row>
    <row r="414" spans="1:20" x14ac:dyDescent="0.25">
      <c r="A414" s="5">
        <v>44179</v>
      </c>
      <c r="B414">
        <v>0.17615</v>
      </c>
      <c r="C414">
        <v>0.17863000000000001</v>
      </c>
      <c r="D414">
        <v>0.16667000000000001</v>
      </c>
      <c r="E414">
        <v>0.17019999999999999</v>
      </c>
      <c r="F414">
        <v>285784967.10000002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-0.40969899665552206</v>
      </c>
      <c r="Q414">
        <f t="shared" si="975"/>
        <v>-117085814.28010139</v>
      </c>
      <c r="R414">
        <f t="shared" si="976"/>
        <v>7218930006.4795008</v>
      </c>
      <c r="S414">
        <f t="shared" si="977"/>
        <v>72189.30006479501</v>
      </c>
      <c r="T414">
        <f t="shared" si="978"/>
        <v>72.189300064795006</v>
      </c>
    </row>
    <row r="415" spans="1:20" x14ac:dyDescent="0.25">
      <c r="A415" s="5">
        <v>44178</v>
      </c>
      <c r="B415">
        <v>0.15878</v>
      </c>
      <c r="C415">
        <v>0.18</v>
      </c>
      <c r="D415">
        <v>0.15548999999999999</v>
      </c>
      <c r="E415">
        <v>0.17610000000000001</v>
      </c>
      <c r="F415">
        <v>395883889.69999999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0.68176254589963392</v>
      </c>
      <c r="Q415">
        <f t="shared" si="975"/>
        <v>269898808.52252185</v>
      </c>
      <c r="R415">
        <f t="shared" si="976"/>
        <v>7336015820.7596025</v>
      </c>
      <c r="S415">
        <f t="shared" si="977"/>
        <v>73360.158207596032</v>
      </c>
      <c r="T415">
        <f t="shared" si="978"/>
        <v>73.360158207596029</v>
      </c>
    </row>
    <row r="416" spans="1:20" x14ac:dyDescent="0.25">
      <c r="A416" s="5">
        <v>44177</v>
      </c>
      <c r="B416">
        <v>0.15084</v>
      </c>
      <c r="C416">
        <v>0.16500000000000001</v>
      </c>
      <c r="D416">
        <v>0.14954000000000001</v>
      </c>
      <c r="E416">
        <v>0.15887999999999999</v>
      </c>
      <c r="F416">
        <v>265788705.90000001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0.20827943078913147</v>
      </c>
      <c r="Q416">
        <f t="shared" si="975"/>
        <v>55358320.375031874</v>
      </c>
      <c r="R416">
        <f t="shared" si="976"/>
        <v>7066117012.2370806</v>
      </c>
      <c r="S416">
        <f t="shared" si="977"/>
        <v>70661.170122370808</v>
      </c>
      <c r="T416">
        <f t="shared" si="978"/>
        <v>70.661170122370805</v>
      </c>
    </row>
    <row r="417" spans="1:20" x14ac:dyDescent="0.25">
      <c r="A417" s="5">
        <v>44176</v>
      </c>
      <c r="B417">
        <v>0.1608</v>
      </c>
      <c r="C417">
        <v>0.16450000000000001</v>
      </c>
      <c r="D417">
        <v>0.15</v>
      </c>
      <c r="E417">
        <v>0.15076999999999999</v>
      </c>
      <c r="F417">
        <v>367010398.19999999</v>
      </c>
      <c r="G417">
        <v>0</v>
      </c>
      <c r="L417" t="s">
        <v>7</v>
      </c>
      <c r="M417" t="s">
        <v>8</v>
      </c>
      <c r="N417" t="s">
        <v>7</v>
      </c>
      <c r="P417">
        <f t="shared" si="974"/>
        <v>-0.89379310344827689</v>
      </c>
      <c r="Q417">
        <f t="shared" si="975"/>
        <v>-328031362.80496591</v>
      </c>
      <c r="R417">
        <f t="shared" si="976"/>
        <v>7010758691.8620491</v>
      </c>
      <c r="S417">
        <f t="shared" si="977"/>
        <v>70107.586918620495</v>
      </c>
      <c r="T417">
        <f t="shared" si="978"/>
        <v>70.107586918620498</v>
      </c>
    </row>
    <row r="418" spans="1:20" x14ac:dyDescent="0.25">
      <c r="A418" s="5">
        <v>44175</v>
      </c>
      <c r="B418">
        <v>0.17201</v>
      </c>
      <c r="C418">
        <v>0.17780000000000001</v>
      </c>
      <c r="D418">
        <v>0.16014999999999999</v>
      </c>
      <c r="E418">
        <v>0.16073000000000001</v>
      </c>
      <c r="F418">
        <v>454403050.10000002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-0.93427762039659779</v>
      </c>
      <c r="Q418">
        <f t="shared" si="975"/>
        <v>-424538600.34838402</v>
      </c>
      <c r="R418">
        <f t="shared" si="976"/>
        <v>7338790054.6670151</v>
      </c>
      <c r="S418">
        <f t="shared" si="977"/>
        <v>73387.900546670149</v>
      </c>
      <c r="T418">
        <f t="shared" si="978"/>
        <v>73.387900546670153</v>
      </c>
    </row>
    <row r="419" spans="1:20" x14ac:dyDescent="0.25">
      <c r="A419" s="5">
        <v>44174</v>
      </c>
      <c r="B419">
        <v>0.15259</v>
      </c>
      <c r="C419">
        <v>0.17519999999999999</v>
      </c>
      <c r="D419">
        <v>0.13921</v>
      </c>
      <c r="E419">
        <v>0.17205999999999999</v>
      </c>
      <c r="F419">
        <v>550735915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0.82550708530147243</v>
      </c>
      <c r="Q419">
        <f t="shared" si="975"/>
        <v>454636399.96248949</v>
      </c>
      <c r="R419">
        <f t="shared" si="976"/>
        <v>7763328655.015399</v>
      </c>
      <c r="S419">
        <f t="shared" si="977"/>
        <v>77633.286550153993</v>
      </c>
      <c r="T419">
        <f t="shared" si="978"/>
        <v>77.633286550153997</v>
      </c>
    </row>
    <row r="420" spans="1:20" x14ac:dyDescent="0.25">
      <c r="A420" s="5">
        <v>44173</v>
      </c>
      <c r="B420">
        <v>0.16814000000000001</v>
      </c>
      <c r="C420">
        <v>0.16861999999999999</v>
      </c>
      <c r="D420">
        <v>0.14899000000000001</v>
      </c>
      <c r="E420">
        <v>0.15262999999999999</v>
      </c>
      <c r="F420">
        <v>223878904.59999999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-0.62913907284768411</v>
      </c>
      <c r="Q420">
        <f t="shared" si="975"/>
        <v>-140850966.47019911</v>
      </c>
      <c r="R420">
        <f t="shared" si="976"/>
        <v>7308692255.0529099</v>
      </c>
      <c r="S420">
        <f t="shared" si="977"/>
        <v>73086.922550529096</v>
      </c>
      <c r="T420">
        <f t="shared" si="978"/>
        <v>73.086922550529096</v>
      </c>
    </row>
    <row r="421" spans="1:20" x14ac:dyDescent="0.25">
      <c r="A421" s="5">
        <v>44172</v>
      </c>
      <c r="B421">
        <v>0.17599000000000001</v>
      </c>
      <c r="C421">
        <v>0.17649000000000001</v>
      </c>
      <c r="D421">
        <v>0.16436999999999999</v>
      </c>
      <c r="E421">
        <v>0.16803999999999999</v>
      </c>
      <c r="F421">
        <v>148268193.80000001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-0.39438943894389428</v>
      </c>
      <c r="Q421">
        <f t="shared" si="975"/>
        <v>-58475409.766006589</v>
      </c>
      <c r="R421">
        <f t="shared" si="976"/>
        <v>7449543221.5231085</v>
      </c>
      <c r="S421">
        <f t="shared" si="977"/>
        <v>74495.432215231078</v>
      </c>
      <c r="T421">
        <f t="shared" si="978"/>
        <v>74.495432215231077</v>
      </c>
    </row>
    <row r="422" spans="1:20" x14ac:dyDescent="0.25">
      <c r="A422" s="5">
        <v>44171</v>
      </c>
      <c r="B422">
        <v>0.17161999999999999</v>
      </c>
      <c r="C422">
        <v>0.1802</v>
      </c>
      <c r="D422">
        <v>0.16703999999999999</v>
      </c>
      <c r="E422">
        <v>0.17593</v>
      </c>
      <c r="F422">
        <v>183432558.19999999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0.35106382978723488</v>
      </c>
      <c r="Q422">
        <f t="shared" si="975"/>
        <v>64396536.389361851</v>
      </c>
      <c r="R422">
        <f t="shared" si="976"/>
        <v>7508018631.289115</v>
      </c>
      <c r="S422">
        <f t="shared" si="977"/>
        <v>75080.18631289115</v>
      </c>
      <c r="T422">
        <f t="shared" si="978"/>
        <v>75.080186312891144</v>
      </c>
    </row>
    <row r="423" spans="1:20" x14ac:dyDescent="0.25">
      <c r="A423" s="5">
        <v>44170</v>
      </c>
      <c r="B423">
        <v>0.16152</v>
      </c>
      <c r="C423">
        <v>0.17635999999999999</v>
      </c>
      <c r="D423">
        <v>0.15914</v>
      </c>
      <c r="E423">
        <v>0.17169999999999999</v>
      </c>
      <c r="F423">
        <v>197166466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0.45876887340301958</v>
      </c>
      <c r="Q423">
        <f t="shared" si="975"/>
        <v>90453837.479674771</v>
      </c>
      <c r="R423">
        <f t="shared" si="976"/>
        <v>7443622094.8997536</v>
      </c>
      <c r="S423">
        <f t="shared" si="977"/>
        <v>74436.220948997536</v>
      </c>
      <c r="T423">
        <f t="shared" si="978"/>
        <v>74.43622094899753</v>
      </c>
    </row>
    <row r="424" spans="1:20" x14ac:dyDescent="0.25">
      <c r="A424" s="5">
        <v>44169</v>
      </c>
      <c r="B424">
        <v>0.18421000000000001</v>
      </c>
      <c r="C424">
        <v>0.18870000000000001</v>
      </c>
      <c r="D424">
        <v>0.1593</v>
      </c>
      <c r="E424">
        <v>0.16153999999999999</v>
      </c>
      <c r="F424">
        <v>288862137.39999998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-0.84761904761904816</v>
      </c>
      <c r="Q424">
        <f t="shared" si="975"/>
        <v>-244845049.79619062</v>
      </c>
      <c r="R424">
        <f t="shared" si="976"/>
        <v>7353168257.4200792</v>
      </c>
      <c r="S424">
        <f t="shared" si="977"/>
        <v>73531.682574200793</v>
      </c>
      <c r="T424">
        <f t="shared" si="978"/>
        <v>73.531682574200786</v>
      </c>
    </row>
    <row r="425" spans="1:20" x14ac:dyDescent="0.25">
      <c r="A425" s="5">
        <v>44168</v>
      </c>
      <c r="B425">
        <v>0.18518000000000001</v>
      </c>
      <c r="C425">
        <v>0.1898</v>
      </c>
      <c r="D425">
        <v>0.17959</v>
      </c>
      <c r="E425">
        <v>0.18436</v>
      </c>
      <c r="F425">
        <v>220981352.5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-6.5621939275220781E-2</v>
      </c>
      <c r="Q425">
        <f t="shared" si="975"/>
        <v>-14501224.894711157</v>
      </c>
      <c r="R425">
        <f t="shared" si="976"/>
        <v>7598013307.2162695</v>
      </c>
      <c r="S425">
        <f t="shared" si="977"/>
        <v>75980.133072162702</v>
      </c>
      <c r="T425">
        <f t="shared" si="978"/>
        <v>75.980133072162701</v>
      </c>
    </row>
    <row r="426" spans="1:20" x14ac:dyDescent="0.25">
      <c r="A426" s="5">
        <v>44167</v>
      </c>
      <c r="B426">
        <v>0.18361</v>
      </c>
      <c r="C426">
        <v>0.18834000000000001</v>
      </c>
      <c r="D426">
        <v>0.17721000000000001</v>
      </c>
      <c r="E426">
        <v>0.18514</v>
      </c>
      <c r="F426">
        <v>319272954.60000002</v>
      </c>
      <c r="G426">
        <v>0</v>
      </c>
      <c r="L426" t="s">
        <v>8</v>
      </c>
      <c r="M426" t="s">
        <v>7</v>
      </c>
      <c r="N426" t="s">
        <v>8</v>
      </c>
      <c r="P426">
        <f t="shared" si="974"/>
        <v>0.42497753818508388</v>
      </c>
      <c r="Q426">
        <f t="shared" si="975"/>
        <v>135683834.25498605</v>
      </c>
      <c r="R426">
        <f t="shared" si="976"/>
        <v>7612514532.110981</v>
      </c>
      <c r="S426">
        <f t="shared" si="977"/>
        <v>76125.145321109812</v>
      </c>
      <c r="T426">
        <f t="shared" si="978"/>
        <v>76.125145321109812</v>
      </c>
    </row>
    <row r="427" spans="1:20" x14ac:dyDescent="0.25">
      <c r="A427" s="5">
        <v>44166</v>
      </c>
      <c r="B427">
        <v>0.20283000000000001</v>
      </c>
      <c r="C427">
        <v>0.20455000000000001</v>
      </c>
      <c r="D427">
        <v>0.17299999999999999</v>
      </c>
      <c r="E427">
        <v>0.18382000000000001</v>
      </c>
      <c r="F427">
        <v>512387400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-0.31410459587955525</v>
      </c>
      <c r="Q427">
        <f t="shared" si="975"/>
        <v>-160943237.21077603</v>
      </c>
      <c r="R427">
        <f t="shared" si="976"/>
        <v>7476830697.8559952</v>
      </c>
      <c r="S427">
        <f t="shared" si="977"/>
        <v>74768.306978559951</v>
      </c>
      <c r="T427">
        <f t="shared" si="978"/>
        <v>74.768306978559949</v>
      </c>
    </row>
    <row r="428" spans="1:20" x14ac:dyDescent="0.25">
      <c r="A428" s="5">
        <v>44165</v>
      </c>
      <c r="B428">
        <v>0.19434000000000001</v>
      </c>
      <c r="C428">
        <v>0.20663999999999999</v>
      </c>
      <c r="D428">
        <v>0.18845999999999999</v>
      </c>
      <c r="E428">
        <v>0.20294999999999999</v>
      </c>
      <c r="F428">
        <v>554404358.60000002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0.59405940594059425</v>
      </c>
      <c r="Q428">
        <f t="shared" si="975"/>
        <v>329349123.92079222</v>
      </c>
      <c r="R428">
        <f t="shared" si="976"/>
        <v>7637773935.0667715</v>
      </c>
      <c r="S428">
        <f t="shared" si="977"/>
        <v>76377.739350667718</v>
      </c>
      <c r="T428">
        <f t="shared" si="978"/>
        <v>76.377739350667724</v>
      </c>
    </row>
    <row r="429" spans="1:20" x14ac:dyDescent="0.25">
      <c r="A429" s="5">
        <v>44164</v>
      </c>
      <c r="B429">
        <v>0.20008999999999999</v>
      </c>
      <c r="C429">
        <v>0.20311000000000001</v>
      </c>
      <c r="D429">
        <v>0.18794</v>
      </c>
      <c r="E429">
        <v>0.19423000000000001</v>
      </c>
      <c r="F429">
        <v>484997452.5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-0.17073170731707174</v>
      </c>
      <c r="Q429">
        <f t="shared" si="975"/>
        <v>-82804443.109755397</v>
      </c>
      <c r="R429">
        <f t="shared" si="976"/>
        <v>7308424811.1459789</v>
      </c>
      <c r="S429">
        <f t="shared" si="977"/>
        <v>73084.24811145979</v>
      </c>
      <c r="T429">
        <f t="shared" si="978"/>
        <v>73.084248111459786</v>
      </c>
    </row>
    <row r="430" spans="1:20" x14ac:dyDescent="0.25">
      <c r="A430" s="5">
        <v>44163</v>
      </c>
      <c r="B430">
        <v>0.20698</v>
      </c>
      <c r="C430">
        <v>0.22061</v>
      </c>
      <c r="D430">
        <v>0.19511000000000001</v>
      </c>
      <c r="E430">
        <v>0.20021</v>
      </c>
      <c r="F430">
        <v>1088414795.5999999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-0.60000000000000042</v>
      </c>
      <c r="Q430">
        <f t="shared" si="975"/>
        <v>-653048877.36000037</v>
      </c>
      <c r="R430">
        <f t="shared" si="976"/>
        <v>7391229254.2557344</v>
      </c>
      <c r="S430">
        <f t="shared" si="977"/>
        <v>73912.292542557348</v>
      </c>
      <c r="T430">
        <f t="shared" si="978"/>
        <v>73.912292542557353</v>
      </c>
    </row>
    <row r="431" spans="1:20" x14ac:dyDescent="0.25">
      <c r="A431" s="5">
        <v>44162</v>
      </c>
      <c r="B431">
        <v>0.16829</v>
      </c>
      <c r="C431">
        <v>0.20730000000000001</v>
      </c>
      <c r="D431">
        <v>0.16263</v>
      </c>
      <c r="E431">
        <v>0.20699000000000001</v>
      </c>
      <c r="F431">
        <v>1235747469.3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0.98612043877322564</v>
      </c>
      <c r="Q431">
        <f t="shared" si="975"/>
        <v>1218595836.6390193</v>
      </c>
      <c r="R431">
        <f t="shared" si="976"/>
        <v>8044278131.6157351</v>
      </c>
      <c r="S431">
        <f t="shared" si="977"/>
        <v>80442.781316157358</v>
      </c>
      <c r="T431">
        <f t="shared" si="978"/>
        <v>80.442781316157351</v>
      </c>
    </row>
    <row r="432" spans="1:20" x14ac:dyDescent="0.25">
      <c r="A432" s="5">
        <v>44161</v>
      </c>
      <c r="B432">
        <v>0.19272</v>
      </c>
      <c r="C432">
        <v>0.20497000000000001</v>
      </c>
      <c r="D432">
        <v>0.14499999999999999</v>
      </c>
      <c r="E432">
        <v>0.16835</v>
      </c>
      <c r="F432">
        <v>1759847344.5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-0.22127730531932632</v>
      </c>
      <c r="Q432">
        <f t="shared" si="975"/>
        <v>-389414278.16433215</v>
      </c>
      <c r="R432">
        <f t="shared" si="976"/>
        <v>6825682294.976716</v>
      </c>
      <c r="S432">
        <f t="shared" si="977"/>
        <v>68256.822949767156</v>
      </c>
      <c r="T432">
        <f t="shared" si="978"/>
        <v>68.256822949767155</v>
      </c>
    </row>
    <row r="433" spans="1:20" x14ac:dyDescent="0.25">
      <c r="A433" s="5">
        <v>44160</v>
      </c>
      <c r="B433">
        <v>0.19569</v>
      </c>
      <c r="C433">
        <v>0.23179</v>
      </c>
      <c r="D433">
        <v>0.18154999999999999</v>
      </c>
      <c r="E433">
        <v>0.19295000000000001</v>
      </c>
      <c r="F433">
        <v>1956022527.4000001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-0.54617834394904385</v>
      </c>
      <c r="Q433">
        <f t="shared" si="975"/>
        <v>-1068337144.7423553</v>
      </c>
      <c r="R433">
        <f t="shared" si="976"/>
        <v>7215096573.1410484</v>
      </c>
      <c r="S433">
        <f t="shared" si="977"/>
        <v>72150.965731410484</v>
      </c>
      <c r="T433">
        <f t="shared" si="978"/>
        <v>72.15096573141048</v>
      </c>
    </row>
    <row r="434" spans="1:20" x14ac:dyDescent="0.25">
      <c r="A434" s="5">
        <v>44159</v>
      </c>
      <c r="B434">
        <v>0.13228000000000001</v>
      </c>
      <c r="C434">
        <v>0.19900000000000001</v>
      </c>
      <c r="D434">
        <v>0.13036</v>
      </c>
      <c r="E434">
        <v>0.19571</v>
      </c>
      <c r="F434">
        <v>2236398952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0.90413752913752865</v>
      </c>
      <c r="Q434">
        <f t="shared" si="975"/>
        <v>2022012222.6270385</v>
      </c>
      <c r="R434">
        <f t="shared" si="976"/>
        <v>8283433717.8834038</v>
      </c>
      <c r="S434">
        <f t="shared" si="977"/>
        <v>82834.337178834045</v>
      </c>
      <c r="T434">
        <f t="shared" si="978"/>
        <v>82.834337178834048</v>
      </c>
    </row>
    <row r="435" spans="1:20" x14ac:dyDescent="0.25">
      <c r="A435" s="5">
        <v>44158</v>
      </c>
      <c r="B435">
        <v>0.10428</v>
      </c>
      <c r="C435">
        <v>0.13270000000000001</v>
      </c>
      <c r="D435">
        <v>0.1013</v>
      </c>
      <c r="E435">
        <v>0.13231000000000001</v>
      </c>
      <c r="F435">
        <v>715721251.89999998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0.9751592356687897</v>
      </c>
      <c r="Q435">
        <f t="shared" si="975"/>
        <v>697942188.95471323</v>
      </c>
      <c r="R435">
        <f t="shared" si="976"/>
        <v>6261421495.2563658</v>
      </c>
      <c r="S435">
        <f t="shared" si="977"/>
        <v>62614.214952563656</v>
      </c>
      <c r="T435">
        <f t="shared" si="978"/>
        <v>62.614214952563657</v>
      </c>
    </row>
    <row r="436" spans="1:20" x14ac:dyDescent="0.25">
      <c r="A436" s="5">
        <v>44157</v>
      </c>
      <c r="B436">
        <v>0.10899</v>
      </c>
      <c r="C436">
        <v>0.11488</v>
      </c>
      <c r="D436">
        <v>9.6189999999999998E-2</v>
      </c>
      <c r="E436">
        <v>0.10426000000000001</v>
      </c>
      <c r="F436">
        <v>643370460.20000005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-0.13643659711075351</v>
      </c>
      <c r="Q436">
        <f t="shared" si="975"/>
        <v>-87779276.271267489</v>
      </c>
      <c r="R436">
        <f t="shared" si="976"/>
        <v>5563479306.3016529</v>
      </c>
      <c r="S436">
        <f t="shared" si="977"/>
        <v>55634.793063016528</v>
      </c>
      <c r="T436">
        <f t="shared" si="978"/>
        <v>55.634793063016531</v>
      </c>
    </row>
    <row r="437" spans="1:20" x14ac:dyDescent="0.25">
      <c r="A437" s="5">
        <v>44156</v>
      </c>
      <c r="B437">
        <v>8.8590000000000002E-2</v>
      </c>
      <c r="C437">
        <v>0.11015999999999999</v>
      </c>
      <c r="D437">
        <v>8.8489999999999999E-2</v>
      </c>
      <c r="E437">
        <v>0.109</v>
      </c>
      <c r="F437">
        <v>585471557.29999995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0.89293954776188333</v>
      </c>
      <c r="Q437">
        <f t="shared" si="975"/>
        <v>522790707.60290754</v>
      </c>
      <c r="R437">
        <f t="shared" si="976"/>
        <v>5651258582.5729208</v>
      </c>
      <c r="S437">
        <f t="shared" si="977"/>
        <v>56512.585825729206</v>
      </c>
      <c r="T437">
        <f t="shared" si="978"/>
        <v>56.512585825729204</v>
      </c>
    </row>
    <row r="438" spans="1:20" x14ac:dyDescent="0.25">
      <c r="A438" s="5">
        <v>44155</v>
      </c>
      <c r="B438">
        <v>8.4029999999999994E-2</v>
      </c>
      <c r="C438">
        <v>8.8679999999999995E-2</v>
      </c>
      <c r="D438">
        <v>8.3720000000000003E-2</v>
      </c>
      <c r="E438">
        <v>8.8529999999999998E-2</v>
      </c>
      <c r="F438">
        <v>116724255.59999999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0.93951612903225901</v>
      </c>
      <c r="Q438">
        <f t="shared" si="975"/>
        <v>109664320.78548397</v>
      </c>
      <c r="R438">
        <f t="shared" si="976"/>
        <v>5128467874.9700136</v>
      </c>
      <c r="S438">
        <f t="shared" si="977"/>
        <v>51284.678749700135</v>
      </c>
      <c r="T438">
        <f t="shared" si="978"/>
        <v>51.284678749700134</v>
      </c>
    </row>
    <row r="439" spans="1:20" x14ac:dyDescent="0.25">
      <c r="A439" s="5">
        <v>44154</v>
      </c>
      <c r="B439">
        <v>8.3690000000000001E-2</v>
      </c>
      <c r="C439">
        <v>8.6379999999999998E-2</v>
      </c>
      <c r="D439">
        <v>8.1439999999999999E-2</v>
      </c>
      <c r="E439">
        <v>8.4010000000000001E-2</v>
      </c>
      <c r="F439">
        <v>98312309.700000003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4.0485829959515329E-2</v>
      </c>
      <c r="Q439">
        <f t="shared" si="975"/>
        <v>3980255.4534414099</v>
      </c>
      <c r="R439">
        <f t="shared" si="976"/>
        <v>5018803554.1845293</v>
      </c>
      <c r="S439">
        <f t="shared" si="977"/>
        <v>50188.035541845296</v>
      </c>
      <c r="T439">
        <f t="shared" si="978"/>
        <v>50.188035541845295</v>
      </c>
    </row>
    <row r="440" spans="1:20" x14ac:dyDescent="0.25">
      <c r="A440" s="5">
        <v>44153</v>
      </c>
      <c r="B440">
        <v>8.6470000000000005E-2</v>
      </c>
      <c r="C440">
        <v>8.7010000000000004E-2</v>
      </c>
      <c r="D440">
        <v>8.1670000000000006E-2</v>
      </c>
      <c r="E440">
        <v>8.3650000000000002E-2</v>
      </c>
      <c r="F440">
        <v>132766680.40000001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-0.25842696629213613</v>
      </c>
      <c r="Q440">
        <f t="shared" si="975"/>
        <v>-34310490.44044961</v>
      </c>
      <c r="R440">
        <f t="shared" si="976"/>
        <v>5014823298.7310877</v>
      </c>
      <c r="S440">
        <f t="shared" si="977"/>
        <v>50148.232987310876</v>
      </c>
      <c r="T440">
        <f t="shared" si="978"/>
        <v>50.148232987310877</v>
      </c>
    </row>
    <row r="441" spans="1:20" x14ac:dyDescent="0.25">
      <c r="A441" s="5">
        <v>44152</v>
      </c>
      <c r="B441">
        <v>8.251E-2</v>
      </c>
      <c r="C441">
        <v>8.8580000000000006E-2</v>
      </c>
      <c r="D441">
        <v>8.233E-2</v>
      </c>
      <c r="E441">
        <v>8.6499999999999994E-2</v>
      </c>
      <c r="F441">
        <v>171378322.59999999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0.33439999999999664</v>
      </c>
      <c r="Q441">
        <f t="shared" si="975"/>
        <v>57308911.07743942</v>
      </c>
      <c r="R441">
        <f t="shared" si="976"/>
        <v>5049133789.1715374</v>
      </c>
      <c r="S441">
        <f t="shared" si="977"/>
        <v>50491.337891715375</v>
      </c>
      <c r="T441">
        <f t="shared" si="978"/>
        <v>50.491337891715375</v>
      </c>
    </row>
    <row r="442" spans="1:20" x14ac:dyDescent="0.25">
      <c r="A442" s="5">
        <v>44151</v>
      </c>
      <c r="B442">
        <v>8.0100000000000005E-2</v>
      </c>
      <c r="C442">
        <v>8.2750000000000004E-2</v>
      </c>
      <c r="D442">
        <v>7.9229999999999995E-2</v>
      </c>
      <c r="E442">
        <v>8.2500000000000004E-2</v>
      </c>
      <c r="F442">
        <v>80129988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0.85795454545454575</v>
      </c>
      <c r="Q442">
        <f t="shared" si="975"/>
        <v>68747887.431818202</v>
      </c>
      <c r="R442">
        <f t="shared" si="976"/>
        <v>4991824878.0940981</v>
      </c>
      <c r="S442">
        <f t="shared" si="977"/>
        <v>49918.248780940979</v>
      </c>
      <c r="T442">
        <f t="shared" si="978"/>
        <v>49.918248780940978</v>
      </c>
    </row>
    <row r="443" spans="1:20" x14ac:dyDescent="0.25">
      <c r="A443" s="5">
        <v>44150</v>
      </c>
      <c r="B443">
        <v>8.1009999999999999E-2</v>
      </c>
      <c r="C443">
        <v>8.2170000000000007E-2</v>
      </c>
      <c r="D443">
        <v>7.8509999999999996E-2</v>
      </c>
      <c r="E443">
        <v>8.0089999999999995E-2</v>
      </c>
      <c r="F443">
        <v>60437778.700000003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-0.13661202185792701</v>
      </c>
      <c r="Q443">
        <f t="shared" si="975"/>
        <v>-8256527.1448089555</v>
      </c>
      <c r="R443">
        <f t="shared" si="976"/>
        <v>4923076990.6622801</v>
      </c>
      <c r="S443">
        <f t="shared" si="977"/>
        <v>49230.769906622801</v>
      </c>
      <c r="T443">
        <f t="shared" si="978"/>
        <v>49.230769906622804</v>
      </c>
    </row>
    <row r="444" spans="1:20" x14ac:dyDescent="0.25">
      <c r="A444" s="5">
        <v>44149</v>
      </c>
      <c r="B444">
        <v>8.2489999999999994E-2</v>
      </c>
      <c r="C444">
        <v>8.4409999999999999E-2</v>
      </c>
      <c r="D444">
        <v>8.0509999999999998E-2</v>
      </c>
      <c r="E444">
        <v>8.0939999999999998E-2</v>
      </c>
      <c r="F444">
        <v>81737145.700000003</v>
      </c>
      <c r="G444">
        <v>0</v>
      </c>
      <c r="L444" t="s">
        <v>8</v>
      </c>
      <c r="M444" t="s">
        <v>7</v>
      </c>
      <c r="N444" t="s">
        <v>7</v>
      </c>
      <c r="P444">
        <f t="shared" si="974"/>
        <v>-0.7794871794871796</v>
      </c>
      <c r="Q444">
        <f t="shared" si="975"/>
        <v>-63713057.161025651</v>
      </c>
      <c r="R444">
        <f t="shared" si="976"/>
        <v>4931333517.8070889</v>
      </c>
      <c r="S444">
        <f t="shared" si="977"/>
        <v>49313.335178070891</v>
      </c>
      <c r="T444">
        <f t="shared" si="978"/>
        <v>49.313335178070894</v>
      </c>
    </row>
    <row r="445" spans="1:20" x14ac:dyDescent="0.25">
      <c r="A445" s="5">
        <v>44148</v>
      </c>
      <c r="B445">
        <v>8.0629999999999993E-2</v>
      </c>
      <c r="C445">
        <v>8.2659999999999997E-2</v>
      </c>
      <c r="D445">
        <v>7.9890000000000003E-2</v>
      </c>
      <c r="E445">
        <v>8.2489999999999994E-2</v>
      </c>
      <c r="F445">
        <v>68534117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0.87725631768952794</v>
      </c>
      <c r="Q445">
        <f t="shared" si="975"/>
        <v>60121987.115523279</v>
      </c>
      <c r="R445">
        <f t="shared" si="976"/>
        <v>4995046574.9681149</v>
      </c>
      <c r="S445">
        <f t="shared" si="977"/>
        <v>49950.465749681149</v>
      </c>
      <c r="T445">
        <f t="shared" si="978"/>
        <v>49.95046574968115</v>
      </c>
    </row>
    <row r="446" spans="1:20" x14ac:dyDescent="0.25">
      <c r="A446" s="5">
        <v>44147</v>
      </c>
      <c r="B446">
        <v>8.0409999999999995E-2</v>
      </c>
      <c r="C446">
        <v>8.1059999999999993E-2</v>
      </c>
      <c r="D446">
        <v>7.8939999999999996E-2</v>
      </c>
      <c r="E446">
        <v>8.0689999999999998E-2</v>
      </c>
      <c r="F446">
        <v>60752151.100000001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0.65094339622641895</v>
      </c>
      <c r="Q446">
        <f t="shared" si="975"/>
        <v>39546211.565094575</v>
      </c>
      <c r="R446">
        <f t="shared" si="976"/>
        <v>4934924587.8525915</v>
      </c>
      <c r="S446">
        <f t="shared" si="977"/>
        <v>49349.245878525915</v>
      </c>
      <c r="T446">
        <f t="shared" si="978"/>
        <v>49.349245878525913</v>
      </c>
    </row>
    <row r="447" spans="1:20" x14ac:dyDescent="0.25">
      <c r="A447" s="5">
        <v>44146</v>
      </c>
      <c r="B447">
        <v>7.9659999999999995E-2</v>
      </c>
      <c r="C447">
        <v>8.2210000000000005E-2</v>
      </c>
      <c r="D447">
        <v>7.9469999999999999E-2</v>
      </c>
      <c r="E447">
        <v>8.0390000000000003E-2</v>
      </c>
      <c r="F447">
        <v>70101553.900000006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-0.32846715328467008</v>
      </c>
      <c r="Q447">
        <f t="shared" si="975"/>
        <v>-23026057.850364864</v>
      </c>
      <c r="R447">
        <f t="shared" si="976"/>
        <v>4895378376.2874966</v>
      </c>
      <c r="S447">
        <f t="shared" si="977"/>
        <v>48953.783762874962</v>
      </c>
      <c r="T447">
        <f t="shared" si="978"/>
        <v>48.953783762874963</v>
      </c>
    </row>
    <row r="448" spans="1:20" x14ac:dyDescent="0.25">
      <c r="A448" s="5">
        <v>44145</v>
      </c>
      <c r="B448">
        <v>7.9729999999999995E-2</v>
      </c>
      <c r="C448">
        <v>8.251E-2</v>
      </c>
      <c r="D448">
        <v>7.9159999999999994E-2</v>
      </c>
      <c r="E448">
        <v>7.9670000000000005E-2</v>
      </c>
      <c r="F448">
        <v>101245761.5</v>
      </c>
      <c r="G448">
        <v>0</v>
      </c>
      <c r="L448" t="s">
        <v>7</v>
      </c>
      <c r="M448" t="s">
        <v>7</v>
      </c>
      <c r="N448" t="s">
        <v>7</v>
      </c>
      <c r="P448">
        <f t="shared" si="974"/>
        <v>-0.6955223880596958</v>
      </c>
      <c r="Q448">
        <f t="shared" si="975"/>
        <v>-70418693.819402412</v>
      </c>
      <c r="R448">
        <f t="shared" si="976"/>
        <v>4918404434.1378613</v>
      </c>
      <c r="S448">
        <f t="shared" si="977"/>
        <v>49184.044341378612</v>
      </c>
      <c r="T448">
        <f t="shared" si="978"/>
        <v>49.184044341378609</v>
      </c>
    </row>
    <row r="449" spans="1:20" x14ac:dyDescent="0.25">
      <c r="A449" s="5">
        <v>44144</v>
      </c>
      <c r="B449">
        <v>8.1509999999999999E-2</v>
      </c>
      <c r="C449">
        <v>8.2150000000000001E-2</v>
      </c>
      <c r="D449">
        <v>7.7990000000000004E-2</v>
      </c>
      <c r="E449">
        <v>7.9699999999999993E-2</v>
      </c>
      <c r="F449">
        <v>88475734.200000003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-0.17788461538461994</v>
      </c>
      <c r="Q449">
        <f t="shared" si="975"/>
        <v>-15738471.949038865</v>
      </c>
      <c r="R449">
        <f t="shared" si="976"/>
        <v>4988823127.9572639</v>
      </c>
      <c r="S449">
        <f t="shared" si="977"/>
        <v>49888.231279572639</v>
      </c>
      <c r="T449">
        <f t="shared" si="978"/>
        <v>49.888231279572636</v>
      </c>
    </row>
    <row r="450" spans="1:20" x14ac:dyDescent="0.25">
      <c r="A450" s="5">
        <v>44143</v>
      </c>
      <c r="B450">
        <v>7.9560000000000006E-2</v>
      </c>
      <c r="C450">
        <v>8.2879999999999995E-2</v>
      </c>
      <c r="D450">
        <v>7.8630000000000005E-2</v>
      </c>
      <c r="E450">
        <v>8.1500000000000003E-2</v>
      </c>
      <c r="F450">
        <v>58894630.200000003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0.3505882352941197</v>
      </c>
      <c r="Q450">
        <f t="shared" si="975"/>
        <v>20647764.47011777</v>
      </c>
      <c r="R450">
        <f t="shared" si="976"/>
        <v>5004561599.9063025</v>
      </c>
      <c r="S450">
        <f t="shared" si="977"/>
        <v>50045.615999063026</v>
      </c>
      <c r="T450">
        <f t="shared" si="978"/>
        <v>50.045615999063024</v>
      </c>
    </row>
    <row r="451" spans="1:20" x14ac:dyDescent="0.25">
      <c r="A451" s="5">
        <v>44142</v>
      </c>
      <c r="B451">
        <v>8.387E-2</v>
      </c>
      <c r="C451">
        <v>8.6249999999999993E-2</v>
      </c>
      <c r="D451">
        <v>7.7920000000000003E-2</v>
      </c>
      <c r="E451">
        <v>7.9519999999999993E-2</v>
      </c>
      <c r="F451">
        <v>157018368.09999999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-0.61584633853541604</v>
      </c>
      <c r="Q451">
        <f t="shared" si="975"/>
        <v>-96699187.077191174</v>
      </c>
      <c r="R451">
        <f t="shared" si="976"/>
        <v>4983913835.4361849</v>
      </c>
      <c r="S451">
        <f t="shared" si="977"/>
        <v>49839.13835436185</v>
      </c>
      <c r="T451">
        <f t="shared" si="978"/>
        <v>49.83913835436185</v>
      </c>
    </row>
    <row r="452" spans="1:20" x14ac:dyDescent="0.25">
      <c r="A452" s="5">
        <v>44141</v>
      </c>
      <c r="B452">
        <v>8.0390000000000003E-2</v>
      </c>
      <c r="C452">
        <v>8.5400000000000004E-2</v>
      </c>
      <c r="D452">
        <v>8.0210000000000004E-2</v>
      </c>
      <c r="E452">
        <v>8.3879999999999996E-2</v>
      </c>
      <c r="F452">
        <v>123861686.59999999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0.41425818882465998</v>
      </c>
      <c r="Q452">
        <f t="shared" si="975"/>
        <v>51310717.955683656</v>
      </c>
      <c r="R452">
        <f t="shared" si="976"/>
        <v>5080613022.5133762</v>
      </c>
      <c r="S452">
        <f t="shared" si="977"/>
        <v>50806.130225133762</v>
      </c>
      <c r="T452">
        <f t="shared" si="978"/>
        <v>50.806130225133764</v>
      </c>
    </row>
    <row r="453" spans="1:20" x14ac:dyDescent="0.25">
      <c r="A453" s="5">
        <v>44140</v>
      </c>
      <c r="B453">
        <v>7.46E-2</v>
      </c>
      <c r="C453">
        <v>8.2530000000000006E-2</v>
      </c>
      <c r="D453">
        <v>7.3330000000000006E-2</v>
      </c>
      <c r="E453">
        <v>8.0390000000000003E-2</v>
      </c>
      <c r="F453">
        <v>121345908.2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0.53478260869565153</v>
      </c>
      <c r="Q453">
        <f t="shared" si="975"/>
        <v>64893681.341739051</v>
      </c>
      <c r="R453">
        <f t="shared" si="976"/>
        <v>5029302304.5576925</v>
      </c>
      <c r="S453">
        <f t="shared" si="977"/>
        <v>50293.023045576927</v>
      </c>
      <c r="T453">
        <f t="shared" si="978"/>
        <v>50.29302304557693</v>
      </c>
    </row>
    <row r="454" spans="1:20" x14ac:dyDescent="0.25">
      <c r="A454" s="5">
        <v>44139</v>
      </c>
      <c r="B454">
        <v>7.5420000000000001E-2</v>
      </c>
      <c r="C454">
        <v>7.5700000000000003E-2</v>
      </c>
      <c r="D454">
        <v>7.2580000000000006E-2</v>
      </c>
      <c r="E454">
        <v>7.4560000000000001E-2</v>
      </c>
      <c r="F454">
        <v>52790834.5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0.26923076923076733</v>
      </c>
      <c r="Q454">
        <f t="shared" ref="Q454:Q517" si="980">F454*P454</f>
        <v>14212916.980769131</v>
      </c>
      <c r="R454">
        <f t="shared" ref="R454:R517" si="981">R455+Q454</f>
        <v>4964408623.2159538</v>
      </c>
      <c r="S454">
        <f t="shared" ref="S454:S517" si="982">R454/100000</f>
        <v>49644.086232159541</v>
      </c>
      <c r="T454">
        <f t="shared" ref="T454:T517" si="983">S454/1000</f>
        <v>49.644086232159545</v>
      </c>
    </row>
    <row r="455" spans="1:20" x14ac:dyDescent="0.25">
      <c r="A455" s="5">
        <v>44138</v>
      </c>
      <c r="B455">
        <v>7.5560000000000002E-2</v>
      </c>
      <c r="C455">
        <v>7.6259999999999994E-2</v>
      </c>
      <c r="D455">
        <v>7.306E-2</v>
      </c>
      <c r="E455">
        <v>7.5420000000000001E-2</v>
      </c>
      <c r="F455">
        <v>63148846.700000003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0.47500000000000314</v>
      </c>
      <c r="Q455">
        <f t="shared" si="980"/>
        <v>29995702.182500198</v>
      </c>
      <c r="R455">
        <f t="shared" si="981"/>
        <v>4950195706.2351847</v>
      </c>
      <c r="S455">
        <f t="shared" si="982"/>
        <v>49501.957062351845</v>
      </c>
      <c r="T455">
        <f t="shared" si="983"/>
        <v>49.501957062351842</v>
      </c>
    </row>
    <row r="456" spans="1:20" x14ac:dyDescent="0.25">
      <c r="A456" s="5">
        <v>44137</v>
      </c>
      <c r="B456">
        <v>7.8600000000000003E-2</v>
      </c>
      <c r="C456">
        <v>7.9500000000000001E-2</v>
      </c>
      <c r="D456">
        <v>7.5340000000000004E-2</v>
      </c>
      <c r="E456">
        <v>7.5569999999999998E-2</v>
      </c>
      <c r="F456">
        <v>73197360.700000003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-0.88942307692307965</v>
      </c>
      <c r="Q456">
        <f t="shared" si="980"/>
        <v>-65103421.776442513</v>
      </c>
      <c r="R456">
        <f t="shared" si="981"/>
        <v>4920200004.0526848</v>
      </c>
      <c r="S456">
        <f t="shared" si="982"/>
        <v>49202.000040526851</v>
      </c>
      <c r="T456">
        <f t="shared" si="983"/>
        <v>49.202000040526848</v>
      </c>
    </row>
    <row r="457" spans="1:20" x14ac:dyDescent="0.25">
      <c r="A457" s="5">
        <v>44136</v>
      </c>
      <c r="B457">
        <v>7.7700000000000005E-2</v>
      </c>
      <c r="C457">
        <v>7.8689999999999996E-2</v>
      </c>
      <c r="D457">
        <v>7.639E-2</v>
      </c>
      <c r="E457">
        <v>7.8609999999999999E-2</v>
      </c>
      <c r="F457">
        <v>43553104.299999997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0.93043478260869839</v>
      </c>
      <c r="Q457">
        <f t="shared" si="980"/>
        <v>40523323.131304465</v>
      </c>
      <c r="R457">
        <f t="shared" si="981"/>
        <v>4985303425.8291273</v>
      </c>
      <c r="S457">
        <f t="shared" si="982"/>
        <v>49853.034258291271</v>
      </c>
      <c r="T457">
        <f t="shared" si="983"/>
        <v>49.853034258291274</v>
      </c>
    </row>
    <row r="458" spans="1:20" x14ac:dyDescent="0.25">
      <c r="A458" s="5">
        <v>44135</v>
      </c>
      <c r="B458">
        <v>7.6700000000000004E-2</v>
      </c>
      <c r="C458">
        <v>7.979E-2</v>
      </c>
      <c r="D458">
        <v>7.6530000000000001E-2</v>
      </c>
      <c r="E458">
        <v>7.775E-2</v>
      </c>
      <c r="F458">
        <v>79568762.299999997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-0.25153374233128883</v>
      </c>
      <c r="Q458">
        <f t="shared" si="980"/>
        <v>-20014228.553987768</v>
      </c>
      <c r="R458">
        <f t="shared" si="981"/>
        <v>4944780102.6978226</v>
      </c>
      <c r="S458">
        <f t="shared" si="982"/>
        <v>49447.801026978224</v>
      </c>
      <c r="T458">
        <f t="shared" si="983"/>
        <v>49.447801026978226</v>
      </c>
    </row>
    <row r="459" spans="1:20" x14ac:dyDescent="0.25">
      <c r="A459" s="5">
        <v>44134</v>
      </c>
      <c r="B459">
        <v>7.7499999999999999E-2</v>
      </c>
      <c r="C459">
        <v>7.8570000000000001E-2</v>
      </c>
      <c r="D459">
        <v>7.424E-2</v>
      </c>
      <c r="E459">
        <v>7.6689999999999994E-2</v>
      </c>
      <c r="F459">
        <v>90162001.200000003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0.13163972286373837</v>
      </c>
      <c r="Q459">
        <f t="shared" si="980"/>
        <v>11868900.850808047</v>
      </c>
      <c r="R459">
        <f t="shared" si="981"/>
        <v>4964794331.2518101</v>
      </c>
      <c r="S459">
        <f t="shared" si="982"/>
        <v>49647.943312518102</v>
      </c>
      <c r="T459">
        <f t="shared" si="983"/>
        <v>49.647943312518102</v>
      </c>
    </row>
    <row r="460" spans="1:20" x14ac:dyDescent="0.25">
      <c r="A460" s="5">
        <v>44133</v>
      </c>
      <c r="B460">
        <v>7.8270000000000006E-2</v>
      </c>
      <c r="C460">
        <v>7.8920000000000004E-2</v>
      </c>
      <c r="D460">
        <v>7.5410000000000005E-2</v>
      </c>
      <c r="E460">
        <v>7.7499999999999999E-2</v>
      </c>
      <c r="F460">
        <v>89317833.700000003</v>
      </c>
      <c r="G460">
        <v>0</v>
      </c>
      <c r="L460" t="s">
        <v>7</v>
      </c>
      <c r="M460" t="s">
        <v>8</v>
      </c>
      <c r="N460" t="s">
        <v>7</v>
      </c>
      <c r="P460">
        <f t="shared" si="979"/>
        <v>0.19088319088318809</v>
      </c>
      <c r="Q460">
        <f t="shared" si="980"/>
        <v>17049273.09942995</v>
      </c>
      <c r="R460">
        <f t="shared" si="981"/>
        <v>4952925430.4010019</v>
      </c>
      <c r="S460">
        <f t="shared" si="982"/>
        <v>49529.254304010021</v>
      </c>
      <c r="T460">
        <f t="shared" si="983"/>
        <v>49.529254304010024</v>
      </c>
    </row>
    <row r="461" spans="1:20" x14ac:dyDescent="0.25">
      <c r="A461" s="5">
        <v>44132</v>
      </c>
      <c r="B461">
        <v>8.1869999999999998E-2</v>
      </c>
      <c r="C461">
        <v>8.2220000000000001E-2</v>
      </c>
      <c r="D461">
        <v>7.7420000000000003E-2</v>
      </c>
      <c r="E461">
        <v>7.8320000000000001E-2</v>
      </c>
      <c r="F461">
        <v>115640078.2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-0.62500000000000078</v>
      </c>
      <c r="Q461">
        <f t="shared" si="980"/>
        <v>-72275048.875000089</v>
      </c>
      <c r="R461">
        <f t="shared" si="981"/>
        <v>4935876157.3015718</v>
      </c>
      <c r="S461">
        <f t="shared" si="982"/>
        <v>49358.761573015719</v>
      </c>
      <c r="T461">
        <f t="shared" si="983"/>
        <v>49.35876157301572</v>
      </c>
    </row>
    <row r="462" spans="1:20" x14ac:dyDescent="0.25">
      <c r="A462" s="5">
        <v>44131</v>
      </c>
      <c r="B462">
        <v>8.1019999999999995E-2</v>
      </c>
      <c r="C462">
        <v>8.3180000000000004E-2</v>
      </c>
      <c r="D462">
        <v>8.0920000000000006E-2</v>
      </c>
      <c r="E462">
        <v>8.183E-2</v>
      </c>
      <c r="F462">
        <v>93001005.099999994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-0.19469026548673019</v>
      </c>
      <c r="Q462">
        <f t="shared" si="980"/>
        <v>-18106390.373451747</v>
      </c>
      <c r="R462">
        <f t="shared" si="981"/>
        <v>5008151206.1765718</v>
      </c>
      <c r="S462">
        <f t="shared" si="982"/>
        <v>50081.512061765716</v>
      </c>
      <c r="T462">
        <f t="shared" si="983"/>
        <v>50.081512061765714</v>
      </c>
    </row>
    <row r="463" spans="1:20" x14ac:dyDescent="0.25">
      <c r="A463" s="5">
        <v>44130</v>
      </c>
      <c r="B463">
        <v>8.301E-2</v>
      </c>
      <c r="C463">
        <v>8.4510000000000002E-2</v>
      </c>
      <c r="D463">
        <v>7.9769999999999994E-2</v>
      </c>
      <c r="E463">
        <v>8.1040000000000001E-2</v>
      </c>
      <c r="F463">
        <v>93346446.200000003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-0.4641350210970443</v>
      </c>
      <c r="Q463">
        <f t="shared" si="980"/>
        <v>-43325354.776371114</v>
      </c>
      <c r="R463">
        <f t="shared" si="981"/>
        <v>5026257596.550024</v>
      </c>
      <c r="S463">
        <f t="shared" si="982"/>
        <v>50262.57596550024</v>
      </c>
      <c r="T463">
        <f t="shared" si="983"/>
        <v>50.26257596550024</v>
      </c>
    </row>
    <row r="464" spans="1:20" x14ac:dyDescent="0.25">
      <c r="A464" s="5">
        <v>44129</v>
      </c>
      <c r="B464">
        <v>8.5580000000000003E-2</v>
      </c>
      <c r="C464">
        <v>8.5739999999999997E-2</v>
      </c>
      <c r="D464">
        <v>8.2129999999999995E-2</v>
      </c>
      <c r="E464">
        <v>8.3040000000000003E-2</v>
      </c>
      <c r="F464">
        <v>63947193.899999999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-0.49584487534625621</v>
      </c>
      <c r="Q464">
        <f t="shared" si="980"/>
        <v>-31707888.388088375</v>
      </c>
      <c r="R464">
        <f t="shared" si="981"/>
        <v>5069582951.326395</v>
      </c>
      <c r="S464">
        <f t="shared" si="982"/>
        <v>50695.829513263947</v>
      </c>
      <c r="T464">
        <f t="shared" si="983"/>
        <v>50.695829513263945</v>
      </c>
    </row>
    <row r="465" spans="1:20" x14ac:dyDescent="0.25">
      <c r="A465" s="5">
        <v>44128</v>
      </c>
      <c r="B465">
        <v>8.3650000000000002E-2</v>
      </c>
      <c r="C465">
        <v>8.6190000000000003E-2</v>
      </c>
      <c r="D465">
        <v>8.3330000000000001E-2</v>
      </c>
      <c r="E465">
        <v>8.5610000000000006E-2</v>
      </c>
      <c r="F465">
        <v>68912617.700000003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0.59440559440559659</v>
      </c>
      <c r="Q465">
        <f t="shared" si="980"/>
        <v>40962045.486014135</v>
      </c>
      <c r="R465">
        <f t="shared" si="981"/>
        <v>5101290839.7144833</v>
      </c>
      <c r="S465">
        <f t="shared" si="982"/>
        <v>51012.908397144834</v>
      </c>
      <c r="T465">
        <f t="shared" si="983"/>
        <v>51.012908397144834</v>
      </c>
    </row>
    <row r="466" spans="1:20" x14ac:dyDescent="0.25">
      <c r="A466" s="5">
        <v>44127</v>
      </c>
      <c r="B466">
        <v>8.5459999999999994E-2</v>
      </c>
      <c r="C466">
        <v>8.6419999999999997E-2</v>
      </c>
      <c r="D466">
        <v>8.2629999999999995E-2</v>
      </c>
      <c r="E466">
        <v>8.3680000000000004E-2</v>
      </c>
      <c r="F466">
        <v>78801385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-0.44591029023746237</v>
      </c>
      <c r="Q466">
        <f t="shared" si="980"/>
        <v>-35138348.456464015</v>
      </c>
      <c r="R466">
        <f t="shared" si="981"/>
        <v>5060328794.2284689</v>
      </c>
      <c r="S466">
        <f t="shared" si="982"/>
        <v>50603.287942284689</v>
      </c>
      <c r="T466">
        <f t="shared" si="983"/>
        <v>50.603287942284688</v>
      </c>
    </row>
    <row r="467" spans="1:20" x14ac:dyDescent="0.25">
      <c r="A467" s="5">
        <v>44126</v>
      </c>
      <c r="B467">
        <v>8.3640000000000006E-2</v>
      </c>
      <c r="C467">
        <v>8.7900000000000006E-2</v>
      </c>
      <c r="D467">
        <v>8.3570000000000005E-2</v>
      </c>
      <c r="E467">
        <v>8.5519999999999999E-2</v>
      </c>
      <c r="F467">
        <v>132795047.2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-9.9307159353351881E-2</v>
      </c>
      <c r="Q467">
        <f t="shared" si="980"/>
        <v>-13187498.913626285</v>
      </c>
      <c r="R467">
        <f t="shared" si="981"/>
        <v>5095467142.6849327</v>
      </c>
      <c r="S467">
        <f t="shared" si="982"/>
        <v>50954.671426849331</v>
      </c>
      <c r="T467">
        <f t="shared" si="983"/>
        <v>50.95467142684933</v>
      </c>
    </row>
    <row r="468" spans="1:20" x14ac:dyDescent="0.25">
      <c r="A468" s="5">
        <v>44125</v>
      </c>
      <c r="B468">
        <v>8.0710000000000004E-2</v>
      </c>
      <c r="C468">
        <v>8.6410000000000001E-2</v>
      </c>
      <c r="D468">
        <v>8.0350000000000005E-2</v>
      </c>
      <c r="E468">
        <v>8.3580000000000002E-2</v>
      </c>
      <c r="F468">
        <v>183571524.59999999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6.6006600660065654E-2</v>
      </c>
      <c r="Q468">
        <f t="shared" si="980"/>
        <v>12116932.316831619</v>
      </c>
      <c r="R468">
        <f t="shared" si="981"/>
        <v>5108654641.5985594</v>
      </c>
      <c r="S468">
        <f t="shared" si="982"/>
        <v>51086.546415985591</v>
      </c>
      <c r="T468">
        <f t="shared" si="983"/>
        <v>51.086546415985588</v>
      </c>
    </row>
    <row r="469" spans="1:20" x14ac:dyDescent="0.25">
      <c r="A469" s="5">
        <v>44124</v>
      </c>
      <c r="B469">
        <v>8.5199999999999998E-2</v>
      </c>
      <c r="C469">
        <v>8.6830000000000004E-2</v>
      </c>
      <c r="D469">
        <v>8.0409999999999995E-2</v>
      </c>
      <c r="E469">
        <v>8.0750000000000002E-2</v>
      </c>
      <c r="F469">
        <v>154320044.40000001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-0.89408099688473319</v>
      </c>
      <c r="Q469">
        <f t="shared" si="980"/>
        <v>-137974619.13644829</v>
      </c>
      <c r="R469">
        <f t="shared" si="981"/>
        <v>5096537709.2817278</v>
      </c>
      <c r="S469">
        <f t="shared" si="982"/>
        <v>50965.377092817274</v>
      </c>
      <c r="T469">
        <f t="shared" si="983"/>
        <v>50.965377092817278</v>
      </c>
    </row>
    <row r="470" spans="1:20" x14ac:dyDescent="0.25">
      <c r="A470" s="5">
        <v>44123</v>
      </c>
      <c r="B470">
        <v>7.9399999999999998E-2</v>
      </c>
      <c r="C470">
        <v>8.7340000000000001E-2</v>
      </c>
      <c r="D470">
        <v>7.9380000000000006E-2</v>
      </c>
      <c r="E470">
        <v>8.5199999999999998E-2</v>
      </c>
      <c r="F470">
        <v>234410704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0.46231155778894362</v>
      </c>
      <c r="Q470">
        <f t="shared" si="980"/>
        <v>108370777.72864296</v>
      </c>
      <c r="R470">
        <f t="shared" si="981"/>
        <v>5234512328.4181757</v>
      </c>
      <c r="S470">
        <f t="shared" si="982"/>
        <v>52345.123284181755</v>
      </c>
      <c r="T470">
        <f t="shared" si="983"/>
        <v>52.345123284181753</v>
      </c>
    </row>
    <row r="471" spans="1:20" x14ac:dyDescent="0.25">
      <c r="A471" s="5">
        <v>44122</v>
      </c>
      <c r="B471">
        <v>8.1519999999999995E-2</v>
      </c>
      <c r="C471">
        <v>8.2119999999999999E-2</v>
      </c>
      <c r="D471">
        <v>7.9140000000000002E-2</v>
      </c>
      <c r="E471">
        <v>7.9420000000000004E-2</v>
      </c>
      <c r="F471">
        <v>69601715.799999997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-0.81208053691274984</v>
      </c>
      <c r="Q471">
        <f t="shared" si="980"/>
        <v>-56522198.736912623</v>
      </c>
      <c r="R471">
        <f t="shared" si="981"/>
        <v>5126141550.6895323</v>
      </c>
      <c r="S471">
        <f t="shared" si="982"/>
        <v>51261.415506895326</v>
      </c>
      <c r="T471">
        <f t="shared" si="983"/>
        <v>51.261415506895325</v>
      </c>
    </row>
    <row r="472" spans="1:20" x14ac:dyDescent="0.25">
      <c r="A472" s="5">
        <v>44121</v>
      </c>
      <c r="B472">
        <v>7.9089999999999994E-2</v>
      </c>
      <c r="C472">
        <v>8.4000000000000005E-2</v>
      </c>
      <c r="D472">
        <v>7.7499999999999999E-2</v>
      </c>
      <c r="E472">
        <v>8.1519999999999995E-2</v>
      </c>
      <c r="F472">
        <v>241972319.59999999</v>
      </c>
      <c r="G472">
        <v>0</v>
      </c>
      <c r="L472" t="s">
        <v>8</v>
      </c>
      <c r="M472" t="s">
        <v>8</v>
      </c>
      <c r="N472" t="s">
        <v>7</v>
      </c>
      <c r="P472">
        <f t="shared" si="979"/>
        <v>0.23692307692307454</v>
      </c>
      <c r="Q472">
        <f t="shared" si="980"/>
        <v>57328826.489845574</v>
      </c>
      <c r="R472">
        <f t="shared" si="981"/>
        <v>5182663749.426445</v>
      </c>
      <c r="S472">
        <f t="shared" si="982"/>
        <v>51826.637494264447</v>
      </c>
      <c r="T472">
        <f t="shared" si="983"/>
        <v>51.826637494264446</v>
      </c>
    </row>
    <row r="473" spans="1:20" x14ac:dyDescent="0.25">
      <c r="A473" s="5">
        <v>44120</v>
      </c>
      <c r="B473">
        <v>7.4079999999999993E-2</v>
      </c>
      <c r="C473">
        <v>7.9189999999999997E-2</v>
      </c>
      <c r="D473">
        <v>7.1910000000000002E-2</v>
      </c>
      <c r="E473">
        <v>7.9089999999999994E-2</v>
      </c>
      <c r="F473">
        <v>135816358.5</v>
      </c>
      <c r="G473">
        <v>0</v>
      </c>
      <c r="L473" t="s">
        <v>8</v>
      </c>
      <c r="M473" t="s">
        <v>8</v>
      </c>
      <c r="N473" t="s">
        <v>7</v>
      </c>
      <c r="P473">
        <f t="shared" si="979"/>
        <v>0.97252747252747174</v>
      </c>
      <c r="Q473">
        <f t="shared" si="980"/>
        <v>132085139.85989</v>
      </c>
      <c r="R473">
        <f t="shared" si="981"/>
        <v>5125334922.9365997</v>
      </c>
      <c r="S473">
        <f t="shared" si="982"/>
        <v>51253.349229365995</v>
      </c>
      <c r="T473">
        <f t="shared" si="983"/>
        <v>51.253349229365995</v>
      </c>
    </row>
    <row r="474" spans="1:20" x14ac:dyDescent="0.25">
      <c r="A474" s="5">
        <v>44119</v>
      </c>
      <c r="B474">
        <v>7.3980000000000004E-2</v>
      </c>
      <c r="C474">
        <v>7.4410000000000004E-2</v>
      </c>
      <c r="D474">
        <v>7.1819999999999995E-2</v>
      </c>
      <c r="E474">
        <v>7.4079999999999993E-2</v>
      </c>
      <c r="F474">
        <v>76857630.5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0.74517374517373769</v>
      </c>
      <c r="Q474">
        <f t="shared" si="980"/>
        <v>57272288.36486429</v>
      </c>
      <c r="R474">
        <f t="shared" si="981"/>
        <v>4993249783.0767097</v>
      </c>
      <c r="S474">
        <f t="shared" si="982"/>
        <v>49932.497830767097</v>
      </c>
      <c r="T474">
        <f t="shared" si="983"/>
        <v>49.932497830767097</v>
      </c>
    </row>
    <row r="475" spans="1:20" x14ac:dyDescent="0.25">
      <c r="A475" s="5">
        <v>44118</v>
      </c>
      <c r="B475">
        <v>7.6350000000000001E-2</v>
      </c>
      <c r="C475">
        <v>7.6799999999999993E-2</v>
      </c>
      <c r="D475">
        <v>7.3550000000000004E-2</v>
      </c>
      <c r="E475">
        <v>7.3980000000000004E-2</v>
      </c>
      <c r="F475">
        <v>84607215.099999994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-0.73538461538461464</v>
      </c>
      <c r="Q475">
        <f t="shared" si="980"/>
        <v>-62218844.335076854</v>
      </c>
      <c r="R475">
        <f t="shared" si="981"/>
        <v>4935977494.7118454</v>
      </c>
      <c r="S475">
        <f t="shared" si="982"/>
        <v>49359.774947118451</v>
      </c>
      <c r="T475">
        <f t="shared" si="983"/>
        <v>49.359774947118453</v>
      </c>
    </row>
    <row r="476" spans="1:20" x14ac:dyDescent="0.25">
      <c r="A476" s="5">
        <v>44117</v>
      </c>
      <c r="B476">
        <v>7.757E-2</v>
      </c>
      <c r="C476">
        <v>7.7609999999999998E-2</v>
      </c>
      <c r="D476">
        <v>7.5399999999999995E-2</v>
      </c>
      <c r="E476">
        <v>7.6350000000000001E-2</v>
      </c>
      <c r="F476">
        <v>76725508.099999994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-0.1402714932126653</v>
      </c>
      <c r="Q476">
        <f t="shared" si="980"/>
        <v>-10762401.588687446</v>
      </c>
      <c r="R476">
        <f t="shared" si="981"/>
        <v>4998196339.0469227</v>
      </c>
      <c r="S476">
        <f t="shared" si="982"/>
        <v>49981.963390469224</v>
      </c>
      <c r="T476">
        <f t="shared" si="983"/>
        <v>49.981963390469225</v>
      </c>
    </row>
    <row r="477" spans="1:20" x14ac:dyDescent="0.25">
      <c r="A477" s="5">
        <v>44116</v>
      </c>
      <c r="B477">
        <v>7.7130000000000004E-2</v>
      </c>
      <c r="C477">
        <v>7.9170000000000004E-2</v>
      </c>
      <c r="D477">
        <v>7.5929999999999997E-2</v>
      </c>
      <c r="E477">
        <v>7.7609999999999998E-2</v>
      </c>
      <c r="F477">
        <v>95118142.599999994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3.7037037037035453E-2</v>
      </c>
      <c r="Q477">
        <f t="shared" si="980"/>
        <v>3522894.1703702193</v>
      </c>
      <c r="R477">
        <f t="shared" si="981"/>
        <v>5008958740.6356106</v>
      </c>
      <c r="S477">
        <f t="shared" si="982"/>
        <v>50089.587406356106</v>
      </c>
      <c r="T477">
        <f t="shared" si="983"/>
        <v>50.089587406356102</v>
      </c>
    </row>
    <row r="478" spans="1:20" x14ac:dyDescent="0.25">
      <c r="A478" s="5">
        <v>44115</v>
      </c>
      <c r="B478">
        <v>7.7310000000000004E-2</v>
      </c>
      <c r="C478">
        <v>7.8810000000000005E-2</v>
      </c>
      <c r="D478">
        <v>7.6749999999999999E-2</v>
      </c>
      <c r="E478">
        <v>7.7130000000000004E-2</v>
      </c>
      <c r="F478">
        <v>74728102.700000003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-0.63106796116504449</v>
      </c>
      <c r="Q478">
        <f t="shared" si="980"/>
        <v>-47158511.412621059</v>
      </c>
      <c r="R478">
        <f t="shared" si="981"/>
        <v>5005435846.4652405</v>
      </c>
      <c r="S478">
        <f t="shared" si="982"/>
        <v>50054.358464652403</v>
      </c>
      <c r="T478">
        <f t="shared" si="983"/>
        <v>50.054358464652402</v>
      </c>
    </row>
    <row r="479" spans="1:20" x14ac:dyDescent="0.25">
      <c r="A479" s="5">
        <v>44114</v>
      </c>
      <c r="B479">
        <v>7.5020000000000003E-2</v>
      </c>
      <c r="C479">
        <v>7.8460000000000002E-2</v>
      </c>
      <c r="D479">
        <v>7.4990000000000001E-2</v>
      </c>
      <c r="E479">
        <v>7.7299999999999994E-2</v>
      </c>
      <c r="F479">
        <v>105583212.7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0.33141210374639313</v>
      </c>
      <c r="Q479">
        <f t="shared" si="980"/>
        <v>34991554.641209893</v>
      </c>
      <c r="R479">
        <f t="shared" si="981"/>
        <v>5052594357.877862</v>
      </c>
      <c r="S479">
        <f t="shared" si="982"/>
        <v>50525.943578778621</v>
      </c>
      <c r="T479">
        <f t="shared" si="983"/>
        <v>50.525943578778623</v>
      </c>
    </row>
    <row r="480" spans="1:20" x14ac:dyDescent="0.25">
      <c r="A480" s="5">
        <v>44113</v>
      </c>
      <c r="B480">
        <v>7.3169999999999999E-2</v>
      </c>
      <c r="C480">
        <v>7.5829999999999995E-2</v>
      </c>
      <c r="D480">
        <v>7.2349999999999998E-2</v>
      </c>
      <c r="E480">
        <v>7.5020000000000003E-2</v>
      </c>
      <c r="F480">
        <v>114006657.59999999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0.53448275862069428</v>
      </c>
      <c r="Q480">
        <f t="shared" si="980"/>
        <v>60934592.85517294</v>
      </c>
      <c r="R480">
        <f t="shared" si="981"/>
        <v>5017602803.2366524</v>
      </c>
      <c r="S480">
        <f t="shared" si="982"/>
        <v>50176.028032366521</v>
      </c>
      <c r="T480">
        <f t="shared" si="983"/>
        <v>50.176028032366524</v>
      </c>
    </row>
    <row r="481" spans="1:20" x14ac:dyDescent="0.25">
      <c r="A481" s="5">
        <v>44112</v>
      </c>
      <c r="B481">
        <v>7.2309999999999999E-2</v>
      </c>
      <c r="C481">
        <v>7.3499999999999996E-2</v>
      </c>
      <c r="D481">
        <v>7.0099999999999996E-2</v>
      </c>
      <c r="E481">
        <v>7.3109999999999994E-2</v>
      </c>
      <c r="F481">
        <v>91630381.099999994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0.7705882352941168</v>
      </c>
      <c r="Q481">
        <f t="shared" si="980"/>
        <v>70609293.671176389</v>
      </c>
      <c r="R481">
        <f t="shared" si="981"/>
        <v>4956668210.3814793</v>
      </c>
      <c r="S481">
        <f t="shared" si="982"/>
        <v>49566.68210381479</v>
      </c>
      <c r="T481">
        <f t="shared" si="983"/>
        <v>49.566682103814792</v>
      </c>
    </row>
    <row r="482" spans="1:20" x14ac:dyDescent="0.25">
      <c r="A482" s="5">
        <v>44111</v>
      </c>
      <c r="B482">
        <v>7.2370000000000004E-2</v>
      </c>
      <c r="C482">
        <v>7.3300000000000004E-2</v>
      </c>
      <c r="D482">
        <v>7.0569999999999994E-2</v>
      </c>
      <c r="E482">
        <v>7.2330000000000005E-2</v>
      </c>
      <c r="F482">
        <v>83762976.099999994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0.28937728937729301</v>
      </c>
      <c r="Q482">
        <f t="shared" si="980"/>
        <v>24239102.973992977</v>
      </c>
      <c r="R482">
        <f t="shared" si="981"/>
        <v>4886058916.7103033</v>
      </c>
      <c r="S482">
        <f t="shared" si="982"/>
        <v>48860.589167103033</v>
      </c>
      <c r="T482">
        <f t="shared" si="983"/>
        <v>48.860589167103036</v>
      </c>
    </row>
    <row r="483" spans="1:20" x14ac:dyDescent="0.25">
      <c r="A483" s="5">
        <v>44110</v>
      </c>
      <c r="B483">
        <v>7.3319999999999996E-2</v>
      </c>
      <c r="C483">
        <v>7.5499999999999998E-2</v>
      </c>
      <c r="D483">
        <v>7.1559999999999999E-2</v>
      </c>
      <c r="E483">
        <v>7.2370000000000004E-2</v>
      </c>
      <c r="F483">
        <v>122403203.8</v>
      </c>
      <c r="G483">
        <v>0</v>
      </c>
      <c r="L483" t="s">
        <v>8</v>
      </c>
      <c r="M483" t="s">
        <v>7</v>
      </c>
      <c r="N483" t="s">
        <v>7</v>
      </c>
      <c r="P483">
        <f t="shared" si="979"/>
        <v>-0.58883248730964199</v>
      </c>
      <c r="Q483">
        <f t="shared" si="980"/>
        <v>-72074982.948223025</v>
      </c>
      <c r="R483">
        <f t="shared" si="981"/>
        <v>4861819813.73631</v>
      </c>
      <c r="S483">
        <f t="shared" si="982"/>
        <v>48618.198137363099</v>
      </c>
      <c r="T483">
        <f t="shared" si="983"/>
        <v>48.618198137363102</v>
      </c>
    </row>
    <row r="484" spans="1:20" x14ac:dyDescent="0.25">
      <c r="A484" s="5">
        <v>44109</v>
      </c>
      <c r="B484">
        <v>7.2910000000000003E-2</v>
      </c>
      <c r="C484">
        <v>7.4079999999999993E-2</v>
      </c>
      <c r="D484">
        <v>7.2239999999999999E-2</v>
      </c>
      <c r="E484">
        <v>7.331E-2</v>
      </c>
      <c r="F484">
        <v>62279869.100000001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0.16304347826087473</v>
      </c>
      <c r="Q484">
        <f t="shared" si="980"/>
        <v>10154326.483695975</v>
      </c>
      <c r="R484">
        <f t="shared" si="981"/>
        <v>4933894796.6845331</v>
      </c>
      <c r="S484">
        <f t="shared" si="982"/>
        <v>49338.947966845328</v>
      </c>
      <c r="T484">
        <f t="shared" si="983"/>
        <v>49.338947966845325</v>
      </c>
    </row>
    <row r="485" spans="1:20" x14ac:dyDescent="0.25">
      <c r="A485" s="5">
        <v>44108</v>
      </c>
      <c r="B485">
        <v>7.0989999999999998E-2</v>
      </c>
      <c r="C485">
        <v>7.3429999999999995E-2</v>
      </c>
      <c r="D485">
        <v>7.0330000000000004E-2</v>
      </c>
      <c r="E485">
        <v>7.2900000000000006E-2</v>
      </c>
      <c r="F485">
        <v>50278131.100000001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0.6580645161290386</v>
      </c>
      <c r="Q485">
        <f t="shared" si="980"/>
        <v>33086254.01419387</v>
      </c>
      <c r="R485">
        <f t="shared" si="981"/>
        <v>4923740470.2008371</v>
      </c>
      <c r="S485">
        <f t="shared" si="982"/>
        <v>49237.404702008374</v>
      </c>
      <c r="T485">
        <f t="shared" si="983"/>
        <v>49.237404702008376</v>
      </c>
    </row>
    <row r="486" spans="1:20" x14ac:dyDescent="0.25">
      <c r="A486" s="5">
        <v>44107</v>
      </c>
      <c r="B486">
        <v>7.0970000000000005E-2</v>
      </c>
      <c r="C486">
        <v>7.2099999999999997E-2</v>
      </c>
      <c r="D486">
        <v>7.0610000000000006E-2</v>
      </c>
      <c r="E486">
        <v>7.0999999999999994E-2</v>
      </c>
      <c r="F486">
        <v>45557361.700000003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-0.47651006711410759</v>
      </c>
      <c r="Q486">
        <f t="shared" si="980"/>
        <v>-21708541.481208675</v>
      </c>
      <c r="R486">
        <f t="shared" si="981"/>
        <v>4890654216.1866436</v>
      </c>
      <c r="S486">
        <f t="shared" si="982"/>
        <v>48906.542161866433</v>
      </c>
      <c r="T486">
        <f t="shared" si="983"/>
        <v>48.906542161866433</v>
      </c>
    </row>
    <row r="487" spans="1:20" x14ac:dyDescent="0.25">
      <c r="A487" s="5">
        <v>44106</v>
      </c>
      <c r="B487">
        <v>7.3139999999999997E-2</v>
      </c>
      <c r="C487">
        <v>7.392E-2</v>
      </c>
      <c r="D487">
        <v>6.8610000000000004E-2</v>
      </c>
      <c r="E487">
        <v>7.0959999999999995E-2</v>
      </c>
      <c r="F487">
        <v>117228467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-0.11487758945386325</v>
      </c>
      <c r="Q487">
        <f t="shared" si="980"/>
        <v>-13466923.704331758</v>
      </c>
      <c r="R487">
        <f t="shared" si="981"/>
        <v>4912362757.6678524</v>
      </c>
      <c r="S487">
        <f t="shared" si="982"/>
        <v>49123.627576678526</v>
      </c>
      <c r="T487">
        <f t="shared" si="983"/>
        <v>49.123627576678523</v>
      </c>
    </row>
    <row r="488" spans="1:20" x14ac:dyDescent="0.25">
      <c r="A488" s="5">
        <v>44105</v>
      </c>
      <c r="B488">
        <v>7.492E-2</v>
      </c>
      <c r="C488">
        <v>7.6300000000000007E-2</v>
      </c>
      <c r="D488">
        <v>7.1319999999999995E-2</v>
      </c>
      <c r="E488">
        <v>7.3139999999999997E-2</v>
      </c>
      <c r="F488">
        <v>118369484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-0.26907630522088444</v>
      </c>
      <c r="Q488">
        <f t="shared" si="980"/>
        <v>-31850423.405622598</v>
      </c>
      <c r="R488">
        <f t="shared" si="981"/>
        <v>4925829681.3721838</v>
      </c>
      <c r="S488">
        <f t="shared" si="982"/>
        <v>49258.296813721841</v>
      </c>
      <c r="T488">
        <f t="shared" si="983"/>
        <v>49.258296813721842</v>
      </c>
    </row>
    <row r="489" spans="1:20" x14ac:dyDescent="0.25">
      <c r="A489" s="5">
        <v>44104</v>
      </c>
      <c r="B489">
        <v>7.4060000000000001E-2</v>
      </c>
      <c r="C489">
        <v>7.51E-2</v>
      </c>
      <c r="D489">
        <v>7.2050000000000003E-2</v>
      </c>
      <c r="E489">
        <v>7.4840000000000004E-2</v>
      </c>
      <c r="F489">
        <v>82496014.700000003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0.82950819672131371</v>
      </c>
      <c r="Q489">
        <f t="shared" si="980"/>
        <v>68431120.390491992</v>
      </c>
      <c r="R489">
        <f t="shared" si="981"/>
        <v>4957680104.7778063</v>
      </c>
      <c r="S489">
        <f t="shared" si="982"/>
        <v>49576.801047778063</v>
      </c>
      <c r="T489">
        <f t="shared" si="983"/>
        <v>49.576801047778062</v>
      </c>
    </row>
    <row r="490" spans="1:20" x14ac:dyDescent="0.25">
      <c r="A490" s="5">
        <v>44103</v>
      </c>
      <c r="B490">
        <v>7.3179999999999995E-2</v>
      </c>
      <c r="C490">
        <v>7.5029999999999999E-2</v>
      </c>
      <c r="D490">
        <v>7.1989999999999998E-2</v>
      </c>
      <c r="E490">
        <v>7.4069999999999997E-2</v>
      </c>
      <c r="F490">
        <v>81120013.700000003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0.36842105263157748</v>
      </c>
      <c r="Q490">
        <f t="shared" si="980"/>
        <v>29886320.836841989</v>
      </c>
      <c r="R490">
        <f t="shared" si="981"/>
        <v>4889248984.3873138</v>
      </c>
      <c r="S490">
        <f t="shared" si="982"/>
        <v>48892.48984387314</v>
      </c>
      <c r="T490">
        <f t="shared" si="983"/>
        <v>48.892489843873143</v>
      </c>
    </row>
    <row r="491" spans="1:20" x14ac:dyDescent="0.25">
      <c r="A491" s="5">
        <v>44102</v>
      </c>
      <c r="B491">
        <v>7.3349999999999999E-2</v>
      </c>
      <c r="C491">
        <v>7.6060000000000003E-2</v>
      </c>
      <c r="D491">
        <v>7.2499999999999995E-2</v>
      </c>
      <c r="E491">
        <v>7.3230000000000003E-2</v>
      </c>
      <c r="F491">
        <v>114180696.59999999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-0.58988764044943431</v>
      </c>
      <c r="Q491">
        <f t="shared" si="980"/>
        <v>-67353781.70224674</v>
      </c>
      <c r="R491">
        <f t="shared" si="981"/>
        <v>4859362663.5504723</v>
      </c>
      <c r="S491">
        <f t="shared" si="982"/>
        <v>48593.626635504719</v>
      </c>
      <c r="T491">
        <f t="shared" si="983"/>
        <v>48.59362663550472</v>
      </c>
    </row>
    <row r="492" spans="1:20" x14ac:dyDescent="0.25">
      <c r="A492" s="5">
        <v>44101</v>
      </c>
      <c r="B492">
        <v>7.3800000000000004E-2</v>
      </c>
      <c r="C492">
        <v>7.4469999999999995E-2</v>
      </c>
      <c r="D492">
        <v>7.1220000000000006E-2</v>
      </c>
      <c r="E492">
        <v>7.3349999999999999E-2</v>
      </c>
      <c r="F492">
        <v>71111591.200000003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0.31076923076923091</v>
      </c>
      <c r="Q492">
        <f t="shared" si="980"/>
        <v>22099294.496000011</v>
      </c>
      <c r="R492">
        <f t="shared" si="981"/>
        <v>4926716445.2527189</v>
      </c>
      <c r="S492">
        <f t="shared" si="982"/>
        <v>49267.164452527191</v>
      </c>
      <c r="T492">
        <f t="shared" si="983"/>
        <v>49.26716445252719</v>
      </c>
    </row>
    <row r="493" spans="1:20" x14ac:dyDescent="0.25">
      <c r="A493" s="5">
        <v>44100</v>
      </c>
      <c r="B493">
        <v>7.467E-2</v>
      </c>
      <c r="C493">
        <v>7.6450000000000004E-2</v>
      </c>
      <c r="D493">
        <v>7.2480000000000003E-2</v>
      </c>
      <c r="E493">
        <v>7.3849999999999999E-2</v>
      </c>
      <c r="F493">
        <v>79626370.299999997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-0.30982367758186613</v>
      </c>
      <c r="Q493">
        <f t="shared" si="980"/>
        <v>-24670134.878841478</v>
      </c>
      <c r="R493">
        <f t="shared" si="981"/>
        <v>4904617150.7567186</v>
      </c>
      <c r="S493">
        <f t="shared" si="982"/>
        <v>49046.171507567189</v>
      </c>
      <c r="T493">
        <f t="shared" si="983"/>
        <v>49.046171507567188</v>
      </c>
    </row>
    <row r="494" spans="1:20" x14ac:dyDescent="0.25">
      <c r="A494" s="5">
        <v>44099</v>
      </c>
      <c r="B494">
        <v>7.041E-2</v>
      </c>
      <c r="C494">
        <v>7.5609999999999997E-2</v>
      </c>
      <c r="D494">
        <v>6.9059999999999996E-2</v>
      </c>
      <c r="E494">
        <v>7.467E-2</v>
      </c>
      <c r="F494">
        <v>176066613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0.71297709923664232</v>
      </c>
      <c r="Q494">
        <f t="shared" si="980"/>
        <v>125531463.0091605</v>
      </c>
      <c r="R494">
        <f t="shared" si="981"/>
        <v>4929287285.63556</v>
      </c>
      <c r="S494">
        <f t="shared" si="982"/>
        <v>49292.8728563556</v>
      </c>
      <c r="T494">
        <f t="shared" si="983"/>
        <v>49.292872856355601</v>
      </c>
    </row>
    <row r="495" spans="1:20" x14ac:dyDescent="0.25">
      <c r="A495" s="5">
        <v>44098</v>
      </c>
      <c r="B495">
        <v>6.7400000000000002E-2</v>
      </c>
      <c r="C495">
        <v>7.0870000000000002E-2</v>
      </c>
      <c r="D495">
        <v>6.6710000000000005E-2</v>
      </c>
      <c r="E495">
        <v>7.0430000000000006E-2</v>
      </c>
      <c r="F495">
        <v>147671979.5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0.78846153846154021</v>
      </c>
      <c r="Q495">
        <f t="shared" si="980"/>
        <v>116433676.14423102</v>
      </c>
      <c r="R495">
        <f t="shared" si="981"/>
        <v>4803755822.6264</v>
      </c>
      <c r="S495">
        <f t="shared" si="982"/>
        <v>48037.558226264002</v>
      </c>
      <c r="T495">
        <f t="shared" si="983"/>
        <v>48.037558226264004</v>
      </c>
    </row>
    <row r="496" spans="1:20" x14ac:dyDescent="0.25">
      <c r="A496" s="5">
        <v>44097</v>
      </c>
      <c r="B496">
        <v>7.1669999999999998E-2</v>
      </c>
      <c r="C496">
        <v>7.2300000000000003E-2</v>
      </c>
      <c r="D496">
        <v>6.701E-2</v>
      </c>
      <c r="E496">
        <v>6.7400000000000002E-2</v>
      </c>
      <c r="F496">
        <v>104101886.3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-0.85255198487712613</v>
      </c>
      <c r="Q496">
        <f t="shared" si="980"/>
        <v>-88752269.794517905</v>
      </c>
      <c r="R496">
        <f t="shared" si="981"/>
        <v>4687322146.4821692</v>
      </c>
      <c r="S496">
        <f t="shared" si="982"/>
        <v>46873.22146482169</v>
      </c>
      <c r="T496">
        <f t="shared" si="983"/>
        <v>46.87322146482169</v>
      </c>
    </row>
    <row r="497" spans="1:20" x14ac:dyDescent="0.25">
      <c r="A497" s="5">
        <v>44096</v>
      </c>
      <c r="B497">
        <v>6.9980000000000001E-2</v>
      </c>
      <c r="C497">
        <v>7.2289999999999993E-2</v>
      </c>
      <c r="D497">
        <v>6.9419999999999996E-2</v>
      </c>
      <c r="E497">
        <v>7.1669999999999998E-2</v>
      </c>
      <c r="F497">
        <v>89881737.299999997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0.56794425087108291</v>
      </c>
      <c r="Q497">
        <f t="shared" si="980"/>
        <v>51047815.957839966</v>
      </c>
      <c r="R497">
        <f t="shared" si="981"/>
        <v>4776074416.2766867</v>
      </c>
      <c r="S497">
        <f t="shared" si="982"/>
        <v>47760.744162766867</v>
      </c>
      <c r="T497">
        <f t="shared" si="983"/>
        <v>47.760744162766869</v>
      </c>
    </row>
    <row r="498" spans="1:20" x14ac:dyDescent="0.25">
      <c r="A498" s="5">
        <v>44095</v>
      </c>
      <c r="B498">
        <v>7.689E-2</v>
      </c>
      <c r="C498">
        <v>7.7429999999999999E-2</v>
      </c>
      <c r="D498">
        <v>6.8930000000000005E-2</v>
      </c>
      <c r="E498">
        <v>6.9959999999999994E-2</v>
      </c>
      <c r="F498">
        <v>123444048.90000001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-0.75764705882353178</v>
      </c>
      <c r="Q498">
        <f t="shared" si="980"/>
        <v>-93527020.578353241</v>
      </c>
      <c r="R498">
        <f t="shared" si="981"/>
        <v>4725026600.3188467</v>
      </c>
      <c r="S498">
        <f t="shared" si="982"/>
        <v>47250.266003188466</v>
      </c>
      <c r="T498">
        <f t="shared" si="983"/>
        <v>47.250266003188464</v>
      </c>
    </row>
    <row r="499" spans="1:20" x14ac:dyDescent="0.25">
      <c r="A499" s="5">
        <v>44094</v>
      </c>
      <c r="B499">
        <v>7.8490000000000004E-2</v>
      </c>
      <c r="C499">
        <v>7.8640000000000002E-2</v>
      </c>
      <c r="D499">
        <v>7.5230000000000005E-2</v>
      </c>
      <c r="E499">
        <v>7.6929999999999998E-2</v>
      </c>
      <c r="F499">
        <v>80272318.700000003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-2.9325513196510299E-3</v>
      </c>
      <c r="Q499">
        <f t="shared" si="980"/>
        <v>-235402.69413513306</v>
      </c>
      <c r="R499">
        <f t="shared" si="981"/>
        <v>4818553620.8971996</v>
      </c>
      <c r="S499">
        <f t="shared" si="982"/>
        <v>48185.536208971993</v>
      </c>
      <c r="T499">
        <f t="shared" si="983"/>
        <v>48.185536208971996</v>
      </c>
    </row>
    <row r="500" spans="1:20" x14ac:dyDescent="0.25">
      <c r="A500" s="5">
        <v>44093</v>
      </c>
      <c r="B500">
        <v>7.8240000000000004E-2</v>
      </c>
      <c r="C500">
        <v>7.9409999999999994E-2</v>
      </c>
      <c r="D500">
        <v>7.707E-2</v>
      </c>
      <c r="E500">
        <v>7.8570000000000001E-2</v>
      </c>
      <c r="F500">
        <v>73576059.400000006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0.28205128205128599</v>
      </c>
      <c r="Q500">
        <f t="shared" si="980"/>
        <v>20752221.882051572</v>
      </c>
      <c r="R500">
        <f t="shared" si="981"/>
        <v>4818789023.5913343</v>
      </c>
      <c r="S500">
        <f t="shared" si="982"/>
        <v>48187.890235913343</v>
      </c>
      <c r="T500">
        <f t="shared" si="983"/>
        <v>48.187890235913343</v>
      </c>
    </row>
    <row r="501" spans="1:20" x14ac:dyDescent="0.25">
      <c r="A501" s="5">
        <v>44092</v>
      </c>
      <c r="B501">
        <v>8.0439999999999998E-2</v>
      </c>
      <c r="C501">
        <v>8.0740000000000006E-2</v>
      </c>
      <c r="D501">
        <v>7.7160000000000006E-2</v>
      </c>
      <c r="E501">
        <v>7.825E-2</v>
      </c>
      <c r="F501">
        <v>76038257.900000006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-0.39106145251396995</v>
      </c>
      <c r="Q501">
        <f t="shared" si="980"/>
        <v>-29735631.581005853</v>
      </c>
      <c r="R501">
        <f t="shared" si="981"/>
        <v>4798036801.7092829</v>
      </c>
      <c r="S501">
        <f t="shared" si="982"/>
        <v>47980.368017092827</v>
      </c>
      <c r="T501">
        <f t="shared" si="983"/>
        <v>47.980368017092829</v>
      </c>
    </row>
    <row r="502" spans="1:20" x14ac:dyDescent="0.25">
      <c r="A502" s="5">
        <v>44091</v>
      </c>
      <c r="B502">
        <v>0.08</v>
      </c>
      <c r="C502">
        <v>8.2280000000000006E-2</v>
      </c>
      <c r="D502">
        <v>7.7969999999999998E-2</v>
      </c>
      <c r="E502">
        <v>8.0430000000000001E-2</v>
      </c>
      <c r="F502">
        <v>103697577.90000001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0.14153132250580006</v>
      </c>
      <c r="Q502">
        <f t="shared" si="980"/>
        <v>14676455.340835225</v>
      </c>
      <c r="R502">
        <f t="shared" si="981"/>
        <v>4827772433.2902889</v>
      </c>
      <c r="S502">
        <f t="shared" si="982"/>
        <v>48277.724332902886</v>
      </c>
      <c r="T502">
        <f t="shared" si="983"/>
        <v>48.277724332902885</v>
      </c>
    </row>
    <row r="503" spans="1:20" x14ac:dyDescent="0.25">
      <c r="A503" s="5">
        <v>44090</v>
      </c>
      <c r="B503">
        <v>7.775E-2</v>
      </c>
      <c r="C503">
        <v>8.1430000000000002E-2</v>
      </c>
      <c r="D503">
        <v>7.5020000000000003E-2</v>
      </c>
      <c r="E503">
        <v>7.9990000000000006E-2</v>
      </c>
      <c r="F503">
        <v>148810911.30000001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0.55070202808112412</v>
      </c>
      <c r="Q503">
        <f t="shared" si="980"/>
        <v>81950470.653510273</v>
      </c>
      <c r="R503">
        <f t="shared" si="981"/>
        <v>4813095977.9494534</v>
      </c>
      <c r="S503">
        <f t="shared" si="982"/>
        <v>48130.959779494537</v>
      </c>
      <c r="T503">
        <f t="shared" si="983"/>
        <v>48.130959779494539</v>
      </c>
    </row>
    <row r="504" spans="1:20" x14ac:dyDescent="0.25">
      <c r="A504" s="5">
        <v>44089</v>
      </c>
      <c r="B504">
        <v>8.0140000000000003E-2</v>
      </c>
      <c r="C504">
        <v>8.1519999999999995E-2</v>
      </c>
      <c r="D504">
        <v>7.7439999999999995E-2</v>
      </c>
      <c r="E504">
        <v>7.7780000000000002E-2</v>
      </c>
      <c r="F504">
        <v>116809453.7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-0.83333333333332993</v>
      </c>
      <c r="Q504">
        <f t="shared" si="980"/>
        <v>-97341211.416666269</v>
      </c>
      <c r="R504">
        <f t="shared" si="981"/>
        <v>4731145507.2959433</v>
      </c>
      <c r="S504">
        <f t="shared" si="982"/>
        <v>47311.455072959434</v>
      </c>
      <c r="T504">
        <f t="shared" si="983"/>
        <v>47.311455072959433</v>
      </c>
    </row>
    <row r="505" spans="1:20" x14ac:dyDescent="0.25">
      <c r="A505" s="5">
        <v>44088</v>
      </c>
      <c r="B505">
        <v>8.0009999999999998E-2</v>
      </c>
      <c r="C505">
        <v>8.201E-2</v>
      </c>
      <c r="D505">
        <v>7.8759999999999997E-2</v>
      </c>
      <c r="E505">
        <v>8.0210000000000004E-2</v>
      </c>
      <c r="F505">
        <v>103302018.8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-0.10769230769230427</v>
      </c>
      <c r="Q505">
        <f t="shared" si="980"/>
        <v>-11124832.793845801</v>
      </c>
      <c r="R505">
        <f t="shared" si="981"/>
        <v>4828486718.7126093</v>
      </c>
      <c r="S505">
        <f t="shared" si="982"/>
        <v>48284.867187126096</v>
      </c>
      <c r="T505">
        <f t="shared" si="983"/>
        <v>48.284867187126096</v>
      </c>
    </row>
    <row r="506" spans="1:20" x14ac:dyDescent="0.25">
      <c r="A506" s="5">
        <v>44087</v>
      </c>
      <c r="B506">
        <v>8.3849999999999994E-2</v>
      </c>
      <c r="C506">
        <v>8.4659999999999999E-2</v>
      </c>
      <c r="D506">
        <v>7.911E-2</v>
      </c>
      <c r="E506">
        <v>8.0009999999999998E-2</v>
      </c>
      <c r="F506">
        <v>101453294.3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-0.67567567567567632</v>
      </c>
      <c r="Q506">
        <f t="shared" si="980"/>
        <v>-68549523.175675735</v>
      </c>
      <c r="R506">
        <f t="shared" si="981"/>
        <v>4839611551.5064554</v>
      </c>
      <c r="S506">
        <f t="shared" si="982"/>
        <v>48396.115515064557</v>
      </c>
      <c r="T506">
        <f t="shared" si="983"/>
        <v>48.396115515064558</v>
      </c>
    </row>
    <row r="507" spans="1:20" x14ac:dyDescent="0.25">
      <c r="A507" s="5">
        <v>44086</v>
      </c>
      <c r="B507">
        <v>8.3690000000000001E-2</v>
      </c>
      <c r="C507">
        <v>8.4699999999999998E-2</v>
      </c>
      <c r="D507">
        <v>8.2269999999999996E-2</v>
      </c>
      <c r="E507">
        <v>8.3820000000000006E-2</v>
      </c>
      <c r="F507">
        <v>71354066.400000006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0.27572016460906063</v>
      </c>
      <c r="Q507">
        <f t="shared" si="980"/>
        <v>19673754.933333844</v>
      </c>
      <c r="R507">
        <f t="shared" si="981"/>
        <v>4908161074.6821308</v>
      </c>
      <c r="S507">
        <f t="shared" si="982"/>
        <v>49081.610746821309</v>
      </c>
      <c r="T507">
        <f t="shared" si="983"/>
        <v>49.081610746821312</v>
      </c>
    </row>
    <row r="508" spans="1:20" x14ac:dyDescent="0.25">
      <c r="A508" s="5">
        <v>44085</v>
      </c>
      <c r="B508">
        <v>8.1140000000000004E-2</v>
      </c>
      <c r="C508">
        <v>8.4250000000000005E-2</v>
      </c>
      <c r="D508">
        <v>7.9070000000000001E-2</v>
      </c>
      <c r="E508">
        <v>8.3739999999999995E-2</v>
      </c>
      <c r="F508">
        <v>81437641.200000003</v>
      </c>
      <c r="G508">
        <v>0</v>
      </c>
      <c r="L508" t="s">
        <v>8</v>
      </c>
      <c r="M508" t="s">
        <v>7</v>
      </c>
      <c r="N508" t="s">
        <v>7</v>
      </c>
      <c r="P508">
        <f t="shared" si="979"/>
        <v>0.80308880308879926</v>
      </c>
      <c r="Q508">
        <f t="shared" si="980"/>
        <v>65401657.79768309</v>
      </c>
      <c r="R508">
        <f t="shared" si="981"/>
        <v>4888487319.7487974</v>
      </c>
      <c r="S508">
        <f t="shared" si="982"/>
        <v>48884.873197487977</v>
      </c>
      <c r="T508">
        <f t="shared" si="983"/>
        <v>48.884873197487977</v>
      </c>
    </row>
    <row r="509" spans="1:20" x14ac:dyDescent="0.25">
      <c r="A509" s="5">
        <v>44084</v>
      </c>
      <c r="B509">
        <v>7.8259999999999996E-2</v>
      </c>
      <c r="C509">
        <v>8.3180000000000004E-2</v>
      </c>
      <c r="D509">
        <v>7.8189999999999996E-2</v>
      </c>
      <c r="E509">
        <v>8.1170000000000006E-2</v>
      </c>
      <c r="F509">
        <v>121145058.40000001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0.19438877755511241</v>
      </c>
      <c r="Q509">
        <f t="shared" si="980"/>
        <v>23549239.809218705</v>
      </c>
      <c r="R509">
        <f t="shared" si="981"/>
        <v>4823085661.9511147</v>
      </c>
      <c r="S509">
        <f t="shared" si="982"/>
        <v>48230.856619511149</v>
      </c>
      <c r="T509">
        <f t="shared" si="983"/>
        <v>48.230856619511151</v>
      </c>
    </row>
    <row r="510" spans="1:20" x14ac:dyDescent="0.25">
      <c r="A510" s="5">
        <v>44083</v>
      </c>
      <c r="B510">
        <v>7.7429999999999999E-2</v>
      </c>
      <c r="C510">
        <v>7.9750000000000001E-2</v>
      </c>
      <c r="D510">
        <v>7.5550000000000006E-2</v>
      </c>
      <c r="E510">
        <v>7.8320000000000001E-2</v>
      </c>
      <c r="F510">
        <v>81030702.599999994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0.31904761904761797</v>
      </c>
      <c r="Q510">
        <f t="shared" si="980"/>
        <v>25852652.734285627</v>
      </c>
      <c r="R510">
        <f t="shared" si="981"/>
        <v>4799536422.1418962</v>
      </c>
      <c r="S510">
        <f t="shared" si="982"/>
        <v>47995.36422141896</v>
      </c>
      <c r="T510">
        <f t="shared" si="983"/>
        <v>47.99536422141896</v>
      </c>
    </row>
    <row r="511" spans="1:20" x14ac:dyDescent="0.25">
      <c r="A511" s="5">
        <v>44082</v>
      </c>
      <c r="B511">
        <v>7.868E-2</v>
      </c>
      <c r="C511">
        <v>7.9500000000000001E-2</v>
      </c>
      <c r="D511">
        <v>7.4980000000000005E-2</v>
      </c>
      <c r="E511">
        <v>7.7450000000000005E-2</v>
      </c>
      <c r="F511">
        <v>140072273.09999999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9.2920353982301779E-2</v>
      </c>
      <c r="Q511">
        <f t="shared" si="980"/>
        <v>13015565.199557647</v>
      </c>
      <c r="R511">
        <f t="shared" si="981"/>
        <v>4773683769.4076109</v>
      </c>
      <c r="S511">
        <f t="shared" si="982"/>
        <v>47736.837694076108</v>
      </c>
      <c r="T511">
        <f t="shared" si="983"/>
        <v>47.736837694076108</v>
      </c>
    </row>
    <row r="512" spans="1:20" x14ac:dyDescent="0.25">
      <c r="A512" s="5">
        <v>44081</v>
      </c>
      <c r="B512">
        <v>7.7410000000000007E-2</v>
      </c>
      <c r="C512">
        <v>7.9210000000000003E-2</v>
      </c>
      <c r="D512">
        <v>7.3810000000000001E-2</v>
      </c>
      <c r="E512">
        <v>7.8670000000000004E-2</v>
      </c>
      <c r="F512">
        <v>130665745.90000001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0.80000000000000049</v>
      </c>
      <c r="Q512">
        <f t="shared" si="980"/>
        <v>104532596.72000007</v>
      </c>
      <c r="R512">
        <f t="shared" si="981"/>
        <v>4760668204.2080536</v>
      </c>
      <c r="S512">
        <f t="shared" si="982"/>
        <v>47606.682042080538</v>
      </c>
      <c r="T512">
        <f t="shared" si="983"/>
        <v>47.606682042080536</v>
      </c>
    </row>
    <row r="513" spans="1:20" x14ac:dyDescent="0.25">
      <c r="A513" s="5">
        <v>44080</v>
      </c>
      <c r="B513">
        <v>7.5399999999999995E-2</v>
      </c>
      <c r="C513">
        <v>7.8950000000000006E-2</v>
      </c>
      <c r="D513">
        <v>7.1889999999999996E-2</v>
      </c>
      <c r="E513">
        <v>7.7420000000000003E-2</v>
      </c>
      <c r="F513">
        <v>127838190.8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0.56657223796033962</v>
      </c>
      <c r="Q513">
        <f t="shared" si="980"/>
        <v>72429569.858356893</v>
      </c>
      <c r="R513">
        <f t="shared" si="981"/>
        <v>4656135607.4880533</v>
      </c>
      <c r="S513">
        <f t="shared" si="982"/>
        <v>46561.356074880532</v>
      </c>
      <c r="T513">
        <f t="shared" si="983"/>
        <v>46.561356074880536</v>
      </c>
    </row>
    <row r="514" spans="1:20" x14ac:dyDescent="0.25">
      <c r="A514" s="5">
        <v>44079</v>
      </c>
      <c r="B514">
        <v>8.0710000000000004E-2</v>
      </c>
      <c r="C514">
        <v>8.2919999999999994E-2</v>
      </c>
      <c r="D514">
        <v>7.2859999999999994E-2</v>
      </c>
      <c r="E514">
        <v>7.5410000000000005E-2</v>
      </c>
      <c r="F514">
        <v>214819562.40000001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-0.49304174950297996</v>
      </c>
      <c r="Q514">
        <f t="shared" si="980"/>
        <v>-105915012.87316057</v>
      </c>
      <c r="R514">
        <f t="shared" si="981"/>
        <v>4583706037.6296968</v>
      </c>
      <c r="S514">
        <f t="shared" si="982"/>
        <v>45837.060376296969</v>
      </c>
      <c r="T514">
        <f t="shared" si="983"/>
        <v>45.837060376296968</v>
      </c>
    </row>
    <row r="515" spans="1:20" x14ac:dyDescent="0.25">
      <c r="A515" s="5">
        <v>44078</v>
      </c>
      <c r="B515">
        <v>7.775E-2</v>
      </c>
      <c r="C515">
        <v>8.276E-2</v>
      </c>
      <c r="D515">
        <v>7.4800000000000005E-2</v>
      </c>
      <c r="E515">
        <v>8.0740000000000006E-2</v>
      </c>
      <c r="F515">
        <v>232003166.5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0.49246231155779013</v>
      </c>
      <c r="Q515">
        <f t="shared" si="980"/>
        <v>114252815.66331686</v>
      </c>
      <c r="R515">
        <f t="shared" si="981"/>
        <v>4689621050.5028572</v>
      </c>
      <c r="S515">
        <f t="shared" si="982"/>
        <v>46896.210505028575</v>
      </c>
      <c r="T515">
        <f t="shared" si="983"/>
        <v>46.896210505028577</v>
      </c>
    </row>
    <row r="516" spans="1:20" x14ac:dyDescent="0.25">
      <c r="A516" s="5">
        <v>44077</v>
      </c>
      <c r="B516">
        <v>9.2289999999999997E-2</v>
      </c>
      <c r="C516">
        <v>9.2920000000000003E-2</v>
      </c>
      <c r="D516">
        <v>7.5009999999999993E-2</v>
      </c>
      <c r="E516">
        <v>7.7810000000000004E-2</v>
      </c>
      <c r="F516">
        <v>223413332.09999999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-0.68732551647124407</v>
      </c>
      <c r="Q516">
        <f t="shared" si="980"/>
        <v>-153557683.87219408</v>
      </c>
      <c r="R516">
        <f t="shared" si="981"/>
        <v>4575368234.8395405</v>
      </c>
      <c r="S516">
        <f t="shared" si="982"/>
        <v>45753.682348395407</v>
      </c>
      <c r="T516">
        <f t="shared" si="983"/>
        <v>45.753682348395408</v>
      </c>
    </row>
    <row r="517" spans="1:20" x14ac:dyDescent="0.25">
      <c r="A517" s="5">
        <v>44076</v>
      </c>
      <c r="B517">
        <v>9.8769999999999997E-2</v>
      </c>
      <c r="C517">
        <v>9.9860000000000004E-2</v>
      </c>
      <c r="D517">
        <v>8.7999999999999995E-2</v>
      </c>
      <c r="E517">
        <v>9.2280000000000001E-2</v>
      </c>
      <c r="F517">
        <v>181556395.90000001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-0.27824620573355774</v>
      </c>
      <c r="Q517">
        <f t="shared" si="980"/>
        <v>-50517378.285834663</v>
      </c>
      <c r="R517">
        <f t="shared" si="981"/>
        <v>4728925918.7117348</v>
      </c>
      <c r="S517">
        <f t="shared" si="982"/>
        <v>47289.25918711735</v>
      </c>
      <c r="T517">
        <f t="shared" si="983"/>
        <v>47.289259187117352</v>
      </c>
    </row>
    <row r="518" spans="1:20" x14ac:dyDescent="0.25">
      <c r="A518" s="5">
        <v>44075</v>
      </c>
      <c r="B518">
        <v>9.6790000000000001E-2</v>
      </c>
      <c r="C518">
        <v>0.10095999999999999</v>
      </c>
      <c r="D518">
        <v>9.5339999999999994E-2</v>
      </c>
      <c r="E518">
        <v>9.8809999999999995E-2</v>
      </c>
      <c r="F518">
        <v>168451910.69999999</v>
      </c>
      <c r="G518">
        <v>0</v>
      </c>
      <c r="L518" t="s">
        <v>8</v>
      </c>
      <c r="M518" t="s">
        <v>7</v>
      </c>
      <c r="N518" t="s">
        <v>8</v>
      </c>
      <c r="P518">
        <f t="shared" ref="P518:P581" si="984">IF(C518=D518,0,((E518-D518)-(C518-E518))/(C518-D518))</f>
        <v>0.23487544483985795</v>
      </c>
      <c r="Q518">
        <f t="shared" ref="Q518:Q581" si="985">F518*P518</f>
        <v>39565217.459786527</v>
      </c>
      <c r="R518">
        <f t="shared" ref="R518:R581" si="986">R519+Q518</f>
        <v>4779443296.9975691</v>
      </c>
      <c r="S518">
        <f t="shared" ref="S518:S581" si="987">R518/100000</f>
        <v>47794.432969975693</v>
      </c>
      <c r="T518">
        <f t="shared" ref="T518:T581" si="988">S518/1000</f>
        <v>47.794432969975695</v>
      </c>
    </row>
    <row r="519" spans="1:20" x14ac:dyDescent="0.25">
      <c r="A519" s="5">
        <v>44074</v>
      </c>
      <c r="B519">
        <v>9.8199999999999996E-2</v>
      </c>
      <c r="C519">
        <v>9.8989999999999995E-2</v>
      </c>
      <c r="D519">
        <v>9.4950000000000007E-2</v>
      </c>
      <c r="E519">
        <v>9.6780000000000005E-2</v>
      </c>
      <c r="F519">
        <v>96842125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-9.4059405940592228E-2</v>
      </c>
      <c r="Q519">
        <f t="shared" si="985"/>
        <v>-9108912.7475245744</v>
      </c>
      <c r="R519">
        <f t="shared" si="986"/>
        <v>4739878079.5377827</v>
      </c>
      <c r="S519">
        <f t="shared" si="987"/>
        <v>47398.780795377825</v>
      </c>
      <c r="T519">
        <f t="shared" si="988"/>
        <v>47.398780795377824</v>
      </c>
    </row>
    <row r="520" spans="1:20" x14ac:dyDescent="0.25">
      <c r="A520" s="5">
        <v>44073</v>
      </c>
      <c r="B520">
        <v>9.6149999999999999E-2</v>
      </c>
      <c r="C520">
        <v>9.8500000000000004E-2</v>
      </c>
      <c r="D520">
        <v>9.6079999999999999E-2</v>
      </c>
      <c r="E520">
        <v>9.8210000000000006E-2</v>
      </c>
      <c r="F520">
        <v>97525844.099999994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0.76033057851239838</v>
      </c>
      <c r="Q520">
        <f t="shared" si="985"/>
        <v>74151881.464462966</v>
      </c>
      <c r="R520">
        <f t="shared" si="986"/>
        <v>4748986992.2853069</v>
      </c>
      <c r="S520">
        <f t="shared" si="987"/>
        <v>47489.869922853068</v>
      </c>
      <c r="T520">
        <f t="shared" si="988"/>
        <v>47.489869922853067</v>
      </c>
    </row>
    <row r="521" spans="1:20" x14ac:dyDescent="0.25">
      <c r="A521" s="5">
        <v>44072</v>
      </c>
      <c r="B521">
        <v>9.5649999999999999E-2</v>
      </c>
      <c r="C521">
        <v>9.7460000000000005E-2</v>
      </c>
      <c r="D521">
        <v>9.4420000000000004E-2</v>
      </c>
      <c r="E521">
        <v>9.6149999999999999E-2</v>
      </c>
      <c r="F521">
        <v>97506681.799999997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0.1381578947368387</v>
      </c>
      <c r="Q521">
        <f t="shared" si="985"/>
        <v>13471317.880262826</v>
      </c>
      <c r="R521">
        <f t="shared" si="986"/>
        <v>4674835110.8208437</v>
      </c>
      <c r="S521">
        <f t="shared" si="987"/>
        <v>46748.351108208437</v>
      </c>
      <c r="T521">
        <f t="shared" si="988"/>
        <v>46.748351108208439</v>
      </c>
    </row>
    <row r="522" spans="1:20" x14ac:dyDescent="0.25">
      <c r="A522" s="5">
        <v>44071</v>
      </c>
      <c r="B522">
        <v>9.3829999999999997E-2</v>
      </c>
      <c r="C522">
        <v>9.6729999999999997E-2</v>
      </c>
      <c r="D522">
        <v>9.2530000000000001E-2</v>
      </c>
      <c r="E522">
        <v>9.5689999999999997E-2</v>
      </c>
      <c r="F522">
        <v>83840863.400000006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0.50476190476190452</v>
      </c>
      <c r="Q522">
        <f t="shared" si="985"/>
        <v>42319673.906666651</v>
      </c>
      <c r="R522">
        <f t="shared" si="986"/>
        <v>4661363792.9405813</v>
      </c>
      <c r="S522">
        <f t="shared" si="987"/>
        <v>46613.637929405813</v>
      </c>
      <c r="T522">
        <f t="shared" si="988"/>
        <v>46.613637929405812</v>
      </c>
    </row>
    <row r="523" spans="1:20" x14ac:dyDescent="0.25">
      <c r="A523" s="5">
        <v>44070</v>
      </c>
      <c r="B523">
        <v>9.8059999999999994E-2</v>
      </c>
      <c r="C523">
        <v>9.8769999999999997E-2</v>
      </c>
      <c r="D523">
        <v>9.0209999999999999E-2</v>
      </c>
      <c r="E523">
        <v>9.3759999999999996E-2</v>
      </c>
      <c r="F523">
        <v>172358825.09999999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-0.17056074766355178</v>
      </c>
      <c r="Q523">
        <f t="shared" si="985"/>
        <v>-29397650.075467356</v>
      </c>
      <c r="R523">
        <f t="shared" si="986"/>
        <v>4619044119.0339146</v>
      </c>
      <c r="S523">
        <f t="shared" si="987"/>
        <v>46190.441190339145</v>
      </c>
      <c r="T523">
        <f t="shared" si="988"/>
        <v>46.190441190339143</v>
      </c>
    </row>
    <row r="524" spans="1:20" x14ac:dyDescent="0.25">
      <c r="A524" s="5">
        <v>44069</v>
      </c>
      <c r="B524">
        <v>9.7210000000000005E-2</v>
      </c>
      <c r="C524">
        <v>0.10045</v>
      </c>
      <c r="D524">
        <v>9.5990000000000006E-2</v>
      </c>
      <c r="E524">
        <v>9.8040000000000002E-2</v>
      </c>
      <c r="F524">
        <v>131962917.40000001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-8.0717488789237637E-2</v>
      </c>
      <c r="Q524">
        <f t="shared" si="985"/>
        <v>-10651715.305829592</v>
      </c>
      <c r="R524">
        <f t="shared" si="986"/>
        <v>4648441769.1093817</v>
      </c>
      <c r="S524">
        <f t="shared" si="987"/>
        <v>46484.417691093819</v>
      </c>
      <c r="T524">
        <f t="shared" si="988"/>
        <v>46.484417691093817</v>
      </c>
    </row>
    <row r="525" spans="1:20" x14ac:dyDescent="0.25">
      <c r="A525" s="5">
        <v>44068</v>
      </c>
      <c r="B525">
        <v>0.10289</v>
      </c>
      <c r="C525">
        <v>0.10313</v>
      </c>
      <c r="D525">
        <v>9.5100000000000004E-2</v>
      </c>
      <c r="E525">
        <v>9.7140000000000004E-2</v>
      </c>
      <c r="F525">
        <v>140767172.09999999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-0.49190535491905324</v>
      </c>
      <c r="Q525">
        <f t="shared" si="985"/>
        <v>-69244125.75280194</v>
      </c>
      <c r="R525">
        <f t="shared" si="986"/>
        <v>4659093484.4152117</v>
      </c>
      <c r="S525">
        <f t="shared" si="987"/>
        <v>46590.934844152114</v>
      </c>
      <c r="T525">
        <f t="shared" si="988"/>
        <v>46.590934844152116</v>
      </c>
    </row>
    <row r="526" spans="1:20" x14ac:dyDescent="0.25">
      <c r="A526" s="5">
        <v>44067</v>
      </c>
      <c r="B526">
        <v>0.10292</v>
      </c>
      <c r="C526">
        <v>0.10650999999999999</v>
      </c>
      <c r="D526">
        <v>0.10043000000000001</v>
      </c>
      <c r="E526">
        <v>0.10294</v>
      </c>
      <c r="F526">
        <v>124149477.2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-0.17434210526315683</v>
      </c>
      <c r="Q526">
        <f t="shared" si="985"/>
        <v>-21644481.222368289</v>
      </c>
      <c r="R526">
        <f t="shared" si="986"/>
        <v>4728337610.1680136</v>
      </c>
      <c r="S526">
        <f t="shared" si="987"/>
        <v>47283.376101680136</v>
      </c>
      <c r="T526">
        <f t="shared" si="988"/>
        <v>47.283376101680133</v>
      </c>
    </row>
    <row r="527" spans="1:20" x14ac:dyDescent="0.25">
      <c r="A527" s="5">
        <v>44066</v>
      </c>
      <c r="B527">
        <v>0.10221</v>
      </c>
      <c r="C527">
        <v>0.10310999999999999</v>
      </c>
      <c r="D527">
        <v>9.8360000000000003E-2</v>
      </c>
      <c r="E527">
        <v>0.10292999999999999</v>
      </c>
      <c r="F527">
        <v>98489121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0.92421052631578948</v>
      </c>
      <c r="Q527">
        <f t="shared" si="985"/>
        <v>91024682.355789468</v>
      </c>
      <c r="R527">
        <f t="shared" si="986"/>
        <v>4749982091.3903818</v>
      </c>
      <c r="S527">
        <f t="shared" si="987"/>
        <v>47499.820913903815</v>
      </c>
      <c r="T527">
        <f t="shared" si="988"/>
        <v>47.499820913903818</v>
      </c>
    </row>
    <row r="528" spans="1:20" x14ac:dyDescent="0.25">
      <c r="A528" s="5">
        <v>44065</v>
      </c>
      <c r="B528">
        <v>9.9519999999999997E-2</v>
      </c>
      <c r="C528">
        <v>0.10264</v>
      </c>
      <c r="D528">
        <v>9.7009999999999999E-2</v>
      </c>
      <c r="E528">
        <v>0.10223</v>
      </c>
      <c r="F528">
        <v>127812873.3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0.8543516873889897</v>
      </c>
      <c r="Q528">
        <f t="shared" si="985"/>
        <v>109197143.97389014</v>
      </c>
      <c r="R528">
        <f t="shared" si="986"/>
        <v>4658957409.0345926</v>
      </c>
      <c r="S528">
        <f t="shared" si="987"/>
        <v>46589.574090345923</v>
      </c>
      <c r="T528">
        <f t="shared" si="988"/>
        <v>46.58957409034592</v>
      </c>
    </row>
    <row r="529" spans="1:20" x14ac:dyDescent="0.25">
      <c r="A529" s="5">
        <v>44064</v>
      </c>
      <c r="B529">
        <v>0.10728</v>
      </c>
      <c r="C529">
        <v>0.10936</v>
      </c>
      <c r="D529">
        <v>9.8820000000000005E-2</v>
      </c>
      <c r="E529">
        <v>9.9489999999999995E-2</v>
      </c>
      <c r="F529">
        <v>200010310.69999999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-0.87286527514231682</v>
      </c>
      <c r="Q529">
        <f t="shared" si="985"/>
        <v>-174582054.88045576</v>
      </c>
      <c r="R529">
        <f t="shared" si="986"/>
        <v>4549760265.0607023</v>
      </c>
      <c r="S529">
        <f t="shared" si="987"/>
        <v>45497.602650607027</v>
      </c>
      <c r="T529">
        <f t="shared" si="988"/>
        <v>45.497602650607028</v>
      </c>
    </row>
    <row r="530" spans="1:20" x14ac:dyDescent="0.25">
      <c r="A530" s="5">
        <v>44063</v>
      </c>
      <c r="B530">
        <v>0.10218000000000001</v>
      </c>
      <c r="C530">
        <v>0.10732999999999999</v>
      </c>
      <c r="D530">
        <v>0.10038999999999999</v>
      </c>
      <c r="E530">
        <v>0.10728</v>
      </c>
      <c r="F530">
        <v>144170410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0.98559077809798434</v>
      </c>
      <c r="Q530">
        <f t="shared" si="985"/>
        <v>142093026.57060543</v>
      </c>
      <c r="R530">
        <f t="shared" si="986"/>
        <v>4724342319.9411583</v>
      </c>
      <c r="S530">
        <f t="shared" si="987"/>
        <v>47243.423199411583</v>
      </c>
      <c r="T530">
        <f t="shared" si="988"/>
        <v>47.243423199411581</v>
      </c>
    </row>
    <row r="531" spans="1:20" x14ac:dyDescent="0.25">
      <c r="A531" s="5">
        <v>44062</v>
      </c>
      <c r="B531">
        <v>0.10807</v>
      </c>
      <c r="C531">
        <v>0.10940999999999999</v>
      </c>
      <c r="D531">
        <v>9.8379999999999995E-2</v>
      </c>
      <c r="E531">
        <v>0.10222000000000001</v>
      </c>
      <c r="F531">
        <v>216222477.90000001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-0.3037171350861268</v>
      </c>
      <c r="Q531">
        <f t="shared" si="985"/>
        <v>-65670471.529011369</v>
      </c>
      <c r="R531">
        <f t="shared" si="986"/>
        <v>4582249293.370553</v>
      </c>
      <c r="S531">
        <f t="shared" si="987"/>
        <v>45822.492933705529</v>
      </c>
      <c r="T531">
        <f t="shared" si="988"/>
        <v>45.822492933705526</v>
      </c>
    </row>
    <row r="532" spans="1:20" x14ac:dyDescent="0.25">
      <c r="A532" s="5">
        <v>44061</v>
      </c>
      <c r="B532">
        <v>0.11379</v>
      </c>
      <c r="C532">
        <v>0.11681999999999999</v>
      </c>
      <c r="D532">
        <v>0.10588</v>
      </c>
      <c r="E532">
        <v>0.10807</v>
      </c>
      <c r="F532">
        <v>191875448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-0.5996343692870203</v>
      </c>
      <c r="Q532">
        <f t="shared" si="985"/>
        <v>-115055113.24314447</v>
      </c>
      <c r="R532">
        <f t="shared" si="986"/>
        <v>4647919764.8995647</v>
      </c>
      <c r="S532">
        <f t="shared" si="987"/>
        <v>46479.197648995651</v>
      </c>
      <c r="T532">
        <f t="shared" si="988"/>
        <v>46.479197648995651</v>
      </c>
    </row>
    <row r="533" spans="1:20" x14ac:dyDescent="0.25">
      <c r="A533" s="5">
        <v>44060</v>
      </c>
      <c r="B533">
        <v>0.11516999999999999</v>
      </c>
      <c r="C533">
        <v>0.11948</v>
      </c>
      <c r="D533">
        <v>0.10977000000000001</v>
      </c>
      <c r="E533">
        <v>0.11383</v>
      </c>
      <c r="F533">
        <v>399753379.89999998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-0.16374871266735413</v>
      </c>
      <c r="Q533">
        <f t="shared" si="985"/>
        <v>-65459101.343048759</v>
      </c>
      <c r="R533">
        <f t="shared" si="986"/>
        <v>4762974878.1427088</v>
      </c>
      <c r="S533">
        <f t="shared" si="987"/>
        <v>47629.748781427086</v>
      </c>
      <c r="T533">
        <f t="shared" si="988"/>
        <v>47.629748781427089</v>
      </c>
    </row>
    <row r="534" spans="1:20" x14ac:dyDescent="0.25">
      <c r="A534" s="5">
        <v>44059</v>
      </c>
      <c r="B534">
        <v>0.10707999999999999</v>
      </c>
      <c r="C534">
        <v>0.11587</v>
      </c>
      <c r="D534">
        <v>0.10371</v>
      </c>
      <c r="E534">
        <v>0.11516999999999999</v>
      </c>
      <c r="F534">
        <v>237152944.80000001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0.88486842105263064</v>
      </c>
      <c r="Q534">
        <f t="shared" si="985"/>
        <v>209849151.81315768</v>
      </c>
      <c r="R534">
        <f t="shared" si="986"/>
        <v>4828433979.4857578</v>
      </c>
      <c r="S534">
        <f t="shared" si="987"/>
        <v>48284.33979485758</v>
      </c>
      <c r="T534">
        <f t="shared" si="988"/>
        <v>48.28433979485758</v>
      </c>
    </row>
    <row r="535" spans="1:20" x14ac:dyDescent="0.25">
      <c r="A535" s="5">
        <v>44058</v>
      </c>
      <c r="B535">
        <v>0.10471</v>
      </c>
      <c r="C535">
        <v>0.10928</v>
      </c>
      <c r="D535">
        <v>0.10301</v>
      </c>
      <c r="E535">
        <v>0.10707</v>
      </c>
      <c r="F535">
        <v>173375172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0.29505582137160946</v>
      </c>
      <c r="Q535">
        <f t="shared" si="985"/>
        <v>51155353.779904068</v>
      </c>
      <c r="R535">
        <f t="shared" si="986"/>
        <v>4618584827.6725998</v>
      </c>
      <c r="S535">
        <f t="shared" si="987"/>
        <v>46185.848276725999</v>
      </c>
      <c r="T535">
        <f t="shared" si="988"/>
        <v>46.185848276725999</v>
      </c>
    </row>
    <row r="536" spans="1:20" x14ac:dyDescent="0.25">
      <c r="A536" s="5">
        <v>44057</v>
      </c>
      <c r="B536">
        <v>0.10111000000000001</v>
      </c>
      <c r="C536">
        <v>0.10716000000000001</v>
      </c>
      <c r="D536">
        <v>0.10002</v>
      </c>
      <c r="E536">
        <v>0.10478999999999999</v>
      </c>
      <c r="F536">
        <v>222187060.69999999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0.33613445378151025</v>
      </c>
      <c r="Q536">
        <f t="shared" si="985"/>
        <v>74684726.285713762</v>
      </c>
      <c r="R536">
        <f t="shared" si="986"/>
        <v>4567429473.8926954</v>
      </c>
      <c r="S536">
        <f t="shared" si="987"/>
        <v>45674.294738926954</v>
      </c>
      <c r="T536">
        <f t="shared" si="988"/>
        <v>45.674294738926953</v>
      </c>
    </row>
    <row r="537" spans="1:20" x14ac:dyDescent="0.25">
      <c r="A537" s="5">
        <v>44056</v>
      </c>
      <c r="B537">
        <v>0.1014</v>
      </c>
      <c r="C537">
        <v>0.10255</v>
      </c>
      <c r="D537">
        <v>9.6390000000000003E-2</v>
      </c>
      <c r="E537">
        <v>0.10111000000000001</v>
      </c>
      <c r="F537">
        <v>150346007.90000001</v>
      </c>
      <c r="G537">
        <v>0</v>
      </c>
      <c r="L537" t="s">
        <v>7</v>
      </c>
      <c r="M537" t="s">
        <v>8</v>
      </c>
      <c r="N537" t="s">
        <v>8</v>
      </c>
      <c r="P537">
        <f t="shared" si="984"/>
        <v>0.53246753246753342</v>
      </c>
      <c r="Q537">
        <f t="shared" si="985"/>
        <v>80054367.842857286</v>
      </c>
      <c r="R537">
        <f t="shared" si="986"/>
        <v>4492744747.6069813</v>
      </c>
      <c r="S537">
        <f t="shared" si="987"/>
        <v>44927.447476069814</v>
      </c>
      <c r="T537">
        <f t="shared" si="988"/>
        <v>44.927447476069815</v>
      </c>
    </row>
    <row r="538" spans="1:20" x14ac:dyDescent="0.25">
      <c r="A538" s="5">
        <v>44055</v>
      </c>
      <c r="B538">
        <v>0.10012</v>
      </c>
      <c r="C538">
        <v>0.10237</v>
      </c>
      <c r="D538">
        <v>9.5259999999999997E-2</v>
      </c>
      <c r="E538">
        <v>0.10147</v>
      </c>
      <c r="F538">
        <v>117268286.09999999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0.74683544303797544</v>
      </c>
      <c r="Q538">
        <f t="shared" si="985"/>
        <v>87580112.403797552</v>
      </c>
      <c r="R538">
        <f t="shared" si="986"/>
        <v>4412690379.7641239</v>
      </c>
      <c r="S538">
        <f t="shared" si="987"/>
        <v>44126.903797641236</v>
      </c>
      <c r="T538">
        <f t="shared" si="988"/>
        <v>44.126903797641233</v>
      </c>
    </row>
    <row r="539" spans="1:20" x14ac:dyDescent="0.25">
      <c r="A539" s="5">
        <v>44054</v>
      </c>
      <c r="B539">
        <v>0.10630000000000001</v>
      </c>
      <c r="C539">
        <v>0.10846</v>
      </c>
      <c r="D539">
        <v>9.6060000000000006E-2</v>
      </c>
      <c r="E539">
        <v>0.10015</v>
      </c>
      <c r="F539">
        <v>179046153.69999999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-0.34032258064516158</v>
      </c>
      <c r="Q539">
        <f t="shared" si="985"/>
        <v>-60933449.081774242</v>
      </c>
      <c r="R539">
        <f t="shared" si="986"/>
        <v>4325110267.3603268</v>
      </c>
      <c r="S539">
        <f t="shared" si="987"/>
        <v>43251.102673603265</v>
      </c>
      <c r="T539">
        <f t="shared" si="988"/>
        <v>43.251102673603263</v>
      </c>
    </row>
    <row r="540" spans="1:20" x14ac:dyDescent="0.25">
      <c r="A540" s="5">
        <v>44053</v>
      </c>
      <c r="B540">
        <v>0.10509</v>
      </c>
      <c r="C540">
        <v>0.10689</v>
      </c>
      <c r="D540">
        <v>0.10256999999999999</v>
      </c>
      <c r="E540">
        <v>0.10625</v>
      </c>
      <c r="F540">
        <v>120780844.8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0.70370370370370328</v>
      </c>
      <c r="Q540">
        <f t="shared" si="985"/>
        <v>84993927.822222173</v>
      </c>
      <c r="R540">
        <f t="shared" si="986"/>
        <v>4386043716.4421015</v>
      </c>
      <c r="S540">
        <f t="shared" si="987"/>
        <v>43860.437164421011</v>
      </c>
      <c r="T540">
        <f t="shared" si="988"/>
        <v>43.860437164421015</v>
      </c>
    </row>
    <row r="541" spans="1:20" x14ac:dyDescent="0.25">
      <c r="A541" s="5">
        <v>44052</v>
      </c>
      <c r="B541">
        <v>0.10329000000000001</v>
      </c>
      <c r="C541">
        <v>0.10718</v>
      </c>
      <c r="D541">
        <v>0.10231999999999999</v>
      </c>
      <c r="E541">
        <v>0.10505</v>
      </c>
      <c r="F541">
        <v>145247858.80000001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0.12345679012346024</v>
      </c>
      <c r="Q541">
        <f t="shared" si="985"/>
        <v>17931834.419753589</v>
      </c>
      <c r="R541">
        <f t="shared" si="986"/>
        <v>4301049788.6198797</v>
      </c>
      <c r="S541">
        <f t="shared" si="987"/>
        <v>43010.497886198798</v>
      </c>
      <c r="T541">
        <f t="shared" si="988"/>
        <v>43.010497886198799</v>
      </c>
    </row>
    <row r="542" spans="1:20" x14ac:dyDescent="0.25">
      <c r="A542" s="5">
        <v>44051</v>
      </c>
      <c r="B542">
        <v>0.10306</v>
      </c>
      <c r="C542">
        <v>0.10433000000000001</v>
      </c>
      <c r="D542">
        <v>0.10127</v>
      </c>
      <c r="E542">
        <v>0.10324999999999999</v>
      </c>
      <c r="F542">
        <v>85249840.599999994</v>
      </c>
      <c r="G542">
        <v>0</v>
      </c>
      <c r="L542" t="s">
        <v>8</v>
      </c>
      <c r="M542" t="s">
        <v>7</v>
      </c>
      <c r="N542" t="s">
        <v>8</v>
      </c>
      <c r="P542">
        <f t="shared" si="984"/>
        <v>0.29411764705881766</v>
      </c>
      <c r="Q542">
        <f t="shared" si="985"/>
        <v>25073482.529411264</v>
      </c>
      <c r="R542">
        <f t="shared" si="986"/>
        <v>4283117954.2001262</v>
      </c>
      <c r="S542">
        <f t="shared" si="987"/>
        <v>42831.179542001264</v>
      </c>
      <c r="T542">
        <f t="shared" si="988"/>
        <v>42.831179542001266</v>
      </c>
    </row>
    <row r="543" spans="1:20" x14ac:dyDescent="0.25">
      <c r="A543" s="5">
        <v>44050</v>
      </c>
      <c r="B543">
        <v>0.10624</v>
      </c>
      <c r="C543">
        <v>0.10786999999999999</v>
      </c>
      <c r="D543">
        <v>8.7999999999999995E-2</v>
      </c>
      <c r="E543">
        <v>0.10306</v>
      </c>
      <c r="F543">
        <v>179260064.69999999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0.51585304479114291</v>
      </c>
      <c r="Q543">
        <f t="shared" si="985"/>
        <v>92471850.184952274</v>
      </c>
      <c r="R543">
        <f t="shared" si="986"/>
        <v>4258044471.6707149</v>
      </c>
      <c r="S543">
        <f t="shared" si="987"/>
        <v>42580.444716707148</v>
      </c>
      <c r="T543">
        <f t="shared" si="988"/>
        <v>42.580444716707149</v>
      </c>
    </row>
    <row r="544" spans="1:20" x14ac:dyDescent="0.25">
      <c r="A544" s="5">
        <v>44049</v>
      </c>
      <c r="B544">
        <v>0.10743</v>
      </c>
      <c r="C544">
        <v>0.10817</v>
      </c>
      <c r="D544">
        <v>0.104</v>
      </c>
      <c r="E544">
        <v>0.10624</v>
      </c>
      <c r="F544">
        <v>181915830.90000001</v>
      </c>
      <c r="G544">
        <v>0</v>
      </c>
      <c r="L544" t="s">
        <v>7</v>
      </c>
      <c r="M544" t="s">
        <v>8</v>
      </c>
      <c r="N544" t="s">
        <v>8</v>
      </c>
      <c r="P544">
        <f t="shared" si="984"/>
        <v>7.4340527577938659E-2</v>
      </c>
      <c r="Q544">
        <f t="shared" si="985"/>
        <v>13523718.843885075</v>
      </c>
      <c r="R544">
        <f t="shared" si="986"/>
        <v>4165572621.4857626</v>
      </c>
      <c r="S544">
        <f t="shared" si="987"/>
        <v>41655.726214857626</v>
      </c>
      <c r="T544">
        <f t="shared" si="988"/>
        <v>41.65572621485763</v>
      </c>
    </row>
    <row r="545" spans="1:20" x14ac:dyDescent="0.25">
      <c r="A545" s="5">
        <v>44048</v>
      </c>
      <c r="B545">
        <v>0.11015</v>
      </c>
      <c r="C545">
        <v>0.11151</v>
      </c>
      <c r="D545">
        <v>0.10612000000000001</v>
      </c>
      <c r="E545">
        <v>0.10749</v>
      </c>
      <c r="F545">
        <v>146224179.40000001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-0.49165120593692085</v>
      </c>
      <c r="Q545">
        <f t="shared" si="985"/>
        <v>-71891294.139146656</v>
      </c>
      <c r="R545">
        <f t="shared" si="986"/>
        <v>4152048902.6418777</v>
      </c>
      <c r="S545">
        <f t="shared" si="987"/>
        <v>41520.489026418778</v>
      </c>
      <c r="T545">
        <f t="shared" si="988"/>
        <v>41.52048902641878</v>
      </c>
    </row>
    <row r="546" spans="1:20" x14ac:dyDescent="0.25">
      <c r="A546" s="5">
        <v>44047</v>
      </c>
      <c r="B546">
        <v>0.10514</v>
      </c>
      <c r="C546">
        <v>0.11165</v>
      </c>
      <c r="D546">
        <v>0.10507</v>
      </c>
      <c r="E546">
        <v>0.11015</v>
      </c>
      <c r="F546">
        <v>282701115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0.54407294832826725</v>
      </c>
      <c r="Q546">
        <f t="shared" si="985"/>
        <v>153810029.13373855</v>
      </c>
      <c r="R546">
        <f t="shared" si="986"/>
        <v>4223940196.7810245</v>
      </c>
      <c r="S546">
        <f t="shared" si="987"/>
        <v>42239.401967810241</v>
      </c>
      <c r="T546">
        <f t="shared" si="988"/>
        <v>42.239401967810238</v>
      </c>
    </row>
    <row r="547" spans="1:20" x14ac:dyDescent="0.25">
      <c r="A547" s="5">
        <v>44046</v>
      </c>
      <c r="B547">
        <v>0.10262</v>
      </c>
      <c r="C547">
        <v>0.10927000000000001</v>
      </c>
      <c r="D547">
        <v>0.10117</v>
      </c>
      <c r="E547">
        <v>0.10516</v>
      </c>
      <c r="F547">
        <v>246810185.19999999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-1.4814814814814193E-2</v>
      </c>
      <c r="Q547">
        <f t="shared" si="985"/>
        <v>-3656447.1881479942</v>
      </c>
      <c r="R547">
        <f t="shared" si="986"/>
        <v>4070130167.6472859</v>
      </c>
      <c r="S547">
        <f t="shared" si="987"/>
        <v>40701.30167647286</v>
      </c>
      <c r="T547">
        <f t="shared" si="988"/>
        <v>40.701301676472859</v>
      </c>
    </row>
    <row r="548" spans="1:20" x14ac:dyDescent="0.25">
      <c r="A548" s="5">
        <v>44045</v>
      </c>
      <c r="B548">
        <v>0.10756</v>
      </c>
      <c r="C548">
        <v>0.11629</v>
      </c>
      <c r="D548">
        <v>8.4430000000000005E-2</v>
      </c>
      <c r="E548">
        <v>0.10251</v>
      </c>
      <c r="F548">
        <v>521096056.60000002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0.13496547394852473</v>
      </c>
      <c r="Q548">
        <f t="shared" si="985"/>
        <v>70329976.25172627</v>
      </c>
      <c r="R548">
        <f t="shared" si="986"/>
        <v>4073786614.835434</v>
      </c>
      <c r="S548">
        <f t="shared" si="987"/>
        <v>40737.86614835434</v>
      </c>
      <c r="T548">
        <f t="shared" si="988"/>
        <v>40.737866148354342</v>
      </c>
    </row>
    <row r="549" spans="1:20" x14ac:dyDescent="0.25">
      <c r="A549" s="5">
        <v>44044</v>
      </c>
      <c r="B549">
        <v>9.69E-2</v>
      </c>
      <c r="C549">
        <v>0.10891000000000001</v>
      </c>
      <c r="D549">
        <v>9.6699999999999994E-2</v>
      </c>
      <c r="E549">
        <v>0.10758</v>
      </c>
      <c r="F549">
        <v>418318623.30000001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0.78214578214578045</v>
      </c>
      <c r="Q549">
        <f t="shared" si="985"/>
        <v>327186146.80712461</v>
      </c>
      <c r="R549">
        <f t="shared" si="986"/>
        <v>4003456638.5837078</v>
      </c>
      <c r="S549">
        <f t="shared" si="987"/>
        <v>40034.566385837075</v>
      </c>
      <c r="T549">
        <f t="shared" si="988"/>
        <v>40.034566385837074</v>
      </c>
    </row>
    <row r="550" spans="1:20" x14ac:dyDescent="0.25">
      <c r="A550" s="5">
        <v>44043</v>
      </c>
      <c r="B550">
        <v>9.622E-2</v>
      </c>
      <c r="C550">
        <v>9.708E-2</v>
      </c>
      <c r="D550">
        <v>9.4920000000000004E-2</v>
      </c>
      <c r="E550">
        <v>9.69E-2</v>
      </c>
      <c r="F550">
        <v>115395754.59999999</v>
      </c>
      <c r="G550">
        <v>0</v>
      </c>
      <c r="L550" t="s">
        <v>8</v>
      </c>
      <c r="M550" t="s">
        <v>7</v>
      </c>
      <c r="N550" t="s">
        <v>8</v>
      </c>
      <c r="P550">
        <f t="shared" si="984"/>
        <v>0.83333333333333337</v>
      </c>
      <c r="Q550">
        <f t="shared" si="985"/>
        <v>96163128.833333328</v>
      </c>
      <c r="R550">
        <f t="shared" si="986"/>
        <v>3676270491.7765832</v>
      </c>
      <c r="S550">
        <f t="shared" si="987"/>
        <v>36762.704917765834</v>
      </c>
      <c r="T550">
        <f t="shared" si="988"/>
        <v>36.762704917765831</v>
      </c>
    </row>
    <row r="551" spans="1:20" x14ac:dyDescent="0.25">
      <c r="A551" s="5">
        <v>44042</v>
      </c>
      <c r="B551">
        <v>9.4979999999999995E-2</v>
      </c>
      <c r="C551">
        <v>9.7600000000000006E-2</v>
      </c>
      <c r="D551">
        <v>9.4170000000000004E-2</v>
      </c>
      <c r="E551">
        <v>9.6280000000000004E-2</v>
      </c>
      <c r="F551">
        <v>146003070.80000001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0.23032069970845437</v>
      </c>
      <c r="Q551">
        <f t="shared" si="985"/>
        <v>33627529.426239006</v>
      </c>
      <c r="R551">
        <f t="shared" si="986"/>
        <v>3580107362.9432497</v>
      </c>
      <c r="S551">
        <f t="shared" si="987"/>
        <v>35801.073629432496</v>
      </c>
      <c r="T551">
        <f t="shared" si="988"/>
        <v>35.801073629432494</v>
      </c>
    </row>
    <row r="552" spans="1:20" x14ac:dyDescent="0.25">
      <c r="A552" s="5">
        <v>44041</v>
      </c>
      <c r="B552">
        <v>9.7089999999999996E-2</v>
      </c>
      <c r="C552">
        <v>9.9699999999999997E-2</v>
      </c>
      <c r="D552">
        <v>9.4409999999999994E-2</v>
      </c>
      <c r="E552">
        <v>9.4979999999999995E-2</v>
      </c>
      <c r="F552">
        <v>185688993.5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-0.7844990548204156</v>
      </c>
      <c r="Q552">
        <f t="shared" si="985"/>
        <v>-145672839.89130428</v>
      </c>
      <c r="R552">
        <f t="shared" si="986"/>
        <v>3546479833.5170107</v>
      </c>
      <c r="S552">
        <f t="shared" si="987"/>
        <v>35464.798335170104</v>
      </c>
      <c r="T552">
        <f t="shared" si="988"/>
        <v>35.464798335170101</v>
      </c>
    </row>
    <row r="553" spans="1:20" x14ac:dyDescent="0.25">
      <c r="A553" s="5">
        <v>44040</v>
      </c>
      <c r="B553">
        <v>9.4700000000000006E-2</v>
      </c>
      <c r="C553">
        <v>9.8470000000000002E-2</v>
      </c>
      <c r="D553">
        <v>9.3310000000000004E-2</v>
      </c>
      <c r="E553">
        <v>9.7089999999999996E-2</v>
      </c>
      <c r="F553">
        <v>239891159.5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0.46511627906976483</v>
      </c>
      <c r="Q553">
        <f t="shared" si="985"/>
        <v>111577283.48837146</v>
      </c>
      <c r="R553">
        <f t="shared" si="986"/>
        <v>3692152673.4083152</v>
      </c>
      <c r="S553">
        <f t="shared" si="987"/>
        <v>36921.526734083149</v>
      </c>
      <c r="T553">
        <f t="shared" si="988"/>
        <v>36.921526734083152</v>
      </c>
    </row>
    <row r="554" spans="1:20" x14ac:dyDescent="0.25">
      <c r="A554" s="5">
        <v>44039</v>
      </c>
      <c r="B554">
        <v>9.9019999999999997E-2</v>
      </c>
      <c r="C554">
        <v>0.1</v>
      </c>
      <c r="D554">
        <v>8.7989999999999999E-2</v>
      </c>
      <c r="E554">
        <v>9.4640000000000002E-2</v>
      </c>
      <c r="F554">
        <v>299068697.19999999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0.1074104912572855</v>
      </c>
      <c r="Q554">
        <f t="shared" si="985"/>
        <v>32123115.685928363</v>
      </c>
      <c r="R554">
        <f t="shared" si="986"/>
        <v>3580575389.9199438</v>
      </c>
      <c r="S554">
        <f t="shared" si="987"/>
        <v>35805.753899199437</v>
      </c>
      <c r="T554">
        <f t="shared" si="988"/>
        <v>35.805753899199438</v>
      </c>
    </row>
    <row r="555" spans="1:20" x14ac:dyDescent="0.25">
      <c r="A555" s="5">
        <v>44038</v>
      </c>
      <c r="B555">
        <v>0.10085</v>
      </c>
      <c r="C555">
        <v>0.10588</v>
      </c>
      <c r="D555">
        <v>9.7299999999999998E-2</v>
      </c>
      <c r="E555">
        <v>9.9019999999999997E-2</v>
      </c>
      <c r="F555">
        <v>247838432.30000001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-0.59906759906759943</v>
      </c>
      <c r="Q555">
        <f t="shared" si="985"/>
        <v>-148471974.59463879</v>
      </c>
      <c r="R555">
        <f t="shared" si="986"/>
        <v>3548452274.2340155</v>
      </c>
      <c r="S555">
        <f t="shared" si="987"/>
        <v>35484.522742340152</v>
      </c>
      <c r="T555">
        <f t="shared" si="988"/>
        <v>35.484522742340154</v>
      </c>
    </row>
    <row r="556" spans="1:20" x14ac:dyDescent="0.25">
      <c r="A556" s="5">
        <v>44037</v>
      </c>
      <c r="B556">
        <v>9.5710000000000003E-2</v>
      </c>
      <c r="C556">
        <v>0.10148</v>
      </c>
      <c r="D556">
        <v>9.511E-2</v>
      </c>
      <c r="E556">
        <v>0.10085</v>
      </c>
      <c r="F556">
        <v>199172397.59999999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0.80219780219780046</v>
      </c>
      <c r="Q556">
        <f t="shared" si="985"/>
        <v>159775659.61318645</v>
      </c>
      <c r="R556">
        <f t="shared" si="986"/>
        <v>3696924248.8286543</v>
      </c>
      <c r="S556">
        <f t="shared" si="987"/>
        <v>36969.242488286545</v>
      </c>
      <c r="T556">
        <f t="shared" si="988"/>
        <v>36.969242488286547</v>
      </c>
    </row>
    <row r="557" spans="1:20" x14ac:dyDescent="0.25">
      <c r="A557" s="5">
        <v>44036</v>
      </c>
      <c r="B557">
        <v>9.8199999999999996E-2</v>
      </c>
      <c r="C557">
        <v>9.8239999999999994E-2</v>
      </c>
      <c r="D557">
        <v>9.4299999999999995E-2</v>
      </c>
      <c r="E557">
        <v>9.5759999999999998E-2</v>
      </c>
      <c r="F557">
        <v>114463763.40000001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-0.2588832487309628</v>
      </c>
      <c r="Q557">
        <f t="shared" si="985"/>
        <v>-29632750.930964276</v>
      </c>
      <c r="R557">
        <f t="shared" si="986"/>
        <v>3537148589.2154679</v>
      </c>
      <c r="S557">
        <f t="shared" si="987"/>
        <v>35371.485892154677</v>
      </c>
      <c r="T557">
        <f t="shared" si="988"/>
        <v>35.371485892154674</v>
      </c>
    </row>
    <row r="558" spans="1:20" x14ac:dyDescent="0.25">
      <c r="A558" s="5">
        <v>44035</v>
      </c>
      <c r="B558">
        <v>9.7460000000000005E-2</v>
      </c>
      <c r="C558">
        <v>0.10143000000000001</v>
      </c>
      <c r="D558">
        <v>9.6769999999999995E-2</v>
      </c>
      <c r="E558">
        <v>9.8150000000000001E-2</v>
      </c>
      <c r="F558">
        <v>182898916.59999999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-0.40772532188841076</v>
      </c>
      <c r="Q558">
        <f t="shared" si="985"/>
        <v>-74572519.643776596</v>
      </c>
      <c r="R558">
        <f t="shared" si="986"/>
        <v>3566781340.1464324</v>
      </c>
      <c r="S558">
        <f t="shared" si="987"/>
        <v>35667.813401464322</v>
      </c>
      <c r="T558">
        <f t="shared" si="988"/>
        <v>35.667813401464322</v>
      </c>
    </row>
    <row r="559" spans="1:20" x14ac:dyDescent="0.25">
      <c r="A559" s="5">
        <v>44034</v>
      </c>
      <c r="B559">
        <v>9.6540000000000001E-2</v>
      </c>
      <c r="C559">
        <v>9.8030000000000006E-2</v>
      </c>
      <c r="D559">
        <v>9.3939999999999996E-2</v>
      </c>
      <c r="E559">
        <v>9.7379999999999994E-2</v>
      </c>
      <c r="F559">
        <v>150187324.19999999</v>
      </c>
      <c r="G559">
        <v>0</v>
      </c>
      <c r="L559" t="s">
        <v>7</v>
      </c>
      <c r="M559" t="s">
        <v>8</v>
      </c>
      <c r="N559" t="s">
        <v>8</v>
      </c>
      <c r="P559">
        <f t="shared" si="984"/>
        <v>0.68215158924204888</v>
      </c>
      <c r="Q559">
        <f t="shared" si="985"/>
        <v>102450521.88704082</v>
      </c>
      <c r="R559">
        <f t="shared" si="986"/>
        <v>3641353859.7902088</v>
      </c>
      <c r="S559">
        <f t="shared" si="987"/>
        <v>36413.538597902087</v>
      </c>
      <c r="T559">
        <f t="shared" si="988"/>
        <v>36.41353859790209</v>
      </c>
    </row>
    <row r="560" spans="1:20" x14ac:dyDescent="0.25">
      <c r="A560" s="5">
        <v>44033</v>
      </c>
      <c r="B560">
        <v>9.4200000000000006E-2</v>
      </c>
      <c r="C560">
        <v>9.8379999999999995E-2</v>
      </c>
      <c r="D560">
        <v>9.3850000000000003E-2</v>
      </c>
      <c r="E560">
        <v>9.6530000000000005E-2</v>
      </c>
      <c r="F560">
        <v>181606712.09999999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0.18322295805739794</v>
      </c>
      <c r="Q560">
        <f t="shared" si="985"/>
        <v>33274518.994040243</v>
      </c>
      <c r="R560">
        <f t="shared" si="986"/>
        <v>3538903337.9031682</v>
      </c>
      <c r="S560">
        <f t="shared" si="987"/>
        <v>35389.03337903168</v>
      </c>
      <c r="T560">
        <f t="shared" si="988"/>
        <v>35.38903337903168</v>
      </c>
    </row>
    <row r="561" spans="1:104" x14ac:dyDescent="0.25">
      <c r="A561" s="5">
        <v>44032</v>
      </c>
      <c r="B561">
        <v>0.10013</v>
      </c>
      <c r="C561">
        <v>0.10187</v>
      </c>
      <c r="D561">
        <v>9.3390000000000001E-2</v>
      </c>
      <c r="E561">
        <v>9.4280000000000003E-2</v>
      </c>
      <c r="F561">
        <v>236605194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-0.79009433962264108</v>
      </c>
      <c r="Q561">
        <f t="shared" si="985"/>
        <v>-186940424.50471687</v>
      </c>
      <c r="R561">
        <f t="shared" si="986"/>
        <v>3505628818.9091282</v>
      </c>
      <c r="S561">
        <f t="shared" si="987"/>
        <v>35056.288189091283</v>
      </c>
      <c r="T561">
        <f t="shared" si="988"/>
        <v>35.056288189091283</v>
      </c>
      <c r="CZ561" t="s">
        <v>7</v>
      </c>
    </row>
    <row r="562" spans="1:104" x14ac:dyDescent="0.25">
      <c r="A562" s="5">
        <v>44031</v>
      </c>
      <c r="B562">
        <v>0.1008</v>
      </c>
      <c r="C562">
        <v>0.10247000000000001</v>
      </c>
      <c r="D562">
        <v>9.64E-2</v>
      </c>
      <c r="E562">
        <v>0.10009999999999999</v>
      </c>
      <c r="F562">
        <v>190660995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0.21911037891268248</v>
      </c>
      <c r="Q562">
        <f t="shared" si="985"/>
        <v>41775802.858319059</v>
      </c>
      <c r="R562">
        <f t="shared" si="986"/>
        <v>3692569243.4138451</v>
      </c>
      <c r="S562">
        <f t="shared" si="987"/>
        <v>36925.692434138451</v>
      </c>
      <c r="T562">
        <f t="shared" si="988"/>
        <v>36.925692434138448</v>
      </c>
      <c r="CZ562" t="s">
        <v>7</v>
      </c>
    </row>
    <row r="563" spans="1:104" x14ac:dyDescent="0.25">
      <c r="A563" s="5">
        <v>44030</v>
      </c>
      <c r="B563">
        <v>0.10396</v>
      </c>
      <c r="C563">
        <v>0.10452</v>
      </c>
      <c r="D563">
        <v>9.8629999999999995E-2</v>
      </c>
      <c r="E563">
        <v>0.10077</v>
      </c>
      <c r="F563">
        <v>271276047.39999998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-0.27334465195246155</v>
      </c>
      <c r="Q563">
        <f t="shared" si="985"/>
        <v>-74151856.759592459</v>
      </c>
      <c r="R563">
        <f t="shared" si="986"/>
        <v>3650793440.5555258</v>
      </c>
      <c r="S563">
        <f t="shared" si="987"/>
        <v>36507.934405555257</v>
      </c>
      <c r="T563">
        <f t="shared" si="988"/>
        <v>36.507934405555254</v>
      </c>
      <c r="CZ563" t="s">
        <v>7</v>
      </c>
    </row>
    <row r="564" spans="1:104" x14ac:dyDescent="0.25">
      <c r="A564" s="5">
        <v>44029</v>
      </c>
      <c r="B564">
        <v>0.10208</v>
      </c>
      <c r="C564">
        <v>0.10774</v>
      </c>
      <c r="D564">
        <v>9.8549999999999999E-2</v>
      </c>
      <c r="E564">
        <v>0.10397000000000001</v>
      </c>
      <c r="F564">
        <v>619518764.89999998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0.1795429815016335</v>
      </c>
      <c r="Q564">
        <f t="shared" si="985"/>
        <v>111230246.14635552</v>
      </c>
      <c r="R564">
        <f t="shared" si="986"/>
        <v>3724945297.3151183</v>
      </c>
      <c r="S564">
        <f t="shared" si="987"/>
        <v>37249.452973151187</v>
      </c>
      <c r="T564">
        <f t="shared" si="988"/>
        <v>37.249452973151186</v>
      </c>
    </row>
    <row r="565" spans="1:104" x14ac:dyDescent="0.25">
      <c r="A565" s="5">
        <v>44028</v>
      </c>
      <c r="B565">
        <v>9.4320000000000001E-2</v>
      </c>
      <c r="C565">
        <v>0.10403999999999999</v>
      </c>
      <c r="D565">
        <v>8.8039999999999993E-2</v>
      </c>
      <c r="E565">
        <v>0.10206999999999999</v>
      </c>
      <c r="F565">
        <v>587578955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0.75375000000000003</v>
      </c>
      <c r="Q565">
        <f t="shared" si="985"/>
        <v>442887637.33125001</v>
      </c>
      <c r="R565">
        <f t="shared" si="986"/>
        <v>3613715051.1687627</v>
      </c>
      <c r="S565">
        <f t="shared" si="987"/>
        <v>36137.150511687629</v>
      </c>
      <c r="T565">
        <f t="shared" si="988"/>
        <v>36.137150511687629</v>
      </c>
    </row>
    <row r="566" spans="1:104" x14ac:dyDescent="0.25">
      <c r="A566" s="5">
        <v>44027</v>
      </c>
      <c r="B566">
        <v>9.2090000000000005E-2</v>
      </c>
      <c r="C566">
        <v>9.6509999999999999E-2</v>
      </c>
      <c r="D566">
        <v>8.7359999999999993E-2</v>
      </c>
      <c r="E566">
        <v>9.4359999999999999E-2</v>
      </c>
      <c r="F566">
        <v>394895737.69999999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0.53005464480874365</v>
      </c>
      <c r="Q566">
        <f t="shared" si="985"/>
        <v>209316319.9830603</v>
      </c>
      <c r="R566">
        <f t="shared" si="986"/>
        <v>3170827413.8375125</v>
      </c>
      <c r="S566">
        <f t="shared" si="987"/>
        <v>31708.274138375124</v>
      </c>
      <c r="T566">
        <f t="shared" si="988"/>
        <v>31.708274138375124</v>
      </c>
    </row>
    <row r="567" spans="1:104" x14ac:dyDescent="0.25">
      <c r="A567" s="5">
        <v>44026</v>
      </c>
      <c r="B567">
        <v>9.0039999999999995E-2</v>
      </c>
      <c r="C567">
        <v>9.2780000000000001E-2</v>
      </c>
      <c r="D567">
        <v>8.5400000000000004E-2</v>
      </c>
      <c r="E567">
        <v>9.2079999999999995E-2</v>
      </c>
      <c r="F567">
        <v>265807118.5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0.81029810298102811</v>
      </c>
      <c r="Q567">
        <f t="shared" si="985"/>
        <v>215383003.87940335</v>
      </c>
      <c r="R567">
        <f t="shared" si="986"/>
        <v>2961511093.8544521</v>
      </c>
      <c r="S567">
        <f t="shared" si="987"/>
        <v>29615.11093854452</v>
      </c>
      <c r="T567">
        <f t="shared" si="988"/>
        <v>29.615110938544518</v>
      </c>
    </row>
    <row r="568" spans="1:104" x14ac:dyDescent="0.25">
      <c r="A568" s="5">
        <v>44025</v>
      </c>
      <c r="B568">
        <v>9.5320000000000002E-2</v>
      </c>
      <c r="C568">
        <v>9.8269999999999996E-2</v>
      </c>
      <c r="D568">
        <v>8.6580000000000004E-2</v>
      </c>
      <c r="E568">
        <v>9.0090000000000003E-2</v>
      </c>
      <c r="F568">
        <v>399766776.89999998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-0.39948674080410579</v>
      </c>
      <c r="Q568">
        <f t="shared" si="985"/>
        <v>-159701526.78554308</v>
      </c>
      <c r="R568">
        <f t="shared" si="986"/>
        <v>2746128089.9750485</v>
      </c>
      <c r="S568">
        <f t="shared" si="987"/>
        <v>27461.280899750487</v>
      </c>
      <c r="T568">
        <f t="shared" si="988"/>
        <v>27.461280899750488</v>
      </c>
    </row>
    <row r="569" spans="1:104" x14ac:dyDescent="0.25">
      <c r="A569" s="5">
        <v>44024</v>
      </c>
      <c r="B569">
        <v>9.4109999999999999E-2</v>
      </c>
      <c r="C569">
        <v>9.7850000000000006E-2</v>
      </c>
      <c r="D569">
        <v>8.9510000000000006E-2</v>
      </c>
      <c r="E569">
        <v>9.5320000000000002E-2</v>
      </c>
      <c r="F569">
        <v>325722476.60000002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0.39328537170263683</v>
      </c>
      <c r="Q569">
        <f t="shared" si="985"/>
        <v>128101885.28153443</v>
      </c>
      <c r="R569">
        <f t="shared" si="986"/>
        <v>2905829616.7605915</v>
      </c>
      <c r="S569">
        <f t="shared" si="987"/>
        <v>29058.296167605917</v>
      </c>
      <c r="T569">
        <f t="shared" si="988"/>
        <v>29.058296167605917</v>
      </c>
    </row>
    <row r="570" spans="1:104" x14ac:dyDescent="0.25">
      <c r="A570" s="5">
        <v>44023</v>
      </c>
      <c r="B570">
        <v>8.8950000000000001E-2</v>
      </c>
      <c r="C570">
        <v>0.10144</v>
      </c>
      <c r="D570">
        <v>8.8459999999999997E-2</v>
      </c>
      <c r="E570">
        <v>9.4109999999999999E-2</v>
      </c>
      <c r="F570">
        <v>694899201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-0.12942989214175657</v>
      </c>
      <c r="Q570">
        <f t="shared" si="985"/>
        <v>-89940728.634822816</v>
      </c>
      <c r="R570">
        <f t="shared" si="986"/>
        <v>2777727731.4790568</v>
      </c>
      <c r="S570">
        <f t="shared" si="987"/>
        <v>27777.277314790568</v>
      </c>
      <c r="T570">
        <f t="shared" si="988"/>
        <v>27.777277314790567</v>
      </c>
    </row>
    <row r="571" spans="1:104" x14ac:dyDescent="0.25">
      <c r="A571" s="5">
        <v>44022</v>
      </c>
      <c r="B571">
        <v>9.0490000000000001E-2</v>
      </c>
      <c r="C571">
        <v>9.1120000000000007E-2</v>
      </c>
      <c r="D571">
        <v>8.2309999999999994E-2</v>
      </c>
      <c r="E571">
        <v>8.8999999999999996E-2</v>
      </c>
      <c r="F571">
        <v>554399959</v>
      </c>
      <c r="G571">
        <v>0</v>
      </c>
      <c r="L571" t="s">
        <v>7</v>
      </c>
      <c r="M571" t="s">
        <v>7</v>
      </c>
      <c r="N571" t="s">
        <v>8</v>
      </c>
      <c r="P571">
        <f t="shared" si="984"/>
        <v>0.51872871736662707</v>
      </c>
      <c r="Q571">
        <f t="shared" si="985"/>
        <v>287583179.64018065</v>
      </c>
      <c r="R571">
        <f t="shared" si="986"/>
        <v>2867668460.1138797</v>
      </c>
      <c r="S571">
        <f t="shared" si="987"/>
        <v>28676.684601138797</v>
      </c>
      <c r="T571">
        <f t="shared" si="988"/>
        <v>28.676684601138795</v>
      </c>
    </row>
    <row r="572" spans="1:104" x14ac:dyDescent="0.25">
      <c r="A572" s="5">
        <v>44021</v>
      </c>
      <c r="B572">
        <v>8.5400000000000004E-2</v>
      </c>
      <c r="C572">
        <v>9.8350000000000007E-2</v>
      </c>
      <c r="D572">
        <v>8.3280000000000007E-2</v>
      </c>
      <c r="E572">
        <v>9.0480000000000005E-2</v>
      </c>
      <c r="F572">
        <v>990074888.10000002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-4.4459190444592164E-2</v>
      </c>
      <c r="Q572">
        <f t="shared" si="985"/>
        <v>-44017928.004446179</v>
      </c>
      <c r="R572">
        <f t="shared" si="986"/>
        <v>2580085280.4736991</v>
      </c>
      <c r="S572">
        <f t="shared" si="987"/>
        <v>25800.852804736991</v>
      </c>
      <c r="T572">
        <f t="shared" si="988"/>
        <v>25.800852804736991</v>
      </c>
    </row>
    <row r="573" spans="1:104" x14ac:dyDescent="0.25">
      <c r="A573" s="5">
        <v>44020</v>
      </c>
      <c r="B573">
        <v>7.3419999999999999E-2</v>
      </c>
      <c r="C573">
        <v>8.5589999999999999E-2</v>
      </c>
      <c r="D573">
        <v>7.2450000000000001E-2</v>
      </c>
      <c r="E573">
        <v>8.5379999999999998E-2</v>
      </c>
      <c r="F573">
        <v>397561820.39999998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0.96803652968036502</v>
      </c>
      <c r="Q573">
        <f t="shared" si="985"/>
        <v>384854364.95342451</v>
      </c>
      <c r="R573">
        <f t="shared" si="986"/>
        <v>2624103208.4781451</v>
      </c>
      <c r="S573">
        <f t="shared" si="987"/>
        <v>26241.032084781451</v>
      </c>
      <c r="T573">
        <f t="shared" si="988"/>
        <v>26.241032084781452</v>
      </c>
    </row>
    <row r="574" spans="1:104" x14ac:dyDescent="0.25">
      <c r="A574" s="5">
        <v>44019</v>
      </c>
      <c r="B574">
        <v>7.17E-2</v>
      </c>
      <c r="C574">
        <v>7.4349999999999999E-2</v>
      </c>
      <c r="D574">
        <v>7.0209999999999995E-2</v>
      </c>
      <c r="E574">
        <v>7.3480000000000004E-2</v>
      </c>
      <c r="F574">
        <v>184228680.19999999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0.57971014492753881</v>
      </c>
      <c r="Q574">
        <f t="shared" si="985"/>
        <v>106799234.8985512</v>
      </c>
      <c r="R574">
        <f t="shared" si="986"/>
        <v>2239248843.5247207</v>
      </c>
      <c r="S574">
        <f t="shared" si="987"/>
        <v>22392.488435247207</v>
      </c>
      <c r="T574">
        <f t="shared" si="988"/>
        <v>22.392488435247206</v>
      </c>
    </row>
    <row r="575" spans="1:104" x14ac:dyDescent="0.25">
      <c r="A575" s="5">
        <v>44018</v>
      </c>
      <c r="B575">
        <v>6.7159999999999997E-2</v>
      </c>
      <c r="C575">
        <v>7.2190000000000004E-2</v>
      </c>
      <c r="D575">
        <v>6.6500000000000004E-2</v>
      </c>
      <c r="E575">
        <v>7.1739999999999998E-2</v>
      </c>
      <c r="F575">
        <v>177445139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0.84182776801405768</v>
      </c>
      <c r="Q575">
        <f t="shared" si="985"/>
        <v>149378245.30931422</v>
      </c>
      <c r="R575">
        <f t="shared" si="986"/>
        <v>2132449608.6261694</v>
      </c>
      <c r="S575">
        <f t="shared" si="987"/>
        <v>21324.496086261694</v>
      </c>
      <c r="T575">
        <f t="shared" si="988"/>
        <v>21.324496086261693</v>
      </c>
    </row>
    <row r="576" spans="1:104" x14ac:dyDescent="0.25">
      <c r="A576" s="5">
        <v>44017</v>
      </c>
      <c r="B576">
        <v>6.7949999999999997E-2</v>
      </c>
      <c r="C576">
        <v>6.8080000000000002E-2</v>
      </c>
      <c r="D576">
        <v>6.4879999999999993E-2</v>
      </c>
      <c r="E576">
        <v>6.7169999999999994E-2</v>
      </c>
      <c r="F576">
        <v>102791005.90000001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0.43124999999999647</v>
      </c>
      <c r="Q576">
        <f t="shared" si="985"/>
        <v>44328621.294374637</v>
      </c>
      <c r="R576">
        <f t="shared" si="986"/>
        <v>1983071363.3168552</v>
      </c>
      <c r="S576">
        <f t="shared" si="987"/>
        <v>19830.713633168551</v>
      </c>
      <c r="T576">
        <f t="shared" si="988"/>
        <v>19.83071363316855</v>
      </c>
    </row>
    <row r="577" spans="1:20" x14ac:dyDescent="0.25">
      <c r="A577" s="5">
        <v>44016</v>
      </c>
      <c r="B577">
        <v>6.6960000000000006E-2</v>
      </c>
      <c r="C577">
        <v>6.8599999999999994E-2</v>
      </c>
      <c r="D577">
        <v>6.6430000000000003E-2</v>
      </c>
      <c r="E577">
        <v>6.7979999999999999E-2</v>
      </c>
      <c r="F577">
        <v>90930771.5</v>
      </c>
      <c r="G577">
        <v>0</v>
      </c>
      <c r="L577" t="s">
        <v>7</v>
      </c>
      <c r="M577" t="s">
        <v>8</v>
      </c>
      <c r="N577" t="s">
        <v>7</v>
      </c>
      <c r="P577">
        <f t="shared" si="984"/>
        <v>0.42857142857143038</v>
      </c>
      <c r="Q577">
        <f t="shared" si="985"/>
        <v>38970330.642857306</v>
      </c>
      <c r="R577">
        <f t="shared" si="986"/>
        <v>1938742742.0224805</v>
      </c>
      <c r="S577">
        <f t="shared" si="987"/>
        <v>19387.427420224805</v>
      </c>
      <c r="T577">
        <f t="shared" si="988"/>
        <v>19.387427420224807</v>
      </c>
    </row>
    <row r="578" spans="1:20" x14ac:dyDescent="0.25">
      <c r="A578" s="5">
        <v>44015</v>
      </c>
      <c r="B578">
        <v>6.762E-2</v>
      </c>
      <c r="C578">
        <v>6.8729999999999999E-2</v>
      </c>
      <c r="D578">
        <v>6.6220000000000001E-2</v>
      </c>
      <c r="E578">
        <v>6.6979999999999998E-2</v>
      </c>
      <c r="F578">
        <v>110541346.09999999</v>
      </c>
      <c r="G578">
        <v>0</v>
      </c>
      <c r="L578" t="s">
        <v>7</v>
      </c>
      <c r="M578" t="s">
        <v>8</v>
      </c>
      <c r="N578" t="s">
        <v>7</v>
      </c>
      <c r="P578">
        <f t="shared" si="984"/>
        <v>-0.39442231075697426</v>
      </c>
      <c r="Q578">
        <f t="shared" si="985"/>
        <v>-43599973.162948444</v>
      </c>
      <c r="R578">
        <f t="shared" si="986"/>
        <v>1899772411.3796232</v>
      </c>
      <c r="S578">
        <f t="shared" si="987"/>
        <v>18997.72411379623</v>
      </c>
      <c r="T578">
        <f t="shared" si="988"/>
        <v>18.997724113796231</v>
      </c>
    </row>
    <row r="579" spans="1:20" x14ac:dyDescent="0.25">
      <c r="A579" s="5">
        <v>44014</v>
      </c>
      <c r="B579">
        <v>6.8400000000000002E-2</v>
      </c>
      <c r="C579">
        <v>7.0970000000000005E-2</v>
      </c>
      <c r="D579">
        <v>6.615E-2</v>
      </c>
      <c r="E579">
        <v>6.7610000000000003E-2</v>
      </c>
      <c r="F579">
        <v>172605783.80000001</v>
      </c>
      <c r="G579">
        <v>0</v>
      </c>
      <c r="L579" t="s">
        <v>8</v>
      </c>
      <c r="M579" t="s">
        <v>8</v>
      </c>
      <c r="N579" t="s">
        <v>7</v>
      </c>
      <c r="P579">
        <f t="shared" si="984"/>
        <v>-0.39419087136929398</v>
      </c>
      <c r="Q579">
        <f t="shared" si="985"/>
        <v>-68039624.319501966</v>
      </c>
      <c r="R579">
        <f t="shared" si="986"/>
        <v>1943372384.5425715</v>
      </c>
      <c r="S579">
        <f t="shared" si="987"/>
        <v>19433.723845425717</v>
      </c>
      <c r="T579">
        <f t="shared" si="988"/>
        <v>19.433723845425718</v>
      </c>
    </row>
    <row r="580" spans="1:20" x14ac:dyDescent="0.25">
      <c r="A580" s="5">
        <v>44013</v>
      </c>
      <c r="B580">
        <v>6.6879999999999995E-2</v>
      </c>
      <c r="C580">
        <v>6.9430000000000006E-2</v>
      </c>
      <c r="D580">
        <v>6.6000000000000003E-2</v>
      </c>
      <c r="E580">
        <v>6.837E-2</v>
      </c>
      <c r="F580">
        <v>101607673.5</v>
      </c>
      <c r="G580">
        <v>0</v>
      </c>
      <c r="L580" t="s">
        <v>8</v>
      </c>
      <c r="M580" t="s">
        <v>8</v>
      </c>
      <c r="N580" t="s">
        <v>7</v>
      </c>
      <c r="P580">
        <f t="shared" si="984"/>
        <v>0.38192419825072615</v>
      </c>
      <c r="Q580">
        <f t="shared" si="985"/>
        <v>38806429.237609051</v>
      </c>
      <c r="R580">
        <f t="shared" si="986"/>
        <v>2011412008.8620734</v>
      </c>
      <c r="S580">
        <f t="shared" si="987"/>
        <v>20114.120088620733</v>
      </c>
      <c r="T580">
        <f t="shared" si="988"/>
        <v>20.114120088620734</v>
      </c>
    </row>
    <row r="581" spans="1:20" x14ac:dyDescent="0.25">
      <c r="A581" s="5">
        <v>44012</v>
      </c>
      <c r="B581">
        <v>6.5060000000000007E-2</v>
      </c>
      <c r="C581">
        <v>6.7409999999999998E-2</v>
      </c>
      <c r="D581">
        <v>6.3969999999999999E-2</v>
      </c>
      <c r="E581">
        <v>6.6919999999999993E-2</v>
      </c>
      <c r="F581">
        <v>76137474.599999994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0.71511627906976483</v>
      </c>
      <c r="Q581">
        <f t="shared" si="985"/>
        <v>54447147.533720724</v>
      </c>
      <c r="R581">
        <f t="shared" si="986"/>
        <v>1972605579.6244643</v>
      </c>
      <c r="S581">
        <f t="shared" si="987"/>
        <v>19726.055796244644</v>
      </c>
      <c r="T581">
        <f t="shared" si="988"/>
        <v>19.726055796244644</v>
      </c>
    </row>
    <row r="582" spans="1:20" x14ac:dyDescent="0.25">
      <c r="A582" s="5">
        <v>44011</v>
      </c>
      <c r="B582">
        <v>6.4240000000000005E-2</v>
      </c>
      <c r="C582">
        <v>6.54E-2</v>
      </c>
      <c r="D582">
        <v>6.2920000000000004E-2</v>
      </c>
      <c r="E582">
        <v>6.5030000000000004E-2</v>
      </c>
      <c r="F582">
        <v>84761294.799999997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0.70161290322580971</v>
      </c>
      <c r="Q582">
        <f t="shared" ref="Q582:Q645" si="990">F582*P582</f>
        <v>59469618.125806727</v>
      </c>
      <c r="R582">
        <f t="shared" ref="R582:R645" si="991">R583+Q582</f>
        <v>1918158432.0907435</v>
      </c>
      <c r="S582">
        <f t="shared" ref="S582:S645" si="992">R582/100000</f>
        <v>19181.584320907434</v>
      </c>
      <c r="T582">
        <f t="shared" ref="T582:T645" si="993">S582/1000</f>
        <v>19.181584320907433</v>
      </c>
    </row>
    <row r="583" spans="1:20" x14ac:dyDescent="0.25">
      <c r="A583" s="5">
        <v>44010</v>
      </c>
      <c r="B583">
        <v>6.2799999999999995E-2</v>
      </c>
      <c r="C583">
        <v>6.5060000000000007E-2</v>
      </c>
      <c r="D583">
        <v>6.1710000000000001E-2</v>
      </c>
      <c r="E583">
        <v>6.4240000000000005E-2</v>
      </c>
      <c r="F583">
        <v>70190963.5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0.5104477611940299</v>
      </c>
      <c r="Q583">
        <f t="shared" si="990"/>
        <v>35828820.174626872</v>
      </c>
      <c r="R583">
        <f t="shared" si="991"/>
        <v>1858688813.9649367</v>
      </c>
      <c r="S583">
        <f t="shared" si="992"/>
        <v>18586.888139649367</v>
      </c>
      <c r="T583">
        <f t="shared" si="993"/>
        <v>18.586888139649368</v>
      </c>
    </row>
    <row r="584" spans="1:20" x14ac:dyDescent="0.25">
      <c r="A584" s="5">
        <v>44009</v>
      </c>
      <c r="B584">
        <v>6.6960000000000006E-2</v>
      </c>
      <c r="C584">
        <v>6.7150000000000001E-2</v>
      </c>
      <c r="D584">
        <v>5.8500000000000003E-2</v>
      </c>
      <c r="E584">
        <v>6.2789999999999999E-2</v>
      </c>
      <c r="F584">
        <v>105940037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-8.0924855491338234E-3</v>
      </c>
      <c r="Q584">
        <f t="shared" si="990"/>
        <v>-857318.21849720262</v>
      </c>
      <c r="R584">
        <f t="shared" si="991"/>
        <v>1822859993.7903099</v>
      </c>
      <c r="S584">
        <f t="shared" si="992"/>
        <v>18228.599937903098</v>
      </c>
      <c r="T584">
        <f t="shared" si="993"/>
        <v>18.228599937903098</v>
      </c>
    </row>
    <row r="585" spans="1:20" x14ac:dyDescent="0.25">
      <c r="A585" s="5">
        <v>44008</v>
      </c>
      <c r="B585">
        <v>6.7559999999999995E-2</v>
      </c>
      <c r="C585">
        <v>6.8599999999999994E-2</v>
      </c>
      <c r="D585">
        <v>6.5960000000000005E-2</v>
      </c>
      <c r="E585">
        <v>6.6949999999999996E-2</v>
      </c>
      <c r="F585">
        <v>81857862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-0.25000000000000394</v>
      </c>
      <c r="Q585">
        <f t="shared" si="990"/>
        <v>-20464465.500000324</v>
      </c>
      <c r="R585">
        <f t="shared" si="991"/>
        <v>1823717312.0088072</v>
      </c>
      <c r="S585">
        <f t="shared" si="992"/>
        <v>18237.173120088071</v>
      </c>
      <c r="T585">
        <f t="shared" si="993"/>
        <v>18.23717312008807</v>
      </c>
    </row>
    <row r="586" spans="1:20" x14ac:dyDescent="0.25">
      <c r="A586" s="5">
        <v>44007</v>
      </c>
      <c r="B586">
        <v>6.8940000000000001E-2</v>
      </c>
      <c r="C586">
        <v>6.8970000000000004E-2</v>
      </c>
      <c r="D586">
        <v>6.5540000000000001E-2</v>
      </c>
      <c r="E586">
        <v>6.7549999999999999E-2</v>
      </c>
      <c r="F586">
        <v>89128517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0.1720116618075781</v>
      </c>
      <c r="Q586">
        <f t="shared" si="990"/>
        <v>15331144.323614975</v>
      </c>
      <c r="R586">
        <f t="shared" si="991"/>
        <v>1844181777.5088074</v>
      </c>
      <c r="S586">
        <f t="shared" si="992"/>
        <v>18441.817775088075</v>
      </c>
      <c r="T586">
        <f t="shared" si="993"/>
        <v>18.441817775088076</v>
      </c>
    </row>
    <row r="587" spans="1:20" x14ac:dyDescent="0.25">
      <c r="A587" s="5">
        <v>44006</v>
      </c>
      <c r="B587">
        <v>7.1040000000000006E-2</v>
      </c>
      <c r="C587">
        <v>7.2559999999999999E-2</v>
      </c>
      <c r="D587">
        <v>6.7839999999999998E-2</v>
      </c>
      <c r="E587">
        <v>6.8940000000000001E-2</v>
      </c>
      <c r="F587">
        <v>102595134.59999999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-0.53389830508474434</v>
      </c>
      <c r="Q587">
        <f t="shared" si="990"/>
        <v>-54775368.472881205</v>
      </c>
      <c r="R587">
        <f t="shared" si="991"/>
        <v>1828850633.1851923</v>
      </c>
      <c r="S587">
        <f t="shared" si="992"/>
        <v>18288.506331851924</v>
      </c>
      <c r="T587">
        <f t="shared" si="993"/>
        <v>18.288506331851924</v>
      </c>
    </row>
    <row r="588" spans="1:20" x14ac:dyDescent="0.25">
      <c r="A588" s="5">
        <v>44005</v>
      </c>
      <c r="B588">
        <v>7.1889999999999996E-2</v>
      </c>
      <c r="C588">
        <v>7.2309999999999999E-2</v>
      </c>
      <c r="D588">
        <v>7.0000000000000007E-2</v>
      </c>
      <c r="E588">
        <v>7.1029999999999996E-2</v>
      </c>
      <c r="F588">
        <v>81400861.799999997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-0.10822510822511468</v>
      </c>
      <c r="Q588">
        <f t="shared" si="990"/>
        <v>-8809617.0779226031</v>
      </c>
      <c r="R588">
        <f t="shared" si="991"/>
        <v>1883626001.6580737</v>
      </c>
      <c r="S588">
        <f t="shared" si="992"/>
        <v>18836.260016580738</v>
      </c>
      <c r="T588">
        <f t="shared" si="993"/>
        <v>18.836260016580738</v>
      </c>
    </row>
    <row r="589" spans="1:20" x14ac:dyDescent="0.25">
      <c r="A589" s="5">
        <v>44004</v>
      </c>
      <c r="B589">
        <v>6.8500000000000005E-2</v>
      </c>
      <c r="C589">
        <v>7.2020000000000001E-2</v>
      </c>
      <c r="D589">
        <v>6.8379999999999996E-2</v>
      </c>
      <c r="E589">
        <v>7.1879999999999999E-2</v>
      </c>
      <c r="F589">
        <v>66957032.700000003</v>
      </c>
      <c r="G589">
        <v>0</v>
      </c>
      <c r="L589" t="s">
        <v>7</v>
      </c>
      <c r="M589" t="s">
        <v>7</v>
      </c>
      <c r="N589" t="s">
        <v>8</v>
      </c>
      <c r="P589">
        <f t="shared" si="989"/>
        <v>0.92307692307692246</v>
      </c>
      <c r="Q589">
        <f t="shared" si="990"/>
        <v>61806491.723076887</v>
      </c>
      <c r="R589">
        <f t="shared" si="991"/>
        <v>1892435618.7359962</v>
      </c>
      <c r="S589">
        <f t="shared" si="992"/>
        <v>18924.356187359961</v>
      </c>
      <c r="T589">
        <f t="shared" si="993"/>
        <v>18.924356187359962</v>
      </c>
    </row>
    <row r="590" spans="1:20" x14ac:dyDescent="0.25">
      <c r="A590" s="5">
        <v>44003</v>
      </c>
      <c r="B590">
        <v>6.9760000000000003E-2</v>
      </c>
      <c r="C590">
        <v>7.0230000000000001E-2</v>
      </c>
      <c r="D590">
        <v>6.8320000000000006E-2</v>
      </c>
      <c r="E590">
        <v>6.8500000000000005E-2</v>
      </c>
      <c r="F590">
        <v>31934203.399999999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-0.81151832460732976</v>
      </c>
      <c r="Q590">
        <f t="shared" si="990"/>
        <v>-25915191.240837693</v>
      </c>
      <c r="R590">
        <f t="shared" si="991"/>
        <v>1830629127.0129194</v>
      </c>
      <c r="S590">
        <f t="shared" si="992"/>
        <v>18306.291270129193</v>
      </c>
      <c r="T590">
        <f t="shared" si="993"/>
        <v>18.306291270129194</v>
      </c>
    </row>
    <row r="591" spans="1:20" x14ac:dyDescent="0.25">
      <c r="A591" s="5">
        <v>44002</v>
      </c>
      <c r="B591">
        <v>6.9540000000000005E-2</v>
      </c>
      <c r="C591">
        <v>7.0389999999999994E-2</v>
      </c>
      <c r="D591">
        <v>6.8220000000000003E-2</v>
      </c>
      <c r="E591">
        <v>6.9790000000000005E-2</v>
      </c>
      <c r="F591">
        <v>41737634.600000001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0.44700460829493843</v>
      </c>
      <c r="Q591">
        <f t="shared" si="990"/>
        <v>18656915.005530272</v>
      </c>
      <c r="R591">
        <f t="shared" si="991"/>
        <v>1856544318.253757</v>
      </c>
      <c r="S591">
        <f t="shared" si="992"/>
        <v>18565.443182537569</v>
      </c>
      <c r="T591">
        <f t="shared" si="993"/>
        <v>18.565443182537567</v>
      </c>
    </row>
    <row r="592" spans="1:20" x14ac:dyDescent="0.25">
      <c r="A592" s="5">
        <v>44001</v>
      </c>
      <c r="B592">
        <v>7.0580000000000004E-2</v>
      </c>
      <c r="C592">
        <v>7.0949999999999999E-2</v>
      </c>
      <c r="D592">
        <v>6.8440000000000001E-2</v>
      </c>
      <c r="E592">
        <v>6.9589999999999999E-2</v>
      </c>
      <c r="F592">
        <v>63066022.600000001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-8.3665338645419113E-2</v>
      </c>
      <c r="Q592">
        <f t="shared" si="990"/>
        <v>-5276440.1378486557</v>
      </c>
      <c r="R592">
        <f t="shared" si="991"/>
        <v>1837887403.2482266</v>
      </c>
      <c r="S592">
        <f t="shared" si="992"/>
        <v>18378.874032482265</v>
      </c>
      <c r="T592">
        <f t="shared" si="993"/>
        <v>18.378874032482265</v>
      </c>
    </row>
    <row r="593" spans="1:20" x14ac:dyDescent="0.25">
      <c r="A593" s="5">
        <v>44000</v>
      </c>
      <c r="B593">
        <v>7.1809999999999999E-2</v>
      </c>
      <c r="C593">
        <v>7.2190000000000004E-2</v>
      </c>
      <c r="D593">
        <v>6.9279999999999994E-2</v>
      </c>
      <c r="E593">
        <v>7.0580000000000004E-2</v>
      </c>
      <c r="F593">
        <v>55822289.299999997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-0.10652920962198963</v>
      </c>
      <c r="Q593">
        <f t="shared" si="990"/>
        <v>-5946704.3584190486</v>
      </c>
      <c r="R593">
        <f t="shared" si="991"/>
        <v>1843163843.3860753</v>
      </c>
      <c r="S593">
        <f t="shared" si="992"/>
        <v>18431.638433860753</v>
      </c>
      <c r="T593">
        <f t="shared" si="993"/>
        <v>18.431638433860755</v>
      </c>
    </row>
    <row r="594" spans="1:20" x14ac:dyDescent="0.25">
      <c r="A594" s="5">
        <v>43999</v>
      </c>
      <c r="B594">
        <v>7.1370000000000003E-2</v>
      </c>
      <c r="C594">
        <v>7.4200000000000002E-2</v>
      </c>
      <c r="D594">
        <v>6.9409999999999999E-2</v>
      </c>
      <c r="E594">
        <v>7.1870000000000003E-2</v>
      </c>
      <c r="F594">
        <v>102062520.90000001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2.7139874739040719E-2</v>
      </c>
      <c r="Q594">
        <f t="shared" si="990"/>
        <v>2769964.0327767255</v>
      </c>
      <c r="R594">
        <f t="shared" si="991"/>
        <v>1849110547.7444942</v>
      </c>
      <c r="S594">
        <f t="shared" si="992"/>
        <v>18491.10547744494</v>
      </c>
      <c r="T594">
        <f t="shared" si="993"/>
        <v>18.49110547744494</v>
      </c>
    </row>
    <row r="595" spans="1:20" x14ac:dyDescent="0.25">
      <c r="A595" s="5">
        <v>43998</v>
      </c>
      <c r="B595">
        <v>7.0999999999999994E-2</v>
      </c>
      <c r="C595">
        <v>7.2050000000000003E-2</v>
      </c>
      <c r="D595">
        <v>6.9629999999999997E-2</v>
      </c>
      <c r="E595">
        <v>7.1360000000000007E-2</v>
      </c>
      <c r="F595">
        <v>60851353.700000003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0.42975206611570693</v>
      </c>
      <c r="Q595">
        <f t="shared" si="990"/>
        <v>26150994.978512667</v>
      </c>
      <c r="R595">
        <f t="shared" si="991"/>
        <v>1846340583.7117174</v>
      </c>
      <c r="S595">
        <f t="shared" si="992"/>
        <v>18463.405837117174</v>
      </c>
      <c r="T595">
        <f t="shared" si="993"/>
        <v>18.463405837117175</v>
      </c>
    </row>
    <row r="596" spans="1:20" x14ac:dyDescent="0.25">
      <c r="A596" s="5">
        <v>43997</v>
      </c>
      <c r="B596">
        <v>7.0699999999999999E-2</v>
      </c>
      <c r="C596">
        <v>7.1730000000000002E-2</v>
      </c>
      <c r="D596">
        <v>6.5619999999999998E-2</v>
      </c>
      <c r="E596">
        <v>7.0980000000000001E-2</v>
      </c>
      <c r="F596">
        <v>134169312.2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0.75450081833060556</v>
      </c>
      <c r="Q596">
        <f t="shared" si="990"/>
        <v>101230855.8497545</v>
      </c>
      <c r="R596">
        <f t="shared" si="991"/>
        <v>1820189588.7332046</v>
      </c>
      <c r="S596">
        <f t="shared" si="992"/>
        <v>18201.895887332044</v>
      </c>
      <c r="T596">
        <f t="shared" si="993"/>
        <v>18.201895887332043</v>
      </c>
    </row>
    <row r="597" spans="1:20" x14ac:dyDescent="0.25">
      <c r="A597" s="5">
        <v>43996</v>
      </c>
      <c r="B597">
        <v>7.4079999999999993E-2</v>
      </c>
      <c r="C597">
        <v>7.4120000000000005E-2</v>
      </c>
      <c r="D597">
        <v>7.0239999999999997E-2</v>
      </c>
      <c r="E597">
        <v>7.077E-2</v>
      </c>
      <c r="F597">
        <v>51258476.399999999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-0.7268041237113394</v>
      </c>
      <c r="Q597">
        <f t="shared" si="990"/>
        <v>-37254872.022680372</v>
      </c>
      <c r="R597">
        <f t="shared" si="991"/>
        <v>1718958732.88345</v>
      </c>
      <c r="S597">
        <f t="shared" si="992"/>
        <v>17189.587328834499</v>
      </c>
      <c r="T597">
        <f t="shared" si="993"/>
        <v>17.189587328834499</v>
      </c>
    </row>
    <row r="598" spans="1:20" x14ac:dyDescent="0.25">
      <c r="A598" s="5">
        <v>43995</v>
      </c>
      <c r="B598">
        <v>7.2819999999999996E-2</v>
      </c>
      <c r="C598">
        <v>7.4329999999999993E-2</v>
      </c>
      <c r="D598">
        <v>7.1629999999999999E-2</v>
      </c>
      <c r="E598">
        <v>7.4090000000000003E-2</v>
      </c>
      <c r="F598">
        <v>49481480.100000001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0.82222222222222907</v>
      </c>
      <c r="Q598">
        <f t="shared" si="990"/>
        <v>40684772.526667006</v>
      </c>
      <c r="R598">
        <f t="shared" si="991"/>
        <v>1756213604.9061303</v>
      </c>
      <c r="S598">
        <f t="shared" si="992"/>
        <v>17562.136049061304</v>
      </c>
      <c r="T598">
        <f t="shared" si="993"/>
        <v>17.562136049061305</v>
      </c>
    </row>
    <row r="599" spans="1:20" x14ac:dyDescent="0.25">
      <c r="A599" s="5">
        <v>43994</v>
      </c>
      <c r="B599">
        <v>7.109E-2</v>
      </c>
      <c r="C599">
        <v>7.4819999999999998E-2</v>
      </c>
      <c r="D599">
        <v>7.0510000000000003E-2</v>
      </c>
      <c r="E599">
        <v>7.2819999999999996E-2</v>
      </c>
      <c r="F599">
        <v>78290517.299999997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7.1925754060322797E-2</v>
      </c>
      <c r="Q599">
        <f t="shared" si="990"/>
        <v>5631104.4925752468</v>
      </c>
      <c r="R599">
        <f t="shared" si="991"/>
        <v>1715528832.3794632</v>
      </c>
      <c r="S599">
        <f t="shared" si="992"/>
        <v>17155.288323794633</v>
      </c>
      <c r="T599">
        <f t="shared" si="993"/>
        <v>17.155288323794633</v>
      </c>
    </row>
    <row r="600" spans="1:20" x14ac:dyDescent="0.25">
      <c r="A600" s="5">
        <v>43993</v>
      </c>
      <c r="B600">
        <v>7.886E-2</v>
      </c>
      <c r="C600">
        <v>7.9280000000000003E-2</v>
      </c>
      <c r="D600">
        <v>6.8459999999999993E-2</v>
      </c>
      <c r="E600">
        <v>7.1069999999999994E-2</v>
      </c>
      <c r="F600">
        <v>184525146.40000001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-0.51756007393715364</v>
      </c>
      <c r="Q600">
        <f t="shared" si="990"/>
        <v>-95502848.414048105</v>
      </c>
      <c r="R600">
        <f t="shared" si="991"/>
        <v>1709897727.886888</v>
      </c>
      <c r="S600">
        <f t="shared" si="992"/>
        <v>17098.977278868879</v>
      </c>
      <c r="T600">
        <f t="shared" si="993"/>
        <v>17.09897727886888</v>
      </c>
    </row>
    <row r="601" spans="1:20" x14ac:dyDescent="0.25">
      <c r="A601" s="5">
        <v>43992</v>
      </c>
      <c r="B601">
        <v>7.8140000000000001E-2</v>
      </c>
      <c r="C601">
        <v>7.9229999999999995E-2</v>
      </c>
      <c r="D601">
        <v>7.7660000000000007E-2</v>
      </c>
      <c r="E601">
        <v>7.8850000000000003E-2</v>
      </c>
      <c r="F601">
        <v>82146262.200000003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0.5159235668789881</v>
      </c>
      <c r="Q601">
        <f t="shared" si="990"/>
        <v>42381192.600000598</v>
      </c>
      <c r="R601">
        <f t="shared" si="991"/>
        <v>1805400576.3009362</v>
      </c>
      <c r="S601">
        <f t="shared" si="992"/>
        <v>18054.005763009362</v>
      </c>
      <c r="T601">
        <f t="shared" si="993"/>
        <v>18.054005763009361</v>
      </c>
    </row>
    <row r="602" spans="1:20" x14ac:dyDescent="0.25">
      <c r="A602" s="5">
        <v>43991</v>
      </c>
      <c r="B602">
        <v>8.0070000000000002E-2</v>
      </c>
      <c r="C602">
        <v>8.0320000000000003E-2</v>
      </c>
      <c r="D602">
        <v>7.7119999999999994E-2</v>
      </c>
      <c r="E602">
        <v>7.8170000000000003E-2</v>
      </c>
      <c r="F602">
        <v>102616782.09999999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-0.34374999999999595</v>
      </c>
      <c r="Q602">
        <f t="shared" si="990"/>
        <v>-35274518.84687458</v>
      </c>
      <c r="R602">
        <f t="shared" si="991"/>
        <v>1763019383.7009356</v>
      </c>
      <c r="S602">
        <f t="shared" si="992"/>
        <v>17630.193837009356</v>
      </c>
      <c r="T602">
        <f t="shared" si="993"/>
        <v>17.630193837009354</v>
      </c>
    </row>
    <row r="603" spans="1:20" x14ac:dyDescent="0.25">
      <c r="A603" s="5">
        <v>43990</v>
      </c>
      <c r="B603">
        <v>7.8810000000000005E-2</v>
      </c>
      <c r="C603">
        <v>8.0369999999999997E-2</v>
      </c>
      <c r="D603">
        <v>7.7990000000000004E-2</v>
      </c>
      <c r="E603">
        <v>8.0060000000000006E-2</v>
      </c>
      <c r="F603">
        <v>78942219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0.73949579831933465</v>
      </c>
      <c r="Q603">
        <f t="shared" si="990"/>
        <v>58377439.260504745</v>
      </c>
      <c r="R603">
        <f t="shared" si="991"/>
        <v>1798293902.5478101</v>
      </c>
      <c r="S603">
        <f t="shared" si="992"/>
        <v>17982.939025478099</v>
      </c>
      <c r="T603">
        <f t="shared" si="993"/>
        <v>17.9829390254781</v>
      </c>
    </row>
    <row r="604" spans="1:20" x14ac:dyDescent="0.25">
      <c r="A604" s="5">
        <v>43989</v>
      </c>
      <c r="B604">
        <v>7.9680000000000001E-2</v>
      </c>
      <c r="C604">
        <v>8.0740000000000006E-2</v>
      </c>
      <c r="D604">
        <v>7.5450000000000003E-2</v>
      </c>
      <c r="E604">
        <v>7.8799999999999995E-2</v>
      </c>
      <c r="F604">
        <v>118708016.3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0.26654064272211342</v>
      </c>
      <c r="Q604">
        <f t="shared" si="990"/>
        <v>31640510.960869115</v>
      </c>
      <c r="R604">
        <f t="shared" si="991"/>
        <v>1739916463.2873054</v>
      </c>
      <c r="S604">
        <f t="shared" si="992"/>
        <v>17399.164632873053</v>
      </c>
      <c r="T604">
        <f t="shared" si="993"/>
        <v>17.399164632873052</v>
      </c>
    </row>
    <row r="605" spans="1:20" x14ac:dyDescent="0.25">
      <c r="A605" s="5">
        <v>43988</v>
      </c>
      <c r="B605">
        <v>7.8869999999999996E-2</v>
      </c>
      <c r="C605">
        <v>8.1140000000000004E-2</v>
      </c>
      <c r="D605">
        <v>7.8210000000000002E-2</v>
      </c>
      <c r="E605">
        <v>7.9699999999999993E-2</v>
      </c>
      <c r="F605">
        <v>119352548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1.7064846416375623E-2</v>
      </c>
      <c r="Q605">
        <f t="shared" si="990"/>
        <v>2036732.9010230994</v>
      </c>
      <c r="R605">
        <f t="shared" si="991"/>
        <v>1708275952.3264363</v>
      </c>
      <c r="S605">
        <f t="shared" si="992"/>
        <v>17082.759523264362</v>
      </c>
      <c r="T605">
        <f t="shared" si="993"/>
        <v>17.082759523264361</v>
      </c>
    </row>
    <row r="606" spans="1:20" x14ac:dyDescent="0.25">
      <c r="A606" s="5">
        <v>43987</v>
      </c>
      <c r="B606">
        <v>8.2030000000000006E-2</v>
      </c>
      <c r="C606">
        <v>8.2989999999999994E-2</v>
      </c>
      <c r="D606">
        <v>7.8810000000000005E-2</v>
      </c>
      <c r="E606">
        <v>7.8880000000000006E-2</v>
      </c>
      <c r="F606">
        <v>197081263.5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-0.96650717703349243</v>
      </c>
      <c r="Q606">
        <f t="shared" si="990"/>
        <v>-190480455.63157886</v>
      </c>
      <c r="R606">
        <f t="shared" si="991"/>
        <v>1706239219.4254131</v>
      </c>
      <c r="S606">
        <f t="shared" si="992"/>
        <v>17062.392194254131</v>
      </c>
      <c r="T606">
        <f t="shared" si="993"/>
        <v>17.06239219425413</v>
      </c>
    </row>
    <row r="607" spans="1:20" x14ac:dyDescent="0.25">
      <c r="A607" s="5">
        <v>43986</v>
      </c>
      <c r="B607">
        <v>8.2780000000000006E-2</v>
      </c>
      <c r="C607">
        <v>8.6309999999999998E-2</v>
      </c>
      <c r="D607">
        <v>7.9020000000000007E-2</v>
      </c>
      <c r="E607">
        <v>8.2040000000000002E-2</v>
      </c>
      <c r="F607">
        <v>299104063.89999998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-0.17146776406035702</v>
      </c>
      <c r="Q607">
        <f t="shared" si="990"/>
        <v>-51286705.058299147</v>
      </c>
      <c r="R607">
        <f t="shared" si="991"/>
        <v>1896719675.0569921</v>
      </c>
      <c r="S607">
        <f t="shared" si="992"/>
        <v>18967.196750569921</v>
      </c>
      <c r="T607">
        <f t="shared" si="993"/>
        <v>18.967196750569922</v>
      </c>
    </row>
    <row r="608" spans="1:20" x14ac:dyDescent="0.25">
      <c r="A608" s="5">
        <v>43985</v>
      </c>
      <c r="B608">
        <v>7.9490000000000005E-2</v>
      </c>
      <c r="C608">
        <v>8.3339999999999997E-2</v>
      </c>
      <c r="D608">
        <v>7.671E-2</v>
      </c>
      <c r="E608">
        <v>8.2780000000000006E-2</v>
      </c>
      <c r="F608">
        <v>208986626.69999999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0.8310708898944219</v>
      </c>
      <c r="Q608">
        <f t="shared" si="990"/>
        <v>173682701.82760236</v>
      </c>
      <c r="R608">
        <f t="shared" si="991"/>
        <v>1948006380.1152911</v>
      </c>
      <c r="S608">
        <f t="shared" si="992"/>
        <v>19480.063801152912</v>
      </c>
      <c r="T608">
        <f t="shared" si="993"/>
        <v>19.480063801152912</v>
      </c>
    </row>
    <row r="609" spans="1:20" x14ac:dyDescent="0.25">
      <c r="A609" s="5">
        <v>43984</v>
      </c>
      <c r="B609">
        <v>7.5740000000000002E-2</v>
      </c>
      <c r="C609">
        <v>8.4440000000000001E-2</v>
      </c>
      <c r="D609">
        <v>7.2980000000000003E-2</v>
      </c>
      <c r="E609">
        <v>7.9509999999999997E-2</v>
      </c>
      <c r="F609">
        <v>408765952.80000001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0.13961605584642151</v>
      </c>
      <c r="Q609">
        <f t="shared" si="990"/>
        <v>57070290.094240502</v>
      </c>
      <c r="R609">
        <f t="shared" si="991"/>
        <v>1774323678.2876887</v>
      </c>
      <c r="S609">
        <f t="shared" si="992"/>
        <v>17743.236782876887</v>
      </c>
      <c r="T609">
        <f t="shared" si="993"/>
        <v>17.743236782876888</v>
      </c>
    </row>
    <row r="610" spans="1:20" x14ac:dyDescent="0.25">
      <c r="A610" s="5">
        <v>43983</v>
      </c>
      <c r="B610">
        <v>7.0499999999999993E-2</v>
      </c>
      <c r="C610">
        <v>7.6369999999999993E-2</v>
      </c>
      <c r="D610">
        <v>6.9930000000000006E-2</v>
      </c>
      <c r="E610">
        <v>7.5730000000000006E-2</v>
      </c>
      <c r="F610">
        <v>206252877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0.80124223602484812</v>
      </c>
      <c r="Q610">
        <f t="shared" si="990"/>
        <v>165258516.35403797</v>
      </c>
      <c r="R610">
        <f t="shared" si="991"/>
        <v>1717253388.1934483</v>
      </c>
      <c r="S610">
        <f t="shared" si="992"/>
        <v>17172.533881934483</v>
      </c>
      <c r="T610">
        <f t="shared" si="993"/>
        <v>17.172533881934484</v>
      </c>
    </row>
    <row r="611" spans="1:20" x14ac:dyDescent="0.25">
      <c r="A611" s="5">
        <v>43982</v>
      </c>
      <c r="B611">
        <v>7.2529999999999997E-2</v>
      </c>
      <c r="C611">
        <v>7.6480000000000006E-2</v>
      </c>
      <c r="D611">
        <v>6.8839999999999998E-2</v>
      </c>
      <c r="E611">
        <v>7.0499999999999993E-2</v>
      </c>
      <c r="F611">
        <v>304333492.5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-0.56544502617801229</v>
      </c>
      <c r="Q611">
        <f t="shared" si="990"/>
        <v>-172083859.63350841</v>
      </c>
      <c r="R611">
        <f t="shared" si="991"/>
        <v>1551994871.8394103</v>
      </c>
      <c r="S611">
        <f t="shared" si="992"/>
        <v>15519.948718394104</v>
      </c>
      <c r="T611">
        <f t="shared" si="993"/>
        <v>15.519948718394105</v>
      </c>
    </row>
    <row r="612" spans="1:20" x14ac:dyDescent="0.25">
      <c r="A612" s="5">
        <v>43981</v>
      </c>
      <c r="B612">
        <v>6.7760000000000001E-2</v>
      </c>
      <c r="C612">
        <v>7.3109999999999994E-2</v>
      </c>
      <c r="D612">
        <v>6.7059999999999995E-2</v>
      </c>
      <c r="E612">
        <v>7.2520000000000001E-2</v>
      </c>
      <c r="F612">
        <v>151639387.59999999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0.80495867768595264</v>
      </c>
      <c r="Q612">
        <f t="shared" si="990"/>
        <v>122063440.92760363</v>
      </c>
      <c r="R612">
        <f t="shared" si="991"/>
        <v>1724078731.4729187</v>
      </c>
      <c r="S612">
        <f t="shared" si="992"/>
        <v>17240.787314729187</v>
      </c>
      <c r="T612">
        <f t="shared" si="993"/>
        <v>17.240787314729186</v>
      </c>
    </row>
    <row r="613" spans="1:20" x14ac:dyDescent="0.25">
      <c r="A613" s="5">
        <v>43980</v>
      </c>
      <c r="B613">
        <v>6.9059999999999996E-2</v>
      </c>
      <c r="C613">
        <v>6.9889999999999994E-2</v>
      </c>
      <c r="D613">
        <v>6.6970000000000002E-2</v>
      </c>
      <c r="E613">
        <v>6.7769999999999997E-2</v>
      </c>
      <c r="F613">
        <v>72948276.900000006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-0.45205479452054975</v>
      </c>
      <c r="Q613">
        <f t="shared" si="990"/>
        <v>-32976618.324657667</v>
      </c>
      <c r="R613">
        <f t="shared" si="991"/>
        <v>1602015290.545315</v>
      </c>
      <c r="S613">
        <f t="shared" si="992"/>
        <v>16020.152905453151</v>
      </c>
      <c r="T613">
        <f t="shared" si="993"/>
        <v>16.020152905453152</v>
      </c>
    </row>
    <row r="614" spans="1:20" x14ac:dyDescent="0.25">
      <c r="A614" s="5">
        <v>43979</v>
      </c>
      <c r="B614">
        <v>6.6030000000000005E-2</v>
      </c>
      <c r="C614">
        <v>6.991E-2</v>
      </c>
      <c r="D614">
        <v>6.5699999999999995E-2</v>
      </c>
      <c r="E614">
        <v>6.9099999999999995E-2</v>
      </c>
      <c r="F614">
        <v>91511023.599999994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0.61520190023752774</v>
      </c>
      <c r="Q614">
        <f t="shared" si="990"/>
        <v>56297755.611401245</v>
      </c>
      <c r="R614">
        <f t="shared" si="991"/>
        <v>1634991908.8699727</v>
      </c>
      <c r="S614">
        <f t="shared" si="992"/>
        <v>16349.919088699728</v>
      </c>
      <c r="T614">
        <f t="shared" si="993"/>
        <v>16.349919088699728</v>
      </c>
    </row>
    <row r="615" spans="1:20" x14ac:dyDescent="0.25">
      <c r="A615" s="5">
        <v>43978</v>
      </c>
      <c r="B615">
        <v>6.5060000000000007E-2</v>
      </c>
      <c r="C615">
        <v>6.7659999999999998E-2</v>
      </c>
      <c r="D615">
        <v>6.4490000000000006E-2</v>
      </c>
      <c r="E615">
        <v>6.5970000000000001E-2</v>
      </c>
      <c r="F615">
        <v>92401122.400000006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-6.6246056782335125E-2</v>
      </c>
      <c r="Q615">
        <f t="shared" si="990"/>
        <v>-6121210.0012618983</v>
      </c>
      <c r="R615">
        <f t="shared" si="991"/>
        <v>1578694153.2585714</v>
      </c>
      <c r="S615">
        <f t="shared" si="992"/>
        <v>15786.941532585714</v>
      </c>
      <c r="T615">
        <f t="shared" si="993"/>
        <v>15.786941532585713</v>
      </c>
    </row>
    <row r="616" spans="1:20" x14ac:dyDescent="0.25">
      <c r="A616" s="5">
        <v>43977</v>
      </c>
      <c r="B616">
        <v>6.6229999999999997E-2</v>
      </c>
      <c r="C616">
        <v>6.6400000000000001E-2</v>
      </c>
      <c r="D616">
        <v>6.3589999999999994E-2</v>
      </c>
      <c r="E616">
        <v>6.5060000000000007E-2</v>
      </c>
      <c r="F616">
        <v>65773451.100000001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4.6263345195736182E-2</v>
      </c>
      <c r="Q616">
        <f t="shared" si="990"/>
        <v>3042899.8729541739</v>
      </c>
      <c r="R616">
        <f t="shared" si="991"/>
        <v>1584815363.2598333</v>
      </c>
      <c r="S616">
        <f t="shared" si="992"/>
        <v>15848.153632598332</v>
      </c>
      <c r="T616">
        <f t="shared" si="993"/>
        <v>15.848153632598333</v>
      </c>
    </row>
    <row r="617" spans="1:20" x14ac:dyDescent="0.25">
      <c r="A617" s="5">
        <v>43976</v>
      </c>
      <c r="B617">
        <v>6.3909999999999995E-2</v>
      </c>
      <c r="C617">
        <v>6.6250000000000003E-2</v>
      </c>
      <c r="D617">
        <v>6.3399999999999998E-2</v>
      </c>
      <c r="E617">
        <v>6.6239999999999993E-2</v>
      </c>
      <c r="F617">
        <v>71117504.599999994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0.99298245614034386</v>
      </c>
      <c r="Q617">
        <f t="shared" si="990"/>
        <v>70618434.392280191</v>
      </c>
      <c r="R617">
        <f t="shared" si="991"/>
        <v>1581772463.3868792</v>
      </c>
      <c r="S617">
        <f t="shared" si="992"/>
        <v>15817.724633868793</v>
      </c>
      <c r="T617">
        <f t="shared" si="993"/>
        <v>15.817724633868792</v>
      </c>
    </row>
    <row r="618" spans="1:20" x14ac:dyDescent="0.25">
      <c r="A618" s="5">
        <v>43975</v>
      </c>
      <c r="B618">
        <v>6.7110000000000003E-2</v>
      </c>
      <c r="C618">
        <v>6.8250000000000005E-2</v>
      </c>
      <c r="D618">
        <v>6.3810000000000006E-2</v>
      </c>
      <c r="E618">
        <v>6.3899999999999998E-2</v>
      </c>
      <c r="F618">
        <v>64032828.799999997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-0.95945945945946265</v>
      </c>
      <c r="Q618">
        <f t="shared" si="990"/>
        <v>-61436903.308108307</v>
      </c>
      <c r="R618">
        <f t="shared" si="991"/>
        <v>1511154028.9945991</v>
      </c>
      <c r="S618">
        <f t="shared" si="992"/>
        <v>15111.540289945991</v>
      </c>
      <c r="T618">
        <f t="shared" si="993"/>
        <v>15.111540289945991</v>
      </c>
    </row>
    <row r="619" spans="1:20" x14ac:dyDescent="0.25">
      <c r="A619" s="5">
        <v>43974</v>
      </c>
      <c r="B619">
        <v>6.812E-2</v>
      </c>
      <c r="C619">
        <v>6.923E-2</v>
      </c>
      <c r="D619">
        <v>6.658E-2</v>
      </c>
      <c r="E619">
        <v>6.7129999999999995E-2</v>
      </c>
      <c r="F619">
        <v>58115151.700000003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-0.58490566037736225</v>
      </c>
      <c r="Q619">
        <f t="shared" si="990"/>
        <v>-33991881.183019087</v>
      </c>
      <c r="R619">
        <f t="shared" si="991"/>
        <v>1572590932.3027074</v>
      </c>
      <c r="S619">
        <f t="shared" si="992"/>
        <v>15725.909323027074</v>
      </c>
      <c r="T619">
        <f t="shared" si="993"/>
        <v>15.725909323027073</v>
      </c>
    </row>
    <row r="620" spans="1:20" x14ac:dyDescent="0.25">
      <c r="A620" s="5">
        <v>43973</v>
      </c>
      <c r="B620">
        <v>6.6479999999999997E-2</v>
      </c>
      <c r="C620">
        <v>6.9389999999999993E-2</v>
      </c>
      <c r="D620">
        <v>6.5500000000000003E-2</v>
      </c>
      <c r="E620">
        <v>6.8110000000000004E-2</v>
      </c>
      <c r="F620">
        <v>99520897.5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0.34190231362468249</v>
      </c>
      <c r="Q620">
        <f t="shared" si="990"/>
        <v>34026425.109254882</v>
      </c>
      <c r="R620">
        <f t="shared" si="991"/>
        <v>1606582813.4857266</v>
      </c>
      <c r="S620">
        <f t="shared" si="992"/>
        <v>16065.828134857265</v>
      </c>
      <c r="T620">
        <f t="shared" si="993"/>
        <v>16.065828134857266</v>
      </c>
    </row>
    <row r="621" spans="1:20" x14ac:dyDescent="0.25">
      <c r="A621" s="5">
        <v>43972</v>
      </c>
      <c r="B621">
        <v>7.0949999999999999E-2</v>
      </c>
      <c r="C621">
        <v>7.1800000000000003E-2</v>
      </c>
      <c r="D621">
        <v>6.4149999999999999E-2</v>
      </c>
      <c r="E621">
        <v>6.6439999999999999E-2</v>
      </c>
      <c r="F621">
        <v>150426160.80000001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-0.4013071895424839</v>
      </c>
      <c r="Q621">
        <f t="shared" si="990"/>
        <v>-60367099.824313767</v>
      </c>
      <c r="R621">
        <f t="shared" si="991"/>
        <v>1572556388.3764718</v>
      </c>
      <c r="S621">
        <f t="shared" si="992"/>
        <v>15725.563883764718</v>
      </c>
      <c r="T621">
        <f t="shared" si="993"/>
        <v>15.725563883764718</v>
      </c>
    </row>
    <row r="622" spans="1:20" x14ac:dyDescent="0.25">
      <c r="A622" s="5">
        <v>43971</v>
      </c>
      <c r="B622">
        <v>6.9760000000000003E-2</v>
      </c>
      <c r="C622">
        <v>7.2139999999999996E-2</v>
      </c>
      <c r="D622">
        <v>6.7250000000000004E-2</v>
      </c>
      <c r="E622">
        <v>7.0930000000000007E-2</v>
      </c>
      <c r="F622">
        <v>153374439.40000001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0.50511247443763152</v>
      </c>
      <c r="Q622">
        <f t="shared" si="990"/>
        <v>77471342.600818574</v>
      </c>
      <c r="R622">
        <f t="shared" si="991"/>
        <v>1632923488.2007856</v>
      </c>
      <c r="S622">
        <f t="shared" si="992"/>
        <v>16329.234882007857</v>
      </c>
      <c r="T622">
        <f t="shared" si="993"/>
        <v>16.329234882007857</v>
      </c>
    </row>
    <row r="623" spans="1:20" x14ac:dyDescent="0.25">
      <c r="A623" s="5">
        <v>43970</v>
      </c>
      <c r="B623">
        <v>7.0269999999999999E-2</v>
      </c>
      <c r="C623">
        <v>7.0290000000000005E-2</v>
      </c>
      <c r="D623">
        <v>6.8500000000000005E-2</v>
      </c>
      <c r="E623">
        <v>6.9790000000000005E-2</v>
      </c>
      <c r="F623">
        <v>93320005.900000006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0.44134078212290451</v>
      </c>
      <c r="Q623">
        <f t="shared" si="990"/>
        <v>41185924.391620062</v>
      </c>
      <c r="R623">
        <f t="shared" si="991"/>
        <v>1555452145.599967</v>
      </c>
      <c r="S623">
        <f t="shared" si="992"/>
        <v>15554.521455999669</v>
      </c>
      <c r="T623">
        <f t="shared" si="993"/>
        <v>15.554521455999669</v>
      </c>
    </row>
    <row r="624" spans="1:20" x14ac:dyDescent="0.25">
      <c r="A624" s="5">
        <v>43969</v>
      </c>
      <c r="B624">
        <v>6.8739999999999996E-2</v>
      </c>
      <c r="C624">
        <v>7.1349999999999997E-2</v>
      </c>
      <c r="D624">
        <v>6.8599999999999994E-2</v>
      </c>
      <c r="E624">
        <v>7.0269999999999999E-2</v>
      </c>
      <c r="F624">
        <v>127333963.3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0.21454545454545695</v>
      </c>
      <c r="Q624">
        <f t="shared" si="990"/>
        <v>27318923.035273034</v>
      </c>
      <c r="R624">
        <f t="shared" si="991"/>
        <v>1514266221.2083468</v>
      </c>
      <c r="S624">
        <f t="shared" si="992"/>
        <v>15142.662212083469</v>
      </c>
      <c r="T624">
        <f t="shared" si="993"/>
        <v>15.142662212083469</v>
      </c>
    </row>
    <row r="625" spans="1:20" x14ac:dyDescent="0.25">
      <c r="A625" s="5">
        <v>43968</v>
      </c>
      <c r="B625">
        <v>6.8059999999999996E-2</v>
      </c>
      <c r="C625">
        <v>7.1669999999999998E-2</v>
      </c>
      <c r="D625">
        <v>6.7809999999999995E-2</v>
      </c>
      <c r="E625">
        <v>6.8729999999999999E-2</v>
      </c>
      <c r="F625">
        <v>107788729.40000001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-0.52331606217616389</v>
      </c>
      <c r="Q625">
        <f t="shared" si="990"/>
        <v>-56407573.416580111</v>
      </c>
      <c r="R625">
        <f t="shared" si="991"/>
        <v>1486947298.1730738</v>
      </c>
      <c r="S625">
        <f t="shared" si="992"/>
        <v>14869.472981730738</v>
      </c>
      <c r="T625">
        <f t="shared" si="993"/>
        <v>14.869472981730738</v>
      </c>
    </row>
    <row r="626" spans="1:20" x14ac:dyDescent="0.25">
      <c r="A626" s="5">
        <v>43967</v>
      </c>
      <c r="B626">
        <v>6.7309999999999995E-2</v>
      </c>
      <c r="C626">
        <v>6.8589999999999998E-2</v>
      </c>
      <c r="D626">
        <v>6.6600000000000006E-2</v>
      </c>
      <c r="E626">
        <v>6.8059999999999996E-2</v>
      </c>
      <c r="F626">
        <v>99535688.799999997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0.46733668341708051</v>
      </c>
      <c r="Q626">
        <f t="shared" si="990"/>
        <v>46516678.685426645</v>
      </c>
      <c r="R626">
        <f t="shared" si="991"/>
        <v>1543354871.589654</v>
      </c>
      <c r="S626">
        <f t="shared" si="992"/>
        <v>15433.548715896539</v>
      </c>
      <c r="T626">
        <f t="shared" si="993"/>
        <v>15.433548715896539</v>
      </c>
    </row>
    <row r="627" spans="1:20" x14ac:dyDescent="0.25">
      <c r="A627" s="5">
        <v>43966</v>
      </c>
      <c r="B627">
        <v>6.9260000000000002E-2</v>
      </c>
      <c r="C627">
        <v>6.9889999999999994E-2</v>
      </c>
      <c r="D627">
        <v>6.6780000000000006E-2</v>
      </c>
      <c r="E627">
        <v>6.7280000000000006E-2</v>
      </c>
      <c r="F627">
        <v>118493067.7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-0.67845659163986982</v>
      </c>
      <c r="Q627">
        <f t="shared" si="990"/>
        <v>-80392402.844694346</v>
      </c>
      <c r="R627">
        <f t="shared" si="991"/>
        <v>1496838192.9042273</v>
      </c>
      <c r="S627">
        <f t="shared" si="992"/>
        <v>14968.381929042273</v>
      </c>
      <c r="T627">
        <f t="shared" si="993"/>
        <v>14.968381929042273</v>
      </c>
    </row>
    <row r="628" spans="1:20" x14ac:dyDescent="0.25">
      <c r="A628" s="5">
        <v>43965</v>
      </c>
      <c r="B628">
        <v>6.9779999999999995E-2</v>
      </c>
      <c r="C628">
        <v>7.0730000000000001E-2</v>
      </c>
      <c r="D628">
        <v>6.7949999999999997E-2</v>
      </c>
      <c r="E628">
        <v>6.9260000000000002E-2</v>
      </c>
      <c r="F628">
        <v>139057607.30000001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-5.7553956834529935E-2</v>
      </c>
      <c r="Q628">
        <f t="shared" si="990"/>
        <v>-8003315.5280572157</v>
      </c>
      <c r="R628">
        <f t="shared" si="991"/>
        <v>1577230595.7489216</v>
      </c>
      <c r="S628">
        <f t="shared" si="992"/>
        <v>15772.305957489216</v>
      </c>
      <c r="T628">
        <f t="shared" si="993"/>
        <v>15.772305957489216</v>
      </c>
    </row>
    <row r="629" spans="1:20" x14ac:dyDescent="0.25">
      <c r="A629" s="5">
        <v>43964</v>
      </c>
      <c r="B629">
        <v>7.0129999999999998E-2</v>
      </c>
      <c r="C629">
        <v>7.0900000000000005E-2</v>
      </c>
      <c r="D629">
        <v>6.8010000000000001E-2</v>
      </c>
      <c r="E629">
        <v>6.9769999999999999E-2</v>
      </c>
      <c r="F629">
        <v>140208968.90000001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0.21799307958477193</v>
      </c>
      <c r="Q629">
        <f t="shared" si="990"/>
        <v>30564584.915916514</v>
      </c>
      <c r="R629">
        <f t="shared" si="991"/>
        <v>1585233911.2769787</v>
      </c>
      <c r="S629">
        <f t="shared" si="992"/>
        <v>15852.339112769787</v>
      </c>
      <c r="T629">
        <f t="shared" si="993"/>
        <v>15.852339112769787</v>
      </c>
    </row>
    <row r="630" spans="1:20" x14ac:dyDescent="0.25">
      <c r="A630" s="5">
        <v>43963</v>
      </c>
      <c r="B630">
        <v>6.2390000000000001E-2</v>
      </c>
      <c r="C630">
        <v>7.0459999999999995E-2</v>
      </c>
      <c r="D630">
        <v>6.2080000000000003E-2</v>
      </c>
      <c r="E630">
        <v>7.0169999999999996E-2</v>
      </c>
      <c r="F630">
        <v>212799812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0.93078758949880691</v>
      </c>
      <c r="Q630">
        <f t="shared" si="990"/>
        <v>198071424.05727929</v>
      </c>
      <c r="R630">
        <f t="shared" si="991"/>
        <v>1554669326.3610623</v>
      </c>
      <c r="S630">
        <f t="shared" si="992"/>
        <v>15546.693263610623</v>
      </c>
      <c r="T630">
        <f t="shared" si="993"/>
        <v>15.546693263610623</v>
      </c>
    </row>
    <row r="631" spans="1:20" x14ac:dyDescent="0.25">
      <c r="A631" s="5">
        <v>43962</v>
      </c>
      <c r="B631">
        <v>6.4030000000000004E-2</v>
      </c>
      <c r="C631">
        <v>6.5229999999999996E-2</v>
      </c>
      <c r="D631">
        <v>6.0229999999999999E-2</v>
      </c>
      <c r="E631">
        <v>6.234E-2</v>
      </c>
      <c r="F631">
        <v>175272528.30000001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-0.15599999999999928</v>
      </c>
      <c r="Q631">
        <f t="shared" si="990"/>
        <v>-27342514.414799877</v>
      </c>
      <c r="R631">
        <f t="shared" si="991"/>
        <v>1356597902.3037829</v>
      </c>
      <c r="S631">
        <f t="shared" si="992"/>
        <v>13565.979023037829</v>
      </c>
      <c r="T631">
        <f t="shared" si="993"/>
        <v>13.56597902303783</v>
      </c>
    </row>
    <row r="632" spans="1:20" x14ac:dyDescent="0.25">
      <c r="A632" s="5">
        <v>43961</v>
      </c>
      <c r="B632">
        <v>7.1410000000000001E-2</v>
      </c>
      <c r="C632">
        <v>7.1480000000000002E-2</v>
      </c>
      <c r="D632">
        <v>5.8729999999999997E-2</v>
      </c>
      <c r="E632">
        <v>6.4049999999999996E-2</v>
      </c>
      <c r="F632">
        <v>356967838.60000002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-0.16549019607843191</v>
      </c>
      <c r="Q632">
        <f t="shared" si="990"/>
        <v>-59074677.603608035</v>
      </c>
      <c r="R632">
        <f t="shared" si="991"/>
        <v>1383940416.7185829</v>
      </c>
      <c r="S632">
        <f t="shared" si="992"/>
        <v>13839.404167185829</v>
      </c>
      <c r="T632">
        <f t="shared" si="993"/>
        <v>13.839404167185828</v>
      </c>
    </row>
    <row r="633" spans="1:20" x14ac:dyDescent="0.25">
      <c r="A633" s="5">
        <v>43960</v>
      </c>
      <c r="B633">
        <v>7.2550000000000003E-2</v>
      </c>
      <c r="C633">
        <v>7.3649999999999993E-2</v>
      </c>
      <c r="D633">
        <v>7.1319999999999995E-2</v>
      </c>
      <c r="E633">
        <v>7.1410000000000001E-2</v>
      </c>
      <c r="F633">
        <v>94171007.099999994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-0.92274678111587405</v>
      </c>
      <c r="Q633">
        <f t="shared" si="990"/>
        <v>-86895993.675965115</v>
      </c>
      <c r="R633">
        <f t="shared" si="991"/>
        <v>1443015094.322191</v>
      </c>
      <c r="S633">
        <f t="shared" si="992"/>
        <v>14430.15094322191</v>
      </c>
      <c r="T633">
        <f t="shared" si="993"/>
        <v>14.430150943221911</v>
      </c>
    </row>
    <row r="634" spans="1:20" x14ac:dyDescent="0.25">
      <c r="A634" s="5">
        <v>43959</v>
      </c>
      <c r="B634">
        <v>7.2069999999999995E-2</v>
      </c>
      <c r="C634">
        <v>7.4499999999999997E-2</v>
      </c>
      <c r="D634">
        <v>7.0360000000000006E-2</v>
      </c>
      <c r="E634">
        <v>7.2520000000000001E-2</v>
      </c>
      <c r="F634">
        <v>136690460.69999999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4.3478260869565216E-2</v>
      </c>
      <c r="Q634">
        <f t="shared" si="990"/>
        <v>5943063.5086956518</v>
      </c>
      <c r="R634">
        <f t="shared" si="991"/>
        <v>1529911087.9981561</v>
      </c>
      <c r="S634">
        <f t="shared" si="992"/>
        <v>15299.110879981561</v>
      </c>
      <c r="T634">
        <f t="shared" si="993"/>
        <v>15.29911087998156</v>
      </c>
    </row>
    <row r="635" spans="1:20" x14ac:dyDescent="0.25">
      <c r="A635" s="5">
        <v>43958</v>
      </c>
      <c r="B635">
        <v>6.9620000000000001E-2</v>
      </c>
      <c r="C635">
        <v>7.3580000000000007E-2</v>
      </c>
      <c r="D635">
        <v>6.8570000000000006E-2</v>
      </c>
      <c r="E635">
        <v>7.2069999999999995E-2</v>
      </c>
      <c r="F635">
        <v>161343123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0.39720558882235085</v>
      </c>
      <c r="Q635">
        <f t="shared" si="990"/>
        <v>64086390.173651978</v>
      </c>
      <c r="R635">
        <f t="shared" si="991"/>
        <v>1523968024.4894605</v>
      </c>
      <c r="S635">
        <f t="shared" si="992"/>
        <v>15239.680244894605</v>
      </c>
      <c r="T635">
        <f t="shared" si="993"/>
        <v>15.239680244894606</v>
      </c>
    </row>
    <row r="636" spans="1:20" x14ac:dyDescent="0.25">
      <c r="A636" s="5">
        <v>43957</v>
      </c>
      <c r="B636">
        <v>7.2080000000000005E-2</v>
      </c>
      <c r="C636">
        <v>7.3200000000000001E-2</v>
      </c>
      <c r="D636">
        <v>6.9430000000000006E-2</v>
      </c>
      <c r="E636">
        <v>6.9620000000000001E-2</v>
      </c>
      <c r="F636">
        <v>143758055.90000001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-0.89920424403183241</v>
      </c>
      <c r="Q636">
        <f t="shared" si="990"/>
        <v>-129267853.97904541</v>
      </c>
      <c r="R636">
        <f t="shared" si="991"/>
        <v>1459881634.3158085</v>
      </c>
      <c r="S636">
        <f t="shared" si="992"/>
        <v>14598.816343158085</v>
      </c>
      <c r="T636">
        <f t="shared" si="993"/>
        <v>14.598816343158084</v>
      </c>
    </row>
    <row r="637" spans="1:20" x14ac:dyDescent="0.25">
      <c r="A637" s="5">
        <v>43956</v>
      </c>
      <c r="B637">
        <v>7.3370000000000005E-2</v>
      </c>
      <c r="C637">
        <v>7.4429999999999996E-2</v>
      </c>
      <c r="D637">
        <v>7.0220000000000005E-2</v>
      </c>
      <c r="E637">
        <v>7.2080000000000005E-2</v>
      </c>
      <c r="F637">
        <v>119135115.2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-0.11638954869358466</v>
      </c>
      <c r="Q637">
        <f t="shared" si="990"/>
        <v>-13866082.291686218</v>
      </c>
      <c r="R637">
        <f t="shared" si="991"/>
        <v>1589149488.2948539</v>
      </c>
      <c r="S637">
        <f t="shared" si="992"/>
        <v>15891.494882948538</v>
      </c>
      <c r="T637">
        <f t="shared" si="993"/>
        <v>15.891494882948539</v>
      </c>
    </row>
    <row r="638" spans="1:20" x14ac:dyDescent="0.25">
      <c r="A638" s="5">
        <v>43955</v>
      </c>
      <c r="B638">
        <v>7.2940000000000005E-2</v>
      </c>
      <c r="C638">
        <v>7.4380000000000002E-2</v>
      </c>
      <c r="D638">
        <v>6.7229999999999998E-2</v>
      </c>
      <c r="E638">
        <v>7.3319999999999996E-2</v>
      </c>
      <c r="F638">
        <v>196292692.5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0.70349650349650217</v>
      </c>
      <c r="Q638">
        <f t="shared" si="990"/>
        <v>138091222.83566406</v>
      </c>
      <c r="R638">
        <f t="shared" si="991"/>
        <v>1603015570.5865402</v>
      </c>
      <c r="S638">
        <f t="shared" si="992"/>
        <v>16030.155705865402</v>
      </c>
      <c r="T638">
        <f t="shared" si="993"/>
        <v>16.030155705865401</v>
      </c>
    </row>
    <row r="639" spans="1:20" x14ac:dyDescent="0.25">
      <c r="A639" s="5">
        <v>43954</v>
      </c>
      <c r="B639">
        <v>7.5490000000000002E-2</v>
      </c>
      <c r="C639">
        <v>7.7130000000000004E-2</v>
      </c>
      <c r="D639">
        <v>7.1480000000000002E-2</v>
      </c>
      <c r="E639">
        <v>7.2999999999999995E-2</v>
      </c>
      <c r="F639">
        <v>177722234.59999999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-0.46194690265486976</v>
      </c>
      <c r="Q639">
        <f t="shared" si="990"/>
        <v>-82098235.806372121</v>
      </c>
      <c r="R639">
        <f t="shared" si="991"/>
        <v>1464924347.7508762</v>
      </c>
      <c r="S639">
        <f t="shared" si="992"/>
        <v>14649.243477508762</v>
      </c>
      <c r="T639">
        <f t="shared" si="993"/>
        <v>14.649243477508762</v>
      </c>
    </row>
    <row r="640" spans="1:20" x14ac:dyDescent="0.25">
      <c r="A640" s="5">
        <v>43953</v>
      </c>
      <c r="B640">
        <v>7.288E-2</v>
      </c>
      <c r="C640">
        <v>7.6340000000000005E-2</v>
      </c>
      <c r="D640">
        <v>7.1429999999999993E-2</v>
      </c>
      <c r="E640">
        <v>7.5520000000000004E-2</v>
      </c>
      <c r="F640">
        <v>177129118.69999999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0.66598778004073345</v>
      </c>
      <c r="Q640">
        <f t="shared" si="990"/>
        <v>117965828.54358456</v>
      </c>
      <c r="R640">
        <f t="shared" si="991"/>
        <v>1547022583.5572484</v>
      </c>
      <c r="S640">
        <f t="shared" si="992"/>
        <v>15470.225835572484</v>
      </c>
      <c r="T640">
        <f t="shared" si="993"/>
        <v>15.470225835572485</v>
      </c>
    </row>
    <row r="641" spans="1:20" x14ac:dyDescent="0.25">
      <c r="A641" s="5">
        <v>43952</v>
      </c>
      <c r="B641">
        <v>6.7489999999999994E-2</v>
      </c>
      <c r="C641">
        <v>7.3649999999999993E-2</v>
      </c>
      <c r="D641">
        <v>6.7449999999999996E-2</v>
      </c>
      <c r="E641">
        <v>7.2900000000000006E-2</v>
      </c>
      <c r="F641">
        <v>180074362.40000001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0.75806451612903636</v>
      </c>
      <c r="Q641">
        <f t="shared" si="990"/>
        <v>136507984.40000075</v>
      </c>
      <c r="R641">
        <f t="shared" si="991"/>
        <v>1429056755.0136638</v>
      </c>
      <c r="S641">
        <f t="shared" si="992"/>
        <v>14290.567550136637</v>
      </c>
      <c r="T641">
        <f t="shared" si="993"/>
        <v>14.290567550136636</v>
      </c>
    </row>
    <row r="642" spans="1:20" x14ac:dyDescent="0.25">
      <c r="A642" s="5">
        <v>43951</v>
      </c>
      <c r="B642">
        <v>7.2179999999999994E-2</v>
      </c>
      <c r="C642">
        <v>7.4499999999999997E-2</v>
      </c>
      <c r="D642">
        <v>6.5460000000000004E-2</v>
      </c>
      <c r="E642">
        <v>6.7559999999999995E-2</v>
      </c>
      <c r="F642">
        <v>345549033.69999999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-0.53539823008849718</v>
      </c>
      <c r="Q642">
        <f t="shared" si="990"/>
        <v>-185006341.05177045</v>
      </c>
      <c r="R642">
        <f t="shared" si="991"/>
        <v>1292548770.613663</v>
      </c>
      <c r="S642">
        <f t="shared" si="992"/>
        <v>12925.48770613663</v>
      </c>
      <c r="T642">
        <f t="shared" si="993"/>
        <v>12.92548770613663</v>
      </c>
    </row>
    <row r="643" spans="1:20" x14ac:dyDescent="0.25">
      <c r="A643" s="5">
        <v>43950</v>
      </c>
      <c r="B643">
        <v>6.8529999999999994E-2</v>
      </c>
      <c r="C643">
        <v>7.2950000000000001E-2</v>
      </c>
      <c r="D643">
        <v>6.8059999999999996E-2</v>
      </c>
      <c r="E643">
        <v>7.2160000000000002E-2</v>
      </c>
      <c r="F643">
        <v>359436702.10000002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0.67689161554192301</v>
      </c>
      <c r="Q643">
        <f t="shared" si="990"/>
        <v>243299689.96952993</v>
      </c>
      <c r="R643">
        <f t="shared" si="991"/>
        <v>1477555111.6654334</v>
      </c>
      <c r="S643">
        <f t="shared" si="992"/>
        <v>14775.551116654335</v>
      </c>
      <c r="T643">
        <f t="shared" si="993"/>
        <v>14.775551116654334</v>
      </c>
    </row>
    <row r="644" spans="1:20" x14ac:dyDescent="0.25">
      <c r="A644" s="5">
        <v>43949</v>
      </c>
      <c r="B644">
        <v>6.7180000000000004E-2</v>
      </c>
      <c r="C644">
        <v>7.1480000000000002E-2</v>
      </c>
      <c r="D644">
        <v>6.6360000000000002E-2</v>
      </c>
      <c r="E644">
        <v>6.855E-2</v>
      </c>
      <c r="F644">
        <v>316634590.69999999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-0.14453125000000089</v>
      </c>
      <c r="Q644">
        <f t="shared" si="990"/>
        <v>-45763593.187109657</v>
      </c>
      <c r="R644">
        <f t="shared" si="991"/>
        <v>1234255421.6959035</v>
      </c>
      <c r="S644">
        <f t="shared" si="992"/>
        <v>12342.554216959035</v>
      </c>
      <c r="T644">
        <f t="shared" si="993"/>
        <v>12.342554216959035</v>
      </c>
    </row>
    <row r="645" spans="1:20" x14ac:dyDescent="0.25">
      <c r="A645" s="5">
        <v>43948</v>
      </c>
      <c r="B645">
        <v>6.1940000000000002E-2</v>
      </c>
      <c r="C645">
        <v>6.8739999999999996E-2</v>
      </c>
      <c r="D645">
        <v>6.123E-2</v>
      </c>
      <c r="E645">
        <v>6.719E-2</v>
      </c>
      <c r="F645">
        <v>178927775.19999999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0.58721704394141239</v>
      </c>
      <c r="Q645">
        <f t="shared" si="990"/>
        <v>105069439.23195755</v>
      </c>
      <c r="R645">
        <f t="shared" si="991"/>
        <v>1280019014.8830132</v>
      </c>
      <c r="S645">
        <f t="shared" si="992"/>
        <v>12800.190148830132</v>
      </c>
      <c r="T645">
        <f t="shared" si="993"/>
        <v>12.800190148830131</v>
      </c>
    </row>
    <row r="646" spans="1:20" x14ac:dyDescent="0.25">
      <c r="A646" s="5">
        <v>43947</v>
      </c>
      <c r="B646">
        <v>6.1780000000000002E-2</v>
      </c>
      <c r="C646">
        <v>6.2950000000000006E-2</v>
      </c>
      <c r="D646">
        <v>6.0760000000000002E-2</v>
      </c>
      <c r="E646">
        <v>6.1879999999999998E-2</v>
      </c>
      <c r="F646">
        <v>88180834.200000003</v>
      </c>
      <c r="G646">
        <v>0</v>
      </c>
      <c r="L646" t="s">
        <v>7</v>
      </c>
      <c r="M646" t="s">
        <v>8</v>
      </c>
      <c r="N646" t="s">
        <v>8</v>
      </c>
      <c r="P646">
        <f t="shared" ref="P646:P709" si="994">IF(C646=D646,0,((E646-D646)-(C646-E646))/(C646-D646))</f>
        <v>2.2831050228304773E-2</v>
      </c>
      <c r="Q646">
        <f t="shared" ref="Q646:Q709" si="995">F646*P646</f>
        <v>2013261.0547940154</v>
      </c>
      <c r="R646">
        <f t="shared" ref="R646:R709" si="996">R647+Q646</f>
        <v>1174949575.6510558</v>
      </c>
      <c r="S646">
        <f t="shared" ref="S646:S709" si="997">R646/100000</f>
        <v>11749.495756510558</v>
      </c>
      <c r="T646">
        <f t="shared" ref="T646:T709" si="998">S646/1000</f>
        <v>11.749495756510559</v>
      </c>
    </row>
    <row r="647" spans="1:20" x14ac:dyDescent="0.25">
      <c r="A647" s="5">
        <v>43946</v>
      </c>
      <c r="B647">
        <v>6.1199999999999997E-2</v>
      </c>
      <c r="C647">
        <v>6.3350000000000004E-2</v>
      </c>
      <c r="D647">
        <v>6.0659999999999999E-2</v>
      </c>
      <c r="E647">
        <v>6.1769999999999999E-2</v>
      </c>
      <c r="F647">
        <v>84813313.799999997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-0.17472118959107966</v>
      </c>
      <c r="Q647">
        <f t="shared" si="995"/>
        <v>-14818683.080297532</v>
      </c>
      <c r="R647">
        <f t="shared" si="996"/>
        <v>1172936314.5962617</v>
      </c>
      <c r="S647">
        <f t="shared" si="997"/>
        <v>11729.363145962618</v>
      </c>
      <c r="T647">
        <f t="shared" si="998"/>
        <v>11.729363145962617</v>
      </c>
    </row>
    <row r="648" spans="1:20" x14ac:dyDescent="0.25">
      <c r="A648" s="5">
        <v>43945</v>
      </c>
      <c r="B648">
        <v>6.2080000000000003E-2</v>
      </c>
      <c r="C648">
        <v>6.6199999999999995E-2</v>
      </c>
      <c r="D648">
        <v>6.0060000000000002E-2</v>
      </c>
      <c r="E648">
        <v>6.1159999999999999E-2</v>
      </c>
      <c r="F648">
        <v>197325670.90000001</v>
      </c>
      <c r="G648">
        <v>0</v>
      </c>
      <c r="L648" t="s">
        <v>7</v>
      </c>
      <c r="M648" t="s">
        <v>8</v>
      </c>
      <c r="N648" t="s">
        <v>8</v>
      </c>
      <c r="P648">
        <f t="shared" si="994"/>
        <v>-0.64169381107491918</v>
      </c>
      <c r="Q648">
        <f t="shared" si="995"/>
        <v>-126622661.78273629</v>
      </c>
      <c r="R648">
        <f t="shared" si="996"/>
        <v>1187754997.6765592</v>
      </c>
      <c r="S648">
        <f t="shared" si="997"/>
        <v>11877.549976765593</v>
      </c>
      <c r="T648">
        <f t="shared" si="998"/>
        <v>11.877549976765593</v>
      </c>
    </row>
    <row r="649" spans="1:20" x14ac:dyDescent="0.25">
      <c r="A649" s="5">
        <v>43944</v>
      </c>
      <c r="B649">
        <v>5.4960000000000002E-2</v>
      </c>
      <c r="C649">
        <v>6.6290000000000002E-2</v>
      </c>
      <c r="D649">
        <v>5.4960000000000002E-2</v>
      </c>
      <c r="E649">
        <v>6.2080000000000003E-2</v>
      </c>
      <c r="F649">
        <v>411260032.80000001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0.25684024713150955</v>
      </c>
      <c r="Q649">
        <f t="shared" si="995"/>
        <v>105628128.45966473</v>
      </c>
      <c r="R649">
        <f t="shared" si="996"/>
        <v>1314377659.4592955</v>
      </c>
      <c r="S649">
        <f t="shared" si="997"/>
        <v>13143.776594592955</v>
      </c>
      <c r="T649">
        <f t="shared" si="998"/>
        <v>13.143776594592955</v>
      </c>
    </row>
    <row r="650" spans="1:20" x14ac:dyDescent="0.25">
      <c r="A650" s="5">
        <v>43943</v>
      </c>
      <c r="B650">
        <v>5.0849999999999999E-2</v>
      </c>
      <c r="C650">
        <v>5.4989999999999997E-2</v>
      </c>
      <c r="D650">
        <v>5.0680000000000003E-2</v>
      </c>
      <c r="E650">
        <v>5.4980000000000001E-2</v>
      </c>
      <c r="F650">
        <v>124980977.40000001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0.99535962877030337</v>
      </c>
      <c r="Q650">
        <f t="shared" si="995"/>
        <v>124401019.26821367</v>
      </c>
      <c r="R650">
        <f t="shared" si="996"/>
        <v>1208749530.9996307</v>
      </c>
      <c r="S650">
        <f t="shared" si="997"/>
        <v>12087.495309996308</v>
      </c>
      <c r="T650">
        <f t="shared" si="998"/>
        <v>12.087495309996308</v>
      </c>
    </row>
    <row r="651" spans="1:20" x14ac:dyDescent="0.25">
      <c r="A651" s="5">
        <v>43942</v>
      </c>
      <c r="B651">
        <v>4.9439999999999998E-2</v>
      </c>
      <c r="C651">
        <v>5.1810000000000002E-2</v>
      </c>
      <c r="D651">
        <v>4.9200000000000001E-2</v>
      </c>
      <c r="E651">
        <v>5.0849999999999999E-2</v>
      </c>
      <c r="F651">
        <v>94460972.900000006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0.26436781609195242</v>
      </c>
      <c r="Q651">
        <f t="shared" si="995"/>
        <v>24972441.111494102</v>
      </c>
      <c r="R651">
        <f t="shared" si="996"/>
        <v>1084348511.7314169</v>
      </c>
      <c r="S651">
        <f t="shared" si="997"/>
        <v>10843.485117314169</v>
      </c>
      <c r="T651">
        <f t="shared" si="998"/>
        <v>10.843485117314168</v>
      </c>
    </row>
    <row r="652" spans="1:20" x14ac:dyDescent="0.25">
      <c r="A652" s="5">
        <v>43941</v>
      </c>
      <c r="B652">
        <v>4.8809999999999999E-2</v>
      </c>
      <c r="C652">
        <v>5.3370000000000001E-2</v>
      </c>
      <c r="D652">
        <v>4.854E-2</v>
      </c>
      <c r="E652">
        <v>4.947E-2</v>
      </c>
      <c r="F652">
        <v>277637096.89999998</v>
      </c>
      <c r="G652">
        <v>0</v>
      </c>
      <c r="L652" t="s">
        <v>8</v>
      </c>
      <c r="M652" t="s">
        <v>8</v>
      </c>
      <c r="N652" t="s">
        <v>8</v>
      </c>
      <c r="P652">
        <f t="shared" si="994"/>
        <v>-0.61490683229813659</v>
      </c>
      <c r="Q652">
        <f t="shared" si="995"/>
        <v>-170720947.78322977</v>
      </c>
      <c r="R652">
        <f t="shared" si="996"/>
        <v>1059376070.6199229</v>
      </c>
      <c r="S652">
        <f t="shared" si="997"/>
        <v>10593.760706199229</v>
      </c>
      <c r="T652">
        <f t="shared" si="998"/>
        <v>10.59376070619923</v>
      </c>
    </row>
    <row r="653" spans="1:20" x14ac:dyDescent="0.25">
      <c r="A653" s="5">
        <v>43940</v>
      </c>
      <c r="B653">
        <v>5.058E-2</v>
      </c>
      <c r="C653">
        <v>5.0689999999999999E-2</v>
      </c>
      <c r="D653">
        <v>4.8230000000000002E-2</v>
      </c>
      <c r="E653">
        <v>4.8800000000000003E-2</v>
      </c>
      <c r="F653">
        <v>65142172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-0.53658536585365713</v>
      </c>
      <c r="Q653">
        <f t="shared" si="995"/>
        <v>-34954336.195121862</v>
      </c>
      <c r="R653">
        <f t="shared" si="996"/>
        <v>1230097018.4031527</v>
      </c>
      <c r="S653">
        <f t="shared" si="997"/>
        <v>12300.970184031527</v>
      </c>
      <c r="T653">
        <f t="shared" si="998"/>
        <v>12.300970184031527</v>
      </c>
    </row>
    <row r="654" spans="1:20" x14ac:dyDescent="0.25">
      <c r="A654" s="5">
        <v>43939</v>
      </c>
      <c r="B654">
        <v>4.8559999999999999E-2</v>
      </c>
      <c r="C654">
        <v>5.1040000000000002E-2</v>
      </c>
      <c r="D654">
        <v>4.8509999999999998E-2</v>
      </c>
      <c r="E654">
        <v>5.0560000000000001E-2</v>
      </c>
      <c r="F654">
        <v>84350024.400000006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0.6205533596837941</v>
      </c>
      <c r="Q654">
        <f t="shared" si="995"/>
        <v>52343691.030830011</v>
      </c>
      <c r="R654">
        <f t="shared" si="996"/>
        <v>1265051354.5982745</v>
      </c>
      <c r="S654">
        <f t="shared" si="997"/>
        <v>12650.513545982745</v>
      </c>
      <c r="T654">
        <f t="shared" si="998"/>
        <v>12.650513545982745</v>
      </c>
    </row>
    <row r="655" spans="1:20" x14ac:dyDescent="0.25">
      <c r="A655" s="5">
        <v>43938</v>
      </c>
      <c r="B655">
        <v>4.9169999999999998E-2</v>
      </c>
      <c r="C655">
        <v>4.9540000000000001E-2</v>
      </c>
      <c r="D655">
        <v>4.8180000000000001E-2</v>
      </c>
      <c r="E655">
        <v>4.8559999999999999E-2</v>
      </c>
      <c r="F655">
        <v>70356857.599999994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-0.44117647058823767</v>
      </c>
      <c r="Q655">
        <f t="shared" si="995"/>
        <v>-31039790.117647223</v>
      </c>
      <c r="R655">
        <f t="shared" si="996"/>
        <v>1212707663.5674446</v>
      </c>
      <c r="S655">
        <f t="shared" si="997"/>
        <v>12127.076635674446</v>
      </c>
      <c r="T655">
        <f t="shared" si="998"/>
        <v>12.127076635674445</v>
      </c>
    </row>
    <row r="656" spans="1:20" x14ac:dyDescent="0.25">
      <c r="A656" s="5">
        <v>43937</v>
      </c>
      <c r="B656">
        <v>4.6050000000000001E-2</v>
      </c>
      <c r="C656">
        <v>4.9849999999999998E-2</v>
      </c>
      <c r="D656">
        <v>4.4690000000000001E-2</v>
      </c>
      <c r="E656">
        <v>4.913E-2</v>
      </c>
      <c r="F656">
        <v>219917752.90000001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0.72093023255814004</v>
      </c>
      <c r="Q656">
        <f t="shared" si="995"/>
        <v>158545356.74186057</v>
      </c>
      <c r="R656">
        <f t="shared" si="996"/>
        <v>1243747453.6850917</v>
      </c>
      <c r="S656">
        <f t="shared" si="997"/>
        <v>12437.474536850918</v>
      </c>
      <c r="T656">
        <f t="shared" si="998"/>
        <v>12.437474536850917</v>
      </c>
    </row>
    <row r="657" spans="1:20" x14ac:dyDescent="0.25">
      <c r="A657" s="5">
        <v>43936</v>
      </c>
      <c r="B657">
        <v>4.8050000000000002E-2</v>
      </c>
      <c r="C657">
        <v>4.8689999999999997E-2</v>
      </c>
      <c r="D657">
        <v>4.5969999999999997E-2</v>
      </c>
      <c r="E657">
        <v>4.607E-2</v>
      </c>
      <c r="F657">
        <v>70110445.299999997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-0.92647058823529205</v>
      </c>
      <c r="Q657">
        <f t="shared" si="995"/>
        <v>-64955265.498529263</v>
      </c>
      <c r="R657">
        <f t="shared" si="996"/>
        <v>1085202096.9432311</v>
      </c>
      <c r="S657">
        <f t="shared" si="997"/>
        <v>10852.020969432311</v>
      </c>
      <c r="T657">
        <f t="shared" si="998"/>
        <v>10.852020969432312</v>
      </c>
    </row>
    <row r="658" spans="1:20" x14ac:dyDescent="0.25">
      <c r="A658" s="5">
        <v>43935</v>
      </c>
      <c r="B658">
        <v>4.8160000000000001E-2</v>
      </c>
      <c r="C658">
        <v>4.9000000000000002E-2</v>
      </c>
      <c r="D658">
        <v>4.7480000000000001E-2</v>
      </c>
      <c r="E658">
        <v>4.8050000000000002E-2</v>
      </c>
      <c r="F658">
        <v>87932645.299999997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-0.24999999999999886</v>
      </c>
      <c r="Q658">
        <f t="shared" si="995"/>
        <v>-21983161.324999899</v>
      </c>
      <c r="R658">
        <f t="shared" si="996"/>
        <v>1150157362.4417603</v>
      </c>
      <c r="S658">
        <f t="shared" si="997"/>
        <v>11501.573624417602</v>
      </c>
      <c r="T658">
        <f t="shared" si="998"/>
        <v>11.501573624417603</v>
      </c>
    </row>
    <row r="659" spans="1:20" x14ac:dyDescent="0.25">
      <c r="A659" s="5">
        <v>43934</v>
      </c>
      <c r="B659">
        <v>4.8919999999999998E-2</v>
      </c>
      <c r="C659">
        <v>4.8939999999999997E-2</v>
      </c>
      <c r="D659">
        <v>4.5920000000000002E-2</v>
      </c>
      <c r="E659">
        <v>4.8160000000000001E-2</v>
      </c>
      <c r="F659">
        <v>152600840.59999999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0.48344370860927333</v>
      </c>
      <c r="Q659">
        <f t="shared" si="995"/>
        <v>73773916.316556558</v>
      </c>
      <c r="R659">
        <f t="shared" si="996"/>
        <v>1172140523.7667601</v>
      </c>
      <c r="S659">
        <f t="shared" si="997"/>
        <v>11721.405237667601</v>
      </c>
      <c r="T659">
        <f t="shared" si="998"/>
        <v>11.7214052376676</v>
      </c>
    </row>
    <row r="660" spans="1:20" x14ac:dyDescent="0.25">
      <c r="A660" s="5">
        <v>43933</v>
      </c>
      <c r="B660">
        <v>4.972E-2</v>
      </c>
      <c r="C660">
        <v>5.1409999999999997E-2</v>
      </c>
      <c r="D660">
        <v>4.836E-2</v>
      </c>
      <c r="E660">
        <v>4.895E-2</v>
      </c>
      <c r="F660">
        <v>140484076.09999999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-0.61311475409836014</v>
      </c>
      <c r="Q660">
        <f t="shared" si="995"/>
        <v>-86132859.772786811</v>
      </c>
      <c r="R660">
        <f t="shared" si="996"/>
        <v>1098366607.4502037</v>
      </c>
      <c r="S660">
        <f t="shared" si="997"/>
        <v>10983.666074502036</v>
      </c>
      <c r="T660">
        <f t="shared" si="998"/>
        <v>10.983666074502036</v>
      </c>
    </row>
    <row r="661" spans="1:20" x14ac:dyDescent="0.25">
      <c r="A661" s="5">
        <v>43932</v>
      </c>
      <c r="B661">
        <v>4.7699999999999999E-2</v>
      </c>
      <c r="C661">
        <v>0.05</v>
      </c>
      <c r="D661">
        <v>4.7320000000000001E-2</v>
      </c>
      <c r="E661">
        <v>4.9750000000000003E-2</v>
      </c>
      <c r="F661">
        <v>136020702.69999999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0.81343283582089554</v>
      </c>
      <c r="Q661">
        <f t="shared" si="995"/>
        <v>110643705.92761193</v>
      </c>
      <c r="R661">
        <f t="shared" si="996"/>
        <v>1184499467.2229905</v>
      </c>
      <c r="S661">
        <f t="shared" si="997"/>
        <v>11844.994672229905</v>
      </c>
      <c r="T661">
        <f t="shared" si="998"/>
        <v>11.844994672229905</v>
      </c>
    </row>
    <row r="662" spans="1:20" x14ac:dyDescent="0.25">
      <c r="A662" s="5">
        <v>43931</v>
      </c>
      <c r="B662">
        <v>5.1979999999999998E-2</v>
      </c>
      <c r="C662">
        <v>5.2290000000000003E-2</v>
      </c>
      <c r="D662">
        <v>4.5400000000000003E-2</v>
      </c>
      <c r="E662">
        <v>4.7699999999999999E-2</v>
      </c>
      <c r="F662">
        <v>185411073.09999999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-0.33236574746008812</v>
      </c>
      <c r="Q662">
        <f t="shared" si="995"/>
        <v>-61624289.898258537</v>
      </c>
      <c r="R662">
        <f t="shared" si="996"/>
        <v>1073855761.2953787</v>
      </c>
      <c r="S662">
        <f t="shared" si="997"/>
        <v>10738.557612953788</v>
      </c>
      <c r="T662">
        <f t="shared" si="998"/>
        <v>10.738557612953787</v>
      </c>
    </row>
    <row r="663" spans="1:20" x14ac:dyDescent="0.25">
      <c r="A663" s="5">
        <v>43930</v>
      </c>
      <c r="B663">
        <v>5.1290000000000002E-2</v>
      </c>
      <c r="C663">
        <v>5.2519999999999997E-2</v>
      </c>
      <c r="D663">
        <v>4.8559999999999999E-2</v>
      </c>
      <c r="E663">
        <v>5.1979999999999998E-2</v>
      </c>
      <c r="F663">
        <v>136020371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0.72727272727272774</v>
      </c>
      <c r="Q663">
        <f t="shared" si="995"/>
        <v>98923906.181818247</v>
      </c>
      <c r="R663">
        <f t="shared" si="996"/>
        <v>1135480051.1936371</v>
      </c>
      <c r="S663">
        <f t="shared" si="997"/>
        <v>11354.800511936372</v>
      </c>
      <c r="T663">
        <f t="shared" si="998"/>
        <v>11.354800511936372</v>
      </c>
    </row>
    <row r="664" spans="1:20" x14ac:dyDescent="0.25">
      <c r="A664" s="5">
        <v>43929</v>
      </c>
      <c r="B664">
        <v>4.8430000000000001E-2</v>
      </c>
      <c r="C664">
        <v>5.142E-2</v>
      </c>
      <c r="D664">
        <v>4.8120000000000003E-2</v>
      </c>
      <c r="E664">
        <v>5.1249999999999997E-2</v>
      </c>
      <c r="F664">
        <v>100400458.7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0.89696969696969475</v>
      </c>
      <c r="Q664">
        <f t="shared" si="995"/>
        <v>90056169.015757352</v>
      </c>
      <c r="R664">
        <f t="shared" si="996"/>
        <v>1036556145.0118189</v>
      </c>
      <c r="S664">
        <f t="shared" si="997"/>
        <v>10365.561450118188</v>
      </c>
      <c r="T664">
        <f t="shared" si="998"/>
        <v>10.365561450118188</v>
      </c>
    </row>
    <row r="665" spans="1:20" x14ac:dyDescent="0.25">
      <c r="A665" s="5">
        <v>43928</v>
      </c>
      <c r="B665">
        <v>4.9860000000000002E-2</v>
      </c>
      <c r="C665">
        <v>5.1720000000000002E-2</v>
      </c>
      <c r="D665">
        <v>4.7370000000000002E-2</v>
      </c>
      <c r="E665">
        <v>4.845E-2</v>
      </c>
      <c r="F665">
        <v>171256162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-0.50344827586206997</v>
      </c>
      <c r="Q665">
        <f t="shared" si="995"/>
        <v>-86218619.489655346</v>
      </c>
      <c r="R665">
        <f t="shared" si="996"/>
        <v>946499975.99606156</v>
      </c>
      <c r="S665">
        <f t="shared" si="997"/>
        <v>9464.9997599606158</v>
      </c>
      <c r="T665">
        <f t="shared" si="998"/>
        <v>9.4649997599606159</v>
      </c>
    </row>
    <row r="666" spans="1:20" x14ac:dyDescent="0.25">
      <c r="A666" s="5">
        <v>43927</v>
      </c>
      <c r="B666">
        <v>4.3529999999999999E-2</v>
      </c>
      <c r="C666">
        <v>5.0049999999999997E-2</v>
      </c>
      <c r="D666">
        <v>4.3470000000000002E-2</v>
      </c>
      <c r="E666">
        <v>4.9849999999999998E-2</v>
      </c>
      <c r="F666">
        <v>250602126.30000001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0.93920972644376932</v>
      </c>
      <c r="Q666">
        <f t="shared" si="995"/>
        <v>235367954.48844993</v>
      </c>
      <c r="R666">
        <f t="shared" si="996"/>
        <v>1032718595.4857169</v>
      </c>
      <c r="S666">
        <f t="shared" si="997"/>
        <v>10327.18595485717</v>
      </c>
      <c r="T666">
        <f t="shared" si="998"/>
        <v>10.327185954857169</v>
      </c>
    </row>
    <row r="667" spans="1:20" x14ac:dyDescent="0.25">
      <c r="A667" s="5">
        <v>43926</v>
      </c>
      <c r="B667">
        <v>4.1820000000000003E-2</v>
      </c>
      <c r="C667">
        <v>4.3549999999999998E-2</v>
      </c>
      <c r="D667">
        <v>4.1430000000000002E-2</v>
      </c>
      <c r="E667">
        <v>4.3499999999999997E-2</v>
      </c>
      <c r="F667">
        <v>68533462.900000006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0.95283018867924385</v>
      </c>
      <c r="Q667">
        <f t="shared" si="995"/>
        <v>65300752.385848962</v>
      </c>
      <c r="R667">
        <f t="shared" si="996"/>
        <v>797350640.99726701</v>
      </c>
      <c r="S667">
        <f t="shared" si="997"/>
        <v>7973.5064099726696</v>
      </c>
      <c r="T667">
        <f t="shared" si="998"/>
        <v>7.9735064099726696</v>
      </c>
    </row>
    <row r="668" spans="1:20" x14ac:dyDescent="0.25">
      <c r="A668" s="5">
        <v>43925</v>
      </c>
      <c r="B668">
        <v>4.138E-2</v>
      </c>
      <c r="C668">
        <v>4.2450000000000002E-2</v>
      </c>
      <c r="D668">
        <v>4.0840000000000001E-2</v>
      </c>
      <c r="E668">
        <v>4.1840000000000002E-2</v>
      </c>
      <c r="F668">
        <v>69804057.700000003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0.24223602484472134</v>
      </c>
      <c r="Q668">
        <f t="shared" si="995"/>
        <v>16909057.455279563</v>
      </c>
      <c r="R668">
        <f t="shared" si="996"/>
        <v>732049888.61141801</v>
      </c>
      <c r="S668">
        <f t="shared" si="997"/>
        <v>7320.4988861141801</v>
      </c>
      <c r="T668">
        <f t="shared" si="998"/>
        <v>7.32049888611418</v>
      </c>
    </row>
    <row r="669" spans="1:20" x14ac:dyDescent="0.25">
      <c r="A669" s="5">
        <v>43924</v>
      </c>
      <c r="B669">
        <v>4.1230000000000003E-2</v>
      </c>
      <c r="C669">
        <v>4.2169999999999999E-2</v>
      </c>
      <c r="D669">
        <v>4.054E-2</v>
      </c>
      <c r="E669">
        <v>4.1399999999999999E-2</v>
      </c>
      <c r="F669">
        <v>84310971.599999994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5.5214723926380264E-2</v>
      </c>
      <c r="Q669">
        <f t="shared" si="995"/>
        <v>4655207.0208588867</v>
      </c>
      <c r="R669">
        <f t="shared" si="996"/>
        <v>715140831.15613842</v>
      </c>
      <c r="S669">
        <f t="shared" si="997"/>
        <v>7151.4083115613839</v>
      </c>
      <c r="T669">
        <f t="shared" si="998"/>
        <v>7.1514083115613838</v>
      </c>
    </row>
    <row r="670" spans="1:20" x14ac:dyDescent="0.25">
      <c r="A670" s="5">
        <v>43923</v>
      </c>
      <c r="B670">
        <v>4.079E-2</v>
      </c>
      <c r="C670">
        <v>4.3209999999999998E-2</v>
      </c>
      <c r="D670">
        <v>4.0419999999999998E-2</v>
      </c>
      <c r="E670">
        <v>4.1230000000000003E-2</v>
      </c>
      <c r="F670">
        <v>94937368.299999997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-0.41935483870967388</v>
      </c>
      <c r="Q670">
        <f t="shared" si="995"/>
        <v>-39812444.770967402</v>
      </c>
      <c r="R670">
        <f t="shared" si="996"/>
        <v>710485624.13527954</v>
      </c>
      <c r="S670">
        <f t="shared" si="997"/>
        <v>7104.8562413527952</v>
      </c>
      <c r="T670">
        <f t="shared" si="998"/>
        <v>7.1048562413527954</v>
      </c>
    </row>
    <row r="671" spans="1:20" x14ac:dyDescent="0.25">
      <c r="A671" s="5">
        <v>43922</v>
      </c>
      <c r="B671">
        <v>4.0710000000000003E-2</v>
      </c>
      <c r="C671">
        <v>4.095E-2</v>
      </c>
      <c r="D671">
        <v>3.9E-2</v>
      </c>
      <c r="E671">
        <v>4.079E-2</v>
      </c>
      <c r="F671">
        <v>58800610.899999999</v>
      </c>
      <c r="G671">
        <v>0</v>
      </c>
      <c r="L671" t="s">
        <v>8</v>
      </c>
      <c r="M671" t="s">
        <v>8</v>
      </c>
      <c r="N671" t="s">
        <v>8</v>
      </c>
      <c r="P671">
        <f t="shared" si="994"/>
        <v>0.83589743589743548</v>
      </c>
      <c r="Q671">
        <f t="shared" si="995"/>
        <v>49151279.880512796</v>
      </c>
      <c r="R671">
        <f t="shared" si="996"/>
        <v>750298068.9062469</v>
      </c>
      <c r="S671">
        <f t="shared" si="997"/>
        <v>7502.9806890624686</v>
      </c>
      <c r="T671">
        <f t="shared" si="998"/>
        <v>7.5029806890624684</v>
      </c>
    </row>
    <row r="672" spans="1:20" x14ac:dyDescent="0.25">
      <c r="A672" s="5">
        <v>43921</v>
      </c>
      <c r="B672">
        <v>4.0039999999999999E-2</v>
      </c>
      <c r="C672">
        <v>4.104E-2</v>
      </c>
      <c r="D672">
        <v>3.9960000000000002E-2</v>
      </c>
      <c r="E672">
        <v>4.0710000000000003E-2</v>
      </c>
      <c r="F672">
        <v>54149689.700000003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0.38888888888889317</v>
      </c>
      <c r="Q672">
        <f t="shared" si="995"/>
        <v>21058212.661111344</v>
      </c>
      <c r="R672">
        <f t="shared" si="996"/>
        <v>701146789.02573407</v>
      </c>
      <c r="S672">
        <f t="shared" si="997"/>
        <v>7011.4678902573405</v>
      </c>
      <c r="T672">
        <f t="shared" si="998"/>
        <v>7.0114678902573404</v>
      </c>
    </row>
    <row r="673" spans="1:20" x14ac:dyDescent="0.25">
      <c r="A673" s="5">
        <v>43920</v>
      </c>
      <c r="B673">
        <v>3.773E-2</v>
      </c>
      <c r="C673">
        <v>4.1110000000000001E-2</v>
      </c>
      <c r="D673">
        <v>3.7659999999999999E-2</v>
      </c>
      <c r="E673">
        <v>4.0039999999999999E-2</v>
      </c>
      <c r="F673">
        <v>80258827.900000006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0.37971014492753569</v>
      </c>
      <c r="Q673">
        <f t="shared" si="995"/>
        <v>30475091.173623148</v>
      </c>
      <c r="R673">
        <f t="shared" si="996"/>
        <v>680088576.36462271</v>
      </c>
      <c r="S673">
        <f t="shared" si="997"/>
        <v>6800.8857636462271</v>
      </c>
      <c r="T673">
        <f t="shared" si="998"/>
        <v>6.8008857636462272</v>
      </c>
    </row>
    <row r="674" spans="1:20" x14ac:dyDescent="0.25">
      <c r="A674" s="5">
        <v>43919</v>
      </c>
      <c r="B674">
        <v>3.9940000000000003E-2</v>
      </c>
      <c r="C674">
        <v>4.0140000000000002E-2</v>
      </c>
      <c r="D674">
        <v>3.773E-2</v>
      </c>
      <c r="E674">
        <v>3.773E-2</v>
      </c>
      <c r="F674">
        <v>56041363.399999999</v>
      </c>
      <c r="G674">
        <v>0</v>
      </c>
      <c r="L674" t="s">
        <v>7</v>
      </c>
      <c r="M674" t="s">
        <v>8</v>
      </c>
      <c r="N674" t="s">
        <v>8</v>
      </c>
      <c r="P674">
        <f t="shared" si="994"/>
        <v>-1</v>
      </c>
      <c r="Q674">
        <f t="shared" si="995"/>
        <v>-56041363.399999999</v>
      </c>
      <c r="R674">
        <f t="shared" si="996"/>
        <v>649613485.19099951</v>
      </c>
      <c r="S674">
        <f t="shared" si="997"/>
        <v>6496.1348519099947</v>
      </c>
      <c r="T674">
        <f t="shared" si="998"/>
        <v>6.4961348519099946</v>
      </c>
    </row>
    <row r="675" spans="1:20" x14ac:dyDescent="0.25">
      <c r="A675" s="5">
        <v>43918</v>
      </c>
      <c r="B675">
        <v>4.0390000000000002E-2</v>
      </c>
      <c r="C675">
        <v>4.079E-2</v>
      </c>
      <c r="D675">
        <v>3.8760000000000003E-2</v>
      </c>
      <c r="E675">
        <v>3.9949999999999999E-2</v>
      </c>
      <c r="F675">
        <v>88797488.200000003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0.17241379310344662</v>
      </c>
      <c r="Q675">
        <f t="shared" si="995"/>
        <v>15309911.758620543</v>
      </c>
      <c r="R675">
        <f t="shared" si="996"/>
        <v>705654848.59099948</v>
      </c>
      <c r="S675">
        <f t="shared" si="997"/>
        <v>7056.5484859099952</v>
      </c>
      <c r="T675">
        <f t="shared" si="998"/>
        <v>7.0565484859099952</v>
      </c>
    </row>
    <row r="676" spans="1:20" x14ac:dyDescent="0.25">
      <c r="A676" s="5">
        <v>43917</v>
      </c>
      <c r="B676">
        <v>4.2840000000000003E-2</v>
      </c>
      <c r="C676">
        <v>4.3400000000000001E-2</v>
      </c>
      <c r="D676">
        <v>4.018E-2</v>
      </c>
      <c r="E676">
        <v>4.0399999999999998E-2</v>
      </c>
      <c r="F676">
        <v>68079790.700000003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-0.86335403726708204</v>
      </c>
      <c r="Q676">
        <f t="shared" si="995"/>
        <v>-58776962.157142945</v>
      </c>
      <c r="R676">
        <f t="shared" si="996"/>
        <v>690344936.83237898</v>
      </c>
      <c r="S676">
        <f t="shared" si="997"/>
        <v>6903.4493683237897</v>
      </c>
      <c r="T676">
        <f t="shared" si="998"/>
        <v>6.9034493683237894</v>
      </c>
    </row>
    <row r="677" spans="1:20" x14ac:dyDescent="0.25">
      <c r="A677" s="5">
        <v>43916</v>
      </c>
      <c r="B677">
        <v>4.0559999999999999E-2</v>
      </c>
      <c r="C677">
        <v>4.2970000000000001E-2</v>
      </c>
      <c r="D677">
        <v>3.9800000000000002E-2</v>
      </c>
      <c r="E677">
        <v>4.2840000000000003E-2</v>
      </c>
      <c r="F677">
        <v>66676605.5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0.91798107255520622</v>
      </c>
      <c r="Q677">
        <f t="shared" si="995"/>
        <v>61207861.831230365</v>
      </c>
      <c r="R677">
        <f t="shared" si="996"/>
        <v>749121898.98952198</v>
      </c>
      <c r="S677">
        <f t="shared" si="997"/>
        <v>7491.2189898952201</v>
      </c>
      <c r="T677">
        <f t="shared" si="998"/>
        <v>7.4912189898952199</v>
      </c>
    </row>
    <row r="678" spans="1:20" x14ac:dyDescent="0.25">
      <c r="A678" s="5">
        <v>43915</v>
      </c>
      <c r="B678">
        <v>4.0309999999999999E-2</v>
      </c>
      <c r="C678">
        <v>4.0980000000000003E-2</v>
      </c>
      <c r="D678">
        <v>3.8890000000000001E-2</v>
      </c>
      <c r="E678">
        <v>4.052E-2</v>
      </c>
      <c r="F678">
        <v>83757304.599999994</v>
      </c>
      <c r="G678">
        <v>0</v>
      </c>
      <c r="L678" t="s">
        <v>8</v>
      </c>
      <c r="M678" t="s">
        <v>7</v>
      </c>
      <c r="N678" t="s">
        <v>8</v>
      </c>
      <c r="P678">
        <f t="shared" si="994"/>
        <v>0.55980861244018976</v>
      </c>
      <c r="Q678">
        <f t="shared" si="995"/>
        <v>46888060.469856322</v>
      </c>
      <c r="R678">
        <f t="shared" si="996"/>
        <v>687914037.15829158</v>
      </c>
      <c r="S678">
        <f t="shared" si="997"/>
        <v>6879.1403715829156</v>
      </c>
      <c r="T678">
        <f t="shared" si="998"/>
        <v>6.8791403715829151</v>
      </c>
    </row>
    <row r="679" spans="1:20" x14ac:dyDescent="0.25">
      <c r="A679" s="5">
        <v>43914</v>
      </c>
      <c r="B679">
        <v>3.9379999999999998E-2</v>
      </c>
      <c r="C679">
        <v>4.0660000000000002E-2</v>
      </c>
      <c r="D679">
        <v>3.8929999999999999E-2</v>
      </c>
      <c r="E679">
        <v>4.0309999999999999E-2</v>
      </c>
      <c r="F679">
        <v>96549031.5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0.59537572254334958</v>
      </c>
      <c r="Q679">
        <f t="shared" si="995"/>
        <v>57482949.390173122</v>
      </c>
      <c r="R679">
        <f t="shared" si="996"/>
        <v>641025976.6884352</v>
      </c>
      <c r="S679">
        <f t="shared" si="997"/>
        <v>6410.2597668843518</v>
      </c>
      <c r="T679">
        <f t="shared" si="998"/>
        <v>6.4102597668843515</v>
      </c>
    </row>
    <row r="680" spans="1:20" x14ac:dyDescent="0.25">
      <c r="A680" s="5">
        <v>43913</v>
      </c>
      <c r="B680">
        <v>3.6769999999999997E-2</v>
      </c>
      <c r="C680">
        <v>0.04</v>
      </c>
      <c r="D680">
        <v>3.6049999999999999E-2</v>
      </c>
      <c r="E680">
        <v>3.9379999999999998E-2</v>
      </c>
      <c r="F680">
        <v>110076061.5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0.68607594936708749</v>
      </c>
      <c r="Q680">
        <f t="shared" si="995"/>
        <v>75520538.396202415</v>
      </c>
      <c r="R680">
        <f t="shared" si="996"/>
        <v>583543027.29826212</v>
      </c>
      <c r="S680">
        <f t="shared" si="997"/>
        <v>5835.4302729826213</v>
      </c>
      <c r="T680">
        <f t="shared" si="998"/>
        <v>5.8354302729826211</v>
      </c>
    </row>
    <row r="681" spans="1:20" x14ac:dyDescent="0.25">
      <c r="A681" s="5">
        <v>43912</v>
      </c>
      <c r="B681">
        <v>3.952E-2</v>
      </c>
      <c r="C681">
        <v>4.0579999999999998E-2</v>
      </c>
      <c r="D681">
        <v>3.6380000000000003E-2</v>
      </c>
      <c r="E681">
        <v>3.6790000000000003E-2</v>
      </c>
      <c r="F681">
        <v>112900648.5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-0.80476190476190423</v>
      </c>
      <c r="Q681">
        <f t="shared" si="995"/>
        <v>-90858140.93571423</v>
      </c>
      <c r="R681">
        <f t="shared" si="996"/>
        <v>508022488.90205967</v>
      </c>
      <c r="S681">
        <f t="shared" si="997"/>
        <v>5080.2248890205965</v>
      </c>
      <c r="T681">
        <f t="shared" si="998"/>
        <v>5.0802248890205961</v>
      </c>
    </row>
    <row r="682" spans="1:20" x14ac:dyDescent="0.25">
      <c r="A682" s="5">
        <v>43911</v>
      </c>
      <c r="B682">
        <v>3.9949999999999999E-2</v>
      </c>
      <c r="C682">
        <v>4.1050000000000003E-2</v>
      </c>
      <c r="D682">
        <v>3.798E-2</v>
      </c>
      <c r="E682">
        <v>3.9559999999999998E-2</v>
      </c>
      <c r="F682">
        <v>118439437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2.9315960912049761E-2</v>
      </c>
      <c r="Q682">
        <f t="shared" si="995"/>
        <v>3472165.9055371801</v>
      </c>
      <c r="R682">
        <f t="shared" si="996"/>
        <v>598880629.83777392</v>
      </c>
      <c r="S682">
        <f t="shared" si="997"/>
        <v>5988.806298377739</v>
      </c>
      <c r="T682">
        <f t="shared" si="998"/>
        <v>5.9888062983777388</v>
      </c>
    </row>
    <row r="683" spans="1:20" x14ac:dyDescent="0.25">
      <c r="A683" s="5">
        <v>43910</v>
      </c>
      <c r="B683">
        <v>4.1309999999999999E-2</v>
      </c>
      <c r="C683">
        <v>4.446E-2</v>
      </c>
      <c r="D683">
        <v>3.56E-2</v>
      </c>
      <c r="E683">
        <v>3.9949999999999999E-2</v>
      </c>
      <c r="F683">
        <v>193720160.80000001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-1.805869074492104E-2</v>
      </c>
      <c r="Q683">
        <f t="shared" si="995"/>
        <v>-3498332.4749435759</v>
      </c>
      <c r="R683">
        <f t="shared" si="996"/>
        <v>595408463.93223679</v>
      </c>
      <c r="S683">
        <f t="shared" si="997"/>
        <v>5954.0846393223683</v>
      </c>
      <c r="T683">
        <f t="shared" si="998"/>
        <v>5.9540846393223683</v>
      </c>
    </row>
    <row r="684" spans="1:20" x14ac:dyDescent="0.25">
      <c r="A684" s="5">
        <v>43909</v>
      </c>
      <c r="B684">
        <v>3.6900000000000002E-2</v>
      </c>
      <c r="C684">
        <v>4.2750000000000003E-2</v>
      </c>
      <c r="D684">
        <v>3.6589999999999998E-2</v>
      </c>
      <c r="E684">
        <v>4.1340000000000002E-2</v>
      </c>
      <c r="F684">
        <v>154921409.30000001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0.54220779220779214</v>
      </c>
      <c r="Q684">
        <f t="shared" si="995"/>
        <v>83999595.302272722</v>
      </c>
      <c r="R684">
        <f t="shared" si="996"/>
        <v>598906796.40718031</v>
      </c>
      <c r="S684">
        <f t="shared" si="997"/>
        <v>5989.0679640718035</v>
      </c>
      <c r="T684">
        <f t="shared" si="998"/>
        <v>5.9890679640718032</v>
      </c>
    </row>
    <row r="685" spans="1:20" x14ac:dyDescent="0.25">
      <c r="A685" s="5">
        <v>43908</v>
      </c>
      <c r="B685">
        <v>3.7249999999999998E-2</v>
      </c>
      <c r="C685">
        <v>3.7929999999999998E-2</v>
      </c>
      <c r="D685">
        <v>3.4340000000000002E-2</v>
      </c>
      <c r="E685">
        <v>3.6900000000000002E-2</v>
      </c>
      <c r="F685">
        <v>103048582.59999999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0.42618384401114351</v>
      </c>
      <c r="Q685">
        <f t="shared" si="995"/>
        <v>43917641.052367836</v>
      </c>
      <c r="R685">
        <f t="shared" si="996"/>
        <v>514907201.10490763</v>
      </c>
      <c r="S685">
        <f t="shared" si="997"/>
        <v>5149.0720110490765</v>
      </c>
      <c r="T685">
        <f t="shared" si="998"/>
        <v>5.1490720110490766</v>
      </c>
    </row>
    <row r="686" spans="1:20" x14ac:dyDescent="0.25">
      <c r="A686" s="5">
        <v>43907</v>
      </c>
      <c r="B686">
        <v>3.5279999999999999E-2</v>
      </c>
      <c r="C686">
        <v>3.8240000000000003E-2</v>
      </c>
      <c r="D686">
        <v>3.4869999999999998E-2</v>
      </c>
      <c r="E686">
        <v>3.7179999999999998E-2</v>
      </c>
      <c r="F686">
        <v>94019038.599999994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0.37091988130563569</v>
      </c>
      <c r="Q686">
        <f t="shared" si="995"/>
        <v>34873530.637981981</v>
      </c>
      <c r="R686">
        <f t="shared" si="996"/>
        <v>470989560.05253983</v>
      </c>
      <c r="S686">
        <f t="shared" si="997"/>
        <v>4709.8956005253985</v>
      </c>
      <c r="T686">
        <f t="shared" si="998"/>
        <v>4.7098956005253987</v>
      </c>
    </row>
    <row r="687" spans="1:20" x14ac:dyDescent="0.25">
      <c r="A687" s="5">
        <v>43906</v>
      </c>
      <c r="B687">
        <v>3.7879999999999997E-2</v>
      </c>
      <c r="C687">
        <v>3.8120000000000001E-2</v>
      </c>
      <c r="D687">
        <v>3.1559999999999998E-2</v>
      </c>
      <c r="E687">
        <v>3.5340000000000003E-2</v>
      </c>
      <c r="F687">
        <v>174043199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0.15243902439024501</v>
      </c>
      <c r="Q687">
        <f t="shared" si="995"/>
        <v>26530975.457317267</v>
      </c>
      <c r="R687">
        <f t="shared" si="996"/>
        <v>436116029.41455781</v>
      </c>
      <c r="S687">
        <f t="shared" si="997"/>
        <v>4361.1602941455785</v>
      </c>
      <c r="T687">
        <f t="shared" si="998"/>
        <v>4.3611602941455789</v>
      </c>
    </row>
    <row r="688" spans="1:20" x14ac:dyDescent="0.25">
      <c r="A688" s="5">
        <v>43905</v>
      </c>
      <c r="B688">
        <v>3.671E-2</v>
      </c>
      <c r="C688">
        <v>4.0460000000000003E-2</v>
      </c>
      <c r="D688">
        <v>3.6150000000000002E-2</v>
      </c>
      <c r="E688">
        <v>3.7859999999999998E-2</v>
      </c>
      <c r="F688">
        <v>90989220.900000006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-0.2064965197215797</v>
      </c>
      <c r="Q688">
        <f t="shared" si="995"/>
        <v>-18788957.448028024</v>
      </c>
      <c r="R688">
        <f t="shared" si="996"/>
        <v>409585053.95724052</v>
      </c>
      <c r="S688">
        <f t="shared" si="997"/>
        <v>4095.8505395724051</v>
      </c>
      <c r="T688">
        <f t="shared" si="998"/>
        <v>4.095850539572405</v>
      </c>
    </row>
    <row r="689" spans="1:20" x14ac:dyDescent="0.25">
      <c r="A689" s="5">
        <v>43904</v>
      </c>
      <c r="B689">
        <v>3.9600000000000003E-2</v>
      </c>
      <c r="C689">
        <v>4.0410000000000001E-2</v>
      </c>
      <c r="D689">
        <v>3.6200000000000003E-2</v>
      </c>
      <c r="E689">
        <v>3.6769999999999997E-2</v>
      </c>
      <c r="F689">
        <v>91646310.599999994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-0.72921615201900503</v>
      </c>
      <c r="Q689">
        <f t="shared" si="995"/>
        <v>-66829969.962470546</v>
      </c>
      <c r="R689">
        <f t="shared" si="996"/>
        <v>428374011.40526855</v>
      </c>
      <c r="S689">
        <f t="shared" si="997"/>
        <v>4283.7401140526854</v>
      </c>
      <c r="T689">
        <f t="shared" si="998"/>
        <v>4.2837401140526854</v>
      </c>
    </row>
    <row r="690" spans="1:20" x14ac:dyDescent="0.25">
      <c r="A690" s="5">
        <v>43903</v>
      </c>
      <c r="B690">
        <v>3.1919999999999997E-2</v>
      </c>
      <c r="C690">
        <v>4.1549999999999997E-2</v>
      </c>
      <c r="D690">
        <v>2.5999999999999999E-2</v>
      </c>
      <c r="E690">
        <v>3.9620000000000002E-2</v>
      </c>
      <c r="F690">
        <v>355187675.69999999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0.75176848874598146</v>
      </c>
      <c r="Q690">
        <f t="shared" si="995"/>
        <v>267018902.18218675</v>
      </c>
      <c r="R690">
        <f t="shared" si="996"/>
        <v>495203981.36773908</v>
      </c>
      <c r="S690">
        <f t="shared" si="997"/>
        <v>4952.0398136773911</v>
      </c>
      <c r="T690">
        <f t="shared" si="998"/>
        <v>4.9520398136773913</v>
      </c>
    </row>
    <row r="691" spans="1:20" x14ac:dyDescent="0.25">
      <c r="A691" s="5">
        <v>43902</v>
      </c>
      <c r="B691">
        <v>5.0450000000000002E-2</v>
      </c>
      <c r="C691">
        <v>5.0659999999999997E-2</v>
      </c>
      <c r="D691">
        <v>3.0110000000000001E-2</v>
      </c>
      <c r="E691">
        <v>3.1739999999999997E-2</v>
      </c>
      <c r="F691">
        <v>348706053.39999998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-0.84136253041362563</v>
      </c>
      <c r="Q691">
        <f t="shared" si="995"/>
        <v>-293388207.45917284</v>
      </c>
      <c r="R691">
        <f t="shared" si="996"/>
        <v>228185079.1855523</v>
      </c>
      <c r="S691">
        <f t="shared" si="997"/>
        <v>2281.8507918555229</v>
      </c>
      <c r="T691">
        <f t="shared" si="998"/>
        <v>2.2818507918555229</v>
      </c>
    </row>
    <row r="692" spans="1:20" x14ac:dyDescent="0.25">
      <c r="A692" s="5">
        <v>43901</v>
      </c>
      <c r="B692">
        <v>5.1979999999999998E-2</v>
      </c>
      <c r="C692">
        <v>5.2630000000000003E-2</v>
      </c>
      <c r="D692">
        <v>4.7260000000000003E-2</v>
      </c>
      <c r="E692">
        <v>5.042E-2</v>
      </c>
      <c r="F692">
        <v>124897353.09999999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0.17690875232774536</v>
      </c>
      <c r="Q692">
        <f t="shared" si="995"/>
        <v>22095434.905958857</v>
      </c>
      <c r="R692">
        <f t="shared" si="996"/>
        <v>521573286.64472514</v>
      </c>
      <c r="S692">
        <f t="shared" si="997"/>
        <v>5215.7328664472516</v>
      </c>
      <c r="T692">
        <f t="shared" si="998"/>
        <v>5.2157328664472518</v>
      </c>
    </row>
    <row r="693" spans="1:20" x14ac:dyDescent="0.25">
      <c r="A693" s="5">
        <v>43900</v>
      </c>
      <c r="B693">
        <v>5.2359999999999997E-2</v>
      </c>
      <c r="C693">
        <v>5.3240000000000003E-2</v>
      </c>
      <c r="D693">
        <v>5.0619999999999998E-2</v>
      </c>
      <c r="E693">
        <v>5.1979999999999998E-2</v>
      </c>
      <c r="F693">
        <v>126701536.90000001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3.8167938931296094E-2</v>
      </c>
      <c r="Q693">
        <f t="shared" si="995"/>
        <v>4835936.522900559</v>
      </c>
      <c r="R693">
        <f t="shared" si="996"/>
        <v>499477851.73876631</v>
      </c>
      <c r="S693">
        <f t="shared" si="997"/>
        <v>4994.7785173876628</v>
      </c>
      <c r="T693">
        <f t="shared" si="998"/>
        <v>4.9947785173876627</v>
      </c>
    </row>
    <row r="694" spans="1:20" x14ac:dyDescent="0.25">
      <c r="A694" s="5">
        <v>43899</v>
      </c>
      <c r="B694">
        <v>4.972E-2</v>
      </c>
      <c r="C694">
        <v>5.2409999999999998E-2</v>
      </c>
      <c r="D694">
        <v>4.7500000000000001E-2</v>
      </c>
      <c r="E694">
        <v>5.2350000000000001E-2</v>
      </c>
      <c r="F694">
        <v>199152947.90000001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0.97556008146639606</v>
      </c>
      <c r="Q694">
        <f t="shared" si="995"/>
        <v>194285666.07759693</v>
      </c>
      <c r="R694">
        <f t="shared" si="996"/>
        <v>494641915.21586573</v>
      </c>
      <c r="S694">
        <f t="shared" si="997"/>
        <v>4946.4191521586572</v>
      </c>
      <c r="T694">
        <f t="shared" si="998"/>
        <v>4.9464191521586569</v>
      </c>
    </row>
    <row r="695" spans="1:20" x14ac:dyDescent="0.25">
      <c r="A695" s="5">
        <v>43898</v>
      </c>
      <c r="B695">
        <v>5.8270000000000002E-2</v>
      </c>
      <c r="C695">
        <v>5.8270000000000002E-2</v>
      </c>
      <c r="D695">
        <v>4.9119999999999997E-2</v>
      </c>
      <c r="E695">
        <v>4.9689999999999998E-2</v>
      </c>
      <c r="F695">
        <v>150211488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-0.87540983606557365</v>
      </c>
      <c r="Q695">
        <f t="shared" si="995"/>
        <v>-131496614.08524588</v>
      </c>
      <c r="R695">
        <f t="shared" si="996"/>
        <v>300356249.13826883</v>
      </c>
      <c r="S695">
        <f t="shared" si="997"/>
        <v>3003.5624913826882</v>
      </c>
      <c r="T695">
        <f t="shared" si="998"/>
        <v>3.0035624913826884</v>
      </c>
    </row>
    <row r="696" spans="1:20" x14ac:dyDescent="0.25">
      <c r="A696" s="5">
        <v>43897</v>
      </c>
      <c r="B696">
        <v>6.1379999999999997E-2</v>
      </c>
      <c r="C696">
        <v>6.1499999999999999E-2</v>
      </c>
      <c r="D696">
        <v>5.781E-2</v>
      </c>
      <c r="E696">
        <v>5.8279999999999998E-2</v>
      </c>
      <c r="F696">
        <v>64956600.5</v>
      </c>
      <c r="G696">
        <v>0</v>
      </c>
      <c r="L696" t="s">
        <v>8</v>
      </c>
      <c r="M696" t="s">
        <v>7</v>
      </c>
      <c r="N696" t="s">
        <v>7</v>
      </c>
      <c r="P696">
        <f t="shared" si="994"/>
        <v>-0.74525745257452669</v>
      </c>
      <c r="Q696">
        <f t="shared" si="995"/>
        <v>-48409390.616531223</v>
      </c>
      <c r="R696">
        <f t="shared" si="996"/>
        <v>431852863.22351468</v>
      </c>
      <c r="S696">
        <f t="shared" si="997"/>
        <v>4318.5286322351467</v>
      </c>
      <c r="T696">
        <f t="shared" si="998"/>
        <v>4.3185286322351466</v>
      </c>
    </row>
    <row r="697" spans="1:20" x14ac:dyDescent="0.25">
      <c r="A697" s="5">
        <v>43896</v>
      </c>
      <c r="B697">
        <v>5.9619999999999999E-2</v>
      </c>
      <c r="C697">
        <v>6.1379999999999997E-2</v>
      </c>
      <c r="D697">
        <v>5.9139999999999998E-2</v>
      </c>
      <c r="E697">
        <v>6.1370000000000001E-2</v>
      </c>
      <c r="F697">
        <v>71418252.299999997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0.99107142857143204</v>
      </c>
      <c r="Q697">
        <f t="shared" si="995"/>
        <v>70780589.333035961</v>
      </c>
      <c r="R697">
        <f t="shared" si="996"/>
        <v>480262253.84004587</v>
      </c>
      <c r="S697">
        <f t="shared" si="997"/>
        <v>4802.6225384004583</v>
      </c>
      <c r="T697">
        <f t="shared" si="998"/>
        <v>4.8026225384004579</v>
      </c>
    </row>
    <row r="698" spans="1:20" x14ac:dyDescent="0.25">
      <c r="A698" s="5">
        <v>43895</v>
      </c>
      <c r="B698">
        <v>5.8569999999999997E-2</v>
      </c>
      <c r="C698">
        <v>6.096E-2</v>
      </c>
      <c r="D698">
        <v>5.8569999999999997E-2</v>
      </c>
      <c r="E698">
        <v>5.9659999999999998E-2</v>
      </c>
      <c r="F698">
        <v>87234602.900000006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-8.7866108786611538E-2</v>
      </c>
      <c r="Q698">
        <f t="shared" si="995"/>
        <v>-7664965.1083682589</v>
      </c>
      <c r="R698">
        <f t="shared" si="996"/>
        <v>409481664.50700992</v>
      </c>
      <c r="S698">
        <f t="shared" si="997"/>
        <v>4094.8166450700992</v>
      </c>
      <c r="T698">
        <f t="shared" si="998"/>
        <v>4.0948166450700993</v>
      </c>
    </row>
    <row r="699" spans="1:20" x14ac:dyDescent="0.25">
      <c r="A699" s="5">
        <v>43894</v>
      </c>
      <c r="B699">
        <v>5.8180000000000003E-2</v>
      </c>
      <c r="C699">
        <v>5.9159999999999997E-2</v>
      </c>
      <c r="D699">
        <v>5.7509999999999999E-2</v>
      </c>
      <c r="E699">
        <v>5.8569999999999997E-2</v>
      </c>
      <c r="F699">
        <v>60923027.200000003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0.28484848484848396</v>
      </c>
      <c r="Q699">
        <f t="shared" si="995"/>
        <v>17353831.990302976</v>
      </c>
      <c r="R699">
        <f t="shared" si="996"/>
        <v>417146629.6153782</v>
      </c>
      <c r="S699">
        <f t="shared" si="997"/>
        <v>4171.4662961537824</v>
      </c>
      <c r="T699">
        <f t="shared" si="998"/>
        <v>4.1714662961537821</v>
      </c>
    </row>
    <row r="700" spans="1:20" x14ac:dyDescent="0.25">
      <c r="A700" s="5">
        <v>43893</v>
      </c>
      <c r="B700">
        <v>5.9679999999999997E-2</v>
      </c>
      <c r="C700">
        <v>6.0319999999999999E-2</v>
      </c>
      <c r="D700">
        <v>5.7529999999999998E-2</v>
      </c>
      <c r="E700">
        <v>5.8160000000000003E-2</v>
      </c>
      <c r="F700">
        <v>79344061.5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-0.54838709677418973</v>
      </c>
      <c r="Q700">
        <f t="shared" si="995"/>
        <v>-43511259.532257758</v>
      </c>
      <c r="R700">
        <f t="shared" si="996"/>
        <v>399792797.62507522</v>
      </c>
      <c r="S700">
        <f t="shared" si="997"/>
        <v>3997.9279762507522</v>
      </c>
      <c r="T700">
        <f t="shared" si="998"/>
        <v>3.997927976250752</v>
      </c>
    </row>
    <row r="701" spans="1:20" x14ac:dyDescent="0.25">
      <c r="A701" s="5">
        <v>43892</v>
      </c>
      <c r="B701">
        <v>5.5789999999999999E-2</v>
      </c>
      <c r="C701">
        <v>6.0159999999999998E-2</v>
      </c>
      <c r="D701">
        <v>5.5599999999999997E-2</v>
      </c>
      <c r="E701">
        <v>5.9679999999999997E-2</v>
      </c>
      <c r="F701">
        <v>77305219.099999994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0.78947368421052588</v>
      </c>
      <c r="Q701">
        <f t="shared" si="995"/>
        <v>61030436.131578907</v>
      </c>
      <c r="R701">
        <f t="shared" si="996"/>
        <v>443304057.15733296</v>
      </c>
      <c r="S701">
        <f t="shared" si="997"/>
        <v>4433.0405715733295</v>
      </c>
      <c r="T701">
        <f t="shared" si="998"/>
        <v>4.4330405715733292</v>
      </c>
    </row>
    <row r="702" spans="1:20" x14ac:dyDescent="0.25">
      <c r="A702" s="5">
        <v>43891</v>
      </c>
      <c r="B702">
        <v>5.688E-2</v>
      </c>
      <c r="C702">
        <v>5.8700000000000002E-2</v>
      </c>
      <c r="D702">
        <v>5.4820000000000001E-2</v>
      </c>
      <c r="E702">
        <v>5.5820000000000002E-2</v>
      </c>
      <c r="F702">
        <v>86751917.700000003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-0.48453608247422653</v>
      </c>
      <c r="Q702">
        <f t="shared" si="995"/>
        <v>-42034434.349484511</v>
      </c>
      <c r="R702">
        <f t="shared" si="996"/>
        <v>382273621.02575403</v>
      </c>
      <c r="S702">
        <f t="shared" si="997"/>
        <v>3822.7362102575403</v>
      </c>
      <c r="T702">
        <f t="shared" si="998"/>
        <v>3.8227362102575402</v>
      </c>
    </row>
    <row r="703" spans="1:20" x14ac:dyDescent="0.25">
      <c r="A703" s="5">
        <v>43890</v>
      </c>
      <c r="B703">
        <v>5.8409999999999997E-2</v>
      </c>
      <c r="C703">
        <v>5.9929999999999997E-2</v>
      </c>
      <c r="D703">
        <v>5.6779999999999997E-2</v>
      </c>
      <c r="E703">
        <v>5.6939999999999998E-2</v>
      </c>
      <c r="F703">
        <v>73978199.5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-0.89841269841269811</v>
      </c>
      <c r="Q703">
        <f t="shared" si="995"/>
        <v>-66462953.836507916</v>
      </c>
      <c r="R703">
        <f t="shared" si="996"/>
        <v>424308055.37523854</v>
      </c>
      <c r="S703">
        <f t="shared" si="997"/>
        <v>4243.0805537523856</v>
      </c>
      <c r="T703">
        <f t="shared" si="998"/>
        <v>4.2430805537523852</v>
      </c>
    </row>
    <row r="704" spans="1:20" x14ac:dyDescent="0.25">
      <c r="A704" s="5">
        <v>43889</v>
      </c>
      <c r="B704">
        <v>6.0420000000000001E-2</v>
      </c>
      <c r="C704">
        <v>6.1519999999999998E-2</v>
      </c>
      <c r="D704">
        <v>5.638E-2</v>
      </c>
      <c r="E704">
        <v>5.8409999999999997E-2</v>
      </c>
      <c r="F704">
        <v>184225212.90000001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-0.21011673151751067</v>
      </c>
      <c r="Q704">
        <f t="shared" si="995"/>
        <v>-38708799.597665548</v>
      </c>
      <c r="R704">
        <f t="shared" si="996"/>
        <v>490771009.21174645</v>
      </c>
      <c r="S704">
        <f t="shared" si="997"/>
        <v>4907.7100921174642</v>
      </c>
      <c r="T704">
        <f t="shared" si="998"/>
        <v>4.9077100921174646</v>
      </c>
    </row>
    <row r="705" spans="1:20" x14ac:dyDescent="0.25">
      <c r="A705" s="5">
        <v>43888</v>
      </c>
      <c r="B705">
        <v>5.8749999999999997E-2</v>
      </c>
      <c r="C705">
        <v>6.2850000000000003E-2</v>
      </c>
      <c r="D705">
        <v>5.586E-2</v>
      </c>
      <c r="E705">
        <v>6.0449999999999997E-2</v>
      </c>
      <c r="F705">
        <v>227381313.80000001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0.31330472103004142</v>
      </c>
      <c r="Q705">
        <f t="shared" si="995"/>
        <v>71239639.087553307</v>
      </c>
      <c r="R705">
        <f t="shared" si="996"/>
        <v>529479808.809412</v>
      </c>
      <c r="S705">
        <f t="shared" si="997"/>
        <v>5294.7980880941204</v>
      </c>
      <c r="T705">
        <f t="shared" si="998"/>
        <v>5.2947980880941206</v>
      </c>
    </row>
    <row r="706" spans="1:20" x14ac:dyDescent="0.25">
      <c r="A706" s="5">
        <v>43887</v>
      </c>
      <c r="B706">
        <v>6.404E-2</v>
      </c>
      <c r="C706">
        <v>6.4699999999999994E-2</v>
      </c>
      <c r="D706">
        <v>5.4919999999999997E-2</v>
      </c>
      <c r="E706">
        <v>5.8729999999999997E-2</v>
      </c>
      <c r="F706">
        <v>260944991.19999999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-0.22085889570552106</v>
      </c>
      <c r="Q706">
        <f t="shared" si="995"/>
        <v>-57632022.596318908</v>
      </c>
      <c r="R706">
        <f t="shared" si="996"/>
        <v>458240169.72185868</v>
      </c>
      <c r="S706">
        <f t="shared" si="997"/>
        <v>4582.4016972185864</v>
      </c>
      <c r="T706">
        <f t="shared" si="998"/>
        <v>4.5824016972185868</v>
      </c>
    </row>
    <row r="707" spans="1:20" x14ac:dyDescent="0.25">
      <c r="A707" s="5">
        <v>43886</v>
      </c>
      <c r="B707">
        <v>6.9080000000000003E-2</v>
      </c>
      <c r="C707">
        <v>6.93E-2</v>
      </c>
      <c r="D707">
        <v>6.3399999999999998E-2</v>
      </c>
      <c r="E707">
        <v>6.4019999999999994E-2</v>
      </c>
      <c r="F707">
        <v>125577163.59999999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-0.78983050847457792</v>
      </c>
      <c r="Q707">
        <f t="shared" si="995"/>
        <v>-99184674.978983253</v>
      </c>
      <c r="R707">
        <f t="shared" si="996"/>
        <v>515872192.31817758</v>
      </c>
      <c r="S707">
        <f t="shared" si="997"/>
        <v>5158.7219231817762</v>
      </c>
      <c r="T707">
        <f t="shared" si="998"/>
        <v>5.1587219231817762</v>
      </c>
    </row>
    <row r="708" spans="1:20" x14ac:dyDescent="0.25">
      <c r="A708" s="5">
        <v>43885</v>
      </c>
      <c r="B708">
        <v>7.2989999999999999E-2</v>
      </c>
      <c r="C708">
        <v>7.3550000000000004E-2</v>
      </c>
      <c r="D708">
        <v>6.7220000000000002E-2</v>
      </c>
      <c r="E708">
        <v>6.9110000000000005E-2</v>
      </c>
      <c r="F708">
        <v>97977179.799999997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-0.40284360189573393</v>
      </c>
      <c r="Q708">
        <f t="shared" si="995"/>
        <v>-39469480.014217943</v>
      </c>
      <c r="R708">
        <f t="shared" si="996"/>
        <v>615056867.29716086</v>
      </c>
      <c r="S708">
        <f t="shared" si="997"/>
        <v>6150.568672971609</v>
      </c>
      <c r="T708">
        <f t="shared" si="998"/>
        <v>6.1505686729716089</v>
      </c>
    </row>
    <row r="709" spans="1:20" x14ac:dyDescent="0.25">
      <c r="A709" s="5">
        <v>43884</v>
      </c>
      <c r="B709">
        <v>7.0290000000000005E-2</v>
      </c>
      <c r="C709">
        <v>7.3300000000000004E-2</v>
      </c>
      <c r="D709">
        <v>6.9830000000000003E-2</v>
      </c>
      <c r="E709">
        <v>7.2989999999999999E-2</v>
      </c>
      <c r="F709">
        <v>64504043.700000003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0.8213256484149829</v>
      </c>
      <c r="Q709">
        <f t="shared" si="995"/>
        <v>52978825.517290898</v>
      </c>
      <c r="R709">
        <f t="shared" si="996"/>
        <v>654526347.31137884</v>
      </c>
      <c r="S709">
        <f t="shared" si="997"/>
        <v>6545.2634731137887</v>
      </c>
      <c r="T709">
        <f t="shared" si="998"/>
        <v>6.5452634731137884</v>
      </c>
    </row>
    <row r="710" spans="1:20" x14ac:dyDescent="0.25">
      <c r="A710" s="5">
        <v>43883</v>
      </c>
      <c r="B710">
        <v>7.1069999999999994E-2</v>
      </c>
      <c r="C710">
        <v>7.1629999999999999E-2</v>
      </c>
      <c r="D710">
        <v>6.923E-2</v>
      </c>
      <c r="E710">
        <v>7.0300000000000001E-2</v>
      </c>
      <c r="F710">
        <v>57068576</v>
      </c>
      <c r="G710">
        <v>0</v>
      </c>
      <c r="L710" t="s">
        <v>8</v>
      </c>
      <c r="M710" t="s">
        <v>7</v>
      </c>
      <c r="N710" t="s">
        <v>8</v>
      </c>
      <c r="P710">
        <f t="shared" ref="P710:P766" si="999">IF(C710=D710,0,((E710-D710)-(C710-E710))/(C710-D710))</f>
        <v>-0.10833333333333184</v>
      </c>
      <c r="Q710">
        <f t="shared" ref="Q710:Q766" si="1000">F710*P710</f>
        <v>-6182429.0666665817</v>
      </c>
      <c r="R710">
        <f t="shared" ref="R710:R766" si="1001">R711+Q710</f>
        <v>601547521.79408789</v>
      </c>
      <c r="S710">
        <f t="shared" ref="S710:S766" si="1002">R710/100000</f>
        <v>6015.4752179408788</v>
      </c>
      <c r="T710">
        <f t="shared" ref="T710:T766" si="1003">S710/1000</f>
        <v>6.015475217940879</v>
      </c>
    </row>
    <row r="711" spans="1:20" x14ac:dyDescent="0.25">
      <c r="A711" s="5">
        <v>43882</v>
      </c>
      <c r="B711">
        <v>7.0370000000000002E-2</v>
      </c>
      <c r="C711">
        <v>7.2859999999999994E-2</v>
      </c>
      <c r="D711">
        <v>6.9500000000000006E-2</v>
      </c>
      <c r="E711">
        <v>7.0989999999999998E-2</v>
      </c>
      <c r="F711">
        <v>95895557.200000003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-0.11309523809524008</v>
      </c>
      <c r="Q711">
        <f t="shared" si="1000"/>
        <v>-10845330.873809714</v>
      </c>
      <c r="R711">
        <f t="shared" si="1001"/>
        <v>607729950.86075449</v>
      </c>
      <c r="S711">
        <f t="shared" si="1002"/>
        <v>6077.2995086075452</v>
      </c>
      <c r="T711">
        <f t="shared" si="1003"/>
        <v>6.0772995086075454</v>
      </c>
    </row>
    <row r="712" spans="1:20" x14ac:dyDescent="0.25">
      <c r="A712" s="5">
        <v>43881</v>
      </c>
      <c r="B712">
        <v>7.0099999999999996E-2</v>
      </c>
      <c r="C712">
        <v>7.1660000000000001E-2</v>
      </c>
      <c r="D712">
        <v>6.7199999999999996E-2</v>
      </c>
      <c r="E712">
        <v>7.0400000000000004E-2</v>
      </c>
      <c r="F712">
        <v>158351734.80000001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0.4349775784753383</v>
      </c>
      <c r="Q712">
        <f t="shared" si="1000"/>
        <v>68879454.150672957</v>
      </c>
      <c r="R712">
        <f t="shared" si="1001"/>
        <v>618575281.73456419</v>
      </c>
      <c r="S712">
        <f t="shared" si="1002"/>
        <v>6185.7528173456421</v>
      </c>
      <c r="T712">
        <f t="shared" si="1003"/>
        <v>6.1857528173456418</v>
      </c>
    </row>
    <row r="713" spans="1:20" x14ac:dyDescent="0.25">
      <c r="A713" s="5">
        <v>43880</v>
      </c>
      <c r="B713">
        <v>7.6009999999999994E-2</v>
      </c>
      <c r="C713">
        <v>7.9490000000000005E-2</v>
      </c>
      <c r="D713">
        <v>6.8470000000000003E-2</v>
      </c>
      <c r="E713">
        <v>7.0129999999999998E-2</v>
      </c>
      <c r="F713">
        <v>119161234.59999999</v>
      </c>
      <c r="G713">
        <v>0</v>
      </c>
      <c r="L713" t="s">
        <v>8</v>
      </c>
      <c r="M713" t="s">
        <v>8</v>
      </c>
      <c r="N713" t="s">
        <v>8</v>
      </c>
      <c r="P713">
        <f t="shared" si="999"/>
        <v>-0.69872958257713347</v>
      </c>
      <c r="Q713">
        <f t="shared" si="1000"/>
        <v>-83261479.711433873</v>
      </c>
      <c r="R713">
        <f t="shared" si="1001"/>
        <v>549695827.58389127</v>
      </c>
      <c r="S713">
        <f t="shared" si="1002"/>
        <v>5496.9582758389124</v>
      </c>
      <c r="T713">
        <f t="shared" si="1003"/>
        <v>5.4969582758389128</v>
      </c>
    </row>
    <row r="714" spans="1:20" x14ac:dyDescent="0.25">
      <c r="A714" s="5">
        <v>43879</v>
      </c>
      <c r="B714">
        <v>7.2770000000000001E-2</v>
      </c>
      <c r="C714">
        <v>7.6850000000000002E-2</v>
      </c>
      <c r="D714">
        <v>7.0000000000000007E-2</v>
      </c>
      <c r="E714">
        <v>7.603E-2</v>
      </c>
      <c r="F714">
        <v>166780787.40000001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0.76058394160583886</v>
      </c>
      <c r="Q714">
        <f t="shared" si="1000"/>
        <v>126850788.66481744</v>
      </c>
      <c r="R714">
        <f t="shared" si="1001"/>
        <v>632957307.29532516</v>
      </c>
      <c r="S714">
        <f t="shared" si="1002"/>
        <v>6329.5730729532515</v>
      </c>
      <c r="T714">
        <f t="shared" si="1003"/>
        <v>6.3295730729532513</v>
      </c>
    </row>
    <row r="715" spans="1:20" x14ac:dyDescent="0.25">
      <c r="A715" s="5">
        <v>43878</v>
      </c>
      <c r="B715">
        <v>7.4329999999999993E-2</v>
      </c>
      <c r="C715">
        <v>7.5170000000000001E-2</v>
      </c>
      <c r="D715">
        <v>6.7019999999999996E-2</v>
      </c>
      <c r="E715">
        <v>7.2720000000000007E-2</v>
      </c>
      <c r="F715">
        <v>265463048.19999999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0.39877300613497119</v>
      </c>
      <c r="Q715">
        <f t="shared" si="1000"/>
        <v>105859497.74846675</v>
      </c>
      <c r="R715">
        <f t="shared" si="1001"/>
        <v>506106518.63050771</v>
      </c>
      <c r="S715">
        <f t="shared" si="1002"/>
        <v>5061.0651863050771</v>
      </c>
      <c r="T715">
        <f t="shared" si="1003"/>
        <v>5.0610651863050773</v>
      </c>
    </row>
    <row r="716" spans="1:20" x14ac:dyDescent="0.25">
      <c r="A716" s="5">
        <v>43877</v>
      </c>
      <c r="B716">
        <v>7.9020000000000007E-2</v>
      </c>
      <c r="C716">
        <v>8.1449999999999995E-2</v>
      </c>
      <c r="D716">
        <v>6.6229999999999997E-2</v>
      </c>
      <c r="E716">
        <v>7.4370000000000006E-2</v>
      </c>
      <c r="F716">
        <v>289313014.19999999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6.9645203679370535E-2</v>
      </c>
      <c r="Q716">
        <f t="shared" si="1000"/>
        <v>20149263.80105162</v>
      </c>
      <c r="R716">
        <f t="shared" si="1001"/>
        <v>400247020.88204098</v>
      </c>
      <c r="S716">
        <f t="shared" si="1002"/>
        <v>4002.4702088204099</v>
      </c>
      <c r="T716">
        <f t="shared" si="1003"/>
        <v>4.0024702088204096</v>
      </c>
    </row>
    <row r="717" spans="1:20" x14ac:dyDescent="0.25">
      <c r="A717" s="5">
        <v>43876</v>
      </c>
      <c r="B717">
        <v>8.6699999999999999E-2</v>
      </c>
      <c r="C717">
        <v>8.8859999999999995E-2</v>
      </c>
      <c r="D717">
        <v>7.6100000000000001E-2</v>
      </c>
      <c r="E717">
        <v>7.8920000000000004E-2</v>
      </c>
      <c r="F717">
        <v>206669309.40000001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-0.55799373040752276</v>
      </c>
      <c r="Q717">
        <f t="shared" si="1000"/>
        <v>-115320178.91285251</v>
      </c>
      <c r="R717">
        <f t="shared" si="1001"/>
        <v>380097757.08098936</v>
      </c>
      <c r="S717">
        <f t="shared" si="1002"/>
        <v>3800.9775708098937</v>
      </c>
      <c r="T717">
        <f t="shared" si="1003"/>
        <v>3.8009775708098936</v>
      </c>
    </row>
    <row r="718" spans="1:20" x14ac:dyDescent="0.25">
      <c r="A718" s="5">
        <v>43875</v>
      </c>
      <c r="B718">
        <v>8.3239999999999995E-2</v>
      </c>
      <c r="C718">
        <v>8.7249999999999994E-2</v>
      </c>
      <c r="D718">
        <v>7.9890000000000003E-2</v>
      </c>
      <c r="E718">
        <v>8.6709999999999995E-2</v>
      </c>
      <c r="F718">
        <v>195386247.40000001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0.85326086956521752</v>
      </c>
      <c r="Q718">
        <f t="shared" si="1000"/>
        <v>166715439.35760874</v>
      </c>
      <c r="R718">
        <f t="shared" si="1001"/>
        <v>495417935.99384189</v>
      </c>
      <c r="S718">
        <f t="shared" si="1002"/>
        <v>4954.1793599384191</v>
      </c>
      <c r="T718">
        <f t="shared" si="1003"/>
        <v>4.9541793599384194</v>
      </c>
    </row>
    <row r="719" spans="1:20" x14ac:dyDescent="0.25">
      <c r="A719" s="5">
        <v>43874</v>
      </c>
      <c r="B719">
        <v>8.004E-2</v>
      </c>
      <c r="C719">
        <v>8.7690000000000004E-2</v>
      </c>
      <c r="D719">
        <v>7.868E-2</v>
      </c>
      <c r="E719">
        <v>8.3250000000000005E-2</v>
      </c>
      <c r="F719">
        <v>366271500.5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1.4428412874584356E-2</v>
      </c>
      <c r="Q719">
        <f t="shared" si="1000"/>
        <v>5284716.4334075302</v>
      </c>
      <c r="R719">
        <f t="shared" si="1001"/>
        <v>328702496.63623315</v>
      </c>
      <c r="S719">
        <f t="shared" si="1002"/>
        <v>3287.0249663623317</v>
      </c>
      <c r="T719">
        <f t="shared" si="1003"/>
        <v>3.2870249663623317</v>
      </c>
    </row>
    <row r="720" spans="1:20" x14ac:dyDescent="0.25">
      <c r="A720" s="5">
        <v>43873</v>
      </c>
      <c r="B720">
        <v>7.4099999999999999E-2</v>
      </c>
      <c r="C720">
        <v>8.2500000000000004E-2</v>
      </c>
      <c r="D720">
        <v>7.3950000000000002E-2</v>
      </c>
      <c r="E720">
        <v>8.004E-2</v>
      </c>
      <c r="F720">
        <v>306051885.60000002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0.42456140350877114</v>
      </c>
      <c r="Q720">
        <f t="shared" si="1000"/>
        <v>129937818.09684187</v>
      </c>
      <c r="R720">
        <f t="shared" si="1001"/>
        <v>323417780.20282561</v>
      </c>
      <c r="S720">
        <f t="shared" si="1002"/>
        <v>3234.1778020282559</v>
      </c>
      <c r="T720">
        <f t="shared" si="1003"/>
        <v>3.2341778020282557</v>
      </c>
    </row>
    <row r="721" spans="1:20" x14ac:dyDescent="0.25">
      <c r="A721" s="5">
        <v>43872</v>
      </c>
      <c r="B721">
        <v>7.0540000000000005E-2</v>
      </c>
      <c r="C721">
        <v>7.467E-2</v>
      </c>
      <c r="D721">
        <v>6.8750000000000006E-2</v>
      </c>
      <c r="E721">
        <v>7.4039999999999995E-2</v>
      </c>
      <c r="F721">
        <v>192293852.40000001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0.78716216216216006</v>
      </c>
      <c r="Q721">
        <f t="shared" si="1000"/>
        <v>151366444.62567529</v>
      </c>
      <c r="R721">
        <f t="shared" si="1001"/>
        <v>193479962.10598373</v>
      </c>
      <c r="S721">
        <f t="shared" si="1002"/>
        <v>1934.7996210598374</v>
      </c>
      <c r="T721">
        <f t="shared" si="1003"/>
        <v>1.9347996210598373</v>
      </c>
    </row>
    <row r="722" spans="1:20" x14ac:dyDescent="0.25">
      <c r="A722" s="5">
        <v>43871</v>
      </c>
      <c r="B722">
        <v>7.3279999999999998E-2</v>
      </c>
      <c r="C722">
        <v>7.3749999999999996E-2</v>
      </c>
      <c r="D722">
        <v>6.8529999999999994E-2</v>
      </c>
      <c r="E722">
        <v>7.0510000000000003E-2</v>
      </c>
      <c r="F722">
        <v>168143252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-0.24137931034482429</v>
      </c>
      <c r="Q722">
        <f t="shared" si="1000"/>
        <v>-40586302.206896</v>
      </c>
      <c r="R722">
        <f t="shared" si="1001"/>
        <v>42113517.480308451</v>
      </c>
      <c r="S722">
        <f t="shared" si="1002"/>
        <v>421.13517480308451</v>
      </c>
      <c r="T722">
        <f t="shared" si="1003"/>
        <v>0.42113517480308449</v>
      </c>
    </row>
    <row r="723" spans="1:20" x14ac:dyDescent="0.25">
      <c r="A723" s="5">
        <v>43870</v>
      </c>
      <c r="B723">
        <v>7.0879999999999999E-2</v>
      </c>
      <c r="C723">
        <v>7.3959999999999998E-2</v>
      </c>
      <c r="D723">
        <v>7.077E-2</v>
      </c>
      <c r="E723">
        <v>7.3270000000000002E-2</v>
      </c>
      <c r="F723">
        <v>144881970.69999999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0.56739811912225924</v>
      </c>
      <c r="Q723">
        <f t="shared" si="1000"/>
        <v>82205757.669906259</v>
      </c>
      <c r="R723">
        <f t="shared" si="1001"/>
        <v>82699819.68720445</v>
      </c>
      <c r="S723">
        <f t="shared" si="1002"/>
        <v>826.99819687204456</v>
      </c>
      <c r="T723">
        <f t="shared" si="1003"/>
        <v>0.82699819687204457</v>
      </c>
    </row>
    <row r="724" spans="1:20" x14ac:dyDescent="0.25">
      <c r="A724" s="5">
        <v>43869</v>
      </c>
      <c r="B724">
        <v>7.1889999999999996E-2</v>
      </c>
      <c r="C724">
        <v>7.22E-2</v>
      </c>
      <c r="D724">
        <v>6.7580000000000001E-2</v>
      </c>
      <c r="E724">
        <v>7.0900000000000005E-2</v>
      </c>
      <c r="F724">
        <v>151925910.59999999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0.43722943722943902</v>
      </c>
      <c r="Q724">
        <f t="shared" si="1000"/>
        <v>66426480.392208062</v>
      </c>
      <c r="R724">
        <f t="shared" si="1001"/>
        <v>494062.01729818434</v>
      </c>
      <c r="S724">
        <f t="shared" si="1002"/>
        <v>4.9406201729818431</v>
      </c>
      <c r="T724">
        <f t="shared" si="1003"/>
        <v>4.940620172981843E-3</v>
      </c>
    </row>
    <row r="725" spans="1:20" x14ac:dyDescent="0.25">
      <c r="A725" s="5">
        <v>43868</v>
      </c>
      <c r="B725">
        <v>7.1150000000000005E-2</v>
      </c>
      <c r="C725">
        <v>7.3660000000000003E-2</v>
      </c>
      <c r="D725">
        <v>7.0680000000000007E-2</v>
      </c>
      <c r="E725">
        <v>7.1879999999999999E-2</v>
      </c>
      <c r="F725">
        <v>189377548.09999999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-0.19463087248322541</v>
      </c>
      <c r="Q725">
        <f t="shared" si="1000"/>
        <v>-36858717.415436983</v>
      </c>
      <c r="R725">
        <f t="shared" si="1001"/>
        <v>-65932418.374909878</v>
      </c>
      <c r="S725">
        <f t="shared" si="1002"/>
        <v>-659.32418374909878</v>
      </c>
      <c r="T725">
        <f t="shared" si="1003"/>
        <v>-0.65932418374909874</v>
      </c>
    </row>
    <row r="726" spans="1:20" x14ac:dyDescent="0.25">
      <c r="A726" s="5">
        <v>43867</v>
      </c>
      <c r="B726">
        <v>6.9070000000000006E-2</v>
      </c>
      <c r="C726">
        <v>7.1849999999999997E-2</v>
      </c>
      <c r="D726">
        <v>6.7430000000000004E-2</v>
      </c>
      <c r="E726">
        <v>7.1129999999999999E-2</v>
      </c>
      <c r="F726">
        <v>220654384.69999999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0.67420814479638036</v>
      </c>
      <c r="Q726">
        <f t="shared" si="1000"/>
        <v>148766983.34977379</v>
      </c>
      <c r="R726">
        <f t="shared" si="1001"/>
        <v>-29073700.959472895</v>
      </c>
      <c r="S726">
        <f t="shared" si="1002"/>
        <v>-290.73700959472893</v>
      </c>
      <c r="T726">
        <f t="shared" si="1003"/>
        <v>-0.29073700959472892</v>
      </c>
    </row>
    <row r="727" spans="1:20" x14ac:dyDescent="0.25">
      <c r="A727" s="5">
        <v>43866</v>
      </c>
      <c r="B727">
        <v>6.633E-2</v>
      </c>
      <c r="C727">
        <v>6.9639999999999994E-2</v>
      </c>
      <c r="D727">
        <v>6.5920000000000006E-2</v>
      </c>
      <c r="E727">
        <v>6.9080000000000003E-2</v>
      </c>
      <c r="F727">
        <v>227679997.40000001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0.69892473118279952</v>
      </c>
      <c r="Q727">
        <f t="shared" si="1000"/>
        <v>159131180.97849551</v>
      </c>
      <c r="R727">
        <f t="shared" si="1001"/>
        <v>-177840684.30924669</v>
      </c>
      <c r="S727">
        <f t="shared" si="1002"/>
        <v>-1778.4068430924669</v>
      </c>
      <c r="T727">
        <f t="shared" si="1003"/>
        <v>-1.7784068430924669</v>
      </c>
    </row>
    <row r="728" spans="1:20" x14ac:dyDescent="0.25">
      <c r="A728" s="5">
        <v>43865</v>
      </c>
      <c r="B728">
        <v>6.429E-2</v>
      </c>
      <c r="C728">
        <v>6.7580000000000001E-2</v>
      </c>
      <c r="D728">
        <v>6.1679999999999999E-2</v>
      </c>
      <c r="E728">
        <v>6.6339999999999996E-2</v>
      </c>
      <c r="F728">
        <v>185032338.30000001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0.57966101694915106</v>
      </c>
      <c r="Q728">
        <f t="shared" si="1000"/>
        <v>107256033.38745736</v>
      </c>
      <c r="R728">
        <f t="shared" si="1001"/>
        <v>-336971865.2877422</v>
      </c>
      <c r="S728">
        <f t="shared" si="1002"/>
        <v>-3369.7186528774218</v>
      </c>
      <c r="T728">
        <f t="shared" si="1003"/>
        <v>-3.3697186528774217</v>
      </c>
    </row>
    <row r="729" spans="1:20" x14ac:dyDescent="0.25">
      <c r="A729" s="5">
        <v>43864</v>
      </c>
      <c r="B729">
        <v>6.3450000000000006E-2</v>
      </c>
      <c r="C729">
        <v>6.6000000000000003E-2</v>
      </c>
      <c r="D729">
        <v>6.2579999999999997E-2</v>
      </c>
      <c r="E729">
        <v>6.4299999999999996E-2</v>
      </c>
      <c r="F729">
        <v>130324781.40000001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5.847953216371991E-3</v>
      </c>
      <c r="Q729">
        <f t="shared" si="1000"/>
        <v>762133.22456110665</v>
      </c>
      <c r="R729">
        <f t="shared" si="1001"/>
        <v>-444227898.67519957</v>
      </c>
      <c r="S729">
        <f t="shared" si="1002"/>
        <v>-4442.2789867519959</v>
      </c>
      <c r="T729">
        <f t="shared" si="1003"/>
        <v>-4.4422789867519956</v>
      </c>
    </row>
    <row r="730" spans="1:20" x14ac:dyDescent="0.25">
      <c r="A730" s="5">
        <v>43863</v>
      </c>
      <c r="B730">
        <v>6.2239999999999997E-2</v>
      </c>
      <c r="C730">
        <v>6.6170000000000007E-2</v>
      </c>
      <c r="D730">
        <v>6.0990000000000003E-2</v>
      </c>
      <c r="E730">
        <v>6.3450000000000006E-2</v>
      </c>
      <c r="F730">
        <v>178921671.80000001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-5.0193050193049447E-2</v>
      </c>
      <c r="Q730">
        <f t="shared" si="1000"/>
        <v>-8980624.4532817211</v>
      </c>
      <c r="R730">
        <f t="shared" si="1001"/>
        <v>-444990031.89976066</v>
      </c>
      <c r="S730">
        <f t="shared" si="1002"/>
        <v>-4449.9003189976065</v>
      </c>
      <c r="T730">
        <f t="shared" si="1003"/>
        <v>-4.4499003189976065</v>
      </c>
    </row>
    <row r="731" spans="1:20" x14ac:dyDescent="0.25">
      <c r="A731" s="5">
        <v>43862</v>
      </c>
      <c r="B731">
        <v>6.0600000000000001E-2</v>
      </c>
      <c r="C731">
        <v>6.2530000000000002E-2</v>
      </c>
      <c r="D731">
        <v>6.0420000000000001E-2</v>
      </c>
      <c r="E731">
        <v>6.2239999999999997E-2</v>
      </c>
      <c r="F731">
        <v>110536762.7</v>
      </c>
      <c r="G731">
        <v>0</v>
      </c>
      <c r="L731" t="s">
        <v>8</v>
      </c>
      <c r="M731" t="s">
        <v>7</v>
      </c>
      <c r="N731" t="s">
        <v>8</v>
      </c>
      <c r="P731">
        <f t="shared" si="999"/>
        <v>0.72511848341231711</v>
      </c>
      <c r="Q731">
        <f t="shared" si="1000"/>
        <v>80152249.730331182</v>
      </c>
      <c r="R731">
        <f t="shared" si="1001"/>
        <v>-436009407.44647896</v>
      </c>
      <c r="S731">
        <f t="shared" si="1002"/>
        <v>-4360.0940744647896</v>
      </c>
      <c r="T731">
        <f t="shared" si="1003"/>
        <v>-4.36009407446479</v>
      </c>
    </row>
    <row r="732" spans="1:20" x14ac:dyDescent="0.25">
      <c r="A732" s="5">
        <v>43861</v>
      </c>
      <c r="B732">
        <v>6.2820000000000001E-2</v>
      </c>
      <c r="C732">
        <v>6.2979999999999994E-2</v>
      </c>
      <c r="D732">
        <v>5.9839999999999997E-2</v>
      </c>
      <c r="E732">
        <v>6.0600000000000001E-2</v>
      </c>
      <c r="F732">
        <v>115914369.7</v>
      </c>
      <c r="G732">
        <v>0</v>
      </c>
      <c r="L732" t="s">
        <v>8</v>
      </c>
      <c r="M732" t="s">
        <v>7</v>
      </c>
      <c r="N732" t="s">
        <v>8</v>
      </c>
      <c r="P732">
        <f t="shared" si="999"/>
        <v>-0.515923566878978</v>
      </c>
      <c r="Q732">
        <f t="shared" si="1000"/>
        <v>-59802955.068152532</v>
      </c>
      <c r="R732">
        <f t="shared" si="1001"/>
        <v>-516161657.17681015</v>
      </c>
      <c r="S732">
        <f t="shared" si="1002"/>
        <v>-5161.6165717681015</v>
      </c>
      <c r="T732">
        <f t="shared" si="1003"/>
        <v>-5.1616165717681017</v>
      </c>
    </row>
    <row r="733" spans="1:20" x14ac:dyDescent="0.25">
      <c r="A733" s="5">
        <v>43860</v>
      </c>
      <c r="B733">
        <v>6.0839999999999998E-2</v>
      </c>
      <c r="C733">
        <v>6.3189999999999996E-2</v>
      </c>
      <c r="D733">
        <v>5.9769999999999997E-2</v>
      </c>
      <c r="E733">
        <v>6.2799999999999995E-2</v>
      </c>
      <c r="F733">
        <v>143808482.30000001</v>
      </c>
      <c r="G733">
        <v>0</v>
      </c>
      <c r="L733" t="s">
        <v>8</v>
      </c>
      <c r="M733" t="s">
        <v>7</v>
      </c>
      <c r="N733" t="s">
        <v>8</v>
      </c>
      <c r="P733">
        <f t="shared" si="999"/>
        <v>0.77192982456140258</v>
      </c>
      <c r="Q733">
        <f t="shared" si="1000"/>
        <v>111010056.51228058</v>
      </c>
      <c r="R733">
        <f t="shared" si="1001"/>
        <v>-456358702.1086576</v>
      </c>
      <c r="S733">
        <f t="shared" si="1002"/>
        <v>-4563.587021086576</v>
      </c>
      <c r="T733">
        <f t="shared" si="1003"/>
        <v>-4.5635870210865761</v>
      </c>
    </row>
    <row r="734" spans="1:20" x14ac:dyDescent="0.25">
      <c r="A734" s="5">
        <v>43859</v>
      </c>
      <c r="B734">
        <v>6.0729999999999999E-2</v>
      </c>
      <c r="C734">
        <v>6.3039999999999999E-2</v>
      </c>
      <c r="D734">
        <v>6.0220000000000003E-2</v>
      </c>
      <c r="E734">
        <v>6.0830000000000002E-2</v>
      </c>
      <c r="F734">
        <v>145960270.59999999</v>
      </c>
      <c r="G734">
        <v>0</v>
      </c>
      <c r="L734" t="s">
        <v>8</v>
      </c>
      <c r="M734" t="s">
        <v>7</v>
      </c>
      <c r="N734" t="s">
        <v>8</v>
      </c>
      <c r="P734">
        <f t="shared" si="999"/>
        <v>-0.56737588652482251</v>
      </c>
      <c r="Q734">
        <f t="shared" si="1000"/>
        <v>-82814337.929077983</v>
      </c>
      <c r="R734">
        <f t="shared" si="1001"/>
        <v>-567368758.62093818</v>
      </c>
      <c r="S734">
        <f t="shared" si="1002"/>
        <v>-5673.6875862093821</v>
      </c>
      <c r="T734">
        <f t="shared" si="1003"/>
        <v>-5.6736875862093816</v>
      </c>
    </row>
    <row r="735" spans="1:20" x14ac:dyDescent="0.25">
      <c r="A735" s="5">
        <v>43858</v>
      </c>
      <c r="B735">
        <v>5.9700000000000003E-2</v>
      </c>
      <c r="C735">
        <v>6.2239999999999997E-2</v>
      </c>
      <c r="D735">
        <v>5.9060000000000001E-2</v>
      </c>
      <c r="E735">
        <v>6.0720000000000003E-2</v>
      </c>
      <c r="F735">
        <v>165415527.5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4.4025157232707036E-2</v>
      </c>
      <c r="Q735">
        <f t="shared" si="1000"/>
        <v>7282444.6069186749</v>
      </c>
      <c r="R735">
        <f t="shared" si="1001"/>
        <v>-484554420.6918602</v>
      </c>
      <c r="S735">
        <f t="shared" si="1002"/>
        <v>-4845.544206918602</v>
      </c>
      <c r="T735">
        <f t="shared" si="1003"/>
        <v>-4.8455442069186017</v>
      </c>
    </row>
    <row r="736" spans="1:20" x14ac:dyDescent="0.25">
      <c r="A736" s="5">
        <v>43857</v>
      </c>
      <c r="B736">
        <v>5.8409999999999997E-2</v>
      </c>
      <c r="C736">
        <v>6.0970000000000003E-2</v>
      </c>
      <c r="D736">
        <v>5.7630000000000001E-2</v>
      </c>
      <c r="E736">
        <v>5.9709999999999999E-2</v>
      </c>
      <c r="F736">
        <v>117719995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0.24550898203592625</v>
      </c>
      <c r="Q736">
        <f t="shared" si="1000"/>
        <v>28901316.137724329</v>
      </c>
      <c r="R736">
        <f t="shared" si="1001"/>
        <v>-491836865.29877889</v>
      </c>
      <c r="S736">
        <f t="shared" si="1002"/>
        <v>-4918.3686529877887</v>
      </c>
      <c r="T736">
        <f t="shared" si="1003"/>
        <v>-4.9183686529877884</v>
      </c>
    </row>
    <row r="737" spans="1:20" x14ac:dyDescent="0.25">
      <c r="A737" s="5">
        <v>43856</v>
      </c>
      <c r="B737">
        <v>5.602E-2</v>
      </c>
      <c r="C737">
        <v>5.8630000000000002E-2</v>
      </c>
      <c r="D737">
        <v>5.5759999999999997E-2</v>
      </c>
      <c r="E737">
        <v>5.8409999999999997E-2</v>
      </c>
      <c r="F737">
        <v>79799362.799999997</v>
      </c>
      <c r="G737">
        <v>0</v>
      </c>
      <c r="L737" t="s">
        <v>7</v>
      </c>
      <c r="M737" t="s">
        <v>7</v>
      </c>
      <c r="N737" t="s">
        <v>8</v>
      </c>
      <c r="P737">
        <f t="shared" si="999"/>
        <v>0.84668989547038009</v>
      </c>
      <c r="Q737">
        <f t="shared" si="1000"/>
        <v>67565314.14773494</v>
      </c>
      <c r="R737">
        <f t="shared" si="1001"/>
        <v>-520738181.43650323</v>
      </c>
      <c r="S737">
        <f t="shared" si="1002"/>
        <v>-5207.3818143650324</v>
      </c>
      <c r="T737">
        <f t="shared" si="1003"/>
        <v>-5.2073818143650321</v>
      </c>
    </row>
    <row r="738" spans="1:20" x14ac:dyDescent="0.25">
      <c r="A738" s="5">
        <v>43855</v>
      </c>
      <c r="B738">
        <v>5.7169999999999999E-2</v>
      </c>
      <c r="C738">
        <v>5.7290000000000001E-2</v>
      </c>
      <c r="D738">
        <v>5.5590000000000001E-2</v>
      </c>
      <c r="E738">
        <v>5.604E-2</v>
      </c>
      <c r="F738">
        <v>65949474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-0.47058823529411886</v>
      </c>
      <c r="Q738">
        <f t="shared" si="1000"/>
        <v>-31035046.588235375</v>
      </c>
      <c r="R738">
        <f t="shared" si="1001"/>
        <v>-588303495.58423817</v>
      </c>
      <c r="S738">
        <f t="shared" si="1002"/>
        <v>-5883.0349558423814</v>
      </c>
      <c r="T738">
        <f t="shared" si="1003"/>
        <v>-5.8830349558423816</v>
      </c>
    </row>
    <row r="739" spans="1:20" x14ac:dyDescent="0.25">
      <c r="A739" s="5">
        <v>43854</v>
      </c>
      <c r="B739">
        <v>5.8340000000000003E-2</v>
      </c>
      <c r="C739">
        <v>5.842E-2</v>
      </c>
      <c r="D739">
        <v>5.4890000000000001E-2</v>
      </c>
      <c r="E739">
        <v>5.7140000000000003E-2</v>
      </c>
      <c r="F739">
        <v>139940948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0.27478753541076656</v>
      </c>
      <c r="Q739">
        <f t="shared" si="1000"/>
        <v>38454028.203966245</v>
      </c>
      <c r="R739">
        <f t="shared" si="1001"/>
        <v>-557268448.99600279</v>
      </c>
      <c r="S739">
        <f t="shared" si="1002"/>
        <v>-5572.6844899600283</v>
      </c>
      <c r="T739">
        <f t="shared" si="1003"/>
        <v>-5.5726844899600279</v>
      </c>
    </row>
    <row r="740" spans="1:20" x14ac:dyDescent="0.25">
      <c r="A740" s="5">
        <v>43853</v>
      </c>
      <c r="B740">
        <v>6.1370000000000001E-2</v>
      </c>
      <c r="C740">
        <v>6.1429999999999998E-2</v>
      </c>
      <c r="D740">
        <v>5.688E-2</v>
      </c>
      <c r="E740">
        <v>5.833E-2</v>
      </c>
      <c r="F740">
        <v>142997027.90000001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-0.36263736263736246</v>
      </c>
      <c r="Q740">
        <f t="shared" si="1000"/>
        <v>-51856065.062637337</v>
      </c>
      <c r="R740">
        <f t="shared" si="1001"/>
        <v>-595722477.19996905</v>
      </c>
      <c r="S740">
        <f t="shared" si="1002"/>
        <v>-5957.2247719996903</v>
      </c>
      <c r="T740">
        <f t="shared" si="1003"/>
        <v>-5.95722477199969</v>
      </c>
    </row>
    <row r="741" spans="1:20" x14ac:dyDescent="0.25">
      <c r="A741" s="5">
        <v>43852</v>
      </c>
      <c r="B741">
        <v>6.2820000000000001E-2</v>
      </c>
      <c r="C741">
        <v>6.3950000000000007E-2</v>
      </c>
      <c r="D741">
        <v>6.0839999999999998E-2</v>
      </c>
      <c r="E741">
        <v>6.1359999999999998E-2</v>
      </c>
      <c r="F741">
        <v>101641735.09999999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-0.66559485530546736</v>
      </c>
      <c r="Q741">
        <f t="shared" si="1000"/>
        <v>-67652215.966881141</v>
      </c>
      <c r="R741">
        <f t="shared" si="1001"/>
        <v>-543866412.13733172</v>
      </c>
      <c r="S741">
        <f t="shared" si="1002"/>
        <v>-5438.6641213733174</v>
      </c>
      <c r="T741">
        <f t="shared" si="1003"/>
        <v>-5.4386641213733178</v>
      </c>
    </row>
    <row r="742" spans="1:20" x14ac:dyDescent="0.25">
      <c r="A742" s="5">
        <v>43851</v>
      </c>
      <c r="B742">
        <v>6.2740000000000004E-2</v>
      </c>
      <c r="C742">
        <v>6.4780000000000004E-2</v>
      </c>
      <c r="D742">
        <v>6.148E-2</v>
      </c>
      <c r="E742">
        <v>6.2789999999999999E-2</v>
      </c>
      <c r="F742">
        <v>148201811.59999999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-0.20606060606060791</v>
      </c>
      <c r="Q742">
        <f t="shared" si="1000"/>
        <v>-30538555.117576033</v>
      </c>
      <c r="R742">
        <f t="shared" si="1001"/>
        <v>-476214196.17045057</v>
      </c>
      <c r="S742">
        <f t="shared" si="1002"/>
        <v>-4762.1419617045058</v>
      </c>
      <c r="T742">
        <f t="shared" si="1003"/>
        <v>-4.762141961704506</v>
      </c>
    </row>
    <row r="743" spans="1:20" x14ac:dyDescent="0.25">
      <c r="A743" s="5">
        <v>43850</v>
      </c>
      <c r="B743">
        <v>6.003E-2</v>
      </c>
      <c r="C743">
        <v>6.5159999999999996E-2</v>
      </c>
      <c r="D743">
        <v>5.9200000000000003E-2</v>
      </c>
      <c r="E743">
        <v>6.2740000000000004E-2</v>
      </c>
      <c r="F743">
        <v>322412843.5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0.18791946308725019</v>
      </c>
      <c r="Q743">
        <f t="shared" si="1000"/>
        <v>60587648.442953624</v>
      </c>
      <c r="R743">
        <f t="shared" si="1001"/>
        <v>-445675641.05287451</v>
      </c>
      <c r="S743">
        <f t="shared" si="1002"/>
        <v>-4456.7564105287447</v>
      </c>
      <c r="T743">
        <f t="shared" si="1003"/>
        <v>-4.4567564105287447</v>
      </c>
    </row>
    <row r="744" spans="1:20" x14ac:dyDescent="0.25">
      <c r="A744" s="5">
        <v>43849</v>
      </c>
      <c r="B744">
        <v>6.148E-2</v>
      </c>
      <c r="C744">
        <v>6.6400000000000001E-2</v>
      </c>
      <c r="D744">
        <v>5.8389999999999997E-2</v>
      </c>
      <c r="E744">
        <v>6.0040000000000003E-2</v>
      </c>
      <c r="F744">
        <v>304826836.69999999</v>
      </c>
      <c r="G744">
        <v>0</v>
      </c>
      <c r="L744" t="s">
        <v>8</v>
      </c>
      <c r="M744" t="s">
        <v>8</v>
      </c>
      <c r="N744" t="s">
        <v>8</v>
      </c>
      <c r="P744">
        <f t="shared" si="999"/>
        <v>-0.58801498127340701</v>
      </c>
      <c r="Q744">
        <f t="shared" si="1000"/>
        <v>-179242746.67378238</v>
      </c>
      <c r="R744">
        <f t="shared" si="1001"/>
        <v>-506263289.49582815</v>
      </c>
      <c r="S744">
        <f t="shared" si="1002"/>
        <v>-5062.6328949582812</v>
      </c>
      <c r="T744">
        <f t="shared" si="1003"/>
        <v>-5.0626328949582815</v>
      </c>
    </row>
    <row r="745" spans="1:20" x14ac:dyDescent="0.25">
      <c r="A745" s="5">
        <v>43848</v>
      </c>
      <c r="B745">
        <v>6.0780000000000001E-2</v>
      </c>
      <c r="C745">
        <v>6.6259999999999999E-2</v>
      </c>
      <c r="D745">
        <v>5.7459999999999997E-2</v>
      </c>
      <c r="E745">
        <v>6.1490000000000003E-2</v>
      </c>
      <c r="F745">
        <v>362498402.19999999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-8.4090909090908009E-2</v>
      </c>
      <c r="Q745">
        <f t="shared" si="1000"/>
        <v>-30482820.184999608</v>
      </c>
      <c r="R745">
        <f t="shared" si="1001"/>
        <v>-327020542.8220458</v>
      </c>
      <c r="S745">
        <f t="shared" si="1002"/>
        <v>-3270.2054282204581</v>
      </c>
      <c r="T745">
        <f t="shared" si="1003"/>
        <v>-3.270205428220458</v>
      </c>
    </row>
    <row r="746" spans="1:20" x14ac:dyDescent="0.25">
      <c r="A746" s="5">
        <v>43847</v>
      </c>
      <c r="B746">
        <v>5.3710000000000001E-2</v>
      </c>
      <c r="C746">
        <v>6.4570000000000002E-2</v>
      </c>
      <c r="D746">
        <v>5.3060000000000003E-2</v>
      </c>
      <c r="E746">
        <v>6.0720000000000003E-2</v>
      </c>
      <c r="F746">
        <v>271547690.60000002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0.33101650738488281</v>
      </c>
      <c r="Q746">
        <f t="shared" si="1000"/>
        <v>89886768.130842775</v>
      </c>
      <c r="R746">
        <f t="shared" si="1001"/>
        <v>-296537722.63704622</v>
      </c>
      <c r="S746">
        <f t="shared" si="1002"/>
        <v>-2965.3772263704623</v>
      </c>
      <c r="T746">
        <f t="shared" si="1003"/>
        <v>-2.9653772263704621</v>
      </c>
    </row>
    <row r="747" spans="1:20" x14ac:dyDescent="0.25">
      <c r="A747" s="5">
        <v>43846</v>
      </c>
      <c r="B747">
        <v>5.4769999999999999E-2</v>
      </c>
      <c r="C747">
        <v>5.5109999999999999E-2</v>
      </c>
      <c r="D747">
        <v>5.2060000000000002E-2</v>
      </c>
      <c r="E747">
        <v>5.3670000000000002E-2</v>
      </c>
      <c r="F747">
        <v>101786007.7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5.5737704918033981E-2</v>
      </c>
      <c r="Q747">
        <f t="shared" si="1000"/>
        <v>5673318.4619673351</v>
      </c>
      <c r="R747">
        <f t="shared" si="1001"/>
        <v>-386424490.76788902</v>
      </c>
      <c r="S747">
        <f t="shared" si="1002"/>
        <v>-3864.2449076788903</v>
      </c>
      <c r="T747">
        <f t="shared" si="1003"/>
        <v>-3.8642449076788905</v>
      </c>
    </row>
    <row r="748" spans="1:20" x14ac:dyDescent="0.25">
      <c r="A748" s="5">
        <v>43845</v>
      </c>
      <c r="B748">
        <v>5.28E-2</v>
      </c>
      <c r="C748">
        <v>5.6739999999999999E-2</v>
      </c>
      <c r="D748">
        <v>5.1549999999999999E-2</v>
      </c>
      <c r="E748">
        <v>5.4800000000000001E-2</v>
      </c>
      <c r="F748">
        <v>174397966.40000001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0.25240847784200493</v>
      </c>
      <c r="Q748">
        <f t="shared" si="1000"/>
        <v>44019525.237765118</v>
      </c>
      <c r="R748">
        <f t="shared" si="1001"/>
        <v>-392097809.22985637</v>
      </c>
      <c r="S748">
        <f t="shared" si="1002"/>
        <v>-3920.9780922985638</v>
      </c>
      <c r="T748">
        <f t="shared" si="1003"/>
        <v>-3.9209780922985638</v>
      </c>
    </row>
    <row r="749" spans="1:20" x14ac:dyDescent="0.25">
      <c r="A749" s="5">
        <v>43844</v>
      </c>
      <c r="B749">
        <v>4.8120000000000003E-2</v>
      </c>
      <c r="C749">
        <v>5.5320000000000001E-2</v>
      </c>
      <c r="D749">
        <v>4.8099999999999997E-2</v>
      </c>
      <c r="E749">
        <v>5.28E-2</v>
      </c>
      <c r="F749">
        <v>180352283.5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0.30193905817174516</v>
      </c>
      <c r="Q749">
        <f t="shared" si="1000"/>
        <v>54455398.619113572</v>
      </c>
      <c r="R749">
        <f t="shared" si="1001"/>
        <v>-436117334.46762151</v>
      </c>
      <c r="S749">
        <f t="shared" si="1002"/>
        <v>-4361.1733446762155</v>
      </c>
      <c r="T749">
        <f t="shared" si="1003"/>
        <v>-4.3611733446762155</v>
      </c>
    </row>
    <row r="750" spans="1:20" x14ac:dyDescent="0.25">
      <c r="A750" s="5">
        <v>43843</v>
      </c>
      <c r="B750">
        <v>4.904E-2</v>
      </c>
      <c r="C750">
        <v>4.9059999999999999E-2</v>
      </c>
      <c r="D750">
        <v>4.7600000000000003E-2</v>
      </c>
      <c r="E750">
        <v>4.8129999999999999E-2</v>
      </c>
      <c r="F750">
        <v>29523962.899999999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-0.27397260273972984</v>
      </c>
      <c r="Q750">
        <f t="shared" si="1000"/>
        <v>-8088756.9589042217</v>
      </c>
      <c r="R750">
        <f t="shared" si="1001"/>
        <v>-490572733.08673507</v>
      </c>
      <c r="S750">
        <f t="shared" si="1002"/>
        <v>-4905.7273308673502</v>
      </c>
      <c r="T750">
        <f t="shared" si="1003"/>
        <v>-4.9057273308673501</v>
      </c>
    </row>
    <row r="751" spans="1:20" x14ac:dyDescent="0.25">
      <c r="A751" s="5">
        <v>43842</v>
      </c>
      <c r="B751">
        <v>4.8250000000000001E-2</v>
      </c>
      <c r="C751">
        <v>4.9320000000000003E-2</v>
      </c>
      <c r="D751">
        <v>4.8000000000000001E-2</v>
      </c>
      <c r="E751">
        <v>4.9050000000000003E-2</v>
      </c>
      <c r="F751">
        <v>38323399.399999999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0.59090909090909238</v>
      </c>
      <c r="Q751">
        <f t="shared" si="1000"/>
        <v>22645645.100000057</v>
      </c>
      <c r="R751">
        <f t="shared" si="1001"/>
        <v>-482483976.12783086</v>
      </c>
      <c r="S751">
        <f t="shared" si="1002"/>
        <v>-4824.8397612783083</v>
      </c>
      <c r="T751">
        <f t="shared" si="1003"/>
        <v>-4.8248397612783087</v>
      </c>
    </row>
    <row r="752" spans="1:20" x14ac:dyDescent="0.25">
      <c r="A752" s="5">
        <v>43841</v>
      </c>
      <c r="B752">
        <v>4.8050000000000002E-2</v>
      </c>
      <c r="C752">
        <v>4.956E-2</v>
      </c>
      <c r="D752">
        <v>4.7359999999999999E-2</v>
      </c>
      <c r="E752">
        <v>4.8250000000000001E-2</v>
      </c>
      <c r="F752">
        <v>59275273.299999997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-0.19090909090908939</v>
      </c>
      <c r="Q752">
        <f t="shared" si="1000"/>
        <v>-11316188.539090818</v>
      </c>
      <c r="R752">
        <f t="shared" si="1001"/>
        <v>-505129621.22783095</v>
      </c>
      <c r="S752">
        <f t="shared" si="1002"/>
        <v>-5051.2962122783092</v>
      </c>
      <c r="T752">
        <f t="shared" si="1003"/>
        <v>-5.0512962122783094</v>
      </c>
    </row>
    <row r="753" spans="1:20" x14ac:dyDescent="0.25">
      <c r="A753" s="5">
        <v>43840</v>
      </c>
      <c r="B753">
        <v>4.7149999999999997E-2</v>
      </c>
      <c r="C753">
        <v>4.8180000000000001E-2</v>
      </c>
      <c r="D753">
        <v>4.5530000000000001E-2</v>
      </c>
      <c r="E753">
        <v>4.802E-2</v>
      </c>
      <c r="F753">
        <v>97552455.599999994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0.87924528301886762</v>
      </c>
      <c r="Q753">
        <f t="shared" si="1000"/>
        <v>85772536.433207512</v>
      </c>
      <c r="R753">
        <f t="shared" si="1001"/>
        <v>-493813432.68874013</v>
      </c>
      <c r="S753">
        <f t="shared" si="1002"/>
        <v>-4938.1343268874016</v>
      </c>
      <c r="T753">
        <f t="shared" si="1003"/>
        <v>-4.9381343268874014</v>
      </c>
    </row>
    <row r="754" spans="1:20" x14ac:dyDescent="0.25">
      <c r="A754" s="5">
        <v>43839</v>
      </c>
      <c r="B754">
        <v>4.768E-2</v>
      </c>
      <c r="C754">
        <v>4.8180000000000001E-2</v>
      </c>
      <c r="D754">
        <v>4.6899999999999997E-2</v>
      </c>
      <c r="E754">
        <v>4.718E-2</v>
      </c>
      <c r="F754">
        <v>39959442.899999999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-0.56249999999999734</v>
      </c>
      <c r="Q754">
        <f t="shared" si="1000"/>
        <v>-22477186.631249893</v>
      </c>
      <c r="R754">
        <f t="shared" si="1001"/>
        <v>-579585969.12194765</v>
      </c>
      <c r="S754">
        <f t="shared" si="1002"/>
        <v>-5795.8596912194762</v>
      </c>
      <c r="T754">
        <f t="shared" si="1003"/>
        <v>-5.7958596912194764</v>
      </c>
    </row>
    <row r="755" spans="1:20" x14ac:dyDescent="0.25">
      <c r="A755" s="5">
        <v>43838</v>
      </c>
      <c r="B755">
        <v>4.8390000000000002E-2</v>
      </c>
      <c r="C755">
        <v>4.9399999999999999E-2</v>
      </c>
      <c r="D755">
        <v>4.6719999999999998E-2</v>
      </c>
      <c r="E755">
        <v>4.768E-2</v>
      </c>
      <c r="F755">
        <v>72238834.299999997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-0.2835820895522374</v>
      </c>
      <c r="Q755">
        <f t="shared" si="1000"/>
        <v>-20485639.577611838</v>
      </c>
      <c r="R755">
        <f t="shared" si="1001"/>
        <v>-557108782.49069774</v>
      </c>
      <c r="S755">
        <f t="shared" si="1002"/>
        <v>-5571.0878249069774</v>
      </c>
      <c r="T755">
        <f t="shared" si="1003"/>
        <v>-5.5710878249069777</v>
      </c>
    </row>
    <row r="756" spans="1:20" x14ac:dyDescent="0.25">
      <c r="A756" s="5">
        <v>43837</v>
      </c>
      <c r="B756">
        <v>5.0500000000000003E-2</v>
      </c>
      <c r="C756">
        <v>5.1029999999999999E-2</v>
      </c>
      <c r="D756">
        <v>4.7390000000000002E-2</v>
      </c>
      <c r="E756">
        <v>4.8390000000000002E-2</v>
      </c>
      <c r="F756">
        <v>98972377.900000006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-0.45054945054944967</v>
      </c>
      <c r="Q756">
        <f t="shared" si="1000"/>
        <v>-44591950.482417502</v>
      </c>
      <c r="R756">
        <f t="shared" si="1001"/>
        <v>-536623142.91308588</v>
      </c>
      <c r="S756">
        <f t="shared" si="1002"/>
        <v>-5366.2314291308585</v>
      </c>
      <c r="T756">
        <f t="shared" si="1003"/>
        <v>-5.3662314291308588</v>
      </c>
    </row>
    <row r="757" spans="1:20" x14ac:dyDescent="0.25">
      <c r="A757" s="5">
        <v>43836</v>
      </c>
      <c r="B757">
        <v>4.5440000000000001E-2</v>
      </c>
      <c r="C757">
        <v>5.049E-2</v>
      </c>
      <c r="D757">
        <v>4.5339999999999998E-2</v>
      </c>
      <c r="E757">
        <v>5.0459999999999998E-2</v>
      </c>
      <c r="F757">
        <v>81613453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0.98834951456310594</v>
      </c>
      <c r="Q757">
        <f t="shared" si="1000"/>
        <v>80662616.654368863</v>
      </c>
      <c r="R757">
        <f t="shared" si="1001"/>
        <v>-492031192.43066835</v>
      </c>
      <c r="S757">
        <f t="shared" si="1002"/>
        <v>-4920.311924306684</v>
      </c>
      <c r="T757">
        <f t="shared" si="1003"/>
        <v>-4.9203119243066844</v>
      </c>
    </row>
    <row r="758" spans="1:20" x14ac:dyDescent="0.25">
      <c r="A758" s="5">
        <v>43835</v>
      </c>
      <c r="B758">
        <v>4.5659999999999999E-2</v>
      </c>
      <c r="C758">
        <v>4.6249999999999999E-2</v>
      </c>
      <c r="D758">
        <v>4.5190000000000001E-2</v>
      </c>
      <c r="E758">
        <v>4.5440000000000001E-2</v>
      </c>
      <c r="F758">
        <v>28897563.5</v>
      </c>
      <c r="G758">
        <v>0</v>
      </c>
      <c r="L758" t="s">
        <v>7</v>
      </c>
      <c r="M758" t="s">
        <v>7</v>
      </c>
      <c r="N758" t="s">
        <v>7</v>
      </c>
      <c r="P758">
        <f t="shared" si="999"/>
        <v>-0.52830188679245171</v>
      </c>
      <c r="Q758">
        <f t="shared" si="1000"/>
        <v>-15266637.320754685</v>
      </c>
      <c r="R758">
        <f t="shared" si="1001"/>
        <v>-572693809.08503723</v>
      </c>
      <c r="S758">
        <f t="shared" si="1002"/>
        <v>-5726.9380908503726</v>
      </c>
      <c r="T758">
        <f t="shared" si="1003"/>
        <v>-5.7269380908503731</v>
      </c>
    </row>
    <row r="759" spans="1:20" x14ac:dyDescent="0.25">
      <c r="A759" s="5">
        <v>43834</v>
      </c>
      <c r="B759">
        <v>4.564E-2</v>
      </c>
      <c r="C759">
        <v>4.5850000000000002E-2</v>
      </c>
      <c r="D759">
        <v>4.5130000000000003E-2</v>
      </c>
      <c r="E759">
        <v>4.5650000000000003E-2</v>
      </c>
      <c r="F759">
        <v>17395833.199999999</v>
      </c>
      <c r="G759">
        <v>0</v>
      </c>
      <c r="L759" t="s">
        <v>7</v>
      </c>
      <c r="M759" t="s">
        <v>7</v>
      </c>
      <c r="N759" t="s">
        <v>7</v>
      </c>
      <c r="P759">
        <f t="shared" si="999"/>
        <v>0.44444444444444658</v>
      </c>
      <c r="Q759">
        <f t="shared" si="1000"/>
        <v>7731481.4222222595</v>
      </c>
      <c r="R759">
        <f t="shared" si="1001"/>
        <v>-557427171.76428258</v>
      </c>
      <c r="S759">
        <f t="shared" si="1002"/>
        <v>-5574.2717176428259</v>
      </c>
      <c r="T759">
        <f t="shared" si="1003"/>
        <v>-5.5742717176428256</v>
      </c>
    </row>
    <row r="760" spans="1:20" x14ac:dyDescent="0.25">
      <c r="A760" s="5">
        <v>43833</v>
      </c>
      <c r="B760">
        <v>4.3580000000000001E-2</v>
      </c>
      <c r="C760">
        <v>4.5679999999999998E-2</v>
      </c>
      <c r="D760">
        <v>4.3240000000000001E-2</v>
      </c>
      <c r="E760">
        <v>4.5659999999999999E-2</v>
      </c>
      <c r="F760">
        <v>22163529.800000001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0.98360655737704983</v>
      </c>
      <c r="Q760">
        <f t="shared" si="1000"/>
        <v>21800193.245901655</v>
      </c>
      <c r="R760">
        <f t="shared" si="1001"/>
        <v>-565158653.18650484</v>
      </c>
      <c r="S760">
        <f t="shared" si="1002"/>
        <v>-5651.5865318650485</v>
      </c>
      <c r="T760">
        <f t="shared" si="1003"/>
        <v>-5.6515865318650489</v>
      </c>
    </row>
    <row r="761" spans="1:20" x14ac:dyDescent="0.25">
      <c r="A761" s="5">
        <v>43832</v>
      </c>
      <c r="B761">
        <v>4.5269999999999998E-2</v>
      </c>
      <c r="C761">
        <v>4.5440000000000001E-2</v>
      </c>
      <c r="D761">
        <v>4.3479999999999998E-2</v>
      </c>
      <c r="E761">
        <v>4.3610000000000003E-2</v>
      </c>
      <c r="F761">
        <v>17557760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-0.86734693877550517</v>
      </c>
      <c r="Q761">
        <f t="shared" si="1000"/>
        <v>-15228669.387755014</v>
      </c>
      <c r="R761">
        <f t="shared" si="1001"/>
        <v>-586958846.43240654</v>
      </c>
      <c r="S761">
        <f t="shared" si="1002"/>
        <v>-5869.5884643240652</v>
      </c>
      <c r="T761">
        <f t="shared" si="1003"/>
        <v>-5.8695884643240648</v>
      </c>
    </row>
    <row r="762" spans="1:20" x14ac:dyDescent="0.25">
      <c r="A762" s="5">
        <v>43831</v>
      </c>
      <c r="B762">
        <v>4.4949999999999997E-2</v>
      </c>
      <c r="C762">
        <v>4.5519999999999998E-2</v>
      </c>
      <c r="D762">
        <v>4.4819999999999999E-2</v>
      </c>
      <c r="E762">
        <v>4.5289999999999997E-2</v>
      </c>
      <c r="F762">
        <v>8262760.7000000002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0.3428571428571392</v>
      </c>
      <c r="Q762">
        <f t="shared" si="1000"/>
        <v>2832946.5257142554</v>
      </c>
      <c r="R762">
        <f t="shared" si="1001"/>
        <v>-571730177.04465151</v>
      </c>
      <c r="S762">
        <f t="shared" si="1002"/>
        <v>-5717.3017704465146</v>
      </c>
      <c r="T762">
        <f t="shared" si="1003"/>
        <v>-5.7173017704465146</v>
      </c>
    </row>
    <row r="763" spans="1:20" x14ac:dyDescent="0.25">
      <c r="A763" s="5">
        <v>43830</v>
      </c>
      <c r="B763">
        <v>4.5530000000000001E-2</v>
      </c>
      <c r="C763">
        <v>4.5740000000000003E-2</v>
      </c>
      <c r="D763">
        <v>4.4670000000000001E-2</v>
      </c>
      <c r="E763">
        <v>4.4949999999999997E-2</v>
      </c>
      <c r="F763">
        <v>19209554.300000001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-0.47663551401870069</v>
      </c>
      <c r="Q763">
        <f t="shared" si="1000"/>
        <v>-9155955.7878506426</v>
      </c>
      <c r="R763">
        <f t="shared" si="1001"/>
        <v>-574563123.57036579</v>
      </c>
      <c r="S763">
        <f t="shared" si="1002"/>
        <v>-5745.6312357036577</v>
      </c>
      <c r="T763">
        <f t="shared" si="1003"/>
        <v>-5.7456312357036579</v>
      </c>
    </row>
    <row r="764" spans="1:20" x14ac:dyDescent="0.25">
      <c r="A764" s="5">
        <v>43829</v>
      </c>
      <c r="B764">
        <v>4.6179999999999999E-2</v>
      </c>
      <c r="C764">
        <v>4.6829999999999997E-2</v>
      </c>
      <c r="D764">
        <v>4.53E-2</v>
      </c>
      <c r="E764">
        <v>4.5519999999999998E-2</v>
      </c>
      <c r="F764">
        <v>23540628.300000001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-0.71241830065359679</v>
      </c>
      <c r="Q764">
        <f t="shared" si="1000"/>
        <v>-16770774.40980397</v>
      </c>
      <c r="R764">
        <f t="shared" si="1001"/>
        <v>-565407167.78251517</v>
      </c>
      <c r="S764">
        <f t="shared" si="1002"/>
        <v>-5654.0716778251517</v>
      </c>
      <c r="T764">
        <f t="shared" si="1003"/>
        <v>-5.6540716778251516</v>
      </c>
    </row>
    <row r="765" spans="1:20" x14ac:dyDescent="0.25">
      <c r="A765" s="5">
        <v>43828</v>
      </c>
      <c r="B765">
        <v>4.5830000000000003E-2</v>
      </c>
      <c r="C765">
        <v>4.6719999999999998E-2</v>
      </c>
      <c r="D765">
        <v>4.573E-2</v>
      </c>
      <c r="E765">
        <v>4.6190000000000002E-2</v>
      </c>
      <c r="F765">
        <v>21648526.699999999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-7.0707070707064473E-2</v>
      </c>
      <c r="Q765">
        <f t="shared" si="1000"/>
        <v>-1530703.9080806731</v>
      </c>
      <c r="R765">
        <f t="shared" si="1001"/>
        <v>-548636393.37271118</v>
      </c>
      <c r="S765">
        <f t="shared" si="1002"/>
        <v>-5486.3639337271115</v>
      </c>
      <c r="T765">
        <f t="shared" si="1003"/>
        <v>-5.4863639337271115</v>
      </c>
    </row>
    <row r="766" spans="1:20" x14ac:dyDescent="0.25">
      <c r="A766" s="5">
        <v>43827</v>
      </c>
      <c r="B766">
        <v>4.5850000000000002E-2</v>
      </c>
      <c r="C766">
        <v>4.65E-2</v>
      </c>
      <c r="D766">
        <v>4.5670000000000002E-2</v>
      </c>
      <c r="E766">
        <v>4.589E-2</v>
      </c>
      <c r="F766">
        <v>28801347.699999999</v>
      </c>
      <c r="G766">
        <v>0</v>
      </c>
      <c r="L766" t="s">
        <v>8</v>
      </c>
      <c r="M766" t="s">
        <v>7</v>
      </c>
      <c r="N766" t="s">
        <v>7</v>
      </c>
      <c r="P766">
        <f t="shared" si="999"/>
        <v>-0.46987951807229239</v>
      </c>
      <c r="Q766">
        <f t="shared" si="1000"/>
        <v>-13533163.377108527</v>
      </c>
      <c r="R766">
        <f t="shared" si="1001"/>
        <v>-547105689.46463048</v>
      </c>
      <c r="S766">
        <f t="shared" si="1002"/>
        <v>-5471.0568946463045</v>
      </c>
      <c r="T766">
        <f t="shared" si="1003"/>
        <v>-5.4710568946463045</v>
      </c>
    </row>
    <row r="767" spans="1:20" x14ac:dyDescent="0.25">
      <c r="A767" s="5">
        <v>43826</v>
      </c>
      <c r="B767">
        <v>4.4690000000000001E-2</v>
      </c>
      <c r="C767">
        <v>4.6089999999999999E-2</v>
      </c>
      <c r="D767">
        <v>4.41E-2</v>
      </c>
      <c r="E767">
        <v>4.5839999999999999E-2</v>
      </c>
      <c r="F767">
        <v>30672143.5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0.7487437185929644</v>
      </c>
      <c r="Q767">
        <f t="shared" ref="Q767:Q830" si="1005">F767*P767</f>
        <v>22965574.781407021</v>
      </c>
      <c r="R767">
        <f t="shared" ref="R767:R830" si="1006">R768+Q767</f>
        <v>-533572526.08752191</v>
      </c>
      <c r="S767">
        <f t="shared" ref="S767:S830" si="1007">R767/100000</f>
        <v>-5335.7252608752187</v>
      </c>
      <c r="T767">
        <f t="shared" ref="T767:T830" si="1008">S767/1000</f>
        <v>-5.3357252608752184</v>
      </c>
    </row>
    <row r="768" spans="1:20" x14ac:dyDescent="0.25">
      <c r="A768" s="5">
        <v>43825</v>
      </c>
      <c r="B768">
        <v>4.4350000000000001E-2</v>
      </c>
      <c r="C768">
        <v>4.5679999999999998E-2</v>
      </c>
      <c r="D768">
        <v>4.4060000000000002E-2</v>
      </c>
      <c r="E768">
        <v>4.4679999999999997E-2</v>
      </c>
      <c r="F768">
        <v>27319904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-0.23456790123457172</v>
      </c>
      <c r="Q768">
        <f t="shared" si="1005"/>
        <v>-6408372.5432099812</v>
      </c>
      <c r="R768">
        <f t="shared" si="1006"/>
        <v>-556538100.86892891</v>
      </c>
      <c r="S768">
        <f t="shared" si="1007"/>
        <v>-5565.381008689289</v>
      </c>
      <c r="T768">
        <f t="shared" si="1008"/>
        <v>-5.5653810086892888</v>
      </c>
    </row>
    <row r="769" spans="1:20" x14ac:dyDescent="0.25">
      <c r="A769" s="5">
        <v>43824</v>
      </c>
      <c r="B769">
        <v>4.5019999999999998E-2</v>
      </c>
      <c r="C769">
        <v>4.505E-2</v>
      </c>
      <c r="D769">
        <v>4.3499999999999997E-2</v>
      </c>
      <c r="E769">
        <v>4.4359999999999997E-2</v>
      </c>
      <c r="F769">
        <v>21168703.800000001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0.10967741935483628</v>
      </c>
      <c r="Q769">
        <f t="shared" si="1005"/>
        <v>2321728.8038709164</v>
      </c>
      <c r="R769">
        <f t="shared" si="1006"/>
        <v>-550129728.32571888</v>
      </c>
      <c r="S769">
        <f t="shared" si="1007"/>
        <v>-5501.2972832571886</v>
      </c>
      <c r="T769">
        <f t="shared" si="1008"/>
        <v>-5.5012972832571885</v>
      </c>
    </row>
    <row r="770" spans="1:20" x14ac:dyDescent="0.25">
      <c r="A770" s="5">
        <v>43823</v>
      </c>
      <c r="B770">
        <v>4.4850000000000001E-2</v>
      </c>
      <c r="C770">
        <v>4.5830000000000003E-2</v>
      </c>
      <c r="D770">
        <v>4.446E-2</v>
      </c>
      <c r="E770">
        <v>4.5010000000000001E-2</v>
      </c>
      <c r="F770">
        <v>22956352.100000001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-0.19708029197080204</v>
      </c>
      <c r="Q770">
        <f t="shared" si="1005"/>
        <v>-4524244.5744525352</v>
      </c>
      <c r="R770">
        <f t="shared" si="1006"/>
        <v>-552451457.1295898</v>
      </c>
      <c r="S770">
        <f t="shared" si="1007"/>
        <v>-5524.5145712958983</v>
      </c>
      <c r="T770">
        <f t="shared" si="1008"/>
        <v>-5.5245145712958985</v>
      </c>
    </row>
    <row r="771" spans="1:20" x14ac:dyDescent="0.25">
      <c r="A771" s="5">
        <v>43822</v>
      </c>
      <c r="B771">
        <v>4.7239999999999997E-2</v>
      </c>
      <c r="C771">
        <v>4.7489999999999997E-2</v>
      </c>
      <c r="D771">
        <v>4.4540000000000003E-2</v>
      </c>
      <c r="E771">
        <v>4.4880000000000003E-2</v>
      </c>
      <c r="F771">
        <v>41144964.799999997</v>
      </c>
      <c r="G771">
        <v>0</v>
      </c>
      <c r="L771" t="s">
        <v>8</v>
      </c>
      <c r="M771" t="s">
        <v>7</v>
      </c>
      <c r="N771" t="s">
        <v>7</v>
      </c>
      <c r="P771">
        <f t="shared" si="1004"/>
        <v>-0.76949152542372834</v>
      </c>
      <c r="Q771">
        <f t="shared" si="1005"/>
        <v>-31660701.727457605</v>
      </c>
      <c r="R771">
        <f t="shared" si="1006"/>
        <v>-547927212.55513728</v>
      </c>
      <c r="S771">
        <f t="shared" si="1007"/>
        <v>-5479.2721255513725</v>
      </c>
      <c r="T771">
        <f t="shared" si="1008"/>
        <v>-5.4792721255513728</v>
      </c>
    </row>
    <row r="772" spans="1:20" x14ac:dyDescent="0.25">
      <c r="A772" s="5">
        <v>43821</v>
      </c>
      <c r="B772">
        <v>4.5350000000000001E-2</v>
      </c>
      <c r="C772">
        <v>4.7320000000000001E-2</v>
      </c>
      <c r="D772">
        <v>4.5240000000000002E-2</v>
      </c>
      <c r="E772">
        <v>4.7230000000000001E-2</v>
      </c>
      <c r="F772">
        <v>37550036.200000003</v>
      </c>
      <c r="G772">
        <v>0</v>
      </c>
      <c r="L772" t="s">
        <v>7</v>
      </c>
      <c r="M772" t="s">
        <v>7</v>
      </c>
      <c r="N772" t="s">
        <v>7</v>
      </c>
      <c r="P772">
        <f t="shared" si="1004"/>
        <v>0.91346153846153855</v>
      </c>
      <c r="Q772">
        <f t="shared" si="1005"/>
        <v>34300513.836538464</v>
      </c>
      <c r="R772">
        <f t="shared" si="1006"/>
        <v>-516266510.82767963</v>
      </c>
      <c r="S772">
        <f t="shared" si="1007"/>
        <v>-5162.6651082767967</v>
      </c>
      <c r="T772">
        <f t="shared" si="1008"/>
        <v>-5.1626651082767969</v>
      </c>
    </row>
    <row r="773" spans="1:20" x14ac:dyDescent="0.25">
      <c r="A773" s="5">
        <v>43820</v>
      </c>
      <c r="B773">
        <v>4.6219999999999997E-2</v>
      </c>
      <c r="C773">
        <v>4.6449999999999998E-2</v>
      </c>
      <c r="D773">
        <v>4.5330000000000002E-2</v>
      </c>
      <c r="E773">
        <v>4.539E-2</v>
      </c>
      <c r="F773">
        <v>25750742</v>
      </c>
      <c r="G773">
        <v>0</v>
      </c>
      <c r="L773" t="s">
        <v>7</v>
      </c>
      <c r="M773" t="s">
        <v>7</v>
      </c>
      <c r="N773" t="s">
        <v>7</v>
      </c>
      <c r="P773">
        <f t="shared" si="1004"/>
        <v>-0.89285714285714679</v>
      </c>
      <c r="Q773">
        <f t="shared" si="1005"/>
        <v>-22991733.92857153</v>
      </c>
      <c r="R773">
        <f t="shared" si="1006"/>
        <v>-550567024.66421807</v>
      </c>
      <c r="S773">
        <f t="shared" si="1007"/>
        <v>-5505.6702466421802</v>
      </c>
      <c r="T773">
        <f t="shared" si="1008"/>
        <v>-5.5056702466421799</v>
      </c>
    </row>
    <row r="774" spans="1:20" x14ac:dyDescent="0.25">
      <c r="A774" s="5">
        <v>43819</v>
      </c>
      <c r="B774">
        <v>4.5190000000000001E-2</v>
      </c>
      <c r="C774">
        <v>4.6539999999999998E-2</v>
      </c>
      <c r="D774">
        <v>4.4580000000000002E-2</v>
      </c>
      <c r="E774">
        <v>4.6190000000000002E-2</v>
      </c>
      <c r="F774">
        <v>67567547.799999997</v>
      </c>
      <c r="G774">
        <v>0</v>
      </c>
      <c r="L774" t="s">
        <v>7</v>
      </c>
      <c r="M774" t="s">
        <v>7</v>
      </c>
      <c r="N774" t="s">
        <v>7</v>
      </c>
      <c r="P774">
        <f t="shared" si="1004"/>
        <v>0.64285714285714612</v>
      </c>
      <c r="Q774">
        <f t="shared" si="1005"/>
        <v>43436280.728571646</v>
      </c>
      <c r="R774">
        <f t="shared" si="1006"/>
        <v>-527575290.73564649</v>
      </c>
      <c r="S774">
        <f t="shared" si="1007"/>
        <v>-5275.7529073564647</v>
      </c>
      <c r="T774">
        <f t="shared" si="1008"/>
        <v>-5.2757529073564644</v>
      </c>
    </row>
    <row r="775" spans="1:20" x14ac:dyDescent="0.25">
      <c r="A775" s="5">
        <v>43818</v>
      </c>
      <c r="B775">
        <v>4.6550000000000001E-2</v>
      </c>
      <c r="C775">
        <v>4.6969999999999998E-2</v>
      </c>
      <c r="D775">
        <v>4.4519999999999997E-2</v>
      </c>
      <c r="E775">
        <v>4.5190000000000001E-2</v>
      </c>
      <c r="F775">
        <v>67620839.400000006</v>
      </c>
      <c r="G775">
        <v>0</v>
      </c>
      <c r="L775" t="s">
        <v>7</v>
      </c>
      <c r="M775" t="s">
        <v>7</v>
      </c>
      <c r="N775" t="s">
        <v>7</v>
      </c>
      <c r="P775">
        <f t="shared" si="1004"/>
        <v>-0.45306122448979291</v>
      </c>
      <c r="Q775">
        <f t="shared" si="1005"/>
        <v>-30636380.299591634</v>
      </c>
      <c r="R775">
        <f t="shared" si="1006"/>
        <v>-571011571.46421814</v>
      </c>
      <c r="S775">
        <f t="shared" si="1007"/>
        <v>-5710.115714642181</v>
      </c>
      <c r="T775">
        <f t="shared" si="1008"/>
        <v>-5.710115714642181</v>
      </c>
    </row>
    <row r="776" spans="1:20" x14ac:dyDescent="0.25">
      <c r="A776" s="5">
        <v>43817</v>
      </c>
      <c r="B776">
        <v>4.3270000000000003E-2</v>
      </c>
      <c r="C776">
        <v>4.7820000000000001E-2</v>
      </c>
      <c r="D776">
        <v>4.2110000000000002E-2</v>
      </c>
      <c r="E776">
        <v>4.6550000000000001E-2</v>
      </c>
      <c r="F776">
        <v>90536217.099999994</v>
      </c>
      <c r="G776">
        <v>0</v>
      </c>
      <c r="L776" t="s">
        <v>8</v>
      </c>
      <c r="M776" t="s">
        <v>7</v>
      </c>
      <c r="N776" t="s">
        <v>7</v>
      </c>
      <c r="P776">
        <f t="shared" si="1004"/>
        <v>0.55516637478108566</v>
      </c>
      <c r="Q776">
        <f t="shared" si="1005"/>
        <v>50262663.433800332</v>
      </c>
      <c r="R776">
        <f t="shared" si="1006"/>
        <v>-540375191.16462648</v>
      </c>
      <c r="S776">
        <f t="shared" si="1007"/>
        <v>-5403.7519116462645</v>
      </c>
      <c r="T776">
        <f t="shared" si="1008"/>
        <v>-5.4037519116462649</v>
      </c>
    </row>
    <row r="777" spans="1:20" x14ac:dyDescent="0.25">
      <c r="A777" s="5">
        <v>43816</v>
      </c>
      <c r="B777">
        <v>4.7010000000000003E-2</v>
      </c>
      <c r="C777">
        <v>4.7140000000000001E-2</v>
      </c>
      <c r="D777">
        <v>4.2099999999999999E-2</v>
      </c>
      <c r="E777">
        <v>4.3310000000000001E-2</v>
      </c>
      <c r="F777">
        <v>92162114.099999994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-0.51984126984126899</v>
      </c>
      <c r="Q777">
        <f t="shared" si="1005"/>
        <v>-47909670.424999915</v>
      </c>
      <c r="R777">
        <f t="shared" si="1006"/>
        <v>-590637854.59842682</v>
      </c>
      <c r="S777">
        <f t="shared" si="1007"/>
        <v>-5906.3785459842684</v>
      </c>
      <c r="T777">
        <f t="shared" si="1008"/>
        <v>-5.9063785459842686</v>
      </c>
    </row>
    <row r="778" spans="1:20" x14ac:dyDescent="0.25">
      <c r="A778" s="5">
        <v>43815</v>
      </c>
      <c r="B778">
        <v>5.0959999999999998E-2</v>
      </c>
      <c r="C778">
        <v>5.1090000000000003E-2</v>
      </c>
      <c r="D778">
        <v>4.6789999999999998E-2</v>
      </c>
      <c r="E778">
        <v>4.6960000000000002E-2</v>
      </c>
      <c r="F778">
        <v>59077378.700000003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-0.920930232558138</v>
      </c>
      <c r="Q778">
        <f t="shared" si="1005"/>
        <v>-54406144.105116189</v>
      </c>
      <c r="R778">
        <f t="shared" si="1006"/>
        <v>-542728184.17342687</v>
      </c>
      <c r="S778">
        <f t="shared" si="1007"/>
        <v>-5427.2818417342687</v>
      </c>
      <c r="T778">
        <f t="shared" si="1008"/>
        <v>-5.4272818417342688</v>
      </c>
    </row>
    <row r="779" spans="1:20" x14ac:dyDescent="0.25">
      <c r="A779" s="5">
        <v>43814</v>
      </c>
      <c r="B779">
        <v>5.0909999999999997E-2</v>
      </c>
      <c r="C779">
        <v>5.144E-2</v>
      </c>
      <c r="D779">
        <v>5.0299999999999997E-2</v>
      </c>
      <c r="E779">
        <v>5.0970000000000001E-2</v>
      </c>
      <c r="F779">
        <v>21752495.199999999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0.17543859649123278</v>
      </c>
      <c r="Q779">
        <f t="shared" si="1005"/>
        <v>3816227.2280702777</v>
      </c>
      <c r="R779">
        <f t="shared" si="1006"/>
        <v>-488322040.06831062</v>
      </c>
      <c r="S779">
        <f t="shared" si="1007"/>
        <v>-4883.2204006831062</v>
      </c>
      <c r="T779">
        <f t="shared" si="1008"/>
        <v>-4.8832204006831059</v>
      </c>
    </row>
    <row r="780" spans="1:20" x14ac:dyDescent="0.25">
      <c r="A780" s="5">
        <v>43813</v>
      </c>
      <c r="B780">
        <v>5.2729999999999999E-2</v>
      </c>
      <c r="C780">
        <v>5.2880000000000003E-2</v>
      </c>
      <c r="D780">
        <v>5.0070000000000003E-2</v>
      </c>
      <c r="E780">
        <v>5.0900000000000001E-2</v>
      </c>
      <c r="F780">
        <v>31334161.699999999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-0.40925266903914775</v>
      </c>
      <c r="Q780">
        <f t="shared" si="1005"/>
        <v>-12823589.307829238</v>
      </c>
      <c r="R780">
        <f t="shared" si="1006"/>
        <v>-492138267.29638088</v>
      </c>
      <c r="S780">
        <f t="shared" si="1007"/>
        <v>-4921.3826729638085</v>
      </c>
      <c r="T780">
        <f t="shared" si="1008"/>
        <v>-4.9213826729638086</v>
      </c>
    </row>
    <row r="781" spans="1:20" x14ac:dyDescent="0.25">
      <c r="A781" s="5">
        <v>43812</v>
      </c>
      <c r="B781">
        <v>5.2019999999999997E-2</v>
      </c>
      <c r="C781">
        <v>5.3019999999999998E-2</v>
      </c>
      <c r="D781">
        <v>5.1959999999999999E-2</v>
      </c>
      <c r="E781">
        <v>5.2699999999999997E-2</v>
      </c>
      <c r="F781">
        <v>19796738.699999999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0.39622641509433715</v>
      </c>
      <c r="Q781">
        <f t="shared" si="1005"/>
        <v>7843990.8056603279</v>
      </c>
      <c r="R781">
        <f t="shared" si="1006"/>
        <v>-479314677.98855162</v>
      </c>
      <c r="S781">
        <f t="shared" si="1007"/>
        <v>-4793.1467798855165</v>
      </c>
      <c r="T781">
        <f t="shared" si="1008"/>
        <v>-4.7931467798855163</v>
      </c>
    </row>
    <row r="782" spans="1:20" x14ac:dyDescent="0.25">
      <c r="A782" s="5">
        <v>43811</v>
      </c>
      <c r="B782">
        <v>5.28E-2</v>
      </c>
      <c r="C782">
        <v>5.3240000000000003E-2</v>
      </c>
      <c r="D782">
        <v>5.144E-2</v>
      </c>
      <c r="E782">
        <v>5.2010000000000001E-2</v>
      </c>
      <c r="F782">
        <v>41465141.799999997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-0.36666666666666653</v>
      </c>
      <c r="Q782">
        <f t="shared" si="1005"/>
        <v>-15203885.326666661</v>
      </c>
      <c r="R782">
        <f t="shared" si="1006"/>
        <v>-487158668.79421192</v>
      </c>
      <c r="S782">
        <f t="shared" si="1007"/>
        <v>-4871.5866879421192</v>
      </c>
      <c r="T782">
        <f t="shared" si="1008"/>
        <v>-4.871586687942119</v>
      </c>
    </row>
    <row r="783" spans="1:20" x14ac:dyDescent="0.25">
      <c r="A783" s="5">
        <v>43810</v>
      </c>
      <c r="B783">
        <v>5.3159999999999999E-2</v>
      </c>
      <c r="C783">
        <v>5.373E-2</v>
      </c>
      <c r="D783">
        <v>5.2600000000000001E-2</v>
      </c>
      <c r="E783">
        <v>5.28E-2</v>
      </c>
      <c r="F783">
        <v>20192671.399999999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-0.64601769911504614</v>
      </c>
      <c r="Q783">
        <f t="shared" si="1005"/>
        <v>-13044823.116814196</v>
      </c>
      <c r="R783">
        <f t="shared" si="1006"/>
        <v>-471954783.46754527</v>
      </c>
      <c r="S783">
        <f t="shared" si="1007"/>
        <v>-4719.5478346754526</v>
      </c>
      <c r="T783">
        <f t="shared" si="1008"/>
        <v>-4.7195478346754527</v>
      </c>
    </row>
    <row r="784" spans="1:20" x14ac:dyDescent="0.25">
      <c r="A784" s="5">
        <v>43809</v>
      </c>
      <c r="B784">
        <v>5.4550000000000001E-2</v>
      </c>
      <c r="C784">
        <v>5.459E-2</v>
      </c>
      <c r="D784">
        <v>5.2310000000000002E-2</v>
      </c>
      <c r="E784">
        <v>5.3150000000000003E-2</v>
      </c>
      <c r="F784">
        <v>32566296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-0.26315789473684081</v>
      </c>
      <c r="Q784">
        <f t="shared" si="1005"/>
        <v>-8570077.8947368003</v>
      </c>
      <c r="R784">
        <f t="shared" si="1006"/>
        <v>-458909960.35073107</v>
      </c>
      <c r="S784">
        <f t="shared" si="1007"/>
        <v>-4589.0996035073103</v>
      </c>
      <c r="T784">
        <f t="shared" si="1008"/>
        <v>-4.5890996035073099</v>
      </c>
    </row>
    <row r="785" spans="1:20" x14ac:dyDescent="0.25">
      <c r="A785" s="5">
        <v>43808</v>
      </c>
      <c r="B785">
        <v>5.577E-2</v>
      </c>
      <c r="C785">
        <v>5.6180000000000001E-2</v>
      </c>
      <c r="D785">
        <v>5.4010000000000002E-2</v>
      </c>
      <c r="E785">
        <v>5.4620000000000002E-2</v>
      </c>
      <c r="F785">
        <v>20542246.399999999</v>
      </c>
      <c r="G785">
        <v>0</v>
      </c>
      <c r="L785" t="s">
        <v>7</v>
      </c>
      <c r="M785" t="s">
        <v>7</v>
      </c>
      <c r="N785" t="s">
        <v>7</v>
      </c>
      <c r="P785">
        <f t="shared" si="1004"/>
        <v>-0.43778801843317983</v>
      </c>
      <c r="Q785">
        <f t="shared" si="1005"/>
        <v>-8993149.3456221204</v>
      </c>
      <c r="R785">
        <f t="shared" si="1006"/>
        <v>-450339882.45599425</v>
      </c>
      <c r="S785">
        <f t="shared" si="1007"/>
        <v>-4503.3988245599421</v>
      </c>
      <c r="T785">
        <f t="shared" si="1008"/>
        <v>-4.5033988245599419</v>
      </c>
    </row>
    <row r="786" spans="1:20" x14ac:dyDescent="0.25">
      <c r="A786" s="5">
        <v>43807</v>
      </c>
      <c r="B786">
        <v>5.5410000000000001E-2</v>
      </c>
      <c r="C786">
        <v>5.5960000000000003E-2</v>
      </c>
      <c r="D786">
        <v>5.4780000000000002E-2</v>
      </c>
      <c r="E786">
        <v>5.5800000000000002E-2</v>
      </c>
      <c r="F786">
        <v>17858858.899999999</v>
      </c>
      <c r="G786">
        <v>0</v>
      </c>
      <c r="L786" t="s">
        <v>7</v>
      </c>
      <c r="M786" t="s">
        <v>7</v>
      </c>
      <c r="N786" t="s">
        <v>7</v>
      </c>
      <c r="P786">
        <f t="shared" si="1004"/>
        <v>0.72881355932203329</v>
      </c>
      <c r="Q786">
        <f t="shared" si="1005"/>
        <v>13015778.520338971</v>
      </c>
      <c r="R786">
        <f t="shared" si="1006"/>
        <v>-441346733.11037213</v>
      </c>
      <c r="S786">
        <f t="shared" si="1007"/>
        <v>-4413.4673311037213</v>
      </c>
      <c r="T786">
        <f t="shared" si="1008"/>
        <v>-4.4134673311037211</v>
      </c>
    </row>
    <row r="787" spans="1:20" x14ac:dyDescent="0.25">
      <c r="A787" s="5">
        <v>43806</v>
      </c>
      <c r="B787">
        <v>5.5300000000000002E-2</v>
      </c>
      <c r="C787">
        <v>5.5930000000000001E-2</v>
      </c>
      <c r="D787">
        <v>5.5280000000000003E-2</v>
      </c>
      <c r="E787">
        <v>5.5410000000000001E-2</v>
      </c>
      <c r="F787">
        <v>19253806.699999999</v>
      </c>
      <c r="G787">
        <v>0</v>
      </c>
      <c r="L787" t="s">
        <v>7</v>
      </c>
      <c r="M787" t="s">
        <v>7</v>
      </c>
      <c r="N787" t="s">
        <v>7</v>
      </c>
      <c r="P787">
        <f t="shared" si="1004"/>
        <v>-0.60000000000000431</v>
      </c>
      <c r="Q787">
        <f t="shared" si="1005"/>
        <v>-11552284.020000083</v>
      </c>
      <c r="R787">
        <f t="shared" si="1006"/>
        <v>-454362511.63071108</v>
      </c>
      <c r="S787">
        <f t="shared" si="1007"/>
        <v>-4543.6251163071111</v>
      </c>
      <c r="T787">
        <f t="shared" si="1008"/>
        <v>-4.5436251163071111</v>
      </c>
    </row>
    <row r="788" spans="1:20" x14ac:dyDescent="0.25">
      <c r="A788" s="5">
        <v>43805</v>
      </c>
      <c r="B788">
        <v>5.5379999999999999E-2</v>
      </c>
      <c r="C788">
        <v>5.5989999999999998E-2</v>
      </c>
      <c r="D788">
        <v>5.466E-2</v>
      </c>
      <c r="E788">
        <v>5.5379999999999999E-2</v>
      </c>
      <c r="F788">
        <v>31384939.199999999</v>
      </c>
      <c r="G788">
        <v>0</v>
      </c>
      <c r="L788" t="s">
        <v>7</v>
      </c>
      <c r="M788" t="s">
        <v>7</v>
      </c>
      <c r="N788" t="s">
        <v>7</v>
      </c>
      <c r="P788">
        <f t="shared" si="1004"/>
        <v>8.2706766917292604E-2</v>
      </c>
      <c r="Q788">
        <f t="shared" si="1005"/>
        <v>2595746.8511277996</v>
      </c>
      <c r="R788">
        <f t="shared" si="1006"/>
        <v>-442810227.61071098</v>
      </c>
      <c r="S788">
        <f t="shared" si="1007"/>
        <v>-4428.1022761071099</v>
      </c>
      <c r="T788">
        <f t="shared" si="1008"/>
        <v>-4.4281022761071096</v>
      </c>
    </row>
    <row r="789" spans="1:20" x14ac:dyDescent="0.25">
      <c r="A789" s="5">
        <v>43804</v>
      </c>
      <c r="B789">
        <v>5.4710000000000002E-2</v>
      </c>
      <c r="C789">
        <v>5.5649999999999998E-2</v>
      </c>
      <c r="D789">
        <v>5.4170000000000003E-2</v>
      </c>
      <c r="E789">
        <v>5.5390000000000002E-2</v>
      </c>
      <c r="F789">
        <v>39396623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0.64864864864865246</v>
      </c>
      <c r="Q789">
        <f t="shared" si="1005"/>
        <v>25554566.270270422</v>
      </c>
      <c r="R789">
        <f t="shared" si="1006"/>
        <v>-445405974.46183878</v>
      </c>
      <c r="S789">
        <f t="shared" si="1007"/>
        <v>-4454.0597446183874</v>
      </c>
      <c r="T789">
        <f t="shared" si="1008"/>
        <v>-4.4540597446183874</v>
      </c>
    </row>
    <row r="790" spans="1:20" x14ac:dyDescent="0.25">
      <c r="A790" s="5">
        <v>43803</v>
      </c>
      <c r="B790">
        <v>5.5719999999999999E-2</v>
      </c>
      <c r="C790">
        <v>5.7410000000000003E-2</v>
      </c>
      <c r="D790">
        <v>5.357E-2</v>
      </c>
      <c r="E790">
        <v>5.4670000000000003E-2</v>
      </c>
      <c r="F790">
        <v>52376850.100000001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-0.42708333333333187</v>
      </c>
      <c r="Q790">
        <f t="shared" si="1005"/>
        <v>-22369279.730208259</v>
      </c>
      <c r="R790">
        <f t="shared" si="1006"/>
        <v>-470960540.73210919</v>
      </c>
      <c r="S790">
        <f t="shared" si="1007"/>
        <v>-4709.6054073210917</v>
      </c>
      <c r="T790">
        <f t="shared" si="1008"/>
        <v>-4.7096054073210913</v>
      </c>
    </row>
    <row r="791" spans="1:20" x14ac:dyDescent="0.25">
      <c r="A791" s="5">
        <v>43802</v>
      </c>
      <c r="B791">
        <v>5.5710000000000003E-2</v>
      </c>
      <c r="C791">
        <v>5.6579999999999998E-2</v>
      </c>
      <c r="D791">
        <v>5.5039999999999999E-2</v>
      </c>
      <c r="E791">
        <v>5.5719999999999999E-2</v>
      </c>
      <c r="F791">
        <v>29630435.699999999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-0.11688311688311664</v>
      </c>
      <c r="Q791">
        <f t="shared" si="1005"/>
        <v>-3463297.6792207719</v>
      </c>
      <c r="R791">
        <f t="shared" si="1006"/>
        <v>-448591261.00190091</v>
      </c>
      <c r="S791">
        <f t="shared" si="1007"/>
        <v>-4485.9126100190088</v>
      </c>
      <c r="T791">
        <f t="shared" si="1008"/>
        <v>-4.4859126100190085</v>
      </c>
    </row>
    <row r="792" spans="1:20" x14ac:dyDescent="0.25">
      <c r="A792" s="5">
        <v>43801</v>
      </c>
      <c r="B792">
        <v>5.7239999999999999E-2</v>
      </c>
      <c r="C792">
        <v>5.7290000000000001E-2</v>
      </c>
      <c r="D792">
        <v>5.5410000000000001E-2</v>
      </c>
      <c r="E792">
        <v>5.5649999999999998E-2</v>
      </c>
      <c r="F792">
        <v>33731722.700000003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-0.74468085106383275</v>
      </c>
      <c r="Q792">
        <f t="shared" si="1005"/>
        <v>-25119367.968085207</v>
      </c>
      <c r="R792">
        <f t="shared" si="1006"/>
        <v>-445127963.32268012</v>
      </c>
      <c r="S792">
        <f t="shared" si="1007"/>
        <v>-4451.2796332268008</v>
      </c>
      <c r="T792">
        <f t="shared" si="1008"/>
        <v>-4.4512796332268012</v>
      </c>
    </row>
    <row r="793" spans="1:20" x14ac:dyDescent="0.25">
      <c r="A793" s="5">
        <v>43800</v>
      </c>
      <c r="B793">
        <v>5.7239999999999999E-2</v>
      </c>
      <c r="C793">
        <v>5.765E-2</v>
      </c>
      <c r="D793">
        <v>5.5059999999999998E-2</v>
      </c>
      <c r="E793">
        <v>5.7230000000000003E-2</v>
      </c>
      <c r="F793">
        <v>26189891.399999999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0.67567567567567843</v>
      </c>
      <c r="Q793">
        <f t="shared" si="1005"/>
        <v>17695872.567567639</v>
      </c>
      <c r="R793">
        <f t="shared" si="1006"/>
        <v>-420008595.35459489</v>
      </c>
      <c r="S793">
        <f t="shared" si="1007"/>
        <v>-4200.0859535459485</v>
      </c>
      <c r="T793">
        <f t="shared" si="1008"/>
        <v>-4.2000859535459485</v>
      </c>
    </row>
    <row r="794" spans="1:20" x14ac:dyDescent="0.25">
      <c r="A794" s="5">
        <v>43799</v>
      </c>
      <c r="B794">
        <v>5.8999999999999997E-2</v>
      </c>
      <c r="C794">
        <v>5.9299999999999999E-2</v>
      </c>
      <c r="D794">
        <v>5.6559999999999999E-2</v>
      </c>
      <c r="E794">
        <v>5.7259999999999998E-2</v>
      </c>
      <c r="F794">
        <v>31541499.800000001</v>
      </c>
      <c r="G794">
        <v>0</v>
      </c>
      <c r="L794" t="s">
        <v>8</v>
      </c>
      <c r="M794" t="s">
        <v>7</v>
      </c>
      <c r="N794" t="s">
        <v>7</v>
      </c>
      <c r="P794">
        <f t="shared" si="1004"/>
        <v>-0.48905109489051141</v>
      </c>
      <c r="Q794">
        <f t="shared" si="1005"/>
        <v>-15425405.011678847</v>
      </c>
      <c r="R794">
        <f t="shared" si="1006"/>
        <v>-437704467.92216253</v>
      </c>
      <c r="S794">
        <f t="shared" si="1007"/>
        <v>-4377.0446792216253</v>
      </c>
      <c r="T794">
        <f t="shared" si="1008"/>
        <v>-4.3770446792216253</v>
      </c>
    </row>
    <row r="795" spans="1:20" x14ac:dyDescent="0.25">
      <c r="A795" s="5">
        <v>43798</v>
      </c>
      <c r="B795">
        <v>5.79E-2</v>
      </c>
      <c r="C795">
        <v>5.9990000000000002E-2</v>
      </c>
      <c r="D795">
        <v>5.7829999999999999E-2</v>
      </c>
      <c r="E795">
        <v>5.8979999999999998E-2</v>
      </c>
      <c r="F795">
        <v>44310991.799999997</v>
      </c>
      <c r="G795">
        <v>0</v>
      </c>
      <c r="L795" t="s">
        <v>8</v>
      </c>
      <c r="M795" t="s">
        <v>7</v>
      </c>
      <c r="N795" t="s">
        <v>7</v>
      </c>
      <c r="P795">
        <f t="shared" si="1004"/>
        <v>6.4814814814812105E-2</v>
      </c>
      <c r="Q795">
        <f t="shared" si="1005"/>
        <v>2872008.7277776576</v>
      </c>
      <c r="R795">
        <f t="shared" si="1006"/>
        <v>-422279062.91048366</v>
      </c>
      <c r="S795">
        <f t="shared" si="1007"/>
        <v>-4222.7906291048366</v>
      </c>
      <c r="T795">
        <f t="shared" si="1008"/>
        <v>-4.2227906291048365</v>
      </c>
    </row>
    <row r="796" spans="1:20" x14ac:dyDescent="0.25">
      <c r="A796" s="5">
        <v>43797</v>
      </c>
      <c r="B796">
        <v>5.8619999999999998E-2</v>
      </c>
      <c r="C796">
        <v>5.9029999999999999E-2</v>
      </c>
      <c r="D796">
        <v>5.731E-2</v>
      </c>
      <c r="E796">
        <v>5.7869999999999998E-2</v>
      </c>
      <c r="F796">
        <v>31978912.100000001</v>
      </c>
      <c r="G796">
        <v>0</v>
      </c>
      <c r="L796" t="s">
        <v>8</v>
      </c>
      <c r="M796" t="s">
        <v>7</v>
      </c>
      <c r="N796" t="s">
        <v>7</v>
      </c>
      <c r="P796">
        <f t="shared" si="1004"/>
        <v>-0.34883720930232764</v>
      </c>
      <c r="Q796">
        <f t="shared" si="1005"/>
        <v>-11155434.453488439</v>
      </c>
      <c r="R796">
        <f t="shared" si="1006"/>
        <v>-425151071.63826132</v>
      </c>
      <c r="S796">
        <f t="shared" si="1007"/>
        <v>-4251.5107163826133</v>
      </c>
      <c r="T796">
        <f t="shared" si="1008"/>
        <v>-4.2515107163826134</v>
      </c>
    </row>
    <row r="797" spans="1:20" x14ac:dyDescent="0.25">
      <c r="A797" s="5">
        <v>43796</v>
      </c>
      <c r="B797">
        <v>5.7520000000000002E-2</v>
      </c>
      <c r="C797">
        <v>5.9499999999999997E-2</v>
      </c>
      <c r="D797">
        <v>5.5079999999999997E-2</v>
      </c>
      <c r="E797">
        <v>5.8630000000000002E-2</v>
      </c>
      <c r="F797">
        <v>68432602.599999994</v>
      </c>
      <c r="G797">
        <v>0</v>
      </c>
      <c r="L797" t="s">
        <v>8</v>
      </c>
      <c r="M797" t="s">
        <v>7</v>
      </c>
      <c r="N797" t="s">
        <v>7</v>
      </c>
      <c r="P797">
        <f t="shared" si="1004"/>
        <v>0.60633484162896123</v>
      </c>
      <c r="Q797">
        <f t="shared" si="1005"/>
        <v>41493071.25972864</v>
      </c>
      <c r="R797">
        <f t="shared" si="1006"/>
        <v>-413995637.18477285</v>
      </c>
      <c r="S797">
        <f t="shared" si="1007"/>
        <v>-4139.9563718477284</v>
      </c>
      <c r="T797">
        <f t="shared" si="1008"/>
        <v>-4.1399563718477284</v>
      </c>
    </row>
    <row r="798" spans="1:20" x14ac:dyDescent="0.25">
      <c r="A798" s="5">
        <v>43795</v>
      </c>
      <c r="B798">
        <v>5.7209999999999997E-2</v>
      </c>
      <c r="C798">
        <v>5.8189999999999999E-2</v>
      </c>
      <c r="D798">
        <v>5.6410000000000002E-2</v>
      </c>
      <c r="E798">
        <v>5.7480000000000003E-2</v>
      </c>
      <c r="F798">
        <v>49403461.899999999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0.20224719101123975</v>
      </c>
      <c r="Q798">
        <f t="shared" si="1005"/>
        <v>9991711.3955058046</v>
      </c>
      <c r="R798">
        <f t="shared" si="1006"/>
        <v>-455488708.44450152</v>
      </c>
      <c r="S798">
        <f t="shared" si="1007"/>
        <v>-4554.8870844450148</v>
      </c>
      <c r="T798">
        <f t="shared" si="1008"/>
        <v>-4.5548870844450144</v>
      </c>
    </row>
    <row r="799" spans="1:20" x14ac:dyDescent="0.25">
      <c r="A799" s="5">
        <v>43794</v>
      </c>
      <c r="B799">
        <v>5.5460000000000002E-2</v>
      </c>
      <c r="C799">
        <v>5.9610000000000003E-2</v>
      </c>
      <c r="D799">
        <v>5.3100000000000001E-2</v>
      </c>
      <c r="E799">
        <v>5.7270000000000001E-2</v>
      </c>
      <c r="F799">
        <v>90335956.799999997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0.28110599078340981</v>
      </c>
      <c r="Q799">
        <f t="shared" si="1005"/>
        <v>25393978.639631305</v>
      </c>
      <c r="R799">
        <f t="shared" si="1006"/>
        <v>-465480419.84000731</v>
      </c>
      <c r="S799">
        <f t="shared" si="1007"/>
        <v>-4654.8041984000729</v>
      </c>
      <c r="T799">
        <f t="shared" si="1008"/>
        <v>-4.6548041984000728</v>
      </c>
    </row>
    <row r="800" spans="1:20" x14ac:dyDescent="0.25">
      <c r="A800" s="5">
        <v>43793</v>
      </c>
      <c r="B800">
        <v>6.148E-2</v>
      </c>
      <c r="C800">
        <v>6.207E-2</v>
      </c>
      <c r="D800">
        <v>5.5219999999999998E-2</v>
      </c>
      <c r="E800">
        <v>5.5460000000000002E-2</v>
      </c>
      <c r="F800">
        <v>75274935.599999994</v>
      </c>
      <c r="G800">
        <v>0</v>
      </c>
      <c r="L800" t="s">
        <v>7</v>
      </c>
      <c r="M800" t="s">
        <v>8</v>
      </c>
      <c r="N800" t="s">
        <v>7</v>
      </c>
      <c r="P800">
        <f t="shared" si="1004"/>
        <v>-0.92992700729926892</v>
      </c>
      <c r="Q800">
        <f t="shared" si="1005"/>
        <v>-70000195.587153196</v>
      </c>
      <c r="R800">
        <f t="shared" si="1006"/>
        <v>-490874398.47963864</v>
      </c>
      <c r="S800">
        <f t="shared" si="1007"/>
        <v>-4908.743984796386</v>
      </c>
      <c r="T800">
        <f t="shared" si="1008"/>
        <v>-4.9087439847963861</v>
      </c>
    </row>
    <row r="801" spans="1:20" x14ac:dyDescent="0.25">
      <c r="A801" s="5">
        <v>43792</v>
      </c>
      <c r="B801">
        <v>5.9159999999999997E-2</v>
      </c>
      <c r="C801">
        <v>6.2179999999999999E-2</v>
      </c>
      <c r="D801">
        <v>5.7759999999999999E-2</v>
      </c>
      <c r="E801">
        <v>6.1449999999999998E-2</v>
      </c>
      <c r="F801">
        <v>88039138.099999994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0.66968325791855143</v>
      </c>
      <c r="Q801">
        <f t="shared" si="1005"/>
        <v>58958336.827149265</v>
      </c>
      <c r="R801">
        <f t="shared" si="1006"/>
        <v>-420874202.89248544</v>
      </c>
      <c r="S801">
        <f t="shared" si="1007"/>
        <v>-4208.7420289248548</v>
      </c>
      <c r="T801">
        <f t="shared" si="1008"/>
        <v>-4.2087420289248545</v>
      </c>
    </row>
    <row r="802" spans="1:20" x14ac:dyDescent="0.25">
      <c r="A802" s="5">
        <v>43791</v>
      </c>
      <c r="B802">
        <v>6.0690000000000001E-2</v>
      </c>
      <c r="C802">
        <v>6.13E-2</v>
      </c>
      <c r="D802">
        <v>5.2999999999999999E-2</v>
      </c>
      <c r="E802">
        <v>5.9159999999999997E-2</v>
      </c>
      <c r="F802">
        <v>116361418.59999999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0.48433734939758977</v>
      </c>
      <c r="Q802">
        <f t="shared" si="1005"/>
        <v>56358181.056867398</v>
      </c>
      <c r="R802">
        <f t="shared" si="1006"/>
        <v>-479832539.71963471</v>
      </c>
      <c r="S802">
        <f t="shared" si="1007"/>
        <v>-4798.3253971963468</v>
      </c>
      <c r="T802">
        <f t="shared" si="1008"/>
        <v>-4.7983253971963471</v>
      </c>
    </row>
    <row r="803" spans="1:20" x14ac:dyDescent="0.25">
      <c r="A803" s="5">
        <v>43790</v>
      </c>
      <c r="B803">
        <v>6.4000000000000001E-2</v>
      </c>
      <c r="C803">
        <v>6.4049999999999996E-2</v>
      </c>
      <c r="D803">
        <v>5.7389999999999997E-2</v>
      </c>
      <c r="E803">
        <v>6.0720000000000003E-2</v>
      </c>
      <c r="F803">
        <v>83836223.700000003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2.0837519230952638E-15</v>
      </c>
      <c r="Q803">
        <f t="shared" si="1005"/>
        <v>1.7469389235991975E-7</v>
      </c>
      <c r="R803">
        <f t="shared" si="1006"/>
        <v>-536190720.77650213</v>
      </c>
      <c r="S803">
        <f t="shared" si="1007"/>
        <v>-5361.9072077650217</v>
      </c>
      <c r="T803">
        <f t="shared" si="1008"/>
        <v>-5.3619072077650216</v>
      </c>
    </row>
    <row r="804" spans="1:20" x14ac:dyDescent="0.25">
      <c r="A804" s="5">
        <v>43789</v>
      </c>
      <c r="B804">
        <v>6.5619999999999998E-2</v>
      </c>
      <c r="C804">
        <v>6.6199999999999995E-2</v>
      </c>
      <c r="D804">
        <v>6.3640000000000002E-2</v>
      </c>
      <c r="E804">
        <v>6.4019999999999994E-2</v>
      </c>
      <c r="F804">
        <v>35835411.5</v>
      </c>
      <c r="G804">
        <v>0</v>
      </c>
      <c r="L804" t="s">
        <v>7</v>
      </c>
      <c r="M804" t="s">
        <v>7</v>
      </c>
      <c r="N804" t="s">
        <v>8</v>
      </c>
      <c r="P804">
        <f t="shared" si="1004"/>
        <v>-0.70312500000000588</v>
      </c>
      <c r="Q804">
        <f t="shared" si="1005"/>
        <v>-25196773.710937712</v>
      </c>
      <c r="R804">
        <f t="shared" si="1006"/>
        <v>-536190720.77650231</v>
      </c>
      <c r="S804">
        <f t="shared" si="1007"/>
        <v>-5361.9072077650235</v>
      </c>
      <c r="T804">
        <f t="shared" si="1008"/>
        <v>-5.3619072077650234</v>
      </c>
    </row>
    <row r="805" spans="1:20" x14ac:dyDescent="0.25">
      <c r="A805" s="5">
        <v>43788</v>
      </c>
      <c r="B805">
        <v>6.6979999999999998E-2</v>
      </c>
      <c r="C805">
        <v>6.6979999999999998E-2</v>
      </c>
      <c r="D805">
        <v>6.3350000000000004E-2</v>
      </c>
      <c r="E805">
        <v>6.5600000000000006E-2</v>
      </c>
      <c r="F805">
        <v>61594261.899999999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0.23966942148760634</v>
      </c>
      <c r="Q805">
        <f t="shared" si="1005"/>
        <v>14762261.116529113</v>
      </c>
      <c r="R805">
        <f t="shared" si="1006"/>
        <v>-510993947.06556457</v>
      </c>
      <c r="S805">
        <f t="shared" si="1007"/>
        <v>-5109.9394706556459</v>
      </c>
      <c r="T805">
        <f t="shared" si="1008"/>
        <v>-5.1099394706556458</v>
      </c>
    </row>
    <row r="806" spans="1:20" x14ac:dyDescent="0.25">
      <c r="A806" s="5">
        <v>43787</v>
      </c>
      <c r="B806">
        <v>7.1580000000000005E-2</v>
      </c>
      <c r="C806">
        <v>7.1599999999999997E-2</v>
      </c>
      <c r="D806">
        <v>6.4589999999999995E-2</v>
      </c>
      <c r="E806">
        <v>6.6970000000000002E-2</v>
      </c>
      <c r="F806">
        <v>76835366.200000003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-0.32097004279600388</v>
      </c>
      <c r="Q806">
        <f t="shared" si="1005"/>
        <v>-24661850.777460631</v>
      </c>
      <c r="R806">
        <f t="shared" si="1006"/>
        <v>-525756208.18209368</v>
      </c>
      <c r="S806">
        <f t="shared" si="1007"/>
        <v>-5257.5620818209372</v>
      </c>
      <c r="T806">
        <f t="shared" si="1008"/>
        <v>-5.2575620818209376</v>
      </c>
    </row>
    <row r="807" spans="1:20" x14ac:dyDescent="0.25">
      <c r="A807" s="5">
        <v>43786</v>
      </c>
      <c r="B807">
        <v>7.1239999999999998E-2</v>
      </c>
      <c r="C807">
        <v>7.2940000000000005E-2</v>
      </c>
      <c r="D807">
        <v>7.1209999999999996E-2</v>
      </c>
      <c r="E807">
        <v>7.1569999999999995E-2</v>
      </c>
      <c r="F807">
        <v>31012795.199999999</v>
      </c>
      <c r="G807">
        <v>0</v>
      </c>
      <c r="L807" t="s">
        <v>7</v>
      </c>
      <c r="M807" t="s">
        <v>7</v>
      </c>
      <c r="N807" t="s">
        <v>8</v>
      </c>
      <c r="P807">
        <f t="shared" si="1004"/>
        <v>-0.58381502890173731</v>
      </c>
      <c r="Q807">
        <f t="shared" si="1005"/>
        <v>-18105735.926011659</v>
      </c>
      <c r="R807">
        <f t="shared" si="1006"/>
        <v>-501094357.40463305</v>
      </c>
      <c r="S807">
        <f t="shared" si="1007"/>
        <v>-5010.9435740463305</v>
      </c>
      <c r="T807">
        <f t="shared" si="1008"/>
        <v>-5.0109435740463306</v>
      </c>
    </row>
    <row r="808" spans="1:20" x14ac:dyDescent="0.25">
      <c r="A808" s="5">
        <v>43785</v>
      </c>
      <c r="B808">
        <v>7.2099999999999997E-2</v>
      </c>
      <c r="C808">
        <v>7.2279999999999997E-2</v>
      </c>
      <c r="D808">
        <v>7.0999999999999994E-2</v>
      </c>
      <c r="E808">
        <v>7.1260000000000004E-2</v>
      </c>
      <c r="F808">
        <v>30060711.300000001</v>
      </c>
      <c r="G808">
        <v>0</v>
      </c>
      <c r="L808" t="s">
        <v>7</v>
      </c>
      <c r="M808" t="s">
        <v>7</v>
      </c>
      <c r="N808" t="s">
        <v>8</v>
      </c>
      <c r="P808">
        <f t="shared" si="1004"/>
        <v>-0.59374999999998512</v>
      </c>
      <c r="Q808">
        <f t="shared" si="1005"/>
        <v>-17848547.334374554</v>
      </c>
      <c r="R808">
        <f t="shared" si="1006"/>
        <v>-482988621.47862136</v>
      </c>
      <c r="S808">
        <f t="shared" si="1007"/>
        <v>-4829.8862147862137</v>
      </c>
      <c r="T808">
        <f t="shared" si="1008"/>
        <v>-4.8298862147862138</v>
      </c>
    </row>
    <row r="809" spans="1:20" x14ac:dyDescent="0.25">
      <c r="A809" s="5">
        <v>43784</v>
      </c>
      <c r="B809">
        <v>7.4130000000000001E-2</v>
      </c>
      <c r="C809">
        <v>7.5060000000000002E-2</v>
      </c>
      <c r="D809">
        <v>7.0330000000000004E-2</v>
      </c>
      <c r="E809">
        <v>7.2139999999999996E-2</v>
      </c>
      <c r="F809">
        <v>56154483.600000001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-0.23467230443974929</v>
      </c>
      <c r="Q809">
        <f t="shared" si="1005"/>
        <v>-13177902.07103611</v>
      </c>
      <c r="R809">
        <f t="shared" si="1006"/>
        <v>-465140074.14424682</v>
      </c>
      <c r="S809">
        <f t="shared" si="1007"/>
        <v>-4651.4007414424677</v>
      </c>
      <c r="T809">
        <f t="shared" si="1008"/>
        <v>-4.6514007414424681</v>
      </c>
    </row>
    <row r="810" spans="1:20" x14ac:dyDescent="0.25">
      <c r="A810" s="5">
        <v>43783</v>
      </c>
      <c r="B810">
        <v>7.6170000000000002E-2</v>
      </c>
      <c r="C810">
        <v>7.6200000000000004E-2</v>
      </c>
      <c r="D810">
        <v>7.2319999999999995E-2</v>
      </c>
      <c r="E810">
        <v>7.4139999999999998E-2</v>
      </c>
      <c r="F810">
        <v>54686021.200000003</v>
      </c>
      <c r="G810">
        <v>0</v>
      </c>
      <c r="L810" t="s">
        <v>7</v>
      </c>
      <c r="M810" t="s">
        <v>7</v>
      </c>
      <c r="N810" t="s">
        <v>8</v>
      </c>
      <c r="P810">
        <f t="shared" si="1004"/>
        <v>-6.1855670103093709E-2</v>
      </c>
      <c r="Q810">
        <f t="shared" si="1005"/>
        <v>-3382640.4865979888</v>
      </c>
      <c r="R810">
        <f t="shared" si="1006"/>
        <v>-451962172.07321072</v>
      </c>
      <c r="S810">
        <f t="shared" si="1007"/>
        <v>-4519.621720732107</v>
      </c>
      <c r="T810">
        <f t="shared" si="1008"/>
        <v>-4.5196217207321068</v>
      </c>
    </row>
    <row r="811" spans="1:20" x14ac:dyDescent="0.25">
      <c r="A811" s="5">
        <v>43782</v>
      </c>
      <c r="B811">
        <v>7.6850000000000002E-2</v>
      </c>
      <c r="C811">
        <v>7.757E-2</v>
      </c>
      <c r="D811">
        <v>7.5319999999999998E-2</v>
      </c>
      <c r="E811">
        <v>7.6160000000000005E-2</v>
      </c>
      <c r="F811">
        <v>47601553.399999999</v>
      </c>
      <c r="G811">
        <v>0</v>
      </c>
      <c r="L811" t="s">
        <v>7</v>
      </c>
      <c r="M811" t="s">
        <v>7</v>
      </c>
      <c r="N811" t="s">
        <v>8</v>
      </c>
      <c r="P811">
        <f t="shared" si="1004"/>
        <v>-0.25333333333332742</v>
      </c>
      <c r="Q811">
        <f t="shared" si="1005"/>
        <v>-12059060.194666384</v>
      </c>
      <c r="R811">
        <f t="shared" si="1006"/>
        <v>-448579531.5866127</v>
      </c>
      <c r="S811">
        <f t="shared" si="1007"/>
        <v>-4485.7953158661267</v>
      </c>
      <c r="T811">
        <f t="shared" si="1008"/>
        <v>-4.4857953158661266</v>
      </c>
    </row>
    <row r="812" spans="1:20" x14ac:dyDescent="0.25">
      <c r="A812" s="5">
        <v>43781</v>
      </c>
      <c r="B812">
        <v>0.08</v>
      </c>
      <c r="C812">
        <v>8.2699999999999996E-2</v>
      </c>
      <c r="D812">
        <v>7.3819999999999997E-2</v>
      </c>
      <c r="E812">
        <v>7.6859999999999998E-2</v>
      </c>
      <c r="F812">
        <v>172008305.69999999</v>
      </c>
      <c r="G812">
        <v>0</v>
      </c>
      <c r="L812" t="s">
        <v>7</v>
      </c>
      <c r="M812" t="s">
        <v>7</v>
      </c>
      <c r="N812" t="s">
        <v>8</v>
      </c>
      <c r="P812">
        <f t="shared" si="1004"/>
        <v>-0.31531531531531498</v>
      </c>
      <c r="Q812">
        <f t="shared" si="1005"/>
        <v>-54236853.14864859</v>
      </c>
      <c r="R812">
        <f t="shared" si="1006"/>
        <v>-436520471.39194632</v>
      </c>
      <c r="S812">
        <f t="shared" si="1007"/>
        <v>-4365.2047139194628</v>
      </c>
      <c r="T812">
        <f t="shared" si="1008"/>
        <v>-4.3652047139194625</v>
      </c>
    </row>
    <row r="813" spans="1:20" x14ac:dyDescent="0.25">
      <c r="A813" s="5">
        <v>43780</v>
      </c>
      <c r="B813">
        <v>7.893E-2</v>
      </c>
      <c r="C813">
        <v>8.1000000000000003E-2</v>
      </c>
      <c r="D813">
        <v>7.6060000000000003E-2</v>
      </c>
      <c r="E813">
        <v>0.08</v>
      </c>
      <c r="F813">
        <v>124523004.40000001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0.59514170040485792</v>
      </c>
      <c r="Q813">
        <f t="shared" si="1005"/>
        <v>74108832.578137606</v>
      </c>
      <c r="R813">
        <f t="shared" si="1006"/>
        <v>-382283618.2432977</v>
      </c>
      <c r="S813">
        <f t="shared" si="1007"/>
        <v>-3822.8361824329768</v>
      </c>
      <c r="T813">
        <f t="shared" si="1008"/>
        <v>-3.8228361824329768</v>
      </c>
    </row>
    <row r="814" spans="1:20" x14ac:dyDescent="0.25">
      <c r="A814" s="5">
        <v>43779</v>
      </c>
      <c r="B814">
        <v>7.3139999999999997E-2</v>
      </c>
      <c r="C814">
        <v>8.1439999999999999E-2</v>
      </c>
      <c r="D814">
        <v>7.2779999999999997E-2</v>
      </c>
      <c r="E814">
        <v>7.8920000000000004E-2</v>
      </c>
      <c r="F814">
        <v>173093212.19999999</v>
      </c>
      <c r="G814">
        <v>0</v>
      </c>
      <c r="L814" t="s">
        <v>8</v>
      </c>
      <c r="M814" t="s">
        <v>7</v>
      </c>
      <c r="N814" t="s">
        <v>8</v>
      </c>
      <c r="P814">
        <f t="shared" si="1004"/>
        <v>0.41801385681293435</v>
      </c>
      <c r="Q814">
        <f t="shared" si="1005"/>
        <v>72355361.219861656</v>
      </c>
      <c r="R814">
        <f t="shared" si="1006"/>
        <v>-456392450.82143533</v>
      </c>
      <c r="S814">
        <f t="shared" si="1007"/>
        <v>-4563.9245082143534</v>
      </c>
      <c r="T814">
        <f t="shared" si="1008"/>
        <v>-4.5639245082143534</v>
      </c>
    </row>
    <row r="815" spans="1:20" x14ac:dyDescent="0.25">
      <c r="A815" s="5">
        <v>43778</v>
      </c>
      <c r="B815">
        <v>7.1150000000000005E-2</v>
      </c>
      <c r="C815">
        <v>7.331E-2</v>
      </c>
      <c r="D815">
        <v>7.0660000000000001E-2</v>
      </c>
      <c r="E815">
        <v>7.3139999999999997E-2</v>
      </c>
      <c r="F815">
        <v>45410391.5</v>
      </c>
      <c r="G815">
        <v>0</v>
      </c>
      <c r="L815" t="s">
        <v>8</v>
      </c>
      <c r="M815" t="s">
        <v>7</v>
      </c>
      <c r="N815" t="s">
        <v>8</v>
      </c>
      <c r="P815">
        <f t="shared" si="1004"/>
        <v>0.87169811320754453</v>
      </c>
      <c r="Q815">
        <f t="shared" si="1005"/>
        <v>39584152.59056592</v>
      </c>
      <c r="R815">
        <f t="shared" si="1006"/>
        <v>-528747812.04129696</v>
      </c>
      <c r="S815">
        <f t="shared" si="1007"/>
        <v>-5287.4781204129695</v>
      </c>
      <c r="T815">
        <f t="shared" si="1008"/>
        <v>-5.2874781204129695</v>
      </c>
    </row>
    <row r="816" spans="1:20" x14ac:dyDescent="0.25">
      <c r="A816" s="5">
        <v>43777</v>
      </c>
      <c r="B816">
        <v>7.424E-2</v>
      </c>
      <c r="C816">
        <v>7.6929999999999998E-2</v>
      </c>
      <c r="D816">
        <v>6.8449999999999997E-2</v>
      </c>
      <c r="E816">
        <v>7.1160000000000001E-2</v>
      </c>
      <c r="F816">
        <v>137545601.5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-0.36084905660377276</v>
      </c>
      <c r="Q816">
        <f t="shared" si="1005"/>
        <v>-49633200.541273467</v>
      </c>
      <c r="R816">
        <f t="shared" si="1006"/>
        <v>-568331964.63186288</v>
      </c>
      <c r="S816">
        <f t="shared" si="1007"/>
        <v>-5683.3196463186287</v>
      </c>
      <c r="T816">
        <f t="shared" si="1008"/>
        <v>-5.6833196463186288</v>
      </c>
    </row>
    <row r="817" spans="1:20" x14ac:dyDescent="0.25">
      <c r="A817" s="5">
        <v>43776</v>
      </c>
      <c r="B817">
        <v>7.6850000000000002E-2</v>
      </c>
      <c r="C817">
        <v>7.7160000000000006E-2</v>
      </c>
      <c r="D817">
        <v>7.2590000000000002E-2</v>
      </c>
      <c r="E817">
        <v>7.4230000000000004E-2</v>
      </c>
      <c r="F817">
        <v>191465420.40000001</v>
      </c>
      <c r="G817">
        <v>0</v>
      </c>
      <c r="L817" t="s">
        <v>7</v>
      </c>
      <c r="M817" t="s">
        <v>7</v>
      </c>
      <c r="N817" t="s">
        <v>8</v>
      </c>
      <c r="P817">
        <f t="shared" si="1004"/>
        <v>-0.28227571115973704</v>
      </c>
      <c r="Q817">
        <f t="shared" si="1005"/>
        <v>-54046037.705908023</v>
      </c>
      <c r="R817">
        <f t="shared" si="1006"/>
        <v>-518698764.0905894</v>
      </c>
      <c r="S817">
        <f t="shared" si="1007"/>
        <v>-5186.9876409058943</v>
      </c>
      <c r="T817">
        <f t="shared" si="1008"/>
        <v>-5.1869876409058939</v>
      </c>
    </row>
    <row r="818" spans="1:20" x14ac:dyDescent="0.25">
      <c r="A818" s="5">
        <v>43775</v>
      </c>
      <c r="B818">
        <v>8.2220000000000001E-2</v>
      </c>
      <c r="C818">
        <v>8.2820000000000005E-2</v>
      </c>
      <c r="D818">
        <v>7.6399999999999996E-2</v>
      </c>
      <c r="E818">
        <v>7.6840000000000006E-2</v>
      </c>
      <c r="F818">
        <v>193481055.5</v>
      </c>
      <c r="G818">
        <v>0</v>
      </c>
      <c r="L818" t="s">
        <v>7</v>
      </c>
      <c r="M818" t="s">
        <v>8</v>
      </c>
      <c r="N818" t="s">
        <v>8</v>
      </c>
      <c r="P818">
        <f t="shared" si="1004"/>
        <v>-0.86292834890965442</v>
      </c>
      <c r="Q818">
        <f t="shared" si="1005"/>
        <v>-166960287.76791221</v>
      </c>
      <c r="R818">
        <f t="shared" si="1006"/>
        <v>-464652726.3846814</v>
      </c>
      <c r="S818">
        <f t="shared" si="1007"/>
        <v>-4646.5272638468141</v>
      </c>
      <c r="T818">
        <f t="shared" si="1008"/>
        <v>-4.6465272638468145</v>
      </c>
    </row>
    <row r="819" spans="1:20" x14ac:dyDescent="0.25">
      <c r="A819" s="5">
        <v>43774</v>
      </c>
      <c r="B819">
        <v>7.9390000000000002E-2</v>
      </c>
      <c r="C819">
        <v>8.8760000000000006E-2</v>
      </c>
      <c r="D819">
        <v>7.8450000000000006E-2</v>
      </c>
      <c r="E819">
        <v>8.2210000000000005E-2</v>
      </c>
      <c r="F819">
        <v>409265259.39999998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-0.27061105722599427</v>
      </c>
      <c r="Q819">
        <f t="shared" si="1005"/>
        <v>-110751704.53210478</v>
      </c>
      <c r="R819">
        <f t="shared" si="1006"/>
        <v>-297692438.61676919</v>
      </c>
      <c r="S819">
        <f t="shared" si="1007"/>
        <v>-2976.9243861676919</v>
      </c>
      <c r="T819">
        <f t="shared" si="1008"/>
        <v>-2.9769243861676919</v>
      </c>
    </row>
    <row r="820" spans="1:20" x14ac:dyDescent="0.25">
      <c r="A820" s="5">
        <v>43773</v>
      </c>
      <c r="B820">
        <v>6.8650000000000003E-2</v>
      </c>
      <c r="C820">
        <v>7.9390000000000002E-2</v>
      </c>
      <c r="D820">
        <v>6.7449999999999996E-2</v>
      </c>
      <c r="E820">
        <v>7.9289999999999999E-2</v>
      </c>
      <c r="F820">
        <v>122972676.3</v>
      </c>
      <c r="G820">
        <v>0</v>
      </c>
      <c r="L820" t="s">
        <v>8</v>
      </c>
      <c r="M820" t="s">
        <v>8</v>
      </c>
      <c r="N820" t="s">
        <v>8</v>
      </c>
      <c r="P820">
        <f t="shared" si="1004"/>
        <v>0.98324958123953055</v>
      </c>
      <c r="Q820">
        <f t="shared" si="1005"/>
        <v>120912832.47587934</v>
      </c>
      <c r="R820">
        <f t="shared" si="1006"/>
        <v>-186940734.08466443</v>
      </c>
      <c r="S820">
        <f t="shared" si="1007"/>
        <v>-1869.4073408466443</v>
      </c>
      <c r="T820">
        <f t="shared" si="1008"/>
        <v>-1.8694073408466443</v>
      </c>
    </row>
    <row r="821" spans="1:20" x14ac:dyDescent="0.25">
      <c r="A821" s="5">
        <v>43772</v>
      </c>
      <c r="B821">
        <v>7.1239999999999998E-2</v>
      </c>
      <c r="C821">
        <v>7.1959999999999996E-2</v>
      </c>
      <c r="D821">
        <v>6.787E-2</v>
      </c>
      <c r="E821">
        <v>6.8629999999999997E-2</v>
      </c>
      <c r="F821">
        <v>115898878</v>
      </c>
      <c r="G821">
        <v>0</v>
      </c>
      <c r="L821" t="s">
        <v>8</v>
      </c>
      <c r="M821" t="s">
        <v>8</v>
      </c>
      <c r="N821" t="s">
        <v>8</v>
      </c>
      <c r="P821">
        <f t="shared" si="1004"/>
        <v>-0.62836185819071033</v>
      </c>
      <c r="Q821">
        <f t="shared" si="1005"/>
        <v>-72826434.342298433</v>
      </c>
      <c r="R821">
        <f t="shared" si="1006"/>
        <v>-307853566.56054378</v>
      </c>
      <c r="S821">
        <f t="shared" si="1007"/>
        <v>-3078.5356656054378</v>
      </c>
      <c r="T821">
        <f t="shared" si="1008"/>
        <v>-3.0785356656054379</v>
      </c>
    </row>
    <row r="822" spans="1:20" x14ac:dyDescent="0.25">
      <c r="A822" s="5">
        <v>43771</v>
      </c>
      <c r="B822">
        <v>6.9010000000000002E-2</v>
      </c>
      <c r="C822">
        <v>7.1349999999999997E-2</v>
      </c>
      <c r="D822">
        <v>6.9000000000000006E-2</v>
      </c>
      <c r="E822">
        <v>7.1230000000000002E-2</v>
      </c>
      <c r="F822">
        <v>125928076.2</v>
      </c>
      <c r="G822">
        <v>0</v>
      </c>
      <c r="L822" t="s">
        <v>8</v>
      </c>
      <c r="M822" t="s">
        <v>8</v>
      </c>
      <c r="N822" t="s">
        <v>8</v>
      </c>
      <c r="P822">
        <f t="shared" si="1004"/>
        <v>0.89787234042553565</v>
      </c>
      <c r="Q822">
        <f t="shared" si="1005"/>
        <v>113067336.5029792</v>
      </c>
      <c r="R822">
        <f t="shared" si="1006"/>
        <v>-235027132.21824533</v>
      </c>
      <c r="S822">
        <f t="shared" si="1007"/>
        <v>-2350.2713221824533</v>
      </c>
      <c r="T822">
        <f t="shared" si="1008"/>
        <v>-2.3502713221824534</v>
      </c>
    </row>
    <row r="823" spans="1:20" x14ac:dyDescent="0.25">
      <c r="A823" s="5">
        <v>43770</v>
      </c>
      <c r="B823">
        <v>6.5110000000000001E-2</v>
      </c>
      <c r="C823">
        <v>7.2419999999999998E-2</v>
      </c>
      <c r="D823">
        <v>6.4589999999999995E-2</v>
      </c>
      <c r="E823">
        <v>6.9000000000000006E-2</v>
      </c>
      <c r="F823">
        <v>287327789.39999998</v>
      </c>
      <c r="G823">
        <v>0</v>
      </c>
      <c r="L823" t="s">
        <v>8</v>
      </c>
      <c r="M823" t="s">
        <v>8</v>
      </c>
      <c r="N823" t="s">
        <v>8</v>
      </c>
      <c r="P823">
        <f t="shared" si="1004"/>
        <v>0.12643678160919772</v>
      </c>
      <c r="Q823">
        <f t="shared" si="1005"/>
        <v>36328800.958621353</v>
      </c>
      <c r="R823">
        <f t="shared" si="1006"/>
        <v>-348094468.72122455</v>
      </c>
      <c r="S823">
        <f t="shared" si="1007"/>
        <v>-3480.9446872122453</v>
      </c>
      <c r="T823">
        <f t="shared" si="1008"/>
        <v>-3.4809446872122454</v>
      </c>
    </row>
    <row r="824" spans="1:20" x14ac:dyDescent="0.25">
      <c r="A824" s="5">
        <v>43769</v>
      </c>
      <c r="B824">
        <v>6.3880000000000006E-2</v>
      </c>
      <c r="C824">
        <v>6.5140000000000003E-2</v>
      </c>
      <c r="D824">
        <v>6.2E-2</v>
      </c>
      <c r="E824">
        <v>6.5119999999999997E-2</v>
      </c>
      <c r="F824">
        <v>118903683.2</v>
      </c>
      <c r="G824">
        <v>0</v>
      </c>
      <c r="L824" t="s">
        <v>7</v>
      </c>
      <c r="M824" t="s">
        <v>8</v>
      </c>
      <c r="N824" t="s">
        <v>8</v>
      </c>
      <c r="P824">
        <f t="shared" si="1004"/>
        <v>0.9872611464968114</v>
      </c>
      <c r="Q824">
        <f t="shared" si="1005"/>
        <v>117388986.59872566</v>
      </c>
      <c r="R824">
        <f t="shared" si="1006"/>
        <v>-384423269.67984593</v>
      </c>
      <c r="S824">
        <f t="shared" si="1007"/>
        <v>-3844.2326967984591</v>
      </c>
      <c r="T824">
        <f t="shared" si="1008"/>
        <v>-3.8442326967984592</v>
      </c>
    </row>
    <row r="825" spans="1:20" x14ac:dyDescent="0.25">
      <c r="A825" s="5">
        <v>43768</v>
      </c>
      <c r="B825">
        <v>6.6610000000000003E-2</v>
      </c>
      <c r="C825">
        <v>6.7059999999999995E-2</v>
      </c>
      <c r="D825">
        <v>6.268E-2</v>
      </c>
      <c r="E825">
        <v>6.3880000000000006E-2</v>
      </c>
      <c r="F825">
        <v>104406655.09999999</v>
      </c>
      <c r="G825">
        <v>0</v>
      </c>
      <c r="L825" t="s">
        <v>7</v>
      </c>
      <c r="M825" t="s">
        <v>8</v>
      </c>
      <c r="N825" t="s">
        <v>8</v>
      </c>
      <c r="P825">
        <f t="shared" si="1004"/>
        <v>-0.45205479452054431</v>
      </c>
      <c r="Q825">
        <f t="shared" si="1005"/>
        <v>-47197529.017807834</v>
      </c>
      <c r="R825">
        <f t="shared" si="1006"/>
        <v>-501812256.27857161</v>
      </c>
      <c r="S825">
        <f t="shared" si="1007"/>
        <v>-5018.1225627857157</v>
      </c>
      <c r="T825">
        <f t="shared" si="1008"/>
        <v>-5.0181225627857158</v>
      </c>
    </row>
    <row r="826" spans="1:20" x14ac:dyDescent="0.25">
      <c r="A826" s="5">
        <v>43767</v>
      </c>
      <c r="B826">
        <v>6.4500000000000002E-2</v>
      </c>
      <c r="C826">
        <v>6.9980000000000001E-2</v>
      </c>
      <c r="D826">
        <v>6.4430000000000001E-2</v>
      </c>
      <c r="E826">
        <v>6.6619999999999999E-2</v>
      </c>
      <c r="F826">
        <v>99602283.5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-0.21081081081081163</v>
      </c>
      <c r="Q826">
        <f t="shared" si="1005"/>
        <v>-20997238.143243324</v>
      </c>
      <c r="R826">
        <f t="shared" si="1006"/>
        <v>-454614727.26076376</v>
      </c>
      <c r="S826">
        <f t="shared" si="1007"/>
        <v>-4546.1472726076372</v>
      </c>
      <c r="T826">
        <f t="shared" si="1008"/>
        <v>-4.5461472726076373</v>
      </c>
    </row>
    <row r="827" spans="1:20" x14ac:dyDescent="0.25">
      <c r="A827" s="5">
        <v>43766</v>
      </c>
      <c r="B827">
        <v>6.5170000000000006E-2</v>
      </c>
      <c r="C827">
        <v>6.9190000000000002E-2</v>
      </c>
      <c r="D827">
        <v>6.4360000000000001E-2</v>
      </c>
      <c r="E827">
        <v>6.4500000000000002E-2</v>
      </c>
      <c r="F827">
        <v>121373979.2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-0.9420289855072459</v>
      </c>
      <c r="Q827">
        <f t="shared" si="1005"/>
        <v>-114337806.49275357</v>
      </c>
      <c r="R827">
        <f t="shared" si="1006"/>
        <v>-433617489.11752045</v>
      </c>
      <c r="S827">
        <f t="shared" si="1007"/>
        <v>-4336.1748911752047</v>
      </c>
      <c r="T827">
        <f t="shared" si="1008"/>
        <v>-4.3361748911752045</v>
      </c>
    </row>
    <row r="828" spans="1:20" x14ac:dyDescent="0.25">
      <c r="A828" s="5">
        <v>43765</v>
      </c>
      <c r="B828">
        <v>6.2640000000000001E-2</v>
      </c>
      <c r="C828">
        <v>6.5799999999999997E-2</v>
      </c>
      <c r="D828">
        <v>6.1839999999999999E-2</v>
      </c>
      <c r="E828">
        <v>6.5140000000000003E-2</v>
      </c>
      <c r="F828">
        <v>103629832.8</v>
      </c>
      <c r="G828">
        <v>0</v>
      </c>
      <c r="L828" t="s">
        <v>7</v>
      </c>
      <c r="M828" t="s">
        <v>8</v>
      </c>
      <c r="N828" t="s">
        <v>7</v>
      </c>
      <c r="P828">
        <f t="shared" si="1004"/>
        <v>0.66666666666666963</v>
      </c>
      <c r="Q828">
        <f t="shared" si="1005"/>
        <v>69086555.200000301</v>
      </c>
      <c r="R828">
        <f t="shared" si="1006"/>
        <v>-319279682.62476689</v>
      </c>
      <c r="S828">
        <f t="shared" si="1007"/>
        <v>-3192.7968262476688</v>
      </c>
      <c r="T828">
        <f t="shared" si="1008"/>
        <v>-3.1927968262476689</v>
      </c>
    </row>
    <row r="829" spans="1:20" x14ac:dyDescent="0.25">
      <c r="A829" s="5">
        <v>43764</v>
      </c>
      <c r="B829">
        <v>6.4310000000000006E-2</v>
      </c>
      <c r="C829">
        <v>6.7400000000000002E-2</v>
      </c>
      <c r="D829">
        <v>6.166E-2</v>
      </c>
      <c r="E829">
        <v>6.2640000000000001E-2</v>
      </c>
      <c r="F829">
        <v>130527665.90000001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-0.65853658536585313</v>
      </c>
      <c r="Q829">
        <f t="shared" si="1005"/>
        <v>-85957243.397560909</v>
      </c>
      <c r="R829">
        <f t="shared" si="1006"/>
        <v>-388366237.82476717</v>
      </c>
      <c r="S829">
        <f t="shared" si="1007"/>
        <v>-3883.6623782476718</v>
      </c>
      <c r="T829">
        <f t="shared" si="1008"/>
        <v>-3.8836623782476716</v>
      </c>
    </row>
    <row r="830" spans="1:20" x14ac:dyDescent="0.25">
      <c r="A830" s="5">
        <v>43763</v>
      </c>
      <c r="B830">
        <v>6.0170000000000001E-2</v>
      </c>
      <c r="C830">
        <v>6.6159999999999997E-2</v>
      </c>
      <c r="D830">
        <v>5.9400000000000001E-2</v>
      </c>
      <c r="E830">
        <v>6.429E-2</v>
      </c>
      <c r="F830">
        <v>98514966.900000006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0.44674556213017813</v>
      </c>
      <c r="Q830">
        <f t="shared" si="1005"/>
        <v>44011124.265976392</v>
      </c>
      <c r="R830">
        <f t="shared" si="1006"/>
        <v>-302408994.42720628</v>
      </c>
      <c r="S830">
        <f t="shared" si="1007"/>
        <v>-3024.0899442720629</v>
      </c>
      <c r="T830">
        <f t="shared" si="1008"/>
        <v>-3.0240899442720628</v>
      </c>
    </row>
    <row r="831" spans="1:20" x14ac:dyDescent="0.25">
      <c r="A831" s="5">
        <v>43762</v>
      </c>
      <c r="B831">
        <v>5.9819999999999998E-2</v>
      </c>
      <c r="C831">
        <v>6.1600000000000002E-2</v>
      </c>
      <c r="D831">
        <v>5.8520000000000003E-2</v>
      </c>
      <c r="E831">
        <v>6.0150000000000002E-2</v>
      </c>
      <c r="F831">
        <v>59597296.799999997</v>
      </c>
      <c r="G831">
        <v>0</v>
      </c>
      <c r="L831" t="s">
        <v>8</v>
      </c>
      <c r="M831" t="s">
        <v>8</v>
      </c>
      <c r="N831" t="s">
        <v>7</v>
      </c>
      <c r="P831">
        <f t="shared" ref="P831:P894" si="1009">IF(C831=D831,0,((E831-D831)-(C831-E831))/(C831-D831))</f>
        <v>5.8441558441558322E-2</v>
      </c>
      <c r="Q831">
        <f t="shared" ref="Q831:Q894" si="1010">F831*P831</f>
        <v>3482958.9038960966</v>
      </c>
      <c r="R831">
        <f t="shared" ref="R831:R894" si="1011">R832+Q831</f>
        <v>-346420118.69318265</v>
      </c>
      <c r="S831">
        <f t="shared" ref="S831:S894" si="1012">R831/100000</f>
        <v>-3464.2011869318267</v>
      </c>
      <c r="T831">
        <f t="shared" ref="T831:T894" si="1013">S831/1000</f>
        <v>-3.4642011869318265</v>
      </c>
    </row>
    <row r="832" spans="1:20" x14ac:dyDescent="0.25">
      <c r="A832" s="5">
        <v>43761</v>
      </c>
      <c r="B832">
        <v>6.3219999999999998E-2</v>
      </c>
      <c r="C832">
        <v>6.3490000000000005E-2</v>
      </c>
      <c r="D832">
        <v>5.6919999999999998E-2</v>
      </c>
      <c r="E832">
        <v>5.9839999999999997E-2</v>
      </c>
      <c r="F832">
        <v>81205772.200000003</v>
      </c>
      <c r="G832">
        <v>0</v>
      </c>
      <c r="L832" t="s">
        <v>7</v>
      </c>
      <c r="M832" t="s">
        <v>8</v>
      </c>
      <c r="N832" t="s">
        <v>7</v>
      </c>
      <c r="P832">
        <f t="shared" si="1009"/>
        <v>-0.11111111111111228</v>
      </c>
      <c r="Q832">
        <f t="shared" si="1010"/>
        <v>-9022863.5777778737</v>
      </c>
      <c r="R832">
        <f t="shared" si="1011"/>
        <v>-349903077.59707874</v>
      </c>
      <c r="S832">
        <f t="shared" si="1012"/>
        <v>-3499.0307759707875</v>
      </c>
      <c r="T832">
        <f t="shared" si="1013"/>
        <v>-3.4990307759707875</v>
      </c>
    </row>
    <row r="833" spans="1:20" x14ac:dyDescent="0.25">
      <c r="A833" s="5">
        <v>43760</v>
      </c>
      <c r="B833">
        <v>6.3880000000000006E-2</v>
      </c>
      <c r="C833">
        <v>6.4769999999999994E-2</v>
      </c>
      <c r="D833">
        <v>6.3020000000000007E-2</v>
      </c>
      <c r="E833">
        <v>6.3210000000000002E-2</v>
      </c>
      <c r="F833">
        <v>41032516.799999997</v>
      </c>
      <c r="G833">
        <v>0</v>
      </c>
      <c r="L833" t="s">
        <v>8</v>
      </c>
      <c r="M833" t="s">
        <v>8</v>
      </c>
      <c r="N833" t="s">
        <v>7</v>
      </c>
      <c r="P833">
        <f t="shared" si="1009"/>
        <v>-0.78285714285714625</v>
      </c>
      <c r="Q833">
        <f t="shared" si="1010"/>
        <v>-32122598.866285849</v>
      </c>
      <c r="R833">
        <f t="shared" si="1011"/>
        <v>-340880214.01930088</v>
      </c>
      <c r="S833">
        <f t="shared" si="1012"/>
        <v>-3408.8021401930087</v>
      </c>
      <c r="T833">
        <f t="shared" si="1013"/>
        <v>-3.4088021401930089</v>
      </c>
    </row>
    <row r="834" spans="1:20" x14ac:dyDescent="0.25">
      <c r="A834" s="5">
        <v>43759</v>
      </c>
      <c r="B834">
        <v>6.3200000000000006E-2</v>
      </c>
      <c r="C834">
        <v>6.4100000000000004E-2</v>
      </c>
      <c r="D834">
        <v>6.2659999999999993E-2</v>
      </c>
      <c r="E834">
        <v>6.3869999999999996E-2</v>
      </c>
      <c r="F834">
        <v>30188144.199999999</v>
      </c>
      <c r="G834">
        <v>0</v>
      </c>
      <c r="L834" t="s">
        <v>8</v>
      </c>
      <c r="M834" t="s">
        <v>8</v>
      </c>
      <c r="N834" t="s">
        <v>7</v>
      </c>
      <c r="P834">
        <f t="shared" si="1009"/>
        <v>0.68055555555554681</v>
      </c>
      <c r="Q834">
        <f t="shared" si="1010"/>
        <v>20544709.247221958</v>
      </c>
      <c r="R834">
        <f t="shared" si="1011"/>
        <v>-308757615.15301502</v>
      </c>
      <c r="S834">
        <f t="shared" si="1012"/>
        <v>-3087.5761515301501</v>
      </c>
      <c r="T834">
        <f t="shared" si="1013"/>
        <v>-3.0875761515301501</v>
      </c>
    </row>
    <row r="835" spans="1:20" x14ac:dyDescent="0.25">
      <c r="A835" s="5">
        <v>43758</v>
      </c>
      <c r="B835">
        <v>6.2469999999999998E-2</v>
      </c>
      <c r="C835">
        <v>6.3880000000000006E-2</v>
      </c>
      <c r="D835">
        <v>6.1650000000000003E-2</v>
      </c>
      <c r="E835">
        <v>6.3200000000000006E-2</v>
      </c>
      <c r="F835">
        <v>31117304</v>
      </c>
      <c r="G835">
        <v>0</v>
      </c>
      <c r="L835" t="s">
        <v>8</v>
      </c>
      <c r="M835" t="s">
        <v>8</v>
      </c>
      <c r="N835" t="s">
        <v>7</v>
      </c>
      <c r="P835">
        <f t="shared" si="1009"/>
        <v>0.3901345291479828</v>
      </c>
      <c r="Q835">
        <f t="shared" si="1010"/>
        <v>12139934.744394641</v>
      </c>
      <c r="R835">
        <f t="shared" si="1011"/>
        <v>-329302324.40023696</v>
      </c>
      <c r="S835">
        <f t="shared" si="1012"/>
        <v>-3293.0232440023697</v>
      </c>
      <c r="T835">
        <f t="shared" si="1013"/>
        <v>-3.2930232440023697</v>
      </c>
    </row>
    <row r="836" spans="1:20" x14ac:dyDescent="0.25">
      <c r="A836" s="5">
        <v>43757</v>
      </c>
      <c r="B836">
        <v>6.3020000000000007E-2</v>
      </c>
      <c r="C836">
        <v>6.3950000000000007E-2</v>
      </c>
      <c r="D836">
        <v>6.2239999999999997E-2</v>
      </c>
      <c r="E836">
        <v>6.2469999999999998E-2</v>
      </c>
      <c r="F836">
        <v>28689772.899999999</v>
      </c>
      <c r="G836">
        <v>0</v>
      </c>
      <c r="L836" t="s">
        <v>8</v>
      </c>
      <c r="M836" t="s">
        <v>8</v>
      </c>
      <c r="N836" t="s">
        <v>7</v>
      </c>
      <c r="P836">
        <f t="shared" si="1009"/>
        <v>-0.73099415204678397</v>
      </c>
      <c r="Q836">
        <f t="shared" si="1010"/>
        <v>-20972056.213450301</v>
      </c>
      <c r="R836">
        <f t="shared" si="1011"/>
        <v>-341442259.14463162</v>
      </c>
      <c r="S836">
        <f t="shared" si="1012"/>
        <v>-3414.4225914463163</v>
      </c>
      <c r="T836">
        <f t="shared" si="1013"/>
        <v>-3.4144225914463164</v>
      </c>
    </row>
    <row r="837" spans="1:20" x14ac:dyDescent="0.25">
      <c r="A837" s="5">
        <v>43756</v>
      </c>
      <c r="B837">
        <v>6.5040000000000001E-2</v>
      </c>
      <c r="C837">
        <v>6.5110000000000001E-2</v>
      </c>
      <c r="D837">
        <v>6.1499999999999999E-2</v>
      </c>
      <c r="E837">
        <v>6.2990000000000004E-2</v>
      </c>
      <c r="F837">
        <v>51424679.899999999</v>
      </c>
      <c r="G837">
        <v>0</v>
      </c>
      <c r="L837" t="s">
        <v>8</v>
      </c>
      <c r="M837" t="s">
        <v>8</v>
      </c>
      <c r="N837" t="s">
        <v>7</v>
      </c>
      <c r="P837">
        <f t="shared" si="1009"/>
        <v>-0.1745152354570613</v>
      </c>
      <c r="Q837">
        <f t="shared" si="1010"/>
        <v>-8974390.1210525073</v>
      </c>
      <c r="R837">
        <f t="shared" si="1011"/>
        <v>-320470202.93118131</v>
      </c>
      <c r="S837">
        <f t="shared" si="1012"/>
        <v>-3204.702029311813</v>
      </c>
      <c r="T837">
        <f t="shared" si="1013"/>
        <v>-3.2047020293118131</v>
      </c>
    </row>
    <row r="838" spans="1:20" x14ac:dyDescent="0.25">
      <c r="A838" s="5">
        <v>43755</v>
      </c>
      <c r="B838">
        <v>6.1699999999999998E-2</v>
      </c>
      <c r="C838">
        <v>6.5110000000000001E-2</v>
      </c>
      <c r="D838">
        <v>6.1019999999999998E-2</v>
      </c>
      <c r="E838">
        <v>6.5049999999999997E-2</v>
      </c>
      <c r="F838">
        <v>75774952.299999997</v>
      </c>
      <c r="G838">
        <v>0</v>
      </c>
      <c r="L838" t="s">
        <v>8</v>
      </c>
      <c r="M838" t="s">
        <v>8</v>
      </c>
      <c r="N838" t="s">
        <v>7</v>
      </c>
      <c r="P838">
        <f t="shared" si="1009"/>
        <v>0.97066014669926437</v>
      </c>
      <c r="Q838">
        <f t="shared" si="1010"/>
        <v>73551726.315647751</v>
      </c>
      <c r="R838">
        <f t="shared" si="1011"/>
        <v>-311495812.81012881</v>
      </c>
      <c r="S838">
        <f t="shared" si="1012"/>
        <v>-3114.9581281012879</v>
      </c>
      <c r="T838">
        <f t="shared" si="1013"/>
        <v>-3.1149581281012879</v>
      </c>
    </row>
    <row r="839" spans="1:20" x14ac:dyDescent="0.25">
      <c r="A839" s="5">
        <v>43754</v>
      </c>
      <c r="B839">
        <v>6.3890000000000002E-2</v>
      </c>
      <c r="C839">
        <v>6.4369999999999997E-2</v>
      </c>
      <c r="D839">
        <v>6.0470000000000003E-2</v>
      </c>
      <c r="E839">
        <v>6.1710000000000001E-2</v>
      </c>
      <c r="F839">
        <v>53065845.299999997</v>
      </c>
      <c r="G839">
        <v>0</v>
      </c>
      <c r="L839" t="s">
        <v>7</v>
      </c>
      <c r="M839" t="s">
        <v>8</v>
      </c>
      <c r="N839" t="s">
        <v>7</v>
      </c>
      <c r="P839">
        <f t="shared" si="1009"/>
        <v>-0.36410256410256409</v>
      </c>
      <c r="Q839">
        <f t="shared" si="1010"/>
        <v>-19321410.34</v>
      </c>
      <c r="R839">
        <f t="shared" si="1011"/>
        <v>-385047539.12577653</v>
      </c>
      <c r="S839">
        <f t="shared" si="1012"/>
        <v>-3850.4753912577653</v>
      </c>
      <c r="T839">
        <f t="shared" si="1013"/>
        <v>-3.8504753912577652</v>
      </c>
    </row>
    <row r="840" spans="1:20" x14ac:dyDescent="0.25">
      <c r="A840" s="5">
        <v>43753</v>
      </c>
      <c r="B840">
        <v>6.6140000000000004E-2</v>
      </c>
      <c r="C840">
        <v>6.6750000000000004E-2</v>
      </c>
      <c r="D840">
        <v>6.2199999999999998E-2</v>
      </c>
      <c r="E840">
        <v>6.3899999999999998E-2</v>
      </c>
      <c r="F840">
        <v>84100929.099999994</v>
      </c>
      <c r="G840">
        <v>0</v>
      </c>
      <c r="L840" t="s">
        <v>8</v>
      </c>
      <c r="M840" t="s">
        <v>8</v>
      </c>
      <c r="N840" t="s">
        <v>7</v>
      </c>
      <c r="P840">
        <f t="shared" si="1009"/>
        <v>-0.25274725274725357</v>
      </c>
      <c r="Q840">
        <f t="shared" si="1010"/>
        <v>-21256278.783516552</v>
      </c>
      <c r="R840">
        <f t="shared" si="1011"/>
        <v>-365726128.78577656</v>
      </c>
      <c r="S840">
        <f t="shared" si="1012"/>
        <v>-3657.2612878577656</v>
      </c>
      <c r="T840">
        <f t="shared" si="1013"/>
        <v>-3.6572612878577657</v>
      </c>
    </row>
    <row r="841" spans="1:20" x14ac:dyDescent="0.25">
      <c r="A841" s="5">
        <v>43752</v>
      </c>
      <c r="B841">
        <v>6.1379999999999997E-2</v>
      </c>
      <c r="C841">
        <v>6.6159999999999997E-2</v>
      </c>
      <c r="D841">
        <v>6.1080000000000002E-2</v>
      </c>
      <c r="E841">
        <v>6.6129999999999994E-2</v>
      </c>
      <c r="F841">
        <v>58907477.799999997</v>
      </c>
      <c r="G841">
        <v>0</v>
      </c>
      <c r="L841" t="s">
        <v>8</v>
      </c>
      <c r="M841" t="s">
        <v>8</v>
      </c>
      <c r="N841" t="s">
        <v>7</v>
      </c>
      <c r="P841">
        <f t="shared" si="1009"/>
        <v>0.98818897637795189</v>
      </c>
      <c r="Q841">
        <f t="shared" si="1010"/>
        <v>58211720.188188925</v>
      </c>
      <c r="R841">
        <f t="shared" si="1011"/>
        <v>-344469850.00226003</v>
      </c>
      <c r="S841">
        <f t="shared" si="1012"/>
        <v>-3444.6985000226005</v>
      </c>
      <c r="T841">
        <f t="shared" si="1013"/>
        <v>-3.4446985000226005</v>
      </c>
    </row>
    <row r="842" spans="1:20" x14ac:dyDescent="0.25">
      <c r="A842" s="5">
        <v>43751</v>
      </c>
      <c r="B842">
        <v>6.0819999999999999E-2</v>
      </c>
      <c r="C842">
        <v>6.2480000000000001E-2</v>
      </c>
      <c r="D842">
        <v>6.0609999999999997E-2</v>
      </c>
      <c r="E842">
        <v>6.1359999999999998E-2</v>
      </c>
      <c r="F842">
        <v>25568767.399999999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-0.19786096256684577</v>
      </c>
      <c r="Q842">
        <f t="shared" si="1010"/>
        <v>-5059060.9294117857</v>
      </c>
      <c r="R842">
        <f t="shared" si="1011"/>
        <v>-402681570.19044894</v>
      </c>
      <c r="S842">
        <f t="shared" si="1012"/>
        <v>-4026.8157019044893</v>
      </c>
      <c r="T842">
        <f t="shared" si="1013"/>
        <v>-4.0268157019044892</v>
      </c>
    </row>
    <row r="843" spans="1:20" x14ac:dyDescent="0.25">
      <c r="A843" s="5">
        <v>43750</v>
      </c>
      <c r="B843">
        <v>5.9709999999999999E-2</v>
      </c>
      <c r="C843">
        <v>6.1690000000000002E-2</v>
      </c>
      <c r="D843">
        <v>5.9700000000000003E-2</v>
      </c>
      <c r="E843">
        <v>6.0830000000000002E-2</v>
      </c>
      <c r="F843">
        <v>35928975.200000003</v>
      </c>
      <c r="G843">
        <v>0</v>
      </c>
      <c r="L843" t="s">
        <v>7</v>
      </c>
      <c r="M843" t="s">
        <v>8</v>
      </c>
      <c r="N843" t="s">
        <v>7</v>
      </c>
      <c r="P843">
        <f t="shared" si="1009"/>
        <v>0.13567839195979878</v>
      </c>
      <c r="Q843">
        <f t="shared" si="1010"/>
        <v>4874785.5798994899</v>
      </c>
      <c r="R843">
        <f t="shared" si="1011"/>
        <v>-397622509.26103717</v>
      </c>
      <c r="S843">
        <f t="shared" si="1012"/>
        <v>-3976.2250926103716</v>
      </c>
      <c r="T843">
        <f t="shared" si="1013"/>
        <v>-3.9762250926103717</v>
      </c>
    </row>
    <row r="844" spans="1:20" x14ac:dyDescent="0.25">
      <c r="A844" s="5">
        <v>43749</v>
      </c>
      <c r="B844">
        <v>6.148E-2</v>
      </c>
      <c r="C844">
        <v>6.2689999999999996E-2</v>
      </c>
      <c r="D844">
        <v>5.8999999999999997E-2</v>
      </c>
      <c r="E844">
        <v>5.9700000000000003E-2</v>
      </c>
      <c r="F844">
        <v>56269040.899999999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-0.62059620596205611</v>
      </c>
      <c r="Q844">
        <f t="shared" si="1010"/>
        <v>-34920353.295663759</v>
      </c>
      <c r="R844">
        <f t="shared" si="1011"/>
        <v>-402497294.84093666</v>
      </c>
      <c r="S844">
        <f t="shared" si="1012"/>
        <v>-4024.9729484093664</v>
      </c>
      <c r="T844">
        <f t="shared" si="1013"/>
        <v>-4.0249729484093661</v>
      </c>
    </row>
    <row r="845" spans="1:20" x14ac:dyDescent="0.25">
      <c r="A845" s="5">
        <v>43748</v>
      </c>
      <c r="B845">
        <v>6.3079999999999997E-2</v>
      </c>
      <c r="C845">
        <v>6.3240000000000005E-2</v>
      </c>
      <c r="D845">
        <v>6.071E-2</v>
      </c>
      <c r="E845">
        <v>6.1460000000000001E-2</v>
      </c>
      <c r="F845">
        <v>30181573.800000001</v>
      </c>
      <c r="G845">
        <v>0</v>
      </c>
      <c r="L845" t="s">
        <v>8</v>
      </c>
      <c r="M845" t="s">
        <v>8</v>
      </c>
      <c r="N845" t="s">
        <v>7</v>
      </c>
      <c r="P845">
        <f t="shared" si="1009"/>
        <v>-0.40711462450592939</v>
      </c>
      <c r="Q845">
        <f t="shared" si="1010"/>
        <v>-12287360.084584996</v>
      </c>
      <c r="R845">
        <f t="shared" si="1011"/>
        <v>-367576941.54527289</v>
      </c>
      <c r="S845">
        <f t="shared" si="1012"/>
        <v>-3675.7694154527289</v>
      </c>
      <c r="T845">
        <f t="shared" si="1013"/>
        <v>-3.6757694154527289</v>
      </c>
    </row>
    <row r="846" spans="1:20" x14ac:dyDescent="0.25">
      <c r="A846" s="5">
        <v>43747</v>
      </c>
      <c r="B846">
        <v>6.182E-2</v>
      </c>
      <c r="C846">
        <v>6.5000000000000002E-2</v>
      </c>
      <c r="D846">
        <v>6.1150000000000003E-2</v>
      </c>
      <c r="E846">
        <v>6.3079999999999997E-2</v>
      </c>
      <c r="F846">
        <v>59997104.5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2.5974025973997884E-3</v>
      </c>
      <c r="Q846">
        <f t="shared" si="1010"/>
        <v>155836.63506476654</v>
      </c>
      <c r="R846">
        <f t="shared" si="1011"/>
        <v>-355289581.46068788</v>
      </c>
      <c r="S846">
        <f t="shared" si="1012"/>
        <v>-3552.895814606879</v>
      </c>
      <c r="T846">
        <f t="shared" si="1013"/>
        <v>-3.5528958146068788</v>
      </c>
    </row>
    <row r="847" spans="1:20" x14ac:dyDescent="0.25">
      <c r="A847" s="5">
        <v>43746</v>
      </c>
      <c r="B847">
        <v>6.2080000000000003E-2</v>
      </c>
      <c r="C847">
        <v>6.3740000000000005E-2</v>
      </c>
      <c r="D847">
        <v>6.071E-2</v>
      </c>
      <c r="E847">
        <v>6.1809999999999997E-2</v>
      </c>
      <c r="F847">
        <v>51192294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-0.27392739273927719</v>
      </c>
      <c r="Q847">
        <f t="shared" si="1010"/>
        <v>-14022971.623762542</v>
      </c>
      <c r="R847">
        <f t="shared" si="1011"/>
        <v>-355445418.09575266</v>
      </c>
      <c r="S847">
        <f t="shared" si="1012"/>
        <v>-3554.4541809575267</v>
      </c>
      <c r="T847">
        <f t="shared" si="1013"/>
        <v>-3.5544541809575265</v>
      </c>
    </row>
    <row r="848" spans="1:20" x14ac:dyDescent="0.25">
      <c r="A848" s="5">
        <v>43745</v>
      </c>
      <c r="B848">
        <v>5.8400000000000001E-2</v>
      </c>
      <c r="C848">
        <v>6.368E-2</v>
      </c>
      <c r="D848">
        <v>5.7889999999999997E-2</v>
      </c>
      <c r="E848">
        <v>6.207E-2</v>
      </c>
      <c r="F848">
        <v>99033648.799999997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0.443868739205527</v>
      </c>
      <c r="Q848">
        <f t="shared" si="1010"/>
        <v>43957940.831778951</v>
      </c>
      <c r="R848">
        <f t="shared" si="1011"/>
        <v>-341422446.47199011</v>
      </c>
      <c r="S848">
        <f t="shared" si="1012"/>
        <v>-3414.2244647199009</v>
      </c>
      <c r="T848">
        <f t="shared" si="1013"/>
        <v>-3.4142244647199007</v>
      </c>
    </row>
    <row r="849" spans="1:20" x14ac:dyDescent="0.25">
      <c r="A849" s="5">
        <v>43744</v>
      </c>
      <c r="B849">
        <v>5.8970000000000002E-2</v>
      </c>
      <c r="C849">
        <v>5.9240000000000001E-2</v>
      </c>
      <c r="D849">
        <v>5.7189999999999998E-2</v>
      </c>
      <c r="E849">
        <v>5.8389999999999997E-2</v>
      </c>
      <c r="F849">
        <v>32050223.300000001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0.17073170731707102</v>
      </c>
      <c r="Q849">
        <f t="shared" si="1010"/>
        <v>5471989.34390237</v>
      </c>
      <c r="R849">
        <f t="shared" si="1011"/>
        <v>-385380387.30376905</v>
      </c>
      <c r="S849">
        <f t="shared" si="1012"/>
        <v>-3853.8038730376907</v>
      </c>
      <c r="T849">
        <f t="shared" si="1013"/>
        <v>-3.8538038730376907</v>
      </c>
    </row>
    <row r="850" spans="1:20" x14ac:dyDescent="0.25">
      <c r="A850" s="5">
        <v>43743</v>
      </c>
      <c r="B850">
        <v>5.8639999999999998E-2</v>
      </c>
      <c r="C850">
        <v>5.9249999999999997E-2</v>
      </c>
      <c r="D850">
        <v>5.8200000000000002E-2</v>
      </c>
      <c r="E850">
        <v>5.8950000000000002E-2</v>
      </c>
      <c r="F850">
        <v>21513393.800000001</v>
      </c>
      <c r="G850">
        <v>0</v>
      </c>
      <c r="L850" t="s">
        <v>7</v>
      </c>
      <c r="M850" t="s">
        <v>8</v>
      </c>
      <c r="N850" t="s">
        <v>7</v>
      </c>
      <c r="P850">
        <f t="shared" si="1009"/>
        <v>0.4285714285714361</v>
      </c>
      <c r="Q850">
        <f t="shared" si="1010"/>
        <v>9220025.9142858759</v>
      </c>
      <c r="R850">
        <f t="shared" si="1011"/>
        <v>-390852376.6476714</v>
      </c>
      <c r="S850">
        <f t="shared" si="1012"/>
        <v>-3908.5237664767142</v>
      </c>
      <c r="T850">
        <f t="shared" si="1013"/>
        <v>-3.9085237664767143</v>
      </c>
    </row>
    <row r="851" spans="1:20" x14ac:dyDescent="0.25">
      <c r="A851" s="5">
        <v>43742</v>
      </c>
      <c r="B851">
        <v>5.8540000000000002E-2</v>
      </c>
      <c r="C851">
        <v>5.9799999999999999E-2</v>
      </c>
      <c r="D851">
        <v>5.7509999999999999E-2</v>
      </c>
      <c r="E851">
        <v>5.8630000000000002E-2</v>
      </c>
      <c r="F851">
        <v>35940116.600000001</v>
      </c>
      <c r="G851">
        <v>0</v>
      </c>
      <c r="L851" t="s">
        <v>7</v>
      </c>
      <c r="M851" t="s">
        <v>8</v>
      </c>
      <c r="N851" t="s">
        <v>7</v>
      </c>
      <c r="P851">
        <f t="shared" si="1009"/>
        <v>-2.183406113536877E-2</v>
      </c>
      <c r="Q851">
        <f t="shared" si="1010"/>
        <v>-784718.70305668202</v>
      </c>
      <c r="R851">
        <f t="shared" si="1011"/>
        <v>-400072402.5619573</v>
      </c>
      <c r="S851">
        <f t="shared" si="1012"/>
        <v>-4000.7240256195728</v>
      </c>
      <c r="T851">
        <f t="shared" si="1013"/>
        <v>-4.0007240256195731</v>
      </c>
    </row>
    <row r="852" spans="1:20" x14ac:dyDescent="0.25">
      <c r="A852" s="5">
        <v>43741</v>
      </c>
      <c r="B852">
        <v>5.969E-2</v>
      </c>
      <c r="C852">
        <v>5.9799999999999999E-2</v>
      </c>
      <c r="D852">
        <v>5.7729999999999997E-2</v>
      </c>
      <c r="E852">
        <v>5.8500000000000003E-2</v>
      </c>
      <c r="F852">
        <v>26922811.899999999</v>
      </c>
      <c r="G852">
        <v>0</v>
      </c>
      <c r="L852" t="s">
        <v>7</v>
      </c>
      <c r="M852" t="s">
        <v>8</v>
      </c>
      <c r="N852" t="s">
        <v>7</v>
      </c>
      <c r="P852">
        <f t="shared" si="1009"/>
        <v>-0.25603864734298948</v>
      </c>
      <c r="Q852">
        <f t="shared" si="1010"/>
        <v>-6893280.3415457401</v>
      </c>
      <c r="R852">
        <f t="shared" si="1011"/>
        <v>-399287683.85890061</v>
      </c>
      <c r="S852">
        <f t="shared" si="1012"/>
        <v>-3992.8768385890062</v>
      </c>
      <c r="T852">
        <f t="shared" si="1013"/>
        <v>-3.9928768385890061</v>
      </c>
    </row>
    <row r="853" spans="1:20" x14ac:dyDescent="0.25">
      <c r="A853" s="5">
        <v>43740</v>
      </c>
      <c r="B853">
        <v>5.8569999999999997E-2</v>
      </c>
      <c r="C853">
        <v>5.978E-2</v>
      </c>
      <c r="D853">
        <v>5.7389999999999997E-2</v>
      </c>
      <c r="E853">
        <v>5.9679999999999997E-2</v>
      </c>
      <c r="F853">
        <v>36649690.600000001</v>
      </c>
      <c r="G853">
        <v>0</v>
      </c>
      <c r="L853" t="s">
        <v>7</v>
      </c>
      <c r="M853" t="s">
        <v>8</v>
      </c>
      <c r="N853" t="s">
        <v>7</v>
      </c>
      <c r="P853">
        <f t="shared" si="1009"/>
        <v>0.91631799163179684</v>
      </c>
      <c r="Q853">
        <f t="shared" si="1010"/>
        <v>33582770.884518743</v>
      </c>
      <c r="R853">
        <f t="shared" si="1011"/>
        <v>-392394403.51735485</v>
      </c>
      <c r="S853">
        <f t="shared" si="1012"/>
        <v>-3923.9440351735484</v>
      </c>
      <c r="T853">
        <f t="shared" si="1013"/>
        <v>-3.9239440351735486</v>
      </c>
    </row>
    <row r="854" spans="1:20" x14ac:dyDescent="0.25">
      <c r="A854" s="5">
        <v>43739</v>
      </c>
      <c r="B854">
        <v>6.1859999999999998E-2</v>
      </c>
      <c r="C854">
        <v>6.2260000000000003E-2</v>
      </c>
      <c r="D854">
        <v>5.7750000000000003E-2</v>
      </c>
      <c r="E854">
        <v>5.8599999999999999E-2</v>
      </c>
      <c r="F854">
        <v>64968879.899999999</v>
      </c>
      <c r="G854">
        <v>0</v>
      </c>
      <c r="L854" t="s">
        <v>7</v>
      </c>
      <c r="M854" t="s">
        <v>8</v>
      </c>
      <c r="N854" t="s">
        <v>7</v>
      </c>
      <c r="P854">
        <f t="shared" si="1009"/>
        <v>-0.62305986696230753</v>
      </c>
      <c r="Q854">
        <f t="shared" si="1010"/>
        <v>-40479501.667184137</v>
      </c>
      <c r="R854">
        <f t="shared" si="1011"/>
        <v>-425977174.40187359</v>
      </c>
      <c r="S854">
        <f t="shared" si="1012"/>
        <v>-4259.7717440187362</v>
      </c>
      <c r="T854">
        <f t="shared" si="1013"/>
        <v>-4.2597717440187362</v>
      </c>
    </row>
    <row r="855" spans="1:20" x14ac:dyDescent="0.25">
      <c r="A855" s="5">
        <v>43738</v>
      </c>
      <c r="B855">
        <v>5.7919999999999999E-2</v>
      </c>
      <c r="C855">
        <v>6.2199999999999998E-2</v>
      </c>
      <c r="D855">
        <v>5.6489999999999999E-2</v>
      </c>
      <c r="E855">
        <v>6.182E-2</v>
      </c>
      <c r="F855">
        <v>87351051.099999994</v>
      </c>
      <c r="G855">
        <v>0</v>
      </c>
      <c r="L855" t="s">
        <v>8</v>
      </c>
      <c r="M855" t="s">
        <v>8</v>
      </c>
      <c r="N855" t="s">
        <v>7</v>
      </c>
      <c r="P855">
        <f t="shared" si="1009"/>
        <v>0.86690017513134909</v>
      </c>
      <c r="Q855">
        <f t="shared" si="1010"/>
        <v>75724641.496497422</v>
      </c>
      <c r="R855">
        <f t="shared" si="1011"/>
        <v>-385497672.73468947</v>
      </c>
      <c r="S855">
        <f t="shared" si="1012"/>
        <v>-3854.9767273468947</v>
      </c>
      <c r="T855">
        <f t="shared" si="1013"/>
        <v>-3.8549767273468949</v>
      </c>
    </row>
    <row r="856" spans="1:20" x14ac:dyDescent="0.25">
      <c r="A856" s="5">
        <v>43737</v>
      </c>
      <c r="B856">
        <v>5.8349999999999999E-2</v>
      </c>
      <c r="C856">
        <v>5.8689999999999999E-2</v>
      </c>
      <c r="D856">
        <v>5.645E-2</v>
      </c>
      <c r="E856">
        <v>5.7910000000000003E-2</v>
      </c>
      <c r="F856">
        <v>32139885.600000001</v>
      </c>
      <c r="G856">
        <v>0</v>
      </c>
      <c r="L856" t="s">
        <v>7</v>
      </c>
      <c r="M856" t="s">
        <v>8</v>
      </c>
      <c r="N856" t="s">
        <v>7</v>
      </c>
      <c r="P856">
        <f t="shared" si="1009"/>
        <v>0.30357142857143182</v>
      </c>
      <c r="Q856">
        <f t="shared" si="1010"/>
        <v>9756750.9857143909</v>
      </c>
      <c r="R856">
        <f t="shared" si="1011"/>
        <v>-461222314.23118693</v>
      </c>
      <c r="S856">
        <f t="shared" si="1012"/>
        <v>-4612.2231423118692</v>
      </c>
      <c r="T856">
        <f t="shared" si="1013"/>
        <v>-4.6122231423118691</v>
      </c>
    </row>
    <row r="857" spans="1:20" x14ac:dyDescent="0.25">
      <c r="A857" s="5">
        <v>43736</v>
      </c>
      <c r="B857">
        <v>5.8880000000000002E-2</v>
      </c>
      <c r="C857">
        <v>5.9229999999999998E-2</v>
      </c>
      <c r="D857">
        <v>5.7000000000000002E-2</v>
      </c>
      <c r="E857">
        <v>5.8310000000000001E-2</v>
      </c>
      <c r="F857">
        <v>48812326.5</v>
      </c>
      <c r="G857">
        <v>0</v>
      </c>
      <c r="L857" t="s">
        <v>7</v>
      </c>
      <c r="M857" t="s">
        <v>8</v>
      </c>
      <c r="N857" t="s">
        <v>7</v>
      </c>
      <c r="P857">
        <f t="shared" si="1009"/>
        <v>0.17488789237668259</v>
      </c>
      <c r="Q857">
        <f t="shared" si="1010"/>
        <v>8536684.9035874922</v>
      </c>
      <c r="R857">
        <f t="shared" si="1011"/>
        <v>-470979065.2169013</v>
      </c>
      <c r="S857">
        <f t="shared" si="1012"/>
        <v>-4709.7906521690129</v>
      </c>
      <c r="T857">
        <f t="shared" si="1013"/>
        <v>-4.7097906521690129</v>
      </c>
    </row>
    <row r="858" spans="1:20" x14ac:dyDescent="0.25">
      <c r="A858" s="5">
        <v>43735</v>
      </c>
      <c r="B858">
        <v>5.842E-2</v>
      </c>
      <c r="C858">
        <v>5.9499999999999997E-2</v>
      </c>
      <c r="D858">
        <v>5.5759999999999997E-2</v>
      </c>
      <c r="E858">
        <v>5.8880000000000002E-2</v>
      </c>
      <c r="F858">
        <v>96155796.5</v>
      </c>
      <c r="G858">
        <v>0</v>
      </c>
      <c r="L858" t="s">
        <v>7</v>
      </c>
      <c r="M858" t="s">
        <v>8</v>
      </c>
      <c r="N858" t="s">
        <v>7</v>
      </c>
      <c r="P858">
        <f t="shared" si="1009"/>
        <v>0.66844919786096502</v>
      </c>
      <c r="Q858">
        <f t="shared" si="1010"/>
        <v>64275265.040107191</v>
      </c>
      <c r="R858">
        <f t="shared" si="1011"/>
        <v>-479515750.12048882</v>
      </c>
      <c r="S858">
        <f t="shared" si="1012"/>
        <v>-4795.1575012048879</v>
      </c>
      <c r="T858">
        <f t="shared" si="1013"/>
        <v>-4.7951575012048879</v>
      </c>
    </row>
    <row r="859" spans="1:20" x14ac:dyDescent="0.25">
      <c r="A859" s="5">
        <v>43734</v>
      </c>
      <c r="B859">
        <v>5.7329999999999999E-2</v>
      </c>
      <c r="C859">
        <v>6.25E-2</v>
      </c>
      <c r="D859">
        <v>5.3650000000000003E-2</v>
      </c>
      <c r="E859">
        <v>5.8430000000000003E-2</v>
      </c>
      <c r="F859">
        <v>210847531.40000001</v>
      </c>
      <c r="G859">
        <v>0</v>
      </c>
      <c r="L859" t="s">
        <v>8</v>
      </c>
      <c r="M859" t="s">
        <v>8</v>
      </c>
      <c r="N859" t="s">
        <v>7</v>
      </c>
      <c r="P859">
        <f t="shared" si="1009"/>
        <v>8.0225988700565257E-2</v>
      </c>
      <c r="Q859">
        <f t="shared" si="1010"/>
        <v>16915451.671638478</v>
      </c>
      <c r="R859">
        <f t="shared" si="1011"/>
        <v>-543791015.16059601</v>
      </c>
      <c r="S859">
        <f t="shared" si="1012"/>
        <v>-5437.91015160596</v>
      </c>
      <c r="T859">
        <f t="shared" si="1013"/>
        <v>-5.4379101516059603</v>
      </c>
    </row>
    <row r="860" spans="1:20" x14ac:dyDescent="0.25">
      <c r="A860" s="5">
        <v>43733</v>
      </c>
      <c r="B860">
        <v>5.2749999999999998E-2</v>
      </c>
      <c r="C860">
        <v>6.0290000000000003E-2</v>
      </c>
      <c r="D860">
        <v>5.1799999999999999E-2</v>
      </c>
      <c r="E860">
        <v>5.7320000000000003E-2</v>
      </c>
      <c r="F860">
        <v>115369414.40000001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0.30035335689045961</v>
      </c>
      <c r="Q860">
        <f t="shared" si="1010"/>
        <v>34651590.897526532</v>
      </c>
      <c r="R860">
        <f t="shared" si="1011"/>
        <v>-560706466.8322345</v>
      </c>
      <c r="S860">
        <f t="shared" si="1012"/>
        <v>-5607.0646683223449</v>
      </c>
      <c r="T860">
        <f t="shared" si="1013"/>
        <v>-5.6070646683223453</v>
      </c>
    </row>
    <row r="861" spans="1:20" x14ac:dyDescent="0.25">
      <c r="A861" s="5">
        <v>43732</v>
      </c>
      <c r="B861">
        <v>6.3570000000000002E-2</v>
      </c>
      <c r="C861">
        <v>6.5110000000000001E-2</v>
      </c>
      <c r="D861">
        <v>0.05</v>
      </c>
      <c r="E861">
        <v>5.2749999999999998E-2</v>
      </c>
      <c r="F861">
        <v>197872471.69999999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-0.63600264725347511</v>
      </c>
      <c r="Q861">
        <f t="shared" si="1010"/>
        <v>-125847415.81978832</v>
      </c>
      <c r="R861">
        <f t="shared" si="1011"/>
        <v>-595358057.729761</v>
      </c>
      <c r="S861">
        <f t="shared" si="1012"/>
        <v>-5953.58057729761</v>
      </c>
      <c r="T861">
        <f t="shared" si="1013"/>
        <v>-5.9535805772976103</v>
      </c>
    </row>
    <row r="862" spans="1:20" x14ac:dyDescent="0.25">
      <c r="A862" s="5">
        <v>43731</v>
      </c>
      <c r="B862">
        <v>6.83E-2</v>
      </c>
      <c r="C862">
        <v>6.9139999999999993E-2</v>
      </c>
      <c r="D862">
        <v>6.3240000000000005E-2</v>
      </c>
      <c r="E862">
        <v>6.3600000000000004E-2</v>
      </c>
      <c r="F862">
        <v>124503474.90000001</v>
      </c>
      <c r="G862">
        <v>0</v>
      </c>
      <c r="L862" t="s">
        <v>7</v>
      </c>
      <c r="M862" t="s">
        <v>7</v>
      </c>
      <c r="N862" t="s">
        <v>8</v>
      </c>
      <c r="P862">
        <f t="shared" si="1009"/>
        <v>-0.87796610169491529</v>
      </c>
      <c r="Q862">
        <f t="shared" si="1010"/>
        <v>-109309830.50542374</v>
      </c>
      <c r="R862">
        <f t="shared" si="1011"/>
        <v>-469510641.90997267</v>
      </c>
      <c r="S862">
        <f t="shared" si="1012"/>
        <v>-4695.1064190997267</v>
      </c>
      <c r="T862">
        <f t="shared" si="1013"/>
        <v>-4.6951064190997265</v>
      </c>
    </row>
    <row r="863" spans="1:20" x14ac:dyDescent="0.25">
      <c r="A863" s="5">
        <v>43730</v>
      </c>
      <c r="B863">
        <v>6.9699999999999998E-2</v>
      </c>
      <c r="C863">
        <v>6.9919999999999996E-2</v>
      </c>
      <c r="D863">
        <v>6.6519999999999996E-2</v>
      </c>
      <c r="E863">
        <v>6.83E-2</v>
      </c>
      <c r="F863">
        <v>93855480.799999997</v>
      </c>
      <c r="G863">
        <v>0</v>
      </c>
      <c r="L863" t="s">
        <v>7</v>
      </c>
      <c r="M863" t="s">
        <v>7</v>
      </c>
      <c r="N863" t="s">
        <v>8</v>
      </c>
      <c r="P863">
        <f t="shared" si="1009"/>
        <v>4.7058823529413929E-2</v>
      </c>
      <c r="Q863">
        <f t="shared" si="1010"/>
        <v>4416728.5082354974</v>
      </c>
      <c r="R863">
        <f t="shared" si="1011"/>
        <v>-360200811.40454894</v>
      </c>
      <c r="S863">
        <f t="shared" si="1012"/>
        <v>-3602.0081140454895</v>
      </c>
      <c r="T863">
        <f t="shared" si="1013"/>
        <v>-3.6020081140454896</v>
      </c>
    </row>
    <row r="864" spans="1:20" x14ac:dyDescent="0.25">
      <c r="A864" s="5">
        <v>43729</v>
      </c>
      <c r="B864">
        <v>7.1999999999999995E-2</v>
      </c>
      <c r="C864">
        <v>7.3800000000000004E-2</v>
      </c>
      <c r="D864">
        <v>6.6820000000000004E-2</v>
      </c>
      <c r="E864">
        <v>6.9680000000000006E-2</v>
      </c>
      <c r="F864">
        <v>148101053.19999999</v>
      </c>
      <c r="G864">
        <v>0</v>
      </c>
      <c r="L864" t="s">
        <v>7</v>
      </c>
      <c r="M864" t="s">
        <v>7</v>
      </c>
      <c r="N864" t="s">
        <v>8</v>
      </c>
      <c r="P864">
        <f t="shared" si="1009"/>
        <v>-0.18051575931232053</v>
      </c>
      <c r="Q864">
        <f t="shared" si="1010"/>
        <v>-26734574.073352374</v>
      </c>
      <c r="R864">
        <f t="shared" si="1011"/>
        <v>-364617539.91278446</v>
      </c>
      <c r="S864">
        <f t="shared" si="1012"/>
        <v>-3646.1753991278447</v>
      </c>
      <c r="T864">
        <f t="shared" si="1013"/>
        <v>-3.6461753991278445</v>
      </c>
    </row>
    <row r="865" spans="1:20" x14ac:dyDescent="0.25">
      <c r="A865" s="5">
        <v>43728</v>
      </c>
      <c r="B865">
        <v>8.072E-2</v>
      </c>
      <c r="C865">
        <v>8.0810000000000007E-2</v>
      </c>
      <c r="D865">
        <v>7.0419999999999996E-2</v>
      </c>
      <c r="E865">
        <v>7.1999999999999995E-2</v>
      </c>
      <c r="F865">
        <v>259952506.5</v>
      </c>
      <c r="G865">
        <v>0</v>
      </c>
      <c r="L865" t="s">
        <v>7</v>
      </c>
      <c r="M865" t="s">
        <v>7</v>
      </c>
      <c r="N865" t="s">
        <v>8</v>
      </c>
      <c r="P865">
        <f t="shared" si="1009"/>
        <v>-0.69586140519730577</v>
      </c>
      <c r="Q865">
        <f t="shared" si="1010"/>
        <v>-180890916.45765176</v>
      </c>
      <c r="R865">
        <f t="shared" si="1011"/>
        <v>-337882965.83943206</v>
      </c>
      <c r="S865">
        <f t="shared" si="1012"/>
        <v>-3378.8296583943206</v>
      </c>
      <c r="T865">
        <f t="shared" si="1013"/>
        <v>-3.3788296583943205</v>
      </c>
    </row>
    <row r="866" spans="1:20" x14ac:dyDescent="0.25">
      <c r="A866" s="5">
        <v>43727</v>
      </c>
      <c r="B866">
        <v>8.2600000000000007E-2</v>
      </c>
      <c r="C866">
        <v>8.8690000000000005E-2</v>
      </c>
      <c r="D866">
        <v>7.4149999999999994E-2</v>
      </c>
      <c r="E866">
        <v>8.072E-2</v>
      </c>
      <c r="F866">
        <v>436805966.5</v>
      </c>
      <c r="G866">
        <v>0</v>
      </c>
      <c r="L866" t="s">
        <v>7</v>
      </c>
      <c r="M866" t="s">
        <v>7</v>
      </c>
      <c r="N866" t="s">
        <v>8</v>
      </c>
      <c r="P866">
        <f t="shared" si="1009"/>
        <v>-9.6286107290233652E-2</v>
      </c>
      <c r="Q866">
        <f t="shared" si="1010"/>
        <v>-42058346.155433208</v>
      </c>
      <c r="R866">
        <f t="shared" si="1011"/>
        <v>-156992049.3817803</v>
      </c>
      <c r="S866">
        <f t="shared" si="1012"/>
        <v>-1569.9204938178029</v>
      </c>
      <c r="T866">
        <f t="shared" si="1013"/>
        <v>-1.5699204938178029</v>
      </c>
    </row>
    <row r="867" spans="1:20" x14ac:dyDescent="0.25">
      <c r="A867" s="5">
        <v>43726</v>
      </c>
      <c r="B867">
        <v>6.3450000000000006E-2</v>
      </c>
      <c r="C867">
        <v>8.8999999999999996E-2</v>
      </c>
      <c r="D867">
        <v>6.3439999999999996E-2</v>
      </c>
      <c r="E867">
        <v>8.2570000000000005E-2</v>
      </c>
      <c r="F867">
        <v>336833116.5</v>
      </c>
      <c r="G867">
        <v>0</v>
      </c>
      <c r="L867" t="s">
        <v>8</v>
      </c>
      <c r="M867" t="s">
        <v>8</v>
      </c>
      <c r="N867" t="s">
        <v>8</v>
      </c>
      <c r="P867">
        <f t="shared" si="1009"/>
        <v>0.49687010954616656</v>
      </c>
      <c r="Q867">
        <f t="shared" si="1010"/>
        <v>167362307.49413168</v>
      </c>
      <c r="R867">
        <f t="shared" si="1011"/>
        <v>-114933703.22634709</v>
      </c>
      <c r="S867">
        <f t="shared" si="1012"/>
        <v>-1149.337032263471</v>
      </c>
      <c r="T867">
        <f t="shared" si="1013"/>
        <v>-1.1493370322634711</v>
      </c>
    </row>
    <row r="868" spans="1:20" x14ac:dyDescent="0.25">
      <c r="A868" s="5">
        <v>43725</v>
      </c>
      <c r="B868">
        <v>5.8639999999999998E-2</v>
      </c>
      <c r="C868">
        <v>6.6699999999999995E-2</v>
      </c>
      <c r="D868">
        <v>5.8040000000000001E-2</v>
      </c>
      <c r="E868">
        <v>6.3469999999999999E-2</v>
      </c>
      <c r="F868">
        <v>71671517.599999994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0.25404157043879932</v>
      </c>
      <c r="Q868">
        <f t="shared" si="1010"/>
        <v>18207544.886836044</v>
      </c>
      <c r="R868">
        <f t="shared" si="1011"/>
        <v>-282296010.72047877</v>
      </c>
      <c r="S868">
        <f t="shared" si="1012"/>
        <v>-2822.9601072047876</v>
      </c>
      <c r="T868">
        <f t="shared" si="1013"/>
        <v>-2.8229601072047874</v>
      </c>
    </row>
    <row r="869" spans="1:20" x14ac:dyDescent="0.25">
      <c r="A869" s="5">
        <v>43724</v>
      </c>
      <c r="B869">
        <v>5.8229999999999997E-2</v>
      </c>
      <c r="C869">
        <v>5.9080000000000001E-2</v>
      </c>
      <c r="D869">
        <v>5.7950000000000002E-2</v>
      </c>
      <c r="E869">
        <v>5.8639999999999998E-2</v>
      </c>
      <c r="F869">
        <v>20786334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0.22123893805309158</v>
      </c>
      <c r="Q869">
        <f t="shared" si="1010"/>
        <v>4598746.4601768712</v>
      </c>
      <c r="R869">
        <f t="shared" si="1011"/>
        <v>-300503555.60731483</v>
      </c>
      <c r="S869">
        <f t="shared" si="1012"/>
        <v>-3005.0355560731482</v>
      </c>
      <c r="T869">
        <f t="shared" si="1013"/>
        <v>-3.0050355560731483</v>
      </c>
    </row>
    <row r="870" spans="1:20" x14ac:dyDescent="0.25">
      <c r="A870" s="5">
        <v>43723</v>
      </c>
      <c r="B870">
        <v>5.8659999999999997E-2</v>
      </c>
      <c r="C870">
        <v>5.8900000000000001E-2</v>
      </c>
      <c r="D870">
        <v>5.8090000000000003E-2</v>
      </c>
      <c r="E870">
        <v>5.8250000000000003E-2</v>
      </c>
      <c r="F870">
        <v>12937024.4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-0.60493827160493641</v>
      </c>
      <c r="Q870">
        <f t="shared" si="1010"/>
        <v>-7826101.1802468896</v>
      </c>
      <c r="R870">
        <f t="shared" si="1011"/>
        <v>-305102302.06749171</v>
      </c>
      <c r="S870">
        <f t="shared" si="1012"/>
        <v>-3051.023020674917</v>
      </c>
      <c r="T870">
        <f t="shared" si="1013"/>
        <v>-3.0510230206749172</v>
      </c>
    </row>
    <row r="871" spans="1:20" x14ac:dyDescent="0.25">
      <c r="A871" s="5">
        <v>43722</v>
      </c>
      <c r="B871">
        <v>5.7790000000000001E-2</v>
      </c>
      <c r="C871">
        <v>5.9429999999999997E-2</v>
      </c>
      <c r="D871">
        <v>5.7090000000000002E-2</v>
      </c>
      <c r="E871">
        <v>5.8680000000000003E-2</v>
      </c>
      <c r="F871">
        <v>37664501.700000003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0.35897435897436292</v>
      </c>
      <c r="Q871">
        <f t="shared" si="1010"/>
        <v>13520590.353846304</v>
      </c>
      <c r="R871">
        <f t="shared" si="1011"/>
        <v>-297276200.88724482</v>
      </c>
      <c r="S871">
        <f t="shared" si="1012"/>
        <v>-2972.7620088724484</v>
      </c>
      <c r="T871">
        <f t="shared" si="1013"/>
        <v>-2.9727620088724485</v>
      </c>
    </row>
    <row r="872" spans="1:20" x14ac:dyDescent="0.25">
      <c r="A872" s="5">
        <v>43721</v>
      </c>
      <c r="B872">
        <v>5.8290000000000002E-2</v>
      </c>
      <c r="C872">
        <v>5.8709999999999998E-2</v>
      </c>
      <c r="D872">
        <v>5.7389999999999997E-2</v>
      </c>
      <c r="E872">
        <v>5.7770000000000002E-2</v>
      </c>
      <c r="F872">
        <v>26124575.899999999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-0.42424242424241693</v>
      </c>
      <c r="Q872">
        <f t="shared" si="1010"/>
        <v>-11083153.41212102</v>
      </c>
      <c r="R872">
        <f t="shared" si="1011"/>
        <v>-310796791.24109113</v>
      </c>
      <c r="S872">
        <f t="shared" si="1012"/>
        <v>-3107.9679124109111</v>
      </c>
      <c r="T872">
        <f t="shared" si="1013"/>
        <v>-3.1079679124109112</v>
      </c>
    </row>
    <row r="873" spans="1:20" x14ac:dyDescent="0.25">
      <c r="A873" s="5">
        <v>43720</v>
      </c>
      <c r="B873">
        <v>5.867E-2</v>
      </c>
      <c r="C873">
        <v>5.8869999999999999E-2</v>
      </c>
      <c r="D873">
        <v>5.765E-2</v>
      </c>
      <c r="E873">
        <v>5.8290000000000002E-2</v>
      </c>
      <c r="F873">
        <v>22001793.600000001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4.9180327868856191E-2</v>
      </c>
      <c r="Q873">
        <f t="shared" si="1010"/>
        <v>1082055.4229509018</v>
      </c>
      <c r="R873">
        <f t="shared" si="1011"/>
        <v>-299713637.82897013</v>
      </c>
      <c r="S873">
        <f t="shared" si="1012"/>
        <v>-2997.1363782897015</v>
      </c>
      <c r="T873">
        <f t="shared" si="1013"/>
        <v>-2.9971363782897016</v>
      </c>
    </row>
    <row r="874" spans="1:20" x14ac:dyDescent="0.25">
      <c r="A874" s="5">
        <v>43719</v>
      </c>
      <c r="B874">
        <v>5.9619999999999999E-2</v>
      </c>
      <c r="C874">
        <v>6.0319999999999999E-2</v>
      </c>
      <c r="D874">
        <v>5.8119999999999998E-2</v>
      </c>
      <c r="E874">
        <v>5.8590000000000003E-2</v>
      </c>
      <c r="F874">
        <v>17529647</v>
      </c>
      <c r="G874">
        <v>0</v>
      </c>
      <c r="L874" t="s">
        <v>8</v>
      </c>
      <c r="M874" t="s">
        <v>7</v>
      </c>
      <c r="N874" t="s">
        <v>7</v>
      </c>
      <c r="P874">
        <f t="shared" si="1009"/>
        <v>-0.5727272727272682</v>
      </c>
      <c r="Q874">
        <f t="shared" si="1010"/>
        <v>-10039706.918181738</v>
      </c>
      <c r="R874">
        <f t="shared" si="1011"/>
        <v>-300795693.25192106</v>
      </c>
      <c r="S874">
        <f t="shared" si="1012"/>
        <v>-3007.9569325192106</v>
      </c>
      <c r="T874">
        <f t="shared" si="1013"/>
        <v>-3.0079569325192104</v>
      </c>
    </row>
    <row r="875" spans="1:20" x14ac:dyDescent="0.25">
      <c r="A875" s="5">
        <v>43718</v>
      </c>
      <c r="B875">
        <v>6.0240000000000002E-2</v>
      </c>
      <c r="C875">
        <v>6.1120000000000001E-2</v>
      </c>
      <c r="D875">
        <v>5.8999999999999997E-2</v>
      </c>
      <c r="E875">
        <v>5.9630000000000002E-2</v>
      </c>
      <c r="F875">
        <v>27427095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-0.40566037735848642</v>
      </c>
      <c r="Q875">
        <f t="shared" si="1010"/>
        <v>-11126085.707547056</v>
      </c>
      <c r="R875">
        <f t="shared" si="1011"/>
        <v>-290755986.33373934</v>
      </c>
      <c r="S875">
        <f t="shared" si="1012"/>
        <v>-2907.5598633373934</v>
      </c>
      <c r="T875">
        <f t="shared" si="1013"/>
        <v>-2.9075598633373936</v>
      </c>
    </row>
    <row r="876" spans="1:20" x14ac:dyDescent="0.25">
      <c r="A876" s="5">
        <v>43717</v>
      </c>
      <c r="B876">
        <v>6.0999999999999999E-2</v>
      </c>
      <c r="C876">
        <v>6.1690000000000002E-2</v>
      </c>
      <c r="D876">
        <v>5.9400000000000001E-2</v>
      </c>
      <c r="E876">
        <v>6.021E-2</v>
      </c>
      <c r="F876">
        <v>29062257.199999999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-0.29257641921397548</v>
      </c>
      <c r="Q876">
        <f t="shared" si="1010"/>
        <v>-8502931.1458515767</v>
      </c>
      <c r="R876">
        <f t="shared" si="1011"/>
        <v>-279629900.62619227</v>
      </c>
      <c r="S876">
        <f t="shared" si="1012"/>
        <v>-2796.2990062619228</v>
      </c>
      <c r="T876">
        <f t="shared" si="1013"/>
        <v>-2.7962990062619228</v>
      </c>
    </row>
    <row r="877" spans="1:20" x14ac:dyDescent="0.25">
      <c r="A877" s="5">
        <v>43716</v>
      </c>
      <c r="B877">
        <v>6.0499999999999998E-2</v>
      </c>
      <c r="C877">
        <v>6.1780000000000002E-2</v>
      </c>
      <c r="D877">
        <v>5.9900000000000002E-2</v>
      </c>
      <c r="E877">
        <v>6.105E-2</v>
      </c>
      <c r="F877">
        <v>18420380.699999999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0.22340425531914726</v>
      </c>
      <c r="Q877">
        <f t="shared" si="1010"/>
        <v>4115191.4329786925</v>
      </c>
      <c r="R877">
        <f t="shared" si="1011"/>
        <v>-271126969.48034072</v>
      </c>
      <c r="S877">
        <f t="shared" si="1012"/>
        <v>-2711.2696948034072</v>
      </c>
      <c r="T877">
        <f t="shared" si="1013"/>
        <v>-2.7112696948034074</v>
      </c>
    </row>
    <row r="878" spans="1:20" x14ac:dyDescent="0.25">
      <c r="A878" s="5">
        <v>43715</v>
      </c>
      <c r="B878">
        <v>5.8000000000000003E-2</v>
      </c>
      <c r="C878">
        <v>6.1080000000000002E-2</v>
      </c>
      <c r="D878">
        <v>5.7880000000000001E-2</v>
      </c>
      <c r="E878">
        <v>6.053E-2</v>
      </c>
      <c r="F878">
        <v>19328421.300000001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0.656249999999999</v>
      </c>
      <c r="Q878">
        <f t="shared" si="1010"/>
        <v>12684276.478124982</v>
      </c>
      <c r="R878">
        <f t="shared" si="1011"/>
        <v>-275242160.91331941</v>
      </c>
      <c r="S878">
        <f t="shared" si="1012"/>
        <v>-2752.4216091331941</v>
      </c>
      <c r="T878">
        <f t="shared" si="1013"/>
        <v>-2.7524216091331941</v>
      </c>
    </row>
    <row r="879" spans="1:20" x14ac:dyDescent="0.25">
      <c r="A879" s="5">
        <v>43714</v>
      </c>
      <c r="B879">
        <v>6.0240000000000002E-2</v>
      </c>
      <c r="C879">
        <v>6.0999999999999999E-2</v>
      </c>
      <c r="D879">
        <v>5.7680000000000002E-2</v>
      </c>
      <c r="E879">
        <v>5.8009999999999999E-2</v>
      </c>
      <c r="F879">
        <v>24204438.399999999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-0.80120481927711007</v>
      </c>
      <c r="Q879">
        <f t="shared" si="1010"/>
        <v>-19392712.69397594</v>
      </c>
      <c r="R879">
        <f t="shared" si="1011"/>
        <v>-287926437.39144439</v>
      </c>
      <c r="S879">
        <f t="shared" si="1012"/>
        <v>-2879.2643739144437</v>
      </c>
      <c r="T879">
        <f t="shared" si="1013"/>
        <v>-2.8792643739144439</v>
      </c>
    </row>
    <row r="880" spans="1:20" x14ac:dyDescent="0.25">
      <c r="A880" s="5">
        <v>43713</v>
      </c>
      <c r="B880">
        <v>6.1760000000000002E-2</v>
      </c>
      <c r="C880">
        <v>6.2019999999999999E-2</v>
      </c>
      <c r="D880">
        <v>5.9880000000000003E-2</v>
      </c>
      <c r="E880">
        <v>6.0260000000000001E-2</v>
      </c>
      <c r="F880">
        <v>16559115.4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-0.644859813084113</v>
      </c>
      <c r="Q880">
        <f t="shared" si="1010"/>
        <v>-10678308.061682258</v>
      </c>
      <c r="R880">
        <f t="shared" si="1011"/>
        <v>-268533724.69746846</v>
      </c>
      <c r="S880">
        <f t="shared" si="1012"/>
        <v>-2685.3372469746846</v>
      </c>
      <c r="T880">
        <f t="shared" si="1013"/>
        <v>-2.6853372469746848</v>
      </c>
    </row>
    <row r="881" spans="1:20" x14ac:dyDescent="0.25">
      <c r="A881" s="5">
        <v>43712</v>
      </c>
      <c r="B881">
        <v>6.3039999999999999E-2</v>
      </c>
      <c r="C881">
        <v>6.3060000000000005E-2</v>
      </c>
      <c r="D881">
        <v>6.1289999999999997E-2</v>
      </c>
      <c r="E881">
        <v>6.1679999999999999E-2</v>
      </c>
      <c r="F881">
        <v>10463344.300000001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-0.55932203389830537</v>
      </c>
      <c r="Q881">
        <f t="shared" si="1010"/>
        <v>-5852379.0152542405</v>
      </c>
      <c r="R881">
        <f t="shared" si="1011"/>
        <v>-257855416.63578618</v>
      </c>
      <c r="S881">
        <f t="shared" si="1012"/>
        <v>-2578.554166357862</v>
      </c>
      <c r="T881">
        <f t="shared" si="1013"/>
        <v>-2.5785541663578622</v>
      </c>
    </row>
    <row r="882" spans="1:20" x14ac:dyDescent="0.25">
      <c r="A882" s="5">
        <v>43711</v>
      </c>
      <c r="B882">
        <v>6.2969999999999998E-2</v>
      </c>
      <c r="C882">
        <v>6.4089999999999994E-2</v>
      </c>
      <c r="D882">
        <v>6.2359999999999999E-2</v>
      </c>
      <c r="E882">
        <v>6.3079999999999997E-2</v>
      </c>
      <c r="F882">
        <v>12561061.9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-0.16763005780346785</v>
      </c>
      <c r="Q882">
        <f t="shared" si="1010"/>
        <v>-2105611.5323699377</v>
      </c>
      <c r="R882">
        <f t="shared" si="1011"/>
        <v>-252003037.62053195</v>
      </c>
      <c r="S882">
        <f t="shared" si="1012"/>
        <v>-2520.0303762053195</v>
      </c>
      <c r="T882">
        <f t="shared" si="1013"/>
        <v>-2.5200303762053196</v>
      </c>
    </row>
    <row r="883" spans="1:20" x14ac:dyDescent="0.25">
      <c r="A883" s="5">
        <v>43710</v>
      </c>
      <c r="B883">
        <v>6.2120000000000002E-2</v>
      </c>
      <c r="C883">
        <v>6.3630000000000006E-2</v>
      </c>
      <c r="D883">
        <v>6.1080000000000002E-2</v>
      </c>
      <c r="E883">
        <v>6.3009999999999997E-2</v>
      </c>
      <c r="F883">
        <v>9321519.8000000007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0.51372549019607172</v>
      </c>
      <c r="Q883">
        <f t="shared" si="1010"/>
        <v>4788702.3286273889</v>
      </c>
      <c r="R883">
        <f t="shared" si="1011"/>
        <v>-249897426.088162</v>
      </c>
      <c r="S883">
        <f t="shared" si="1012"/>
        <v>-2498.97426088162</v>
      </c>
      <c r="T883">
        <f t="shared" si="1013"/>
        <v>-2.4989742608816199</v>
      </c>
    </row>
    <row r="884" spans="1:20" x14ac:dyDescent="0.25">
      <c r="A884" s="5">
        <v>43709</v>
      </c>
      <c r="B884">
        <v>6.1960000000000001E-2</v>
      </c>
      <c r="C884">
        <v>6.2710000000000002E-2</v>
      </c>
      <c r="D884">
        <v>6.0760000000000002E-2</v>
      </c>
      <c r="E884">
        <v>6.2120000000000002E-2</v>
      </c>
      <c r="F884">
        <v>8220163.2000000002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0.39487179487179475</v>
      </c>
      <c r="Q884">
        <f t="shared" si="1010"/>
        <v>3245910.5969230761</v>
      </c>
      <c r="R884">
        <f t="shared" si="1011"/>
        <v>-254686128.41678938</v>
      </c>
      <c r="S884">
        <f t="shared" si="1012"/>
        <v>-2546.8612841678937</v>
      </c>
      <c r="T884">
        <f t="shared" si="1013"/>
        <v>-2.5468612841678935</v>
      </c>
    </row>
    <row r="885" spans="1:20" x14ac:dyDescent="0.25">
      <c r="A885" s="5">
        <v>43708</v>
      </c>
      <c r="B885">
        <v>6.1940000000000002E-2</v>
      </c>
      <c r="C885">
        <v>6.2590000000000007E-2</v>
      </c>
      <c r="D885">
        <v>6.0109999999999997E-2</v>
      </c>
      <c r="E885">
        <v>6.1940000000000002E-2</v>
      </c>
      <c r="F885">
        <v>8646460.9000000004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0.47580645161290153</v>
      </c>
      <c r="Q885">
        <f t="shared" si="1010"/>
        <v>4114041.8798386953</v>
      </c>
      <c r="R885">
        <f t="shared" si="1011"/>
        <v>-257932039.01371247</v>
      </c>
      <c r="S885">
        <f t="shared" si="1012"/>
        <v>-2579.3203901371248</v>
      </c>
      <c r="T885">
        <f t="shared" si="1013"/>
        <v>-2.5793203901371249</v>
      </c>
    </row>
    <row r="886" spans="1:20" x14ac:dyDescent="0.25">
      <c r="A886" s="5">
        <v>43707</v>
      </c>
      <c r="B886">
        <v>6.1679999999999999E-2</v>
      </c>
      <c r="C886">
        <v>6.3259999999999997E-2</v>
      </c>
      <c r="D886">
        <v>6.1100000000000002E-2</v>
      </c>
      <c r="E886">
        <v>6.191E-2</v>
      </c>
      <c r="F886">
        <v>10766084.4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-0.25</v>
      </c>
      <c r="Q886">
        <f t="shared" si="1010"/>
        <v>-2691521.1</v>
      </c>
      <c r="R886">
        <f t="shared" si="1011"/>
        <v>-262046080.89355117</v>
      </c>
      <c r="S886">
        <f t="shared" si="1012"/>
        <v>-2620.4608089355115</v>
      </c>
      <c r="T886">
        <f t="shared" si="1013"/>
        <v>-2.6204608089355115</v>
      </c>
    </row>
    <row r="887" spans="1:20" x14ac:dyDescent="0.25">
      <c r="A887" s="5">
        <v>43706</v>
      </c>
      <c r="B887">
        <v>6.3969999999999999E-2</v>
      </c>
      <c r="C887">
        <v>6.3969999999999999E-2</v>
      </c>
      <c r="D887">
        <v>6.0359999999999997E-2</v>
      </c>
      <c r="E887">
        <v>6.1620000000000001E-2</v>
      </c>
      <c r="F887">
        <v>18643179.899999999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-0.30193905817174327</v>
      </c>
      <c r="Q887">
        <f t="shared" si="1010"/>
        <v>-5629104.1803323748</v>
      </c>
      <c r="R887">
        <f t="shared" si="1011"/>
        <v>-259354559.79355118</v>
      </c>
      <c r="S887">
        <f t="shared" si="1012"/>
        <v>-2593.545597935512</v>
      </c>
      <c r="T887">
        <f t="shared" si="1013"/>
        <v>-2.593545597935512</v>
      </c>
    </row>
    <row r="888" spans="1:20" x14ac:dyDescent="0.25">
      <c r="A888" s="5">
        <v>43705</v>
      </c>
      <c r="B888">
        <v>6.8419999999999995E-2</v>
      </c>
      <c r="C888">
        <v>6.8510000000000001E-2</v>
      </c>
      <c r="D888">
        <v>6.3289999999999999E-2</v>
      </c>
      <c r="E888">
        <v>6.3979999999999995E-2</v>
      </c>
      <c r="F888">
        <v>18126598.5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-0.73563218390804752</v>
      </c>
      <c r="Q888">
        <f t="shared" si="1010"/>
        <v>-13334509.241379339</v>
      </c>
      <c r="R888">
        <f t="shared" si="1011"/>
        <v>-253725455.61321881</v>
      </c>
      <c r="S888">
        <f t="shared" si="1012"/>
        <v>-2537.2545561321881</v>
      </c>
      <c r="T888">
        <f t="shared" si="1013"/>
        <v>-2.5372545561321882</v>
      </c>
    </row>
    <row r="889" spans="1:20" x14ac:dyDescent="0.25">
      <c r="A889" s="5">
        <v>43704</v>
      </c>
      <c r="B889">
        <v>6.9599999999999995E-2</v>
      </c>
      <c r="C889">
        <v>6.973E-2</v>
      </c>
      <c r="D889">
        <v>6.7349999999999993E-2</v>
      </c>
      <c r="E889">
        <v>6.8500000000000005E-2</v>
      </c>
      <c r="F889">
        <v>9880597.1999999993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-3.3613445378143959E-2</v>
      </c>
      <c r="Q889">
        <f t="shared" si="1010"/>
        <v>-332120.91428564209</v>
      </c>
      <c r="R889">
        <f t="shared" si="1011"/>
        <v>-240390946.37183946</v>
      </c>
      <c r="S889">
        <f t="shared" si="1012"/>
        <v>-2403.9094637183948</v>
      </c>
      <c r="T889">
        <f t="shared" si="1013"/>
        <v>-2.4039094637183949</v>
      </c>
    </row>
    <row r="890" spans="1:20" x14ac:dyDescent="0.25">
      <c r="A890" s="5">
        <v>43703</v>
      </c>
      <c r="B890">
        <v>6.923E-2</v>
      </c>
      <c r="C890">
        <v>7.1080000000000004E-2</v>
      </c>
      <c r="D890">
        <v>6.8809999999999996E-2</v>
      </c>
      <c r="E890">
        <v>6.9599999999999995E-2</v>
      </c>
      <c r="F890">
        <v>10022954.699999999</v>
      </c>
      <c r="G890">
        <v>0</v>
      </c>
      <c r="L890" t="s">
        <v>8</v>
      </c>
      <c r="M890" t="s">
        <v>7</v>
      </c>
      <c r="N890" t="s">
        <v>7</v>
      </c>
      <c r="P890">
        <f t="shared" si="1009"/>
        <v>-0.30396475770925446</v>
      </c>
      <c r="Q890">
        <f t="shared" si="1010"/>
        <v>-3046624.9969163332</v>
      </c>
      <c r="R890">
        <f t="shared" si="1011"/>
        <v>-240058825.45755383</v>
      </c>
      <c r="S890">
        <f t="shared" si="1012"/>
        <v>-2400.5882545755385</v>
      </c>
      <c r="T890">
        <f t="shared" si="1013"/>
        <v>-2.4005882545755384</v>
      </c>
    </row>
    <row r="891" spans="1:20" x14ac:dyDescent="0.25">
      <c r="A891" s="5">
        <v>43702</v>
      </c>
      <c r="B891">
        <v>7.0349999999999996E-2</v>
      </c>
      <c r="C891">
        <v>7.1840000000000001E-2</v>
      </c>
      <c r="D891">
        <v>6.8220000000000003E-2</v>
      </c>
      <c r="E891">
        <v>6.9400000000000003E-2</v>
      </c>
      <c r="F891">
        <v>15467209.199999999</v>
      </c>
      <c r="G891">
        <v>0</v>
      </c>
      <c r="L891" t="s">
        <v>8</v>
      </c>
      <c r="M891" t="s">
        <v>7</v>
      </c>
      <c r="N891" t="s">
        <v>7</v>
      </c>
      <c r="P891">
        <f t="shared" si="1009"/>
        <v>-0.34806629834254083</v>
      </c>
      <c r="Q891">
        <f t="shared" si="1010"/>
        <v>-5383614.251933692</v>
      </c>
      <c r="R891">
        <f t="shared" si="1011"/>
        <v>-237012200.46063751</v>
      </c>
      <c r="S891">
        <f t="shared" si="1012"/>
        <v>-2370.122004606375</v>
      </c>
      <c r="T891">
        <f t="shared" si="1013"/>
        <v>-2.3701220046063751</v>
      </c>
    </row>
    <row r="892" spans="1:20" x14ac:dyDescent="0.25">
      <c r="A892" s="5">
        <v>43701</v>
      </c>
      <c r="B892">
        <v>6.9120000000000001E-2</v>
      </c>
      <c r="C892">
        <v>7.0999999999999994E-2</v>
      </c>
      <c r="D892">
        <v>6.7559999999999995E-2</v>
      </c>
      <c r="E892">
        <v>7.0349999999999996E-2</v>
      </c>
      <c r="F892">
        <v>13633107.5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0.62209302325581506</v>
      </c>
      <c r="Q892">
        <f t="shared" si="1010"/>
        <v>8481061.0610465258</v>
      </c>
      <c r="R892">
        <f t="shared" si="1011"/>
        <v>-231628586.20870382</v>
      </c>
      <c r="S892">
        <f t="shared" si="1012"/>
        <v>-2316.2858620870384</v>
      </c>
      <c r="T892">
        <f t="shared" si="1013"/>
        <v>-2.3162858620870383</v>
      </c>
    </row>
    <row r="893" spans="1:20" x14ac:dyDescent="0.25">
      <c r="A893" s="5">
        <v>43700</v>
      </c>
      <c r="B893">
        <v>6.812E-2</v>
      </c>
      <c r="C893">
        <v>6.9290000000000004E-2</v>
      </c>
      <c r="D893">
        <v>6.7400000000000002E-2</v>
      </c>
      <c r="E893">
        <v>6.9199999999999998E-2</v>
      </c>
      <c r="F893">
        <v>13785486</v>
      </c>
      <c r="G893">
        <v>0</v>
      </c>
      <c r="L893" t="s">
        <v>7</v>
      </c>
      <c r="M893" t="s">
        <v>7</v>
      </c>
      <c r="N893" t="s">
        <v>7</v>
      </c>
      <c r="P893">
        <f t="shared" si="1009"/>
        <v>0.90476190476189777</v>
      </c>
      <c r="Q893">
        <f t="shared" si="1010"/>
        <v>12472582.571428476</v>
      </c>
      <c r="R893">
        <f t="shared" si="1011"/>
        <v>-240109647.26975033</v>
      </c>
      <c r="S893">
        <f t="shared" si="1012"/>
        <v>-2401.0964726975035</v>
      </c>
      <c r="T893">
        <f t="shared" si="1013"/>
        <v>-2.4010964726975037</v>
      </c>
    </row>
    <row r="894" spans="1:20" x14ac:dyDescent="0.25">
      <c r="A894" s="5">
        <v>43699</v>
      </c>
      <c r="B894">
        <v>6.6909999999999997E-2</v>
      </c>
      <c r="C894">
        <v>6.9580000000000003E-2</v>
      </c>
      <c r="D894">
        <v>6.54E-2</v>
      </c>
      <c r="E894">
        <v>6.8180000000000004E-2</v>
      </c>
      <c r="F894">
        <v>14788650.199999999</v>
      </c>
      <c r="G894">
        <v>0</v>
      </c>
      <c r="L894" t="s">
        <v>7</v>
      </c>
      <c r="M894" t="s">
        <v>7</v>
      </c>
      <c r="N894" t="s">
        <v>7</v>
      </c>
      <c r="P894">
        <f t="shared" si="1009"/>
        <v>0.33014354066985768</v>
      </c>
      <c r="Q894">
        <f t="shared" si="1010"/>
        <v>4882377.3387559988</v>
      </c>
      <c r="R894">
        <f t="shared" si="1011"/>
        <v>-252582229.8411788</v>
      </c>
      <c r="S894">
        <f t="shared" si="1012"/>
        <v>-2525.8222984117879</v>
      </c>
      <c r="T894">
        <f t="shared" si="1013"/>
        <v>-2.525822298411788</v>
      </c>
    </row>
    <row r="895" spans="1:20" x14ac:dyDescent="0.25">
      <c r="A895" s="5">
        <v>43698</v>
      </c>
      <c r="B895">
        <v>6.88E-2</v>
      </c>
      <c r="C895">
        <v>6.88E-2</v>
      </c>
      <c r="D895">
        <v>6.5769999999999995E-2</v>
      </c>
      <c r="E895">
        <v>6.6909999999999997E-2</v>
      </c>
      <c r="F895">
        <v>9946002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-0.24752475247524736</v>
      </c>
      <c r="Q895">
        <f t="shared" ref="Q895:Q958" si="1015">F895*P895</f>
        <v>-2461881.6831683153</v>
      </c>
      <c r="R895">
        <f t="shared" ref="R895:R958" si="1016">R896+Q895</f>
        <v>-257464607.1799348</v>
      </c>
      <c r="S895">
        <f t="shared" ref="S895:S958" si="1017">R895/100000</f>
        <v>-2574.6460717993482</v>
      </c>
      <c r="T895">
        <f t="shared" ref="T895:T958" si="1018">S895/1000</f>
        <v>-2.5746460717993482</v>
      </c>
    </row>
    <row r="896" spans="1:20" x14ac:dyDescent="0.25">
      <c r="A896" s="5">
        <v>43697</v>
      </c>
      <c r="B896">
        <v>7.1849999999999997E-2</v>
      </c>
      <c r="C896">
        <v>7.195E-2</v>
      </c>
      <c r="D896">
        <v>6.8250000000000005E-2</v>
      </c>
      <c r="E896">
        <v>6.8769999999999998E-2</v>
      </c>
      <c r="F896">
        <v>9433108.1999999993</v>
      </c>
      <c r="G896">
        <v>0</v>
      </c>
      <c r="L896" t="s">
        <v>8</v>
      </c>
      <c r="M896" t="s">
        <v>7</v>
      </c>
      <c r="N896" t="s">
        <v>7</v>
      </c>
      <c r="P896">
        <f t="shared" si="1014"/>
        <v>-0.71891891891892246</v>
      </c>
      <c r="Q896">
        <f t="shared" si="1015"/>
        <v>-6781639.9491892224</v>
      </c>
      <c r="R896">
        <f t="shared" si="1016"/>
        <v>-255002725.49676648</v>
      </c>
      <c r="S896">
        <f t="shared" si="1017"/>
        <v>-2550.0272549676647</v>
      </c>
      <c r="T896">
        <f t="shared" si="1018"/>
        <v>-2.5500272549676648</v>
      </c>
    </row>
    <row r="897" spans="1:20" x14ac:dyDescent="0.25">
      <c r="A897" s="5">
        <v>43696</v>
      </c>
      <c r="B897">
        <v>7.0610000000000006E-2</v>
      </c>
      <c r="C897">
        <v>7.22E-2</v>
      </c>
      <c r="D897">
        <v>7.016E-2</v>
      </c>
      <c r="E897">
        <v>7.17E-2</v>
      </c>
      <c r="F897">
        <v>9866508.1999999993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0.50980392156862708</v>
      </c>
      <c r="Q897">
        <f t="shared" si="1015"/>
        <v>5029984.5725490153</v>
      </c>
      <c r="R897">
        <f t="shared" si="1016"/>
        <v>-248221085.54757726</v>
      </c>
      <c r="S897">
        <f t="shared" si="1017"/>
        <v>-2482.2108554757724</v>
      </c>
      <c r="T897">
        <f t="shared" si="1018"/>
        <v>-2.4822108554757722</v>
      </c>
    </row>
    <row r="898" spans="1:20" x14ac:dyDescent="0.25">
      <c r="A898" s="5">
        <v>43695</v>
      </c>
      <c r="B898">
        <v>6.7659999999999998E-2</v>
      </c>
      <c r="C898">
        <v>7.1580000000000005E-2</v>
      </c>
      <c r="D898">
        <v>6.7430000000000004E-2</v>
      </c>
      <c r="E898">
        <v>7.0720000000000005E-2</v>
      </c>
      <c r="F898">
        <v>10852434.199999999</v>
      </c>
      <c r="G898">
        <v>0</v>
      </c>
      <c r="L898" t="s">
        <v>7</v>
      </c>
      <c r="M898" t="s">
        <v>7</v>
      </c>
      <c r="N898" t="s">
        <v>7</v>
      </c>
      <c r="P898">
        <f t="shared" si="1014"/>
        <v>0.5855421686746991</v>
      </c>
      <c r="Q898">
        <f t="shared" si="1015"/>
        <v>6354557.8568674726</v>
      </c>
      <c r="R898">
        <f t="shared" si="1016"/>
        <v>-253251070.12012628</v>
      </c>
      <c r="S898">
        <f t="shared" si="1017"/>
        <v>-2532.5107012012627</v>
      </c>
      <c r="T898">
        <f t="shared" si="1018"/>
        <v>-2.5325107012012626</v>
      </c>
    </row>
    <row r="899" spans="1:20" x14ac:dyDescent="0.25">
      <c r="A899" s="5">
        <v>43694</v>
      </c>
      <c r="B899">
        <v>6.8390000000000006E-2</v>
      </c>
      <c r="C899">
        <v>6.9129999999999997E-2</v>
      </c>
      <c r="D899">
        <v>6.6619999999999999E-2</v>
      </c>
      <c r="E899">
        <v>6.7699999999999996E-2</v>
      </c>
      <c r="F899">
        <v>8257429.9000000004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-0.13944223107569853</v>
      </c>
      <c r="Q899">
        <f t="shared" si="1015"/>
        <v>-1151434.4482071823</v>
      </c>
      <c r="R899">
        <f t="shared" si="1016"/>
        <v>-259605627.97699374</v>
      </c>
      <c r="S899">
        <f t="shared" si="1017"/>
        <v>-2596.0562797699372</v>
      </c>
      <c r="T899">
        <f t="shared" si="1018"/>
        <v>-2.5960562797699374</v>
      </c>
    </row>
    <row r="900" spans="1:20" x14ac:dyDescent="0.25">
      <c r="A900" s="5">
        <v>43693</v>
      </c>
      <c r="B900">
        <v>7.0099999999999996E-2</v>
      </c>
      <c r="C900">
        <v>7.0220000000000005E-2</v>
      </c>
      <c r="D900">
        <v>6.726E-2</v>
      </c>
      <c r="E900">
        <v>6.8440000000000001E-2</v>
      </c>
      <c r="F900">
        <v>13540494.1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-0.20270270270270352</v>
      </c>
      <c r="Q900">
        <f t="shared" si="1015"/>
        <v>-2744694.7500000112</v>
      </c>
      <c r="R900">
        <f t="shared" si="1016"/>
        <v>-258454193.52878657</v>
      </c>
      <c r="S900">
        <f t="shared" si="1017"/>
        <v>-2584.5419352878657</v>
      </c>
      <c r="T900">
        <f t="shared" si="1018"/>
        <v>-2.5845419352878656</v>
      </c>
    </row>
    <row r="901" spans="1:20" x14ac:dyDescent="0.25">
      <c r="A901" s="5">
        <v>43692</v>
      </c>
      <c r="B901">
        <v>6.9309999999999997E-2</v>
      </c>
      <c r="C901">
        <v>7.0800000000000002E-2</v>
      </c>
      <c r="D901">
        <v>6.7379999999999995E-2</v>
      </c>
      <c r="E901">
        <v>7.0190000000000002E-2</v>
      </c>
      <c r="F901">
        <v>11999711.9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0.64327485380117055</v>
      </c>
      <c r="Q901">
        <f t="shared" si="1015"/>
        <v>7719112.9181286665</v>
      </c>
      <c r="R901">
        <f t="shared" si="1016"/>
        <v>-255709498.77878657</v>
      </c>
      <c r="S901">
        <f t="shared" si="1017"/>
        <v>-2557.0949877878656</v>
      </c>
      <c r="T901">
        <f t="shared" si="1018"/>
        <v>-2.5570949877878655</v>
      </c>
    </row>
    <row r="902" spans="1:20" x14ac:dyDescent="0.25">
      <c r="A902" s="5">
        <v>43691</v>
      </c>
      <c r="B902">
        <v>7.442E-2</v>
      </c>
      <c r="C902">
        <v>7.4450000000000002E-2</v>
      </c>
      <c r="D902">
        <v>6.7379999999999995E-2</v>
      </c>
      <c r="E902">
        <v>6.9199999999999998E-2</v>
      </c>
      <c r="F902">
        <v>29036797.100000001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-0.48514851485148502</v>
      </c>
      <c r="Q902">
        <f t="shared" si="1015"/>
        <v>-14087158.989108909</v>
      </c>
      <c r="R902">
        <f t="shared" si="1016"/>
        <v>-263428611.69691524</v>
      </c>
      <c r="S902">
        <f t="shared" si="1017"/>
        <v>-2634.2861169691523</v>
      </c>
      <c r="T902">
        <f t="shared" si="1018"/>
        <v>-2.6342861169691525</v>
      </c>
    </row>
    <row r="903" spans="1:20" x14ac:dyDescent="0.25">
      <c r="A903" s="5">
        <v>43690</v>
      </c>
      <c r="B903">
        <v>7.5389999999999999E-2</v>
      </c>
      <c r="C903">
        <v>7.5579999999999994E-2</v>
      </c>
      <c r="D903">
        <v>7.2779999999999997E-2</v>
      </c>
      <c r="E903">
        <v>7.442E-2</v>
      </c>
      <c r="F903">
        <v>11747450.1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0.17142857142857454</v>
      </c>
      <c r="Q903">
        <f t="shared" si="1015"/>
        <v>2013848.5885714651</v>
      </c>
      <c r="R903">
        <f t="shared" si="1016"/>
        <v>-249341452.70780632</v>
      </c>
      <c r="S903">
        <f t="shared" si="1017"/>
        <v>-2493.4145270780632</v>
      </c>
      <c r="T903">
        <f t="shared" si="1018"/>
        <v>-2.493414527078063</v>
      </c>
    </row>
    <row r="904" spans="1:20" x14ac:dyDescent="0.25">
      <c r="A904" s="5">
        <v>43689</v>
      </c>
      <c r="B904">
        <v>7.8200000000000006E-2</v>
      </c>
      <c r="C904">
        <v>7.8390000000000001E-2</v>
      </c>
      <c r="D904">
        <v>7.5380000000000003E-2</v>
      </c>
      <c r="E904">
        <v>7.5469999999999995E-2</v>
      </c>
      <c r="F904">
        <v>10714083.199999999</v>
      </c>
      <c r="G904">
        <v>0</v>
      </c>
      <c r="L904" t="s">
        <v>8</v>
      </c>
      <c r="M904" t="s">
        <v>7</v>
      </c>
      <c r="N904" t="s">
        <v>7</v>
      </c>
      <c r="P904">
        <f t="shared" si="1014"/>
        <v>-0.94019933554817747</v>
      </c>
      <c r="Q904">
        <f t="shared" si="1015"/>
        <v>-10073373.905647891</v>
      </c>
      <c r="R904">
        <f t="shared" si="1016"/>
        <v>-251355301.29637778</v>
      </c>
      <c r="S904">
        <f t="shared" si="1017"/>
        <v>-2513.5530129637777</v>
      </c>
      <c r="T904">
        <f t="shared" si="1018"/>
        <v>-2.5135530129637775</v>
      </c>
    </row>
    <row r="905" spans="1:20" x14ac:dyDescent="0.25">
      <c r="A905" s="5">
        <v>43688</v>
      </c>
      <c r="B905">
        <v>7.374E-2</v>
      </c>
      <c r="C905">
        <v>7.9949999999999993E-2</v>
      </c>
      <c r="D905">
        <v>7.3590000000000003E-2</v>
      </c>
      <c r="E905">
        <v>7.8200000000000006E-2</v>
      </c>
      <c r="F905">
        <v>28985242.600000001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0.44968553459119803</v>
      </c>
      <c r="Q905">
        <f t="shared" si="1015"/>
        <v>13034244.313836567</v>
      </c>
      <c r="R905">
        <f t="shared" si="1016"/>
        <v>-241281927.39072987</v>
      </c>
      <c r="S905">
        <f t="shared" si="1017"/>
        <v>-2412.8192739072988</v>
      </c>
      <c r="T905">
        <f t="shared" si="1018"/>
        <v>-2.4128192739072989</v>
      </c>
    </row>
    <row r="906" spans="1:20" x14ac:dyDescent="0.25">
      <c r="A906" s="5">
        <v>43687</v>
      </c>
      <c r="B906">
        <v>7.1889999999999996E-2</v>
      </c>
      <c r="C906">
        <v>7.4329999999999993E-2</v>
      </c>
      <c r="D906">
        <v>7.1690000000000004E-2</v>
      </c>
      <c r="E906">
        <v>7.3749999999999996E-2</v>
      </c>
      <c r="F906">
        <v>21121216.399999999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0.560606060606061</v>
      </c>
      <c r="Q906">
        <f t="shared" si="1015"/>
        <v>11840681.921212129</v>
      </c>
      <c r="R906">
        <f t="shared" si="1016"/>
        <v>-254316171.70456645</v>
      </c>
      <c r="S906">
        <f t="shared" si="1017"/>
        <v>-2543.1617170456643</v>
      </c>
      <c r="T906">
        <f t="shared" si="1018"/>
        <v>-2.5431617170456642</v>
      </c>
    </row>
    <row r="907" spans="1:20" x14ac:dyDescent="0.25">
      <c r="A907" s="5">
        <v>43686</v>
      </c>
      <c r="B907">
        <v>7.6990000000000003E-2</v>
      </c>
      <c r="C907">
        <v>7.7119999999999994E-2</v>
      </c>
      <c r="D907">
        <v>7.1609999999999993E-2</v>
      </c>
      <c r="E907">
        <v>7.1819999999999995E-2</v>
      </c>
      <c r="F907">
        <v>28570459.800000001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-0.92377495462794856</v>
      </c>
      <c r="Q907">
        <f t="shared" si="1015"/>
        <v>-26392675.20544463</v>
      </c>
      <c r="R907">
        <f t="shared" si="1016"/>
        <v>-266156853.62577859</v>
      </c>
      <c r="S907">
        <f t="shared" si="1017"/>
        <v>-2661.568536257786</v>
      </c>
      <c r="T907">
        <f t="shared" si="1018"/>
        <v>-2.6615685362577861</v>
      </c>
    </row>
    <row r="908" spans="1:20" x14ac:dyDescent="0.25">
      <c r="A908" s="5">
        <v>43685</v>
      </c>
      <c r="B908">
        <v>7.8670000000000004E-2</v>
      </c>
      <c r="C908">
        <v>7.8740000000000004E-2</v>
      </c>
      <c r="D908">
        <v>7.6289999999999997E-2</v>
      </c>
      <c r="E908">
        <v>7.6910000000000006E-2</v>
      </c>
      <c r="F908">
        <v>19184468.399999999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-0.49387755102040204</v>
      </c>
      <c r="Q908">
        <f t="shared" si="1015"/>
        <v>-9474778.2710202895</v>
      </c>
      <c r="R908">
        <f t="shared" si="1016"/>
        <v>-239764178.42033395</v>
      </c>
      <c r="S908">
        <f t="shared" si="1017"/>
        <v>-2397.6417842033397</v>
      </c>
      <c r="T908">
        <f t="shared" si="1018"/>
        <v>-2.3976417842033397</v>
      </c>
    </row>
    <row r="909" spans="1:20" x14ac:dyDescent="0.25">
      <c r="A909" s="5">
        <v>43684</v>
      </c>
      <c r="B909">
        <v>7.843E-2</v>
      </c>
      <c r="C909">
        <v>7.9259999999999997E-2</v>
      </c>
      <c r="D909">
        <v>7.6749999999999999E-2</v>
      </c>
      <c r="E909">
        <v>7.8589999999999993E-2</v>
      </c>
      <c r="F909">
        <v>18743034.300000001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0.46613545816732721</v>
      </c>
      <c r="Q909">
        <f t="shared" si="1015"/>
        <v>8736792.8808764294</v>
      </c>
      <c r="R909">
        <f t="shared" si="1016"/>
        <v>-230289400.14931366</v>
      </c>
      <c r="S909">
        <f t="shared" si="1017"/>
        <v>-2302.8940014931368</v>
      </c>
      <c r="T909">
        <f t="shared" si="1018"/>
        <v>-2.3028940014931369</v>
      </c>
    </row>
    <row r="910" spans="1:20" x14ac:dyDescent="0.25">
      <c r="A910" s="5">
        <v>43683</v>
      </c>
      <c r="B910">
        <v>8.2439999999999999E-2</v>
      </c>
      <c r="C910">
        <v>8.2439999999999999E-2</v>
      </c>
      <c r="D910">
        <v>7.7100000000000002E-2</v>
      </c>
      <c r="E910">
        <v>7.8369999999999995E-2</v>
      </c>
      <c r="F910">
        <v>27635495.5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-0.52434456928839179</v>
      </c>
      <c r="Q910">
        <f t="shared" si="1015"/>
        <v>-14490521.98501879</v>
      </c>
      <c r="R910">
        <f t="shared" si="1016"/>
        <v>-239026193.03019008</v>
      </c>
      <c r="S910">
        <f t="shared" si="1017"/>
        <v>-2390.261930301901</v>
      </c>
      <c r="T910">
        <f t="shared" si="1018"/>
        <v>-2.390261930301901</v>
      </c>
    </row>
    <row r="911" spans="1:20" x14ac:dyDescent="0.25">
      <c r="A911" s="5">
        <v>43682</v>
      </c>
      <c r="B911">
        <v>8.1900000000000001E-2</v>
      </c>
      <c r="C911">
        <v>8.4360000000000004E-2</v>
      </c>
      <c r="D911">
        <v>8.1229999999999997E-2</v>
      </c>
      <c r="E911">
        <v>8.2409999999999997E-2</v>
      </c>
      <c r="F911">
        <v>25812179.5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-0.24600638977635939</v>
      </c>
      <c r="Q911">
        <f t="shared" si="1015"/>
        <v>-6349961.0910543529</v>
      </c>
      <c r="R911">
        <f t="shared" si="1016"/>
        <v>-224535671.04517129</v>
      </c>
      <c r="S911">
        <f t="shared" si="1017"/>
        <v>-2245.3567104517128</v>
      </c>
      <c r="T911">
        <f t="shared" si="1018"/>
        <v>-2.2453567104517127</v>
      </c>
    </row>
    <row r="912" spans="1:20" x14ac:dyDescent="0.25">
      <c r="A912" s="5">
        <v>43681</v>
      </c>
      <c r="B912">
        <v>8.2350000000000007E-2</v>
      </c>
      <c r="C912">
        <v>8.2619999999999999E-2</v>
      </c>
      <c r="D912">
        <v>8.0600000000000005E-2</v>
      </c>
      <c r="E912">
        <v>8.183E-2</v>
      </c>
      <c r="F912">
        <v>11758879.300000001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0.21782178217821646</v>
      </c>
      <c r="Q912">
        <f t="shared" si="1015"/>
        <v>2561340.0455445386</v>
      </c>
      <c r="R912">
        <f t="shared" si="1016"/>
        <v>-218185709.95411694</v>
      </c>
      <c r="S912">
        <f t="shared" si="1017"/>
        <v>-2181.8570995411692</v>
      </c>
      <c r="T912">
        <f t="shared" si="1018"/>
        <v>-2.181857099541169</v>
      </c>
    </row>
    <row r="913" spans="1:20" x14ac:dyDescent="0.25">
      <c r="A913" s="5">
        <v>43680</v>
      </c>
      <c r="B913">
        <v>8.1960000000000005E-2</v>
      </c>
      <c r="C913">
        <v>8.3000000000000004E-2</v>
      </c>
      <c r="D913">
        <v>8.1640000000000004E-2</v>
      </c>
      <c r="E913">
        <v>8.2360000000000003E-2</v>
      </c>
      <c r="F913">
        <v>13034339.9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5.8823529411762304E-2</v>
      </c>
      <c r="Q913">
        <f t="shared" si="1015"/>
        <v>766725.87647055695</v>
      </c>
      <c r="R913">
        <f t="shared" si="1016"/>
        <v>-220747049.99966148</v>
      </c>
      <c r="S913">
        <f t="shared" si="1017"/>
        <v>-2207.4704999966148</v>
      </c>
      <c r="T913">
        <f t="shared" si="1018"/>
        <v>-2.2074704999966146</v>
      </c>
    </row>
    <row r="914" spans="1:20" x14ac:dyDescent="0.25">
      <c r="A914" s="5">
        <v>43679</v>
      </c>
      <c r="B914">
        <v>8.2720000000000002E-2</v>
      </c>
      <c r="C914">
        <v>8.3199999999999996E-2</v>
      </c>
      <c r="D914">
        <v>8.1570000000000004E-2</v>
      </c>
      <c r="E914">
        <v>8.1960000000000005E-2</v>
      </c>
      <c r="F914">
        <v>14558871.6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-0.5214723926380328</v>
      </c>
      <c r="Q914">
        <f t="shared" si="1015"/>
        <v>-7592049.6073619043</v>
      </c>
      <c r="R914">
        <f t="shared" si="1016"/>
        <v>-221513775.87613204</v>
      </c>
      <c r="S914">
        <f t="shared" si="1017"/>
        <v>-2215.1377587613206</v>
      </c>
      <c r="T914">
        <f t="shared" si="1018"/>
        <v>-2.2151377587613208</v>
      </c>
    </row>
    <row r="915" spans="1:20" x14ac:dyDescent="0.25">
      <c r="A915" s="5">
        <v>43678</v>
      </c>
      <c r="B915">
        <v>8.3830000000000002E-2</v>
      </c>
      <c r="C915">
        <v>8.4040000000000004E-2</v>
      </c>
      <c r="D915">
        <v>8.1589999999999996E-2</v>
      </c>
      <c r="E915">
        <v>8.2729999999999998E-2</v>
      </c>
      <c r="F915">
        <v>12997450.300000001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-6.9387755102042023E-2</v>
      </c>
      <c r="Q915">
        <f t="shared" si="1015"/>
        <v>-901863.89836736268</v>
      </c>
      <c r="R915">
        <f t="shared" si="1016"/>
        <v>-213921726.26877013</v>
      </c>
      <c r="S915">
        <f t="shared" si="1017"/>
        <v>-2139.2172626877013</v>
      </c>
      <c r="T915">
        <f t="shared" si="1018"/>
        <v>-2.1392172626877013</v>
      </c>
    </row>
    <row r="916" spans="1:20" x14ac:dyDescent="0.25">
      <c r="A916" s="5">
        <v>43677</v>
      </c>
      <c r="B916">
        <v>8.3299999999999999E-2</v>
      </c>
      <c r="C916">
        <v>8.5199999999999998E-2</v>
      </c>
      <c r="D916">
        <v>8.2900000000000001E-2</v>
      </c>
      <c r="E916">
        <v>8.3830000000000002E-2</v>
      </c>
      <c r="F916">
        <v>18367965.399999999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-0.19130434782608549</v>
      </c>
      <c r="Q916">
        <f t="shared" si="1015"/>
        <v>-3513871.641739103</v>
      </c>
      <c r="R916">
        <f t="shared" si="1016"/>
        <v>-213019862.37040275</v>
      </c>
      <c r="S916">
        <f t="shared" si="1017"/>
        <v>-2130.1986237040273</v>
      </c>
      <c r="T916">
        <f t="shared" si="1018"/>
        <v>-2.1301986237040271</v>
      </c>
    </row>
    <row r="917" spans="1:20" x14ac:dyDescent="0.25">
      <c r="A917" s="5">
        <v>43676</v>
      </c>
      <c r="B917">
        <v>8.3269999999999997E-2</v>
      </c>
      <c r="C917">
        <v>8.4839999999999999E-2</v>
      </c>
      <c r="D917">
        <v>8.1920000000000007E-2</v>
      </c>
      <c r="E917">
        <v>8.3409999999999998E-2</v>
      </c>
      <c r="F917">
        <v>12187508.300000001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2.0547945205476294E-2</v>
      </c>
      <c r="Q917">
        <f t="shared" si="1015"/>
        <v>250428.25273968754</v>
      </c>
      <c r="R917">
        <f t="shared" si="1016"/>
        <v>-209505990.72866365</v>
      </c>
      <c r="S917">
        <f t="shared" si="1017"/>
        <v>-2095.0599072866366</v>
      </c>
      <c r="T917">
        <f t="shared" si="1018"/>
        <v>-2.0950599072866365</v>
      </c>
    </row>
    <row r="918" spans="1:20" x14ac:dyDescent="0.25">
      <c r="A918" s="5">
        <v>43675</v>
      </c>
      <c r="B918">
        <v>8.4000000000000005E-2</v>
      </c>
      <c r="C918">
        <v>8.5680000000000006E-2</v>
      </c>
      <c r="D918">
        <v>8.2500000000000004E-2</v>
      </c>
      <c r="E918">
        <v>8.3360000000000004E-2</v>
      </c>
      <c r="F918">
        <v>13953681.5</v>
      </c>
      <c r="G918">
        <v>0</v>
      </c>
      <c r="L918" t="s">
        <v>7</v>
      </c>
      <c r="M918" t="s">
        <v>7</v>
      </c>
      <c r="N918" t="s">
        <v>7</v>
      </c>
      <c r="P918">
        <f t="shared" si="1014"/>
        <v>-0.45911949685534653</v>
      </c>
      <c r="Q918">
        <f t="shared" si="1015"/>
        <v>-6406407.2295597568</v>
      </c>
      <c r="R918">
        <f t="shared" si="1016"/>
        <v>-209756418.98140335</v>
      </c>
      <c r="S918">
        <f t="shared" si="1017"/>
        <v>-2097.5641898140334</v>
      </c>
      <c r="T918">
        <f t="shared" si="1018"/>
        <v>-2.0975641898140336</v>
      </c>
    </row>
    <row r="919" spans="1:20" x14ac:dyDescent="0.25">
      <c r="A919" s="5">
        <v>43674</v>
      </c>
      <c r="B919">
        <v>8.4339999999999998E-2</v>
      </c>
      <c r="C919">
        <v>8.4909999999999999E-2</v>
      </c>
      <c r="D919">
        <v>8.0759999999999998E-2</v>
      </c>
      <c r="E919">
        <v>8.4000000000000005E-2</v>
      </c>
      <c r="F919">
        <v>10583490.800000001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0.56144578313253302</v>
      </c>
      <c r="Q919">
        <f t="shared" si="1015"/>
        <v>5942056.2804819588</v>
      </c>
      <c r="R919">
        <f t="shared" si="1016"/>
        <v>-203350011.7518436</v>
      </c>
      <c r="S919">
        <f t="shared" si="1017"/>
        <v>-2033.5001175184361</v>
      </c>
      <c r="T919">
        <f t="shared" si="1018"/>
        <v>-2.033500117518436</v>
      </c>
    </row>
    <row r="920" spans="1:20" x14ac:dyDescent="0.25">
      <c r="A920" s="5">
        <v>43673</v>
      </c>
      <c r="B920">
        <v>8.788E-2</v>
      </c>
      <c r="C920">
        <v>8.9779999999999999E-2</v>
      </c>
      <c r="D920">
        <v>8.2790000000000002E-2</v>
      </c>
      <c r="E920">
        <v>8.4320000000000006E-2</v>
      </c>
      <c r="F920">
        <v>20061554.300000001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-0.56223175965665106</v>
      </c>
      <c r="Q920">
        <f t="shared" si="1015"/>
        <v>-11279242.975536454</v>
      </c>
      <c r="R920">
        <f t="shared" si="1016"/>
        <v>-209292068.03232557</v>
      </c>
      <c r="S920">
        <f t="shared" si="1017"/>
        <v>-2092.9206803232555</v>
      </c>
      <c r="T920">
        <f t="shared" si="1018"/>
        <v>-2.0929206803232554</v>
      </c>
    </row>
    <row r="921" spans="1:20" x14ac:dyDescent="0.25">
      <c r="A921" s="5">
        <v>43672</v>
      </c>
      <c r="B921">
        <v>8.5559999999999997E-2</v>
      </c>
      <c r="C921">
        <v>8.9749999999999996E-2</v>
      </c>
      <c r="D921">
        <v>8.3449999999999996E-2</v>
      </c>
      <c r="E921">
        <v>8.7900000000000006E-2</v>
      </c>
      <c r="F921">
        <v>17137315</v>
      </c>
      <c r="G921">
        <v>0</v>
      </c>
      <c r="L921" t="s">
        <v>8</v>
      </c>
      <c r="M921" t="s">
        <v>7</v>
      </c>
      <c r="N921" t="s">
        <v>7</v>
      </c>
      <c r="P921">
        <f t="shared" si="1014"/>
        <v>0.41269841269841573</v>
      </c>
      <c r="Q921">
        <f t="shared" si="1015"/>
        <v>7072542.6984127499</v>
      </c>
      <c r="R921">
        <f t="shared" si="1016"/>
        <v>-198012825.0567891</v>
      </c>
      <c r="S921">
        <f t="shared" si="1017"/>
        <v>-1980.128250567891</v>
      </c>
      <c r="T921">
        <f t="shared" si="1018"/>
        <v>-1.980128250567891</v>
      </c>
    </row>
    <row r="922" spans="1:20" x14ac:dyDescent="0.25">
      <c r="A922" s="5">
        <v>43671</v>
      </c>
      <c r="B922">
        <v>8.5870000000000002E-2</v>
      </c>
      <c r="C922">
        <v>8.7910000000000002E-2</v>
      </c>
      <c r="D922">
        <v>8.4699999999999998E-2</v>
      </c>
      <c r="E922">
        <v>8.5650000000000004E-2</v>
      </c>
      <c r="F922">
        <v>15679104.699999999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-0.40809968847351707</v>
      </c>
      <c r="Q922">
        <f t="shared" si="1015"/>
        <v>-6398637.7436136575</v>
      </c>
      <c r="R922">
        <f t="shared" si="1016"/>
        <v>-205085367.75520185</v>
      </c>
      <c r="S922">
        <f t="shared" si="1017"/>
        <v>-2050.8536775520183</v>
      </c>
      <c r="T922">
        <f t="shared" si="1018"/>
        <v>-2.0508536775520185</v>
      </c>
    </row>
    <row r="923" spans="1:20" x14ac:dyDescent="0.25">
      <c r="A923" s="5">
        <v>43670</v>
      </c>
      <c r="B923">
        <v>8.4239999999999995E-2</v>
      </c>
      <c r="C923">
        <v>8.6580000000000004E-2</v>
      </c>
      <c r="D923">
        <v>8.1570000000000004E-2</v>
      </c>
      <c r="E923">
        <v>8.6050000000000001E-2</v>
      </c>
      <c r="F923">
        <v>17837883.5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0.78842315369261373</v>
      </c>
      <c r="Q923">
        <f t="shared" si="1015"/>
        <v>14063800.364271438</v>
      </c>
      <c r="R923">
        <f t="shared" si="1016"/>
        <v>-198686730.01158819</v>
      </c>
      <c r="S923">
        <f t="shared" si="1017"/>
        <v>-1986.8673001158818</v>
      </c>
      <c r="T923">
        <f t="shared" si="1018"/>
        <v>-1.9868673001158819</v>
      </c>
    </row>
    <row r="924" spans="1:20" x14ac:dyDescent="0.25">
      <c r="A924" s="5">
        <v>43669</v>
      </c>
      <c r="B924">
        <v>8.8719999999999993E-2</v>
      </c>
      <c r="C924">
        <v>8.8719999999999993E-2</v>
      </c>
      <c r="D924">
        <v>8.3099999999999993E-2</v>
      </c>
      <c r="E924">
        <v>8.4409999999999999E-2</v>
      </c>
      <c r="F924">
        <v>22564128.5</v>
      </c>
      <c r="G924">
        <v>0</v>
      </c>
      <c r="L924" t="s">
        <v>7</v>
      </c>
      <c r="M924" t="s">
        <v>8</v>
      </c>
      <c r="N924" t="s">
        <v>7</v>
      </c>
      <c r="P924">
        <f t="shared" si="1014"/>
        <v>-0.53380782918149272</v>
      </c>
      <c r="Q924">
        <f t="shared" si="1015"/>
        <v>-12044908.451957252</v>
      </c>
      <c r="R924">
        <f t="shared" si="1016"/>
        <v>-212750530.37585962</v>
      </c>
      <c r="S924">
        <f t="shared" si="1017"/>
        <v>-2127.5053037585963</v>
      </c>
      <c r="T924">
        <f t="shared" si="1018"/>
        <v>-2.1275053037585963</v>
      </c>
    </row>
    <row r="925" spans="1:20" x14ac:dyDescent="0.25">
      <c r="A925" s="5">
        <v>43668</v>
      </c>
      <c r="B925">
        <v>9.11E-2</v>
      </c>
      <c r="C925">
        <v>9.1649999999999995E-2</v>
      </c>
      <c r="D925">
        <v>8.6209999999999995E-2</v>
      </c>
      <c r="E925">
        <v>8.8840000000000002E-2</v>
      </c>
      <c r="F925">
        <v>27489791.5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-3.3088235294115018E-2</v>
      </c>
      <c r="Q925">
        <f t="shared" si="1015"/>
        <v>-909588.68933816301</v>
      </c>
      <c r="R925">
        <f t="shared" si="1016"/>
        <v>-200705621.92390236</v>
      </c>
      <c r="S925">
        <f t="shared" si="1017"/>
        <v>-2007.0562192390237</v>
      </c>
      <c r="T925">
        <f t="shared" si="1018"/>
        <v>-2.0070562192390238</v>
      </c>
    </row>
    <row r="926" spans="1:20" x14ac:dyDescent="0.25">
      <c r="A926" s="5">
        <v>43667</v>
      </c>
      <c r="B926">
        <v>9.461E-2</v>
      </c>
      <c r="C926">
        <v>9.4750000000000001E-2</v>
      </c>
      <c r="D926">
        <v>8.8639999999999997E-2</v>
      </c>
      <c r="E926">
        <v>9.1109999999999997E-2</v>
      </c>
      <c r="F926">
        <v>24961848.399999999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-0.19148936170212824</v>
      </c>
      <c r="Q926">
        <f t="shared" si="1015"/>
        <v>-4779928.4170212904</v>
      </c>
      <c r="R926">
        <f t="shared" si="1016"/>
        <v>-199796033.23456419</v>
      </c>
      <c r="S926">
        <f t="shared" si="1017"/>
        <v>-1997.9603323456417</v>
      </c>
      <c r="T926">
        <f t="shared" si="1018"/>
        <v>-1.9979603323456419</v>
      </c>
    </row>
    <row r="927" spans="1:20" x14ac:dyDescent="0.25">
      <c r="A927" s="5">
        <v>43666</v>
      </c>
      <c r="B927">
        <v>9.3380000000000005E-2</v>
      </c>
      <c r="C927">
        <v>9.783E-2</v>
      </c>
      <c r="D927">
        <v>9.1439999999999994E-2</v>
      </c>
      <c r="E927">
        <v>9.4729999999999995E-2</v>
      </c>
      <c r="F927">
        <v>37077103.200000003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2.9733959311423402E-2</v>
      </c>
      <c r="Q927">
        <f t="shared" si="1015"/>
        <v>1102449.0779342465</v>
      </c>
      <c r="R927">
        <f t="shared" si="1016"/>
        <v>-195016104.81754288</v>
      </c>
      <c r="S927">
        <f t="shared" si="1017"/>
        <v>-1950.1610481754287</v>
      </c>
      <c r="T927">
        <f t="shared" si="1018"/>
        <v>-1.9501610481754288</v>
      </c>
    </row>
    <row r="928" spans="1:20" x14ac:dyDescent="0.25">
      <c r="A928" s="5">
        <v>43665</v>
      </c>
      <c r="B928">
        <v>8.8389999999999996E-2</v>
      </c>
      <c r="C928">
        <v>9.5000000000000001E-2</v>
      </c>
      <c r="D928">
        <v>8.6720000000000005E-2</v>
      </c>
      <c r="E928">
        <v>9.332E-2</v>
      </c>
      <c r="F928">
        <v>56573908.5</v>
      </c>
      <c r="G928">
        <v>0</v>
      </c>
      <c r="L928" t="s">
        <v>8</v>
      </c>
      <c r="M928" t="s">
        <v>8</v>
      </c>
      <c r="N928" t="s">
        <v>7</v>
      </c>
      <c r="P928">
        <f t="shared" si="1014"/>
        <v>0.59420289855072417</v>
      </c>
      <c r="Q928">
        <f t="shared" si="1015"/>
        <v>33616380.413043454</v>
      </c>
      <c r="R928">
        <f t="shared" si="1016"/>
        <v>-196118553.89547712</v>
      </c>
      <c r="S928">
        <f t="shared" si="1017"/>
        <v>-1961.1855389547711</v>
      </c>
      <c r="T928">
        <f t="shared" si="1018"/>
        <v>-1.9611855389547712</v>
      </c>
    </row>
    <row r="929" spans="1:20" x14ac:dyDescent="0.25">
      <c r="A929" s="5">
        <v>43664</v>
      </c>
      <c r="B929">
        <v>8.0589999999999995E-2</v>
      </c>
      <c r="C929">
        <v>9.3439999999999995E-2</v>
      </c>
      <c r="D929">
        <v>7.9189999999999997E-2</v>
      </c>
      <c r="E929">
        <v>8.8300000000000003E-2</v>
      </c>
      <c r="F929">
        <v>89103372.799999997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0.27859649122807129</v>
      </c>
      <c r="Q929">
        <f t="shared" si="1015"/>
        <v>24823887.018666767</v>
      </c>
      <c r="R929">
        <f t="shared" si="1016"/>
        <v>-229734934.30852056</v>
      </c>
      <c r="S929">
        <f t="shared" si="1017"/>
        <v>-2297.3493430852054</v>
      </c>
      <c r="T929">
        <f t="shared" si="1018"/>
        <v>-2.2973493430852052</v>
      </c>
    </row>
    <row r="930" spans="1:20" x14ac:dyDescent="0.25">
      <c r="A930" s="5">
        <v>43663</v>
      </c>
      <c r="B930">
        <v>7.8409999999999994E-2</v>
      </c>
      <c r="C930">
        <v>8.3710000000000007E-2</v>
      </c>
      <c r="D930">
        <v>7.5670000000000001E-2</v>
      </c>
      <c r="E930">
        <v>8.054E-2</v>
      </c>
      <c r="F930">
        <v>39684400.799999997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0.21144278606965075</v>
      </c>
      <c r="Q930">
        <f t="shared" si="1015"/>
        <v>8390980.2686566766</v>
      </c>
      <c r="R930">
        <f t="shared" si="1016"/>
        <v>-254558821.32718733</v>
      </c>
      <c r="S930">
        <f t="shared" si="1017"/>
        <v>-2545.5882132718734</v>
      </c>
      <c r="T930">
        <f t="shared" si="1018"/>
        <v>-2.5455882132718735</v>
      </c>
    </row>
    <row r="931" spans="1:20" x14ac:dyDescent="0.25">
      <c r="A931" s="5">
        <v>43662</v>
      </c>
      <c r="B931">
        <v>8.541E-2</v>
      </c>
      <c r="C931">
        <v>8.8200000000000001E-2</v>
      </c>
      <c r="D931">
        <v>7.7799999999999994E-2</v>
      </c>
      <c r="E931">
        <v>7.8280000000000002E-2</v>
      </c>
      <c r="F931">
        <v>35272257.399999999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-0.90769230769230613</v>
      </c>
      <c r="Q931">
        <f t="shared" si="1015"/>
        <v>-32016356.716923021</v>
      </c>
      <c r="R931">
        <f t="shared" si="1016"/>
        <v>-262949801.595844</v>
      </c>
      <c r="S931">
        <f t="shared" si="1017"/>
        <v>-2629.4980159584402</v>
      </c>
      <c r="T931">
        <f t="shared" si="1018"/>
        <v>-2.6294980159584402</v>
      </c>
    </row>
    <row r="932" spans="1:20" x14ac:dyDescent="0.25">
      <c r="A932" s="5">
        <v>43661</v>
      </c>
      <c r="B932">
        <v>8.5470000000000004E-2</v>
      </c>
      <c r="C932">
        <v>8.7779999999999997E-2</v>
      </c>
      <c r="D932">
        <v>8.1909999999999997E-2</v>
      </c>
      <c r="E932">
        <v>8.5419999999999996E-2</v>
      </c>
      <c r="F932">
        <v>35108721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0.19591141396933529</v>
      </c>
      <c r="Q932">
        <f t="shared" si="1015"/>
        <v>6878199.1737648947</v>
      </c>
      <c r="R932">
        <f t="shared" si="1016"/>
        <v>-230933444.87892097</v>
      </c>
      <c r="S932">
        <f t="shared" si="1017"/>
        <v>-2309.3344487892095</v>
      </c>
      <c r="T932">
        <f t="shared" si="1018"/>
        <v>-2.3093344487892096</v>
      </c>
    </row>
    <row r="933" spans="1:20" x14ac:dyDescent="0.25">
      <c r="A933" s="5">
        <v>43660</v>
      </c>
      <c r="B933">
        <v>9.6089999999999995E-2</v>
      </c>
      <c r="C933">
        <v>9.6699999999999994E-2</v>
      </c>
      <c r="D933">
        <v>8.5000000000000006E-2</v>
      </c>
      <c r="E933">
        <v>8.5470000000000004E-2</v>
      </c>
      <c r="F933">
        <v>29786219.699999999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-0.91965811965811983</v>
      </c>
      <c r="Q933">
        <f t="shared" si="1015"/>
        <v>-27393138.801025644</v>
      </c>
      <c r="R933">
        <f t="shared" si="1016"/>
        <v>-237811644.05268586</v>
      </c>
      <c r="S933">
        <f t="shared" si="1017"/>
        <v>-2378.1164405268587</v>
      </c>
      <c r="T933">
        <f t="shared" si="1018"/>
        <v>-2.3781164405268589</v>
      </c>
    </row>
    <row r="934" spans="1:20" x14ac:dyDescent="0.25">
      <c r="A934" s="5">
        <v>43659</v>
      </c>
      <c r="B934">
        <v>9.7790000000000002E-2</v>
      </c>
      <c r="C934">
        <v>0.10048</v>
      </c>
      <c r="D934">
        <v>9.1300000000000006E-2</v>
      </c>
      <c r="E934">
        <v>9.6079999999999999E-2</v>
      </c>
      <c r="F934">
        <v>31341358.399999999</v>
      </c>
      <c r="G934">
        <v>0</v>
      </c>
      <c r="L934" t="s">
        <v>7</v>
      </c>
      <c r="M934" t="s">
        <v>8</v>
      </c>
      <c r="N934" t="s">
        <v>7</v>
      </c>
      <c r="P934">
        <f t="shared" si="1014"/>
        <v>4.139433551198167E-2</v>
      </c>
      <c r="Q934">
        <f t="shared" si="1015"/>
        <v>1297354.7050108649</v>
      </c>
      <c r="R934">
        <f t="shared" si="1016"/>
        <v>-210418505.2516602</v>
      </c>
      <c r="S934">
        <f t="shared" si="1017"/>
        <v>-2104.1850525166019</v>
      </c>
      <c r="T934">
        <f t="shared" si="1018"/>
        <v>-2.1041850525166019</v>
      </c>
    </row>
    <row r="935" spans="1:20" x14ac:dyDescent="0.25">
      <c r="A935" s="5">
        <v>43658</v>
      </c>
      <c r="B935">
        <v>8.6879999999999999E-2</v>
      </c>
      <c r="C935">
        <v>0.10112</v>
      </c>
      <c r="D935">
        <v>8.6220000000000005E-2</v>
      </c>
      <c r="E935">
        <v>9.7839999999999996E-2</v>
      </c>
      <c r="F935">
        <v>55303021.200000003</v>
      </c>
      <c r="G935">
        <v>0</v>
      </c>
      <c r="L935" t="s">
        <v>8</v>
      </c>
      <c r="M935" t="s">
        <v>8</v>
      </c>
      <c r="N935" t="s">
        <v>7</v>
      </c>
      <c r="P935">
        <f t="shared" si="1014"/>
        <v>0.55973154362416033</v>
      </c>
      <c r="Q935">
        <f t="shared" si="1015"/>
        <v>30954845.423355665</v>
      </c>
      <c r="R935">
        <f t="shared" si="1016"/>
        <v>-211715859.95667106</v>
      </c>
      <c r="S935">
        <f t="shared" si="1017"/>
        <v>-2117.1585995667106</v>
      </c>
      <c r="T935">
        <f t="shared" si="1018"/>
        <v>-2.1171585995667104</v>
      </c>
    </row>
    <row r="936" spans="1:20" x14ac:dyDescent="0.25">
      <c r="A936" s="5">
        <v>43657</v>
      </c>
      <c r="B936">
        <v>9.4820000000000002E-2</v>
      </c>
      <c r="C936">
        <v>9.4890000000000002E-2</v>
      </c>
      <c r="D936">
        <v>8.5449999999999998E-2</v>
      </c>
      <c r="E936">
        <v>8.6970000000000006E-2</v>
      </c>
      <c r="F936">
        <v>34474672.899999999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-0.67796610169491378</v>
      </c>
      <c r="Q936">
        <f t="shared" si="1015"/>
        <v>-23372659.593220286</v>
      </c>
      <c r="R936">
        <f t="shared" si="1016"/>
        <v>-242670705.38002673</v>
      </c>
      <c r="S936">
        <f t="shared" si="1017"/>
        <v>-2426.7070538002672</v>
      </c>
      <c r="T936">
        <f t="shared" si="1018"/>
        <v>-2.4267070538002673</v>
      </c>
    </row>
    <row r="937" spans="1:20" x14ac:dyDescent="0.25">
      <c r="A937" s="5">
        <v>43656</v>
      </c>
      <c r="B937">
        <v>0.10123</v>
      </c>
      <c r="C937">
        <v>0.10211000000000001</v>
      </c>
      <c r="D937">
        <v>9.1660000000000005E-2</v>
      </c>
      <c r="E937">
        <v>9.4839999999999994E-2</v>
      </c>
      <c r="F937">
        <v>44415639.899999999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-0.39138755980861473</v>
      </c>
      <c r="Q937">
        <f t="shared" si="1015"/>
        <v>-17383728.917799145</v>
      </c>
      <c r="R937">
        <f t="shared" si="1016"/>
        <v>-219298045.78680643</v>
      </c>
      <c r="S937">
        <f t="shared" si="1017"/>
        <v>-2192.9804578680641</v>
      </c>
      <c r="T937">
        <f t="shared" si="1018"/>
        <v>-2.1929804578680643</v>
      </c>
    </row>
    <row r="938" spans="1:20" x14ac:dyDescent="0.25">
      <c r="A938" s="5">
        <v>43655</v>
      </c>
      <c r="B938">
        <v>0.10392999999999999</v>
      </c>
      <c r="C938">
        <v>0.10477</v>
      </c>
      <c r="D938">
        <v>9.9860000000000004E-2</v>
      </c>
      <c r="E938">
        <v>0.10117</v>
      </c>
      <c r="F938">
        <v>26448703.800000001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-0.46639511201629641</v>
      </c>
      <c r="Q938">
        <f t="shared" si="1015"/>
        <v>-12335546.171486845</v>
      </c>
      <c r="R938">
        <f t="shared" si="1016"/>
        <v>-201914316.86900729</v>
      </c>
      <c r="S938">
        <f t="shared" si="1017"/>
        <v>-2019.1431686900728</v>
      </c>
      <c r="T938">
        <f t="shared" si="1018"/>
        <v>-2.0191431686900727</v>
      </c>
    </row>
    <row r="939" spans="1:20" x14ac:dyDescent="0.25">
      <c r="A939" s="5">
        <v>43654</v>
      </c>
      <c r="B939">
        <v>0.10561</v>
      </c>
      <c r="C939">
        <v>0.10580000000000001</v>
      </c>
      <c r="D939">
        <v>0.10338</v>
      </c>
      <c r="E939">
        <v>0.10395</v>
      </c>
      <c r="F939">
        <v>17548312.199999999</v>
      </c>
      <c r="G939">
        <v>0</v>
      </c>
      <c r="L939" t="s">
        <v>7</v>
      </c>
      <c r="M939" t="s">
        <v>7</v>
      </c>
      <c r="N939" t="s">
        <v>7</v>
      </c>
      <c r="P939">
        <f t="shared" si="1014"/>
        <v>-0.52892561983471098</v>
      </c>
      <c r="Q939">
        <f t="shared" si="1015"/>
        <v>-9281751.9074380212</v>
      </c>
      <c r="R939">
        <f t="shared" si="1016"/>
        <v>-189578770.69752043</v>
      </c>
      <c r="S939">
        <f t="shared" si="1017"/>
        <v>-1895.7877069752044</v>
      </c>
      <c r="T939">
        <f t="shared" si="1018"/>
        <v>-1.8957877069752045</v>
      </c>
    </row>
    <row r="940" spans="1:20" x14ac:dyDescent="0.25">
      <c r="A940" s="5">
        <v>43653</v>
      </c>
      <c r="B940">
        <v>0.10382</v>
      </c>
      <c r="C940">
        <v>0.10573</v>
      </c>
      <c r="D940">
        <v>0.1021</v>
      </c>
      <c r="E940">
        <v>0.10555</v>
      </c>
      <c r="F940">
        <v>16372709.1</v>
      </c>
      <c r="G940">
        <v>0</v>
      </c>
      <c r="L940" t="s">
        <v>7</v>
      </c>
      <c r="M940" t="s">
        <v>7</v>
      </c>
      <c r="N940" t="s">
        <v>7</v>
      </c>
      <c r="P940">
        <f t="shared" si="1014"/>
        <v>0.90082644628099218</v>
      </c>
      <c r="Q940">
        <f t="shared" si="1015"/>
        <v>14748969.354545461</v>
      </c>
      <c r="R940">
        <f t="shared" si="1016"/>
        <v>-180297018.79008242</v>
      </c>
      <c r="S940">
        <f t="shared" si="1017"/>
        <v>-1802.9701879008242</v>
      </c>
      <c r="T940">
        <f t="shared" si="1018"/>
        <v>-1.8029701879008242</v>
      </c>
    </row>
    <row r="941" spans="1:20" x14ac:dyDescent="0.25">
      <c r="A941" s="5">
        <v>43652</v>
      </c>
      <c r="B941">
        <v>0.10005</v>
      </c>
      <c r="C941">
        <v>0.10594000000000001</v>
      </c>
      <c r="D941">
        <v>9.9879999999999997E-2</v>
      </c>
      <c r="E941">
        <v>0.10373</v>
      </c>
      <c r="F941">
        <v>20408622.300000001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0.27062706270627063</v>
      </c>
      <c r="Q941">
        <f t="shared" si="1015"/>
        <v>5523125.5069306931</v>
      </c>
      <c r="R941">
        <f t="shared" si="1016"/>
        <v>-195045988.1446279</v>
      </c>
      <c r="S941">
        <f t="shared" si="1017"/>
        <v>-1950.459881446279</v>
      </c>
      <c r="T941">
        <f t="shared" si="1018"/>
        <v>-1.950459881446279</v>
      </c>
    </row>
    <row r="942" spans="1:20" x14ac:dyDescent="0.25">
      <c r="A942" s="5">
        <v>43651</v>
      </c>
      <c r="B942">
        <v>9.8919999999999994E-2</v>
      </c>
      <c r="C942">
        <v>0.10181999999999999</v>
      </c>
      <c r="D942">
        <v>9.8650000000000002E-2</v>
      </c>
      <c r="E942">
        <v>0.10002999999999999</v>
      </c>
      <c r="F942">
        <v>21766619.399999999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-0.12933753943217935</v>
      </c>
      <c r="Q942">
        <f t="shared" si="1015"/>
        <v>-2815240.9949527397</v>
      </c>
      <c r="R942">
        <f t="shared" si="1016"/>
        <v>-200569113.65155858</v>
      </c>
      <c r="S942">
        <f t="shared" si="1017"/>
        <v>-2005.6911365155859</v>
      </c>
      <c r="T942">
        <f t="shared" si="1018"/>
        <v>-2.0056911365155861</v>
      </c>
    </row>
    <row r="943" spans="1:20" x14ac:dyDescent="0.25">
      <c r="A943" s="5">
        <v>43650</v>
      </c>
      <c r="B943">
        <v>0.10552</v>
      </c>
      <c r="C943">
        <v>0.10576000000000001</v>
      </c>
      <c r="D943">
        <v>9.8760000000000001E-2</v>
      </c>
      <c r="E943">
        <v>9.9080000000000001E-2</v>
      </c>
      <c r="F943">
        <v>24616084.699999999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-0.90857142857142836</v>
      </c>
      <c r="Q943">
        <f t="shared" si="1015"/>
        <v>-22365471.24171428</v>
      </c>
      <c r="R943">
        <f t="shared" si="1016"/>
        <v>-197753872.65660584</v>
      </c>
      <c r="S943">
        <f t="shared" si="1017"/>
        <v>-1977.5387265660584</v>
      </c>
      <c r="T943">
        <f t="shared" si="1018"/>
        <v>-1.9775387265660584</v>
      </c>
    </row>
    <row r="944" spans="1:20" x14ac:dyDescent="0.25">
      <c r="A944" s="5">
        <v>43649</v>
      </c>
      <c r="B944">
        <v>0.10284</v>
      </c>
      <c r="C944">
        <v>0.10578</v>
      </c>
      <c r="D944">
        <v>0.10227</v>
      </c>
      <c r="E944">
        <v>0.10559</v>
      </c>
      <c r="F944">
        <v>26992084.899999999</v>
      </c>
      <c r="G944">
        <v>0</v>
      </c>
      <c r="L944" t="s">
        <v>7</v>
      </c>
      <c r="M944" t="s">
        <v>7</v>
      </c>
      <c r="N944" t="s">
        <v>7</v>
      </c>
      <c r="P944">
        <f t="shared" si="1014"/>
        <v>0.89173789173789419</v>
      </c>
      <c r="Q944">
        <f t="shared" si="1015"/>
        <v>24069864.882336248</v>
      </c>
      <c r="R944">
        <f t="shared" si="1016"/>
        <v>-175388401.41489157</v>
      </c>
      <c r="S944">
        <f t="shared" si="1017"/>
        <v>-1753.8840141489156</v>
      </c>
      <c r="T944">
        <f t="shared" si="1018"/>
        <v>-1.7538840141489156</v>
      </c>
    </row>
    <row r="945" spans="1:20" x14ac:dyDescent="0.25">
      <c r="A945" s="5">
        <v>43648</v>
      </c>
      <c r="B945">
        <v>0.10599</v>
      </c>
      <c r="C945">
        <v>0.10664999999999999</v>
      </c>
      <c r="D945">
        <v>0.10009999999999999</v>
      </c>
      <c r="E945">
        <v>0.10287</v>
      </c>
      <c r="F945">
        <v>47575162.200000003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-0.15419847328244016</v>
      </c>
      <c r="Q945">
        <f t="shared" si="1015"/>
        <v>-7336017.377404457</v>
      </c>
      <c r="R945">
        <f t="shared" si="1016"/>
        <v>-199458266.29722783</v>
      </c>
      <c r="S945">
        <f t="shared" si="1017"/>
        <v>-1994.5826629722783</v>
      </c>
      <c r="T945">
        <f t="shared" si="1018"/>
        <v>-1.9945826629722783</v>
      </c>
    </row>
    <row r="946" spans="1:20" x14ac:dyDescent="0.25">
      <c r="A946" s="5">
        <v>43647</v>
      </c>
      <c r="B946">
        <v>0.10496999999999999</v>
      </c>
      <c r="C946">
        <v>0.10997</v>
      </c>
      <c r="D946">
        <v>0.10156</v>
      </c>
      <c r="E946">
        <v>0.10596999999999999</v>
      </c>
      <c r="F946">
        <v>49788591.299999997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4.8751486325801861E-2</v>
      </c>
      <c r="Q946">
        <f t="shared" si="1015"/>
        <v>2427267.8279428873</v>
      </c>
      <c r="R946">
        <f t="shared" si="1016"/>
        <v>-192122248.91982338</v>
      </c>
      <c r="S946">
        <f t="shared" si="1017"/>
        <v>-1921.2224891982337</v>
      </c>
      <c r="T946">
        <f t="shared" si="1018"/>
        <v>-1.9212224891982337</v>
      </c>
    </row>
    <row r="947" spans="1:20" x14ac:dyDescent="0.25">
      <c r="A947" s="5">
        <v>43646</v>
      </c>
      <c r="B947">
        <v>0.11481</v>
      </c>
      <c r="C947">
        <v>0.11545</v>
      </c>
      <c r="D947">
        <v>0.10444000000000001</v>
      </c>
      <c r="E947">
        <v>0.10495</v>
      </c>
      <c r="F947">
        <v>52178356.600000001</v>
      </c>
      <c r="G947">
        <v>0</v>
      </c>
      <c r="L947" t="s">
        <v>7</v>
      </c>
      <c r="M947" t="s">
        <v>7</v>
      </c>
      <c r="N947" t="s">
        <v>7</v>
      </c>
      <c r="P947">
        <f t="shared" si="1014"/>
        <v>-0.90735694822888335</v>
      </c>
      <c r="Q947">
        <f t="shared" si="1015"/>
        <v>-47344394.408174418</v>
      </c>
      <c r="R947">
        <f t="shared" si="1016"/>
        <v>-194549516.74776626</v>
      </c>
      <c r="S947">
        <f t="shared" si="1017"/>
        <v>-1945.4951674776626</v>
      </c>
      <c r="T947">
        <f t="shared" si="1018"/>
        <v>-1.9454951674776626</v>
      </c>
    </row>
    <row r="948" spans="1:20" x14ac:dyDescent="0.25">
      <c r="A948" s="5">
        <v>43645</v>
      </c>
      <c r="B948">
        <v>0.11162999999999999</v>
      </c>
      <c r="C948">
        <v>0.12171</v>
      </c>
      <c r="D948">
        <v>0.10662000000000001</v>
      </c>
      <c r="E948">
        <v>0.11491</v>
      </c>
      <c r="F948">
        <v>71596480.599999994</v>
      </c>
      <c r="G948">
        <v>0</v>
      </c>
      <c r="L948" t="s">
        <v>8</v>
      </c>
      <c r="M948" t="s">
        <v>7</v>
      </c>
      <c r="N948" t="s">
        <v>7</v>
      </c>
      <c r="P948">
        <f t="shared" si="1014"/>
        <v>9.8740888005300995E-2</v>
      </c>
      <c r="Q948">
        <f t="shared" si="1015"/>
        <v>7069500.0724983048</v>
      </c>
      <c r="R948">
        <f t="shared" si="1016"/>
        <v>-147205122.33959183</v>
      </c>
      <c r="S948">
        <f t="shared" si="1017"/>
        <v>-1472.0512233959182</v>
      </c>
      <c r="T948">
        <f t="shared" si="1018"/>
        <v>-1.4720512233959182</v>
      </c>
    </row>
    <row r="949" spans="1:20" x14ac:dyDescent="0.25">
      <c r="A949" s="5">
        <v>43644</v>
      </c>
      <c r="B949">
        <v>0.10897999999999999</v>
      </c>
      <c r="C949">
        <v>0.11329</v>
      </c>
      <c r="D949">
        <v>0.10881</v>
      </c>
      <c r="E949">
        <v>0.11169</v>
      </c>
      <c r="F949">
        <v>45476978.100000001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0.28571428571428348</v>
      </c>
      <c r="Q949">
        <f t="shared" si="1015"/>
        <v>12993422.314285614</v>
      </c>
      <c r="R949">
        <f t="shared" si="1016"/>
        <v>-154274622.41209012</v>
      </c>
      <c r="S949">
        <f t="shared" si="1017"/>
        <v>-1542.7462241209012</v>
      </c>
      <c r="T949">
        <f t="shared" si="1018"/>
        <v>-1.5427462241209011</v>
      </c>
    </row>
    <row r="950" spans="1:20" x14ac:dyDescent="0.25">
      <c r="A950" s="5">
        <v>43643</v>
      </c>
      <c r="B950">
        <v>0.12317</v>
      </c>
      <c r="C950">
        <v>0.12436</v>
      </c>
      <c r="D950">
        <v>0.10476000000000001</v>
      </c>
      <c r="E950">
        <v>0.10921</v>
      </c>
      <c r="F950">
        <v>112035504.2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-0.54591836734693899</v>
      </c>
      <c r="Q950">
        <f t="shared" si="1015"/>
        <v>-61162239.537755132</v>
      </c>
      <c r="R950">
        <f t="shared" si="1016"/>
        <v>-167268044.72637573</v>
      </c>
      <c r="S950">
        <f t="shared" si="1017"/>
        <v>-1672.6804472637573</v>
      </c>
      <c r="T950">
        <f t="shared" si="1018"/>
        <v>-1.6726804472637573</v>
      </c>
    </row>
    <row r="951" spans="1:20" x14ac:dyDescent="0.25">
      <c r="A951" s="5">
        <v>43642</v>
      </c>
      <c r="B951">
        <v>0.12393</v>
      </c>
      <c r="C951">
        <v>0.13305</v>
      </c>
      <c r="D951">
        <v>0.12082</v>
      </c>
      <c r="E951">
        <v>0.12317</v>
      </c>
      <c r="F951">
        <v>145097076.69999999</v>
      </c>
      <c r="G951">
        <v>0</v>
      </c>
      <c r="L951" t="s">
        <v>8</v>
      </c>
      <c r="M951" t="s">
        <v>7</v>
      </c>
      <c r="N951" t="s">
        <v>8</v>
      </c>
      <c r="P951">
        <f t="shared" si="1014"/>
        <v>-0.61569910057236243</v>
      </c>
      <c r="Q951">
        <f t="shared" si="1015"/>
        <v>-89336139.619869083</v>
      </c>
      <c r="R951">
        <f t="shared" si="1016"/>
        <v>-106105805.1886206</v>
      </c>
      <c r="S951">
        <f t="shared" si="1017"/>
        <v>-1061.0580518862059</v>
      </c>
      <c r="T951">
        <f t="shared" si="1018"/>
        <v>-1.0610580518862058</v>
      </c>
    </row>
    <row r="952" spans="1:20" x14ac:dyDescent="0.25">
      <c r="A952" s="5">
        <v>43641</v>
      </c>
      <c r="B952">
        <v>0.12848999999999999</v>
      </c>
      <c r="C952">
        <v>0.12961</v>
      </c>
      <c r="D952">
        <v>0.122</v>
      </c>
      <c r="E952">
        <v>0.12399</v>
      </c>
      <c r="F952">
        <v>64515145</v>
      </c>
      <c r="G952">
        <v>0</v>
      </c>
      <c r="L952" t="s">
        <v>7</v>
      </c>
      <c r="M952" t="s">
        <v>7</v>
      </c>
      <c r="N952" t="s">
        <v>8</v>
      </c>
      <c r="P952">
        <f t="shared" si="1014"/>
        <v>-0.47700394218133924</v>
      </c>
      <c r="Q952">
        <f t="shared" si="1015"/>
        <v>-30773978.495400716</v>
      </c>
      <c r="R952">
        <f t="shared" si="1016"/>
        <v>-16769665.568751514</v>
      </c>
      <c r="S952">
        <f t="shared" si="1017"/>
        <v>-167.69665568751515</v>
      </c>
      <c r="T952">
        <f t="shared" si="1018"/>
        <v>-0.16769665568751516</v>
      </c>
    </row>
    <row r="953" spans="1:20" x14ac:dyDescent="0.25">
      <c r="A953" s="5">
        <v>43640</v>
      </c>
      <c r="B953">
        <v>0.12816</v>
      </c>
      <c r="C953">
        <v>0.12889999999999999</v>
      </c>
      <c r="D953">
        <v>0.12523999999999999</v>
      </c>
      <c r="E953">
        <v>0.12845000000000001</v>
      </c>
      <c r="F953">
        <v>31827814.300000001</v>
      </c>
      <c r="G953">
        <v>0</v>
      </c>
      <c r="L953" t="s">
        <v>8</v>
      </c>
      <c r="M953" t="s">
        <v>7</v>
      </c>
      <c r="N953" t="s">
        <v>8</v>
      </c>
      <c r="P953">
        <f t="shared" si="1014"/>
        <v>0.75409836065574942</v>
      </c>
      <c r="Q953">
        <f t="shared" si="1015"/>
        <v>24001302.58688562</v>
      </c>
      <c r="R953">
        <f t="shared" si="1016"/>
        <v>14004312.926649202</v>
      </c>
      <c r="S953">
        <f t="shared" si="1017"/>
        <v>140.04312926649203</v>
      </c>
      <c r="T953">
        <f t="shared" si="1018"/>
        <v>0.14004312926649204</v>
      </c>
    </row>
    <row r="954" spans="1:20" x14ac:dyDescent="0.25">
      <c r="A954" s="5">
        <v>43639</v>
      </c>
      <c r="B954">
        <v>0.12984999999999999</v>
      </c>
      <c r="C954">
        <v>0.13361000000000001</v>
      </c>
      <c r="D954">
        <v>0.12791</v>
      </c>
      <c r="E954">
        <v>0.12817000000000001</v>
      </c>
      <c r="F954">
        <v>60526480.200000003</v>
      </c>
      <c r="G954">
        <v>0</v>
      </c>
      <c r="L954" t="s">
        <v>8</v>
      </c>
      <c r="M954" t="s">
        <v>7</v>
      </c>
      <c r="N954" t="s">
        <v>8</v>
      </c>
      <c r="P954">
        <f t="shared" si="1014"/>
        <v>-0.90877192982455801</v>
      </c>
      <c r="Q954">
        <f t="shared" si="1015"/>
        <v>-55004766.216841906</v>
      </c>
      <c r="R954">
        <f t="shared" si="1016"/>
        <v>-9996989.6602364182</v>
      </c>
      <c r="S954">
        <f t="shared" si="1017"/>
        <v>-99.969896602364187</v>
      </c>
      <c r="T954">
        <f t="shared" si="1018"/>
        <v>-9.9969896602364189E-2</v>
      </c>
    </row>
    <row r="955" spans="1:20" x14ac:dyDescent="0.25">
      <c r="A955" s="5">
        <v>43638</v>
      </c>
      <c r="B955">
        <v>0.12307999999999999</v>
      </c>
      <c r="C955">
        <v>0.13472999999999999</v>
      </c>
      <c r="D955">
        <v>0.122</v>
      </c>
      <c r="E955">
        <v>0.12981000000000001</v>
      </c>
      <c r="F955">
        <v>98385269.099999994</v>
      </c>
      <c r="G955">
        <v>0</v>
      </c>
      <c r="L955" t="s">
        <v>8</v>
      </c>
      <c r="M955" t="s">
        <v>7</v>
      </c>
      <c r="N955" t="s">
        <v>8</v>
      </c>
      <c r="P955">
        <f t="shared" si="1014"/>
        <v>0.22702278083268135</v>
      </c>
      <c r="Q955">
        <f t="shared" si="1015"/>
        <v>22335697.384053674</v>
      </c>
      <c r="R955">
        <f t="shared" si="1016"/>
        <v>45007776.556605488</v>
      </c>
      <c r="S955">
        <f t="shared" si="1017"/>
        <v>450.07776556605489</v>
      </c>
      <c r="T955">
        <f t="shared" si="1018"/>
        <v>0.45007776556605489</v>
      </c>
    </row>
    <row r="956" spans="1:20" x14ac:dyDescent="0.25">
      <c r="A956" s="5">
        <v>43637</v>
      </c>
      <c r="B956">
        <v>0.12105</v>
      </c>
      <c r="C956">
        <v>0.12474</v>
      </c>
      <c r="D956">
        <v>0.121</v>
      </c>
      <c r="E956">
        <v>0.12315</v>
      </c>
      <c r="F956">
        <v>35748452.299999997</v>
      </c>
      <c r="G956">
        <v>0</v>
      </c>
      <c r="L956" t="s">
        <v>7</v>
      </c>
      <c r="M956" t="s">
        <v>7</v>
      </c>
      <c r="N956" t="s">
        <v>8</v>
      </c>
      <c r="P956">
        <f t="shared" si="1014"/>
        <v>0.14973262032085294</v>
      </c>
      <c r="Q956">
        <f t="shared" si="1015"/>
        <v>5352709.4352940219</v>
      </c>
      <c r="R956">
        <f t="shared" si="1016"/>
        <v>22672079.172551811</v>
      </c>
      <c r="S956">
        <f t="shared" si="1017"/>
        <v>226.7207917255181</v>
      </c>
      <c r="T956">
        <f t="shared" si="1018"/>
        <v>0.22672079172551809</v>
      </c>
    </row>
    <row r="957" spans="1:20" x14ac:dyDescent="0.25">
      <c r="A957" s="5">
        <v>43636</v>
      </c>
      <c r="B957">
        <v>0.12384000000000001</v>
      </c>
      <c r="C957">
        <v>0.12413</v>
      </c>
      <c r="D957">
        <v>0.12025</v>
      </c>
      <c r="E957">
        <v>0.12099</v>
      </c>
      <c r="F957">
        <v>30052215.699999999</v>
      </c>
      <c r="G957">
        <v>0</v>
      </c>
      <c r="L957" t="s">
        <v>7</v>
      </c>
      <c r="M957" t="s">
        <v>7</v>
      </c>
      <c r="N957" t="s">
        <v>8</v>
      </c>
      <c r="P957">
        <f t="shared" si="1014"/>
        <v>-0.6185567010309263</v>
      </c>
      <c r="Q957">
        <f t="shared" si="1015"/>
        <v>-18588999.402061809</v>
      </c>
      <c r="R957">
        <f t="shared" si="1016"/>
        <v>17319369.73725779</v>
      </c>
      <c r="S957">
        <f t="shared" si="1017"/>
        <v>173.1936973725779</v>
      </c>
      <c r="T957">
        <f t="shared" si="1018"/>
        <v>0.17319369737257789</v>
      </c>
    </row>
    <row r="958" spans="1:20" x14ac:dyDescent="0.25">
      <c r="A958" s="5">
        <v>43635</v>
      </c>
      <c r="B958">
        <v>0.12368</v>
      </c>
      <c r="C958">
        <v>0.12626999999999999</v>
      </c>
      <c r="D958">
        <v>0.12303</v>
      </c>
      <c r="E958">
        <v>0.12382</v>
      </c>
      <c r="F958">
        <v>27475299.5</v>
      </c>
      <c r="G958">
        <v>0</v>
      </c>
      <c r="L958" t="s">
        <v>7</v>
      </c>
      <c r="M958" t="s">
        <v>7</v>
      </c>
      <c r="N958" t="s">
        <v>8</v>
      </c>
      <c r="P958">
        <f t="shared" si="1014"/>
        <v>-0.51234567901234518</v>
      </c>
      <c r="Q958">
        <f t="shared" si="1015"/>
        <v>-14076850.978395049</v>
      </c>
      <c r="R958">
        <f t="shared" si="1016"/>
        <v>35908369.139319599</v>
      </c>
      <c r="S958">
        <f t="shared" si="1017"/>
        <v>359.08369139319598</v>
      </c>
      <c r="T958">
        <f t="shared" si="1018"/>
        <v>0.35908369139319596</v>
      </c>
    </row>
    <row r="959" spans="1:20" x14ac:dyDescent="0.25">
      <c r="A959" s="5">
        <v>43634</v>
      </c>
      <c r="B959">
        <v>0.13078000000000001</v>
      </c>
      <c r="C959">
        <v>0.13125000000000001</v>
      </c>
      <c r="D959">
        <v>0.12231</v>
      </c>
      <c r="E959">
        <v>0.1237</v>
      </c>
      <c r="F959">
        <v>36779095</v>
      </c>
      <c r="G959">
        <v>0</v>
      </c>
      <c r="L959" t="s">
        <v>7</v>
      </c>
      <c r="M959" t="s">
        <v>7</v>
      </c>
      <c r="N959" t="s">
        <v>8</v>
      </c>
      <c r="P959">
        <f t="shared" ref="P959:P1022" si="1019">IF(C959=D959,0,((E959-D959)-(C959-E959))/(C959-D959))</f>
        <v>-0.68903803131991015</v>
      </c>
      <c r="Q959">
        <f t="shared" ref="Q959:Q1022" si="1020">F959*P959</f>
        <v>-25342195.212527949</v>
      </c>
      <c r="R959">
        <f t="shared" ref="R959:R1022" si="1021">R960+Q959</f>
        <v>49985220.117714643</v>
      </c>
      <c r="S959">
        <f t="shared" ref="S959:S1022" si="1022">R959/100000</f>
        <v>499.85220117714641</v>
      </c>
      <c r="T959">
        <f t="shared" ref="T959:T1022" si="1023">S959/1000</f>
        <v>0.4998522011771464</v>
      </c>
    </row>
    <row r="960" spans="1:20" x14ac:dyDescent="0.25">
      <c r="A960" s="5">
        <v>43633</v>
      </c>
      <c r="B960">
        <v>0.12950999999999999</v>
      </c>
      <c r="C960">
        <v>0.13199</v>
      </c>
      <c r="D960">
        <v>0.12709000000000001</v>
      </c>
      <c r="E960">
        <v>0.13086999999999999</v>
      </c>
      <c r="F960">
        <v>34972656.899999999</v>
      </c>
      <c r="G960">
        <v>0</v>
      </c>
      <c r="L960" t="s">
        <v>8</v>
      </c>
      <c r="M960" t="s">
        <v>7</v>
      </c>
      <c r="N960" t="s">
        <v>8</v>
      </c>
      <c r="P960">
        <f t="shared" si="1019"/>
        <v>0.54285714285713771</v>
      </c>
      <c r="Q960">
        <f t="shared" si="1020"/>
        <v>18985156.60285696</v>
      </c>
      <c r="R960">
        <f t="shared" si="1021"/>
        <v>75327415.330242589</v>
      </c>
      <c r="S960">
        <f t="shared" si="1022"/>
        <v>753.27415330242593</v>
      </c>
      <c r="T960">
        <f t="shared" si="1023"/>
        <v>0.75327415330242598</v>
      </c>
    </row>
    <row r="961" spans="1:20" x14ac:dyDescent="0.25">
      <c r="A961" s="5">
        <v>43632</v>
      </c>
      <c r="B961">
        <v>0.12634999999999999</v>
      </c>
      <c r="C961">
        <v>0.13306999999999999</v>
      </c>
      <c r="D961">
        <v>0.12590000000000001</v>
      </c>
      <c r="E961">
        <v>0.12958</v>
      </c>
      <c r="F961">
        <v>48010672.200000003</v>
      </c>
      <c r="G961">
        <v>0</v>
      </c>
      <c r="L961" t="s">
        <v>8</v>
      </c>
      <c r="M961" t="s">
        <v>7</v>
      </c>
      <c r="N961" t="s">
        <v>8</v>
      </c>
      <c r="P961">
        <f t="shared" si="1019"/>
        <v>2.6499302649929737E-2</v>
      </c>
      <c r="Q961">
        <f t="shared" si="1020"/>
        <v>1272249.3330543682</v>
      </c>
      <c r="R961">
        <f t="shared" si="1021"/>
        <v>56342258.727385633</v>
      </c>
      <c r="S961">
        <f t="shared" si="1022"/>
        <v>563.42258727385638</v>
      </c>
      <c r="T961">
        <f t="shared" si="1023"/>
        <v>0.56342258727385641</v>
      </c>
    </row>
    <row r="962" spans="1:20" x14ac:dyDescent="0.25">
      <c r="A962" s="5">
        <v>43631</v>
      </c>
      <c r="B962">
        <v>0.12486999999999999</v>
      </c>
      <c r="C962">
        <v>0.12719</v>
      </c>
      <c r="D962">
        <v>0.12384000000000001</v>
      </c>
      <c r="E962">
        <v>0.12637999999999999</v>
      </c>
      <c r="F962">
        <v>22551220.300000001</v>
      </c>
      <c r="G962">
        <v>0</v>
      </c>
      <c r="L962" t="s">
        <v>8</v>
      </c>
      <c r="M962" t="s">
        <v>7</v>
      </c>
      <c r="N962" t="s">
        <v>8</v>
      </c>
      <c r="P962">
        <f t="shared" si="1019"/>
        <v>0.51641791044775698</v>
      </c>
      <c r="Q962">
        <f t="shared" si="1020"/>
        <v>11645854.065373039</v>
      </c>
      <c r="R962">
        <f t="shared" si="1021"/>
        <v>55070009.394331262</v>
      </c>
      <c r="S962">
        <f t="shared" si="1022"/>
        <v>550.7000939433126</v>
      </c>
      <c r="T962">
        <f t="shared" si="1023"/>
        <v>0.55070009394331254</v>
      </c>
    </row>
    <row r="963" spans="1:20" x14ac:dyDescent="0.25">
      <c r="A963" s="5">
        <v>43630</v>
      </c>
      <c r="B963">
        <v>0.12414</v>
      </c>
      <c r="C963">
        <v>0.12488</v>
      </c>
      <c r="D963">
        <v>0.12046999999999999</v>
      </c>
      <c r="E963">
        <v>0.12486</v>
      </c>
      <c r="F963">
        <v>30784717.100000001</v>
      </c>
      <c r="G963">
        <v>0</v>
      </c>
      <c r="L963" t="s">
        <v>8</v>
      </c>
      <c r="M963" t="s">
        <v>7</v>
      </c>
      <c r="N963" t="s">
        <v>8</v>
      </c>
      <c r="P963">
        <f t="shared" si="1019"/>
        <v>0.99092970521541679</v>
      </c>
      <c r="Q963">
        <f t="shared" si="1020"/>
        <v>30505490.641043004</v>
      </c>
      <c r="R963">
        <f t="shared" si="1021"/>
        <v>43424155.328958221</v>
      </c>
      <c r="S963">
        <f t="shared" si="1022"/>
        <v>434.24155328958221</v>
      </c>
      <c r="T963">
        <f t="shared" si="1023"/>
        <v>0.43424155328958219</v>
      </c>
    </row>
    <row r="964" spans="1:20" x14ac:dyDescent="0.25">
      <c r="A964" s="5">
        <v>43629</v>
      </c>
      <c r="B964">
        <v>0.12697</v>
      </c>
      <c r="C964">
        <v>0.12759999999999999</v>
      </c>
      <c r="D964">
        <v>0.124</v>
      </c>
      <c r="E964">
        <v>0.12414</v>
      </c>
      <c r="F964">
        <v>23797925.199999999</v>
      </c>
      <c r="G964">
        <v>0</v>
      </c>
      <c r="L964" t="s">
        <v>8</v>
      </c>
      <c r="M964" t="s">
        <v>7</v>
      </c>
      <c r="N964" t="s">
        <v>8</v>
      </c>
      <c r="P964">
        <f t="shared" si="1019"/>
        <v>-0.92222222222222139</v>
      </c>
      <c r="Q964">
        <f t="shared" si="1020"/>
        <v>-21946975.4622222</v>
      </c>
      <c r="R964">
        <f t="shared" si="1021"/>
        <v>12918664.687915217</v>
      </c>
      <c r="S964">
        <f t="shared" si="1022"/>
        <v>129.18664687915216</v>
      </c>
      <c r="T964">
        <f t="shared" si="1023"/>
        <v>0.12918664687915216</v>
      </c>
    </row>
    <row r="965" spans="1:20" x14ac:dyDescent="0.25">
      <c r="A965" s="5">
        <v>43628</v>
      </c>
      <c r="B965">
        <v>0.12237000000000001</v>
      </c>
      <c r="C965">
        <v>0.12737000000000001</v>
      </c>
      <c r="D965">
        <v>0.12035999999999999</v>
      </c>
      <c r="E965">
        <v>0.12697</v>
      </c>
      <c r="F965">
        <v>27945716.300000001</v>
      </c>
      <c r="G965">
        <v>0</v>
      </c>
      <c r="L965" t="s">
        <v>8</v>
      </c>
      <c r="M965" t="s">
        <v>7</v>
      </c>
      <c r="N965" t="s">
        <v>8</v>
      </c>
      <c r="P965">
        <f t="shared" si="1019"/>
        <v>0.88587731811697279</v>
      </c>
      <c r="Q965">
        <f t="shared" si="1020"/>
        <v>24756476.208701771</v>
      </c>
      <c r="R965">
        <f t="shared" si="1021"/>
        <v>34865640.150137417</v>
      </c>
      <c r="S965">
        <f t="shared" si="1022"/>
        <v>348.65640150137415</v>
      </c>
      <c r="T965">
        <f t="shared" si="1023"/>
        <v>0.34865640150137417</v>
      </c>
    </row>
    <row r="966" spans="1:20" x14ac:dyDescent="0.25">
      <c r="A966" s="5">
        <v>43627</v>
      </c>
      <c r="B966">
        <v>0.1232</v>
      </c>
      <c r="C966">
        <v>0.1235</v>
      </c>
      <c r="D966">
        <v>0.11831</v>
      </c>
      <c r="E966">
        <v>0.12234</v>
      </c>
      <c r="F966">
        <v>21988743.600000001</v>
      </c>
      <c r="G966">
        <v>0</v>
      </c>
      <c r="L966" t="s">
        <v>7</v>
      </c>
      <c r="M966" t="s">
        <v>7</v>
      </c>
      <c r="N966" t="s">
        <v>8</v>
      </c>
      <c r="P966">
        <f t="shared" si="1019"/>
        <v>0.55298651252408693</v>
      </c>
      <c r="Q966">
        <f t="shared" si="1020"/>
        <v>12159478.638150336</v>
      </c>
      <c r="R966">
        <f t="shared" si="1021"/>
        <v>10109163.941435648</v>
      </c>
      <c r="S966">
        <f t="shared" si="1022"/>
        <v>101.09163941435648</v>
      </c>
      <c r="T966">
        <f t="shared" si="1023"/>
        <v>0.10109163941435648</v>
      </c>
    </row>
    <row r="967" spans="1:20" x14ac:dyDescent="0.25">
      <c r="A967" s="5">
        <v>43626</v>
      </c>
      <c r="B967">
        <v>0.11845</v>
      </c>
      <c r="C967">
        <v>0.12378</v>
      </c>
      <c r="D967">
        <v>0.11672</v>
      </c>
      <c r="E967">
        <v>0.12323000000000001</v>
      </c>
      <c r="F967">
        <v>25519441</v>
      </c>
      <c r="G967">
        <v>0</v>
      </c>
      <c r="L967" t="s">
        <v>7</v>
      </c>
      <c r="M967" t="s">
        <v>7</v>
      </c>
      <c r="N967" t="s">
        <v>8</v>
      </c>
      <c r="P967">
        <f t="shared" si="1019"/>
        <v>0.84419263456090787</v>
      </c>
      <c r="Q967">
        <f t="shared" si="1020"/>
        <v>21543324.130311649</v>
      </c>
      <c r="R967">
        <f t="shared" si="1021"/>
        <v>-2050314.6967146881</v>
      </c>
      <c r="S967">
        <f t="shared" si="1022"/>
        <v>-20.503146967146883</v>
      </c>
      <c r="T967">
        <f t="shared" si="1023"/>
        <v>-2.0503146967146883E-2</v>
      </c>
    </row>
    <row r="968" spans="1:20" x14ac:dyDescent="0.25">
      <c r="A968" s="5">
        <v>43625</v>
      </c>
      <c r="B968">
        <v>0.12373000000000001</v>
      </c>
      <c r="C968">
        <v>0.12475</v>
      </c>
      <c r="D968">
        <v>0.11666</v>
      </c>
      <c r="E968">
        <v>0.11845</v>
      </c>
      <c r="F968">
        <v>16952712.600000001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-0.55747836835599507</v>
      </c>
      <c r="Q968">
        <f t="shared" si="1020"/>
        <v>-9450770.5594561193</v>
      </c>
      <c r="R968">
        <f t="shared" si="1021"/>
        <v>-23593638.827026337</v>
      </c>
      <c r="S968">
        <f t="shared" si="1022"/>
        <v>-235.93638827026336</v>
      </c>
      <c r="T968">
        <f t="shared" si="1023"/>
        <v>-0.23593638827026336</v>
      </c>
    </row>
    <row r="969" spans="1:20" x14ac:dyDescent="0.25">
      <c r="A969" s="5">
        <v>43624</v>
      </c>
      <c r="B969">
        <v>0.12703999999999999</v>
      </c>
      <c r="C969">
        <v>0.12828999999999999</v>
      </c>
      <c r="D969">
        <v>0.12232</v>
      </c>
      <c r="E969">
        <v>0.12376</v>
      </c>
      <c r="F969">
        <v>12978717.199999999</v>
      </c>
      <c r="G969">
        <v>0</v>
      </c>
      <c r="L969" t="s">
        <v>7</v>
      </c>
      <c r="M969" t="s">
        <v>7</v>
      </c>
      <c r="N969" t="s">
        <v>8</v>
      </c>
      <c r="P969">
        <f t="shared" si="1019"/>
        <v>-0.51758793969849259</v>
      </c>
      <c r="Q969">
        <f t="shared" si="1020"/>
        <v>-6717627.4954773886</v>
      </c>
      <c r="R969">
        <f t="shared" si="1021"/>
        <v>-14142868.267570216</v>
      </c>
      <c r="S969">
        <f t="shared" si="1022"/>
        <v>-141.42868267570216</v>
      </c>
      <c r="T969">
        <f t="shared" si="1023"/>
        <v>-0.14142868267570216</v>
      </c>
    </row>
    <row r="970" spans="1:20" x14ac:dyDescent="0.25">
      <c r="A970" s="5">
        <v>43623</v>
      </c>
      <c r="B970">
        <v>0.12494</v>
      </c>
      <c r="C970">
        <v>0.13017000000000001</v>
      </c>
      <c r="D970">
        <v>0.12402000000000001</v>
      </c>
      <c r="E970">
        <v>0.12705</v>
      </c>
      <c r="F970">
        <v>24670711.399999999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-1.4634146341466762E-2</v>
      </c>
      <c r="Q970">
        <f t="shared" si="1020"/>
        <v>-361034.80097569228</v>
      </c>
      <c r="R970">
        <f t="shared" si="1021"/>
        <v>-7425240.7720928276</v>
      </c>
      <c r="S970">
        <f t="shared" si="1022"/>
        <v>-74.252407720928275</v>
      </c>
      <c r="T970">
        <f t="shared" si="1023"/>
        <v>-7.4252407720928282E-2</v>
      </c>
    </row>
    <row r="971" spans="1:20" x14ac:dyDescent="0.25">
      <c r="A971" s="5">
        <v>43622</v>
      </c>
      <c r="B971">
        <v>0.12118</v>
      </c>
      <c r="C971">
        <v>0.12559999999999999</v>
      </c>
      <c r="D971">
        <v>0.11803</v>
      </c>
      <c r="E971">
        <v>0.12479999999999999</v>
      </c>
      <c r="F971">
        <v>31943330.899999999</v>
      </c>
      <c r="G971">
        <v>0</v>
      </c>
      <c r="L971" t="s">
        <v>8</v>
      </c>
      <c r="M971" t="s">
        <v>7</v>
      </c>
      <c r="N971" t="s">
        <v>8</v>
      </c>
      <c r="P971">
        <f t="shared" si="1019"/>
        <v>0.7886393659180988</v>
      </c>
      <c r="Q971">
        <f t="shared" si="1020"/>
        <v>25191768.226288009</v>
      </c>
      <c r="R971">
        <f t="shared" si="1021"/>
        <v>-7064205.9711171351</v>
      </c>
      <c r="S971">
        <f t="shared" si="1022"/>
        <v>-70.642059711171356</v>
      </c>
      <c r="T971">
        <f t="shared" si="1023"/>
        <v>-7.0642059711171351E-2</v>
      </c>
    </row>
    <row r="972" spans="1:20" x14ac:dyDescent="0.25">
      <c r="A972" s="5">
        <v>43621</v>
      </c>
      <c r="B972">
        <v>0.12107</v>
      </c>
      <c r="C972">
        <v>0.12548999999999999</v>
      </c>
      <c r="D972">
        <v>0.11877</v>
      </c>
      <c r="E972">
        <v>0.12119000000000001</v>
      </c>
      <c r="F972">
        <v>29392533.100000001</v>
      </c>
      <c r="G972">
        <v>0</v>
      </c>
      <c r="L972" t="s">
        <v>8</v>
      </c>
      <c r="M972" t="s">
        <v>7</v>
      </c>
      <c r="N972" t="s">
        <v>8</v>
      </c>
      <c r="P972">
        <f t="shared" si="1019"/>
        <v>-0.27976190476190205</v>
      </c>
      <c r="Q972">
        <f t="shared" si="1020"/>
        <v>-8222911.0458332542</v>
      </c>
      <c r="R972">
        <f t="shared" si="1021"/>
        <v>-32255974.197405145</v>
      </c>
      <c r="S972">
        <f t="shared" si="1022"/>
        <v>-322.55974197405146</v>
      </c>
      <c r="T972">
        <f t="shared" si="1023"/>
        <v>-0.32255974197405146</v>
      </c>
    </row>
    <row r="973" spans="1:20" x14ac:dyDescent="0.25">
      <c r="A973" s="5">
        <v>43620</v>
      </c>
      <c r="B973">
        <v>0.12762999999999999</v>
      </c>
      <c r="C973">
        <v>0.12765000000000001</v>
      </c>
      <c r="D973">
        <v>0.11695</v>
      </c>
      <c r="E973">
        <v>0.12106</v>
      </c>
      <c r="F973">
        <v>43724073.799999997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-0.23177570093458005</v>
      </c>
      <c r="Q973">
        <f t="shared" si="1020"/>
        <v>-10134177.852710307</v>
      </c>
      <c r="R973">
        <f t="shared" si="1021"/>
        <v>-24033063.151571892</v>
      </c>
      <c r="S973">
        <f t="shared" si="1022"/>
        <v>-240.33063151571892</v>
      </c>
      <c r="T973">
        <f t="shared" si="1023"/>
        <v>-0.24033063151571893</v>
      </c>
    </row>
    <row r="974" spans="1:20" x14ac:dyDescent="0.25">
      <c r="A974" s="5">
        <v>43619</v>
      </c>
      <c r="B974">
        <v>0.13622999999999999</v>
      </c>
      <c r="C974">
        <v>0.14004</v>
      </c>
      <c r="D974">
        <v>0.12758</v>
      </c>
      <c r="E974">
        <v>0.12764</v>
      </c>
      <c r="F974">
        <v>46867400.299999997</v>
      </c>
      <c r="G974">
        <v>0</v>
      </c>
      <c r="L974" t="s">
        <v>8</v>
      </c>
      <c r="M974" t="s">
        <v>8</v>
      </c>
      <c r="N974" t="s">
        <v>8</v>
      </c>
      <c r="P974">
        <f t="shared" si="1019"/>
        <v>-0.99036918138041663</v>
      </c>
      <c r="Q974">
        <f t="shared" si="1020"/>
        <v>-46416028.868539289</v>
      </c>
      <c r="R974">
        <f t="shared" si="1021"/>
        <v>-13898885.298861586</v>
      </c>
      <c r="S974">
        <f t="shared" si="1022"/>
        <v>-138.98885298861586</v>
      </c>
      <c r="T974">
        <f t="shared" si="1023"/>
        <v>-0.13898885298861585</v>
      </c>
    </row>
    <row r="975" spans="1:20" x14ac:dyDescent="0.25">
      <c r="A975" s="5">
        <v>43618</v>
      </c>
      <c r="B975">
        <v>0.13250999999999999</v>
      </c>
      <c r="C975">
        <v>0.13800000000000001</v>
      </c>
      <c r="D975">
        <v>0.13209000000000001</v>
      </c>
      <c r="E975">
        <v>0.13639000000000001</v>
      </c>
      <c r="F975">
        <v>29912912.699999999</v>
      </c>
      <c r="G975">
        <v>0</v>
      </c>
      <c r="L975" t="s">
        <v>8</v>
      </c>
      <c r="M975" t="s">
        <v>8</v>
      </c>
      <c r="N975" t="s">
        <v>8</v>
      </c>
      <c r="P975">
        <f t="shared" si="1019"/>
        <v>0.45516074450084576</v>
      </c>
      <c r="Q975">
        <f t="shared" si="1020"/>
        <v>13615183.614720805</v>
      </c>
      <c r="R975">
        <f t="shared" si="1021"/>
        <v>32517143.569677703</v>
      </c>
      <c r="S975">
        <f t="shared" si="1022"/>
        <v>325.17143569677705</v>
      </c>
      <c r="T975">
        <f t="shared" si="1023"/>
        <v>0.32517143569677703</v>
      </c>
    </row>
    <row r="976" spans="1:20" x14ac:dyDescent="0.25">
      <c r="A976" s="5">
        <v>43617</v>
      </c>
      <c r="B976">
        <v>0.13342000000000001</v>
      </c>
      <c r="C976">
        <v>0.13500000000000001</v>
      </c>
      <c r="D976">
        <v>0.12831000000000001</v>
      </c>
      <c r="E976">
        <v>0.13256999999999999</v>
      </c>
      <c r="F976">
        <v>37431241.399999999</v>
      </c>
      <c r="G976">
        <v>0</v>
      </c>
      <c r="L976" t="s">
        <v>8</v>
      </c>
      <c r="M976" t="s">
        <v>8</v>
      </c>
      <c r="N976" t="s">
        <v>8</v>
      </c>
      <c r="P976">
        <f t="shared" si="1019"/>
        <v>0.2735426008968565</v>
      </c>
      <c r="Q976">
        <f t="shared" si="1020"/>
        <v>10239039.127354091</v>
      </c>
      <c r="R976">
        <f t="shared" si="1021"/>
        <v>18901959.954956897</v>
      </c>
      <c r="S976">
        <f t="shared" si="1022"/>
        <v>189.01959954956897</v>
      </c>
      <c r="T976">
        <f t="shared" si="1023"/>
        <v>0.18901959954956896</v>
      </c>
    </row>
    <row r="977" spans="1:20" x14ac:dyDescent="0.25">
      <c r="A977" s="5">
        <v>43616</v>
      </c>
      <c r="B977">
        <v>0.12862999999999999</v>
      </c>
      <c r="C977">
        <v>0.13458000000000001</v>
      </c>
      <c r="D977">
        <v>0.12402000000000001</v>
      </c>
      <c r="E977">
        <v>0.13347999999999999</v>
      </c>
      <c r="F977">
        <v>47930020.200000003</v>
      </c>
      <c r="G977">
        <v>0</v>
      </c>
      <c r="L977" t="s">
        <v>8</v>
      </c>
      <c r="M977" t="s">
        <v>8</v>
      </c>
      <c r="N977" t="s">
        <v>8</v>
      </c>
      <c r="P977">
        <f t="shared" si="1019"/>
        <v>0.7916666666666633</v>
      </c>
      <c r="Q977">
        <f t="shared" si="1020"/>
        <v>37944599.324999839</v>
      </c>
      <c r="R977">
        <f t="shared" si="1021"/>
        <v>8662920.8276028037</v>
      </c>
      <c r="S977">
        <f t="shared" si="1022"/>
        <v>86.629208276028038</v>
      </c>
      <c r="T977">
        <f t="shared" si="1023"/>
        <v>8.6629208276028033E-2</v>
      </c>
    </row>
    <row r="978" spans="1:20" x14ac:dyDescent="0.25">
      <c r="A978" s="5">
        <v>43615</v>
      </c>
      <c r="B978">
        <v>0.13567000000000001</v>
      </c>
      <c r="C978">
        <v>0.14394999999999999</v>
      </c>
      <c r="D978">
        <v>0.125</v>
      </c>
      <c r="E978">
        <v>0.12872</v>
      </c>
      <c r="F978">
        <v>105056745.3</v>
      </c>
      <c r="G978">
        <v>0</v>
      </c>
      <c r="L978" t="s">
        <v>7</v>
      </c>
      <c r="M978" t="s">
        <v>8</v>
      </c>
      <c r="N978" t="s">
        <v>8</v>
      </c>
      <c r="P978">
        <f t="shared" si="1019"/>
        <v>-0.60738786279683354</v>
      </c>
      <c r="Q978">
        <f t="shared" si="1020"/>
        <v>-63810192.000158288</v>
      </c>
      <c r="R978">
        <f t="shared" si="1021"/>
        <v>-29281678.497397035</v>
      </c>
      <c r="S978">
        <f t="shared" si="1022"/>
        <v>-292.81678497397036</v>
      </c>
      <c r="T978">
        <f t="shared" si="1023"/>
        <v>-0.29281678497397035</v>
      </c>
    </row>
    <row r="979" spans="1:20" x14ac:dyDescent="0.25">
      <c r="A979" s="5">
        <v>43614</v>
      </c>
      <c r="B979">
        <v>0.13911000000000001</v>
      </c>
      <c r="C979">
        <v>0.13944999999999999</v>
      </c>
      <c r="D979">
        <v>0.13031999999999999</v>
      </c>
      <c r="E979">
        <v>0.13566</v>
      </c>
      <c r="F979">
        <v>62437808.700000003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0.16976998904710008</v>
      </c>
      <c r="Q979">
        <f t="shared" si="1020"/>
        <v>10600066.099123931</v>
      </c>
      <c r="R979">
        <f t="shared" si="1021"/>
        <v>34528513.502761252</v>
      </c>
      <c r="S979">
        <f t="shared" si="1022"/>
        <v>345.28513502761251</v>
      </c>
      <c r="T979">
        <f t="shared" si="1023"/>
        <v>0.34528513502761249</v>
      </c>
    </row>
    <row r="980" spans="1:20" x14ac:dyDescent="0.25">
      <c r="A980" s="5">
        <v>43613</v>
      </c>
      <c r="B980">
        <v>0.13769999999999999</v>
      </c>
      <c r="C980">
        <v>0.14168</v>
      </c>
      <c r="D980">
        <v>0.13206999999999999</v>
      </c>
      <c r="E980">
        <v>0.13916999999999999</v>
      </c>
      <c r="F980">
        <v>59206120.399999999</v>
      </c>
      <c r="G980">
        <v>0</v>
      </c>
      <c r="L980" t="s">
        <v>7</v>
      </c>
      <c r="M980" t="s">
        <v>8</v>
      </c>
      <c r="N980" t="s">
        <v>8</v>
      </c>
      <c r="P980">
        <f t="shared" si="1019"/>
        <v>0.47762747138397288</v>
      </c>
      <c r="Q980">
        <f t="shared" si="1020"/>
        <v>28278469.577107053</v>
      </c>
      <c r="R980">
        <f t="shared" si="1021"/>
        <v>23928447.40363732</v>
      </c>
      <c r="S980">
        <f t="shared" si="1022"/>
        <v>239.28447403637321</v>
      </c>
      <c r="T980">
        <f t="shared" si="1023"/>
        <v>0.23928447403637321</v>
      </c>
    </row>
    <row r="981" spans="1:20" x14ac:dyDescent="0.25">
      <c r="A981" s="5">
        <v>43612</v>
      </c>
      <c r="B981">
        <v>0.13164000000000001</v>
      </c>
      <c r="C981">
        <v>0.14412</v>
      </c>
      <c r="D981">
        <v>0.13075999999999999</v>
      </c>
      <c r="E981">
        <v>0.13778000000000001</v>
      </c>
      <c r="F981">
        <v>56046379.700000003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5.0898203592817451E-2</v>
      </c>
      <c r="Q981">
        <f t="shared" si="1020"/>
        <v>2852660.0446109511</v>
      </c>
      <c r="R981">
        <f t="shared" si="1021"/>
        <v>-4350022.1734697334</v>
      </c>
      <c r="S981">
        <f t="shared" si="1022"/>
        <v>-43.500221734697334</v>
      </c>
      <c r="T981">
        <f t="shared" si="1023"/>
        <v>-4.3500221734697336E-2</v>
      </c>
    </row>
    <row r="982" spans="1:20" x14ac:dyDescent="0.25">
      <c r="A982" s="5">
        <v>43611</v>
      </c>
      <c r="B982">
        <v>0.12470000000000001</v>
      </c>
      <c r="C982">
        <v>0.1348</v>
      </c>
      <c r="D982">
        <v>0.12091</v>
      </c>
      <c r="E982">
        <v>0.13159999999999999</v>
      </c>
      <c r="F982">
        <v>36969632.200000003</v>
      </c>
      <c r="G982">
        <v>0</v>
      </c>
      <c r="L982" t="s">
        <v>8</v>
      </c>
      <c r="M982" t="s">
        <v>7</v>
      </c>
      <c r="N982" t="s">
        <v>8</v>
      </c>
      <c r="P982">
        <f t="shared" si="1019"/>
        <v>0.53923686105111468</v>
      </c>
      <c r="Q982">
        <f t="shared" si="1020"/>
        <v>19935388.421742216</v>
      </c>
      <c r="R982">
        <f t="shared" si="1021"/>
        <v>-7202682.2180806845</v>
      </c>
      <c r="S982">
        <f t="shared" si="1022"/>
        <v>-72.026822180806846</v>
      </c>
      <c r="T982">
        <f t="shared" si="1023"/>
        <v>-7.2026822180806846E-2</v>
      </c>
    </row>
    <row r="983" spans="1:20" x14ac:dyDescent="0.25">
      <c r="A983" s="5">
        <v>43610</v>
      </c>
      <c r="B983">
        <v>0.12520000000000001</v>
      </c>
      <c r="C983">
        <v>0.12770999999999999</v>
      </c>
      <c r="D983">
        <v>0.12372</v>
      </c>
      <c r="E983">
        <v>0.12475</v>
      </c>
      <c r="F983">
        <v>21977863.199999999</v>
      </c>
      <c r="G983">
        <v>0</v>
      </c>
      <c r="L983" t="s">
        <v>8</v>
      </c>
      <c r="M983" t="s">
        <v>7</v>
      </c>
      <c r="N983" t="s">
        <v>8</v>
      </c>
      <c r="P983">
        <f t="shared" si="1019"/>
        <v>-0.48370927318295498</v>
      </c>
      <c r="Q983">
        <f t="shared" si="1020"/>
        <v>-10630896.234586412</v>
      </c>
      <c r="R983">
        <f t="shared" si="1021"/>
        <v>-27138070.6398229</v>
      </c>
      <c r="S983">
        <f t="shared" si="1022"/>
        <v>-271.38070639822899</v>
      </c>
      <c r="T983">
        <f t="shared" si="1023"/>
        <v>-0.27138070639822898</v>
      </c>
    </row>
    <row r="984" spans="1:20" x14ac:dyDescent="0.25">
      <c r="A984" s="5">
        <v>43609</v>
      </c>
      <c r="B984">
        <v>0.12486</v>
      </c>
      <c r="C984">
        <v>0.12920999999999999</v>
      </c>
      <c r="D984">
        <v>0.12096999999999999</v>
      </c>
      <c r="E984">
        <v>0.12522</v>
      </c>
      <c r="F984">
        <v>38443623.200000003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3.1553398058253676E-2</v>
      </c>
      <c r="Q984">
        <f t="shared" si="1020"/>
        <v>1213026.9456311162</v>
      </c>
      <c r="R984">
        <f t="shared" si="1021"/>
        <v>-16507174.40523649</v>
      </c>
      <c r="S984">
        <f t="shared" si="1022"/>
        <v>-165.07174405236489</v>
      </c>
      <c r="T984">
        <f t="shared" si="1023"/>
        <v>-0.16507174405236488</v>
      </c>
    </row>
    <row r="985" spans="1:20" x14ac:dyDescent="0.25">
      <c r="A985" s="5">
        <v>43608</v>
      </c>
      <c r="B985">
        <v>0.12169000000000001</v>
      </c>
      <c r="C985">
        <v>0.12605</v>
      </c>
      <c r="D985">
        <v>0.11761000000000001</v>
      </c>
      <c r="E985">
        <v>0.12483</v>
      </c>
      <c r="F985">
        <v>33822229.299999997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0.71090047393364919</v>
      </c>
      <c r="Q985">
        <f t="shared" si="1020"/>
        <v>24044238.838862553</v>
      </c>
      <c r="R985">
        <f t="shared" si="1021"/>
        <v>-17720201.350867607</v>
      </c>
      <c r="S985">
        <f t="shared" si="1022"/>
        <v>-177.20201350867606</v>
      </c>
      <c r="T985">
        <f t="shared" si="1023"/>
        <v>-0.17720201350867607</v>
      </c>
    </row>
    <row r="986" spans="1:20" x14ac:dyDescent="0.25">
      <c r="A986" s="5">
        <v>43607</v>
      </c>
      <c r="B986">
        <v>0.13350000000000001</v>
      </c>
      <c r="C986">
        <v>0.13741</v>
      </c>
      <c r="D986">
        <v>0.1205</v>
      </c>
      <c r="E986">
        <v>0.12173</v>
      </c>
      <c r="F986">
        <v>46838732.600000001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-0.8545239503252503</v>
      </c>
      <c r="Q986">
        <f t="shared" si="1020"/>
        <v>-40024818.80958008</v>
      </c>
      <c r="R986">
        <f t="shared" si="1021"/>
        <v>-41764440.18973016</v>
      </c>
      <c r="S986">
        <f t="shared" si="1022"/>
        <v>-417.64440189730158</v>
      </c>
      <c r="T986">
        <f t="shared" si="1023"/>
        <v>-0.41764440189730156</v>
      </c>
    </row>
    <row r="987" spans="1:20" x14ac:dyDescent="0.25">
      <c r="A987" s="5">
        <v>43606</v>
      </c>
      <c r="B987">
        <v>0.13489999999999999</v>
      </c>
      <c r="C987">
        <v>0.13644999999999999</v>
      </c>
      <c r="D987">
        <v>0.13103000000000001</v>
      </c>
      <c r="E987">
        <v>0.13358999999999999</v>
      </c>
      <c r="F987">
        <v>41394396.799999997</v>
      </c>
      <c r="G987">
        <v>0</v>
      </c>
      <c r="L987" t="s">
        <v>7</v>
      </c>
      <c r="M987" t="s">
        <v>8</v>
      </c>
      <c r="N987" t="s">
        <v>8</v>
      </c>
      <c r="P987">
        <f t="shared" si="1019"/>
        <v>-5.5350553505539399E-2</v>
      </c>
      <c r="Q987">
        <f t="shared" si="1020"/>
        <v>-2291202.7749079289</v>
      </c>
      <c r="R987">
        <f t="shared" si="1021"/>
        <v>-1739621.3801500811</v>
      </c>
      <c r="S987">
        <f t="shared" si="1022"/>
        <v>-17.39621380150081</v>
      </c>
      <c r="T987">
        <f t="shared" si="1023"/>
        <v>-1.7396213801500811E-2</v>
      </c>
    </row>
    <row r="988" spans="1:20" x14ac:dyDescent="0.25">
      <c r="A988" s="5">
        <v>43605</v>
      </c>
      <c r="B988">
        <v>0.14255000000000001</v>
      </c>
      <c r="C988">
        <v>0.14268</v>
      </c>
      <c r="D988">
        <v>0.12798000000000001</v>
      </c>
      <c r="E988">
        <v>0.13494999999999999</v>
      </c>
      <c r="F988">
        <v>55226071.799999997</v>
      </c>
      <c r="G988">
        <v>0</v>
      </c>
      <c r="L988" t="s">
        <v>7</v>
      </c>
      <c r="M988" t="s">
        <v>8</v>
      </c>
      <c r="N988" t="s">
        <v>8</v>
      </c>
      <c r="P988">
        <f t="shared" si="1019"/>
        <v>-5.1700680272111492E-2</v>
      </c>
      <c r="Q988">
        <f t="shared" si="1020"/>
        <v>-2855225.4808164728</v>
      </c>
      <c r="R988">
        <f t="shared" si="1021"/>
        <v>551581.39475784777</v>
      </c>
      <c r="S988">
        <f t="shared" si="1022"/>
        <v>5.5158139475784775</v>
      </c>
      <c r="T988">
        <f t="shared" si="1023"/>
        <v>5.5158139475784771E-3</v>
      </c>
    </row>
    <row r="989" spans="1:20" x14ac:dyDescent="0.25">
      <c r="A989" s="5">
        <v>43604</v>
      </c>
      <c r="B989">
        <v>0.13128000000000001</v>
      </c>
      <c r="C989">
        <v>0.14529</v>
      </c>
      <c r="D989">
        <v>0.12963</v>
      </c>
      <c r="E989">
        <v>0.14263999999999999</v>
      </c>
      <c r="F989">
        <v>69092476.400000006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0.66155810983397034</v>
      </c>
      <c r="Q989">
        <f t="shared" si="1020"/>
        <v>45708688.090932205</v>
      </c>
      <c r="R989">
        <f t="shared" si="1021"/>
        <v>3406806.8755743206</v>
      </c>
      <c r="S989">
        <f t="shared" si="1022"/>
        <v>34.068068755743205</v>
      </c>
      <c r="T989">
        <f t="shared" si="1023"/>
        <v>3.4068068755743204E-2</v>
      </c>
    </row>
    <row r="990" spans="1:20" x14ac:dyDescent="0.25">
      <c r="A990" s="5">
        <v>43603</v>
      </c>
      <c r="B990">
        <v>0.13075000000000001</v>
      </c>
      <c r="C990">
        <v>0.14126</v>
      </c>
      <c r="D990">
        <v>0.12841</v>
      </c>
      <c r="E990">
        <v>0.13128999999999999</v>
      </c>
      <c r="F990">
        <v>79404323.099999994</v>
      </c>
      <c r="G990">
        <v>0</v>
      </c>
      <c r="L990" t="s">
        <v>8</v>
      </c>
      <c r="M990" t="s">
        <v>8</v>
      </c>
      <c r="N990" t="s">
        <v>8</v>
      </c>
      <c r="P990">
        <f t="shared" si="1019"/>
        <v>-0.55175097276264695</v>
      </c>
      <c r="Q990">
        <f t="shared" si="1020"/>
        <v>-43811412.511984512</v>
      </c>
      <c r="R990">
        <f t="shared" si="1021"/>
        <v>-42301881.215357885</v>
      </c>
      <c r="S990">
        <f t="shared" si="1022"/>
        <v>-423.01881215357884</v>
      </c>
      <c r="T990">
        <f t="shared" si="1023"/>
        <v>-0.42301881215357884</v>
      </c>
    </row>
    <row r="991" spans="1:20" x14ac:dyDescent="0.25">
      <c r="A991" s="5">
        <v>43602</v>
      </c>
      <c r="B991">
        <v>0.13783999999999999</v>
      </c>
      <c r="C991">
        <v>0.14058999999999999</v>
      </c>
      <c r="D991">
        <v>0.11555</v>
      </c>
      <c r="E991">
        <v>0.13084000000000001</v>
      </c>
      <c r="F991">
        <v>132248326.90000001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0.22124600638977765</v>
      </c>
      <c r="Q991">
        <f t="shared" si="1020"/>
        <v>29259414.178354803</v>
      </c>
      <c r="R991">
        <f t="shared" si="1021"/>
        <v>1509531.2966266312</v>
      </c>
      <c r="S991">
        <f t="shared" si="1022"/>
        <v>15.095312966266311</v>
      </c>
      <c r="T991">
        <f t="shared" si="1023"/>
        <v>1.5095312966266311E-2</v>
      </c>
    </row>
    <row r="992" spans="1:20" x14ac:dyDescent="0.25">
      <c r="A992" s="5">
        <v>43601</v>
      </c>
      <c r="B992">
        <v>0.14146</v>
      </c>
      <c r="C992">
        <v>0.16247</v>
      </c>
      <c r="D992">
        <v>0.13067999999999999</v>
      </c>
      <c r="E992">
        <v>0.13805000000000001</v>
      </c>
      <c r="F992">
        <v>215760241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-0.53633217993079507</v>
      </c>
      <c r="Q992">
        <f t="shared" si="1020"/>
        <v>-115719160.39792371</v>
      </c>
      <c r="R992">
        <f t="shared" si="1021"/>
        <v>-27749882.881728172</v>
      </c>
      <c r="S992">
        <f t="shared" si="1022"/>
        <v>-277.49882881728172</v>
      </c>
      <c r="T992">
        <f t="shared" si="1023"/>
        <v>-0.27749882881728172</v>
      </c>
    </row>
    <row r="993" spans="1:20" x14ac:dyDescent="0.25">
      <c r="A993" s="5">
        <v>43600</v>
      </c>
      <c r="B993">
        <v>0.11343</v>
      </c>
      <c r="C993">
        <v>0.14158000000000001</v>
      </c>
      <c r="D993">
        <v>0.11303000000000001</v>
      </c>
      <c r="E993">
        <v>0.14126</v>
      </c>
      <c r="F993">
        <v>80091870.5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0.97758318739054184</v>
      </c>
      <c r="Q993">
        <f t="shared" si="1020"/>
        <v>78296466.047460511</v>
      </c>
      <c r="R993">
        <f t="shared" si="1021"/>
        <v>87969277.516195536</v>
      </c>
      <c r="S993">
        <f t="shared" si="1022"/>
        <v>879.69277516195541</v>
      </c>
      <c r="T993">
        <f t="shared" si="1023"/>
        <v>0.87969277516195543</v>
      </c>
    </row>
    <row r="994" spans="1:20" x14ac:dyDescent="0.25">
      <c r="A994" s="5">
        <v>43599</v>
      </c>
      <c r="B994">
        <v>9.9720000000000003E-2</v>
      </c>
      <c r="C994">
        <v>0.11700000000000001</v>
      </c>
      <c r="D994">
        <v>9.8599999999999993E-2</v>
      </c>
      <c r="E994">
        <v>0.11337999999999999</v>
      </c>
      <c r="F994">
        <v>101456474.3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0.60652173913043372</v>
      </c>
      <c r="Q994">
        <f t="shared" si="1020"/>
        <v>61535557.238478154</v>
      </c>
      <c r="R994">
        <f t="shared" si="1021"/>
        <v>9672811.4687350169</v>
      </c>
      <c r="S994">
        <f t="shared" si="1022"/>
        <v>96.728114687350171</v>
      </c>
      <c r="T994">
        <f t="shared" si="1023"/>
        <v>9.6728114687350167E-2</v>
      </c>
    </row>
    <row r="995" spans="1:20" x14ac:dyDescent="0.25">
      <c r="A995" s="5">
        <v>43598</v>
      </c>
      <c r="B995">
        <v>9.8229999999999998E-2</v>
      </c>
      <c r="C995">
        <v>0.10340000000000001</v>
      </c>
      <c r="D995">
        <v>9.7799999999999998E-2</v>
      </c>
      <c r="E995">
        <v>9.9510000000000001E-2</v>
      </c>
      <c r="F995">
        <v>44373051.899999999</v>
      </c>
      <c r="G995">
        <v>0</v>
      </c>
      <c r="L995" t="s">
        <v>8</v>
      </c>
      <c r="M995" t="s">
        <v>8</v>
      </c>
      <c r="N995" t="s">
        <v>7</v>
      </c>
      <c r="P995">
        <f t="shared" si="1019"/>
        <v>-0.38928571428571401</v>
      </c>
      <c r="Q995">
        <f t="shared" si="1020"/>
        <v>-17273795.20392856</v>
      </c>
      <c r="R995">
        <f t="shared" si="1021"/>
        <v>-51862745.769743137</v>
      </c>
      <c r="S995">
        <f t="shared" si="1022"/>
        <v>-518.6274576974314</v>
      </c>
      <c r="T995">
        <f t="shared" si="1023"/>
        <v>-0.51862745769743135</v>
      </c>
    </row>
    <row r="996" spans="1:20" x14ac:dyDescent="0.25">
      <c r="A996" s="5">
        <v>43597</v>
      </c>
      <c r="B996">
        <v>0.10272000000000001</v>
      </c>
      <c r="C996">
        <v>0.10536</v>
      </c>
      <c r="D996">
        <v>9.4700000000000006E-2</v>
      </c>
      <c r="E996">
        <v>9.8229999999999998E-2</v>
      </c>
      <c r="F996">
        <v>48822098.100000001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-0.33771106941838741</v>
      </c>
      <c r="Q996">
        <f t="shared" si="1020"/>
        <v>-16487762.960600421</v>
      </c>
      <c r="R996">
        <f t="shared" si="1021"/>
        <v>-34588950.565814577</v>
      </c>
      <c r="S996">
        <f t="shared" si="1022"/>
        <v>-345.88950565814577</v>
      </c>
      <c r="T996">
        <f t="shared" si="1023"/>
        <v>-0.34588950565814575</v>
      </c>
    </row>
    <row r="997" spans="1:20" x14ac:dyDescent="0.25">
      <c r="A997" s="5">
        <v>43596</v>
      </c>
      <c r="B997">
        <v>9.2399999999999996E-2</v>
      </c>
      <c r="C997">
        <v>0.10649</v>
      </c>
      <c r="D997">
        <v>9.2170000000000002E-2</v>
      </c>
      <c r="E997">
        <v>0.10273</v>
      </c>
      <c r="F997">
        <v>52269422.100000001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0.47486033519553078</v>
      </c>
      <c r="Q997">
        <f t="shared" si="1020"/>
        <v>24820675.298882686</v>
      </c>
      <c r="R997">
        <f t="shared" si="1021"/>
        <v>-18101187.605214156</v>
      </c>
      <c r="S997">
        <f t="shared" si="1022"/>
        <v>-181.01187605214156</v>
      </c>
      <c r="T997">
        <f t="shared" si="1023"/>
        <v>-0.18101187605214156</v>
      </c>
    </row>
    <row r="998" spans="1:20" x14ac:dyDescent="0.25">
      <c r="A998" s="5">
        <v>43595</v>
      </c>
      <c r="B998">
        <v>8.8849999999999998E-2</v>
      </c>
      <c r="C998">
        <v>9.3189999999999995E-2</v>
      </c>
      <c r="D998">
        <v>8.7709999999999996E-2</v>
      </c>
      <c r="E998">
        <v>9.2380000000000004E-2</v>
      </c>
      <c r="F998">
        <v>22846747.899999999</v>
      </c>
      <c r="G998">
        <v>0</v>
      </c>
      <c r="L998" t="s">
        <v>8</v>
      </c>
      <c r="M998" t="s">
        <v>7</v>
      </c>
      <c r="N998" t="s">
        <v>7</v>
      </c>
      <c r="P998">
        <f t="shared" si="1019"/>
        <v>0.7043795620437987</v>
      </c>
      <c r="Q998">
        <f t="shared" si="1020"/>
        <v>16092782.279927077</v>
      </c>
      <c r="R998">
        <f t="shared" si="1021"/>
        <v>-42921862.904096842</v>
      </c>
      <c r="S998">
        <f t="shared" si="1022"/>
        <v>-429.21862904096844</v>
      </c>
      <c r="T998">
        <f t="shared" si="1023"/>
        <v>-0.42921862904096841</v>
      </c>
    </row>
    <row r="999" spans="1:20" x14ac:dyDescent="0.25">
      <c r="A999" s="5">
        <v>43594</v>
      </c>
      <c r="B999">
        <v>9.2219999999999996E-2</v>
      </c>
      <c r="C999">
        <v>9.3380000000000005E-2</v>
      </c>
      <c r="D999">
        <v>8.6999999999999994E-2</v>
      </c>
      <c r="E999">
        <v>8.8830000000000006E-2</v>
      </c>
      <c r="F999">
        <v>26540714.300000001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-0.42633228840125104</v>
      </c>
      <c r="Q999">
        <f t="shared" si="1020"/>
        <v>-11315163.463322807</v>
      </c>
      <c r="R999">
        <f t="shared" si="1021"/>
        <v>-59014645.184023917</v>
      </c>
      <c r="S999">
        <f t="shared" si="1022"/>
        <v>-590.14645184023914</v>
      </c>
      <c r="T999">
        <f t="shared" si="1023"/>
        <v>-0.59014645184023917</v>
      </c>
    </row>
    <row r="1000" spans="1:20" x14ac:dyDescent="0.25">
      <c r="A1000" s="5">
        <v>43593</v>
      </c>
      <c r="B1000">
        <v>9.3539999999999998E-2</v>
      </c>
      <c r="C1000">
        <v>9.3609999999999999E-2</v>
      </c>
      <c r="D1000">
        <v>9.1420000000000001E-2</v>
      </c>
      <c r="E1000">
        <v>9.2160000000000006E-2</v>
      </c>
      <c r="F1000">
        <v>23718212.899999999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-0.32420091324200423</v>
      </c>
      <c r="Q1000">
        <f t="shared" si="1020"/>
        <v>-7689466.2826482849</v>
      </c>
      <c r="R1000">
        <f t="shared" si="1021"/>
        <v>-47699481.720701113</v>
      </c>
      <c r="S1000">
        <f t="shared" si="1022"/>
        <v>-476.99481720701112</v>
      </c>
      <c r="T1000">
        <f t="shared" si="1023"/>
        <v>-0.47699481720701115</v>
      </c>
    </row>
    <row r="1001" spans="1:20" x14ac:dyDescent="0.25">
      <c r="A1001" s="5">
        <v>43592</v>
      </c>
      <c r="B1001">
        <v>9.7239999999999993E-2</v>
      </c>
      <c r="C1001">
        <v>9.9659999999999999E-2</v>
      </c>
      <c r="D1001">
        <v>9.3270000000000006E-2</v>
      </c>
      <c r="E1001">
        <v>9.3299999999999994E-2</v>
      </c>
      <c r="F1001">
        <v>29132917</v>
      </c>
      <c r="G1001">
        <v>0</v>
      </c>
      <c r="L1001" t="s">
        <v>8</v>
      </c>
      <c r="M1001" t="s">
        <v>7</v>
      </c>
      <c r="N1001" t="s">
        <v>7</v>
      </c>
      <c r="P1001">
        <f t="shared" si="1019"/>
        <v>-0.99061032863850129</v>
      </c>
      <c r="Q1001">
        <f t="shared" si="1020"/>
        <v>-28859368.48356818</v>
      </c>
      <c r="R1001">
        <f t="shared" si="1021"/>
        <v>-40010015.438052826</v>
      </c>
      <c r="S1001">
        <f t="shared" si="1022"/>
        <v>-400.10015438052824</v>
      </c>
      <c r="T1001">
        <f t="shared" si="1023"/>
        <v>-0.40010015438052826</v>
      </c>
    </row>
    <row r="1002" spans="1:20" x14ac:dyDescent="0.25">
      <c r="A1002" s="5">
        <v>43591</v>
      </c>
      <c r="B1002">
        <v>9.6990000000000007E-2</v>
      </c>
      <c r="C1002">
        <v>9.9339999999999998E-2</v>
      </c>
      <c r="D1002">
        <v>9.2880000000000004E-2</v>
      </c>
      <c r="E1002">
        <v>9.7180000000000002E-2</v>
      </c>
      <c r="F1002">
        <v>21114112</v>
      </c>
      <c r="G1002">
        <v>0</v>
      </c>
      <c r="L1002" t="s">
        <v>7</v>
      </c>
      <c r="M1002" t="s">
        <v>7</v>
      </c>
      <c r="N1002" t="s">
        <v>7</v>
      </c>
      <c r="P1002">
        <f t="shared" si="1019"/>
        <v>0.33126934984520201</v>
      </c>
      <c r="Q1002">
        <f t="shared" si="1020"/>
        <v>6994458.1547987778</v>
      </c>
      <c r="R1002">
        <f t="shared" si="1021"/>
        <v>-11150646.954484643</v>
      </c>
      <c r="S1002">
        <f t="shared" si="1022"/>
        <v>-111.50646954484644</v>
      </c>
      <c r="T1002">
        <f t="shared" si="1023"/>
        <v>-0.11150646954484644</v>
      </c>
    </row>
    <row r="1003" spans="1:20" x14ac:dyDescent="0.25">
      <c r="A1003" s="5">
        <v>43590</v>
      </c>
      <c r="B1003">
        <v>9.8570000000000005E-2</v>
      </c>
      <c r="C1003">
        <v>9.9949999999999997E-2</v>
      </c>
      <c r="D1003">
        <v>9.6479999999999996E-2</v>
      </c>
      <c r="E1003">
        <v>9.7000000000000003E-2</v>
      </c>
      <c r="F1003">
        <v>16425607.699999999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-0.70028818443803664</v>
      </c>
      <c r="Q1003">
        <f t="shared" si="1020"/>
        <v>-11502658.994524434</v>
      </c>
      <c r="R1003">
        <f t="shared" si="1021"/>
        <v>-18145105.109283421</v>
      </c>
      <c r="S1003">
        <f t="shared" si="1022"/>
        <v>-181.45105109283421</v>
      </c>
      <c r="T1003">
        <f t="shared" si="1023"/>
        <v>-0.18145105109283421</v>
      </c>
    </row>
    <row r="1004" spans="1:20" x14ac:dyDescent="0.25">
      <c r="A1004" s="5">
        <v>43589</v>
      </c>
      <c r="B1004">
        <v>0.10224999999999999</v>
      </c>
      <c r="C1004">
        <v>0.10455</v>
      </c>
      <c r="D1004">
        <v>9.579E-2</v>
      </c>
      <c r="E1004">
        <v>9.8559999999999995E-2</v>
      </c>
      <c r="F1004">
        <v>27071812</v>
      </c>
      <c r="G1004">
        <v>0</v>
      </c>
      <c r="L1004" t="s">
        <v>7</v>
      </c>
      <c r="M1004" t="s">
        <v>7</v>
      </c>
      <c r="N1004" t="s">
        <v>7</v>
      </c>
      <c r="P1004">
        <f t="shared" si="1019"/>
        <v>-0.36757990867580059</v>
      </c>
      <c r="Q1004">
        <f t="shared" si="1020"/>
        <v>-9951054.1826484427</v>
      </c>
      <c r="R1004">
        <f t="shared" si="1021"/>
        <v>-6642446.114758987</v>
      </c>
      <c r="S1004">
        <f t="shared" si="1022"/>
        <v>-66.424461147589867</v>
      </c>
      <c r="T1004">
        <f t="shared" si="1023"/>
        <v>-6.6424461147589861E-2</v>
      </c>
    </row>
    <row r="1005" spans="1:20" x14ac:dyDescent="0.25">
      <c r="A1005" s="5">
        <v>43588</v>
      </c>
      <c r="B1005">
        <v>9.9699999999999997E-2</v>
      </c>
      <c r="C1005">
        <v>0.10321</v>
      </c>
      <c r="D1005">
        <v>9.8220000000000002E-2</v>
      </c>
      <c r="E1005">
        <v>0.10224</v>
      </c>
      <c r="F1005">
        <v>39920676.399999999</v>
      </c>
      <c r="G1005">
        <v>0</v>
      </c>
      <c r="L1005" t="s">
        <v>8</v>
      </c>
      <c r="M1005" t="s">
        <v>7</v>
      </c>
      <c r="N1005" t="s">
        <v>7</v>
      </c>
      <c r="P1005">
        <f t="shared" si="1019"/>
        <v>0.61122244488977973</v>
      </c>
      <c r="Q1005">
        <f t="shared" si="1020"/>
        <v>24400413.43086173</v>
      </c>
      <c r="R1005">
        <f t="shared" si="1021"/>
        <v>3308608.0678894557</v>
      </c>
      <c r="S1005">
        <f t="shared" si="1022"/>
        <v>33.086080678894554</v>
      </c>
      <c r="T1005">
        <f t="shared" si="1023"/>
        <v>3.3086080678894556E-2</v>
      </c>
    </row>
    <row r="1006" spans="1:20" x14ac:dyDescent="0.25">
      <c r="A1006" s="5">
        <v>43587</v>
      </c>
      <c r="B1006">
        <v>0.10105</v>
      </c>
      <c r="C1006">
        <v>0.10199999999999999</v>
      </c>
      <c r="D1006">
        <v>9.9580000000000002E-2</v>
      </c>
      <c r="E1006">
        <v>9.9739999999999995E-2</v>
      </c>
      <c r="F1006">
        <v>15002710.199999999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-0.8677685950413272</v>
      </c>
      <c r="Q1006">
        <f t="shared" si="1020"/>
        <v>-13018880.752066188</v>
      </c>
      <c r="R1006">
        <f t="shared" si="1021"/>
        <v>-21091805.362972274</v>
      </c>
      <c r="S1006">
        <f t="shared" si="1022"/>
        <v>-210.91805362972275</v>
      </c>
      <c r="T1006">
        <f t="shared" si="1023"/>
        <v>-0.21091805362972274</v>
      </c>
    </row>
    <row r="1007" spans="1:20" x14ac:dyDescent="0.25">
      <c r="A1007" s="5">
        <v>43586</v>
      </c>
      <c r="B1007">
        <v>0.10070999999999999</v>
      </c>
      <c r="C1007">
        <v>0.10317</v>
      </c>
      <c r="D1007">
        <v>0.1</v>
      </c>
      <c r="E1007">
        <v>0.10106</v>
      </c>
      <c r="F1007">
        <v>23344989.899999999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-0.33123028391167564</v>
      </c>
      <c r="Q1007">
        <f t="shared" si="1020"/>
        <v>-7732567.6324921995</v>
      </c>
      <c r="R1007">
        <f t="shared" si="1021"/>
        <v>-8072924.610906085</v>
      </c>
      <c r="S1007">
        <f t="shared" si="1022"/>
        <v>-80.729246109060853</v>
      </c>
      <c r="T1007">
        <f t="shared" si="1023"/>
        <v>-8.0729246109060848E-2</v>
      </c>
    </row>
    <row r="1008" spans="1:20" x14ac:dyDescent="0.25">
      <c r="A1008" s="5">
        <v>43585</v>
      </c>
      <c r="B1008">
        <v>9.554E-2</v>
      </c>
      <c r="C1008">
        <v>0.10070999999999999</v>
      </c>
      <c r="D1008">
        <v>9.4839999999999994E-2</v>
      </c>
      <c r="E1008">
        <v>0.10061</v>
      </c>
      <c r="F1008">
        <v>16727611.4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0.96592844974446712</v>
      </c>
      <c r="Q1008">
        <f t="shared" si="1020"/>
        <v>16157675.747529875</v>
      </c>
      <c r="R1008">
        <f t="shared" si="1021"/>
        <v>-340356.97841388546</v>
      </c>
      <c r="S1008">
        <f t="shared" si="1022"/>
        <v>-3.4035697841388548</v>
      </c>
      <c r="T1008">
        <f t="shared" si="1023"/>
        <v>-3.4035697841388549E-3</v>
      </c>
    </row>
    <row r="1009" spans="1:20" x14ac:dyDescent="0.25">
      <c r="A1009" s="5">
        <v>43584</v>
      </c>
      <c r="B1009">
        <v>9.851E-2</v>
      </c>
      <c r="C1009">
        <v>0.1</v>
      </c>
      <c r="D1009">
        <v>9.4530000000000003E-2</v>
      </c>
      <c r="E1009">
        <v>9.5509999999999998E-2</v>
      </c>
      <c r="F1009">
        <v>15275129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-0.64168190127970959</v>
      </c>
      <c r="Q1009">
        <f t="shared" si="1020"/>
        <v>-9801773.8190128282</v>
      </c>
      <c r="R1009">
        <f t="shared" si="1021"/>
        <v>-16498032.725943761</v>
      </c>
      <c r="S1009">
        <f t="shared" si="1022"/>
        <v>-164.98032725943762</v>
      </c>
      <c r="T1009">
        <f t="shared" si="1023"/>
        <v>-0.16498032725943762</v>
      </c>
    </row>
    <row r="1010" spans="1:20" x14ac:dyDescent="0.25">
      <c r="A1010" s="5">
        <v>43583</v>
      </c>
      <c r="B1010">
        <v>0.10037</v>
      </c>
      <c r="C1010">
        <v>0.10156</v>
      </c>
      <c r="D1010">
        <v>9.7919999999999993E-2</v>
      </c>
      <c r="E1010">
        <v>9.8500000000000004E-2</v>
      </c>
      <c r="F1010">
        <v>9380131.4000000004</v>
      </c>
      <c r="G1010">
        <v>0</v>
      </c>
      <c r="L1010" t="s">
        <v>8</v>
      </c>
      <c r="M1010" t="s">
        <v>7</v>
      </c>
      <c r="N1010" t="s">
        <v>7</v>
      </c>
      <c r="P1010">
        <f t="shared" si="1019"/>
        <v>-0.68131868131867557</v>
      </c>
      <c r="Q1010">
        <f t="shared" si="1020"/>
        <v>-6390858.7560439026</v>
      </c>
      <c r="R1010">
        <f t="shared" si="1021"/>
        <v>-6696258.9069309328</v>
      </c>
      <c r="S1010">
        <f t="shared" si="1022"/>
        <v>-66.962589069309331</v>
      </c>
      <c r="T1010">
        <f t="shared" si="1023"/>
        <v>-6.6962589069309325E-2</v>
      </c>
    </row>
    <row r="1011" spans="1:20" x14ac:dyDescent="0.25">
      <c r="A1011" s="5">
        <v>43582</v>
      </c>
      <c r="B1011">
        <v>9.9930000000000005E-2</v>
      </c>
      <c r="C1011">
        <v>0.10197000000000001</v>
      </c>
      <c r="D1011">
        <v>9.8680000000000004E-2</v>
      </c>
      <c r="E1011">
        <v>0.10037</v>
      </c>
      <c r="F1011">
        <v>16169155.800000001</v>
      </c>
      <c r="G1011">
        <v>0</v>
      </c>
      <c r="L1011" t="s">
        <v>8</v>
      </c>
      <c r="M1011" t="s">
        <v>7</v>
      </c>
      <c r="N1011" t="s">
        <v>7</v>
      </c>
      <c r="P1011">
        <f t="shared" si="1019"/>
        <v>2.7355623100301773E-2</v>
      </c>
      <c r="Q1011">
        <f t="shared" si="1020"/>
        <v>442317.33191485843</v>
      </c>
      <c r="R1011">
        <f t="shared" si="1021"/>
        <v>-305400.15088703064</v>
      </c>
      <c r="S1011">
        <f t="shared" si="1022"/>
        <v>-3.0540015088703063</v>
      </c>
      <c r="T1011">
        <f t="shared" si="1023"/>
        <v>-3.0540015088703063E-3</v>
      </c>
    </row>
    <row r="1012" spans="1:20" x14ac:dyDescent="0.25">
      <c r="A1012" s="5">
        <v>43581</v>
      </c>
      <c r="B1012">
        <v>9.8589999999999997E-2</v>
      </c>
      <c r="C1012">
        <v>0.10385</v>
      </c>
      <c r="D1012">
        <v>9.6509999999999999E-2</v>
      </c>
      <c r="E1012">
        <v>9.9930000000000005E-2</v>
      </c>
      <c r="F1012">
        <v>28564244.199999999</v>
      </c>
      <c r="G1012">
        <v>0</v>
      </c>
      <c r="L1012" t="s">
        <v>8</v>
      </c>
      <c r="M1012" t="s">
        <v>7</v>
      </c>
      <c r="N1012" t="s">
        <v>7</v>
      </c>
      <c r="P1012">
        <f t="shared" si="1019"/>
        <v>-6.8119891008172562E-2</v>
      </c>
      <c r="Q1012">
        <f t="shared" si="1020"/>
        <v>-1945793.2016348252</v>
      </c>
      <c r="R1012">
        <f t="shared" si="1021"/>
        <v>-747717.48280188907</v>
      </c>
      <c r="S1012">
        <f t="shared" si="1022"/>
        <v>-7.4771748280188906</v>
      </c>
      <c r="T1012">
        <f t="shared" si="1023"/>
        <v>-7.4771748280188909E-3</v>
      </c>
    </row>
    <row r="1013" spans="1:20" x14ac:dyDescent="0.25">
      <c r="A1013" s="5">
        <v>43580</v>
      </c>
      <c r="B1013">
        <v>0.10229000000000001</v>
      </c>
      <c r="C1013">
        <v>0.1055</v>
      </c>
      <c r="D1013">
        <v>9.5880000000000007E-2</v>
      </c>
      <c r="E1013">
        <v>9.8540000000000003E-2</v>
      </c>
      <c r="F1013">
        <v>31756726.199999999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-0.44698544698544729</v>
      </c>
      <c r="Q1013">
        <f t="shared" si="1020"/>
        <v>-14194794.455301465</v>
      </c>
      <c r="R1013">
        <f t="shared" si="1021"/>
        <v>1198075.7188329361</v>
      </c>
      <c r="S1013">
        <f t="shared" si="1022"/>
        <v>11.980757188329362</v>
      </c>
      <c r="T1013">
        <f t="shared" si="1023"/>
        <v>1.1980757188329362E-2</v>
      </c>
    </row>
    <row r="1014" spans="1:20" x14ac:dyDescent="0.25">
      <c r="A1014" s="5">
        <v>43579</v>
      </c>
      <c r="B1014">
        <v>0.10859000000000001</v>
      </c>
      <c r="C1014">
        <v>0.10897</v>
      </c>
      <c r="D1014">
        <v>9.8339999999999997E-2</v>
      </c>
      <c r="E1014">
        <v>0.10231999999999999</v>
      </c>
      <c r="F1014">
        <v>36446642.600000001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-0.25117591721542853</v>
      </c>
      <c r="Q1014">
        <f t="shared" si="1020"/>
        <v>-9154518.8844779115</v>
      </c>
      <c r="R1014">
        <f t="shared" si="1021"/>
        <v>15392870.174134402</v>
      </c>
      <c r="S1014">
        <f t="shared" si="1022"/>
        <v>153.92870174134401</v>
      </c>
      <c r="T1014">
        <f t="shared" si="1023"/>
        <v>0.15392870174134402</v>
      </c>
    </row>
    <row r="1015" spans="1:20" x14ac:dyDescent="0.25">
      <c r="A1015" s="5">
        <v>43578</v>
      </c>
      <c r="B1015">
        <v>0.1123</v>
      </c>
      <c r="C1015">
        <v>0.11319</v>
      </c>
      <c r="D1015">
        <v>0.10859000000000001</v>
      </c>
      <c r="E1015">
        <v>0.10867</v>
      </c>
      <c r="F1015">
        <v>20458403.699999999</v>
      </c>
      <c r="G1015">
        <v>0</v>
      </c>
      <c r="L1015" t="s">
        <v>7</v>
      </c>
      <c r="M1015" t="s">
        <v>7</v>
      </c>
      <c r="N1015" t="s">
        <v>8</v>
      </c>
      <c r="P1015">
        <f t="shared" si="1019"/>
        <v>-0.96521739130434914</v>
      </c>
      <c r="Q1015">
        <f t="shared" si="1020"/>
        <v>-19746807.049565244</v>
      </c>
      <c r="R1015">
        <f t="shared" si="1021"/>
        <v>24547389.058612313</v>
      </c>
      <c r="S1015">
        <f t="shared" si="1022"/>
        <v>245.47389058612313</v>
      </c>
      <c r="T1015">
        <f t="shared" si="1023"/>
        <v>0.24547389058612312</v>
      </c>
    </row>
    <row r="1016" spans="1:20" x14ac:dyDescent="0.25">
      <c r="A1016" s="5">
        <v>43577</v>
      </c>
      <c r="B1016">
        <v>0.11098</v>
      </c>
      <c r="C1016">
        <v>0.11433</v>
      </c>
      <c r="D1016">
        <v>0.10836999999999999</v>
      </c>
      <c r="E1016">
        <v>0.11229</v>
      </c>
      <c r="F1016">
        <v>19990919.300000001</v>
      </c>
      <c r="G1016">
        <v>0</v>
      </c>
      <c r="L1016" t="s">
        <v>7</v>
      </c>
      <c r="M1016" t="s">
        <v>7</v>
      </c>
      <c r="N1016" t="s">
        <v>8</v>
      </c>
      <c r="P1016">
        <f t="shared" si="1019"/>
        <v>0.31543624161073902</v>
      </c>
      <c r="Q1016">
        <f t="shared" si="1020"/>
        <v>6305860.4503355864</v>
      </c>
      <c r="R1016">
        <f t="shared" si="1021"/>
        <v>44294196.108177558</v>
      </c>
      <c r="S1016">
        <f t="shared" si="1022"/>
        <v>442.94196108177556</v>
      </c>
      <c r="T1016">
        <f t="shared" si="1023"/>
        <v>0.44294196108177558</v>
      </c>
    </row>
    <row r="1017" spans="1:20" x14ac:dyDescent="0.25">
      <c r="A1017" s="5">
        <v>43576</v>
      </c>
      <c r="B1017">
        <v>0.11524</v>
      </c>
      <c r="C1017">
        <v>0.11564000000000001</v>
      </c>
      <c r="D1017">
        <v>0.1074</v>
      </c>
      <c r="E1017">
        <v>0.11094999999999999</v>
      </c>
      <c r="F1017">
        <v>23282196.800000001</v>
      </c>
      <c r="G1017">
        <v>0</v>
      </c>
      <c r="L1017" t="s">
        <v>7</v>
      </c>
      <c r="M1017" t="s">
        <v>7</v>
      </c>
      <c r="N1017" t="s">
        <v>8</v>
      </c>
      <c r="P1017">
        <f t="shared" si="1019"/>
        <v>-0.13834951456310854</v>
      </c>
      <c r="Q1017">
        <f t="shared" si="1020"/>
        <v>-3221080.625242759</v>
      </c>
      <c r="R1017">
        <f t="shared" si="1021"/>
        <v>37988335.657841973</v>
      </c>
      <c r="S1017">
        <f t="shared" si="1022"/>
        <v>379.88335657841975</v>
      </c>
      <c r="T1017">
        <f t="shared" si="1023"/>
        <v>0.37988335657841976</v>
      </c>
    </row>
    <row r="1018" spans="1:20" x14ac:dyDescent="0.25">
      <c r="A1018" s="5">
        <v>43575</v>
      </c>
      <c r="B1018">
        <v>0.11488</v>
      </c>
      <c r="C1018">
        <v>0.1176</v>
      </c>
      <c r="D1018">
        <v>0.113</v>
      </c>
      <c r="E1018">
        <v>0.11526</v>
      </c>
      <c r="F1018">
        <v>12213724.300000001</v>
      </c>
      <c r="G1018">
        <v>0</v>
      </c>
      <c r="L1018" t="s">
        <v>8</v>
      </c>
      <c r="M1018" t="s">
        <v>7</v>
      </c>
      <c r="N1018" t="s">
        <v>8</v>
      </c>
      <c r="P1018">
        <f t="shared" si="1019"/>
        <v>-1.7391304347825404E-2</v>
      </c>
      <c r="Q1018">
        <f t="shared" si="1020"/>
        <v>-212412.5965217308</v>
      </c>
      <c r="R1018">
        <f t="shared" si="1021"/>
        <v>41209416.283084735</v>
      </c>
      <c r="S1018">
        <f t="shared" si="1022"/>
        <v>412.09416283084738</v>
      </c>
      <c r="T1018">
        <f t="shared" si="1023"/>
        <v>0.41209416283084738</v>
      </c>
    </row>
    <row r="1019" spans="1:20" x14ac:dyDescent="0.25">
      <c r="A1019" s="5">
        <v>43574</v>
      </c>
      <c r="B1019">
        <v>0.1172</v>
      </c>
      <c r="C1019">
        <v>0.11743000000000001</v>
      </c>
      <c r="D1019">
        <v>0.114</v>
      </c>
      <c r="E1019">
        <v>0.11486</v>
      </c>
      <c r="F1019">
        <v>17069004.5</v>
      </c>
      <c r="G1019">
        <v>0</v>
      </c>
      <c r="L1019" t="s">
        <v>8</v>
      </c>
      <c r="M1019" t="s">
        <v>7</v>
      </c>
      <c r="N1019" t="s">
        <v>8</v>
      </c>
      <c r="P1019">
        <f t="shared" si="1019"/>
        <v>-0.4985422740524787</v>
      </c>
      <c r="Q1019">
        <f t="shared" si="1020"/>
        <v>-8509620.3192419913</v>
      </c>
      <c r="R1019">
        <f t="shared" si="1021"/>
        <v>41421828.879606463</v>
      </c>
      <c r="S1019">
        <f t="shared" si="1022"/>
        <v>414.21828879606466</v>
      </c>
      <c r="T1019">
        <f t="shared" si="1023"/>
        <v>0.41421828879606465</v>
      </c>
    </row>
    <row r="1020" spans="1:20" x14ac:dyDescent="0.25">
      <c r="A1020" s="5">
        <v>43573</v>
      </c>
      <c r="B1020">
        <v>0.11666</v>
      </c>
      <c r="C1020">
        <v>0.11958000000000001</v>
      </c>
      <c r="D1020">
        <v>0.11569</v>
      </c>
      <c r="E1020">
        <v>0.11731999999999999</v>
      </c>
      <c r="F1020">
        <v>23059166.100000001</v>
      </c>
      <c r="G1020">
        <v>0</v>
      </c>
      <c r="L1020" t="s">
        <v>8</v>
      </c>
      <c r="M1020" t="s">
        <v>7</v>
      </c>
      <c r="N1020" t="s">
        <v>8</v>
      </c>
      <c r="P1020">
        <f t="shared" si="1019"/>
        <v>-0.16195372750643153</v>
      </c>
      <c r="Q1020">
        <f t="shared" si="1020"/>
        <v>-3734517.9030849435</v>
      </c>
      <c r="R1020">
        <f t="shared" si="1021"/>
        <v>49931449.198848456</v>
      </c>
      <c r="S1020">
        <f t="shared" si="1022"/>
        <v>499.31449198848458</v>
      </c>
      <c r="T1020">
        <f t="shared" si="1023"/>
        <v>0.4993144919884846</v>
      </c>
    </row>
    <row r="1021" spans="1:20" x14ac:dyDescent="0.25">
      <c r="A1021" s="5">
        <v>43572</v>
      </c>
      <c r="B1021">
        <v>0.11419</v>
      </c>
      <c r="C1021">
        <v>0.11697</v>
      </c>
      <c r="D1021">
        <v>0.11323</v>
      </c>
      <c r="E1021">
        <v>0.11667</v>
      </c>
      <c r="F1021">
        <v>17638728.600000001</v>
      </c>
      <c r="G1021">
        <v>0</v>
      </c>
      <c r="L1021" t="s">
        <v>7</v>
      </c>
      <c r="M1021" t="s">
        <v>7</v>
      </c>
      <c r="N1021" t="s">
        <v>8</v>
      </c>
      <c r="P1021">
        <f t="shared" si="1019"/>
        <v>0.83957219251336468</v>
      </c>
      <c r="Q1021">
        <f t="shared" si="1020"/>
        <v>14808986.043850193</v>
      </c>
      <c r="R1021">
        <f t="shared" si="1021"/>
        <v>53665967.101933397</v>
      </c>
      <c r="S1021">
        <f t="shared" si="1022"/>
        <v>536.65967101933393</v>
      </c>
      <c r="T1021">
        <f t="shared" si="1023"/>
        <v>0.53665967101933387</v>
      </c>
    </row>
    <row r="1022" spans="1:20" x14ac:dyDescent="0.25">
      <c r="A1022" s="5">
        <v>43571</v>
      </c>
      <c r="B1022">
        <v>0.11235000000000001</v>
      </c>
      <c r="C1022">
        <v>0.11545</v>
      </c>
      <c r="D1022">
        <v>0.1103</v>
      </c>
      <c r="E1022">
        <v>0.11423</v>
      </c>
      <c r="F1022">
        <v>17408672.899999999</v>
      </c>
      <c r="G1022">
        <v>0</v>
      </c>
      <c r="L1022" t="s">
        <v>7</v>
      </c>
      <c r="M1022" t="s">
        <v>7</v>
      </c>
      <c r="N1022" t="s">
        <v>8</v>
      </c>
      <c r="P1022">
        <f t="shared" si="1019"/>
        <v>0.52621359223301034</v>
      </c>
      <c r="Q1022">
        <f t="shared" si="1020"/>
        <v>9160680.3027184568</v>
      </c>
      <c r="R1022">
        <f t="shared" si="1021"/>
        <v>38856981.058083206</v>
      </c>
      <c r="S1022">
        <f t="shared" si="1022"/>
        <v>388.56981058083204</v>
      </c>
      <c r="T1022">
        <f t="shared" si="1023"/>
        <v>0.38856981058083206</v>
      </c>
    </row>
    <row r="1023" spans="1:20" x14ac:dyDescent="0.25">
      <c r="A1023" s="5">
        <v>43570</v>
      </c>
      <c r="B1023">
        <v>0.11734</v>
      </c>
      <c r="C1023">
        <v>0.11917</v>
      </c>
      <c r="D1023">
        <v>0.11002000000000001</v>
      </c>
      <c r="E1023">
        <v>0.11237</v>
      </c>
      <c r="F1023">
        <v>24496182.300000001</v>
      </c>
      <c r="G1023">
        <v>0</v>
      </c>
      <c r="L1023" t="s">
        <v>7</v>
      </c>
      <c r="M1023" t="s">
        <v>7</v>
      </c>
      <c r="N1023" t="s">
        <v>8</v>
      </c>
      <c r="P1023">
        <f t="shared" ref="P1023:P1086" si="1024">IF(C1023=D1023,0,((E1023-D1023)-(C1023-E1023))/(C1023-D1023))</f>
        <v>-0.48633879781420913</v>
      </c>
      <c r="Q1023">
        <f t="shared" ref="Q1023:Q1086" si="1025">F1023*P1023</f>
        <v>-11913443.850819709</v>
      </c>
      <c r="R1023">
        <f t="shared" ref="R1023:R1086" si="1026">R1024+Q1023</f>
        <v>29696300.755364753</v>
      </c>
      <c r="S1023">
        <f t="shared" ref="S1023:S1086" si="1027">R1023/100000</f>
        <v>296.96300755364751</v>
      </c>
      <c r="T1023">
        <f t="shared" ref="T1023:T1086" si="1028">S1023/1000</f>
        <v>0.29696300755364752</v>
      </c>
    </row>
    <row r="1024" spans="1:20" x14ac:dyDescent="0.25">
      <c r="A1024" s="5">
        <v>43569</v>
      </c>
      <c r="B1024">
        <v>0.11495</v>
      </c>
      <c r="C1024">
        <v>0.11829000000000001</v>
      </c>
      <c r="D1024">
        <v>0.11287</v>
      </c>
      <c r="E1024">
        <v>0.1172</v>
      </c>
      <c r="F1024">
        <v>19567686.199999999</v>
      </c>
      <c r="G1024">
        <v>0</v>
      </c>
      <c r="L1024" t="s">
        <v>8</v>
      </c>
      <c r="M1024" t="s">
        <v>7</v>
      </c>
      <c r="N1024" t="s">
        <v>8</v>
      </c>
      <c r="P1024">
        <f t="shared" si="1024"/>
        <v>0.59778597785977639</v>
      </c>
      <c r="Q1024">
        <f t="shared" si="1025"/>
        <v>11697288.429520251</v>
      </c>
      <c r="R1024">
        <f t="shared" si="1026"/>
        <v>41609744.60618446</v>
      </c>
      <c r="S1024">
        <f t="shared" si="1027"/>
        <v>416.09744606184461</v>
      </c>
      <c r="T1024">
        <f t="shared" si="1028"/>
        <v>0.41609744606184462</v>
      </c>
    </row>
    <row r="1025" spans="1:20" x14ac:dyDescent="0.25">
      <c r="A1025" s="5">
        <v>43568</v>
      </c>
      <c r="B1025">
        <v>0.11322</v>
      </c>
      <c r="C1025">
        <v>0.11675000000000001</v>
      </c>
      <c r="D1025">
        <v>0.11186</v>
      </c>
      <c r="E1025">
        <v>0.11501</v>
      </c>
      <c r="F1025">
        <v>15869310.199999999</v>
      </c>
      <c r="G1025">
        <v>0</v>
      </c>
      <c r="L1025" t="s">
        <v>8</v>
      </c>
      <c r="M1025" t="s">
        <v>7</v>
      </c>
      <c r="N1025" t="s">
        <v>8</v>
      </c>
      <c r="P1025">
        <f t="shared" si="1024"/>
        <v>0.28834355828220715</v>
      </c>
      <c r="Q1025">
        <f t="shared" si="1025"/>
        <v>4575813.3705521245</v>
      </c>
      <c r="R1025">
        <f t="shared" si="1026"/>
        <v>29912456.176664211</v>
      </c>
      <c r="S1025">
        <f t="shared" si="1027"/>
        <v>299.1245617666421</v>
      </c>
      <c r="T1025">
        <f t="shared" si="1028"/>
        <v>0.29912456176664209</v>
      </c>
    </row>
    <row r="1026" spans="1:20" x14ac:dyDescent="0.25">
      <c r="A1026" s="5">
        <v>43567</v>
      </c>
      <c r="B1026">
        <v>0.11433</v>
      </c>
      <c r="C1026">
        <v>0.11595999999999999</v>
      </c>
      <c r="D1026">
        <v>0.10864</v>
      </c>
      <c r="E1026">
        <v>0.11318</v>
      </c>
      <c r="F1026">
        <v>26059011.800000001</v>
      </c>
      <c r="G1026">
        <v>0</v>
      </c>
      <c r="L1026" t="s">
        <v>7</v>
      </c>
      <c r="M1026" t="s">
        <v>7</v>
      </c>
      <c r="N1026" t="s">
        <v>8</v>
      </c>
      <c r="P1026">
        <f t="shared" si="1024"/>
        <v>0.24043715846994715</v>
      </c>
      <c r="Q1026">
        <f t="shared" si="1025"/>
        <v>6265554.7497268226</v>
      </c>
      <c r="R1026">
        <f t="shared" si="1026"/>
        <v>25336642.806112088</v>
      </c>
      <c r="S1026">
        <f t="shared" si="1027"/>
        <v>253.36642806112087</v>
      </c>
      <c r="T1026">
        <f t="shared" si="1028"/>
        <v>0.25336642806112086</v>
      </c>
    </row>
    <row r="1027" spans="1:20" x14ac:dyDescent="0.25">
      <c r="A1027" s="5">
        <v>43566</v>
      </c>
      <c r="B1027">
        <v>0.12564</v>
      </c>
      <c r="C1027">
        <v>0.12606000000000001</v>
      </c>
      <c r="D1027">
        <v>0.10953</v>
      </c>
      <c r="E1027">
        <v>0.11438</v>
      </c>
      <c r="F1027">
        <v>42902446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-0.41318814277072086</v>
      </c>
      <c r="Q1027">
        <f t="shared" si="1025"/>
        <v>-17726781.983061142</v>
      </c>
      <c r="R1027">
        <f t="shared" si="1026"/>
        <v>19071088.056385264</v>
      </c>
      <c r="S1027">
        <f t="shared" si="1027"/>
        <v>190.71088056385264</v>
      </c>
      <c r="T1027">
        <f t="shared" si="1028"/>
        <v>0.19071088056385263</v>
      </c>
    </row>
    <row r="1028" spans="1:20" x14ac:dyDescent="0.25">
      <c r="A1028" s="5">
        <v>43565</v>
      </c>
      <c r="B1028">
        <v>0.12422</v>
      </c>
      <c r="C1028">
        <v>0.12876000000000001</v>
      </c>
      <c r="D1028">
        <v>0.12356</v>
      </c>
      <c r="E1028">
        <v>0.12578</v>
      </c>
      <c r="F1028">
        <v>25892636</v>
      </c>
      <c r="G1028">
        <v>0</v>
      </c>
      <c r="L1028" t="s">
        <v>7</v>
      </c>
      <c r="M1028" t="s">
        <v>8</v>
      </c>
      <c r="N1028" t="s">
        <v>8</v>
      </c>
      <c r="P1028">
        <f t="shared" si="1024"/>
        <v>-0.14615384615384791</v>
      </c>
      <c r="Q1028">
        <f t="shared" si="1025"/>
        <v>-3784308.3384615839</v>
      </c>
      <c r="R1028">
        <f t="shared" si="1026"/>
        <v>36797870.039446406</v>
      </c>
      <c r="S1028">
        <f t="shared" si="1027"/>
        <v>367.97870039446406</v>
      </c>
      <c r="T1028">
        <f t="shared" si="1028"/>
        <v>0.36797870039446406</v>
      </c>
    </row>
    <row r="1029" spans="1:20" x14ac:dyDescent="0.25">
      <c r="A1029" s="5">
        <v>43564</v>
      </c>
      <c r="B1029">
        <v>0.12956000000000001</v>
      </c>
      <c r="C1029">
        <v>0.12986</v>
      </c>
      <c r="D1029">
        <v>0.1226</v>
      </c>
      <c r="E1029">
        <v>0.12417</v>
      </c>
      <c r="F1029">
        <v>27415014.600000001</v>
      </c>
      <c r="G1029">
        <v>0</v>
      </c>
      <c r="L1029" t="s">
        <v>7</v>
      </c>
      <c r="M1029" t="s">
        <v>8</v>
      </c>
      <c r="N1029" t="s">
        <v>8</v>
      </c>
      <c r="P1029">
        <f t="shared" si="1024"/>
        <v>-0.56749311294765803</v>
      </c>
      <c r="Q1029">
        <f t="shared" si="1025"/>
        <v>-15557831.976859495</v>
      </c>
      <c r="R1029">
        <f t="shared" si="1026"/>
        <v>40582178.377907991</v>
      </c>
      <c r="S1029">
        <f t="shared" si="1027"/>
        <v>405.82178377907991</v>
      </c>
      <c r="T1029">
        <f t="shared" si="1028"/>
        <v>0.4058217837790799</v>
      </c>
    </row>
    <row r="1030" spans="1:20" x14ac:dyDescent="0.25">
      <c r="A1030" s="5">
        <v>43563</v>
      </c>
      <c r="B1030">
        <v>0.13222</v>
      </c>
      <c r="C1030">
        <v>0.13550000000000001</v>
      </c>
      <c r="D1030">
        <v>0.12304</v>
      </c>
      <c r="E1030">
        <v>0.12969</v>
      </c>
      <c r="F1030">
        <v>50640541</v>
      </c>
      <c r="G1030">
        <v>0</v>
      </c>
      <c r="L1030" t="s">
        <v>8</v>
      </c>
      <c r="M1030" t="s">
        <v>8</v>
      </c>
      <c r="N1030" t="s">
        <v>8</v>
      </c>
      <c r="P1030">
        <f t="shared" si="1024"/>
        <v>6.7415730337078067E-2</v>
      </c>
      <c r="Q1030">
        <f t="shared" si="1025"/>
        <v>3413969.0561797456</v>
      </c>
      <c r="R1030">
        <f t="shared" si="1026"/>
        <v>56140010.354767486</v>
      </c>
      <c r="S1030">
        <f t="shared" si="1027"/>
        <v>561.40010354767492</v>
      </c>
      <c r="T1030">
        <f t="shared" si="1028"/>
        <v>0.56140010354767489</v>
      </c>
    </row>
    <row r="1031" spans="1:20" x14ac:dyDescent="0.25">
      <c r="A1031" s="5">
        <v>43562</v>
      </c>
      <c r="B1031">
        <v>0.12488</v>
      </c>
      <c r="C1031">
        <v>0.13386000000000001</v>
      </c>
      <c r="D1031">
        <v>0.1232</v>
      </c>
      <c r="E1031">
        <v>0.13225999999999999</v>
      </c>
      <c r="F1031">
        <v>53573464.700000003</v>
      </c>
      <c r="G1031">
        <v>0</v>
      </c>
      <c r="L1031" t="s">
        <v>8</v>
      </c>
      <c r="M1031" t="s">
        <v>8</v>
      </c>
      <c r="N1031" t="s">
        <v>8</v>
      </c>
      <c r="P1031">
        <f t="shared" si="1024"/>
        <v>0.69981238273920865</v>
      </c>
      <c r="Q1031">
        <f t="shared" si="1025"/>
        <v>37491373.983301885</v>
      </c>
      <c r="R1031">
        <f t="shared" si="1026"/>
        <v>52726041.298587739</v>
      </c>
      <c r="S1031">
        <f t="shared" si="1027"/>
        <v>527.26041298587745</v>
      </c>
      <c r="T1031">
        <f t="shared" si="1028"/>
        <v>0.52726041298587745</v>
      </c>
    </row>
    <row r="1032" spans="1:20" x14ac:dyDescent="0.25">
      <c r="A1032" s="5">
        <v>43561</v>
      </c>
      <c r="B1032">
        <v>0.12695000000000001</v>
      </c>
      <c r="C1032">
        <v>0.12831000000000001</v>
      </c>
      <c r="D1032">
        <v>0.11756999999999999</v>
      </c>
      <c r="E1032">
        <v>0.12492</v>
      </c>
      <c r="F1032">
        <v>42008489.700000003</v>
      </c>
      <c r="G1032">
        <v>0</v>
      </c>
      <c r="L1032" t="s">
        <v>7</v>
      </c>
      <c r="M1032" t="s">
        <v>8</v>
      </c>
      <c r="N1032" t="s">
        <v>8</v>
      </c>
      <c r="P1032">
        <f t="shared" si="1024"/>
        <v>0.36871508379888268</v>
      </c>
      <c r="Q1032">
        <f t="shared" si="1025"/>
        <v>15489163.800000001</v>
      </c>
      <c r="R1032">
        <f t="shared" si="1026"/>
        <v>15234667.31528585</v>
      </c>
      <c r="S1032">
        <f t="shared" si="1027"/>
        <v>152.3466731528585</v>
      </c>
      <c r="T1032">
        <f t="shared" si="1028"/>
        <v>0.15234667315285849</v>
      </c>
    </row>
    <row r="1033" spans="1:20" x14ac:dyDescent="0.25">
      <c r="A1033" s="5">
        <v>43560</v>
      </c>
      <c r="B1033">
        <v>0.1172</v>
      </c>
      <c r="C1033">
        <v>0.12975</v>
      </c>
      <c r="D1033">
        <v>0.11709</v>
      </c>
      <c r="E1033">
        <v>0.12697</v>
      </c>
      <c r="F1033">
        <v>52818284.200000003</v>
      </c>
      <c r="G1033">
        <v>0</v>
      </c>
      <c r="L1033" t="s">
        <v>8</v>
      </c>
      <c r="M1033" t="s">
        <v>8</v>
      </c>
      <c r="N1033" t="s">
        <v>8</v>
      </c>
      <c r="P1033">
        <f t="shared" si="1024"/>
        <v>0.56082148499210049</v>
      </c>
      <c r="Q1033">
        <f t="shared" si="1025"/>
        <v>29621628.579778802</v>
      </c>
      <c r="R1033">
        <f t="shared" si="1026"/>
        <v>-254496.48471415043</v>
      </c>
      <c r="S1033">
        <f t="shared" si="1027"/>
        <v>-2.5449648471415043</v>
      </c>
      <c r="T1033">
        <f t="shared" si="1028"/>
        <v>-2.5449648471415043E-3</v>
      </c>
    </row>
    <row r="1034" spans="1:20" x14ac:dyDescent="0.25">
      <c r="A1034" s="5">
        <v>43559</v>
      </c>
      <c r="B1034">
        <v>0.12045</v>
      </c>
      <c r="C1034">
        <v>0.12468</v>
      </c>
      <c r="D1034">
        <v>0.11432</v>
      </c>
      <c r="E1034">
        <v>0.11722</v>
      </c>
      <c r="F1034">
        <v>62356516.899999999</v>
      </c>
      <c r="G1034">
        <v>0</v>
      </c>
      <c r="L1034" t="s">
        <v>7</v>
      </c>
      <c r="M1034" t="s">
        <v>8</v>
      </c>
      <c r="N1034" t="s">
        <v>8</v>
      </c>
      <c r="P1034">
        <f t="shared" si="1024"/>
        <v>-0.44015444015443989</v>
      </c>
      <c r="Q1034">
        <f t="shared" si="1025"/>
        <v>-27446497.786100369</v>
      </c>
      <c r="R1034">
        <f t="shared" si="1026"/>
        <v>-29876125.064492952</v>
      </c>
      <c r="S1034">
        <f t="shared" si="1027"/>
        <v>-298.76125064492953</v>
      </c>
      <c r="T1034">
        <f t="shared" si="1028"/>
        <v>-0.29876125064492953</v>
      </c>
    </row>
    <row r="1035" spans="1:20" x14ac:dyDescent="0.25">
      <c r="A1035" s="5">
        <v>43558</v>
      </c>
      <c r="B1035">
        <v>0.12113</v>
      </c>
      <c r="C1035">
        <v>0.13344</v>
      </c>
      <c r="D1035">
        <v>0.1132</v>
      </c>
      <c r="E1035">
        <v>0.12038</v>
      </c>
      <c r="F1035">
        <v>143208596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-0.29051383399209457</v>
      </c>
      <c r="Q1035">
        <f t="shared" si="1025"/>
        <v>-41604078.284584939</v>
      </c>
      <c r="R1035">
        <f t="shared" si="1026"/>
        <v>-2429627.2783925831</v>
      </c>
      <c r="S1035">
        <f t="shared" si="1027"/>
        <v>-24.296272783925833</v>
      </c>
      <c r="T1035">
        <f t="shared" si="1028"/>
        <v>-2.4296272783925831E-2</v>
      </c>
    </row>
    <row r="1036" spans="1:20" x14ac:dyDescent="0.25">
      <c r="A1036" s="5">
        <v>43557</v>
      </c>
      <c r="B1036">
        <v>0.11018</v>
      </c>
      <c r="C1036">
        <v>0.12212000000000001</v>
      </c>
      <c r="D1036">
        <v>0.10972999999999999</v>
      </c>
      <c r="E1036">
        <v>0.12111</v>
      </c>
      <c r="F1036">
        <v>109742872.5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0.83696529459241165</v>
      </c>
      <c r="Q1036">
        <f t="shared" si="1025"/>
        <v>91850975.611379966</v>
      </c>
      <c r="R1036">
        <f t="shared" si="1026"/>
        <v>39174451.006192356</v>
      </c>
      <c r="S1036">
        <f t="shared" si="1027"/>
        <v>391.74451006192356</v>
      </c>
      <c r="T1036">
        <f t="shared" si="1028"/>
        <v>0.39174451006192357</v>
      </c>
    </row>
    <row r="1037" spans="1:20" x14ac:dyDescent="0.25">
      <c r="A1037" s="5">
        <v>43556</v>
      </c>
      <c r="B1037">
        <v>0.10823000000000001</v>
      </c>
      <c r="C1037">
        <v>0.11129</v>
      </c>
      <c r="D1037">
        <v>0.10732</v>
      </c>
      <c r="E1037">
        <v>0.11017</v>
      </c>
      <c r="F1037">
        <v>31704411.600000001</v>
      </c>
      <c r="G1037">
        <v>0</v>
      </c>
      <c r="L1037" t="s">
        <v>8</v>
      </c>
      <c r="M1037" t="s">
        <v>7</v>
      </c>
      <c r="N1037" t="s">
        <v>8</v>
      </c>
      <c r="P1037">
        <f t="shared" si="1024"/>
        <v>0.43576826196473772</v>
      </c>
      <c r="Q1037">
        <f t="shared" si="1025"/>
        <v>13815776.339546669</v>
      </c>
      <c r="R1037">
        <f t="shared" si="1026"/>
        <v>-52676524.60518761</v>
      </c>
      <c r="S1037">
        <f t="shared" si="1027"/>
        <v>-526.76524605187615</v>
      </c>
      <c r="T1037">
        <f t="shared" si="1028"/>
        <v>-0.52676524605187613</v>
      </c>
    </row>
    <row r="1038" spans="1:20" x14ac:dyDescent="0.25">
      <c r="A1038" s="5">
        <v>43555</v>
      </c>
      <c r="B1038">
        <v>0.10725</v>
      </c>
      <c r="C1038">
        <v>0.10829999999999999</v>
      </c>
      <c r="D1038">
        <v>0.10588</v>
      </c>
      <c r="E1038">
        <v>0.10824</v>
      </c>
      <c r="F1038">
        <v>14506607.9</v>
      </c>
      <c r="G1038">
        <v>0</v>
      </c>
      <c r="L1038" t="s">
        <v>8</v>
      </c>
      <c r="M1038" t="s">
        <v>7</v>
      </c>
      <c r="N1038" t="s">
        <v>8</v>
      </c>
      <c r="P1038">
        <f t="shared" si="1024"/>
        <v>0.95041322314050347</v>
      </c>
      <c r="Q1038">
        <f t="shared" si="1025"/>
        <v>13787271.971074492</v>
      </c>
      <c r="R1038">
        <f t="shared" si="1026"/>
        <v>-66492300.944734275</v>
      </c>
      <c r="S1038">
        <f t="shared" si="1027"/>
        <v>-664.92300944734279</v>
      </c>
      <c r="T1038">
        <f t="shared" si="1028"/>
        <v>-0.66492300944734284</v>
      </c>
    </row>
    <row r="1039" spans="1:20" x14ac:dyDescent="0.25">
      <c r="A1039" s="5">
        <v>43554</v>
      </c>
      <c r="B1039">
        <v>0.10748000000000001</v>
      </c>
      <c r="C1039">
        <v>0.1077</v>
      </c>
      <c r="D1039">
        <v>0.1043</v>
      </c>
      <c r="E1039">
        <v>0.10725</v>
      </c>
      <c r="F1039">
        <v>27947125.300000001</v>
      </c>
      <c r="G1039">
        <v>0</v>
      </c>
      <c r="L1039" t="s">
        <v>8</v>
      </c>
      <c r="M1039" t="s">
        <v>7</v>
      </c>
      <c r="N1039" t="s">
        <v>8</v>
      </c>
      <c r="P1039">
        <f t="shared" si="1024"/>
        <v>0.73529411764705532</v>
      </c>
      <c r="Q1039">
        <f t="shared" si="1025"/>
        <v>20549356.838235196</v>
      </c>
      <c r="R1039">
        <f t="shared" si="1026"/>
        <v>-80279572.915808767</v>
      </c>
      <c r="S1039">
        <f t="shared" si="1027"/>
        <v>-802.79572915808762</v>
      </c>
      <c r="T1039">
        <f t="shared" si="1028"/>
        <v>-0.80279572915808761</v>
      </c>
    </row>
    <row r="1040" spans="1:20" x14ac:dyDescent="0.25">
      <c r="A1040" s="5">
        <v>43553</v>
      </c>
      <c r="B1040">
        <v>0.10646</v>
      </c>
      <c r="C1040">
        <v>0.10843</v>
      </c>
      <c r="D1040">
        <v>0.10553</v>
      </c>
      <c r="E1040">
        <v>0.10752</v>
      </c>
      <c r="F1040">
        <v>25013225</v>
      </c>
      <c r="G1040">
        <v>0</v>
      </c>
      <c r="L1040" t="s">
        <v>8</v>
      </c>
      <c r="M1040" t="s">
        <v>7</v>
      </c>
      <c r="N1040" t="s">
        <v>8</v>
      </c>
      <c r="P1040">
        <f t="shared" si="1024"/>
        <v>0.3724137931034523</v>
      </c>
      <c r="Q1040">
        <f t="shared" si="1025"/>
        <v>9315270.0000001006</v>
      </c>
      <c r="R1040">
        <f t="shared" si="1026"/>
        <v>-100828929.75404397</v>
      </c>
      <c r="S1040">
        <f t="shared" si="1027"/>
        <v>-1008.2892975404396</v>
      </c>
      <c r="T1040">
        <f t="shared" si="1028"/>
        <v>-1.0082892975404396</v>
      </c>
    </row>
    <row r="1041" spans="1:20" x14ac:dyDescent="0.25">
      <c r="A1041" s="5">
        <v>43552</v>
      </c>
      <c r="B1041">
        <v>0.10761</v>
      </c>
      <c r="C1041">
        <v>0.10761</v>
      </c>
      <c r="D1041">
        <v>0.1031</v>
      </c>
      <c r="E1041">
        <v>0.1065</v>
      </c>
      <c r="F1041">
        <v>25023379.699999999</v>
      </c>
      <c r="G1041">
        <v>0</v>
      </c>
      <c r="L1041" t="s">
        <v>8</v>
      </c>
      <c r="M1041" t="s">
        <v>7</v>
      </c>
      <c r="N1041" t="s">
        <v>8</v>
      </c>
      <c r="P1041">
        <f t="shared" si="1024"/>
        <v>0.5077605321507761</v>
      </c>
      <c r="Q1041">
        <f t="shared" si="1025"/>
        <v>12705884.592682928</v>
      </c>
      <c r="R1041">
        <f t="shared" si="1026"/>
        <v>-110144199.75404407</v>
      </c>
      <c r="S1041">
        <f t="shared" si="1027"/>
        <v>-1101.4419975404408</v>
      </c>
      <c r="T1041">
        <f t="shared" si="1028"/>
        <v>-1.1014419975404408</v>
      </c>
    </row>
    <row r="1042" spans="1:20" x14ac:dyDescent="0.25">
      <c r="A1042" s="5">
        <v>43551</v>
      </c>
      <c r="B1042">
        <v>0.10263</v>
      </c>
      <c r="C1042">
        <v>0.10797</v>
      </c>
      <c r="D1042">
        <v>0.10212</v>
      </c>
      <c r="E1042">
        <v>0.1076</v>
      </c>
      <c r="F1042">
        <v>47760605.200000003</v>
      </c>
      <c r="G1042">
        <v>0</v>
      </c>
      <c r="L1042" t="s">
        <v>8</v>
      </c>
      <c r="M1042" t="s">
        <v>7</v>
      </c>
      <c r="N1042" t="s">
        <v>8</v>
      </c>
      <c r="P1042">
        <f t="shared" si="1024"/>
        <v>0.87350427350427495</v>
      </c>
      <c r="Q1042">
        <f t="shared" si="1025"/>
        <v>41719092.747350499</v>
      </c>
      <c r="R1042">
        <f t="shared" si="1026"/>
        <v>-122850084.346727</v>
      </c>
      <c r="S1042">
        <f t="shared" si="1027"/>
        <v>-1228.50084346727</v>
      </c>
      <c r="T1042">
        <f t="shared" si="1028"/>
        <v>-1.22850084346727</v>
      </c>
    </row>
    <row r="1043" spans="1:20" x14ac:dyDescent="0.25">
      <c r="A1043" s="5">
        <v>43550</v>
      </c>
      <c r="B1043">
        <v>0.10012</v>
      </c>
      <c r="C1043">
        <v>0.10399</v>
      </c>
      <c r="D1043">
        <v>9.7309999999999994E-2</v>
      </c>
      <c r="E1043">
        <v>0.10258</v>
      </c>
      <c r="F1043">
        <v>49344109.600000001</v>
      </c>
      <c r="G1043">
        <v>0</v>
      </c>
      <c r="L1043" t="s">
        <v>7</v>
      </c>
      <c r="M1043" t="s">
        <v>7</v>
      </c>
      <c r="N1043" t="s">
        <v>8</v>
      </c>
      <c r="P1043">
        <f t="shared" si="1024"/>
        <v>0.57784431137724745</v>
      </c>
      <c r="Q1043">
        <f t="shared" si="1025"/>
        <v>28513213.032335427</v>
      </c>
      <c r="R1043">
        <f t="shared" si="1026"/>
        <v>-164569177.0940775</v>
      </c>
      <c r="S1043">
        <f t="shared" si="1027"/>
        <v>-1645.6917709407751</v>
      </c>
      <c r="T1043">
        <f t="shared" si="1028"/>
        <v>-1.645691770940775</v>
      </c>
    </row>
    <row r="1044" spans="1:20" x14ac:dyDescent="0.25">
      <c r="A1044" s="5">
        <v>43549</v>
      </c>
      <c r="B1044">
        <v>0.10435</v>
      </c>
      <c r="C1044">
        <v>0.10594000000000001</v>
      </c>
      <c r="D1044">
        <v>9.8799999999999999E-2</v>
      </c>
      <c r="E1044">
        <v>0.10014000000000001</v>
      </c>
      <c r="F1044">
        <v>48379196.600000001</v>
      </c>
      <c r="G1044">
        <v>0</v>
      </c>
      <c r="L1044" t="s">
        <v>7</v>
      </c>
      <c r="M1044" t="s">
        <v>7</v>
      </c>
      <c r="N1044" t="s">
        <v>8</v>
      </c>
      <c r="P1044">
        <f t="shared" si="1024"/>
        <v>-0.62464985994397582</v>
      </c>
      <c r="Q1044">
        <f t="shared" si="1025"/>
        <v>-30220058.380392071</v>
      </c>
      <c r="R1044">
        <f t="shared" si="1026"/>
        <v>-193082390.12641293</v>
      </c>
      <c r="S1044">
        <f t="shared" si="1027"/>
        <v>-1930.8239012641293</v>
      </c>
      <c r="T1044">
        <f t="shared" si="1028"/>
        <v>-1.9308239012641293</v>
      </c>
    </row>
    <row r="1045" spans="1:20" x14ac:dyDescent="0.25">
      <c r="A1045" s="5">
        <v>43548</v>
      </c>
      <c r="B1045">
        <v>0.10679</v>
      </c>
      <c r="C1045">
        <v>0.10682999999999999</v>
      </c>
      <c r="D1045">
        <v>0.10297000000000001</v>
      </c>
      <c r="E1045">
        <v>0.10437</v>
      </c>
      <c r="F1045">
        <v>28312020.300000001</v>
      </c>
      <c r="G1045">
        <v>0</v>
      </c>
      <c r="L1045" t="s">
        <v>8</v>
      </c>
      <c r="M1045" t="s">
        <v>7</v>
      </c>
      <c r="N1045" t="s">
        <v>8</v>
      </c>
      <c r="P1045">
        <f t="shared" si="1024"/>
        <v>-0.27461139896372921</v>
      </c>
      <c r="Q1045">
        <f t="shared" si="1025"/>
        <v>-7774803.502072501</v>
      </c>
      <c r="R1045">
        <f t="shared" si="1026"/>
        <v>-162862331.74602085</v>
      </c>
      <c r="S1045">
        <f t="shared" si="1027"/>
        <v>-1628.6233174602085</v>
      </c>
      <c r="T1045">
        <f t="shared" si="1028"/>
        <v>-1.6286233174602085</v>
      </c>
    </row>
    <row r="1046" spans="1:20" x14ac:dyDescent="0.25">
      <c r="A1046" s="5">
        <v>43547</v>
      </c>
      <c r="B1046">
        <v>0.1081</v>
      </c>
      <c r="C1046">
        <v>0.10944</v>
      </c>
      <c r="D1046">
        <v>0.10516</v>
      </c>
      <c r="E1046">
        <v>0.10681</v>
      </c>
      <c r="F1046">
        <v>34616741.899999999</v>
      </c>
      <c r="G1046">
        <v>0</v>
      </c>
      <c r="L1046" t="s">
        <v>8</v>
      </c>
      <c r="M1046" t="s">
        <v>7</v>
      </c>
      <c r="N1046" t="s">
        <v>8</v>
      </c>
      <c r="P1046">
        <f t="shared" si="1024"/>
        <v>-0.22897196261682162</v>
      </c>
      <c r="Q1046">
        <f t="shared" si="1025"/>
        <v>-7926263.332242962</v>
      </c>
      <c r="R1046">
        <f t="shared" si="1026"/>
        <v>-155087528.24394834</v>
      </c>
      <c r="S1046">
        <f t="shared" si="1027"/>
        <v>-1550.8752824394835</v>
      </c>
      <c r="T1046">
        <f t="shared" si="1028"/>
        <v>-1.5508752824394836</v>
      </c>
    </row>
    <row r="1047" spans="1:20" x14ac:dyDescent="0.25">
      <c r="A1047" s="5">
        <v>43546</v>
      </c>
      <c r="B1047">
        <v>0.10551000000000001</v>
      </c>
      <c r="C1047">
        <v>0.10970000000000001</v>
      </c>
      <c r="D1047">
        <v>0.10425</v>
      </c>
      <c r="E1047">
        <v>0.10815</v>
      </c>
      <c r="F1047">
        <v>42456151.700000003</v>
      </c>
      <c r="G1047">
        <v>0</v>
      </c>
      <c r="L1047" t="s">
        <v>8</v>
      </c>
      <c r="M1047" t="s">
        <v>7</v>
      </c>
      <c r="N1047" t="s">
        <v>8</v>
      </c>
      <c r="P1047">
        <f t="shared" si="1024"/>
        <v>0.43119266055045624</v>
      </c>
      <c r="Q1047">
        <f t="shared" si="1025"/>
        <v>18306781.008256778</v>
      </c>
      <c r="R1047">
        <f t="shared" si="1026"/>
        <v>-147161264.91170537</v>
      </c>
      <c r="S1047">
        <f t="shared" si="1027"/>
        <v>-1471.6126491170537</v>
      </c>
      <c r="T1047">
        <f t="shared" si="1028"/>
        <v>-1.4716126491170538</v>
      </c>
    </row>
    <row r="1048" spans="1:20" x14ac:dyDescent="0.25">
      <c r="A1048" s="5">
        <v>43545</v>
      </c>
      <c r="B1048">
        <v>0.10883</v>
      </c>
      <c r="C1048">
        <v>0.10995000000000001</v>
      </c>
      <c r="D1048">
        <v>9.9629999999999996E-2</v>
      </c>
      <c r="E1048">
        <v>0.10553999999999999</v>
      </c>
      <c r="F1048">
        <v>73008378.799999997</v>
      </c>
      <c r="G1048">
        <v>0</v>
      </c>
      <c r="L1048" t="s">
        <v>7</v>
      </c>
      <c r="M1048" t="s">
        <v>7</v>
      </c>
      <c r="N1048" t="s">
        <v>8</v>
      </c>
      <c r="P1048">
        <f t="shared" si="1024"/>
        <v>0.14534883720930097</v>
      </c>
      <c r="Q1048">
        <f t="shared" si="1025"/>
        <v>10611682.96511618</v>
      </c>
      <c r="R1048">
        <f t="shared" si="1026"/>
        <v>-165468045.91996217</v>
      </c>
      <c r="S1048">
        <f t="shared" si="1027"/>
        <v>-1654.6804591996217</v>
      </c>
      <c r="T1048">
        <f t="shared" si="1028"/>
        <v>-1.6546804591996218</v>
      </c>
    </row>
    <row r="1049" spans="1:20" x14ac:dyDescent="0.25">
      <c r="A1049" s="5">
        <v>43544</v>
      </c>
      <c r="B1049">
        <v>0.11197</v>
      </c>
      <c r="C1049">
        <v>0.11252</v>
      </c>
      <c r="D1049">
        <v>0.10718</v>
      </c>
      <c r="E1049">
        <v>0.10882</v>
      </c>
      <c r="F1049">
        <v>70943368.599999994</v>
      </c>
      <c r="G1049">
        <v>0</v>
      </c>
      <c r="L1049" t="s">
        <v>7</v>
      </c>
      <c r="M1049" t="s">
        <v>8</v>
      </c>
      <c r="N1049" t="s">
        <v>8</v>
      </c>
      <c r="P1049">
        <f t="shared" si="1024"/>
        <v>-0.38576779026217106</v>
      </c>
      <c r="Q1049">
        <f t="shared" si="1025"/>
        <v>-27367666.538576689</v>
      </c>
      <c r="R1049">
        <f t="shared" si="1026"/>
        <v>-176079728.88507834</v>
      </c>
      <c r="S1049">
        <f t="shared" si="1027"/>
        <v>-1760.7972888507834</v>
      </c>
      <c r="T1049">
        <f t="shared" si="1028"/>
        <v>-1.7607972888507835</v>
      </c>
    </row>
    <row r="1050" spans="1:20" x14ac:dyDescent="0.25">
      <c r="A1050" s="5">
        <v>43543</v>
      </c>
      <c r="B1050">
        <v>0.11617</v>
      </c>
      <c r="C1050">
        <v>0.11867999999999999</v>
      </c>
      <c r="D1050">
        <v>0.11070000000000001</v>
      </c>
      <c r="E1050">
        <v>0.11193</v>
      </c>
      <c r="F1050">
        <v>107966687.59999999</v>
      </c>
      <c r="G1050">
        <v>0</v>
      </c>
      <c r="L1050" t="s">
        <v>7</v>
      </c>
      <c r="M1050" t="s">
        <v>8</v>
      </c>
      <c r="N1050" t="s">
        <v>8</v>
      </c>
      <c r="P1050">
        <f t="shared" si="1024"/>
        <v>-0.69172932330827142</v>
      </c>
      <c r="Q1050">
        <f t="shared" si="1025"/>
        <v>-74683723.753383532</v>
      </c>
      <c r="R1050">
        <f t="shared" si="1026"/>
        <v>-148712062.34650165</v>
      </c>
      <c r="S1050">
        <f t="shared" si="1027"/>
        <v>-1487.1206234650165</v>
      </c>
      <c r="T1050">
        <f t="shared" si="1028"/>
        <v>-1.4871206234650165</v>
      </c>
    </row>
    <row r="1051" spans="1:20" x14ac:dyDescent="0.25">
      <c r="A1051" s="5">
        <v>43542</v>
      </c>
      <c r="B1051">
        <v>0.10897</v>
      </c>
      <c r="C1051">
        <v>0.11874999999999999</v>
      </c>
      <c r="D1051">
        <v>0.10569000000000001</v>
      </c>
      <c r="E1051">
        <v>0.11616</v>
      </c>
      <c r="F1051">
        <v>103676049.7</v>
      </c>
      <c r="G1051">
        <v>0</v>
      </c>
      <c r="L1051" t="s">
        <v>8</v>
      </c>
      <c r="M1051" t="s">
        <v>8</v>
      </c>
      <c r="N1051" t="s">
        <v>8</v>
      </c>
      <c r="P1051">
        <f t="shared" si="1024"/>
        <v>0.60336906584992378</v>
      </c>
      <c r="Q1051">
        <f t="shared" si="1025"/>
        <v>62554921.258499272</v>
      </c>
      <c r="R1051">
        <f t="shared" si="1026"/>
        <v>-74028338.593118131</v>
      </c>
      <c r="S1051">
        <f t="shared" si="1027"/>
        <v>-740.28338593118133</v>
      </c>
      <c r="T1051">
        <f t="shared" si="1028"/>
        <v>-0.74028338593118137</v>
      </c>
    </row>
    <row r="1052" spans="1:20" x14ac:dyDescent="0.25">
      <c r="A1052" s="5">
        <v>43541</v>
      </c>
      <c r="B1052">
        <v>0.10836999999999999</v>
      </c>
      <c r="C1052">
        <v>0.10899</v>
      </c>
      <c r="D1052">
        <v>0.10606</v>
      </c>
      <c r="E1052">
        <v>0.10896</v>
      </c>
      <c r="F1052">
        <v>24995851.5</v>
      </c>
      <c r="G1052">
        <v>0</v>
      </c>
      <c r="L1052" t="s">
        <v>7</v>
      </c>
      <c r="M1052" t="s">
        <v>8</v>
      </c>
      <c r="N1052" t="s">
        <v>8</v>
      </c>
      <c r="P1052">
        <f t="shared" si="1024"/>
        <v>0.97952218430033977</v>
      </c>
      <c r="Q1052">
        <f t="shared" si="1025"/>
        <v>24483991.059726924</v>
      </c>
      <c r="R1052">
        <f t="shared" si="1026"/>
        <v>-136583259.8516174</v>
      </c>
      <c r="S1052">
        <f t="shared" si="1027"/>
        <v>-1365.8325985161739</v>
      </c>
      <c r="T1052">
        <f t="shared" si="1028"/>
        <v>-1.3658325985161739</v>
      </c>
    </row>
    <row r="1053" spans="1:20" x14ac:dyDescent="0.25">
      <c r="A1053" s="5">
        <v>43540</v>
      </c>
      <c r="B1053">
        <v>0.10621999999999999</v>
      </c>
      <c r="C1053">
        <v>0.10997999999999999</v>
      </c>
      <c r="D1053">
        <v>0.10600999999999999</v>
      </c>
      <c r="E1053">
        <v>0.10836999999999999</v>
      </c>
      <c r="F1053">
        <v>49603211.799999997</v>
      </c>
      <c r="G1053">
        <v>0</v>
      </c>
      <c r="L1053" t="s">
        <v>7</v>
      </c>
      <c r="M1053" t="s">
        <v>8</v>
      </c>
      <c r="N1053" t="s">
        <v>8</v>
      </c>
      <c r="P1053">
        <f t="shared" si="1024"/>
        <v>0.18891687657430742</v>
      </c>
      <c r="Q1053">
        <f t="shared" si="1025"/>
        <v>9370883.8413098287</v>
      </c>
      <c r="R1053">
        <f t="shared" si="1026"/>
        <v>-161067250.91134432</v>
      </c>
      <c r="S1053">
        <f t="shared" si="1027"/>
        <v>-1610.6725091134431</v>
      </c>
      <c r="T1053">
        <f t="shared" si="1028"/>
        <v>-1.6106725091134431</v>
      </c>
    </row>
    <row r="1054" spans="1:20" x14ac:dyDescent="0.25">
      <c r="A1054" s="5">
        <v>43539</v>
      </c>
      <c r="B1054">
        <v>0.10644000000000001</v>
      </c>
      <c r="C1054">
        <v>0.10836999999999999</v>
      </c>
      <c r="D1054">
        <v>0.10313</v>
      </c>
      <c r="E1054">
        <v>0.10621</v>
      </c>
      <c r="F1054">
        <v>62162885.100000001</v>
      </c>
      <c r="G1054">
        <v>0</v>
      </c>
      <c r="L1054" t="s">
        <v>7</v>
      </c>
      <c r="M1054" t="s">
        <v>8</v>
      </c>
      <c r="N1054" t="s">
        <v>8</v>
      </c>
      <c r="P1054">
        <f t="shared" si="1024"/>
        <v>0.17557251908397042</v>
      </c>
      <c r="Q1054">
        <f t="shared" si="1025"/>
        <v>10914094.330534412</v>
      </c>
      <c r="R1054">
        <f t="shared" si="1026"/>
        <v>-170438134.75265414</v>
      </c>
      <c r="S1054">
        <f t="shared" si="1027"/>
        <v>-1704.3813475265413</v>
      </c>
      <c r="T1054">
        <f t="shared" si="1028"/>
        <v>-1.7043813475265412</v>
      </c>
    </row>
    <row r="1055" spans="1:20" x14ac:dyDescent="0.25">
      <c r="A1055" s="5">
        <v>43538</v>
      </c>
      <c r="B1055">
        <v>0.10911</v>
      </c>
      <c r="C1055">
        <v>0.1128</v>
      </c>
      <c r="D1055">
        <v>0.10487</v>
      </c>
      <c r="E1055">
        <v>0.10639</v>
      </c>
      <c r="F1055">
        <v>125674732.09999999</v>
      </c>
      <c r="G1055">
        <v>0</v>
      </c>
      <c r="L1055" t="s">
        <v>8</v>
      </c>
      <c r="M1055" t="s">
        <v>8</v>
      </c>
      <c r="N1055" t="s">
        <v>8</v>
      </c>
      <c r="P1055">
        <f t="shared" si="1024"/>
        <v>-0.61664564943253597</v>
      </c>
      <c r="Q1055">
        <f t="shared" si="1025"/>
        <v>-77496776.793064475</v>
      </c>
      <c r="R1055">
        <f t="shared" si="1026"/>
        <v>-181352229.08318853</v>
      </c>
      <c r="S1055">
        <f t="shared" si="1027"/>
        <v>-1813.5222908318854</v>
      </c>
      <c r="T1055">
        <f t="shared" si="1028"/>
        <v>-1.8135222908318853</v>
      </c>
    </row>
    <row r="1056" spans="1:20" x14ac:dyDescent="0.25">
      <c r="A1056" s="5">
        <v>43537</v>
      </c>
      <c r="B1056">
        <v>0.10536</v>
      </c>
      <c r="C1056">
        <v>0.11243</v>
      </c>
      <c r="D1056">
        <v>0.10029</v>
      </c>
      <c r="E1056">
        <v>0.10915999999999999</v>
      </c>
      <c r="F1056">
        <v>115857059.09999999</v>
      </c>
      <c r="G1056">
        <v>0</v>
      </c>
      <c r="L1056" t="s">
        <v>8</v>
      </c>
      <c r="M1056" t="s">
        <v>8</v>
      </c>
      <c r="N1056" t="s">
        <v>8</v>
      </c>
      <c r="P1056">
        <f t="shared" si="1024"/>
        <v>0.46128500823723073</v>
      </c>
      <c r="Q1056">
        <f t="shared" si="1025"/>
        <v>53443124.461284824</v>
      </c>
      <c r="R1056">
        <f t="shared" si="1026"/>
        <v>-103855452.29012406</v>
      </c>
      <c r="S1056">
        <f t="shared" si="1027"/>
        <v>-1038.5545229012405</v>
      </c>
      <c r="T1056">
        <f t="shared" si="1028"/>
        <v>-1.0385545229012405</v>
      </c>
    </row>
    <row r="1057" spans="1:20" x14ac:dyDescent="0.25">
      <c r="A1057" s="5">
        <v>43536</v>
      </c>
      <c r="B1057">
        <v>0.10199</v>
      </c>
      <c r="C1057">
        <v>0.10793</v>
      </c>
      <c r="D1057">
        <v>9.647E-2</v>
      </c>
      <c r="E1057">
        <v>0.10541</v>
      </c>
      <c r="F1057">
        <v>109246783.59999999</v>
      </c>
      <c r="G1057">
        <v>0</v>
      </c>
      <c r="L1057" t="s">
        <v>7</v>
      </c>
      <c r="M1057" t="s">
        <v>8</v>
      </c>
      <c r="N1057" t="s">
        <v>8</v>
      </c>
      <c r="P1057">
        <f t="shared" si="1024"/>
        <v>0.5602094240837705</v>
      </c>
      <c r="Q1057">
        <f t="shared" si="1025"/>
        <v>61201077.723560303</v>
      </c>
      <c r="R1057">
        <f t="shared" si="1026"/>
        <v>-157298576.75140887</v>
      </c>
      <c r="S1057">
        <f t="shared" si="1027"/>
        <v>-1572.9857675140888</v>
      </c>
      <c r="T1057">
        <f t="shared" si="1028"/>
        <v>-1.5729857675140888</v>
      </c>
    </row>
    <row r="1058" spans="1:20" x14ac:dyDescent="0.25">
      <c r="A1058" s="5">
        <v>43535</v>
      </c>
      <c r="B1058">
        <v>0.10018000000000001</v>
      </c>
      <c r="C1058">
        <v>0.10970000000000001</v>
      </c>
      <c r="D1058">
        <v>9.9010000000000001E-2</v>
      </c>
      <c r="E1058">
        <v>0.10199</v>
      </c>
      <c r="F1058">
        <v>207400217.30000001</v>
      </c>
      <c r="G1058">
        <v>0</v>
      </c>
      <c r="L1058" t="s">
        <v>8</v>
      </c>
      <c r="M1058" t="s">
        <v>8</v>
      </c>
      <c r="N1058" t="s">
        <v>8</v>
      </c>
      <c r="P1058">
        <f t="shared" si="1024"/>
        <v>-0.44246959775491207</v>
      </c>
      <c r="Q1058">
        <f t="shared" si="1025"/>
        <v>-91768290.723012358</v>
      </c>
      <c r="R1058">
        <f t="shared" si="1026"/>
        <v>-218499654.47496918</v>
      </c>
      <c r="S1058">
        <f t="shared" si="1027"/>
        <v>-2184.9965447496916</v>
      </c>
      <c r="T1058">
        <f t="shared" si="1028"/>
        <v>-2.1849965447496915</v>
      </c>
    </row>
    <row r="1059" spans="1:20" x14ac:dyDescent="0.25">
      <c r="A1059" s="5">
        <v>43534</v>
      </c>
      <c r="B1059">
        <v>9.035E-2</v>
      </c>
      <c r="C1059">
        <v>0.10440000000000001</v>
      </c>
      <c r="D1059">
        <v>8.9520000000000002E-2</v>
      </c>
      <c r="E1059">
        <v>0.10027999999999999</v>
      </c>
      <c r="F1059">
        <v>171407268.09999999</v>
      </c>
      <c r="G1059">
        <v>0</v>
      </c>
      <c r="L1059" t="s">
        <v>8</v>
      </c>
      <c r="M1059" t="s">
        <v>8</v>
      </c>
      <c r="N1059" t="s">
        <v>8</v>
      </c>
      <c r="P1059">
        <f t="shared" si="1024"/>
        <v>0.44623655913978344</v>
      </c>
      <c r="Q1059">
        <f t="shared" si="1025"/>
        <v>76488189.528494358</v>
      </c>
      <c r="R1059">
        <f t="shared" si="1026"/>
        <v>-126731363.75195682</v>
      </c>
      <c r="S1059">
        <f t="shared" si="1027"/>
        <v>-1267.3136375195681</v>
      </c>
      <c r="T1059">
        <f t="shared" si="1028"/>
        <v>-1.2673136375195682</v>
      </c>
    </row>
    <row r="1060" spans="1:20" x14ac:dyDescent="0.25">
      <c r="A1060" s="5">
        <v>43533</v>
      </c>
      <c r="B1060">
        <v>8.6190000000000003E-2</v>
      </c>
      <c r="C1060">
        <v>9.1999999999999998E-2</v>
      </c>
      <c r="D1060">
        <v>8.5800000000000001E-2</v>
      </c>
      <c r="E1060">
        <v>9.0279999999999999E-2</v>
      </c>
      <c r="F1060">
        <v>53166134.200000003</v>
      </c>
      <c r="G1060">
        <v>0</v>
      </c>
      <c r="L1060" t="s">
        <v>8</v>
      </c>
      <c r="M1060" t="s">
        <v>7</v>
      </c>
      <c r="N1060" t="s">
        <v>7</v>
      </c>
      <c r="P1060">
        <f t="shared" si="1024"/>
        <v>0.44516129032258062</v>
      </c>
      <c r="Q1060">
        <f t="shared" si="1025"/>
        <v>23667504.901935484</v>
      </c>
      <c r="R1060">
        <f t="shared" si="1026"/>
        <v>-203219553.28045118</v>
      </c>
      <c r="S1060">
        <f t="shared" si="1027"/>
        <v>-2032.1955328045117</v>
      </c>
      <c r="T1060">
        <f t="shared" si="1028"/>
        <v>-2.0321955328045118</v>
      </c>
    </row>
    <row r="1061" spans="1:20" x14ac:dyDescent="0.25">
      <c r="A1061" s="5">
        <v>43532</v>
      </c>
      <c r="B1061">
        <v>8.5190000000000002E-2</v>
      </c>
      <c r="C1061">
        <v>8.9899999999999994E-2</v>
      </c>
      <c r="D1061">
        <v>8.5070000000000007E-2</v>
      </c>
      <c r="E1061">
        <v>8.6290000000000006E-2</v>
      </c>
      <c r="F1061">
        <v>57398059.899999999</v>
      </c>
      <c r="G1061">
        <v>0</v>
      </c>
      <c r="L1061" t="s">
        <v>8</v>
      </c>
      <c r="M1061" t="s">
        <v>7</v>
      </c>
      <c r="N1061" t="s">
        <v>7</v>
      </c>
      <c r="P1061">
        <f t="shared" si="1024"/>
        <v>-0.49482401656314612</v>
      </c>
      <c r="Q1061">
        <f t="shared" si="1025"/>
        <v>-28401938.542650051</v>
      </c>
      <c r="R1061">
        <f t="shared" si="1026"/>
        <v>-226887058.18238667</v>
      </c>
      <c r="S1061">
        <f t="shared" si="1027"/>
        <v>-2268.8705818238668</v>
      </c>
      <c r="T1061">
        <f t="shared" si="1028"/>
        <v>-2.268870581823867</v>
      </c>
    </row>
    <row r="1062" spans="1:20" x14ac:dyDescent="0.25">
      <c r="A1062" s="5">
        <v>43531</v>
      </c>
      <c r="B1062">
        <v>8.4620000000000001E-2</v>
      </c>
      <c r="C1062">
        <v>8.591E-2</v>
      </c>
      <c r="D1062">
        <v>8.3680000000000004E-2</v>
      </c>
      <c r="E1062">
        <v>8.5190000000000002E-2</v>
      </c>
      <c r="F1062">
        <v>23761876.399999999</v>
      </c>
      <c r="G1062">
        <v>0</v>
      </c>
      <c r="L1062" t="s">
        <v>8</v>
      </c>
      <c r="M1062" t="s">
        <v>7</v>
      </c>
      <c r="N1062" t="s">
        <v>7</v>
      </c>
      <c r="P1062">
        <f t="shared" si="1024"/>
        <v>0.3542600896860989</v>
      </c>
      <c r="Q1062">
        <f t="shared" si="1025"/>
        <v>8417884.4645739961</v>
      </c>
      <c r="R1062">
        <f t="shared" si="1026"/>
        <v>-198485119.63973662</v>
      </c>
      <c r="S1062">
        <f t="shared" si="1027"/>
        <v>-1984.8511963973663</v>
      </c>
      <c r="T1062">
        <f t="shared" si="1028"/>
        <v>-1.9848511963973663</v>
      </c>
    </row>
    <row r="1063" spans="1:20" x14ac:dyDescent="0.25">
      <c r="A1063" s="5">
        <v>43530</v>
      </c>
      <c r="B1063">
        <v>8.5669999999999996E-2</v>
      </c>
      <c r="C1063">
        <v>8.616E-2</v>
      </c>
      <c r="D1063">
        <v>8.3470000000000003E-2</v>
      </c>
      <c r="E1063">
        <v>8.4690000000000001E-2</v>
      </c>
      <c r="F1063">
        <v>29652710.5</v>
      </c>
      <c r="G1063">
        <v>0</v>
      </c>
      <c r="L1063" t="s">
        <v>8</v>
      </c>
      <c r="M1063" t="s">
        <v>7</v>
      </c>
      <c r="N1063" t="s">
        <v>7</v>
      </c>
      <c r="P1063">
        <f t="shared" si="1024"/>
        <v>-9.2936802973977842E-2</v>
      </c>
      <c r="Q1063">
        <f t="shared" si="1025"/>
        <v>-2755828.1133829039</v>
      </c>
      <c r="R1063">
        <f t="shared" si="1026"/>
        <v>-206903004.10431063</v>
      </c>
      <c r="S1063">
        <f t="shared" si="1027"/>
        <v>-2069.0300410431064</v>
      </c>
      <c r="T1063">
        <f t="shared" si="1028"/>
        <v>-2.0690300410431064</v>
      </c>
    </row>
    <row r="1064" spans="1:20" x14ac:dyDescent="0.25">
      <c r="A1064" s="5">
        <v>43529</v>
      </c>
      <c r="B1064">
        <v>8.2000000000000003E-2</v>
      </c>
      <c r="C1064">
        <v>8.6459999999999995E-2</v>
      </c>
      <c r="D1064">
        <v>8.054E-2</v>
      </c>
      <c r="E1064">
        <v>8.5650000000000004E-2</v>
      </c>
      <c r="F1064">
        <v>40081699.399999999</v>
      </c>
      <c r="G1064">
        <v>0</v>
      </c>
      <c r="L1064" t="s">
        <v>8</v>
      </c>
      <c r="M1064" t="s">
        <v>7</v>
      </c>
      <c r="N1064" t="s">
        <v>7</v>
      </c>
      <c r="P1064">
        <f t="shared" si="1024"/>
        <v>0.72635135135135409</v>
      </c>
      <c r="Q1064">
        <f t="shared" si="1025"/>
        <v>29113396.523648757</v>
      </c>
      <c r="R1064">
        <f t="shared" si="1026"/>
        <v>-204147175.99092773</v>
      </c>
      <c r="S1064">
        <f t="shared" si="1027"/>
        <v>-2041.4717599092774</v>
      </c>
      <c r="T1064">
        <f t="shared" si="1028"/>
        <v>-2.0414717599092773</v>
      </c>
    </row>
    <row r="1065" spans="1:20" x14ac:dyDescent="0.25">
      <c r="A1065" s="5">
        <v>43528</v>
      </c>
      <c r="B1065">
        <v>8.7499999999999994E-2</v>
      </c>
      <c r="C1065">
        <v>8.7660000000000002E-2</v>
      </c>
      <c r="D1065">
        <v>7.9390000000000002E-2</v>
      </c>
      <c r="E1065">
        <v>8.1989999999999993E-2</v>
      </c>
      <c r="F1065">
        <v>53284163.399999999</v>
      </c>
      <c r="G1065">
        <v>0</v>
      </c>
      <c r="L1065" t="s">
        <v>7</v>
      </c>
      <c r="M1065" t="s">
        <v>7</v>
      </c>
      <c r="N1065" t="s">
        <v>7</v>
      </c>
      <c r="P1065">
        <f t="shared" si="1024"/>
        <v>-0.37122128174123548</v>
      </c>
      <c r="Q1065">
        <f t="shared" si="1025"/>
        <v>-19780215.433857426</v>
      </c>
      <c r="R1065">
        <f t="shared" si="1026"/>
        <v>-233260572.51457649</v>
      </c>
      <c r="S1065">
        <f t="shared" si="1027"/>
        <v>-2332.6057251457651</v>
      </c>
      <c r="T1065">
        <f t="shared" si="1028"/>
        <v>-2.3326057251457653</v>
      </c>
    </row>
    <row r="1066" spans="1:20" x14ac:dyDescent="0.25">
      <c r="A1066" s="5">
        <v>43527</v>
      </c>
      <c r="B1066">
        <v>8.3599999999999994E-2</v>
      </c>
      <c r="C1066">
        <v>0.09</v>
      </c>
      <c r="D1066">
        <v>8.2600000000000007E-2</v>
      </c>
      <c r="E1066">
        <v>8.7499999999999994E-2</v>
      </c>
      <c r="F1066">
        <v>53169299.299999997</v>
      </c>
      <c r="G1066">
        <v>0</v>
      </c>
      <c r="L1066" t="s">
        <v>8</v>
      </c>
      <c r="M1066" t="s">
        <v>7</v>
      </c>
      <c r="N1066" t="s">
        <v>7</v>
      </c>
      <c r="P1066">
        <f t="shared" si="1024"/>
        <v>0.32432432432432279</v>
      </c>
      <c r="Q1066">
        <f t="shared" si="1025"/>
        <v>17244097.070270188</v>
      </c>
      <c r="R1066">
        <f t="shared" si="1026"/>
        <v>-213480357.08071905</v>
      </c>
      <c r="S1066">
        <f t="shared" si="1027"/>
        <v>-2134.8035708071907</v>
      </c>
      <c r="T1066">
        <f t="shared" si="1028"/>
        <v>-2.1348035708071906</v>
      </c>
    </row>
    <row r="1067" spans="1:20" x14ac:dyDescent="0.25">
      <c r="A1067" s="5">
        <v>43526</v>
      </c>
      <c r="B1067">
        <v>8.4669999999999995E-2</v>
      </c>
      <c r="C1067">
        <v>8.5800000000000001E-2</v>
      </c>
      <c r="D1067">
        <v>8.2430000000000003E-2</v>
      </c>
      <c r="E1067">
        <v>8.3580000000000002E-2</v>
      </c>
      <c r="F1067">
        <v>20248088.100000001</v>
      </c>
      <c r="G1067">
        <v>0</v>
      </c>
      <c r="L1067" t="s">
        <v>8</v>
      </c>
      <c r="M1067" t="s">
        <v>7</v>
      </c>
      <c r="N1067" t="s">
        <v>7</v>
      </c>
      <c r="P1067">
        <f t="shared" si="1024"/>
        <v>-0.31750741839762675</v>
      </c>
      <c r="Q1067">
        <f t="shared" si="1025"/>
        <v>-6428918.1801187079</v>
      </c>
      <c r="R1067">
        <f t="shared" si="1026"/>
        <v>-230724454.15098923</v>
      </c>
      <c r="S1067">
        <f t="shared" si="1027"/>
        <v>-2307.2445415098923</v>
      </c>
      <c r="T1067">
        <f t="shared" si="1028"/>
        <v>-2.3072445415098923</v>
      </c>
    </row>
    <row r="1068" spans="1:20" x14ac:dyDescent="0.25">
      <c r="A1068" s="5">
        <v>43525</v>
      </c>
      <c r="B1068">
        <v>8.4519999999999998E-2</v>
      </c>
      <c r="C1068">
        <v>8.6300000000000002E-2</v>
      </c>
      <c r="D1068">
        <v>8.3940000000000001E-2</v>
      </c>
      <c r="E1068">
        <v>8.4669999999999995E-2</v>
      </c>
      <c r="F1068">
        <v>25195267.399999999</v>
      </c>
      <c r="G1068">
        <v>0</v>
      </c>
      <c r="L1068" t="s">
        <v>8</v>
      </c>
      <c r="M1068" t="s">
        <v>7</v>
      </c>
      <c r="N1068" t="s">
        <v>7</v>
      </c>
      <c r="P1068">
        <f t="shared" si="1024"/>
        <v>-0.3813559322033947</v>
      </c>
      <c r="Q1068">
        <f t="shared" si="1025"/>
        <v>-9608364.6864407994</v>
      </c>
      <c r="R1068">
        <f t="shared" si="1026"/>
        <v>-224295535.97087052</v>
      </c>
      <c r="S1068">
        <f t="shared" si="1027"/>
        <v>-2242.9553597087051</v>
      </c>
      <c r="T1068">
        <f t="shared" si="1028"/>
        <v>-2.2429553597087053</v>
      </c>
    </row>
    <row r="1069" spans="1:20" x14ac:dyDescent="0.25">
      <c r="A1069" s="5">
        <v>43524</v>
      </c>
      <c r="B1069">
        <v>8.4140000000000006E-2</v>
      </c>
      <c r="C1069">
        <v>8.541E-2</v>
      </c>
      <c r="D1069">
        <v>8.2400000000000001E-2</v>
      </c>
      <c r="E1069">
        <v>8.4390000000000007E-2</v>
      </c>
      <c r="F1069">
        <v>27796094.800000001</v>
      </c>
      <c r="G1069">
        <v>0</v>
      </c>
      <c r="L1069" t="s">
        <v>7</v>
      </c>
      <c r="M1069" t="s">
        <v>7</v>
      </c>
      <c r="N1069" t="s">
        <v>7</v>
      </c>
      <c r="P1069">
        <f t="shared" si="1024"/>
        <v>0.32225913621262886</v>
      </c>
      <c r="Q1069">
        <f t="shared" si="1025"/>
        <v>8957545.5003323443</v>
      </c>
      <c r="R1069">
        <f t="shared" si="1026"/>
        <v>-214687171.28442973</v>
      </c>
      <c r="S1069">
        <f t="shared" si="1027"/>
        <v>-2146.8717128442972</v>
      </c>
      <c r="T1069">
        <f t="shared" si="1028"/>
        <v>-2.1468717128442973</v>
      </c>
    </row>
    <row r="1070" spans="1:20" x14ac:dyDescent="0.25">
      <c r="A1070" s="5">
        <v>43523</v>
      </c>
      <c r="B1070">
        <v>8.4360000000000004E-2</v>
      </c>
      <c r="C1070">
        <v>8.5900000000000004E-2</v>
      </c>
      <c r="D1070">
        <v>8.0600000000000005E-2</v>
      </c>
      <c r="E1070">
        <v>8.4129999999999996E-2</v>
      </c>
      <c r="F1070">
        <v>40618994.100000001</v>
      </c>
      <c r="G1070">
        <v>0</v>
      </c>
      <c r="L1070" t="s">
        <v>7</v>
      </c>
      <c r="M1070" t="s">
        <v>7</v>
      </c>
      <c r="N1070" t="s">
        <v>7</v>
      </c>
      <c r="P1070">
        <f t="shared" si="1024"/>
        <v>0.33207547169811019</v>
      </c>
      <c r="Q1070">
        <f t="shared" si="1025"/>
        <v>13488571.625660256</v>
      </c>
      <c r="R1070">
        <f t="shared" si="1026"/>
        <v>-223644716.78476208</v>
      </c>
      <c r="S1070">
        <f t="shared" si="1027"/>
        <v>-2236.4471678476207</v>
      </c>
      <c r="T1070">
        <f t="shared" si="1028"/>
        <v>-2.2364471678476208</v>
      </c>
    </row>
    <row r="1071" spans="1:20" x14ac:dyDescent="0.25">
      <c r="A1071" s="5">
        <v>43522</v>
      </c>
      <c r="B1071">
        <v>8.6029999999999995E-2</v>
      </c>
      <c r="C1071">
        <v>8.6860000000000007E-2</v>
      </c>
      <c r="D1071">
        <v>8.301E-2</v>
      </c>
      <c r="E1071">
        <v>8.4409999999999999E-2</v>
      </c>
      <c r="F1071">
        <v>40624278.799999997</v>
      </c>
      <c r="G1071">
        <v>0</v>
      </c>
      <c r="L1071" t="s">
        <v>7</v>
      </c>
      <c r="M1071" t="s">
        <v>7</v>
      </c>
      <c r="N1071" t="s">
        <v>7</v>
      </c>
      <c r="P1071">
        <f t="shared" si="1024"/>
        <v>-0.27272727272727471</v>
      </c>
      <c r="Q1071">
        <f t="shared" si="1025"/>
        <v>-11079348.763636444</v>
      </c>
      <c r="R1071">
        <f t="shared" si="1026"/>
        <v>-237133288.41042235</v>
      </c>
      <c r="S1071">
        <f t="shared" si="1027"/>
        <v>-2371.3328841042235</v>
      </c>
      <c r="T1071">
        <f t="shared" si="1028"/>
        <v>-2.3713328841042234</v>
      </c>
    </row>
    <row r="1072" spans="1:20" x14ac:dyDescent="0.25">
      <c r="A1072" s="5">
        <v>43521</v>
      </c>
      <c r="B1072">
        <v>8.1970000000000001E-2</v>
      </c>
      <c r="C1072">
        <v>8.8900000000000007E-2</v>
      </c>
      <c r="D1072">
        <v>8.1710000000000005E-2</v>
      </c>
      <c r="E1072">
        <v>8.6029999999999995E-2</v>
      </c>
      <c r="F1072">
        <v>66203719.200000003</v>
      </c>
      <c r="G1072">
        <v>0</v>
      </c>
      <c r="L1072" t="s">
        <v>7</v>
      </c>
      <c r="M1072" t="s">
        <v>7</v>
      </c>
      <c r="N1072" t="s">
        <v>7</v>
      </c>
      <c r="P1072">
        <f t="shared" si="1024"/>
        <v>0.20166898470097061</v>
      </c>
      <c r="Q1072">
        <f t="shared" si="1025"/>
        <v>13351236.834492154</v>
      </c>
      <c r="R1072">
        <f t="shared" si="1026"/>
        <v>-226053939.64678591</v>
      </c>
      <c r="S1072">
        <f t="shared" si="1027"/>
        <v>-2260.5393964678592</v>
      </c>
      <c r="T1072">
        <f t="shared" si="1028"/>
        <v>-2.2605393964678591</v>
      </c>
    </row>
    <row r="1073" spans="1:20" x14ac:dyDescent="0.25">
      <c r="A1073" s="5">
        <v>43520</v>
      </c>
      <c r="B1073">
        <v>9.3899999999999997E-2</v>
      </c>
      <c r="C1073">
        <v>9.7199999999999995E-2</v>
      </c>
      <c r="D1073">
        <v>8.0170000000000005E-2</v>
      </c>
      <c r="E1073">
        <v>8.1850000000000006E-2</v>
      </c>
      <c r="F1073">
        <v>108270811.2</v>
      </c>
      <c r="G1073">
        <v>0</v>
      </c>
      <c r="L1073" t="s">
        <v>8</v>
      </c>
      <c r="M1073" t="s">
        <v>8</v>
      </c>
      <c r="N1073" t="s">
        <v>7</v>
      </c>
      <c r="P1073">
        <f t="shared" si="1024"/>
        <v>-0.80270111567821467</v>
      </c>
      <c r="Q1073">
        <f t="shared" si="1025"/>
        <v>-86909100.94562535</v>
      </c>
      <c r="R1073">
        <f t="shared" si="1026"/>
        <v>-239405176.48127806</v>
      </c>
      <c r="S1073">
        <f t="shared" si="1027"/>
        <v>-2394.0517648127807</v>
      </c>
      <c r="T1073">
        <f t="shared" si="1028"/>
        <v>-2.3940517648127808</v>
      </c>
    </row>
    <row r="1074" spans="1:20" x14ac:dyDescent="0.25">
      <c r="A1074" s="5">
        <v>43519</v>
      </c>
      <c r="B1074">
        <v>9.0490000000000001E-2</v>
      </c>
      <c r="C1074">
        <v>9.597E-2</v>
      </c>
      <c r="D1074">
        <v>8.8789999999999994E-2</v>
      </c>
      <c r="E1074">
        <v>9.3890000000000001E-2</v>
      </c>
      <c r="F1074">
        <v>55817640.600000001</v>
      </c>
      <c r="G1074">
        <v>0</v>
      </c>
      <c r="L1074" t="s">
        <v>8</v>
      </c>
      <c r="M1074" t="s">
        <v>8</v>
      </c>
      <c r="N1074" t="s">
        <v>7</v>
      </c>
      <c r="P1074">
        <f t="shared" si="1024"/>
        <v>0.4206128133704744</v>
      </c>
      <c r="Q1074">
        <f t="shared" si="1025"/>
        <v>23477614.848468017</v>
      </c>
      <c r="R1074">
        <f t="shared" si="1026"/>
        <v>-152496075.53565273</v>
      </c>
      <c r="S1074">
        <f t="shared" si="1027"/>
        <v>-1524.9607553565272</v>
      </c>
      <c r="T1074">
        <f t="shared" si="1028"/>
        <v>-1.5249607553565272</v>
      </c>
    </row>
    <row r="1075" spans="1:20" x14ac:dyDescent="0.25">
      <c r="A1075" s="5">
        <v>43518</v>
      </c>
      <c r="B1075">
        <v>8.8590000000000002E-2</v>
      </c>
      <c r="C1075">
        <v>9.2299999999999993E-2</v>
      </c>
      <c r="D1075">
        <v>8.7999999999999995E-2</v>
      </c>
      <c r="E1075">
        <v>9.0399999999999994E-2</v>
      </c>
      <c r="F1075">
        <v>38300174.899999999</v>
      </c>
      <c r="G1075">
        <v>0</v>
      </c>
      <c r="L1075" t="s">
        <v>8</v>
      </c>
      <c r="M1075" t="s">
        <v>8</v>
      </c>
      <c r="N1075" t="s">
        <v>7</v>
      </c>
      <c r="P1075">
        <f t="shared" si="1024"/>
        <v>0.11627906976744201</v>
      </c>
      <c r="Q1075">
        <f t="shared" si="1025"/>
        <v>4453508.7093023313</v>
      </c>
      <c r="R1075">
        <f t="shared" si="1026"/>
        <v>-175973690.38412073</v>
      </c>
      <c r="S1075">
        <f t="shared" si="1027"/>
        <v>-1759.7369038412073</v>
      </c>
      <c r="T1075">
        <f t="shared" si="1028"/>
        <v>-1.7597369038412074</v>
      </c>
    </row>
    <row r="1076" spans="1:20" x14ac:dyDescent="0.25">
      <c r="A1076" s="5">
        <v>43517</v>
      </c>
      <c r="B1076">
        <v>9.2039999999999997E-2</v>
      </c>
      <c r="C1076">
        <v>9.4280000000000003E-2</v>
      </c>
      <c r="D1076">
        <v>8.7099999999999997E-2</v>
      </c>
      <c r="E1076">
        <v>8.8539999999999994E-2</v>
      </c>
      <c r="F1076">
        <v>82415770.799999997</v>
      </c>
      <c r="G1076">
        <v>0</v>
      </c>
      <c r="L1076" t="s">
        <v>8</v>
      </c>
      <c r="M1076" t="s">
        <v>8</v>
      </c>
      <c r="N1076" t="s">
        <v>7</v>
      </c>
      <c r="P1076">
        <f t="shared" si="1024"/>
        <v>-0.59888579387186747</v>
      </c>
      <c r="Q1076">
        <f t="shared" si="1025"/>
        <v>-49357634.323119871</v>
      </c>
      <c r="R1076">
        <f t="shared" si="1026"/>
        <v>-180427199.09342307</v>
      </c>
      <c r="S1076">
        <f t="shared" si="1027"/>
        <v>-1804.2719909342306</v>
      </c>
      <c r="T1076">
        <f t="shared" si="1028"/>
        <v>-1.8042719909342306</v>
      </c>
    </row>
    <row r="1077" spans="1:20" x14ac:dyDescent="0.25">
      <c r="A1077" s="5">
        <v>43516</v>
      </c>
      <c r="B1077">
        <v>8.9819999999999997E-2</v>
      </c>
      <c r="C1077">
        <v>9.2410000000000006E-2</v>
      </c>
      <c r="D1077">
        <v>8.5419999999999996E-2</v>
      </c>
      <c r="E1077">
        <v>9.1980000000000006E-2</v>
      </c>
      <c r="F1077">
        <v>110275238.90000001</v>
      </c>
      <c r="G1077">
        <v>0</v>
      </c>
      <c r="L1077" t="s">
        <v>7</v>
      </c>
      <c r="M1077" t="s">
        <v>8</v>
      </c>
      <c r="N1077" t="s">
        <v>7</v>
      </c>
      <c r="P1077">
        <f t="shared" si="1024"/>
        <v>0.87696709585121624</v>
      </c>
      <c r="Q1077">
        <f t="shared" si="1025"/>
        <v>96707756.002432078</v>
      </c>
      <c r="R1077">
        <f t="shared" si="1026"/>
        <v>-131069564.77030319</v>
      </c>
      <c r="S1077">
        <f t="shared" si="1027"/>
        <v>-1310.6956477030319</v>
      </c>
      <c r="T1077">
        <f t="shared" si="1028"/>
        <v>-1.3106956477030318</v>
      </c>
    </row>
    <row r="1078" spans="1:20" x14ac:dyDescent="0.25">
      <c r="A1078" s="5">
        <v>43515</v>
      </c>
      <c r="B1078">
        <v>8.3580000000000002E-2</v>
      </c>
      <c r="C1078">
        <v>9.3439999999999995E-2</v>
      </c>
      <c r="D1078">
        <v>8.2379999999999995E-2</v>
      </c>
      <c r="E1078">
        <v>8.974E-2</v>
      </c>
      <c r="F1078">
        <v>173503486.59999999</v>
      </c>
      <c r="G1078">
        <v>0</v>
      </c>
      <c r="L1078" t="s">
        <v>8</v>
      </c>
      <c r="M1078" t="s">
        <v>8</v>
      </c>
      <c r="N1078" t="s">
        <v>7</v>
      </c>
      <c r="P1078">
        <f t="shared" si="1024"/>
        <v>0.33092224231464834</v>
      </c>
      <c r="Q1078">
        <f t="shared" si="1025"/>
        <v>57416162.83508154</v>
      </c>
      <c r="R1078">
        <f t="shared" si="1026"/>
        <v>-227777320.77273527</v>
      </c>
      <c r="S1078">
        <f t="shared" si="1027"/>
        <v>-2277.7732077273527</v>
      </c>
      <c r="T1078">
        <f t="shared" si="1028"/>
        <v>-2.2777732077273525</v>
      </c>
    </row>
    <row r="1079" spans="1:20" x14ac:dyDescent="0.25">
      <c r="A1079" s="5">
        <v>43514</v>
      </c>
      <c r="B1079">
        <v>7.9579999999999998E-2</v>
      </c>
      <c r="C1079">
        <v>8.4000000000000005E-2</v>
      </c>
      <c r="D1079">
        <v>7.868E-2</v>
      </c>
      <c r="E1079">
        <v>8.3710000000000007E-2</v>
      </c>
      <c r="F1079">
        <v>90707642.400000006</v>
      </c>
      <c r="G1079">
        <v>0</v>
      </c>
      <c r="L1079" t="s">
        <v>8</v>
      </c>
      <c r="M1079" t="s">
        <v>8</v>
      </c>
      <c r="N1079" t="s">
        <v>7</v>
      </c>
      <c r="P1079">
        <f t="shared" si="1024"/>
        <v>0.8909774436090232</v>
      </c>
      <c r="Q1079">
        <f t="shared" si="1025"/>
        <v>80818463.341353446</v>
      </c>
      <c r="R1079">
        <f t="shared" si="1026"/>
        <v>-285193483.60781682</v>
      </c>
      <c r="S1079">
        <f t="shared" si="1027"/>
        <v>-2851.9348360781682</v>
      </c>
      <c r="T1079">
        <f t="shared" si="1028"/>
        <v>-2.8519348360781684</v>
      </c>
    </row>
    <row r="1080" spans="1:20" x14ac:dyDescent="0.25">
      <c r="A1080" s="5">
        <v>43513</v>
      </c>
      <c r="B1080">
        <v>7.8049999999999994E-2</v>
      </c>
      <c r="C1080">
        <v>8.0500000000000002E-2</v>
      </c>
      <c r="D1080">
        <v>7.7380000000000004E-2</v>
      </c>
      <c r="E1080">
        <v>7.9640000000000002E-2</v>
      </c>
      <c r="F1080">
        <v>37932569.899999999</v>
      </c>
      <c r="G1080">
        <v>0</v>
      </c>
      <c r="L1080" t="s">
        <v>8</v>
      </c>
      <c r="M1080" t="s">
        <v>8</v>
      </c>
      <c r="N1080" t="s">
        <v>7</v>
      </c>
      <c r="P1080">
        <f t="shared" si="1024"/>
        <v>0.44871794871794857</v>
      </c>
      <c r="Q1080">
        <f t="shared" si="1025"/>
        <v>17021024.9551282</v>
      </c>
      <c r="R1080">
        <f t="shared" si="1026"/>
        <v>-366011946.94917029</v>
      </c>
      <c r="S1080">
        <f t="shared" si="1027"/>
        <v>-3660.1194694917031</v>
      </c>
      <c r="T1080">
        <f t="shared" si="1028"/>
        <v>-3.6601194694917032</v>
      </c>
    </row>
    <row r="1081" spans="1:20" x14ac:dyDescent="0.25">
      <c r="A1081" s="5">
        <v>43512</v>
      </c>
      <c r="B1081">
        <v>7.9159999999999994E-2</v>
      </c>
      <c r="C1081">
        <v>7.9390000000000002E-2</v>
      </c>
      <c r="D1081">
        <v>7.7499999999999999E-2</v>
      </c>
      <c r="E1081">
        <v>7.8109999999999999E-2</v>
      </c>
      <c r="F1081">
        <v>32045596.899999999</v>
      </c>
      <c r="G1081">
        <v>0</v>
      </c>
      <c r="L1081" t="s">
        <v>8</v>
      </c>
      <c r="M1081" t="s">
        <v>8</v>
      </c>
      <c r="N1081" t="s">
        <v>7</v>
      </c>
      <c r="P1081">
        <f t="shared" si="1024"/>
        <v>-0.35449735449735603</v>
      </c>
      <c r="Q1081">
        <f t="shared" si="1025"/>
        <v>-11360079.324338673</v>
      </c>
      <c r="R1081">
        <f t="shared" si="1026"/>
        <v>-383032971.90429848</v>
      </c>
      <c r="S1081">
        <f t="shared" si="1027"/>
        <v>-3830.3297190429848</v>
      </c>
      <c r="T1081">
        <f t="shared" si="1028"/>
        <v>-3.830329719042985</v>
      </c>
    </row>
    <row r="1082" spans="1:20" x14ac:dyDescent="0.25">
      <c r="A1082" s="5">
        <v>43511</v>
      </c>
      <c r="B1082">
        <v>7.6300000000000007E-2</v>
      </c>
      <c r="C1082">
        <v>8.1509999999999999E-2</v>
      </c>
      <c r="D1082">
        <v>7.5679999999999997E-2</v>
      </c>
      <c r="E1082">
        <v>7.9070000000000001E-2</v>
      </c>
      <c r="F1082">
        <v>88466367.200000003</v>
      </c>
      <c r="G1082">
        <v>0</v>
      </c>
      <c r="L1082" t="s">
        <v>8</v>
      </c>
      <c r="M1082" t="s">
        <v>8</v>
      </c>
      <c r="N1082" t="s">
        <v>7</v>
      </c>
      <c r="P1082">
        <f t="shared" si="1024"/>
        <v>0.16295025728988097</v>
      </c>
      <c r="Q1082">
        <f t="shared" si="1025"/>
        <v>14415617.296741087</v>
      </c>
      <c r="R1082">
        <f t="shared" si="1026"/>
        <v>-371672892.57995981</v>
      </c>
      <c r="S1082">
        <f t="shared" si="1027"/>
        <v>-3716.7289257995981</v>
      </c>
      <c r="T1082">
        <f t="shared" si="1028"/>
        <v>-3.7167289257995981</v>
      </c>
    </row>
    <row r="1083" spans="1:20" x14ac:dyDescent="0.25">
      <c r="A1083" s="5">
        <v>43510</v>
      </c>
      <c r="B1083">
        <v>7.6219999999999996E-2</v>
      </c>
      <c r="C1083">
        <v>7.6910000000000006E-2</v>
      </c>
      <c r="D1083">
        <v>7.4200000000000002E-2</v>
      </c>
      <c r="E1083">
        <v>7.6259999999999994E-2</v>
      </c>
      <c r="F1083">
        <v>45404967.200000003</v>
      </c>
      <c r="G1083">
        <v>0</v>
      </c>
      <c r="L1083" t="s">
        <v>7</v>
      </c>
      <c r="M1083" t="s">
        <v>8</v>
      </c>
      <c r="N1083" t="s">
        <v>7</v>
      </c>
      <c r="P1083">
        <f t="shared" si="1024"/>
        <v>0.52029520295202158</v>
      </c>
      <c r="Q1083">
        <f t="shared" si="1025"/>
        <v>23623986.624353886</v>
      </c>
      <c r="R1083">
        <f t="shared" si="1026"/>
        <v>-386088509.87670088</v>
      </c>
      <c r="S1083">
        <f t="shared" si="1027"/>
        <v>-3860.8850987670089</v>
      </c>
      <c r="T1083">
        <f t="shared" si="1028"/>
        <v>-3.8608850987670089</v>
      </c>
    </row>
    <row r="1084" spans="1:20" x14ac:dyDescent="0.25">
      <c r="A1084" s="5">
        <v>43509</v>
      </c>
      <c r="B1084">
        <v>7.7179999999999999E-2</v>
      </c>
      <c r="C1084">
        <v>7.8649999999999998E-2</v>
      </c>
      <c r="D1084">
        <v>7.5160000000000005E-2</v>
      </c>
      <c r="E1084">
        <v>7.6219999999999996E-2</v>
      </c>
      <c r="F1084">
        <v>33060013.199999999</v>
      </c>
      <c r="G1084">
        <v>0</v>
      </c>
      <c r="L1084" t="s">
        <v>7</v>
      </c>
      <c r="M1084" t="s">
        <v>8</v>
      </c>
      <c r="N1084" t="s">
        <v>7</v>
      </c>
      <c r="P1084">
        <f t="shared" si="1024"/>
        <v>-0.3925501432664793</v>
      </c>
      <c r="Q1084">
        <f t="shared" si="1025"/>
        <v>-12977712.918051697</v>
      </c>
      <c r="R1084">
        <f t="shared" si="1026"/>
        <v>-409712496.50105476</v>
      </c>
      <c r="S1084">
        <f t="shared" si="1027"/>
        <v>-4097.1249650105474</v>
      </c>
      <c r="T1084">
        <f t="shared" si="1028"/>
        <v>-4.097124965010547</v>
      </c>
    </row>
    <row r="1085" spans="1:20" x14ac:dyDescent="0.25">
      <c r="A1085" s="5">
        <v>43508</v>
      </c>
      <c r="B1085">
        <v>7.7079999999999996E-2</v>
      </c>
      <c r="C1085">
        <v>7.8060000000000004E-2</v>
      </c>
      <c r="D1085">
        <v>7.4639999999999998E-2</v>
      </c>
      <c r="E1085">
        <v>7.7179999999999999E-2</v>
      </c>
      <c r="F1085">
        <v>64773546.399999999</v>
      </c>
      <c r="G1085">
        <v>0</v>
      </c>
      <c r="L1085" t="s">
        <v>7</v>
      </c>
      <c r="M1085" t="s">
        <v>8</v>
      </c>
      <c r="N1085" t="s">
        <v>7</v>
      </c>
      <c r="P1085">
        <f t="shared" si="1024"/>
        <v>0.48538011695906191</v>
      </c>
      <c r="Q1085">
        <f t="shared" si="1025"/>
        <v>31439791.527485222</v>
      </c>
      <c r="R1085">
        <f t="shared" si="1026"/>
        <v>-396734783.58300304</v>
      </c>
      <c r="S1085">
        <f t="shared" si="1027"/>
        <v>-3967.3478358300304</v>
      </c>
      <c r="T1085">
        <f t="shared" si="1028"/>
        <v>-3.9673478358300303</v>
      </c>
    </row>
    <row r="1086" spans="1:20" x14ac:dyDescent="0.25">
      <c r="A1086" s="5">
        <v>43507</v>
      </c>
      <c r="B1086">
        <v>8.0320000000000003E-2</v>
      </c>
      <c r="C1086">
        <v>8.0659999999999996E-2</v>
      </c>
      <c r="D1086">
        <v>7.6429999999999998E-2</v>
      </c>
      <c r="E1086">
        <v>7.6999999999999999E-2</v>
      </c>
      <c r="F1086">
        <v>48908352.799999997</v>
      </c>
      <c r="G1086">
        <v>0</v>
      </c>
      <c r="L1086" t="s">
        <v>7</v>
      </c>
      <c r="M1086" t="s">
        <v>8</v>
      </c>
      <c r="N1086" t="s">
        <v>7</v>
      </c>
      <c r="P1086">
        <f t="shared" si="1024"/>
        <v>-0.73049645390070861</v>
      </c>
      <c r="Q1086">
        <f t="shared" si="1025"/>
        <v>-35727378.286524788</v>
      </c>
      <c r="R1086">
        <f t="shared" si="1026"/>
        <v>-428174575.11048824</v>
      </c>
      <c r="S1086">
        <f t="shared" si="1027"/>
        <v>-4281.7457511048824</v>
      </c>
      <c r="T1086">
        <f t="shared" si="1028"/>
        <v>-4.2817457511048822</v>
      </c>
    </row>
    <row r="1087" spans="1:20" x14ac:dyDescent="0.25">
      <c r="A1087" s="5">
        <v>43506</v>
      </c>
      <c r="B1087">
        <v>8.0759999999999998E-2</v>
      </c>
      <c r="C1087">
        <v>8.2000000000000003E-2</v>
      </c>
      <c r="D1087">
        <v>7.5499999999999998E-2</v>
      </c>
      <c r="E1087">
        <v>8.022E-2</v>
      </c>
      <c r="F1087">
        <v>94302782.299999997</v>
      </c>
      <c r="G1087">
        <v>0</v>
      </c>
      <c r="L1087" t="s">
        <v>7</v>
      </c>
      <c r="M1087" t="s">
        <v>8</v>
      </c>
      <c r="N1087" t="s">
        <v>7</v>
      </c>
      <c r="P1087">
        <f t="shared" ref="P1087:P1150" si="1029">IF(C1087=D1087,0,((E1087-D1087)-(C1087-E1087))/(C1087-D1087))</f>
        <v>0.45230769230769163</v>
      </c>
      <c r="Q1087">
        <f t="shared" ref="Q1087:Q1150" si="1030">F1087*P1087</f>
        <v>42653873.840307631</v>
      </c>
      <c r="R1087">
        <f t="shared" ref="R1087:R1150" si="1031">R1088+Q1087</f>
        <v>-392447196.82396346</v>
      </c>
      <c r="S1087">
        <f t="shared" ref="S1087:S1150" si="1032">R1087/100000</f>
        <v>-3924.4719682396344</v>
      </c>
      <c r="T1087">
        <f t="shared" ref="T1087:T1150" si="1033">S1087/1000</f>
        <v>-3.9244719682396343</v>
      </c>
    </row>
    <row r="1088" spans="1:20" x14ac:dyDescent="0.25">
      <c r="A1088" s="5">
        <v>43505</v>
      </c>
      <c r="B1088">
        <v>8.1439999999999999E-2</v>
      </c>
      <c r="C1088">
        <v>8.2199999999999995E-2</v>
      </c>
      <c r="D1088">
        <v>7.9219999999999999E-2</v>
      </c>
      <c r="E1088">
        <v>8.0689999999999998E-2</v>
      </c>
      <c r="F1088">
        <v>61187436.799999997</v>
      </c>
      <c r="G1088">
        <v>0</v>
      </c>
      <c r="L1088" t="s">
        <v>8</v>
      </c>
      <c r="M1088" t="s">
        <v>8</v>
      </c>
      <c r="N1088" t="s">
        <v>7</v>
      </c>
      <c r="P1088">
        <f t="shared" si="1029"/>
        <v>-1.3422818791945778E-2</v>
      </c>
      <c r="Q1088">
        <f t="shared" si="1030"/>
        <v>-821307.87651003455</v>
      </c>
      <c r="R1088">
        <f t="shared" si="1031"/>
        <v>-435101070.66427112</v>
      </c>
      <c r="S1088">
        <f t="shared" si="1032"/>
        <v>-4351.0107066427108</v>
      </c>
      <c r="T1088">
        <f t="shared" si="1033"/>
        <v>-4.3510107066427111</v>
      </c>
    </row>
    <row r="1089" spans="1:20" x14ac:dyDescent="0.25">
      <c r="A1089" s="5">
        <v>43504</v>
      </c>
      <c r="B1089">
        <v>7.4260000000000007E-2</v>
      </c>
      <c r="C1089">
        <v>8.3360000000000004E-2</v>
      </c>
      <c r="D1089">
        <v>7.3010000000000005E-2</v>
      </c>
      <c r="E1089">
        <v>8.1420000000000006E-2</v>
      </c>
      <c r="F1089">
        <v>85699626.799999997</v>
      </c>
      <c r="G1089">
        <v>0</v>
      </c>
      <c r="L1089" t="s">
        <v>8</v>
      </c>
      <c r="M1089" t="s">
        <v>8</v>
      </c>
      <c r="N1089" t="s">
        <v>7</v>
      </c>
      <c r="P1089">
        <f t="shared" si="1029"/>
        <v>0.62512077294686041</v>
      </c>
      <c r="Q1089">
        <f t="shared" si="1030"/>
        <v>53572616.946473472</v>
      </c>
      <c r="R1089">
        <f t="shared" si="1031"/>
        <v>-434279762.78776109</v>
      </c>
      <c r="S1089">
        <f t="shared" si="1032"/>
        <v>-4342.7976278776114</v>
      </c>
      <c r="T1089">
        <f t="shared" si="1033"/>
        <v>-4.3427976278776113</v>
      </c>
    </row>
    <row r="1090" spans="1:20" x14ac:dyDescent="0.25">
      <c r="A1090" s="5">
        <v>43503</v>
      </c>
      <c r="B1090">
        <v>7.4260000000000007E-2</v>
      </c>
      <c r="C1090">
        <v>7.7499999999999999E-2</v>
      </c>
      <c r="D1090">
        <v>7.0999999999999994E-2</v>
      </c>
      <c r="E1090">
        <v>7.4260000000000007E-2</v>
      </c>
      <c r="F1090">
        <v>49927985.100000001</v>
      </c>
      <c r="G1090">
        <v>0</v>
      </c>
      <c r="L1090" t="s">
        <v>7</v>
      </c>
      <c r="M1090" t="s">
        <v>7</v>
      </c>
      <c r="N1090" t="s">
        <v>7</v>
      </c>
      <c r="P1090">
        <f t="shared" si="1029"/>
        <v>3.0769230769261513E-3</v>
      </c>
      <c r="Q1090">
        <f t="shared" si="1030"/>
        <v>153624.56953861503</v>
      </c>
      <c r="R1090">
        <f t="shared" si="1031"/>
        <v>-487852379.73423457</v>
      </c>
      <c r="S1090">
        <f t="shared" si="1032"/>
        <v>-4878.5237973423455</v>
      </c>
      <c r="T1090">
        <f t="shared" si="1033"/>
        <v>-4.8785237973423454</v>
      </c>
    </row>
    <row r="1091" spans="1:20" x14ac:dyDescent="0.25">
      <c r="A1091" s="5">
        <v>43502</v>
      </c>
      <c r="B1091">
        <v>7.7060000000000003E-2</v>
      </c>
      <c r="C1091">
        <v>7.7509999999999996E-2</v>
      </c>
      <c r="D1091">
        <v>7.2410000000000002E-2</v>
      </c>
      <c r="E1091">
        <v>7.4260000000000007E-2</v>
      </c>
      <c r="F1091">
        <v>48707263.200000003</v>
      </c>
      <c r="G1091">
        <v>0</v>
      </c>
      <c r="L1091" t="s">
        <v>7</v>
      </c>
      <c r="M1091" t="s">
        <v>7</v>
      </c>
      <c r="N1091" t="s">
        <v>7</v>
      </c>
      <c r="P1091">
        <f t="shared" si="1029"/>
        <v>-0.27450980392156599</v>
      </c>
      <c r="Q1091">
        <f t="shared" si="1030"/>
        <v>-13370621.270588107</v>
      </c>
      <c r="R1091">
        <f t="shared" si="1031"/>
        <v>-488006004.30377316</v>
      </c>
      <c r="S1091">
        <f t="shared" si="1032"/>
        <v>-4880.0600430377317</v>
      </c>
      <c r="T1091">
        <f t="shared" si="1033"/>
        <v>-4.8800600430377319</v>
      </c>
    </row>
    <row r="1092" spans="1:20" x14ac:dyDescent="0.25">
      <c r="A1092" s="5">
        <v>43501</v>
      </c>
      <c r="B1092">
        <v>7.8609999999999999E-2</v>
      </c>
      <c r="C1092">
        <v>7.8799999999999995E-2</v>
      </c>
      <c r="D1092">
        <v>7.6270000000000004E-2</v>
      </c>
      <c r="E1092">
        <v>7.7020000000000005E-2</v>
      </c>
      <c r="F1092">
        <v>40870949.600000001</v>
      </c>
      <c r="G1092">
        <v>0</v>
      </c>
      <c r="L1092" t="s">
        <v>7</v>
      </c>
      <c r="M1092" t="s">
        <v>7</v>
      </c>
      <c r="N1092" t="s">
        <v>7</v>
      </c>
      <c r="P1092">
        <f t="shared" si="1029"/>
        <v>-0.40711462450592611</v>
      </c>
      <c r="Q1092">
        <f t="shared" si="1030"/>
        <v>-16639161.299604632</v>
      </c>
      <c r="R1092">
        <f t="shared" si="1031"/>
        <v>-474635383.03318506</v>
      </c>
      <c r="S1092">
        <f t="shared" si="1032"/>
        <v>-4746.353830331851</v>
      </c>
      <c r="T1092">
        <f t="shared" si="1033"/>
        <v>-4.7463538303318513</v>
      </c>
    </row>
    <row r="1093" spans="1:20" x14ac:dyDescent="0.25">
      <c r="A1093" s="5">
        <v>43500</v>
      </c>
      <c r="B1093">
        <v>8.0210000000000004E-2</v>
      </c>
      <c r="C1093">
        <v>8.097E-2</v>
      </c>
      <c r="D1093">
        <v>7.8579999999999997E-2</v>
      </c>
      <c r="E1093">
        <v>7.8619999999999995E-2</v>
      </c>
      <c r="F1093">
        <v>33619186.700000003</v>
      </c>
      <c r="G1093">
        <v>0</v>
      </c>
      <c r="L1093" t="s">
        <v>7</v>
      </c>
      <c r="M1093" t="s">
        <v>7</v>
      </c>
      <c r="N1093" t="s">
        <v>7</v>
      </c>
      <c r="P1093">
        <f t="shared" si="1029"/>
        <v>-0.96652719665272102</v>
      </c>
      <c r="Q1093">
        <f t="shared" si="1030"/>
        <v>-32493858.274895445</v>
      </c>
      <c r="R1093">
        <f t="shared" si="1031"/>
        <v>-457996221.73358041</v>
      </c>
      <c r="S1093">
        <f t="shared" si="1032"/>
        <v>-4579.9622173358039</v>
      </c>
      <c r="T1093">
        <f t="shared" si="1033"/>
        <v>-4.5799622173358037</v>
      </c>
    </row>
    <row r="1094" spans="1:20" x14ac:dyDescent="0.25">
      <c r="A1094" s="5">
        <v>43499</v>
      </c>
      <c r="B1094">
        <v>8.3049999999999999E-2</v>
      </c>
      <c r="C1094">
        <v>8.3180000000000004E-2</v>
      </c>
      <c r="D1094">
        <v>7.8280000000000002E-2</v>
      </c>
      <c r="E1094">
        <v>8.0119999999999997E-2</v>
      </c>
      <c r="F1094">
        <v>30371157.800000001</v>
      </c>
      <c r="G1094">
        <v>0</v>
      </c>
      <c r="L1094" t="s">
        <v>7</v>
      </c>
      <c r="M1094" t="s">
        <v>7</v>
      </c>
      <c r="N1094" t="s">
        <v>7</v>
      </c>
      <c r="P1094">
        <f t="shared" si="1029"/>
        <v>-0.24897959183673721</v>
      </c>
      <c r="Q1094">
        <f t="shared" si="1030"/>
        <v>-7561798.4726531375</v>
      </c>
      <c r="R1094">
        <f t="shared" si="1031"/>
        <v>-425502363.45868498</v>
      </c>
      <c r="S1094">
        <f t="shared" si="1032"/>
        <v>-4255.0236345868498</v>
      </c>
      <c r="T1094">
        <f t="shared" si="1033"/>
        <v>-4.2550236345868502</v>
      </c>
    </row>
    <row r="1095" spans="1:20" x14ac:dyDescent="0.25">
      <c r="A1095" s="5">
        <v>43498</v>
      </c>
      <c r="B1095">
        <v>8.0860000000000001E-2</v>
      </c>
      <c r="C1095">
        <v>8.3699999999999997E-2</v>
      </c>
      <c r="D1095">
        <v>8.0530000000000004E-2</v>
      </c>
      <c r="E1095">
        <v>8.3000000000000004E-2</v>
      </c>
      <c r="F1095">
        <v>27152104</v>
      </c>
      <c r="G1095">
        <v>0</v>
      </c>
      <c r="L1095" t="s">
        <v>7</v>
      </c>
      <c r="M1095" t="s">
        <v>7</v>
      </c>
      <c r="N1095" t="s">
        <v>7</v>
      </c>
      <c r="P1095">
        <f t="shared" si="1029"/>
        <v>0.55835962145110785</v>
      </c>
      <c r="Q1095">
        <f t="shared" si="1030"/>
        <v>15160638.51104111</v>
      </c>
      <c r="R1095">
        <f t="shared" si="1031"/>
        <v>-417940564.98603183</v>
      </c>
      <c r="S1095">
        <f t="shared" si="1032"/>
        <v>-4179.4056498603186</v>
      </c>
      <c r="T1095">
        <f t="shared" si="1033"/>
        <v>-4.1794056498603185</v>
      </c>
    </row>
    <row r="1096" spans="1:20" x14ac:dyDescent="0.25">
      <c r="A1096" s="5">
        <v>43497</v>
      </c>
      <c r="B1096">
        <v>8.1220000000000001E-2</v>
      </c>
      <c r="C1096">
        <v>8.3839999999999998E-2</v>
      </c>
      <c r="D1096">
        <v>7.8579999999999997E-2</v>
      </c>
      <c r="E1096">
        <v>8.0829999999999999E-2</v>
      </c>
      <c r="F1096">
        <v>54378699.700000003</v>
      </c>
      <c r="G1096">
        <v>0</v>
      </c>
      <c r="L1096" t="s">
        <v>7</v>
      </c>
      <c r="M1096" t="s">
        <v>7</v>
      </c>
      <c r="N1096" t="s">
        <v>7</v>
      </c>
      <c r="P1096">
        <f t="shared" si="1029"/>
        <v>-0.1444866920152085</v>
      </c>
      <c r="Q1096">
        <f t="shared" si="1030"/>
        <v>-7856998.4357414115</v>
      </c>
      <c r="R1096">
        <f t="shared" si="1031"/>
        <v>-433101203.49707294</v>
      </c>
      <c r="S1096">
        <f t="shared" si="1032"/>
        <v>-4331.0120349707295</v>
      </c>
      <c r="T1096">
        <f t="shared" si="1033"/>
        <v>-4.3310120349707297</v>
      </c>
    </row>
    <row r="1097" spans="1:20" x14ac:dyDescent="0.25">
      <c r="A1097" s="5">
        <v>43496</v>
      </c>
      <c r="B1097">
        <v>8.516E-2</v>
      </c>
      <c r="C1097">
        <v>8.7859999999999994E-2</v>
      </c>
      <c r="D1097">
        <v>8.0689999999999998E-2</v>
      </c>
      <c r="E1097">
        <v>8.115E-2</v>
      </c>
      <c r="F1097">
        <v>58590808.700000003</v>
      </c>
      <c r="G1097">
        <v>0</v>
      </c>
      <c r="L1097" t="s">
        <v>7</v>
      </c>
      <c r="M1097" t="s">
        <v>7</v>
      </c>
      <c r="N1097" t="s">
        <v>7</v>
      </c>
      <c r="P1097">
        <f t="shared" si="1029"/>
        <v>-0.87168758716875805</v>
      </c>
      <c r="Q1097">
        <f t="shared" si="1030"/>
        <v>-51072880.665969282</v>
      </c>
      <c r="R1097">
        <f t="shared" si="1031"/>
        <v>-425244205.06133151</v>
      </c>
      <c r="S1097">
        <f t="shared" si="1032"/>
        <v>-4252.4420506133147</v>
      </c>
      <c r="T1097">
        <f t="shared" si="1033"/>
        <v>-4.2524420506133147</v>
      </c>
    </row>
    <row r="1098" spans="1:20" x14ac:dyDescent="0.25">
      <c r="A1098" s="5">
        <v>43495</v>
      </c>
      <c r="B1098">
        <v>8.2140000000000005E-2</v>
      </c>
      <c r="C1098">
        <v>8.8469999999999993E-2</v>
      </c>
      <c r="D1098">
        <v>8.0600000000000005E-2</v>
      </c>
      <c r="E1098">
        <v>8.5089999999999999E-2</v>
      </c>
      <c r="F1098">
        <v>60467747.700000003</v>
      </c>
      <c r="G1098">
        <v>0</v>
      </c>
      <c r="L1098" t="s">
        <v>8</v>
      </c>
      <c r="M1098" t="s">
        <v>7</v>
      </c>
      <c r="N1098" t="s">
        <v>7</v>
      </c>
      <c r="P1098">
        <f t="shared" si="1029"/>
        <v>0.14104193138500656</v>
      </c>
      <c r="Q1098">
        <f t="shared" si="1030"/>
        <v>8528487.9221092891</v>
      </c>
      <c r="R1098">
        <f t="shared" si="1031"/>
        <v>-374171324.3953622</v>
      </c>
      <c r="S1098">
        <f t="shared" si="1032"/>
        <v>-3741.7132439536222</v>
      </c>
      <c r="T1098">
        <f t="shared" si="1033"/>
        <v>-3.741713243953622</v>
      </c>
    </row>
    <row r="1099" spans="1:20" x14ac:dyDescent="0.25">
      <c r="A1099" s="5">
        <v>43494</v>
      </c>
      <c r="B1099">
        <v>8.5779999999999995E-2</v>
      </c>
      <c r="C1099">
        <v>8.7179999999999994E-2</v>
      </c>
      <c r="D1099">
        <v>8.0250000000000002E-2</v>
      </c>
      <c r="E1099">
        <v>8.2159999999999997E-2</v>
      </c>
      <c r="F1099">
        <v>58477819.5</v>
      </c>
      <c r="G1099">
        <v>0</v>
      </c>
      <c r="L1099" t="s">
        <v>7</v>
      </c>
      <c r="M1099" t="s">
        <v>7</v>
      </c>
      <c r="N1099" t="s">
        <v>7</v>
      </c>
      <c r="P1099">
        <f t="shared" si="1029"/>
        <v>-0.44877344877344955</v>
      </c>
      <c r="Q1099">
        <f t="shared" si="1030"/>
        <v>-26243292.73376628</v>
      </c>
      <c r="R1099">
        <f t="shared" si="1031"/>
        <v>-382699812.3174715</v>
      </c>
      <c r="S1099">
        <f t="shared" si="1032"/>
        <v>-3826.9981231747151</v>
      </c>
      <c r="T1099">
        <f t="shared" si="1033"/>
        <v>-3.826998123174715</v>
      </c>
    </row>
    <row r="1100" spans="1:20" x14ac:dyDescent="0.25">
      <c r="A1100" s="5">
        <v>43493</v>
      </c>
      <c r="B1100">
        <v>9.4339999999999993E-2</v>
      </c>
      <c r="C1100">
        <v>9.4710000000000003E-2</v>
      </c>
      <c r="D1100">
        <v>8.3049999999999999E-2</v>
      </c>
      <c r="E1100">
        <v>8.5830000000000004E-2</v>
      </c>
      <c r="F1100">
        <v>58244285.5</v>
      </c>
      <c r="G1100">
        <v>0</v>
      </c>
      <c r="L1100" t="s">
        <v>7</v>
      </c>
      <c r="M1100" t="s">
        <v>7</v>
      </c>
      <c r="N1100" t="s">
        <v>7</v>
      </c>
      <c r="P1100">
        <f t="shared" si="1029"/>
        <v>-0.52315608919382439</v>
      </c>
      <c r="Q1100">
        <f t="shared" si="1030"/>
        <v>-30470852.620068572</v>
      </c>
      <c r="R1100">
        <f t="shared" si="1031"/>
        <v>-356456519.58370525</v>
      </c>
      <c r="S1100">
        <f t="shared" si="1032"/>
        <v>-3564.5651958370527</v>
      </c>
      <c r="T1100">
        <f t="shared" si="1033"/>
        <v>-3.5645651958370528</v>
      </c>
    </row>
    <row r="1101" spans="1:20" x14ac:dyDescent="0.25">
      <c r="A1101" s="5">
        <v>43492</v>
      </c>
      <c r="B1101">
        <v>9.8129999999999995E-2</v>
      </c>
      <c r="C1101">
        <v>9.8330000000000001E-2</v>
      </c>
      <c r="D1101">
        <v>9.2950000000000005E-2</v>
      </c>
      <c r="E1101">
        <v>9.4299999999999995E-2</v>
      </c>
      <c r="F1101">
        <v>53865188.700000003</v>
      </c>
      <c r="G1101">
        <v>0</v>
      </c>
      <c r="L1101" t="s">
        <v>7</v>
      </c>
      <c r="M1101" t="s">
        <v>7</v>
      </c>
      <c r="N1101" t="s">
        <v>7</v>
      </c>
      <c r="P1101">
        <f t="shared" si="1029"/>
        <v>-0.49814126394052377</v>
      </c>
      <c r="Q1101">
        <f t="shared" si="1030"/>
        <v>-26832473.18141282</v>
      </c>
      <c r="R1101">
        <f t="shared" si="1031"/>
        <v>-325985666.9636367</v>
      </c>
      <c r="S1101">
        <f t="shared" si="1032"/>
        <v>-3259.8566696363669</v>
      </c>
      <c r="T1101">
        <f t="shared" si="1033"/>
        <v>-3.2598566696363669</v>
      </c>
    </row>
    <row r="1102" spans="1:20" x14ac:dyDescent="0.25">
      <c r="A1102" s="5">
        <v>43491</v>
      </c>
      <c r="B1102">
        <v>9.9470000000000003E-2</v>
      </c>
      <c r="C1102">
        <v>0.10391</v>
      </c>
      <c r="D1102">
        <v>9.6629999999999994E-2</v>
      </c>
      <c r="E1102">
        <v>9.8140000000000005E-2</v>
      </c>
      <c r="F1102">
        <v>48123918.700000003</v>
      </c>
      <c r="G1102">
        <v>0</v>
      </c>
      <c r="L1102" t="s">
        <v>7</v>
      </c>
      <c r="M1102" t="s">
        <v>7</v>
      </c>
      <c r="N1102" t="s">
        <v>7</v>
      </c>
      <c r="P1102">
        <f t="shared" si="1029"/>
        <v>-0.58516483516483253</v>
      </c>
      <c r="Q1102">
        <f t="shared" si="1030"/>
        <v>-28160424.953571305</v>
      </c>
      <c r="R1102">
        <f t="shared" si="1031"/>
        <v>-299153193.78222388</v>
      </c>
      <c r="S1102">
        <f t="shared" si="1032"/>
        <v>-2991.5319378222389</v>
      </c>
      <c r="T1102">
        <f t="shared" si="1033"/>
        <v>-2.9915319378222387</v>
      </c>
    </row>
    <row r="1103" spans="1:20" x14ac:dyDescent="0.25">
      <c r="A1103" s="5">
        <v>43490</v>
      </c>
      <c r="B1103">
        <v>0.10095999999999999</v>
      </c>
      <c r="C1103">
        <v>0.10098</v>
      </c>
      <c r="D1103">
        <v>9.7530000000000006E-2</v>
      </c>
      <c r="E1103">
        <v>9.9500000000000005E-2</v>
      </c>
      <c r="F1103">
        <v>19865568</v>
      </c>
      <c r="G1103">
        <v>0</v>
      </c>
      <c r="L1103" t="s">
        <v>7</v>
      </c>
      <c r="M1103" t="s">
        <v>7</v>
      </c>
      <c r="N1103" t="s">
        <v>7</v>
      </c>
      <c r="P1103">
        <f t="shared" si="1029"/>
        <v>0.14202898550724785</v>
      </c>
      <c r="Q1103">
        <f t="shared" si="1030"/>
        <v>2821486.4695652467</v>
      </c>
      <c r="R1103">
        <f t="shared" si="1031"/>
        <v>-270992768.82865256</v>
      </c>
      <c r="S1103">
        <f t="shared" si="1032"/>
        <v>-2709.9276882865256</v>
      </c>
      <c r="T1103">
        <f t="shared" si="1033"/>
        <v>-2.7099276882865255</v>
      </c>
    </row>
    <row r="1104" spans="1:20" x14ac:dyDescent="0.25">
      <c r="A1104" s="5">
        <v>43489</v>
      </c>
      <c r="B1104">
        <v>0.10073</v>
      </c>
      <c r="C1104">
        <v>0.10141</v>
      </c>
      <c r="D1104">
        <v>9.9279999999999993E-2</v>
      </c>
      <c r="E1104">
        <v>0.10100000000000001</v>
      </c>
      <c r="F1104">
        <v>19630183.5</v>
      </c>
      <c r="G1104">
        <v>0</v>
      </c>
      <c r="L1104" t="s">
        <v>7</v>
      </c>
      <c r="M1104" t="s">
        <v>7</v>
      </c>
      <c r="N1104" t="s">
        <v>7</v>
      </c>
      <c r="P1104">
        <f t="shared" si="1029"/>
        <v>0.61502347417841097</v>
      </c>
      <c r="Q1104">
        <f t="shared" si="1030"/>
        <v>12073023.65492972</v>
      </c>
      <c r="R1104">
        <f t="shared" si="1031"/>
        <v>-273814255.29821783</v>
      </c>
      <c r="S1104">
        <f t="shared" si="1032"/>
        <v>-2738.1425529821781</v>
      </c>
      <c r="T1104">
        <f t="shared" si="1033"/>
        <v>-2.7381425529821781</v>
      </c>
    </row>
    <row r="1105" spans="1:20" x14ac:dyDescent="0.25">
      <c r="A1105" s="5">
        <v>43488</v>
      </c>
      <c r="B1105">
        <v>0.10202</v>
      </c>
      <c r="C1105">
        <v>0.10287</v>
      </c>
      <c r="D1105">
        <v>9.8720000000000002E-2</v>
      </c>
      <c r="E1105">
        <v>0.10068000000000001</v>
      </c>
      <c r="F1105">
        <v>24497735.699999999</v>
      </c>
      <c r="G1105">
        <v>0</v>
      </c>
      <c r="L1105" t="s">
        <v>7</v>
      </c>
      <c r="M1105" t="s">
        <v>7</v>
      </c>
      <c r="N1105" t="s">
        <v>7</v>
      </c>
      <c r="P1105">
        <f t="shared" si="1029"/>
        <v>-5.5421686746986519E-2</v>
      </c>
      <c r="Q1105">
        <f t="shared" si="1030"/>
        <v>-1357705.8339758685</v>
      </c>
      <c r="R1105">
        <f t="shared" si="1031"/>
        <v>-285887278.95314753</v>
      </c>
      <c r="S1105">
        <f t="shared" si="1032"/>
        <v>-2858.8727895314755</v>
      </c>
      <c r="T1105">
        <f t="shared" si="1033"/>
        <v>-2.8588727895314756</v>
      </c>
    </row>
    <row r="1106" spans="1:20" x14ac:dyDescent="0.25">
      <c r="A1106" s="5">
        <v>43487</v>
      </c>
      <c r="B1106">
        <v>0.10142</v>
      </c>
      <c r="C1106">
        <v>0.1032</v>
      </c>
      <c r="D1106">
        <v>9.8369999999999999E-2</v>
      </c>
      <c r="E1106">
        <v>0.10209</v>
      </c>
      <c r="F1106">
        <v>33709460.399999999</v>
      </c>
      <c r="G1106">
        <v>0</v>
      </c>
      <c r="L1106" t="s">
        <v>7</v>
      </c>
      <c r="M1106" t="s">
        <v>7</v>
      </c>
      <c r="N1106" t="s">
        <v>7</v>
      </c>
      <c r="P1106">
        <f t="shared" si="1029"/>
        <v>0.54037267080745355</v>
      </c>
      <c r="Q1106">
        <f t="shared" si="1030"/>
        <v>18215671.14782609</v>
      </c>
      <c r="R1106">
        <f t="shared" si="1031"/>
        <v>-284529573.11917168</v>
      </c>
      <c r="S1106">
        <f t="shared" si="1032"/>
        <v>-2845.2957311917166</v>
      </c>
      <c r="T1106">
        <f t="shared" si="1033"/>
        <v>-2.8452957311917166</v>
      </c>
    </row>
    <row r="1107" spans="1:20" x14ac:dyDescent="0.25">
      <c r="A1107" s="5">
        <v>43486</v>
      </c>
      <c r="B1107">
        <v>0.10289</v>
      </c>
      <c r="C1107">
        <v>0.1033</v>
      </c>
      <c r="D1107">
        <v>9.9739999999999995E-2</v>
      </c>
      <c r="E1107">
        <v>0.10138999999999999</v>
      </c>
      <c r="F1107">
        <v>30834243.600000001</v>
      </c>
      <c r="G1107">
        <v>0</v>
      </c>
      <c r="L1107" t="s">
        <v>7</v>
      </c>
      <c r="M1107" t="s">
        <v>7</v>
      </c>
      <c r="N1107" t="s">
        <v>7</v>
      </c>
      <c r="P1107">
        <f t="shared" si="1029"/>
        <v>-7.3033707865171257E-2</v>
      </c>
      <c r="Q1107">
        <f t="shared" si="1030"/>
        <v>-2251939.1393259265</v>
      </c>
      <c r="R1107">
        <f t="shared" si="1031"/>
        <v>-302745244.26699775</v>
      </c>
      <c r="S1107">
        <f t="shared" si="1032"/>
        <v>-3027.4524426699777</v>
      </c>
      <c r="T1107">
        <f t="shared" si="1033"/>
        <v>-3.0274524426699778</v>
      </c>
    </row>
    <row r="1108" spans="1:20" x14ac:dyDescent="0.25">
      <c r="A1108" s="5">
        <v>43485</v>
      </c>
      <c r="B1108">
        <v>0.10655000000000001</v>
      </c>
      <c r="C1108">
        <v>0.10768</v>
      </c>
      <c r="D1108">
        <v>0.10067</v>
      </c>
      <c r="E1108">
        <v>0.10289</v>
      </c>
      <c r="F1108">
        <v>41630238</v>
      </c>
      <c r="G1108">
        <v>0</v>
      </c>
      <c r="L1108" t="s">
        <v>7</v>
      </c>
      <c r="M1108" t="s">
        <v>7</v>
      </c>
      <c r="N1108" t="s">
        <v>7</v>
      </c>
      <c r="P1108">
        <f t="shared" si="1029"/>
        <v>-0.36661911554921567</v>
      </c>
      <c r="Q1108">
        <f t="shared" si="1030"/>
        <v>-15262441.03566335</v>
      </c>
      <c r="R1108">
        <f t="shared" si="1031"/>
        <v>-300493305.12767184</v>
      </c>
      <c r="S1108">
        <f t="shared" si="1032"/>
        <v>-3004.9330512767183</v>
      </c>
      <c r="T1108">
        <f t="shared" si="1033"/>
        <v>-3.0049330512767183</v>
      </c>
    </row>
    <row r="1109" spans="1:20" x14ac:dyDescent="0.25">
      <c r="A1109" s="5">
        <v>43484</v>
      </c>
      <c r="B1109">
        <v>0.10561</v>
      </c>
      <c r="C1109">
        <v>0.1096</v>
      </c>
      <c r="D1109">
        <v>0.10521</v>
      </c>
      <c r="E1109">
        <v>0.10650999999999999</v>
      </c>
      <c r="F1109">
        <v>31975911.600000001</v>
      </c>
      <c r="G1109">
        <v>0</v>
      </c>
      <c r="L1109" t="s">
        <v>8</v>
      </c>
      <c r="M1109" t="s">
        <v>7</v>
      </c>
      <c r="N1109" t="s">
        <v>7</v>
      </c>
      <c r="P1109">
        <f t="shared" si="1029"/>
        <v>-0.40774487471526466</v>
      </c>
      <c r="Q1109">
        <f t="shared" si="1030"/>
        <v>-13038014.069248378</v>
      </c>
      <c r="R1109">
        <f t="shared" si="1031"/>
        <v>-285230864.09200847</v>
      </c>
      <c r="S1109">
        <f t="shared" si="1032"/>
        <v>-2852.3086409200846</v>
      </c>
      <c r="T1109">
        <f t="shared" si="1033"/>
        <v>-2.8523086409200844</v>
      </c>
    </row>
    <row r="1110" spans="1:20" x14ac:dyDescent="0.25">
      <c r="A1110" s="5">
        <v>43483</v>
      </c>
      <c r="B1110">
        <v>0.10713</v>
      </c>
      <c r="C1110">
        <v>0.10748000000000001</v>
      </c>
      <c r="D1110">
        <v>0.10428</v>
      </c>
      <c r="E1110">
        <v>0.10542</v>
      </c>
      <c r="F1110">
        <v>17173987.199999999</v>
      </c>
      <c r="G1110">
        <v>0</v>
      </c>
      <c r="L1110" t="s">
        <v>7</v>
      </c>
      <c r="M1110" t="s">
        <v>7</v>
      </c>
      <c r="N1110" t="s">
        <v>7</v>
      </c>
      <c r="P1110">
        <f t="shared" si="1029"/>
        <v>-0.28750000000000053</v>
      </c>
      <c r="Q1110">
        <f t="shared" si="1030"/>
        <v>-4937521.3200000087</v>
      </c>
      <c r="R1110">
        <f t="shared" si="1031"/>
        <v>-272192850.02276009</v>
      </c>
      <c r="S1110">
        <f t="shared" si="1032"/>
        <v>-2721.928500227601</v>
      </c>
      <c r="T1110">
        <f t="shared" si="1033"/>
        <v>-2.7219285002276012</v>
      </c>
    </row>
    <row r="1111" spans="1:20" x14ac:dyDescent="0.25">
      <c r="A1111" s="5">
        <v>43482</v>
      </c>
      <c r="B1111">
        <v>0.10555</v>
      </c>
      <c r="C1111">
        <v>0.1087</v>
      </c>
      <c r="D1111">
        <v>0.1024</v>
      </c>
      <c r="E1111">
        <v>0.10712000000000001</v>
      </c>
      <c r="F1111">
        <v>33367460.600000001</v>
      </c>
      <c r="G1111">
        <v>0</v>
      </c>
      <c r="L1111" t="s">
        <v>7</v>
      </c>
      <c r="M1111" t="s">
        <v>7</v>
      </c>
      <c r="N1111" t="s">
        <v>7</v>
      </c>
      <c r="P1111">
        <f t="shared" si="1029"/>
        <v>0.49841269841269903</v>
      </c>
      <c r="Q1111">
        <f t="shared" si="1030"/>
        <v>16630766.076825418</v>
      </c>
      <c r="R1111">
        <f t="shared" si="1031"/>
        <v>-267255328.70276007</v>
      </c>
      <c r="S1111">
        <f t="shared" si="1032"/>
        <v>-2672.5532870276006</v>
      </c>
      <c r="T1111">
        <f t="shared" si="1033"/>
        <v>-2.6725532870276005</v>
      </c>
    </row>
    <row r="1112" spans="1:20" x14ac:dyDescent="0.25">
      <c r="A1112" s="5">
        <v>43481</v>
      </c>
      <c r="B1112">
        <v>0.10383000000000001</v>
      </c>
      <c r="C1112">
        <v>0.10763</v>
      </c>
      <c r="D1112">
        <v>0.10335</v>
      </c>
      <c r="E1112">
        <v>0.10551000000000001</v>
      </c>
      <c r="F1112">
        <v>19928841.399999999</v>
      </c>
      <c r="G1112">
        <v>0</v>
      </c>
      <c r="L1112" t="s">
        <v>7</v>
      </c>
      <c r="M1112" t="s">
        <v>7</v>
      </c>
      <c r="N1112" t="s">
        <v>7</v>
      </c>
      <c r="P1112">
        <f t="shared" si="1029"/>
        <v>9.3457943925262122E-3</v>
      </c>
      <c r="Q1112">
        <f t="shared" si="1030"/>
        <v>186250.85420566422</v>
      </c>
      <c r="R1112">
        <f t="shared" si="1031"/>
        <v>-283886094.77958548</v>
      </c>
      <c r="S1112">
        <f t="shared" si="1032"/>
        <v>-2838.8609477958548</v>
      </c>
      <c r="T1112">
        <f t="shared" si="1033"/>
        <v>-2.8388609477958546</v>
      </c>
    </row>
    <row r="1113" spans="1:20" x14ac:dyDescent="0.25">
      <c r="A1113" s="5">
        <v>43480</v>
      </c>
      <c r="B1113">
        <v>0.10732</v>
      </c>
      <c r="C1113">
        <v>0.10815</v>
      </c>
      <c r="D1113">
        <v>0.10227</v>
      </c>
      <c r="E1113">
        <v>0.1037</v>
      </c>
      <c r="F1113">
        <v>33954473</v>
      </c>
      <c r="G1113">
        <v>0</v>
      </c>
      <c r="L1113" t="s">
        <v>7</v>
      </c>
      <c r="M1113" t="s">
        <v>7</v>
      </c>
      <c r="N1113" t="s">
        <v>7</v>
      </c>
      <c r="P1113">
        <f t="shared" si="1029"/>
        <v>-0.51360544217687021</v>
      </c>
      <c r="Q1113">
        <f t="shared" si="1030"/>
        <v>-17439202.119047601</v>
      </c>
      <c r="R1113">
        <f t="shared" si="1031"/>
        <v>-284072345.63379115</v>
      </c>
      <c r="S1113">
        <f t="shared" si="1032"/>
        <v>-2840.7234563379116</v>
      </c>
      <c r="T1113">
        <f t="shared" si="1033"/>
        <v>-2.8407234563379116</v>
      </c>
    </row>
    <row r="1114" spans="1:20" x14ac:dyDescent="0.25">
      <c r="A1114" s="5">
        <v>43479</v>
      </c>
      <c r="B1114">
        <v>0.1011</v>
      </c>
      <c r="C1114">
        <v>0.10895000000000001</v>
      </c>
      <c r="D1114">
        <v>0.10102999999999999</v>
      </c>
      <c r="E1114">
        <v>0.10732</v>
      </c>
      <c r="F1114">
        <v>48781156.600000001</v>
      </c>
      <c r="G1114">
        <v>0</v>
      </c>
      <c r="L1114" t="s">
        <v>8</v>
      </c>
      <c r="M1114" t="s">
        <v>7</v>
      </c>
      <c r="N1114" t="s">
        <v>7</v>
      </c>
      <c r="P1114">
        <f t="shared" si="1029"/>
        <v>0.58838383838383734</v>
      </c>
      <c r="Q1114">
        <f t="shared" si="1030"/>
        <v>28702044.161111061</v>
      </c>
      <c r="R1114">
        <f t="shared" si="1031"/>
        <v>-266633143.51474357</v>
      </c>
      <c r="S1114">
        <f t="shared" si="1032"/>
        <v>-2666.3314351474355</v>
      </c>
      <c r="T1114">
        <f t="shared" si="1033"/>
        <v>-2.6663314351474354</v>
      </c>
    </row>
    <row r="1115" spans="1:20" x14ac:dyDescent="0.25">
      <c r="A1115" s="5">
        <v>43478</v>
      </c>
      <c r="B1115">
        <v>0.10451000000000001</v>
      </c>
      <c r="C1115">
        <v>0.11094999999999999</v>
      </c>
      <c r="D1115">
        <v>9.8379999999999995E-2</v>
      </c>
      <c r="E1115">
        <v>0.10102</v>
      </c>
      <c r="F1115">
        <v>65655302.899999999</v>
      </c>
      <c r="G1115">
        <v>0</v>
      </c>
      <c r="L1115" t="s">
        <v>7</v>
      </c>
      <c r="M1115" t="s">
        <v>7</v>
      </c>
      <c r="N1115" t="s">
        <v>7</v>
      </c>
      <c r="P1115">
        <f t="shared" si="1029"/>
        <v>-0.57995226730310201</v>
      </c>
      <c r="Q1115">
        <f t="shared" si="1030"/>
        <v>-38076941.777326927</v>
      </c>
      <c r="R1115">
        <f t="shared" si="1031"/>
        <v>-295335187.67585462</v>
      </c>
      <c r="S1115">
        <f t="shared" si="1032"/>
        <v>-2953.351876758546</v>
      </c>
      <c r="T1115">
        <f t="shared" si="1033"/>
        <v>-2.9533518767585458</v>
      </c>
    </row>
    <row r="1116" spans="1:20" x14ac:dyDescent="0.25">
      <c r="A1116" s="5">
        <v>43477</v>
      </c>
      <c r="B1116">
        <v>0.10385</v>
      </c>
      <c r="C1116">
        <v>0.10487</v>
      </c>
      <c r="D1116">
        <v>0.10241</v>
      </c>
      <c r="E1116">
        <v>0.10446999999999999</v>
      </c>
      <c r="F1116">
        <v>34918334.200000003</v>
      </c>
      <c r="G1116">
        <v>0</v>
      </c>
      <c r="L1116" t="s">
        <v>7</v>
      </c>
      <c r="M1116" t="s">
        <v>7</v>
      </c>
      <c r="N1116" t="s">
        <v>7</v>
      </c>
      <c r="P1116">
        <f t="shared" si="1029"/>
        <v>0.67479674796747091</v>
      </c>
      <c r="Q1116">
        <f t="shared" si="1030"/>
        <v>23562778.362601321</v>
      </c>
      <c r="R1116">
        <f t="shared" si="1031"/>
        <v>-257258245.89852771</v>
      </c>
      <c r="S1116">
        <f t="shared" si="1032"/>
        <v>-2572.5824589852773</v>
      </c>
      <c r="T1116">
        <f t="shared" si="1033"/>
        <v>-2.5725824589852775</v>
      </c>
    </row>
    <row r="1117" spans="1:20" x14ac:dyDescent="0.25">
      <c r="A1117" s="5">
        <v>43476</v>
      </c>
      <c r="B1117">
        <v>0.10595</v>
      </c>
      <c r="C1117">
        <v>0.10711</v>
      </c>
      <c r="D1117">
        <v>0.10125000000000001</v>
      </c>
      <c r="E1117">
        <v>0.10385</v>
      </c>
      <c r="F1117">
        <v>59381883.399999999</v>
      </c>
      <c r="G1117">
        <v>0</v>
      </c>
      <c r="L1117" t="s">
        <v>7</v>
      </c>
      <c r="M1117" t="s">
        <v>7</v>
      </c>
      <c r="N1117" t="s">
        <v>7</v>
      </c>
      <c r="P1117">
        <f t="shared" si="1029"/>
        <v>-0.11262798634812439</v>
      </c>
      <c r="Q1117">
        <f t="shared" si="1030"/>
        <v>-6688061.9529011138</v>
      </c>
      <c r="R1117">
        <f t="shared" si="1031"/>
        <v>-280821024.26112902</v>
      </c>
      <c r="S1117">
        <f t="shared" si="1032"/>
        <v>-2808.2102426112901</v>
      </c>
      <c r="T1117">
        <f t="shared" si="1033"/>
        <v>-2.80821024261129</v>
      </c>
    </row>
    <row r="1118" spans="1:20" x14ac:dyDescent="0.25">
      <c r="A1118" s="5">
        <v>43475</v>
      </c>
      <c r="B1118">
        <v>0.12253</v>
      </c>
      <c r="C1118">
        <v>0.12756999999999999</v>
      </c>
      <c r="D1118">
        <v>0.10120999999999999</v>
      </c>
      <c r="E1118">
        <v>0.10595</v>
      </c>
      <c r="F1118">
        <v>99969300.900000006</v>
      </c>
      <c r="G1118">
        <v>0</v>
      </c>
      <c r="L1118" t="s">
        <v>8</v>
      </c>
      <c r="M1118" t="s">
        <v>7</v>
      </c>
      <c r="N1118" t="s">
        <v>7</v>
      </c>
      <c r="P1118">
        <f t="shared" si="1029"/>
        <v>-0.64036418816388396</v>
      </c>
      <c r="Q1118">
        <f t="shared" si="1030"/>
        <v>-64016760.212139539</v>
      </c>
      <c r="R1118">
        <f t="shared" si="1031"/>
        <v>-274132962.3082279</v>
      </c>
      <c r="S1118">
        <f t="shared" si="1032"/>
        <v>-2741.3296230822789</v>
      </c>
      <c r="T1118">
        <f t="shared" si="1033"/>
        <v>-2.741329623082279</v>
      </c>
    </row>
    <row r="1119" spans="1:20" x14ac:dyDescent="0.25">
      <c r="A1119" s="5">
        <v>43474</v>
      </c>
      <c r="B1119">
        <v>0.12157999999999999</v>
      </c>
      <c r="C1119">
        <v>0.12316000000000001</v>
      </c>
      <c r="D1119">
        <v>0.11998</v>
      </c>
      <c r="E1119">
        <v>0.1225</v>
      </c>
      <c r="F1119">
        <v>46637146.100000001</v>
      </c>
      <c r="G1119">
        <v>0</v>
      </c>
      <c r="L1119" t="s">
        <v>8</v>
      </c>
      <c r="M1119" t="s">
        <v>8</v>
      </c>
      <c r="N1119" t="s">
        <v>8</v>
      </c>
      <c r="P1119">
        <f t="shared" si="1029"/>
        <v>0.58490566037735392</v>
      </c>
      <c r="Q1119">
        <f t="shared" si="1030"/>
        <v>27278330.737735637</v>
      </c>
      <c r="R1119">
        <f t="shared" si="1031"/>
        <v>-210116202.09608838</v>
      </c>
      <c r="S1119">
        <f t="shared" si="1032"/>
        <v>-2101.1620209608836</v>
      </c>
      <c r="T1119">
        <f t="shared" si="1033"/>
        <v>-2.1011620209608837</v>
      </c>
    </row>
    <row r="1120" spans="1:20" x14ac:dyDescent="0.25">
      <c r="A1120" s="5">
        <v>43473</v>
      </c>
      <c r="B1120">
        <v>0.12221</v>
      </c>
      <c r="C1120">
        <v>0.12470000000000001</v>
      </c>
      <c r="D1120">
        <v>0.1177</v>
      </c>
      <c r="E1120">
        <v>0.12153</v>
      </c>
      <c r="F1120">
        <v>60831886.399999999</v>
      </c>
      <c r="G1120">
        <v>0</v>
      </c>
      <c r="L1120" t="s">
        <v>8</v>
      </c>
      <c r="M1120" t="s">
        <v>8</v>
      </c>
      <c r="N1120" t="s">
        <v>8</v>
      </c>
      <c r="P1120">
        <f t="shared" si="1029"/>
        <v>9.4285714285713335E-2</v>
      </c>
      <c r="Q1120">
        <f t="shared" si="1030"/>
        <v>5735577.8605713705</v>
      </c>
      <c r="R1120">
        <f t="shared" si="1031"/>
        <v>-237394532.83382401</v>
      </c>
      <c r="S1120">
        <f t="shared" si="1032"/>
        <v>-2373.94532833824</v>
      </c>
      <c r="T1120">
        <f t="shared" si="1033"/>
        <v>-2.3739453283382401</v>
      </c>
    </row>
    <row r="1121" spans="1:20" x14ac:dyDescent="0.25">
      <c r="A1121" s="5">
        <v>43472</v>
      </c>
      <c r="B1121">
        <v>0.11871</v>
      </c>
      <c r="C1121">
        <v>0.12402000000000001</v>
      </c>
      <c r="D1121">
        <v>0.1183</v>
      </c>
      <c r="E1121">
        <v>0.12232</v>
      </c>
      <c r="F1121">
        <v>69725772.799999997</v>
      </c>
      <c r="G1121">
        <v>0</v>
      </c>
      <c r="L1121" t="s">
        <v>8</v>
      </c>
      <c r="M1121" t="s">
        <v>8</v>
      </c>
      <c r="N1121" t="s">
        <v>8</v>
      </c>
      <c r="P1121">
        <f t="shared" si="1029"/>
        <v>0.40559440559440341</v>
      </c>
      <c r="Q1121">
        <f t="shared" si="1030"/>
        <v>28280383.373426419</v>
      </c>
      <c r="R1121">
        <f t="shared" si="1031"/>
        <v>-243130110.69439539</v>
      </c>
      <c r="S1121">
        <f t="shared" si="1032"/>
        <v>-2431.301106943954</v>
      </c>
      <c r="T1121">
        <f t="shared" si="1033"/>
        <v>-2.4313011069439541</v>
      </c>
    </row>
    <row r="1122" spans="1:20" x14ac:dyDescent="0.25">
      <c r="A1122" s="5">
        <v>43471</v>
      </c>
      <c r="B1122">
        <v>0.11161</v>
      </c>
      <c r="C1122">
        <v>0.11999</v>
      </c>
      <c r="D1122">
        <v>0.11046</v>
      </c>
      <c r="E1122">
        <v>0.11871</v>
      </c>
      <c r="F1122">
        <v>46045092.799999997</v>
      </c>
      <c r="G1122">
        <v>0</v>
      </c>
      <c r="L1122" t="s">
        <v>8</v>
      </c>
      <c r="M1122" t="s">
        <v>7</v>
      </c>
      <c r="N1122" t="s">
        <v>8</v>
      </c>
      <c r="P1122">
        <f t="shared" si="1029"/>
        <v>0.73137460650577046</v>
      </c>
      <c r="Q1122">
        <f t="shared" si="1030"/>
        <v>33676211.628121682</v>
      </c>
      <c r="R1122">
        <f t="shared" si="1031"/>
        <v>-271410494.0678218</v>
      </c>
      <c r="S1122">
        <f t="shared" si="1032"/>
        <v>-2714.1049406782181</v>
      </c>
      <c r="T1122">
        <f t="shared" si="1033"/>
        <v>-2.7141049406782183</v>
      </c>
    </row>
    <row r="1123" spans="1:20" x14ac:dyDescent="0.25">
      <c r="A1123" s="5">
        <v>43470</v>
      </c>
      <c r="B1123">
        <v>0.11276</v>
      </c>
      <c r="C1123">
        <v>0.11397</v>
      </c>
      <c r="D1123">
        <v>0.11108999999999999</v>
      </c>
      <c r="E1123">
        <v>0.11148</v>
      </c>
      <c r="F1123">
        <v>35826640.899999999</v>
      </c>
      <c r="G1123">
        <v>0</v>
      </c>
      <c r="L1123" t="s">
        <v>8</v>
      </c>
      <c r="M1123" t="s">
        <v>7</v>
      </c>
      <c r="N1123" t="s">
        <v>8</v>
      </c>
      <c r="P1123">
        <f t="shared" si="1029"/>
        <v>-0.72916666666666641</v>
      </c>
      <c r="Q1123">
        <f t="shared" si="1030"/>
        <v>-26123592.322916657</v>
      </c>
      <c r="R1123">
        <f t="shared" si="1031"/>
        <v>-305086705.69594347</v>
      </c>
      <c r="S1123">
        <f t="shared" si="1032"/>
        <v>-3050.8670569594346</v>
      </c>
      <c r="T1123">
        <f t="shared" si="1033"/>
        <v>-3.0508670569594347</v>
      </c>
    </row>
    <row r="1124" spans="1:20" x14ac:dyDescent="0.25">
      <c r="A1124" s="5">
        <v>43469</v>
      </c>
      <c r="B1124">
        <v>0.11146</v>
      </c>
      <c r="C1124">
        <v>0.1134</v>
      </c>
      <c r="D1124">
        <v>0.10922</v>
      </c>
      <c r="E1124">
        <v>0.11271</v>
      </c>
      <c r="F1124">
        <v>32717497.600000001</v>
      </c>
      <c r="G1124">
        <v>0</v>
      </c>
      <c r="L1124" t="s">
        <v>8</v>
      </c>
      <c r="M1124" t="s">
        <v>7</v>
      </c>
      <c r="N1124" t="s">
        <v>8</v>
      </c>
      <c r="P1124">
        <f t="shared" si="1029"/>
        <v>0.66985645933014559</v>
      </c>
      <c r="Q1124">
        <f t="shared" si="1030"/>
        <v>21916027.100478537</v>
      </c>
      <c r="R1124">
        <f t="shared" si="1031"/>
        <v>-278963113.37302685</v>
      </c>
      <c r="S1124">
        <f t="shared" si="1032"/>
        <v>-2789.6311337302686</v>
      </c>
      <c r="T1124">
        <f t="shared" si="1033"/>
        <v>-2.7896311337302686</v>
      </c>
    </row>
    <row r="1125" spans="1:20" x14ac:dyDescent="0.25">
      <c r="A1125" s="5">
        <v>43468</v>
      </c>
      <c r="B1125">
        <v>0.11654</v>
      </c>
      <c r="C1125">
        <v>0.11688</v>
      </c>
      <c r="D1125">
        <v>0.11017</v>
      </c>
      <c r="E1125">
        <v>0.11139</v>
      </c>
      <c r="F1125">
        <v>34837060.799999997</v>
      </c>
      <c r="G1125">
        <v>0</v>
      </c>
      <c r="L1125" t="s">
        <v>8</v>
      </c>
      <c r="M1125" t="s">
        <v>7</v>
      </c>
      <c r="N1125" t="s">
        <v>8</v>
      </c>
      <c r="P1125">
        <f t="shared" si="1029"/>
        <v>-0.63636363636363635</v>
      </c>
      <c r="Q1125">
        <f t="shared" si="1030"/>
        <v>-22169038.690909088</v>
      </c>
      <c r="R1125">
        <f t="shared" si="1031"/>
        <v>-300879140.47350538</v>
      </c>
      <c r="S1125">
        <f t="shared" si="1032"/>
        <v>-3008.7914047350537</v>
      </c>
      <c r="T1125">
        <f t="shared" si="1033"/>
        <v>-3.0087914047350535</v>
      </c>
    </row>
    <row r="1126" spans="1:20" x14ac:dyDescent="0.25">
      <c r="A1126" s="5">
        <v>43467</v>
      </c>
      <c r="B1126">
        <v>0.11366999999999999</v>
      </c>
      <c r="C1126">
        <v>0.1177</v>
      </c>
      <c r="D1126">
        <v>0.1115</v>
      </c>
      <c r="E1126">
        <v>0.11656</v>
      </c>
      <c r="F1126">
        <v>29386260.699999999</v>
      </c>
      <c r="G1126">
        <v>0</v>
      </c>
      <c r="L1126" t="s">
        <v>8</v>
      </c>
      <c r="M1126" t="s">
        <v>7</v>
      </c>
      <c r="N1126" t="s">
        <v>8</v>
      </c>
      <c r="P1126">
        <f t="shared" si="1029"/>
        <v>0.6322580645161282</v>
      </c>
      <c r="Q1126">
        <f t="shared" si="1030"/>
        <v>18579700.313548364</v>
      </c>
      <c r="R1126">
        <f t="shared" si="1031"/>
        <v>-278710101.78259629</v>
      </c>
      <c r="S1126">
        <f t="shared" si="1032"/>
        <v>-2787.101017825963</v>
      </c>
      <c r="T1126">
        <f t="shared" si="1033"/>
        <v>-2.7871010178259632</v>
      </c>
    </row>
    <row r="1127" spans="1:20" x14ac:dyDescent="0.25">
      <c r="A1127" s="5">
        <v>43466</v>
      </c>
      <c r="B1127">
        <v>0.11002000000000001</v>
      </c>
      <c r="C1127">
        <v>0.1138</v>
      </c>
      <c r="D1127">
        <v>0.10856</v>
      </c>
      <c r="E1127">
        <v>0.11351</v>
      </c>
      <c r="F1127">
        <v>21211564.899999999</v>
      </c>
      <c r="G1127">
        <v>0</v>
      </c>
      <c r="L1127" t="s">
        <v>7</v>
      </c>
      <c r="M1127" t="s">
        <v>7</v>
      </c>
      <c r="N1127" t="s">
        <v>8</v>
      </c>
      <c r="P1127">
        <f t="shared" si="1029"/>
        <v>0.88931297709923707</v>
      </c>
      <c r="Q1127">
        <f t="shared" si="1030"/>
        <v>18863719.930152681</v>
      </c>
      <c r="R1127">
        <f t="shared" si="1031"/>
        <v>-297289802.09614468</v>
      </c>
      <c r="S1127">
        <f t="shared" si="1032"/>
        <v>-2972.8980209614469</v>
      </c>
      <c r="T1127">
        <f t="shared" si="1033"/>
        <v>-2.9728980209614471</v>
      </c>
    </row>
    <row r="1128" spans="1:20" x14ac:dyDescent="0.25">
      <c r="A1128" s="5">
        <v>43465</v>
      </c>
      <c r="B1128">
        <v>0.11559999999999999</v>
      </c>
      <c r="C1128">
        <v>0.1162</v>
      </c>
      <c r="D1128">
        <v>0.10871</v>
      </c>
      <c r="E1128">
        <v>0.11002000000000001</v>
      </c>
      <c r="F1128">
        <v>38757375.200000003</v>
      </c>
      <c r="G1128">
        <v>0</v>
      </c>
      <c r="L1128" t="s">
        <v>7</v>
      </c>
      <c r="M1128" t="s">
        <v>7</v>
      </c>
      <c r="N1128" t="s">
        <v>8</v>
      </c>
      <c r="P1128">
        <f t="shared" si="1029"/>
        <v>-0.65020026702269529</v>
      </c>
      <c r="Q1128">
        <f t="shared" si="1030"/>
        <v>-25200055.704138789</v>
      </c>
      <c r="R1128">
        <f t="shared" si="1031"/>
        <v>-316153522.02629733</v>
      </c>
      <c r="S1128">
        <f t="shared" si="1032"/>
        <v>-3161.5352202629733</v>
      </c>
      <c r="T1128">
        <f t="shared" si="1033"/>
        <v>-3.1615352202629734</v>
      </c>
    </row>
    <row r="1129" spans="1:20" x14ac:dyDescent="0.25">
      <c r="A1129" s="5">
        <v>43464</v>
      </c>
      <c r="B1129">
        <v>0.11462</v>
      </c>
      <c r="C1129">
        <v>0.11748</v>
      </c>
      <c r="D1129">
        <v>0.11115</v>
      </c>
      <c r="E1129">
        <v>0.11556</v>
      </c>
      <c r="F1129">
        <v>37090038.5</v>
      </c>
      <c r="G1129">
        <v>0</v>
      </c>
      <c r="L1129" t="s">
        <v>7</v>
      </c>
      <c r="M1129" t="s">
        <v>7</v>
      </c>
      <c r="N1129" t="s">
        <v>8</v>
      </c>
      <c r="P1129">
        <f t="shared" si="1029"/>
        <v>0.39336492890995123</v>
      </c>
      <c r="Q1129">
        <f t="shared" si="1030"/>
        <v>14589920.357819853</v>
      </c>
      <c r="R1129">
        <f t="shared" si="1031"/>
        <v>-290953466.32215852</v>
      </c>
      <c r="S1129">
        <f t="shared" si="1032"/>
        <v>-2909.5346632215851</v>
      </c>
      <c r="T1129">
        <f t="shared" si="1033"/>
        <v>-2.909534663221585</v>
      </c>
    </row>
    <row r="1130" spans="1:20" x14ac:dyDescent="0.25">
      <c r="A1130" s="5">
        <v>43463</v>
      </c>
      <c r="B1130">
        <v>0.11881</v>
      </c>
      <c r="C1130">
        <v>0.12019000000000001</v>
      </c>
      <c r="D1130">
        <v>0.11402</v>
      </c>
      <c r="E1130">
        <v>0.11434999999999999</v>
      </c>
      <c r="F1130">
        <v>27352684.5</v>
      </c>
      <c r="G1130">
        <v>0</v>
      </c>
      <c r="L1130" t="s">
        <v>8</v>
      </c>
      <c r="M1130" t="s">
        <v>7</v>
      </c>
      <c r="N1130" t="s">
        <v>8</v>
      </c>
      <c r="P1130">
        <f t="shared" si="1029"/>
        <v>-0.89303079416531717</v>
      </c>
      <c r="Q1130">
        <f t="shared" si="1030"/>
        <v>-24426789.561588362</v>
      </c>
      <c r="R1130">
        <f t="shared" si="1031"/>
        <v>-305543386.67997837</v>
      </c>
      <c r="S1130">
        <f t="shared" si="1032"/>
        <v>-3055.4338667997836</v>
      </c>
      <c r="T1130">
        <f t="shared" si="1033"/>
        <v>-3.0554338667997838</v>
      </c>
    </row>
    <row r="1131" spans="1:20" x14ac:dyDescent="0.25">
      <c r="A1131" s="5">
        <v>43462</v>
      </c>
      <c r="B1131">
        <v>0.10728</v>
      </c>
      <c r="C1131">
        <v>0.12099</v>
      </c>
      <c r="D1131">
        <v>0.10634</v>
      </c>
      <c r="E1131">
        <v>0.11878</v>
      </c>
      <c r="F1131">
        <v>42768505.899999999</v>
      </c>
      <c r="G1131">
        <v>0</v>
      </c>
      <c r="L1131" t="s">
        <v>8</v>
      </c>
      <c r="M1131" t="s">
        <v>7</v>
      </c>
      <c r="N1131" t="s">
        <v>8</v>
      </c>
      <c r="P1131">
        <f t="shared" si="1029"/>
        <v>0.69829351535836115</v>
      </c>
      <c r="Q1131">
        <f t="shared" si="1030"/>
        <v>29864970.331535809</v>
      </c>
      <c r="R1131">
        <f t="shared" si="1031"/>
        <v>-281116597.11839002</v>
      </c>
      <c r="S1131">
        <f t="shared" si="1032"/>
        <v>-2811.1659711839002</v>
      </c>
      <c r="T1131">
        <f t="shared" si="1033"/>
        <v>-2.8111659711839003</v>
      </c>
    </row>
    <row r="1132" spans="1:20" x14ac:dyDescent="0.25">
      <c r="A1132" s="5">
        <v>43461</v>
      </c>
      <c r="B1132">
        <v>0.11836000000000001</v>
      </c>
      <c r="C1132">
        <v>0.11881</v>
      </c>
      <c r="D1132">
        <v>0.10595</v>
      </c>
      <c r="E1132">
        <v>0.10727</v>
      </c>
      <c r="F1132">
        <v>35936468.299999997</v>
      </c>
      <c r="G1132">
        <v>0</v>
      </c>
      <c r="L1132" t="s">
        <v>7</v>
      </c>
      <c r="M1132" t="s">
        <v>7</v>
      </c>
      <c r="N1132" t="s">
        <v>8</v>
      </c>
      <c r="P1132">
        <f t="shared" si="1029"/>
        <v>-0.7947122861586311</v>
      </c>
      <c r="Q1132">
        <f t="shared" si="1030"/>
        <v>-28559152.879160173</v>
      </c>
      <c r="R1132">
        <f t="shared" si="1031"/>
        <v>-310981567.44992584</v>
      </c>
      <c r="S1132">
        <f t="shared" si="1032"/>
        <v>-3109.8156744992584</v>
      </c>
      <c r="T1132">
        <f t="shared" si="1033"/>
        <v>-3.1098156744992584</v>
      </c>
    </row>
    <row r="1133" spans="1:20" x14ac:dyDescent="0.25">
      <c r="A1133" s="5">
        <v>43460</v>
      </c>
      <c r="B1133">
        <v>0.11856</v>
      </c>
      <c r="C1133">
        <v>0.12368999999999999</v>
      </c>
      <c r="D1133">
        <v>0.11251</v>
      </c>
      <c r="E1133">
        <v>0.11836000000000001</v>
      </c>
      <c r="F1133">
        <v>53882530.600000001</v>
      </c>
      <c r="G1133">
        <v>0</v>
      </c>
      <c r="L1133" t="s">
        <v>7</v>
      </c>
      <c r="M1133" t="s">
        <v>7</v>
      </c>
      <c r="N1133" t="s">
        <v>8</v>
      </c>
      <c r="P1133">
        <f t="shared" si="1029"/>
        <v>4.6511627906978589E-2</v>
      </c>
      <c r="Q1133">
        <f t="shared" si="1030"/>
        <v>2506164.2139535877</v>
      </c>
      <c r="R1133">
        <f t="shared" si="1031"/>
        <v>-282422414.57076567</v>
      </c>
      <c r="S1133">
        <f t="shared" si="1032"/>
        <v>-2824.2241457076566</v>
      </c>
      <c r="T1133">
        <f t="shared" si="1033"/>
        <v>-2.8242241457076567</v>
      </c>
    </row>
    <row r="1134" spans="1:20" x14ac:dyDescent="0.25">
      <c r="A1134" s="5">
        <v>43459</v>
      </c>
      <c r="B1134">
        <v>0.13077</v>
      </c>
      <c r="C1134">
        <v>0.13156999999999999</v>
      </c>
      <c r="D1134">
        <v>0.11391999999999999</v>
      </c>
      <c r="E1134">
        <v>0.11882</v>
      </c>
      <c r="F1134">
        <v>59412391.100000001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-0.44475920679886666</v>
      </c>
      <c r="Q1134">
        <f t="shared" si="1030"/>
        <v>-26424207.939660046</v>
      </c>
      <c r="R1134">
        <f t="shared" si="1031"/>
        <v>-284928578.78471929</v>
      </c>
      <c r="S1134">
        <f t="shared" si="1032"/>
        <v>-2849.2857878471928</v>
      </c>
      <c r="T1134">
        <f t="shared" si="1033"/>
        <v>-2.8492857878471929</v>
      </c>
    </row>
    <row r="1135" spans="1:20" x14ac:dyDescent="0.25">
      <c r="A1135" s="5">
        <v>43458</v>
      </c>
      <c r="B1135">
        <v>0.12466000000000001</v>
      </c>
      <c r="C1135">
        <v>0.14208000000000001</v>
      </c>
      <c r="D1135">
        <v>0.12436999999999999</v>
      </c>
      <c r="E1135">
        <v>0.13063</v>
      </c>
      <c r="F1135">
        <v>137567699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-0.29305477131564139</v>
      </c>
      <c r="Q1135">
        <f t="shared" si="1030"/>
        <v>-40314870.570863992</v>
      </c>
      <c r="R1135">
        <f t="shared" si="1031"/>
        <v>-258504370.84505925</v>
      </c>
      <c r="S1135">
        <f t="shared" si="1032"/>
        <v>-2585.0437084505925</v>
      </c>
      <c r="T1135">
        <f t="shared" si="1033"/>
        <v>-2.5850437084505926</v>
      </c>
    </row>
    <row r="1136" spans="1:20" x14ac:dyDescent="0.25">
      <c r="A1136" s="5">
        <v>43457</v>
      </c>
      <c r="B1136">
        <v>0.12009</v>
      </c>
      <c r="C1136">
        <v>0.12770000000000001</v>
      </c>
      <c r="D1136">
        <v>0.11899999999999999</v>
      </c>
      <c r="E1136">
        <v>0.12454</v>
      </c>
      <c r="F1136">
        <v>90016197.599999994</v>
      </c>
      <c r="G1136">
        <v>0</v>
      </c>
      <c r="L1136" t="s">
        <v>8</v>
      </c>
      <c r="M1136" t="s">
        <v>8</v>
      </c>
      <c r="N1136" t="s">
        <v>8</v>
      </c>
      <c r="P1136">
        <f t="shared" si="1029"/>
        <v>0.27356321839080339</v>
      </c>
      <c r="Q1136">
        <f t="shared" si="1030"/>
        <v>24625120.722758509</v>
      </c>
      <c r="R1136">
        <f t="shared" si="1031"/>
        <v>-218189500.27419525</v>
      </c>
      <c r="S1136">
        <f t="shared" si="1032"/>
        <v>-2181.8950027419523</v>
      </c>
      <c r="T1136">
        <f t="shared" si="1033"/>
        <v>-2.1818950027419524</v>
      </c>
    </row>
    <row r="1137" spans="1:20" x14ac:dyDescent="0.25">
      <c r="A1137" s="5">
        <v>43456</v>
      </c>
      <c r="B1137">
        <v>0.11849999999999999</v>
      </c>
      <c r="C1137">
        <v>0.12242</v>
      </c>
      <c r="D1137">
        <v>0.11466</v>
      </c>
      <c r="E1137">
        <v>0.1201</v>
      </c>
      <c r="F1137">
        <v>69963088</v>
      </c>
      <c r="G1137">
        <v>0</v>
      </c>
      <c r="L1137" t="s">
        <v>7</v>
      </c>
      <c r="M1137" t="s">
        <v>8</v>
      </c>
      <c r="N1137" t="s">
        <v>8</v>
      </c>
      <c r="P1137">
        <f t="shared" si="1029"/>
        <v>0.40206185567010266</v>
      </c>
      <c r="Q1137">
        <f t="shared" si="1030"/>
        <v>28129488.989690691</v>
      </c>
      <c r="R1137">
        <f t="shared" si="1031"/>
        <v>-242814620.99695376</v>
      </c>
      <c r="S1137">
        <f t="shared" si="1032"/>
        <v>-2428.1462099695377</v>
      </c>
      <c r="T1137">
        <f t="shared" si="1033"/>
        <v>-2.4281462099695377</v>
      </c>
    </row>
    <row r="1138" spans="1:20" x14ac:dyDescent="0.25">
      <c r="A1138" s="5">
        <v>43455</v>
      </c>
      <c r="B1138">
        <v>0.12413</v>
      </c>
      <c r="C1138">
        <v>0.13306999999999999</v>
      </c>
      <c r="D1138">
        <v>0.11456</v>
      </c>
      <c r="E1138">
        <v>0.11869</v>
      </c>
      <c r="F1138">
        <v>118579358.40000001</v>
      </c>
      <c r="G1138">
        <v>0</v>
      </c>
      <c r="L1138" t="s">
        <v>8</v>
      </c>
      <c r="M1138" t="s">
        <v>8</v>
      </c>
      <c r="N1138" t="s">
        <v>8</v>
      </c>
      <c r="P1138">
        <f t="shared" si="1029"/>
        <v>-0.55375472717449925</v>
      </c>
      <c r="Q1138">
        <f t="shared" si="1030"/>
        <v>-65663880.259319171</v>
      </c>
      <c r="R1138">
        <f t="shared" si="1031"/>
        <v>-270944109.98664445</v>
      </c>
      <c r="S1138">
        <f t="shared" si="1032"/>
        <v>-2709.4410998664443</v>
      </c>
      <c r="T1138">
        <f t="shared" si="1033"/>
        <v>-2.7094410998664444</v>
      </c>
    </row>
    <row r="1139" spans="1:20" x14ac:dyDescent="0.25">
      <c r="A1139" s="5">
        <v>43454</v>
      </c>
      <c r="B1139">
        <v>0.11166</v>
      </c>
      <c r="C1139">
        <v>0.12551000000000001</v>
      </c>
      <c r="D1139">
        <v>0.11001</v>
      </c>
      <c r="E1139">
        <v>0.12414</v>
      </c>
      <c r="F1139">
        <v>87964079.400000006</v>
      </c>
      <c r="G1139">
        <v>0</v>
      </c>
      <c r="L1139" t="s">
        <v>7</v>
      </c>
      <c r="M1139" t="s">
        <v>8</v>
      </c>
      <c r="N1139" t="s">
        <v>8</v>
      </c>
      <c r="P1139">
        <f t="shared" si="1029"/>
        <v>0.82322580645161181</v>
      </c>
      <c r="Q1139">
        <f t="shared" si="1030"/>
        <v>72414300.202838615</v>
      </c>
      <c r="R1139">
        <f t="shared" si="1031"/>
        <v>-205280229.72732526</v>
      </c>
      <c r="S1139">
        <f t="shared" si="1032"/>
        <v>-2052.8022972732524</v>
      </c>
      <c r="T1139">
        <f t="shared" si="1033"/>
        <v>-2.0528022972732525</v>
      </c>
    </row>
    <row r="1140" spans="1:20" x14ac:dyDescent="0.25">
      <c r="A1140" s="5">
        <v>43453</v>
      </c>
      <c r="B1140">
        <v>0.11369</v>
      </c>
      <c r="C1140">
        <v>0.1265</v>
      </c>
      <c r="D1140">
        <v>0.11147</v>
      </c>
      <c r="E1140">
        <v>0.11174000000000001</v>
      </c>
      <c r="F1140">
        <v>113710969.59999999</v>
      </c>
      <c r="G1140">
        <v>0</v>
      </c>
      <c r="L1140" t="s">
        <v>8</v>
      </c>
      <c r="M1140" t="s">
        <v>8</v>
      </c>
      <c r="N1140" t="s">
        <v>8</v>
      </c>
      <c r="P1140">
        <f t="shared" si="1029"/>
        <v>-0.96407185628742431</v>
      </c>
      <c r="Q1140">
        <f t="shared" si="1030"/>
        <v>-109625545.54251488</v>
      </c>
      <c r="R1140">
        <f t="shared" si="1031"/>
        <v>-277694529.93016386</v>
      </c>
      <c r="S1140">
        <f t="shared" si="1032"/>
        <v>-2776.9452993016384</v>
      </c>
      <c r="T1140">
        <f t="shared" si="1033"/>
        <v>-2.7769452993016386</v>
      </c>
    </row>
    <row r="1141" spans="1:20" x14ac:dyDescent="0.25">
      <c r="A1141" s="5">
        <v>43452</v>
      </c>
      <c r="B1141">
        <v>0.10863</v>
      </c>
      <c r="C1141">
        <v>0.114</v>
      </c>
      <c r="D1141">
        <v>0.10453</v>
      </c>
      <c r="E1141">
        <v>0.11368</v>
      </c>
      <c r="F1141">
        <v>67374235.799999997</v>
      </c>
      <c r="G1141">
        <v>0</v>
      </c>
      <c r="L1141" t="s">
        <v>8</v>
      </c>
      <c r="M1141" t="s">
        <v>8</v>
      </c>
      <c r="N1141" t="s">
        <v>7</v>
      </c>
      <c r="P1141">
        <f t="shared" si="1029"/>
        <v>0.93241816261879606</v>
      </c>
      <c r="Q1141">
        <f t="shared" si="1030"/>
        <v>62820961.152481511</v>
      </c>
      <c r="R1141">
        <f t="shared" si="1031"/>
        <v>-168068984.387649</v>
      </c>
      <c r="S1141">
        <f t="shared" si="1032"/>
        <v>-1680.6898438764899</v>
      </c>
      <c r="T1141">
        <f t="shared" si="1033"/>
        <v>-1.6806898438764899</v>
      </c>
    </row>
    <row r="1142" spans="1:20" x14ac:dyDescent="0.25">
      <c r="A1142" s="5">
        <v>43451</v>
      </c>
      <c r="B1142">
        <v>9.5589999999999994E-2</v>
      </c>
      <c r="C1142">
        <v>0.11303000000000001</v>
      </c>
      <c r="D1142">
        <v>9.5310000000000006E-2</v>
      </c>
      <c r="E1142">
        <v>0.10874</v>
      </c>
      <c r="F1142">
        <v>53617783.399999999</v>
      </c>
      <c r="G1142">
        <v>0</v>
      </c>
      <c r="L1142" t="s">
        <v>8</v>
      </c>
      <c r="M1142" t="s">
        <v>8</v>
      </c>
      <c r="N1142" t="s">
        <v>7</v>
      </c>
      <c r="P1142">
        <f t="shared" si="1029"/>
        <v>0.51580135440180563</v>
      </c>
      <c r="Q1142">
        <f t="shared" si="1030"/>
        <v>27656125.29774265</v>
      </c>
      <c r="R1142">
        <f t="shared" si="1031"/>
        <v>-230889945.5401305</v>
      </c>
      <c r="S1142">
        <f t="shared" si="1032"/>
        <v>-2308.8994554013047</v>
      </c>
      <c r="T1142">
        <f t="shared" si="1033"/>
        <v>-2.3088994554013049</v>
      </c>
    </row>
    <row r="1143" spans="1:20" x14ac:dyDescent="0.25">
      <c r="A1143" s="5">
        <v>43450</v>
      </c>
      <c r="B1143">
        <v>9.4560000000000005E-2</v>
      </c>
      <c r="C1143">
        <v>0.10088</v>
      </c>
      <c r="D1143">
        <v>9.425E-2</v>
      </c>
      <c r="E1143">
        <v>9.5689999999999997E-2</v>
      </c>
      <c r="F1143">
        <v>26505246.399999999</v>
      </c>
      <c r="G1143">
        <v>0</v>
      </c>
      <c r="L1143" t="s">
        <v>8</v>
      </c>
      <c r="M1143" t="s">
        <v>7</v>
      </c>
      <c r="N1143" t="s">
        <v>7</v>
      </c>
      <c r="P1143">
        <f t="shared" si="1029"/>
        <v>-0.56561085972850755</v>
      </c>
      <c r="Q1143">
        <f t="shared" si="1030"/>
        <v>-14991655.203619929</v>
      </c>
      <c r="R1143">
        <f t="shared" si="1031"/>
        <v>-258546070.83787316</v>
      </c>
      <c r="S1143">
        <f t="shared" si="1032"/>
        <v>-2585.4607083787314</v>
      </c>
      <c r="T1143">
        <f t="shared" si="1033"/>
        <v>-2.5854607083787315</v>
      </c>
    </row>
    <row r="1144" spans="1:20" x14ac:dyDescent="0.25">
      <c r="A1144" s="5">
        <v>43449</v>
      </c>
      <c r="B1144">
        <v>9.6579999999999999E-2</v>
      </c>
      <c r="C1144">
        <v>9.894E-2</v>
      </c>
      <c r="D1144">
        <v>9.1749999999999998E-2</v>
      </c>
      <c r="E1144">
        <v>9.4530000000000003E-2</v>
      </c>
      <c r="F1144">
        <v>30785914.899999999</v>
      </c>
      <c r="G1144">
        <v>0</v>
      </c>
      <c r="L1144" t="s">
        <v>7</v>
      </c>
      <c r="M1144" t="s">
        <v>7</v>
      </c>
      <c r="N1144" t="s">
        <v>7</v>
      </c>
      <c r="P1144">
        <f t="shared" si="1029"/>
        <v>-0.22670375521557609</v>
      </c>
      <c r="Q1144">
        <f t="shared" si="1030"/>
        <v>-6979282.5155771561</v>
      </c>
      <c r="R1144">
        <f t="shared" si="1031"/>
        <v>-243554415.63425323</v>
      </c>
      <c r="S1144">
        <f t="shared" si="1032"/>
        <v>-2435.5441563425325</v>
      </c>
      <c r="T1144">
        <f t="shared" si="1033"/>
        <v>-2.4355441563425324</v>
      </c>
    </row>
    <row r="1145" spans="1:20" x14ac:dyDescent="0.25">
      <c r="A1145" s="5">
        <v>43448</v>
      </c>
      <c r="B1145">
        <v>0.10474</v>
      </c>
      <c r="C1145">
        <v>0.10517</v>
      </c>
      <c r="D1145">
        <v>9.4070000000000001E-2</v>
      </c>
      <c r="E1145">
        <v>9.6659999999999996E-2</v>
      </c>
      <c r="F1145">
        <v>38316766.100000001</v>
      </c>
      <c r="G1145">
        <v>0</v>
      </c>
      <c r="L1145" t="s">
        <v>7</v>
      </c>
      <c r="M1145" t="s">
        <v>7</v>
      </c>
      <c r="N1145" t="s">
        <v>7</v>
      </c>
      <c r="P1145">
        <f t="shared" si="1029"/>
        <v>-0.53333333333333421</v>
      </c>
      <c r="Q1145">
        <f t="shared" si="1030"/>
        <v>-20435608.586666699</v>
      </c>
      <c r="R1145">
        <f t="shared" si="1031"/>
        <v>-236575133.11867607</v>
      </c>
      <c r="S1145">
        <f t="shared" si="1032"/>
        <v>-2365.7513311867606</v>
      </c>
      <c r="T1145">
        <f t="shared" si="1033"/>
        <v>-2.3657513311867606</v>
      </c>
    </row>
    <row r="1146" spans="1:20" x14ac:dyDescent="0.25">
      <c r="A1146" s="5">
        <v>43447</v>
      </c>
      <c r="B1146">
        <v>0.11235000000000001</v>
      </c>
      <c r="C1146">
        <v>0.11260000000000001</v>
      </c>
      <c r="D1146">
        <v>0.10252</v>
      </c>
      <c r="E1146">
        <v>0.10471999999999999</v>
      </c>
      <c r="F1146">
        <v>28752856.600000001</v>
      </c>
      <c r="G1146">
        <v>0</v>
      </c>
      <c r="L1146" t="s">
        <v>7</v>
      </c>
      <c r="M1146" t="s">
        <v>7</v>
      </c>
      <c r="N1146" t="s">
        <v>7</v>
      </c>
      <c r="P1146">
        <f t="shared" si="1029"/>
        <v>-0.56349206349206504</v>
      </c>
      <c r="Q1146">
        <f t="shared" si="1030"/>
        <v>-16202006.496825442</v>
      </c>
      <c r="R1146">
        <f t="shared" si="1031"/>
        <v>-216139524.53200936</v>
      </c>
      <c r="S1146">
        <f t="shared" si="1032"/>
        <v>-2161.3952453200936</v>
      </c>
      <c r="T1146">
        <f t="shared" si="1033"/>
        <v>-2.1613952453200937</v>
      </c>
    </row>
    <row r="1147" spans="1:20" x14ac:dyDescent="0.25">
      <c r="A1147" s="5">
        <v>43446</v>
      </c>
      <c r="B1147">
        <v>0.11117</v>
      </c>
      <c r="C1147">
        <v>0.1153</v>
      </c>
      <c r="D1147">
        <v>0.10999</v>
      </c>
      <c r="E1147">
        <v>0.1124</v>
      </c>
      <c r="F1147">
        <v>22177265.800000001</v>
      </c>
      <c r="G1147">
        <v>0</v>
      </c>
      <c r="L1147" t="s">
        <v>7</v>
      </c>
      <c r="M1147" t="s">
        <v>8</v>
      </c>
      <c r="N1147" t="s">
        <v>7</v>
      </c>
      <c r="P1147">
        <f t="shared" si="1029"/>
        <v>-9.2278719397364359E-2</v>
      </c>
      <c r="Q1147">
        <f t="shared" si="1030"/>
        <v>-2046489.6877589652</v>
      </c>
      <c r="R1147">
        <f t="shared" si="1031"/>
        <v>-199937518.03518391</v>
      </c>
      <c r="S1147">
        <f t="shared" si="1032"/>
        <v>-1999.3751803518392</v>
      </c>
      <c r="T1147">
        <f t="shared" si="1033"/>
        <v>-1.9993751803518391</v>
      </c>
    </row>
    <row r="1148" spans="1:20" x14ac:dyDescent="0.25">
      <c r="A1148" s="5">
        <v>43445</v>
      </c>
      <c r="B1148">
        <v>0.11566</v>
      </c>
      <c r="C1148">
        <v>0.11728</v>
      </c>
      <c r="D1148">
        <v>0.1103</v>
      </c>
      <c r="E1148">
        <v>0.11122</v>
      </c>
      <c r="F1148">
        <v>24567127.5</v>
      </c>
      <c r="G1148">
        <v>0</v>
      </c>
      <c r="L1148" t="s">
        <v>7</v>
      </c>
      <c r="M1148" t="s">
        <v>8</v>
      </c>
      <c r="N1148" t="s">
        <v>7</v>
      </c>
      <c r="P1148">
        <f t="shared" si="1029"/>
        <v>-0.73638968481375244</v>
      </c>
      <c r="Q1148">
        <f t="shared" si="1030"/>
        <v>-18090979.276504271</v>
      </c>
      <c r="R1148">
        <f t="shared" si="1031"/>
        <v>-197891028.34742495</v>
      </c>
      <c r="S1148">
        <f t="shared" si="1032"/>
        <v>-1978.9102834742496</v>
      </c>
      <c r="T1148">
        <f t="shared" si="1033"/>
        <v>-1.9789102834742496</v>
      </c>
    </row>
    <row r="1149" spans="1:20" x14ac:dyDescent="0.25">
      <c r="A1149" s="5">
        <v>43444</v>
      </c>
      <c r="B1149">
        <v>0.12107999999999999</v>
      </c>
      <c r="C1149">
        <v>0.12411999999999999</v>
      </c>
      <c r="D1149">
        <v>0.113</v>
      </c>
      <c r="E1149">
        <v>0.11545999999999999</v>
      </c>
      <c r="F1149">
        <v>33663681.899999999</v>
      </c>
      <c r="G1149">
        <v>0</v>
      </c>
      <c r="L1149" t="s">
        <v>7</v>
      </c>
      <c r="M1149" t="s">
        <v>8</v>
      </c>
      <c r="N1149" t="s">
        <v>7</v>
      </c>
      <c r="P1149">
        <f t="shared" si="1029"/>
        <v>-0.55755395683453379</v>
      </c>
      <c r="Q1149">
        <f t="shared" si="1030"/>
        <v>-18769319.044964075</v>
      </c>
      <c r="R1149">
        <f t="shared" si="1031"/>
        <v>-179800049.07092068</v>
      </c>
      <c r="S1149">
        <f t="shared" si="1032"/>
        <v>-1798.0004907092068</v>
      </c>
      <c r="T1149">
        <f t="shared" si="1033"/>
        <v>-1.7980004907092069</v>
      </c>
    </row>
    <row r="1150" spans="1:20" x14ac:dyDescent="0.25">
      <c r="A1150" s="5">
        <v>43443</v>
      </c>
      <c r="B1150">
        <v>0.11617</v>
      </c>
      <c r="C1150">
        <v>0.12631000000000001</v>
      </c>
      <c r="D1150">
        <v>0.11423</v>
      </c>
      <c r="E1150">
        <v>0.12121</v>
      </c>
      <c r="F1150">
        <v>32485282.199999999</v>
      </c>
      <c r="G1150">
        <v>0</v>
      </c>
      <c r="L1150" t="s">
        <v>8</v>
      </c>
      <c r="M1150" t="s">
        <v>8</v>
      </c>
      <c r="N1150" t="s">
        <v>7</v>
      </c>
      <c r="P1150">
        <f t="shared" si="1029"/>
        <v>0.15562913907284698</v>
      </c>
      <c r="Q1150">
        <f t="shared" si="1030"/>
        <v>5055656.5013244804</v>
      </c>
      <c r="R1150">
        <f t="shared" si="1031"/>
        <v>-161030730.0259566</v>
      </c>
      <c r="S1150">
        <f t="shared" si="1032"/>
        <v>-1610.3073002595661</v>
      </c>
      <c r="T1150">
        <f t="shared" si="1033"/>
        <v>-1.610307300259566</v>
      </c>
    </row>
    <row r="1151" spans="1:20" x14ac:dyDescent="0.25">
      <c r="A1151" s="5">
        <v>43442</v>
      </c>
      <c r="B1151">
        <v>0.11495</v>
      </c>
      <c r="C1151">
        <v>0.12379999999999999</v>
      </c>
      <c r="D1151">
        <v>0.10961</v>
      </c>
      <c r="E1151">
        <v>0.1162</v>
      </c>
      <c r="F1151">
        <v>54268413</v>
      </c>
      <c r="G1151">
        <v>0</v>
      </c>
      <c r="L1151" t="s">
        <v>8</v>
      </c>
      <c r="M1151" t="s">
        <v>8</v>
      </c>
      <c r="N1151" t="s">
        <v>7</v>
      </c>
      <c r="P1151">
        <f t="shared" ref="P1151:P1195" si="1034">IF(C1151=D1151,0,((E1151-D1151)-(C1151-E1151))/(C1151-D1151))</f>
        <v>-7.1176885130373319E-2</v>
      </c>
      <c r="Q1151">
        <f t="shared" ref="Q1151:Q1195" si="1035">F1151*P1151</f>
        <v>-3862656.5983086582</v>
      </c>
      <c r="R1151">
        <f t="shared" ref="R1151:R1195" si="1036">R1152+Q1151</f>
        <v>-166086386.52728108</v>
      </c>
      <c r="S1151">
        <f t="shared" ref="S1151:S1195" si="1037">R1151/100000</f>
        <v>-1660.8638652728107</v>
      </c>
      <c r="T1151">
        <f t="shared" ref="T1151:T1195" si="1038">S1151/1000</f>
        <v>-1.6608638652728107</v>
      </c>
    </row>
    <row r="1152" spans="1:20" x14ac:dyDescent="0.25">
      <c r="A1152" s="5">
        <v>43441</v>
      </c>
      <c r="B1152">
        <v>0.11778</v>
      </c>
      <c r="C1152">
        <v>0.126</v>
      </c>
      <c r="D1152">
        <v>0.10501000000000001</v>
      </c>
      <c r="E1152">
        <v>0.11495</v>
      </c>
      <c r="F1152">
        <v>61593256.200000003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-5.2882324916627636E-2</v>
      </c>
      <c r="Q1152">
        <f t="shared" si="1035"/>
        <v>-3257194.5870414898</v>
      </c>
      <c r="R1152">
        <f t="shared" si="1036"/>
        <v>-162223729.92897242</v>
      </c>
      <c r="S1152">
        <f t="shared" si="1037"/>
        <v>-1622.2372992897242</v>
      </c>
      <c r="T1152">
        <f t="shared" si="1038"/>
        <v>-1.6222372992897243</v>
      </c>
    </row>
    <row r="1153" spans="1:20" x14ac:dyDescent="0.25">
      <c r="A1153" s="5">
        <v>43440</v>
      </c>
      <c r="B1153">
        <v>0.13369</v>
      </c>
      <c r="C1153">
        <v>0.13896</v>
      </c>
      <c r="D1153">
        <v>0.11756</v>
      </c>
      <c r="E1153">
        <v>0.1178</v>
      </c>
      <c r="F1153">
        <v>43626218.93</v>
      </c>
      <c r="G1153">
        <v>0</v>
      </c>
      <c r="L1153" t="s">
        <v>7</v>
      </c>
      <c r="M1153" t="s">
        <v>7</v>
      </c>
      <c r="N1153" t="s">
        <v>7</v>
      </c>
      <c r="P1153">
        <f t="shared" si="1034"/>
        <v>-0.97757009345794355</v>
      </c>
      <c r="Q1153">
        <f t="shared" si="1035"/>
        <v>-42647686.916616805</v>
      </c>
      <c r="R1153">
        <f t="shared" si="1036"/>
        <v>-158966535.34193093</v>
      </c>
      <c r="S1153">
        <f t="shared" si="1037"/>
        <v>-1589.6653534193092</v>
      </c>
      <c r="T1153">
        <f t="shared" si="1038"/>
        <v>-1.5896653534193093</v>
      </c>
    </row>
    <row r="1154" spans="1:20" x14ac:dyDescent="0.25">
      <c r="A1154" s="5">
        <v>43439</v>
      </c>
      <c r="B1154">
        <v>0.14699999999999999</v>
      </c>
      <c r="C1154">
        <v>0.14729999999999999</v>
      </c>
      <c r="D1154">
        <v>0.13250000000000001</v>
      </c>
      <c r="E1154">
        <v>0.13392999999999999</v>
      </c>
      <c r="F1154">
        <v>31875507.600000001</v>
      </c>
      <c r="G1154">
        <v>0</v>
      </c>
      <c r="L1154" t="s">
        <v>7</v>
      </c>
      <c r="M1154" t="s">
        <v>7</v>
      </c>
      <c r="N1154" t="s">
        <v>7</v>
      </c>
      <c r="P1154">
        <f t="shared" si="1034"/>
        <v>-0.80675675675675829</v>
      </c>
      <c r="Q1154">
        <f t="shared" si="1035"/>
        <v>-25715781.1313514</v>
      </c>
      <c r="R1154">
        <f t="shared" si="1036"/>
        <v>-116318848.42531413</v>
      </c>
      <c r="S1154">
        <f t="shared" si="1037"/>
        <v>-1163.1884842531413</v>
      </c>
      <c r="T1154">
        <f t="shared" si="1038"/>
        <v>-1.1631884842531413</v>
      </c>
    </row>
    <row r="1155" spans="1:20" x14ac:dyDescent="0.25">
      <c r="A1155" s="5">
        <v>43438</v>
      </c>
      <c r="B1155">
        <v>0.14899000000000001</v>
      </c>
      <c r="C1155">
        <v>0.15412999999999999</v>
      </c>
      <c r="D1155">
        <v>0.14319999999999999</v>
      </c>
      <c r="E1155">
        <v>0.14692</v>
      </c>
      <c r="F1155">
        <v>33373895</v>
      </c>
      <c r="G1155">
        <v>0</v>
      </c>
      <c r="L1155" t="s">
        <v>7</v>
      </c>
      <c r="M1155" t="s">
        <v>7</v>
      </c>
      <c r="N1155" t="s">
        <v>7</v>
      </c>
      <c r="P1155">
        <f t="shared" si="1034"/>
        <v>-0.31930466605672414</v>
      </c>
      <c r="Q1155">
        <f t="shared" si="1035"/>
        <v>-10656440.397987176</v>
      </c>
      <c r="R1155">
        <f t="shared" si="1036"/>
        <v>-90603067.293962732</v>
      </c>
      <c r="S1155">
        <f t="shared" si="1037"/>
        <v>-906.03067293962727</v>
      </c>
      <c r="T1155">
        <f t="shared" si="1038"/>
        <v>-0.90603067293962725</v>
      </c>
    </row>
    <row r="1156" spans="1:20" x14ac:dyDescent="0.25">
      <c r="A1156" s="5">
        <v>43437</v>
      </c>
      <c r="B1156">
        <v>0.16106999999999999</v>
      </c>
      <c r="C1156">
        <v>0.16208</v>
      </c>
      <c r="D1156">
        <v>0.14799000000000001</v>
      </c>
      <c r="E1156">
        <v>0.14893000000000001</v>
      </c>
      <c r="F1156">
        <v>38019664.700000003</v>
      </c>
      <c r="G1156">
        <v>0</v>
      </c>
      <c r="L1156" t="s">
        <v>7</v>
      </c>
      <c r="M1156" t="s">
        <v>7</v>
      </c>
      <c r="N1156" t="s">
        <v>7</v>
      </c>
      <c r="P1156">
        <f t="shared" si="1034"/>
        <v>-0.86657203690560725</v>
      </c>
      <c r="Q1156">
        <f t="shared" si="1035"/>
        <v>-32946778.281547215</v>
      </c>
      <c r="R1156">
        <f t="shared" si="1036"/>
        <v>-79946626.89597556</v>
      </c>
      <c r="S1156">
        <f t="shared" si="1037"/>
        <v>-799.46626895975555</v>
      </c>
      <c r="T1156">
        <f t="shared" si="1038"/>
        <v>-0.79946626895975559</v>
      </c>
    </row>
    <row r="1157" spans="1:20" x14ac:dyDescent="0.25">
      <c r="A1157" s="5">
        <v>43436</v>
      </c>
      <c r="B1157">
        <v>0.16471</v>
      </c>
      <c r="C1157">
        <v>0.16894000000000001</v>
      </c>
      <c r="D1157">
        <v>0.15928999999999999</v>
      </c>
      <c r="E1157">
        <v>0.16100999999999999</v>
      </c>
      <c r="F1157">
        <v>33708298.700000003</v>
      </c>
      <c r="G1157">
        <v>0</v>
      </c>
      <c r="L1157" t="s">
        <v>8</v>
      </c>
      <c r="M1157" t="s">
        <v>8</v>
      </c>
      <c r="N1157" t="s">
        <v>7</v>
      </c>
      <c r="P1157">
        <f t="shared" si="1034"/>
        <v>-0.64352331606217705</v>
      </c>
      <c r="Q1157">
        <f t="shared" si="1035"/>
        <v>-21692076.158238374</v>
      </c>
      <c r="R1157">
        <f t="shared" si="1036"/>
        <v>-46999848.614428341</v>
      </c>
      <c r="S1157">
        <f t="shared" si="1037"/>
        <v>-469.99848614428339</v>
      </c>
      <c r="T1157">
        <f t="shared" si="1038"/>
        <v>-0.46999848614428341</v>
      </c>
    </row>
    <row r="1158" spans="1:20" x14ac:dyDescent="0.25">
      <c r="A1158" s="5">
        <v>43435</v>
      </c>
      <c r="B1158">
        <v>0.15973000000000001</v>
      </c>
      <c r="C1158">
        <v>0.16997999999999999</v>
      </c>
      <c r="D1158">
        <v>0.157</v>
      </c>
      <c r="E1158">
        <v>0.16450999999999999</v>
      </c>
      <c r="F1158">
        <v>42920328.200000003</v>
      </c>
      <c r="G1158">
        <v>0</v>
      </c>
      <c r="L1158" t="s">
        <v>8</v>
      </c>
      <c r="M1158" t="s">
        <v>8</v>
      </c>
      <c r="N1158" t="s">
        <v>7</v>
      </c>
      <c r="P1158">
        <f t="shared" si="1034"/>
        <v>0.15716486902927485</v>
      </c>
      <c r="Q1158">
        <f t="shared" si="1035"/>
        <v>6745567.760246492</v>
      </c>
      <c r="R1158">
        <f t="shared" si="1036"/>
        <v>-25307772.456189964</v>
      </c>
      <c r="S1158">
        <f t="shared" si="1037"/>
        <v>-253.07772456189963</v>
      </c>
      <c r="T1158">
        <f t="shared" si="1038"/>
        <v>-0.25307772456189964</v>
      </c>
    </row>
    <row r="1159" spans="1:20" x14ac:dyDescent="0.25">
      <c r="A1159" s="5">
        <v>43434</v>
      </c>
      <c r="B1159">
        <v>0.16522999999999999</v>
      </c>
      <c r="C1159">
        <v>0.17455999999999999</v>
      </c>
      <c r="D1159">
        <v>0.15267</v>
      </c>
      <c r="E1159">
        <v>0.15973000000000001</v>
      </c>
      <c r="F1159">
        <v>79097492.299999997</v>
      </c>
      <c r="G1159">
        <v>0</v>
      </c>
      <c r="L1159" t="s">
        <v>7</v>
      </c>
      <c r="M1159" t="s">
        <v>8</v>
      </c>
      <c r="N1159" t="s">
        <v>7</v>
      </c>
      <c r="P1159">
        <f t="shared" si="1034"/>
        <v>-0.35495660118775579</v>
      </c>
      <c r="Q1159">
        <f t="shared" si="1035"/>
        <v>-28076177.029282685</v>
      </c>
      <c r="R1159">
        <f t="shared" si="1036"/>
        <v>-32053340.216436457</v>
      </c>
      <c r="S1159">
        <f t="shared" si="1037"/>
        <v>-320.53340216436459</v>
      </c>
      <c r="T1159">
        <f t="shared" si="1038"/>
        <v>-0.3205334021643646</v>
      </c>
    </row>
    <row r="1160" spans="1:20" x14ac:dyDescent="0.25">
      <c r="A1160" s="5">
        <v>43433</v>
      </c>
      <c r="B1160">
        <v>0.16106999999999999</v>
      </c>
      <c r="C1160">
        <v>0.17365</v>
      </c>
      <c r="D1160">
        <v>0.15357000000000001</v>
      </c>
      <c r="E1160">
        <v>0.16524</v>
      </c>
      <c r="F1160">
        <v>69680253.599999994</v>
      </c>
      <c r="G1160">
        <v>0</v>
      </c>
      <c r="L1160" t="s">
        <v>8</v>
      </c>
      <c r="M1160" t="s">
        <v>8</v>
      </c>
      <c r="N1160" t="s">
        <v>7</v>
      </c>
      <c r="P1160">
        <f t="shared" si="1034"/>
        <v>0.16235059760956111</v>
      </c>
      <c r="Q1160">
        <f t="shared" si="1035"/>
        <v>11312630.813545771</v>
      </c>
      <c r="R1160">
        <f t="shared" si="1036"/>
        <v>-3977163.1871537715</v>
      </c>
      <c r="S1160">
        <f t="shared" si="1037"/>
        <v>-39.771631871537714</v>
      </c>
      <c r="T1160">
        <f t="shared" si="1038"/>
        <v>-3.9771631871537712E-2</v>
      </c>
    </row>
    <row r="1161" spans="1:20" x14ac:dyDescent="0.25">
      <c r="A1161" s="5">
        <v>43432</v>
      </c>
      <c r="B1161">
        <v>0.14654</v>
      </c>
      <c r="C1161">
        <v>0.16786999999999999</v>
      </c>
      <c r="D1161">
        <v>0.14599999999999999</v>
      </c>
      <c r="E1161">
        <v>0.16106999999999999</v>
      </c>
      <c r="F1161">
        <v>79058978.799999997</v>
      </c>
      <c r="G1161">
        <v>0</v>
      </c>
      <c r="L1161" t="s">
        <v>8</v>
      </c>
      <c r="M1161" t="s">
        <v>8</v>
      </c>
      <c r="N1161" t="s">
        <v>7</v>
      </c>
      <c r="P1161">
        <f t="shared" si="1034"/>
        <v>0.37814357567443985</v>
      </c>
      <c r="Q1161">
        <f t="shared" si="1035"/>
        <v>29895644.932601735</v>
      </c>
      <c r="R1161">
        <f t="shared" si="1036"/>
        <v>-15289794.000699542</v>
      </c>
      <c r="S1161">
        <f t="shared" si="1037"/>
        <v>-152.89794000699541</v>
      </c>
      <c r="T1161">
        <f t="shared" si="1038"/>
        <v>-0.15289794000699541</v>
      </c>
    </row>
    <row r="1162" spans="1:20" x14ac:dyDescent="0.25">
      <c r="A1162" s="5">
        <v>43431</v>
      </c>
      <c r="B1162">
        <v>0.14782000000000001</v>
      </c>
      <c r="C1162">
        <v>0.15095</v>
      </c>
      <c r="D1162">
        <v>0.13841999999999999</v>
      </c>
      <c r="E1162">
        <v>0.14663000000000001</v>
      </c>
      <c r="F1162">
        <v>77023772.400000006</v>
      </c>
      <c r="G1162">
        <v>0</v>
      </c>
      <c r="L1162" t="s">
        <v>7</v>
      </c>
      <c r="M1162" t="s">
        <v>7</v>
      </c>
      <c r="N1162" t="s">
        <v>7</v>
      </c>
      <c r="P1162">
        <f t="shared" si="1034"/>
        <v>0.31045490822027361</v>
      </c>
      <c r="Q1162">
        <f t="shared" si="1035"/>
        <v>23912408.191221245</v>
      </c>
      <c r="R1162">
        <f t="shared" si="1036"/>
        <v>-45185438.933301277</v>
      </c>
      <c r="S1162">
        <f t="shared" si="1037"/>
        <v>-451.85438933301276</v>
      </c>
      <c r="T1162">
        <f t="shared" si="1038"/>
        <v>-0.45185438933301275</v>
      </c>
    </row>
    <row r="1163" spans="1:20" x14ac:dyDescent="0.25">
      <c r="A1163" s="5">
        <v>43430</v>
      </c>
      <c r="B1163">
        <v>0.16292999999999999</v>
      </c>
      <c r="C1163">
        <v>0.16774</v>
      </c>
      <c r="D1163">
        <v>0.1391</v>
      </c>
      <c r="E1163">
        <v>0.14773</v>
      </c>
      <c r="F1163">
        <v>143481584.19999999</v>
      </c>
      <c r="G1163">
        <v>0</v>
      </c>
      <c r="L1163" t="s">
        <v>8</v>
      </c>
      <c r="M1163" t="s">
        <v>8</v>
      </c>
      <c r="N1163" t="s">
        <v>7</v>
      </c>
      <c r="P1163">
        <f t="shared" si="1034"/>
        <v>-0.39734636871508383</v>
      </c>
      <c r="Q1163">
        <f t="shared" si="1035"/>
        <v>-57011886.459357545</v>
      </c>
      <c r="R1163">
        <f t="shared" si="1036"/>
        <v>-69097847.124522522</v>
      </c>
      <c r="S1163">
        <f t="shared" si="1037"/>
        <v>-690.97847124522525</v>
      </c>
      <c r="T1163">
        <f t="shared" si="1038"/>
        <v>-0.69097847124522527</v>
      </c>
    </row>
    <row r="1164" spans="1:20" x14ac:dyDescent="0.25">
      <c r="A1164" s="5">
        <v>43429</v>
      </c>
      <c r="B1164">
        <v>0.15401000000000001</v>
      </c>
      <c r="C1164">
        <v>0.16500000000000001</v>
      </c>
      <c r="D1164">
        <v>0.13336999999999999</v>
      </c>
      <c r="E1164">
        <v>0.16292999999999999</v>
      </c>
      <c r="F1164">
        <v>171890681.69999999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0.8691116029086301</v>
      </c>
      <c r="Q1164">
        <f t="shared" si="1035"/>
        <v>149392185.89734411</v>
      </c>
      <c r="R1164">
        <f t="shared" si="1036"/>
        <v>-12085960.665164977</v>
      </c>
      <c r="S1164">
        <f t="shared" si="1037"/>
        <v>-120.85960665164977</v>
      </c>
      <c r="T1164">
        <f t="shared" si="1038"/>
        <v>-0.12085960665164977</v>
      </c>
    </row>
    <row r="1165" spans="1:20" x14ac:dyDescent="0.25">
      <c r="A1165" s="5">
        <v>43428</v>
      </c>
      <c r="B1165">
        <v>0.18404000000000001</v>
      </c>
      <c r="C1165">
        <v>0.18989</v>
      </c>
      <c r="D1165">
        <v>0.14349999999999999</v>
      </c>
      <c r="E1165">
        <v>0.15398999999999999</v>
      </c>
      <c r="F1165">
        <v>120535743.3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-0.54774735934468655</v>
      </c>
      <c r="Q1165">
        <f t="shared" si="1035"/>
        <v>-66023135.099223994</v>
      </c>
      <c r="R1165">
        <f t="shared" si="1036"/>
        <v>-161478146.56250909</v>
      </c>
      <c r="S1165">
        <f t="shared" si="1037"/>
        <v>-1614.781465625091</v>
      </c>
      <c r="T1165">
        <f t="shared" si="1038"/>
        <v>-1.614781465625091</v>
      </c>
    </row>
    <row r="1166" spans="1:20" x14ac:dyDescent="0.25">
      <c r="A1166" s="5">
        <v>43427</v>
      </c>
      <c r="B1166">
        <v>0.18694</v>
      </c>
      <c r="C1166">
        <v>0.192</v>
      </c>
      <c r="D1166">
        <v>0.17635000000000001</v>
      </c>
      <c r="E1166">
        <v>0.18395</v>
      </c>
      <c r="F1166">
        <v>73887985.299999997</v>
      </c>
      <c r="G1166">
        <v>0</v>
      </c>
      <c r="L1166" t="s">
        <v>7</v>
      </c>
      <c r="M1166" t="s">
        <v>7</v>
      </c>
      <c r="N1166" t="s">
        <v>7</v>
      </c>
      <c r="P1166">
        <f t="shared" si="1034"/>
        <v>-2.8753993610224026E-2</v>
      </c>
      <c r="Q1166">
        <f t="shared" si="1035"/>
        <v>-2124574.6571885268</v>
      </c>
      <c r="R1166">
        <f t="shared" si="1036"/>
        <v>-95455011.463285089</v>
      </c>
      <c r="S1166">
        <f t="shared" si="1037"/>
        <v>-954.55011463285086</v>
      </c>
      <c r="T1166">
        <f t="shared" si="1038"/>
        <v>-0.95455011463285089</v>
      </c>
    </row>
    <row r="1167" spans="1:20" x14ac:dyDescent="0.25">
      <c r="A1167" s="5">
        <v>43426</v>
      </c>
      <c r="B1167">
        <v>0.20635999999999999</v>
      </c>
      <c r="C1167">
        <v>0.20877000000000001</v>
      </c>
      <c r="D1167">
        <v>0.1862</v>
      </c>
      <c r="E1167">
        <v>0.18715000000000001</v>
      </c>
      <c r="F1167">
        <v>51225049.100000001</v>
      </c>
      <c r="G1167">
        <v>0</v>
      </c>
      <c r="L1167" t="s">
        <v>7</v>
      </c>
      <c r="M1167" t="s">
        <v>8</v>
      </c>
      <c r="N1167" t="s">
        <v>7</v>
      </c>
      <c r="P1167">
        <f t="shared" si="1034"/>
        <v>-0.91581745680106286</v>
      </c>
      <c r="Q1167">
        <f t="shared" si="1035"/>
        <v>-46912794.191271573</v>
      </c>
      <c r="R1167">
        <f t="shared" si="1036"/>
        <v>-93330436.806096569</v>
      </c>
      <c r="S1167">
        <f t="shared" si="1037"/>
        <v>-933.30436806096566</v>
      </c>
      <c r="T1167">
        <f t="shared" si="1038"/>
        <v>-0.93330436806096562</v>
      </c>
    </row>
    <row r="1168" spans="1:20" x14ac:dyDescent="0.25">
      <c r="A1168" s="5">
        <v>43425</v>
      </c>
      <c r="B1168">
        <v>0.19708000000000001</v>
      </c>
      <c r="C1168">
        <v>0.21571000000000001</v>
      </c>
      <c r="D1168">
        <v>0.18812000000000001</v>
      </c>
      <c r="E1168">
        <v>0.20619000000000001</v>
      </c>
      <c r="F1168">
        <v>89347572.099999994</v>
      </c>
      <c r="G1168">
        <v>0</v>
      </c>
      <c r="L1168" t="s">
        <v>8</v>
      </c>
      <c r="M1168" t="s">
        <v>8</v>
      </c>
      <c r="N1168" t="s">
        <v>7</v>
      </c>
      <c r="P1168">
        <f t="shared" si="1034"/>
        <v>0.30989488945270027</v>
      </c>
      <c r="Q1168">
        <f t="shared" si="1035"/>
        <v>27688355.978796665</v>
      </c>
      <c r="R1168">
        <f t="shared" si="1036"/>
        <v>-46417642.614824995</v>
      </c>
      <c r="S1168">
        <f t="shared" si="1037"/>
        <v>-464.17642614824996</v>
      </c>
      <c r="T1168">
        <f t="shared" si="1038"/>
        <v>-0.46417642614824994</v>
      </c>
    </row>
    <row r="1169" spans="1:20" x14ac:dyDescent="0.25">
      <c r="A1169" s="5">
        <v>43424</v>
      </c>
      <c r="B1169">
        <v>0.22771</v>
      </c>
      <c r="C1169">
        <v>0.23626</v>
      </c>
      <c r="D1169">
        <v>0.18118000000000001</v>
      </c>
      <c r="E1169">
        <v>0.19688</v>
      </c>
      <c r="F1169">
        <v>137391183.69999999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-0.42992011619462622</v>
      </c>
      <c r="Q1169">
        <f t="shared" si="1035"/>
        <v>-59067233.66042123</v>
      </c>
      <c r="R1169">
        <f t="shared" si="1036"/>
        <v>-74105998.593621656</v>
      </c>
      <c r="S1169">
        <f t="shared" si="1037"/>
        <v>-741.05998593621655</v>
      </c>
      <c r="T1169">
        <f t="shared" si="1038"/>
        <v>-0.74105998593621658</v>
      </c>
    </row>
    <row r="1170" spans="1:20" x14ac:dyDescent="0.25">
      <c r="A1170" s="5">
        <v>43423</v>
      </c>
      <c r="B1170">
        <v>0.25346999999999997</v>
      </c>
      <c r="C1170">
        <v>0.25357000000000002</v>
      </c>
      <c r="D1170">
        <v>0.22481000000000001</v>
      </c>
      <c r="E1170">
        <v>0.22749</v>
      </c>
      <c r="F1170">
        <v>91359889.700000003</v>
      </c>
      <c r="G1170">
        <v>0</v>
      </c>
      <c r="L1170" t="s">
        <v>7</v>
      </c>
      <c r="M1170" t="s">
        <v>8</v>
      </c>
      <c r="N1170" t="s">
        <v>7</v>
      </c>
      <c r="P1170">
        <f t="shared" si="1034"/>
        <v>-0.81363004172461839</v>
      </c>
      <c r="Q1170">
        <f t="shared" si="1035"/>
        <v>-74333150.868567541</v>
      </c>
      <c r="R1170">
        <f t="shared" si="1036"/>
        <v>-15038764.933200426</v>
      </c>
      <c r="S1170">
        <f t="shared" si="1037"/>
        <v>-150.38764933200426</v>
      </c>
      <c r="T1170">
        <f t="shared" si="1038"/>
        <v>-0.15038764933200427</v>
      </c>
    </row>
    <row r="1171" spans="1:20" x14ac:dyDescent="0.25">
      <c r="A1171" s="5">
        <v>43422</v>
      </c>
      <c r="B1171">
        <v>0.24883</v>
      </c>
      <c r="C1171">
        <v>0.25864999999999999</v>
      </c>
      <c r="D1171">
        <v>0.24740999999999999</v>
      </c>
      <c r="E1171">
        <v>0.25333</v>
      </c>
      <c r="F1171">
        <v>48162678.100000001</v>
      </c>
      <c r="G1171">
        <v>0</v>
      </c>
      <c r="L1171" t="s">
        <v>8</v>
      </c>
      <c r="M1171" t="s">
        <v>8</v>
      </c>
      <c r="N1171" t="s">
        <v>7</v>
      </c>
      <c r="P1171">
        <f t="shared" si="1034"/>
        <v>5.3380782918150994E-2</v>
      </c>
      <c r="Q1171">
        <f t="shared" si="1035"/>
        <v>2570961.4644128853</v>
      </c>
      <c r="R1171">
        <f t="shared" si="1036"/>
        <v>59294385.935367115</v>
      </c>
      <c r="S1171">
        <f t="shared" si="1037"/>
        <v>592.9438593536712</v>
      </c>
      <c r="T1171">
        <f t="shared" si="1038"/>
        <v>0.59294385935367122</v>
      </c>
    </row>
    <row r="1172" spans="1:20" x14ac:dyDescent="0.25">
      <c r="A1172" s="5">
        <v>43421</v>
      </c>
      <c r="B1172">
        <v>0.24159</v>
      </c>
      <c r="C1172">
        <v>0.25090000000000001</v>
      </c>
      <c r="D1172">
        <v>0.23483000000000001</v>
      </c>
      <c r="E1172">
        <v>0.24886</v>
      </c>
      <c r="F1172">
        <v>50712116.5</v>
      </c>
      <c r="G1172">
        <v>0</v>
      </c>
      <c r="L1172" t="s">
        <v>7</v>
      </c>
      <c r="M1172" t="s">
        <v>7</v>
      </c>
      <c r="N1172" t="s">
        <v>7</v>
      </c>
      <c r="P1172">
        <f t="shared" si="1034"/>
        <v>0.74611076540136723</v>
      </c>
      <c r="Q1172">
        <f t="shared" si="1035"/>
        <v>37836856.056938305</v>
      </c>
      <c r="R1172">
        <f t="shared" si="1036"/>
        <v>56723424.470954232</v>
      </c>
      <c r="S1172">
        <f t="shared" si="1037"/>
        <v>567.23424470954228</v>
      </c>
      <c r="T1172">
        <f t="shared" si="1038"/>
        <v>0.56723424470954231</v>
      </c>
    </row>
    <row r="1173" spans="1:20" x14ac:dyDescent="0.25">
      <c r="A1173" s="5">
        <v>43420</v>
      </c>
      <c r="B1173">
        <v>0.24586</v>
      </c>
      <c r="C1173">
        <v>0.25291999999999998</v>
      </c>
      <c r="D1173">
        <v>0.23616999999999999</v>
      </c>
      <c r="E1173">
        <v>0.24148</v>
      </c>
      <c r="F1173">
        <v>74112802.400000006</v>
      </c>
      <c r="G1173">
        <v>0</v>
      </c>
      <c r="L1173" t="s">
        <v>8</v>
      </c>
      <c r="M1173" t="s">
        <v>7</v>
      </c>
      <c r="N1173" t="s">
        <v>7</v>
      </c>
      <c r="P1173">
        <f t="shared" si="1034"/>
        <v>-0.36597014925372978</v>
      </c>
      <c r="Q1173">
        <f t="shared" si="1035"/>
        <v>-27123073.355940185</v>
      </c>
      <c r="R1173">
        <f t="shared" si="1036"/>
        <v>18886568.414015926</v>
      </c>
      <c r="S1173">
        <f t="shared" si="1037"/>
        <v>188.86568414015926</v>
      </c>
      <c r="T1173">
        <f t="shared" si="1038"/>
        <v>0.18886568414015925</v>
      </c>
    </row>
    <row r="1174" spans="1:20" x14ac:dyDescent="0.25">
      <c r="A1174" s="5">
        <v>43419</v>
      </c>
      <c r="B1174">
        <v>0.24104</v>
      </c>
      <c r="C1174">
        <v>0.25229000000000001</v>
      </c>
      <c r="D1174">
        <v>0.215</v>
      </c>
      <c r="E1174">
        <v>0.24507999999999999</v>
      </c>
      <c r="F1174">
        <v>77979723</v>
      </c>
      <c r="G1174">
        <v>0</v>
      </c>
      <c r="L1174" t="s">
        <v>7</v>
      </c>
      <c r="M1174" t="s">
        <v>7</v>
      </c>
      <c r="N1174" t="s">
        <v>7</v>
      </c>
      <c r="P1174">
        <f t="shared" si="1034"/>
        <v>0.613301153124161</v>
      </c>
      <c r="Q1174">
        <f t="shared" si="1035"/>
        <v>47825054.036202662</v>
      </c>
      <c r="R1174">
        <f t="shared" si="1036"/>
        <v>46009641.769956112</v>
      </c>
      <c r="S1174">
        <f t="shared" si="1037"/>
        <v>460.09641769956113</v>
      </c>
      <c r="T1174">
        <f t="shared" si="1038"/>
        <v>0.46009641769956111</v>
      </c>
    </row>
    <row r="1175" spans="1:20" x14ac:dyDescent="0.25">
      <c r="A1175" s="5">
        <v>43418</v>
      </c>
      <c r="B1175">
        <v>0.26121</v>
      </c>
      <c r="C1175">
        <v>0.26184000000000002</v>
      </c>
      <c r="D1175">
        <v>0.22245999999999999</v>
      </c>
      <c r="E1175">
        <v>0.24099999999999999</v>
      </c>
      <c r="F1175">
        <v>64918497.600000001</v>
      </c>
      <c r="G1175">
        <v>0</v>
      </c>
      <c r="L1175" t="s">
        <v>7</v>
      </c>
      <c r="M1175" t="s">
        <v>7</v>
      </c>
      <c r="N1175" t="s">
        <v>7</v>
      </c>
      <c r="P1175">
        <f t="shared" si="1034"/>
        <v>-5.8405281868969594E-2</v>
      </c>
      <c r="Q1175">
        <f t="shared" si="1035"/>
        <v>-3791583.1508380263</v>
      </c>
      <c r="R1175">
        <f t="shared" si="1036"/>
        <v>-1815412.2662465512</v>
      </c>
      <c r="S1175">
        <f t="shared" si="1037"/>
        <v>-18.154122662465511</v>
      </c>
      <c r="T1175">
        <f t="shared" si="1038"/>
        <v>-1.8154122662465511E-2</v>
      </c>
    </row>
    <row r="1176" spans="1:20" x14ac:dyDescent="0.25">
      <c r="A1176" s="5">
        <v>43417</v>
      </c>
      <c r="B1176">
        <v>0.27129999999999999</v>
      </c>
      <c r="C1176">
        <v>0.27495000000000003</v>
      </c>
      <c r="D1176">
        <v>0.25896000000000002</v>
      </c>
      <c r="E1176">
        <v>0.26139000000000001</v>
      </c>
      <c r="F1176">
        <v>29004949.600000001</v>
      </c>
      <c r="G1176">
        <v>0</v>
      </c>
      <c r="L1176" t="s">
        <v>7</v>
      </c>
      <c r="M1176" t="s">
        <v>8</v>
      </c>
      <c r="N1176" t="s">
        <v>7</v>
      </c>
      <c r="P1176">
        <f t="shared" si="1034"/>
        <v>-0.6960600375234538</v>
      </c>
      <c r="Q1176">
        <f t="shared" si="1035"/>
        <v>-20189186.306941886</v>
      </c>
      <c r="R1176">
        <f t="shared" si="1036"/>
        <v>1976170.8845914751</v>
      </c>
      <c r="S1176">
        <f t="shared" si="1037"/>
        <v>19.76170884591475</v>
      </c>
      <c r="T1176">
        <f t="shared" si="1038"/>
        <v>1.9761708845914751E-2</v>
      </c>
    </row>
    <row r="1177" spans="1:20" x14ac:dyDescent="0.25">
      <c r="A1177" s="5">
        <v>43416</v>
      </c>
      <c r="B1177">
        <v>0.27766999999999997</v>
      </c>
      <c r="C1177">
        <v>0.28710000000000002</v>
      </c>
      <c r="D1177">
        <v>0.26939999999999997</v>
      </c>
      <c r="E1177">
        <v>0.27107999999999999</v>
      </c>
      <c r="F1177">
        <v>37698144.399999999</v>
      </c>
      <c r="G1177">
        <v>0</v>
      </c>
      <c r="L1177" t="s">
        <v>8</v>
      </c>
      <c r="M1177" t="s">
        <v>8</v>
      </c>
      <c r="N1177" t="s">
        <v>7</v>
      </c>
      <c r="P1177">
        <f t="shared" si="1034"/>
        <v>-0.81016949152542261</v>
      </c>
      <c r="Q1177">
        <f t="shared" si="1035"/>
        <v>-30541886.479999956</v>
      </c>
      <c r="R1177">
        <f t="shared" si="1036"/>
        <v>22165357.191533361</v>
      </c>
      <c r="S1177">
        <f t="shared" si="1037"/>
        <v>221.6535719153336</v>
      </c>
      <c r="T1177">
        <f t="shared" si="1038"/>
        <v>0.22165357191533361</v>
      </c>
    </row>
    <row r="1178" spans="1:20" x14ac:dyDescent="0.25">
      <c r="A1178" s="5">
        <v>43415</v>
      </c>
      <c r="B1178">
        <v>0.26484000000000002</v>
      </c>
      <c r="C1178">
        <v>0.28100000000000003</v>
      </c>
      <c r="D1178">
        <v>0.26307999999999998</v>
      </c>
      <c r="E1178">
        <v>0.27711999999999998</v>
      </c>
      <c r="F1178">
        <v>46321864.899999999</v>
      </c>
      <c r="G1178">
        <v>0</v>
      </c>
      <c r="L1178" t="s">
        <v>8</v>
      </c>
      <c r="M1178" t="s">
        <v>8</v>
      </c>
      <c r="N1178" t="s">
        <v>7</v>
      </c>
      <c r="P1178">
        <f t="shared" si="1034"/>
        <v>0.56696428571428126</v>
      </c>
      <c r="Q1178">
        <f t="shared" si="1035"/>
        <v>26262843.045981936</v>
      </c>
      <c r="R1178">
        <f t="shared" si="1036"/>
        <v>52707243.671533316</v>
      </c>
      <c r="S1178">
        <f t="shared" si="1037"/>
        <v>527.0724367153332</v>
      </c>
      <c r="T1178">
        <f t="shared" si="1038"/>
        <v>0.52707243671533321</v>
      </c>
    </row>
    <row r="1179" spans="1:20" x14ac:dyDescent="0.25">
      <c r="A1179" s="5">
        <v>43414</v>
      </c>
      <c r="B1179">
        <v>0.25846000000000002</v>
      </c>
      <c r="C1179">
        <v>0.26590000000000003</v>
      </c>
      <c r="D1179">
        <v>0.25707999999999998</v>
      </c>
      <c r="E1179">
        <v>0.26458999999999999</v>
      </c>
      <c r="F1179">
        <v>11894773.9</v>
      </c>
      <c r="G1179">
        <v>0</v>
      </c>
      <c r="L1179" t="s">
        <v>8</v>
      </c>
      <c r="M1179" t="s">
        <v>8</v>
      </c>
      <c r="N1179" t="s">
        <v>7</v>
      </c>
      <c r="P1179">
        <f t="shared" si="1034"/>
        <v>0.70294784580498282</v>
      </c>
      <c r="Q1179">
        <f t="shared" si="1035"/>
        <v>8361405.6893423339</v>
      </c>
      <c r="R1179">
        <f t="shared" si="1036"/>
        <v>26444400.625551384</v>
      </c>
      <c r="S1179">
        <f t="shared" si="1037"/>
        <v>264.44400625551384</v>
      </c>
      <c r="T1179">
        <f t="shared" si="1038"/>
        <v>0.26444400625551384</v>
      </c>
    </row>
    <row r="1180" spans="1:20" x14ac:dyDescent="0.25">
      <c r="A1180" s="5">
        <v>43413</v>
      </c>
      <c r="B1180">
        <v>0.25830999999999998</v>
      </c>
      <c r="C1180">
        <v>0.26800000000000002</v>
      </c>
      <c r="D1180">
        <v>0.25363000000000002</v>
      </c>
      <c r="E1180">
        <v>0.25863999999999998</v>
      </c>
      <c r="F1180">
        <v>27928331.699999999</v>
      </c>
      <c r="G1180">
        <v>0</v>
      </c>
      <c r="L1180" t="s">
        <v>8</v>
      </c>
      <c r="M1180" t="s">
        <v>8</v>
      </c>
      <c r="N1180" t="s">
        <v>7</v>
      </c>
      <c r="P1180">
        <f t="shared" si="1034"/>
        <v>-0.30271398747390937</v>
      </c>
      <c r="Q1180">
        <f t="shared" si="1035"/>
        <v>-8454296.6524009854</v>
      </c>
      <c r="R1180">
        <f t="shared" si="1036"/>
        <v>18082994.936209049</v>
      </c>
      <c r="S1180">
        <f t="shared" si="1037"/>
        <v>180.8299493620905</v>
      </c>
      <c r="T1180">
        <f t="shared" si="1038"/>
        <v>0.18082994936209051</v>
      </c>
    </row>
    <row r="1181" spans="1:20" x14ac:dyDescent="0.25">
      <c r="A1181" s="5">
        <v>43412</v>
      </c>
      <c r="B1181">
        <v>0.25927</v>
      </c>
      <c r="C1181">
        <v>0.26890999999999998</v>
      </c>
      <c r="D1181">
        <v>0.25</v>
      </c>
      <c r="E1181">
        <v>0.25824999999999998</v>
      </c>
      <c r="F1181">
        <v>32737285.399999999</v>
      </c>
      <c r="G1181">
        <v>0</v>
      </c>
      <c r="L1181" t="s">
        <v>7</v>
      </c>
      <c r="M1181" t="s">
        <v>8</v>
      </c>
      <c r="N1181" t="s">
        <v>7</v>
      </c>
      <c r="P1181">
        <f t="shared" si="1034"/>
        <v>-0.12744579587519966</v>
      </c>
      <c r="Q1181">
        <f t="shared" si="1035"/>
        <v>-4172229.392596554</v>
      </c>
      <c r="R1181">
        <f t="shared" si="1036"/>
        <v>26537291.588610034</v>
      </c>
      <c r="S1181">
        <f t="shared" si="1037"/>
        <v>265.37291588610037</v>
      </c>
      <c r="T1181">
        <f t="shared" si="1038"/>
        <v>0.26537291588610035</v>
      </c>
    </row>
    <row r="1182" spans="1:20" x14ac:dyDescent="0.25">
      <c r="A1182" s="5">
        <v>43411</v>
      </c>
      <c r="B1182">
        <v>0.26876</v>
      </c>
      <c r="C1182">
        <v>0.26919999999999999</v>
      </c>
      <c r="D1182">
        <v>0.2535</v>
      </c>
      <c r="E1182">
        <v>0.25916</v>
      </c>
      <c r="F1182">
        <v>29093599</v>
      </c>
      <c r="G1182">
        <v>0</v>
      </c>
      <c r="L1182" t="s">
        <v>7</v>
      </c>
      <c r="M1182" t="s">
        <v>8</v>
      </c>
      <c r="N1182" t="s">
        <v>7</v>
      </c>
      <c r="P1182">
        <f t="shared" si="1034"/>
        <v>-0.27898089171974505</v>
      </c>
      <c r="Q1182">
        <f t="shared" si="1035"/>
        <v>-8116558.1923566833</v>
      </c>
      <c r="R1182">
        <f t="shared" si="1036"/>
        <v>30709520.981206588</v>
      </c>
      <c r="S1182">
        <f t="shared" si="1037"/>
        <v>307.09520981206589</v>
      </c>
      <c r="T1182">
        <f t="shared" si="1038"/>
        <v>0.30709520981206589</v>
      </c>
    </row>
    <row r="1183" spans="1:20" x14ac:dyDescent="0.25">
      <c r="A1183" s="5">
        <v>43410</v>
      </c>
      <c r="B1183">
        <v>0.24895999999999999</v>
      </c>
      <c r="C1183">
        <v>0.27099000000000001</v>
      </c>
      <c r="D1183">
        <v>0.24862000000000001</v>
      </c>
      <c r="E1183">
        <v>0.26879999999999998</v>
      </c>
      <c r="F1183">
        <v>35121277.100000001</v>
      </c>
      <c r="G1183">
        <v>0</v>
      </c>
      <c r="L1183" t="s">
        <v>8</v>
      </c>
      <c r="M1183" t="s">
        <v>8</v>
      </c>
      <c r="N1183" t="s">
        <v>7</v>
      </c>
      <c r="P1183">
        <f t="shared" si="1034"/>
        <v>0.80420205632543362</v>
      </c>
      <c r="Q1183">
        <f t="shared" si="1035"/>
        <v>28244603.264595363</v>
      </c>
      <c r="R1183">
        <f t="shared" si="1036"/>
        <v>38826079.173563272</v>
      </c>
      <c r="S1183">
        <f t="shared" si="1037"/>
        <v>388.26079173563272</v>
      </c>
      <c r="T1183">
        <f t="shared" si="1038"/>
        <v>0.38826079173563272</v>
      </c>
    </row>
    <row r="1184" spans="1:20" x14ac:dyDescent="0.25">
      <c r="A1184" s="5">
        <v>43409</v>
      </c>
      <c r="B1184">
        <v>0.24581</v>
      </c>
      <c r="C1184">
        <v>0.24959000000000001</v>
      </c>
      <c r="D1184">
        <v>0.23699999999999999</v>
      </c>
      <c r="E1184">
        <v>0.24918999999999999</v>
      </c>
      <c r="F1184">
        <v>13266220</v>
      </c>
      <c r="G1184">
        <v>0</v>
      </c>
      <c r="L1184" t="s">
        <v>8</v>
      </c>
      <c r="M1184" t="s">
        <v>7</v>
      </c>
      <c r="N1184" t="s">
        <v>7</v>
      </c>
      <c r="P1184">
        <f t="shared" si="1034"/>
        <v>0.93645750595710708</v>
      </c>
      <c r="Q1184">
        <f t="shared" si="1035"/>
        <v>12423251.294678293</v>
      </c>
      <c r="R1184">
        <f t="shared" si="1036"/>
        <v>10581475.90896791</v>
      </c>
      <c r="S1184">
        <f t="shared" si="1037"/>
        <v>105.8147590896791</v>
      </c>
      <c r="T1184">
        <f t="shared" si="1038"/>
        <v>0.10581475908967911</v>
      </c>
    </row>
    <row r="1185" spans="1:20" x14ac:dyDescent="0.25">
      <c r="A1185" s="5">
        <v>43408</v>
      </c>
      <c r="B1185">
        <v>0.2369</v>
      </c>
      <c r="C1185">
        <v>0.25018000000000001</v>
      </c>
      <c r="D1185">
        <v>0.23623</v>
      </c>
      <c r="E1185">
        <v>0.24596000000000001</v>
      </c>
      <c r="F1185">
        <v>19707530.899999999</v>
      </c>
      <c r="G1185">
        <v>0</v>
      </c>
      <c r="L1185" t="s">
        <v>8</v>
      </c>
      <c r="M1185" t="s">
        <v>7</v>
      </c>
      <c r="N1185" t="s">
        <v>7</v>
      </c>
      <c r="P1185">
        <f t="shared" si="1034"/>
        <v>0.39498207885304715</v>
      </c>
      <c r="Q1185">
        <f t="shared" si="1035"/>
        <v>7784121.5239426624</v>
      </c>
      <c r="R1185">
        <f t="shared" si="1036"/>
        <v>-1841775.3857103828</v>
      </c>
      <c r="S1185">
        <f t="shared" si="1037"/>
        <v>-18.417753857103829</v>
      </c>
      <c r="T1185">
        <f t="shared" si="1038"/>
        <v>-1.8417753857103827E-2</v>
      </c>
    </row>
    <row r="1186" spans="1:20" x14ac:dyDescent="0.25">
      <c r="A1186" s="5">
        <v>43407</v>
      </c>
      <c r="B1186">
        <v>0.23838000000000001</v>
      </c>
      <c r="C1186">
        <v>0.24499000000000001</v>
      </c>
      <c r="D1186">
        <v>0.2359</v>
      </c>
      <c r="E1186">
        <v>0.23673</v>
      </c>
      <c r="F1186">
        <v>11466321</v>
      </c>
      <c r="G1186">
        <v>0</v>
      </c>
      <c r="L1186" t="s">
        <v>8</v>
      </c>
      <c r="M1186" t="s">
        <v>7</v>
      </c>
      <c r="N1186" t="s">
        <v>7</v>
      </c>
      <c r="P1186">
        <f t="shared" si="1034"/>
        <v>-0.81738173817381821</v>
      </c>
      <c r="Q1186">
        <f t="shared" si="1035"/>
        <v>-9372361.3894389533</v>
      </c>
      <c r="R1186">
        <f t="shared" si="1036"/>
        <v>-9625896.9096530452</v>
      </c>
      <c r="S1186">
        <f t="shared" si="1037"/>
        <v>-96.25896909653045</v>
      </c>
      <c r="T1186">
        <f t="shared" si="1038"/>
        <v>-9.625896909653045E-2</v>
      </c>
    </row>
    <row r="1187" spans="1:20" x14ac:dyDescent="0.25">
      <c r="A1187" s="5">
        <v>43406</v>
      </c>
      <c r="B1187">
        <v>0.2261</v>
      </c>
      <c r="C1187">
        <v>0.24298</v>
      </c>
      <c r="D1187">
        <v>0.22575000000000001</v>
      </c>
      <c r="E1187">
        <v>0.23838000000000001</v>
      </c>
      <c r="F1187">
        <v>14099150.9</v>
      </c>
      <c r="G1187">
        <v>0</v>
      </c>
      <c r="L1187" t="s">
        <v>8</v>
      </c>
      <c r="M1187" t="s">
        <v>7</v>
      </c>
      <c r="N1187" t="s">
        <v>7</v>
      </c>
      <c r="P1187">
        <f t="shared" si="1034"/>
        <v>0.46604759141033147</v>
      </c>
      <c r="Q1187">
        <f t="shared" si="1035"/>
        <v>6570875.3178758072</v>
      </c>
      <c r="R1187">
        <f t="shared" si="1036"/>
        <v>-253535.52021409199</v>
      </c>
      <c r="S1187">
        <f t="shared" si="1037"/>
        <v>-2.53535520214092</v>
      </c>
      <c r="T1187">
        <f t="shared" si="1038"/>
        <v>-2.5353552021409199E-3</v>
      </c>
    </row>
    <row r="1188" spans="1:20" x14ac:dyDescent="0.25">
      <c r="A1188" s="5">
        <v>43405</v>
      </c>
      <c r="B1188">
        <v>0.22699</v>
      </c>
      <c r="C1188">
        <v>0.22756999999999999</v>
      </c>
      <c r="D1188">
        <v>0.22120000000000001</v>
      </c>
      <c r="E1188">
        <v>0.22647999999999999</v>
      </c>
      <c r="F1188">
        <v>7218764.2000000002</v>
      </c>
      <c r="G1188">
        <v>0</v>
      </c>
      <c r="L1188" t="s">
        <v>7</v>
      </c>
      <c r="M1188" t="s">
        <v>7</v>
      </c>
      <c r="N1188" t="s">
        <v>7</v>
      </c>
      <c r="P1188">
        <f t="shared" si="1034"/>
        <v>0.65777080062794036</v>
      </c>
      <c r="Q1188">
        <f t="shared" si="1035"/>
        <v>4748292.3073783135</v>
      </c>
      <c r="R1188">
        <f t="shared" si="1036"/>
        <v>-6824410.8380898992</v>
      </c>
      <c r="S1188">
        <f t="shared" si="1037"/>
        <v>-68.244108380898993</v>
      </c>
      <c r="T1188">
        <f t="shared" si="1038"/>
        <v>-6.8244108380898991E-2</v>
      </c>
    </row>
    <row r="1189" spans="1:20" x14ac:dyDescent="0.25">
      <c r="A1189" s="5">
        <v>43404</v>
      </c>
      <c r="B1189">
        <v>0.22381000000000001</v>
      </c>
      <c r="C1189">
        <v>0.22725000000000001</v>
      </c>
      <c r="D1189">
        <v>0.218</v>
      </c>
      <c r="E1189">
        <v>0.22667999999999999</v>
      </c>
      <c r="F1189">
        <v>8231911.9000000004</v>
      </c>
      <c r="G1189">
        <v>0</v>
      </c>
      <c r="L1189" t="s">
        <v>7</v>
      </c>
      <c r="M1189" t="s">
        <v>7</v>
      </c>
      <c r="N1189" t="s">
        <v>7</v>
      </c>
      <c r="P1189">
        <f t="shared" si="1034"/>
        <v>0.87675675675675369</v>
      </c>
      <c r="Q1189">
        <f t="shared" si="1035"/>
        <v>7217384.3793513263</v>
      </c>
      <c r="R1189">
        <f t="shared" si="1036"/>
        <v>-11572703.145468213</v>
      </c>
      <c r="S1189">
        <f t="shared" si="1037"/>
        <v>-115.72703145468212</v>
      </c>
      <c r="T1189">
        <f t="shared" si="1038"/>
        <v>-0.11572703145468212</v>
      </c>
    </row>
    <row r="1190" spans="1:20" x14ac:dyDescent="0.25">
      <c r="A1190" s="5">
        <v>43403</v>
      </c>
      <c r="B1190">
        <v>0.22283</v>
      </c>
      <c r="C1190">
        <v>0.22797999999999999</v>
      </c>
      <c r="D1190">
        <v>0.22262000000000001</v>
      </c>
      <c r="E1190">
        <v>0.22367999999999999</v>
      </c>
      <c r="F1190">
        <v>5637973.7999999998</v>
      </c>
      <c r="G1190">
        <v>0</v>
      </c>
      <c r="L1190" t="s">
        <v>7</v>
      </c>
      <c r="M1190" t="s">
        <v>7</v>
      </c>
      <c r="N1190" t="s">
        <v>7</v>
      </c>
      <c r="P1190">
        <f t="shared" si="1034"/>
        <v>-0.60447761194030503</v>
      </c>
      <c r="Q1190">
        <f t="shared" si="1035"/>
        <v>-3408028.9388060067</v>
      </c>
      <c r="R1190">
        <f t="shared" si="1036"/>
        <v>-18790087.524819538</v>
      </c>
      <c r="S1190">
        <f t="shared" si="1037"/>
        <v>-187.90087524819538</v>
      </c>
      <c r="T1190">
        <f t="shared" si="1038"/>
        <v>-0.18790087524819538</v>
      </c>
    </row>
    <row r="1191" spans="1:20" x14ac:dyDescent="0.25">
      <c r="A1191" s="5">
        <v>43402</v>
      </c>
      <c r="B1191">
        <v>0.23501</v>
      </c>
      <c r="C1191">
        <v>0.23583999999999999</v>
      </c>
      <c r="D1191">
        <v>0.22119</v>
      </c>
      <c r="E1191">
        <v>0.22273000000000001</v>
      </c>
      <c r="F1191">
        <v>10058177</v>
      </c>
      <c r="G1191">
        <v>0</v>
      </c>
      <c r="L1191" t="s">
        <v>7</v>
      </c>
      <c r="M1191" t="s">
        <v>7</v>
      </c>
      <c r="N1191" t="s">
        <v>7</v>
      </c>
      <c r="P1191">
        <f t="shared" si="1034"/>
        <v>-0.78976109215016876</v>
      </c>
      <c r="Q1191">
        <f t="shared" si="1035"/>
        <v>-7943556.8525597081</v>
      </c>
      <c r="R1191">
        <f t="shared" si="1036"/>
        <v>-15382058.586013531</v>
      </c>
      <c r="S1191">
        <f t="shared" si="1037"/>
        <v>-153.82058586013531</v>
      </c>
      <c r="T1191">
        <f t="shared" si="1038"/>
        <v>-0.15382058586013531</v>
      </c>
    </row>
    <row r="1192" spans="1:20" x14ac:dyDescent="0.25">
      <c r="A1192" s="5">
        <v>43401</v>
      </c>
      <c r="B1192">
        <v>0.23114000000000001</v>
      </c>
      <c r="C1192">
        <v>0.23768</v>
      </c>
      <c r="D1192">
        <v>0.23019999999999999</v>
      </c>
      <c r="E1192">
        <v>0.23452999999999999</v>
      </c>
      <c r="F1192">
        <v>6856732.5</v>
      </c>
      <c r="G1192">
        <v>0</v>
      </c>
      <c r="L1192" t="s">
        <v>7</v>
      </c>
      <c r="M1192" t="s">
        <v>7</v>
      </c>
      <c r="N1192" t="s">
        <v>7</v>
      </c>
      <c r="P1192">
        <f t="shared" si="1034"/>
        <v>0.15775401069518508</v>
      </c>
      <c r="Q1192">
        <f t="shared" si="1035"/>
        <v>1081677.0521390231</v>
      </c>
      <c r="R1192">
        <f t="shared" si="1036"/>
        <v>-7438501.7334538233</v>
      </c>
      <c r="S1192">
        <f t="shared" si="1037"/>
        <v>-74.385017334538233</v>
      </c>
      <c r="T1192">
        <f t="shared" si="1038"/>
        <v>-7.4385017334538228E-2</v>
      </c>
    </row>
    <row r="1193" spans="1:20" x14ac:dyDescent="0.25">
      <c r="A1193" s="5">
        <v>43400</v>
      </c>
      <c r="B1193">
        <v>0.23746999999999999</v>
      </c>
      <c r="C1193">
        <v>0.23791999999999999</v>
      </c>
      <c r="D1193">
        <v>0.22856000000000001</v>
      </c>
      <c r="E1193">
        <v>0.23113</v>
      </c>
      <c r="F1193">
        <v>7474091.4000000004</v>
      </c>
      <c r="G1193">
        <v>0</v>
      </c>
      <c r="L1193" t="s">
        <v>7</v>
      </c>
      <c r="M1193" t="s">
        <v>7</v>
      </c>
      <c r="N1193" t="s">
        <v>7</v>
      </c>
      <c r="P1193">
        <f t="shared" si="1034"/>
        <v>-0.45085470085470203</v>
      </c>
      <c r="Q1193">
        <f t="shared" si="1035"/>
        <v>-3369729.2423077011</v>
      </c>
      <c r="R1193">
        <f t="shared" si="1036"/>
        <v>-8520178.7855928466</v>
      </c>
      <c r="S1193">
        <f t="shared" si="1037"/>
        <v>-85.201787855928472</v>
      </c>
      <c r="T1193">
        <f t="shared" si="1038"/>
        <v>-8.5201787855928468E-2</v>
      </c>
    </row>
    <row r="1194" spans="1:20" x14ac:dyDescent="0.25">
      <c r="A1194" s="5">
        <v>43399</v>
      </c>
      <c r="B1194">
        <v>0.23816999999999999</v>
      </c>
      <c r="C1194">
        <v>0.24034</v>
      </c>
      <c r="D1194">
        <v>0.23401</v>
      </c>
      <c r="E1194">
        <v>0.23710000000000001</v>
      </c>
      <c r="F1194">
        <v>7249881.0999999996</v>
      </c>
      <c r="G1194">
        <v>0</v>
      </c>
      <c r="L1194" t="s">
        <v>7</v>
      </c>
      <c r="M1194" t="s">
        <v>7</v>
      </c>
      <c r="N1194" t="s">
        <v>7</v>
      </c>
      <c r="P1194">
        <f t="shared" si="1034"/>
        <v>-2.3696682464452359E-2</v>
      </c>
      <c r="Q1194">
        <f t="shared" si="1035"/>
        <v>-171798.13033173457</v>
      </c>
      <c r="R1194">
        <f t="shared" si="1036"/>
        <v>-5150449.5432851464</v>
      </c>
      <c r="S1194">
        <f t="shared" si="1037"/>
        <v>-51.504495432851463</v>
      </c>
      <c r="T1194">
        <f t="shared" si="1038"/>
        <v>-5.150449543285146E-2</v>
      </c>
    </row>
    <row r="1195" spans="1:20" x14ac:dyDescent="0.25">
      <c r="A1195" s="5">
        <v>43398</v>
      </c>
      <c r="B1195">
        <v>0.24113000000000001</v>
      </c>
      <c r="C1195">
        <v>0.24288999999999999</v>
      </c>
      <c r="D1195">
        <v>0.23710000000000001</v>
      </c>
      <c r="E1195">
        <v>0.23835999999999999</v>
      </c>
      <c r="F1195">
        <v>8815410.3000000007</v>
      </c>
      <c r="G1195">
        <v>0</v>
      </c>
      <c r="P1195">
        <f t="shared" si="1034"/>
        <v>-0.56476683937824335</v>
      </c>
      <c r="Q1195">
        <f t="shared" si="1035"/>
        <v>-4978651.4129534122</v>
      </c>
      <c r="R1195">
        <f t="shared" si="1036"/>
        <v>-4978651.4129534122</v>
      </c>
      <c r="S1195">
        <f t="shared" si="1037"/>
        <v>-49.786514129534119</v>
      </c>
      <c r="T1195">
        <f t="shared" si="1038"/>
        <v>-4.9786514129534117E-2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QP670" sqref="QP67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$A$669</v>
      </c>
      <c r="D111" s="1" t="str">
        <f>ADDRESS(C121-1,D121,1,1)</f>
        <v>$QP$669</v>
      </c>
      <c r="E111"/>
    </row>
    <row r="112" spans="1:5" x14ac:dyDescent="0.25">
      <c r="A112" s="7">
        <v>12164.144957890772</v>
      </c>
      <c r="C112" s="1" t="str">
        <f>ADDRESS(C121,1,1,1)</f>
        <v>$A$670</v>
      </c>
      <c r="D112" s="1" t="str">
        <f>ADDRESS(C121,D121-1,1,1)</f>
        <v>$QO$670</v>
      </c>
      <c r="E112"/>
    </row>
    <row r="113" spans="1:5" x14ac:dyDescent="0.25">
      <c r="A113" s="7">
        <v>11925.63231165762</v>
      </c>
      <c r="C113" s="1" t="str">
        <f>ADDRESS(C121+1,1,1,1)</f>
        <v>$A$671</v>
      </c>
      <c r="D113" s="1" t="str">
        <f>ADDRESS(C121-1,D121+1,1,1)</f>
        <v>$QQ$669</v>
      </c>
    </row>
    <row r="114" spans="1:5" x14ac:dyDescent="0.25">
      <c r="A114" s="7">
        <v>11691.796383978059</v>
      </c>
      <c r="C114" s="1" t="str">
        <f>ADDRESS(C121,D121,1,1)</f>
        <v>$QP$670</v>
      </c>
      <c r="D114" s="1" t="str">
        <f>ADDRESS(C121+1,D121+1,1,1)</f>
        <v>$QQ$671</v>
      </c>
    </row>
    <row r="115" spans="1:5" x14ac:dyDescent="0.25">
      <c r="A115" s="7">
        <v>11462.545474488292</v>
      </c>
      <c r="C115" s="1" t="str">
        <f>ADDRESS(C121+1,D121,1,1)</f>
        <v>$QP$671</v>
      </c>
    </row>
    <row r="116" spans="1:5" x14ac:dyDescent="0.25">
      <c r="A116" s="7">
        <v>11237.789680870874</v>
      </c>
      <c r="C116" s="1">
        <f>C117-1</f>
        <v>669</v>
      </c>
    </row>
    <row r="117" spans="1:5" x14ac:dyDescent="0.25">
      <c r="A117" s="7">
        <v>11017.440863598895</v>
      </c>
      <c r="C117" s="1">
        <f>C121</f>
        <v>670</v>
      </c>
      <c r="D117" s="1">
        <f>D121</f>
        <v>458</v>
      </c>
    </row>
    <row r="118" spans="1:5" x14ac:dyDescent="0.25">
      <c r="A118" s="7">
        <v>10801.412611371465</v>
      </c>
      <c r="C118" s="1">
        <f>C117+1</f>
        <v>671</v>
      </c>
      <c r="D118" s="1">
        <f>D117+1</f>
        <v>459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670</v>
      </c>
      <c r="D121" s="19">
        <v>458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R670</v>
      </c>
      <c r="D123" s="1" t="str">
        <f>"C"&amp;D121</f>
        <v>C458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0.19327947788431293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350" x14ac:dyDescent="0.25">
      <c r="A593" s="7">
        <v>0.8879713821861922</v>
      </c>
      <c r="B593"/>
      <c r="C593"/>
      <c r="D593"/>
      <c r="E593"/>
      <c r="F593" s="27" t="s">
        <v>7</v>
      </c>
    </row>
    <row r="594" spans="1:350" x14ac:dyDescent="0.25">
      <c r="A594" s="7">
        <v>0.87056017861391399</v>
      </c>
      <c r="B594"/>
      <c r="C594"/>
      <c r="D594"/>
      <c r="E594"/>
      <c r="F594" s="27" t="s">
        <v>7</v>
      </c>
    </row>
    <row r="595" spans="1:350" x14ac:dyDescent="0.25">
      <c r="A595" s="7">
        <v>0.85349037119011173</v>
      </c>
      <c r="B595"/>
      <c r="C595"/>
      <c r="D595"/>
      <c r="E595"/>
      <c r="F595" s="27" t="s">
        <v>7</v>
      </c>
    </row>
    <row r="596" spans="1:350" x14ac:dyDescent="0.25">
      <c r="A596" s="7">
        <v>0.83675526587265858</v>
      </c>
      <c r="B596"/>
      <c r="C596"/>
      <c r="D596"/>
      <c r="E596"/>
      <c r="F596" s="27" t="s">
        <v>7</v>
      </c>
    </row>
    <row r="597" spans="1:350" x14ac:dyDescent="0.25">
      <c r="A597" s="7">
        <v>0.82034829987515545</v>
      </c>
      <c r="B597"/>
      <c r="C597"/>
      <c r="D597"/>
      <c r="E597"/>
      <c r="F597" s="27" t="s">
        <v>7</v>
      </c>
    </row>
    <row r="598" spans="1:350" x14ac:dyDescent="0.25">
      <c r="A598" s="7">
        <v>0.80426303909328967</v>
      </c>
      <c r="B598"/>
      <c r="C598"/>
      <c r="D598"/>
      <c r="E598"/>
      <c r="F598" s="27" t="s">
        <v>7</v>
      </c>
    </row>
    <row r="599" spans="1:350" x14ac:dyDescent="0.25">
      <c r="A599" s="7">
        <v>0.78849317558165644</v>
      </c>
      <c r="B599"/>
      <c r="C599"/>
      <c r="D599"/>
      <c r="E599"/>
      <c r="F599" s="27" t="s">
        <v>7</v>
      </c>
      <c r="MI599" s="27" t="s">
        <v>8</v>
      </c>
    </row>
    <row r="600" spans="1:350" x14ac:dyDescent="0.25">
      <c r="A600" s="7">
        <v>0.77303252508005538</v>
      </c>
      <c r="B600"/>
      <c r="C600"/>
      <c r="D600"/>
      <c r="E600"/>
      <c r="F600" s="27" t="s">
        <v>7</v>
      </c>
      <c r="MG600" s="27" t="s">
        <v>8</v>
      </c>
      <c r="MI600" s="27" t="s">
        <v>8</v>
      </c>
      <c r="MJ600" s="27" t="s">
        <v>7</v>
      </c>
    </row>
    <row r="601" spans="1:350" x14ac:dyDescent="0.25">
      <c r="A601" s="7">
        <v>0.75787502458828959</v>
      </c>
      <c r="B601"/>
      <c r="C601"/>
      <c r="D601"/>
      <c r="E601"/>
      <c r="F601" s="27" t="s">
        <v>7</v>
      </c>
      <c r="MG601" s="27" t="s">
        <v>8</v>
      </c>
      <c r="MH601" s="27" t="s">
        <v>7</v>
      </c>
      <c r="MI601" s="27" t="s">
        <v>8</v>
      </c>
      <c r="MJ601" s="27" t="s">
        <v>7</v>
      </c>
    </row>
    <row r="602" spans="1:350" x14ac:dyDescent="0.25">
      <c r="A602" s="7">
        <v>0.74301472998851925</v>
      </c>
      <c r="B602"/>
      <c r="C602"/>
      <c r="D602"/>
      <c r="E602"/>
      <c r="F602" s="27" t="s">
        <v>7</v>
      </c>
      <c r="MG602" s="27" t="s">
        <v>8</v>
      </c>
      <c r="MH602" s="27" t="s">
        <v>7</v>
      </c>
      <c r="MI602" s="27" t="s">
        <v>8</v>
      </c>
      <c r="MJ602" s="27" t="s">
        <v>7</v>
      </c>
    </row>
    <row r="603" spans="1:350" x14ac:dyDescent="0.25">
      <c r="A603" s="7">
        <v>0.72844581371423456</v>
      </c>
      <c r="B603"/>
      <c r="C603"/>
      <c r="D603"/>
      <c r="E603"/>
      <c r="F603" s="27" t="s">
        <v>7</v>
      </c>
      <c r="MG603" s="27" t="s">
        <v>8</v>
      </c>
      <c r="MH603" s="27" t="s">
        <v>7</v>
      </c>
      <c r="MI603" s="27" t="s">
        <v>8</v>
      </c>
      <c r="MJ603" s="27" t="s">
        <v>7</v>
      </c>
    </row>
    <row r="604" spans="1:350" x14ac:dyDescent="0.25">
      <c r="A604" s="7">
        <v>0.71416256246493581</v>
      </c>
      <c r="B604"/>
      <c r="C604"/>
      <c r="D604"/>
      <c r="E604"/>
      <c r="F604" s="27" t="s">
        <v>7</v>
      </c>
      <c r="MG604" s="27" t="s">
        <v>8</v>
      </c>
      <c r="MH604" s="27" t="s">
        <v>7</v>
      </c>
      <c r="MI604" s="27" t="s">
        <v>8</v>
      </c>
      <c r="MJ604" s="27" t="s">
        <v>7</v>
      </c>
    </row>
    <row r="605" spans="1:350" x14ac:dyDescent="0.25">
      <c r="A605" s="7">
        <v>0.7001593749656233</v>
      </c>
      <c r="B605"/>
      <c r="C605"/>
      <c r="D605"/>
      <c r="E605"/>
      <c r="F605" s="27" t="s">
        <v>7</v>
      </c>
      <c r="MG605" s="27" t="s">
        <v>8</v>
      </c>
      <c r="MH605" s="27" t="s">
        <v>7</v>
      </c>
      <c r="MI605" s="27" t="s">
        <v>8</v>
      </c>
      <c r="MJ605" s="27" t="s">
        <v>7</v>
      </c>
    </row>
    <row r="606" spans="1:350" x14ac:dyDescent="0.25">
      <c r="A606" s="7">
        <v>0.68643075977021883</v>
      </c>
      <c r="B606"/>
      <c r="C606"/>
      <c r="D606"/>
      <c r="E606"/>
      <c r="F606" s="27" t="s">
        <v>7</v>
      </c>
      <c r="LQ606" s="27" t="s">
        <v>8</v>
      </c>
      <c r="ME606" s="27" t="s">
        <v>8</v>
      </c>
      <c r="MG606" s="27" t="s">
        <v>8</v>
      </c>
      <c r="MH606" s="27" t="s">
        <v>7</v>
      </c>
      <c r="MI606" s="27" t="s">
        <v>8</v>
      </c>
      <c r="MJ606" s="27" t="s">
        <v>7</v>
      </c>
      <c r="MK606" s="27" t="s">
        <v>8</v>
      </c>
    </row>
    <row r="607" spans="1:350" x14ac:dyDescent="0.25">
      <c r="A607" s="7">
        <v>0.67297133310805768</v>
      </c>
      <c r="B607"/>
      <c r="C607"/>
      <c r="D607"/>
      <c r="E607"/>
      <c r="F607" s="27" t="s">
        <v>7</v>
      </c>
      <c r="LQ607" s="27" t="s">
        <v>8</v>
      </c>
      <c r="LR607" s="27" t="s">
        <v>7</v>
      </c>
      <c r="ME607" s="27" t="s">
        <v>8</v>
      </c>
      <c r="MF607" s="27" t="s">
        <v>7</v>
      </c>
      <c r="MG607" s="27" t="s">
        <v>8</v>
      </c>
      <c r="MH607" s="27" t="s">
        <v>7</v>
      </c>
      <c r="MI607" s="27" t="s">
        <v>8</v>
      </c>
      <c r="MJ607" s="27" t="s">
        <v>7</v>
      </c>
      <c r="MK607" s="27" t="s">
        <v>8</v>
      </c>
      <c r="ML607" s="27" t="s">
        <v>7</v>
      </c>
    </row>
    <row r="608" spans="1:350" x14ac:dyDescent="0.25">
      <c r="A608" s="7">
        <v>0.65977581677260566</v>
      </c>
      <c r="B608"/>
      <c r="C608"/>
      <c r="D608"/>
      <c r="E608"/>
      <c r="F608" s="27" t="s">
        <v>7</v>
      </c>
      <c r="LQ608" s="27" t="s">
        <v>8</v>
      </c>
      <c r="LR608" s="27" t="s">
        <v>7</v>
      </c>
      <c r="ME608" s="27" t="s">
        <v>8</v>
      </c>
      <c r="MF608" s="27" t="s">
        <v>7</v>
      </c>
      <c r="MG608" s="27" t="s">
        <v>8</v>
      </c>
      <c r="MH608" s="27" t="s">
        <v>7</v>
      </c>
      <c r="MI608" s="27" t="s">
        <v>8</v>
      </c>
      <c r="MJ608" s="27" t="s">
        <v>7</v>
      </c>
      <c r="MK608" s="27" t="s">
        <v>8</v>
      </c>
      <c r="ML608" s="27" t="s">
        <v>7</v>
      </c>
    </row>
    <row r="609" spans="1:352" x14ac:dyDescent="0.25">
      <c r="A609" s="7">
        <v>0.64683903605157422</v>
      </c>
      <c r="B609"/>
      <c r="C609"/>
      <c r="D609"/>
      <c r="E609"/>
      <c r="F609" s="27" t="s">
        <v>7</v>
      </c>
      <c r="LO609" s="27" t="s">
        <v>8</v>
      </c>
      <c r="LQ609" s="27" t="s">
        <v>8</v>
      </c>
      <c r="LR609" s="27" t="s">
        <v>7</v>
      </c>
      <c r="ME609" s="27" t="s">
        <v>8</v>
      </c>
      <c r="MF609" s="27" t="s">
        <v>7</v>
      </c>
      <c r="MG609" s="27" t="s">
        <v>8</v>
      </c>
      <c r="MH609" s="27" t="s">
        <v>7</v>
      </c>
      <c r="MI609" s="27" t="s">
        <v>8</v>
      </c>
      <c r="MJ609" s="27" t="s">
        <v>7</v>
      </c>
      <c r="MK609" s="27" t="s">
        <v>8</v>
      </c>
      <c r="ML609" s="27" t="s">
        <v>7</v>
      </c>
    </row>
    <row r="610" spans="1:352" x14ac:dyDescent="0.25">
      <c r="A610" s="7">
        <v>0.63415591769762181</v>
      </c>
      <c r="B610"/>
      <c r="C610"/>
      <c r="D610"/>
      <c r="E610"/>
      <c r="F610" s="27" t="s">
        <v>7</v>
      </c>
      <c r="LO610" s="27" t="s">
        <v>8</v>
      </c>
      <c r="LP610" s="27" t="s">
        <v>7</v>
      </c>
      <c r="LQ610" s="27" t="s">
        <v>8</v>
      </c>
      <c r="LR610" s="27" t="s">
        <v>7</v>
      </c>
      <c r="LS610" s="27" t="s">
        <v>8</v>
      </c>
      <c r="ME610" s="27" t="s">
        <v>8</v>
      </c>
      <c r="MF610" s="27" t="s">
        <v>7</v>
      </c>
      <c r="MG610" s="27" t="s">
        <v>8</v>
      </c>
      <c r="MH610" s="27" t="s">
        <v>7</v>
      </c>
      <c r="MI610" s="27" t="s">
        <v>8</v>
      </c>
      <c r="MJ610" s="27" t="s">
        <v>7</v>
      </c>
      <c r="MK610" s="27" t="s">
        <v>8</v>
      </c>
      <c r="ML610" s="27" t="s">
        <v>7</v>
      </c>
    </row>
    <row r="611" spans="1:352" x14ac:dyDescent="0.25">
      <c r="A611" s="7">
        <v>0.62172148793884496</v>
      </c>
      <c r="B611"/>
      <c r="C611"/>
      <c r="D611"/>
      <c r="E611"/>
      <c r="F611" s="27" t="s">
        <v>7</v>
      </c>
      <c r="LO611" s="27" t="s">
        <v>8</v>
      </c>
      <c r="LP611" s="27" t="s">
        <v>7</v>
      </c>
      <c r="LQ611" s="27" t="s">
        <v>8</v>
      </c>
      <c r="LR611" s="27" t="s">
        <v>7</v>
      </c>
      <c r="LS611" s="27" t="s">
        <v>8</v>
      </c>
      <c r="LT611" s="27" t="s">
        <v>7</v>
      </c>
      <c r="ME611" s="27" t="s">
        <v>8</v>
      </c>
      <c r="MF611" s="27" t="s">
        <v>7</v>
      </c>
      <c r="MG611" s="27" t="s">
        <v>8</v>
      </c>
      <c r="MH611" s="27" t="s">
        <v>7</v>
      </c>
      <c r="MI611" s="27" t="s">
        <v>8</v>
      </c>
      <c r="MJ611" s="27" t="s">
        <v>7</v>
      </c>
      <c r="ML611" s="27" t="s">
        <v>7</v>
      </c>
    </row>
    <row r="612" spans="1:352" x14ac:dyDescent="0.25">
      <c r="A612" s="7">
        <v>0.60953087052827937</v>
      </c>
      <c r="B612"/>
      <c r="C612"/>
      <c r="D612"/>
      <c r="E612"/>
      <c r="F612" s="27" t="s">
        <v>7</v>
      </c>
      <c r="LO612" s="27" t="s">
        <v>8</v>
      </c>
      <c r="LP612" s="27" t="s">
        <v>7</v>
      </c>
      <c r="LQ612" s="27" t="s">
        <v>8</v>
      </c>
      <c r="LR612" s="27" t="s">
        <v>7</v>
      </c>
      <c r="LS612" s="27" t="s">
        <v>8</v>
      </c>
      <c r="LT612" s="27" t="s">
        <v>7</v>
      </c>
      <c r="ME612" s="27" t="s">
        <v>8</v>
      </c>
      <c r="MF612" s="27" t="s">
        <v>7</v>
      </c>
      <c r="MG612" s="27" t="s">
        <v>8</v>
      </c>
      <c r="MH612" s="27" t="s">
        <v>7</v>
      </c>
      <c r="MI612" s="27" t="s">
        <v>8</v>
      </c>
      <c r="ML612" s="27" t="s">
        <v>7</v>
      </c>
    </row>
    <row r="613" spans="1:352" x14ac:dyDescent="0.25">
      <c r="A613" s="7">
        <v>0.59757928483164646</v>
      </c>
      <c r="B613"/>
      <c r="C613"/>
      <c r="D613"/>
      <c r="E613"/>
      <c r="F613" s="27" t="s">
        <v>7</v>
      </c>
      <c r="KK613" s="27" t="s">
        <v>8</v>
      </c>
      <c r="LO613" s="27" t="s">
        <v>8</v>
      </c>
      <c r="LP613" s="27" t="s">
        <v>7</v>
      </c>
      <c r="LQ613" s="27" t="s">
        <v>8</v>
      </c>
      <c r="LR613" s="27" t="s">
        <v>7</v>
      </c>
      <c r="LS613" s="27" t="s">
        <v>8</v>
      </c>
      <c r="LT613" s="27" t="s">
        <v>7</v>
      </c>
      <c r="ME613" s="27" t="s">
        <v>8</v>
      </c>
      <c r="MF613" s="27" t="s">
        <v>7</v>
      </c>
      <c r="MG613" s="27" t="s">
        <v>8</v>
      </c>
      <c r="MH613" s="27" t="s">
        <v>7</v>
      </c>
      <c r="MI613" s="27" t="s">
        <v>8</v>
      </c>
      <c r="ML613" s="27" t="s">
        <v>7</v>
      </c>
    </row>
    <row r="614" spans="1:352" x14ac:dyDescent="0.25">
      <c r="A614" s="7">
        <v>0.58586204395259456</v>
      </c>
      <c r="B614"/>
      <c r="C614"/>
      <c r="D614"/>
      <c r="E614"/>
      <c r="F614" s="27" t="s">
        <v>7</v>
      </c>
      <c r="KK614" s="27" t="s">
        <v>8</v>
      </c>
      <c r="KL614" s="27" t="s">
        <v>7</v>
      </c>
      <c r="LO614" s="27" t="s">
        <v>8</v>
      </c>
      <c r="LP614" s="27" t="s">
        <v>7</v>
      </c>
      <c r="LQ614" s="27" t="s">
        <v>8</v>
      </c>
      <c r="LR614" s="27" t="s">
        <v>7</v>
      </c>
      <c r="LS614" s="27" t="s">
        <v>8</v>
      </c>
      <c r="LT614" s="27" t="s">
        <v>7</v>
      </c>
      <c r="ME614" s="27" t="s">
        <v>8</v>
      </c>
      <c r="MF614" s="27" t="s">
        <v>7</v>
      </c>
      <c r="MH614" s="27" t="s">
        <v>7</v>
      </c>
      <c r="MI614" s="27" t="s">
        <v>8</v>
      </c>
      <c r="ML614" s="27" t="s">
        <v>7</v>
      </c>
    </row>
    <row r="615" spans="1:352" x14ac:dyDescent="0.25">
      <c r="A615" s="7">
        <v>0.57437455289470052</v>
      </c>
      <c r="B615"/>
      <c r="C615"/>
      <c r="D615"/>
      <c r="E615"/>
      <c r="F615" s="27" t="s">
        <v>7</v>
      </c>
      <c r="KK615" s="27" t="s">
        <v>8</v>
      </c>
      <c r="KL615" s="27" t="s">
        <v>7</v>
      </c>
      <c r="LM615" s="27" t="s">
        <v>8</v>
      </c>
      <c r="LO615" s="27" t="s">
        <v>8</v>
      </c>
      <c r="LP615" s="27" t="s">
        <v>7</v>
      </c>
      <c r="LR615" s="27" t="s">
        <v>7</v>
      </c>
      <c r="LT615" s="27" t="s">
        <v>7</v>
      </c>
      <c r="ME615" s="27" t="s">
        <v>8</v>
      </c>
      <c r="MH615" s="27" t="s">
        <v>7</v>
      </c>
      <c r="MI615" s="27" t="s">
        <v>8</v>
      </c>
      <c r="ML615" s="27" t="s">
        <v>7</v>
      </c>
    </row>
    <row r="616" spans="1:352" x14ac:dyDescent="0.25">
      <c r="A616" s="7">
        <v>0.56311230675951029</v>
      </c>
      <c r="B616"/>
      <c r="C616"/>
      <c r="D616"/>
      <c r="E616"/>
      <c r="F616" s="27" t="s">
        <v>7</v>
      </c>
      <c r="KK616" s="27" t="s">
        <v>8</v>
      </c>
      <c r="KL616" s="27" t="s">
        <v>7</v>
      </c>
      <c r="LM616" s="27" t="s">
        <v>8</v>
      </c>
      <c r="LN616" s="27" t="s">
        <v>7</v>
      </c>
      <c r="LO616" s="27" t="s">
        <v>8</v>
      </c>
      <c r="LT616" s="27" t="s">
        <v>7</v>
      </c>
      <c r="LU616" s="27" t="s">
        <v>8</v>
      </c>
      <c r="MC616" s="27" t="s">
        <v>8</v>
      </c>
      <c r="ME616" s="27" t="s">
        <v>8</v>
      </c>
      <c r="MH616" s="27" t="s">
        <v>7</v>
      </c>
      <c r="MI616" s="27" t="s">
        <v>8</v>
      </c>
      <c r="ML616" s="27" t="s">
        <v>7</v>
      </c>
    </row>
    <row r="617" spans="1:352" x14ac:dyDescent="0.25">
      <c r="A617" s="7">
        <v>0.55207088897991208</v>
      </c>
      <c r="B617"/>
      <c r="C617"/>
      <c r="D617"/>
      <c r="E617"/>
      <c r="F617" s="27" t="s">
        <v>7</v>
      </c>
      <c r="KK617" s="27" t="s">
        <v>8</v>
      </c>
      <c r="KL617" s="27" t="s">
        <v>7</v>
      </c>
      <c r="LM617" s="27" t="s">
        <v>8</v>
      </c>
      <c r="LN617" s="27" t="s">
        <v>7</v>
      </c>
      <c r="LO617" s="27" t="s">
        <v>8</v>
      </c>
      <c r="LT617" s="27" t="s">
        <v>7</v>
      </c>
      <c r="LU617" s="27" t="s">
        <v>8</v>
      </c>
      <c r="LV617" s="27" t="s">
        <v>7</v>
      </c>
      <c r="MC617" s="27" t="s">
        <v>8</v>
      </c>
      <c r="MD617" s="27" t="s">
        <v>7</v>
      </c>
      <c r="ME617" s="27" t="s">
        <v>8</v>
      </c>
      <c r="MH617" s="27" t="s">
        <v>7</v>
      </c>
      <c r="MI617" s="27" t="s">
        <v>8</v>
      </c>
      <c r="ML617" s="27" t="s">
        <v>7</v>
      </c>
    </row>
    <row r="618" spans="1:352" x14ac:dyDescent="0.25">
      <c r="A618" s="7">
        <v>0.54124596958814908</v>
      </c>
      <c r="B618"/>
      <c r="C618"/>
      <c r="D618"/>
      <c r="E618"/>
      <c r="F618" s="27" t="s">
        <v>7</v>
      </c>
      <c r="KK618" s="27" t="s">
        <v>8</v>
      </c>
      <c r="KL618" s="27" t="s">
        <v>7</v>
      </c>
      <c r="LM618" s="27" t="s">
        <v>8</v>
      </c>
      <c r="LN618" s="27" t="s">
        <v>7</v>
      </c>
      <c r="LO618" s="27" t="s">
        <v>8</v>
      </c>
      <c r="LT618" s="27" t="s">
        <v>7</v>
      </c>
      <c r="LU618" s="27" t="s">
        <v>8</v>
      </c>
      <c r="LV618" s="27" t="s">
        <v>7</v>
      </c>
      <c r="MC618" s="27" t="s">
        <v>8</v>
      </c>
      <c r="MD618" s="27" t="s">
        <v>7</v>
      </c>
      <c r="ME618" s="27" t="s">
        <v>8</v>
      </c>
      <c r="MH618" s="27" t="s">
        <v>7</v>
      </c>
      <c r="ML618" s="27" t="s">
        <v>7</v>
      </c>
    </row>
    <row r="619" spans="1:352" x14ac:dyDescent="0.25">
      <c r="A619" s="7">
        <v>0.53063330351779314</v>
      </c>
      <c r="B619"/>
      <c r="C619"/>
      <c r="D619"/>
      <c r="E619"/>
      <c r="F619" s="27" t="s">
        <v>7</v>
      </c>
      <c r="KK619" s="27" t="s">
        <v>8</v>
      </c>
      <c r="KL619" s="27" t="s">
        <v>7</v>
      </c>
      <c r="KO619" s="27" t="s">
        <v>8</v>
      </c>
      <c r="LM619" s="27" t="s">
        <v>8</v>
      </c>
      <c r="LN619" s="27" t="s">
        <v>7</v>
      </c>
      <c r="LO619" s="27" t="s">
        <v>8</v>
      </c>
      <c r="LT619" s="27" t="s">
        <v>7</v>
      </c>
      <c r="LU619" s="27" t="s">
        <v>8</v>
      </c>
      <c r="LV619" s="27" t="s">
        <v>7</v>
      </c>
      <c r="LW619" s="27" t="s">
        <v>8</v>
      </c>
      <c r="MC619" s="27" t="s">
        <v>8</v>
      </c>
      <c r="MD619" s="27" t="s">
        <v>7</v>
      </c>
      <c r="ME619" s="27" t="s">
        <v>8</v>
      </c>
      <c r="ML619" s="27" t="s">
        <v>7</v>
      </c>
      <c r="MM619" s="27" t="s">
        <v>8</v>
      </c>
    </row>
    <row r="620" spans="1:352" x14ac:dyDescent="0.25">
      <c r="A620" s="7">
        <v>0.52022872893901284</v>
      </c>
      <c r="B620"/>
      <c r="C620"/>
      <c r="D620"/>
      <c r="E620"/>
      <c r="F620" s="27" t="s">
        <v>7</v>
      </c>
      <c r="KK620" s="27" t="s">
        <v>8</v>
      </c>
      <c r="KL620" s="27" t="s">
        <v>7</v>
      </c>
      <c r="KO620" s="27" t="s">
        <v>8</v>
      </c>
      <c r="KP620" s="27" t="s">
        <v>7</v>
      </c>
      <c r="LM620" s="27" t="s">
        <v>8</v>
      </c>
      <c r="LN620" s="27" t="s">
        <v>7</v>
      </c>
      <c r="LO620" s="27" t="s">
        <v>8</v>
      </c>
      <c r="LT620" s="27" t="s">
        <v>7</v>
      </c>
      <c r="LU620" s="27" t="s">
        <v>8</v>
      </c>
      <c r="LV620" s="27" t="s">
        <v>7</v>
      </c>
      <c r="LW620" s="27" t="s">
        <v>8</v>
      </c>
      <c r="LX620" s="27" t="s">
        <v>7</v>
      </c>
      <c r="MA620" s="27" t="s">
        <v>8</v>
      </c>
      <c r="MC620" s="27" t="s">
        <v>8</v>
      </c>
      <c r="MD620" s="27" t="s">
        <v>7</v>
      </c>
      <c r="ME620" s="27" t="s">
        <v>8</v>
      </c>
      <c r="ML620" s="27" t="s">
        <v>7</v>
      </c>
      <c r="MM620" s="27" t="s">
        <v>8</v>
      </c>
      <c r="MN620" s="27" t="s">
        <v>7</v>
      </c>
    </row>
    <row r="621" spans="1:352" x14ac:dyDescent="0.25">
      <c r="A621" s="7">
        <v>0.51002816562648323</v>
      </c>
      <c r="B621"/>
      <c r="C621"/>
      <c r="D621"/>
      <c r="E621"/>
      <c r="F621" s="27" t="s">
        <v>7</v>
      </c>
      <c r="KK621" s="27" t="s">
        <v>8</v>
      </c>
      <c r="KL621" s="27" t="s">
        <v>7</v>
      </c>
      <c r="KM621" s="27" t="s">
        <v>8</v>
      </c>
      <c r="KO621" s="27" t="s">
        <v>8</v>
      </c>
      <c r="KP621" s="27" t="s">
        <v>7</v>
      </c>
      <c r="LM621" s="27" t="s">
        <v>8</v>
      </c>
      <c r="LN621" s="27" t="s">
        <v>7</v>
      </c>
      <c r="LO621" s="27" t="s">
        <v>8</v>
      </c>
      <c r="LT621" s="27" t="s">
        <v>7</v>
      </c>
      <c r="LU621" s="27" t="s">
        <v>8</v>
      </c>
      <c r="LV621" s="27" t="s">
        <v>7</v>
      </c>
      <c r="LW621" s="27" t="s">
        <v>8</v>
      </c>
      <c r="LX621" s="27" t="s">
        <v>7</v>
      </c>
      <c r="MA621" s="27" t="s">
        <v>8</v>
      </c>
      <c r="MB621" s="27" t="s">
        <v>7</v>
      </c>
      <c r="MC621" s="27" t="s">
        <v>8</v>
      </c>
      <c r="MD621" s="27" t="s">
        <v>7</v>
      </c>
      <c r="ME621" s="27" t="s">
        <v>8</v>
      </c>
      <c r="ML621" s="27" t="s">
        <v>7</v>
      </c>
      <c r="MM621" s="27" t="s">
        <v>8</v>
      </c>
      <c r="MN621" s="27" t="s">
        <v>7</v>
      </c>
    </row>
    <row r="622" spans="1:352" x14ac:dyDescent="0.25">
      <c r="A622" s="7">
        <v>0.50002761335929735</v>
      </c>
      <c r="B622"/>
      <c r="C622"/>
      <c r="D622"/>
      <c r="E622"/>
      <c r="F622" s="27" t="s">
        <v>7</v>
      </c>
      <c r="KK622" s="27" t="s">
        <v>8</v>
      </c>
      <c r="KL622" s="27" t="s">
        <v>7</v>
      </c>
      <c r="KM622" s="27" t="s">
        <v>8</v>
      </c>
      <c r="KN622" s="27" t="s">
        <v>7</v>
      </c>
      <c r="KO622" s="27" t="s">
        <v>8</v>
      </c>
      <c r="KP622" s="27" t="s">
        <v>7</v>
      </c>
      <c r="LM622" s="27" t="s">
        <v>8</v>
      </c>
      <c r="LN622" s="27" t="s">
        <v>7</v>
      </c>
      <c r="LO622" s="27" t="s">
        <v>8</v>
      </c>
      <c r="LT622" s="27" t="s">
        <v>7</v>
      </c>
      <c r="LU622" s="27" t="s">
        <v>8</v>
      </c>
      <c r="LV622" s="27" t="s">
        <v>7</v>
      </c>
      <c r="LW622" s="27" t="s">
        <v>8</v>
      </c>
      <c r="LX622" s="27" t="s">
        <v>7</v>
      </c>
      <c r="MA622" s="27" t="s">
        <v>8</v>
      </c>
      <c r="MB622" s="27" t="s">
        <v>7</v>
      </c>
      <c r="MC622" s="27" t="s">
        <v>8</v>
      </c>
      <c r="MD622" s="27" t="s">
        <v>7</v>
      </c>
      <c r="ML622" s="27" t="s">
        <v>7</v>
      </c>
      <c r="MM622" s="27" t="s">
        <v>8</v>
      </c>
      <c r="MN622" s="27" t="s">
        <v>7</v>
      </c>
    </row>
    <row r="623" spans="1:352" x14ac:dyDescent="0.25">
      <c r="A623" s="7">
        <v>0.49022315035225228</v>
      </c>
      <c r="B623"/>
      <c r="C623"/>
      <c r="D623"/>
      <c r="E623"/>
      <c r="F623" s="27" t="s">
        <v>7</v>
      </c>
      <c r="KK623" s="27" t="s">
        <v>8</v>
      </c>
      <c r="KL623" s="27" t="s">
        <v>7</v>
      </c>
      <c r="KM623" s="27" t="s">
        <v>8</v>
      </c>
      <c r="KN623" s="27" t="s">
        <v>7</v>
      </c>
      <c r="KO623" s="27" t="s">
        <v>8</v>
      </c>
      <c r="KP623" s="27" t="s">
        <v>7</v>
      </c>
      <c r="LM623" s="27" t="s">
        <v>8</v>
      </c>
      <c r="LN623" s="27" t="s">
        <v>7</v>
      </c>
      <c r="LO623" s="27" t="s">
        <v>8</v>
      </c>
      <c r="LT623" s="27" t="s">
        <v>7</v>
      </c>
      <c r="LU623" s="27" t="s">
        <v>8</v>
      </c>
      <c r="LV623" s="27" t="s">
        <v>7</v>
      </c>
      <c r="LW623" s="27" t="s">
        <v>8</v>
      </c>
      <c r="LX623" s="27" t="s">
        <v>7</v>
      </c>
      <c r="MA623" s="27" t="s">
        <v>8</v>
      </c>
      <c r="MB623" s="27" t="s">
        <v>7</v>
      </c>
      <c r="MC623" s="27" t="s">
        <v>8</v>
      </c>
      <c r="ML623" s="27" t="s">
        <v>7</v>
      </c>
      <c r="MM623" s="27" t="s">
        <v>8</v>
      </c>
      <c r="MN623" s="27" t="s">
        <v>7</v>
      </c>
    </row>
    <row r="624" spans="1:352" x14ac:dyDescent="0.25">
      <c r="A624" s="7">
        <v>0.48061093171789437</v>
      </c>
      <c r="B624"/>
      <c r="C624"/>
      <c r="D624"/>
      <c r="E624"/>
      <c r="F624" s="27" t="s">
        <v>7</v>
      </c>
      <c r="KK624" s="27" t="s">
        <v>8</v>
      </c>
      <c r="KL624" s="27" t="s">
        <v>7</v>
      </c>
      <c r="KM624" s="27" t="s">
        <v>8</v>
      </c>
      <c r="KN624" s="27" t="s">
        <v>7</v>
      </c>
      <c r="KO624" s="27" t="s">
        <v>8</v>
      </c>
      <c r="KP624" s="27" t="s">
        <v>7</v>
      </c>
      <c r="LM624" s="27" t="s">
        <v>8</v>
      </c>
      <c r="LN624" s="27" t="s">
        <v>7</v>
      </c>
      <c r="LO624" s="27" t="s">
        <v>8</v>
      </c>
      <c r="LT624" s="27" t="s">
        <v>7</v>
      </c>
      <c r="LU624" s="27" t="s">
        <v>8</v>
      </c>
      <c r="LV624" s="27" t="s">
        <v>7</v>
      </c>
      <c r="LW624" s="27" t="s">
        <v>8</v>
      </c>
      <c r="LX624" s="27" t="s">
        <v>7</v>
      </c>
      <c r="MA624" s="27" t="s">
        <v>8</v>
      </c>
      <c r="MB624" s="27" t="s">
        <v>7</v>
      </c>
      <c r="ML624" s="27" t="s">
        <v>7</v>
      </c>
      <c r="MM624" s="27" t="s">
        <v>8</v>
      </c>
      <c r="MN624" s="27" t="s">
        <v>7</v>
      </c>
    </row>
    <row r="625" spans="1:436" x14ac:dyDescent="0.25">
      <c r="A625" s="7">
        <v>0.47118718795871994</v>
      </c>
      <c r="B625"/>
      <c r="C625"/>
      <c r="D625"/>
      <c r="E625"/>
      <c r="F625" s="27" t="s">
        <v>7</v>
      </c>
      <c r="KK625" s="27" t="s">
        <v>8</v>
      </c>
      <c r="KL625" s="27" t="s">
        <v>7</v>
      </c>
      <c r="KM625" s="27" t="s">
        <v>8</v>
      </c>
      <c r="KN625" s="27" t="s">
        <v>7</v>
      </c>
      <c r="KO625" s="27" t="s">
        <v>8</v>
      </c>
      <c r="KP625" s="27" t="s">
        <v>7</v>
      </c>
      <c r="KS625" s="27" t="s">
        <v>8</v>
      </c>
      <c r="LM625" s="27" t="s">
        <v>8</v>
      </c>
      <c r="LN625" s="27" t="s">
        <v>7</v>
      </c>
      <c r="LO625" s="27" t="s">
        <v>8</v>
      </c>
      <c r="LT625" s="27" t="s">
        <v>7</v>
      </c>
      <c r="LU625" s="27" t="s">
        <v>8</v>
      </c>
      <c r="LV625" s="27" t="s">
        <v>7</v>
      </c>
      <c r="LX625" s="27" t="s">
        <v>7</v>
      </c>
      <c r="MA625" s="27" t="s">
        <v>8</v>
      </c>
      <c r="ML625" s="27" t="s">
        <v>7</v>
      </c>
      <c r="MM625" s="27" t="s">
        <v>8</v>
      </c>
      <c r="MN625" s="27" t="s">
        <v>7</v>
      </c>
    </row>
    <row r="626" spans="1:436" x14ac:dyDescent="0.25">
      <c r="A626" s="7">
        <v>0.46194822348894116</v>
      </c>
      <c r="B626"/>
      <c r="C626"/>
      <c r="D626"/>
      <c r="E626"/>
      <c r="F626" s="27" t="s">
        <v>7</v>
      </c>
      <c r="KK626" s="27" t="s">
        <v>8</v>
      </c>
      <c r="KL626" s="27" t="s">
        <v>7</v>
      </c>
      <c r="KM626" s="27" t="s">
        <v>8</v>
      </c>
      <c r="KN626" s="27" t="s">
        <v>7</v>
      </c>
      <c r="KP626" s="27" t="s">
        <v>7</v>
      </c>
      <c r="KS626" s="27" t="s">
        <v>8</v>
      </c>
      <c r="KT626" s="27" t="s">
        <v>7</v>
      </c>
      <c r="LK626" s="27" t="s">
        <v>8</v>
      </c>
      <c r="LM626" s="27" t="s">
        <v>8</v>
      </c>
      <c r="LN626" s="27" t="s">
        <v>7</v>
      </c>
      <c r="LO626" s="27" t="s">
        <v>8</v>
      </c>
      <c r="LT626" s="27" t="s">
        <v>7</v>
      </c>
      <c r="LU626" s="27" t="s">
        <v>8</v>
      </c>
      <c r="LX626" s="27" t="s">
        <v>7</v>
      </c>
      <c r="MA626" s="27" t="s">
        <v>8</v>
      </c>
      <c r="ML626" s="27" t="s">
        <v>7</v>
      </c>
      <c r="MM626" s="27" t="s">
        <v>8</v>
      </c>
      <c r="MN626" s="27" t="s">
        <v>7</v>
      </c>
      <c r="MO626" s="27" t="s">
        <v>8</v>
      </c>
    </row>
    <row r="627" spans="1:436" x14ac:dyDescent="0.25">
      <c r="A627" s="7">
        <v>0.45289041518523643</v>
      </c>
      <c r="B627"/>
      <c r="C627"/>
      <c r="D627"/>
      <c r="E627"/>
      <c r="F627" s="27" t="s">
        <v>7</v>
      </c>
      <c r="KK627" s="27" t="s">
        <v>8</v>
      </c>
      <c r="KL627" s="27" t="s">
        <v>7</v>
      </c>
      <c r="KM627" s="27" t="s">
        <v>8</v>
      </c>
      <c r="KP627" s="27" t="s">
        <v>7</v>
      </c>
      <c r="KS627" s="27" t="s">
        <v>8</v>
      </c>
      <c r="KT627" s="27" t="s">
        <v>7</v>
      </c>
      <c r="LK627" s="27" t="s">
        <v>8</v>
      </c>
      <c r="LL627" s="27" t="s">
        <v>7</v>
      </c>
      <c r="LM627" s="27" t="s">
        <v>8</v>
      </c>
      <c r="LN627" s="27" t="s">
        <v>7</v>
      </c>
      <c r="LT627" s="27" t="s">
        <v>7</v>
      </c>
      <c r="LU627" s="27" t="s">
        <v>8</v>
      </c>
      <c r="LX627" s="27" t="s">
        <v>7</v>
      </c>
      <c r="LY627" s="27" t="s">
        <v>8</v>
      </c>
      <c r="MA627" s="27" t="s">
        <v>8</v>
      </c>
      <c r="ML627" s="27" t="s">
        <v>7</v>
      </c>
      <c r="MM627" s="27" t="s">
        <v>8</v>
      </c>
      <c r="MN627" s="27" t="s">
        <v>7</v>
      </c>
      <c r="MO627" s="27" t="s">
        <v>8</v>
      </c>
      <c r="MP627" s="27" t="s">
        <v>7</v>
      </c>
    </row>
    <row r="628" spans="1:436" x14ac:dyDescent="0.25">
      <c r="A628" s="7">
        <v>0.44401021096591808</v>
      </c>
      <c r="B628"/>
      <c r="C628"/>
      <c r="D628"/>
      <c r="E628"/>
      <c r="F628" s="27" t="s">
        <v>7</v>
      </c>
      <c r="KK628" s="27" t="s">
        <v>8</v>
      </c>
      <c r="KL628" s="27" t="s">
        <v>7</v>
      </c>
      <c r="KM628" s="27" t="s">
        <v>8</v>
      </c>
      <c r="KP628" s="27" t="s">
        <v>7</v>
      </c>
      <c r="KS628" s="27" t="s">
        <v>8</v>
      </c>
      <c r="KT628" s="27" t="s">
        <v>7</v>
      </c>
      <c r="KU628" s="27" t="s">
        <v>8</v>
      </c>
      <c r="LK628" s="27" t="s">
        <v>8</v>
      </c>
      <c r="LL628" s="27" t="s">
        <v>7</v>
      </c>
      <c r="LM628" s="27" t="s">
        <v>8</v>
      </c>
      <c r="LT628" s="27" t="s">
        <v>7</v>
      </c>
      <c r="LX628" s="27" t="s">
        <v>7</v>
      </c>
      <c r="LY628" s="27" t="s">
        <v>8</v>
      </c>
      <c r="LZ628" s="27" t="s">
        <v>7</v>
      </c>
      <c r="MA628" s="27" t="s">
        <v>8</v>
      </c>
      <c r="ML628" s="27" t="s">
        <v>7</v>
      </c>
      <c r="MM628" s="27" t="s">
        <v>8</v>
      </c>
      <c r="MN628" s="27" t="s">
        <v>7</v>
      </c>
      <c r="MO628" s="27" t="s">
        <v>8</v>
      </c>
      <c r="MP628" s="27" t="s">
        <v>7</v>
      </c>
      <c r="MQ628" s="27" t="s">
        <v>8</v>
      </c>
    </row>
    <row r="629" spans="1:436" x14ac:dyDescent="0.25">
      <c r="A629" s="7">
        <v>0.4353041283979589</v>
      </c>
      <c r="B629"/>
      <c r="C629"/>
      <c r="D629"/>
      <c r="E629"/>
      <c r="F629" s="27" t="s">
        <v>7</v>
      </c>
      <c r="KK629" s="27" t="s">
        <v>8</v>
      </c>
      <c r="KL629" s="27" t="s">
        <v>7</v>
      </c>
      <c r="KM629" s="27" t="s">
        <v>8</v>
      </c>
      <c r="KP629" s="27" t="s">
        <v>7</v>
      </c>
      <c r="KS629" s="27" t="s">
        <v>8</v>
      </c>
      <c r="KT629" s="27" t="s">
        <v>7</v>
      </c>
      <c r="KU629" s="27" t="s">
        <v>8</v>
      </c>
      <c r="KV629" s="27" t="s">
        <v>7</v>
      </c>
      <c r="KW629" s="27" t="s">
        <v>8</v>
      </c>
      <c r="LE629" s="27" t="s">
        <v>8</v>
      </c>
      <c r="LK629" s="27" t="s">
        <v>8</v>
      </c>
      <c r="LL629" s="27" t="s">
        <v>7</v>
      </c>
      <c r="LM629" s="27" t="s">
        <v>8</v>
      </c>
      <c r="LX629" s="27" t="s">
        <v>7</v>
      </c>
      <c r="LY629" s="27" t="s">
        <v>8</v>
      </c>
      <c r="LZ629" s="27" t="s">
        <v>7</v>
      </c>
      <c r="MA629" s="27" t="s">
        <v>8</v>
      </c>
      <c r="ML629" s="27" t="s">
        <v>7</v>
      </c>
      <c r="MM629" s="27" t="s">
        <v>8</v>
      </c>
      <c r="MN629" s="27" t="s">
        <v>7</v>
      </c>
      <c r="MO629" s="27" t="s">
        <v>8</v>
      </c>
      <c r="MP629" s="27" t="s">
        <v>7</v>
      </c>
      <c r="MQ629" s="27" t="s">
        <v>8</v>
      </c>
      <c r="MR629" s="27" t="s">
        <v>7</v>
      </c>
      <c r="PK629" s="27" t="s">
        <v>8</v>
      </c>
    </row>
    <row r="630" spans="1:436" x14ac:dyDescent="0.25">
      <c r="A630" s="7">
        <v>0.4267687533313323</v>
      </c>
      <c r="B630"/>
      <c r="C630"/>
      <c r="D630"/>
      <c r="E630"/>
      <c r="F630" s="27" t="s">
        <v>7</v>
      </c>
      <c r="KK630" s="27" t="s">
        <v>8</v>
      </c>
      <c r="KL630" s="27" t="s">
        <v>7</v>
      </c>
      <c r="KP630" s="27" t="s">
        <v>7</v>
      </c>
      <c r="KQ630" s="27" t="s">
        <v>8</v>
      </c>
      <c r="KS630" s="27" t="s">
        <v>8</v>
      </c>
      <c r="KT630" s="27" t="s">
        <v>7</v>
      </c>
      <c r="KU630" s="27" t="s">
        <v>8</v>
      </c>
      <c r="KV630" s="27" t="s">
        <v>7</v>
      </c>
      <c r="KW630" s="27" t="s">
        <v>8</v>
      </c>
      <c r="KX630" s="27" t="s">
        <v>7</v>
      </c>
      <c r="KY630" s="27" t="s">
        <v>8</v>
      </c>
      <c r="LE630" s="27" t="s">
        <v>8</v>
      </c>
      <c r="LF630" s="27" t="s">
        <v>7</v>
      </c>
      <c r="LK630" s="27" t="s">
        <v>8</v>
      </c>
      <c r="LL630" s="27" t="s">
        <v>7</v>
      </c>
      <c r="LM630" s="27" t="s">
        <v>8</v>
      </c>
      <c r="LX630" s="27" t="s">
        <v>7</v>
      </c>
      <c r="LY630" s="27" t="s">
        <v>8</v>
      </c>
      <c r="LZ630" s="27" t="s">
        <v>7</v>
      </c>
      <c r="MA630" s="27" t="s">
        <v>8</v>
      </c>
      <c r="ML630" s="27" t="s">
        <v>7</v>
      </c>
      <c r="MM630" s="27" t="s">
        <v>8</v>
      </c>
      <c r="MN630" s="27" t="s">
        <v>7</v>
      </c>
      <c r="MO630" s="27" t="s">
        <v>8</v>
      </c>
      <c r="MP630" s="27" t="s">
        <v>7</v>
      </c>
      <c r="MQ630" s="27" t="s">
        <v>8</v>
      </c>
      <c r="MR630" s="27" t="s">
        <v>7</v>
      </c>
      <c r="OE630" s="27" t="s">
        <v>8</v>
      </c>
      <c r="PK630" s="27" t="s">
        <v>8</v>
      </c>
      <c r="PL630" s="27" t="s">
        <v>7</v>
      </c>
    </row>
    <row r="631" spans="1:436" x14ac:dyDescent="0.25">
      <c r="A631" s="7">
        <v>0.41840073856012971</v>
      </c>
      <c r="B631"/>
      <c r="C631"/>
      <c r="D631"/>
      <c r="E631"/>
      <c r="F631" s="27" t="s">
        <v>7</v>
      </c>
      <c r="KI631" s="27" t="s">
        <v>8</v>
      </c>
      <c r="KK631" s="27" t="s">
        <v>8</v>
      </c>
      <c r="KP631" s="27" t="s">
        <v>7</v>
      </c>
      <c r="KQ631" s="27" t="s">
        <v>8</v>
      </c>
      <c r="KR631" s="27" t="s">
        <v>7</v>
      </c>
      <c r="KS631" s="27" t="s">
        <v>8</v>
      </c>
      <c r="KT631" s="27" t="s">
        <v>7</v>
      </c>
      <c r="KU631" s="27" t="s">
        <v>8</v>
      </c>
      <c r="KV631" s="27" t="s">
        <v>7</v>
      </c>
      <c r="KW631" s="27" t="s">
        <v>8</v>
      </c>
      <c r="KX631" s="27" t="s">
        <v>7</v>
      </c>
      <c r="KY631" s="27" t="s">
        <v>8</v>
      </c>
      <c r="KZ631" s="27" t="s">
        <v>7</v>
      </c>
      <c r="LE631" s="27" t="s">
        <v>8</v>
      </c>
      <c r="LF631" s="27" t="s">
        <v>7</v>
      </c>
      <c r="LG631" s="27" t="s">
        <v>8</v>
      </c>
      <c r="LK631" s="27" t="s">
        <v>8</v>
      </c>
      <c r="LL631" s="27" t="s">
        <v>7</v>
      </c>
      <c r="LM631" s="27" t="s">
        <v>8</v>
      </c>
      <c r="LX631" s="27" t="s">
        <v>7</v>
      </c>
      <c r="LY631" s="27" t="s">
        <v>8</v>
      </c>
      <c r="LZ631" s="27" t="s">
        <v>7</v>
      </c>
      <c r="MA631" s="27" t="s">
        <v>8</v>
      </c>
      <c r="ML631" s="27" t="s">
        <v>7</v>
      </c>
      <c r="MM631" s="27" t="s">
        <v>8</v>
      </c>
      <c r="MN631" s="27" t="s">
        <v>7</v>
      </c>
      <c r="MO631" s="27" t="s">
        <v>8</v>
      </c>
      <c r="MP631" s="27" t="s">
        <v>7</v>
      </c>
      <c r="MQ631" s="27" t="s">
        <v>8</v>
      </c>
      <c r="MR631" s="27" t="s">
        <v>7</v>
      </c>
      <c r="OE631" s="27" t="s">
        <v>8</v>
      </c>
      <c r="OF631" s="27" t="s">
        <v>7</v>
      </c>
      <c r="PA631" s="27" t="s">
        <v>8</v>
      </c>
      <c r="PK631" s="27" t="s">
        <v>8</v>
      </c>
      <c r="PL631" s="27" t="s">
        <v>7</v>
      </c>
    </row>
    <row r="632" spans="1:436" x14ac:dyDescent="0.25">
      <c r="A632" s="7">
        <v>0.41019680250993112</v>
      </c>
      <c r="B632"/>
      <c r="C632"/>
      <c r="D632"/>
      <c r="E632"/>
      <c r="F632" s="27" t="s">
        <v>7</v>
      </c>
      <c r="JQ632" s="27" t="s">
        <v>8</v>
      </c>
      <c r="KI632" s="27" t="s">
        <v>8</v>
      </c>
      <c r="KJ632" s="27" t="s">
        <v>7</v>
      </c>
      <c r="KK632" s="27" t="s">
        <v>8</v>
      </c>
      <c r="KP632" s="27" t="s">
        <v>7</v>
      </c>
      <c r="KQ632" s="27" t="s">
        <v>8</v>
      </c>
      <c r="KR632" s="27" t="s">
        <v>7</v>
      </c>
      <c r="KS632" s="27" t="s">
        <v>8</v>
      </c>
      <c r="KT632" s="27" t="s">
        <v>7</v>
      </c>
      <c r="KU632" s="27" t="s">
        <v>8</v>
      </c>
      <c r="KV632" s="27" t="s">
        <v>7</v>
      </c>
      <c r="KW632" s="27" t="s">
        <v>8</v>
      </c>
      <c r="KX632" s="27" t="s">
        <v>7</v>
      </c>
      <c r="KY632" s="27" t="s">
        <v>8</v>
      </c>
      <c r="KZ632" s="27" t="s">
        <v>7</v>
      </c>
      <c r="LA632" s="27" t="s">
        <v>8</v>
      </c>
      <c r="LC632" s="27" t="s">
        <v>8</v>
      </c>
      <c r="LE632" s="27" t="s">
        <v>8</v>
      </c>
      <c r="LF632" s="27" t="s">
        <v>7</v>
      </c>
      <c r="LG632" s="27" t="s">
        <v>8</v>
      </c>
      <c r="LH632" s="27" t="s">
        <v>7</v>
      </c>
      <c r="LI632" s="27" t="s">
        <v>8</v>
      </c>
      <c r="LK632" s="27" t="s">
        <v>8</v>
      </c>
      <c r="LL632" s="27" t="s">
        <v>7</v>
      </c>
      <c r="LM632" s="27" t="s">
        <v>8</v>
      </c>
      <c r="LX632" s="27" t="s">
        <v>7</v>
      </c>
      <c r="LY632" s="27" t="s">
        <v>8</v>
      </c>
      <c r="LZ632" s="27" t="s">
        <v>7</v>
      </c>
      <c r="MA632" s="27" t="s">
        <v>8</v>
      </c>
      <c r="ML632" s="27" t="s">
        <v>7</v>
      </c>
      <c r="MM632" s="27" t="s">
        <v>8</v>
      </c>
      <c r="MN632" s="27" t="s">
        <v>7</v>
      </c>
      <c r="MO632" s="27" t="s">
        <v>8</v>
      </c>
      <c r="MP632" s="27" t="s">
        <v>7</v>
      </c>
      <c r="MQ632" s="27" t="s">
        <v>8</v>
      </c>
      <c r="MR632" s="27" t="s">
        <v>7</v>
      </c>
      <c r="OE632" s="27" t="s">
        <v>8</v>
      </c>
      <c r="OF632" s="27" t="s">
        <v>7</v>
      </c>
      <c r="PA632" s="27" t="s">
        <v>8</v>
      </c>
      <c r="PB632" s="27" t="s">
        <v>7</v>
      </c>
      <c r="PK632" s="27" t="s">
        <v>8</v>
      </c>
      <c r="PL632" s="27" t="s">
        <v>7</v>
      </c>
    </row>
    <row r="633" spans="1:436" x14ac:dyDescent="0.25">
      <c r="A633" s="7">
        <v>0.40215372795091286</v>
      </c>
      <c r="B633"/>
      <c r="C633"/>
      <c r="D633"/>
      <c r="E633"/>
      <c r="F633" s="27" t="s">
        <v>7</v>
      </c>
      <c r="JQ633" s="27" t="s">
        <v>8</v>
      </c>
      <c r="JR633" s="27" t="s">
        <v>7</v>
      </c>
      <c r="KI633" s="27" t="s">
        <v>8</v>
      </c>
      <c r="KJ633" s="27" t="s">
        <v>7</v>
      </c>
      <c r="KK633" s="27" t="s">
        <v>8</v>
      </c>
      <c r="KP633" s="27" t="s">
        <v>7</v>
      </c>
      <c r="KQ633" s="27" t="s">
        <v>8</v>
      </c>
      <c r="KR633" s="27" t="s">
        <v>7</v>
      </c>
      <c r="KS633" s="27" t="s">
        <v>8</v>
      </c>
      <c r="KT633" s="27" t="s">
        <v>7</v>
      </c>
      <c r="KU633" s="27" t="s">
        <v>8</v>
      </c>
      <c r="KV633" s="27" t="s">
        <v>7</v>
      </c>
      <c r="KX633" s="27" t="s">
        <v>7</v>
      </c>
      <c r="KY633" s="27" t="s">
        <v>8</v>
      </c>
      <c r="KZ633" s="27" t="s">
        <v>7</v>
      </c>
      <c r="LA633" s="27" t="s">
        <v>8</v>
      </c>
      <c r="LB633" s="27" t="s">
        <v>7</v>
      </c>
      <c r="LC633" s="27" t="s">
        <v>8</v>
      </c>
      <c r="LD633" s="27" t="s">
        <v>7</v>
      </c>
      <c r="LE633" s="27" t="s">
        <v>8</v>
      </c>
      <c r="LF633" s="27" t="s">
        <v>7</v>
      </c>
      <c r="LG633" s="27" t="s">
        <v>8</v>
      </c>
      <c r="LH633" s="27" t="s">
        <v>7</v>
      </c>
      <c r="LI633" s="27" t="s">
        <v>8</v>
      </c>
      <c r="LJ633" s="27" t="s">
        <v>7</v>
      </c>
      <c r="LK633" s="27" t="s">
        <v>8</v>
      </c>
      <c r="LL633" s="27" t="s">
        <v>7</v>
      </c>
      <c r="LX633" s="27" t="s">
        <v>7</v>
      </c>
      <c r="LY633" s="27" t="s">
        <v>8</v>
      </c>
      <c r="LZ633" s="27" t="s">
        <v>7</v>
      </c>
      <c r="ML633" s="27" t="s">
        <v>7</v>
      </c>
      <c r="MM633" s="27" t="s">
        <v>8</v>
      </c>
      <c r="MN633" s="27" t="s">
        <v>7</v>
      </c>
      <c r="MO633" s="27" t="s">
        <v>8</v>
      </c>
      <c r="MP633" s="27" t="s">
        <v>7</v>
      </c>
      <c r="MQ633" s="27" t="s">
        <v>8</v>
      </c>
      <c r="MR633" s="27" t="s">
        <v>7</v>
      </c>
      <c r="NY633" s="27" t="s">
        <v>8</v>
      </c>
      <c r="OE633" s="27" t="s">
        <v>8</v>
      </c>
      <c r="OF633" s="27" t="s">
        <v>7</v>
      </c>
      <c r="PA633" s="27" t="s">
        <v>8</v>
      </c>
      <c r="PB633" s="27" t="s">
        <v>7</v>
      </c>
      <c r="PK633" s="27" t="s">
        <v>8</v>
      </c>
      <c r="PL633" s="27" t="s">
        <v>7</v>
      </c>
    </row>
    <row r="634" spans="1:436" x14ac:dyDescent="0.25">
      <c r="A634" s="7">
        <v>0.39426836073618904</v>
      </c>
      <c r="B634"/>
      <c r="C634"/>
      <c r="D634"/>
      <c r="E634"/>
      <c r="F634" s="27" t="s">
        <v>7</v>
      </c>
      <c r="JQ634" s="27" t="s">
        <v>8</v>
      </c>
      <c r="JR634" s="27" t="s">
        <v>7</v>
      </c>
      <c r="KI634" s="27" t="s">
        <v>8</v>
      </c>
      <c r="KJ634" s="27" t="s">
        <v>7</v>
      </c>
      <c r="KK634" s="27" t="s">
        <v>8</v>
      </c>
      <c r="KP634" s="27" t="s">
        <v>7</v>
      </c>
      <c r="KQ634" s="27" t="s">
        <v>8</v>
      </c>
      <c r="KR634" s="27" t="s">
        <v>7</v>
      </c>
      <c r="KS634" s="27" t="s">
        <v>8</v>
      </c>
      <c r="KT634" s="27" t="s">
        <v>7</v>
      </c>
      <c r="KU634" s="27" t="s">
        <v>8</v>
      </c>
      <c r="KX634" s="27" t="s">
        <v>7</v>
      </c>
      <c r="KY634" s="27" t="s">
        <v>8</v>
      </c>
      <c r="KZ634" s="27" t="s">
        <v>7</v>
      </c>
      <c r="LA634" s="27" t="s">
        <v>8</v>
      </c>
      <c r="LB634" s="27" t="s">
        <v>7</v>
      </c>
      <c r="LC634" s="27" t="s">
        <v>8</v>
      </c>
      <c r="LD634" s="27" t="s">
        <v>7</v>
      </c>
      <c r="LE634" s="27" t="s">
        <v>8</v>
      </c>
      <c r="LF634" s="27" t="s">
        <v>7</v>
      </c>
      <c r="LH634" s="27" t="s">
        <v>7</v>
      </c>
      <c r="LI634" s="27" t="s">
        <v>8</v>
      </c>
      <c r="LJ634" s="27" t="s">
        <v>7</v>
      </c>
      <c r="LK634" s="27" t="s">
        <v>8</v>
      </c>
      <c r="LX634" s="27" t="s">
        <v>7</v>
      </c>
      <c r="LY634" s="27" t="s">
        <v>8</v>
      </c>
      <c r="ML634" s="27" t="s">
        <v>7</v>
      </c>
      <c r="MM634" s="27" t="s">
        <v>8</v>
      </c>
      <c r="MN634" s="27" t="s">
        <v>7</v>
      </c>
      <c r="MO634" s="27" t="s">
        <v>8</v>
      </c>
      <c r="MP634" s="27" t="s">
        <v>7</v>
      </c>
      <c r="MQ634" s="27" t="s">
        <v>8</v>
      </c>
      <c r="MR634" s="27" t="s">
        <v>7</v>
      </c>
      <c r="NY634" s="27" t="s">
        <v>8</v>
      </c>
      <c r="NZ634" s="27" t="s">
        <v>7</v>
      </c>
      <c r="OE634" s="27" t="s">
        <v>8</v>
      </c>
      <c r="OF634" s="27" t="s">
        <v>7</v>
      </c>
      <c r="PA634" s="27" t="s">
        <v>8</v>
      </c>
      <c r="PB634" s="27" t="s">
        <v>7</v>
      </c>
      <c r="PC634" s="27" t="s">
        <v>8</v>
      </c>
      <c r="PE634" s="27" t="s">
        <v>8</v>
      </c>
      <c r="PI634" s="27" t="s">
        <v>8</v>
      </c>
      <c r="PK634" s="27" t="s">
        <v>8</v>
      </c>
      <c r="PL634" s="27" t="s">
        <v>7</v>
      </c>
    </row>
    <row r="635" spans="1:436" x14ac:dyDescent="0.25">
      <c r="A635" s="7">
        <v>0.38653760856489122</v>
      </c>
      <c r="B635"/>
      <c r="C635"/>
      <c r="D635"/>
      <c r="E635"/>
      <c r="F635" s="27" t="s">
        <v>7</v>
      </c>
      <c r="JQ635" s="27" t="s">
        <v>8</v>
      </c>
      <c r="JR635" s="27" t="s">
        <v>7</v>
      </c>
      <c r="KI635" s="27" t="s">
        <v>8</v>
      </c>
      <c r="KJ635" s="27" t="s">
        <v>7</v>
      </c>
      <c r="KK635" s="27" t="s">
        <v>8</v>
      </c>
      <c r="KP635" s="27" t="s">
        <v>7</v>
      </c>
      <c r="KQ635" s="27" t="s">
        <v>8</v>
      </c>
      <c r="KR635" s="27" t="s">
        <v>7</v>
      </c>
      <c r="KS635" s="27" t="s">
        <v>8</v>
      </c>
      <c r="KT635" s="27" t="s">
        <v>7</v>
      </c>
      <c r="KX635" s="27" t="s">
        <v>7</v>
      </c>
      <c r="KZ635" s="27" t="s">
        <v>7</v>
      </c>
      <c r="LA635" s="27" t="s">
        <v>8</v>
      </c>
      <c r="LB635" s="27" t="s">
        <v>7</v>
      </c>
      <c r="LC635" s="27" t="s">
        <v>8</v>
      </c>
      <c r="LD635" s="27" t="s">
        <v>7</v>
      </c>
      <c r="LH635" s="27" t="s">
        <v>7</v>
      </c>
      <c r="LI635" s="27" t="s">
        <v>8</v>
      </c>
      <c r="LJ635" s="27" t="s">
        <v>7</v>
      </c>
      <c r="LK635" s="27" t="s">
        <v>8</v>
      </c>
      <c r="LX635" s="27" t="s">
        <v>7</v>
      </c>
      <c r="LY635" s="27" t="s">
        <v>8</v>
      </c>
      <c r="ML635" s="27" t="s">
        <v>7</v>
      </c>
      <c r="MM635" s="27" t="s">
        <v>8</v>
      </c>
      <c r="MN635" s="27" t="s">
        <v>7</v>
      </c>
      <c r="MO635" s="27" t="s">
        <v>8</v>
      </c>
      <c r="MP635" s="27" t="s">
        <v>7</v>
      </c>
      <c r="MQ635" s="27" t="s">
        <v>8</v>
      </c>
      <c r="MR635" s="27" t="s">
        <v>7</v>
      </c>
      <c r="MS635" s="27" t="s">
        <v>8</v>
      </c>
      <c r="NY635" s="27" t="s">
        <v>8</v>
      </c>
      <c r="NZ635" s="27" t="s">
        <v>7</v>
      </c>
      <c r="OA635" s="27" t="s">
        <v>8</v>
      </c>
      <c r="OE635" s="27" t="s">
        <v>8</v>
      </c>
      <c r="OF635" s="27" t="s">
        <v>7</v>
      </c>
      <c r="PA635" s="27" t="s">
        <v>8</v>
      </c>
      <c r="PB635" s="27" t="s">
        <v>7</v>
      </c>
      <c r="PC635" s="27" t="s">
        <v>8</v>
      </c>
      <c r="PD635" s="27" t="s">
        <v>7</v>
      </c>
      <c r="PE635" s="27" t="s">
        <v>8</v>
      </c>
      <c r="PF635" s="27" t="s">
        <v>7</v>
      </c>
      <c r="PG635" s="27" t="s">
        <v>8</v>
      </c>
      <c r="PI635" s="27" t="s">
        <v>8</v>
      </c>
      <c r="PJ635" s="27" t="s">
        <v>7</v>
      </c>
      <c r="PK635" s="27" t="s">
        <v>8</v>
      </c>
      <c r="PL635" s="27" t="s">
        <v>7</v>
      </c>
    </row>
    <row r="636" spans="1:436" x14ac:dyDescent="0.25">
      <c r="A636" s="7">
        <v>0.37895843976950117</v>
      </c>
      <c r="B636"/>
      <c r="C636"/>
      <c r="D636"/>
      <c r="E636"/>
      <c r="F636" s="27" t="s">
        <v>7</v>
      </c>
      <c r="JQ636" s="27" t="s">
        <v>8</v>
      </c>
      <c r="JR636" s="27" t="s">
        <v>7</v>
      </c>
      <c r="KC636" s="27" t="s">
        <v>8</v>
      </c>
      <c r="KI636" s="27" t="s">
        <v>8</v>
      </c>
      <c r="KJ636" s="27" t="s">
        <v>7</v>
      </c>
      <c r="KP636" s="27" t="s">
        <v>7</v>
      </c>
      <c r="KQ636" s="27" t="s">
        <v>8</v>
      </c>
      <c r="KR636" s="27" t="s">
        <v>7</v>
      </c>
      <c r="KS636" s="27" t="s">
        <v>8</v>
      </c>
      <c r="KZ636" s="27" t="s">
        <v>7</v>
      </c>
      <c r="LB636" s="27" t="s">
        <v>7</v>
      </c>
      <c r="LC636" s="27" t="s">
        <v>8</v>
      </c>
      <c r="LH636" s="27" t="s">
        <v>7</v>
      </c>
      <c r="LI636" s="27" t="s">
        <v>8</v>
      </c>
      <c r="LJ636" s="27" t="s">
        <v>7</v>
      </c>
      <c r="LX636" s="27" t="s">
        <v>7</v>
      </c>
      <c r="LY636" s="27" t="s">
        <v>8</v>
      </c>
      <c r="ML636" s="27" t="s">
        <v>7</v>
      </c>
      <c r="MM636" s="27" t="s">
        <v>8</v>
      </c>
      <c r="MN636" s="27" t="s">
        <v>7</v>
      </c>
      <c r="MO636" s="27" t="s">
        <v>8</v>
      </c>
      <c r="MP636" s="27" t="s">
        <v>7</v>
      </c>
      <c r="MQ636" s="27" t="s">
        <v>8</v>
      </c>
      <c r="MR636" s="27" t="s">
        <v>7</v>
      </c>
      <c r="MS636" s="27" t="s">
        <v>8</v>
      </c>
      <c r="MT636" s="27" t="s">
        <v>7</v>
      </c>
      <c r="NY636" s="27" t="s">
        <v>8</v>
      </c>
      <c r="NZ636" s="27" t="s">
        <v>7</v>
      </c>
      <c r="OA636" s="27" t="s">
        <v>8</v>
      </c>
      <c r="OB636" s="27" t="s">
        <v>7</v>
      </c>
      <c r="OE636" s="27" t="s">
        <v>8</v>
      </c>
      <c r="OF636" s="27" t="s">
        <v>7</v>
      </c>
      <c r="OY636" s="27" t="s">
        <v>8</v>
      </c>
      <c r="PA636" s="27" t="s">
        <v>8</v>
      </c>
      <c r="PB636" s="27" t="s">
        <v>7</v>
      </c>
      <c r="PC636" s="27" t="s">
        <v>8</v>
      </c>
      <c r="PD636" s="27" t="s">
        <v>7</v>
      </c>
      <c r="PE636" s="27" t="s">
        <v>8</v>
      </c>
      <c r="PF636" s="27" t="s">
        <v>7</v>
      </c>
      <c r="PG636" s="27" t="s">
        <v>8</v>
      </c>
      <c r="PH636" s="27" t="s">
        <v>7</v>
      </c>
      <c r="PI636" s="27" t="s">
        <v>8</v>
      </c>
      <c r="PJ636" s="27" t="s">
        <v>7</v>
      </c>
      <c r="PK636" s="27" t="s">
        <v>8</v>
      </c>
      <c r="PL636" s="27" t="s">
        <v>7</v>
      </c>
    </row>
    <row r="637" spans="1:436" x14ac:dyDescent="0.25">
      <c r="A637" s="7">
        <v>0.37152788212696197</v>
      </c>
      <c r="B637"/>
      <c r="C637"/>
      <c r="D637"/>
      <c r="E637"/>
      <c r="F637" s="27" t="s">
        <v>7</v>
      </c>
      <c r="JQ637" s="27" t="s">
        <v>8</v>
      </c>
      <c r="JR637" s="27" t="s">
        <v>7</v>
      </c>
      <c r="KC637" s="27" t="s">
        <v>8</v>
      </c>
      <c r="KD637" s="27" t="s">
        <v>7</v>
      </c>
      <c r="KI637" s="27" t="s">
        <v>8</v>
      </c>
      <c r="KP637" s="27" t="s">
        <v>7</v>
      </c>
      <c r="KQ637" s="27" t="s">
        <v>8</v>
      </c>
      <c r="KR637" s="27" t="s">
        <v>7</v>
      </c>
      <c r="KS637" s="27" t="s">
        <v>8</v>
      </c>
      <c r="LB637" s="27" t="s">
        <v>7</v>
      </c>
      <c r="LH637" s="27" t="s">
        <v>7</v>
      </c>
      <c r="LI637" s="27" t="s">
        <v>8</v>
      </c>
      <c r="LX637" s="27" t="s">
        <v>7</v>
      </c>
      <c r="LY637" s="27" t="s">
        <v>8</v>
      </c>
      <c r="ML637" s="27" t="s">
        <v>7</v>
      </c>
      <c r="MM637" s="27" t="s">
        <v>8</v>
      </c>
      <c r="MN637" s="27" t="s">
        <v>7</v>
      </c>
      <c r="MO637" s="27" t="s">
        <v>8</v>
      </c>
      <c r="MP637" s="27" t="s">
        <v>7</v>
      </c>
      <c r="MQ637" s="27" t="s">
        <v>8</v>
      </c>
      <c r="MR637" s="27" t="s">
        <v>7</v>
      </c>
      <c r="MS637" s="27" t="s">
        <v>8</v>
      </c>
      <c r="MT637" s="27" t="s">
        <v>7</v>
      </c>
      <c r="NY637" s="27" t="s">
        <v>8</v>
      </c>
      <c r="NZ637" s="27" t="s">
        <v>7</v>
      </c>
      <c r="OA637" s="27" t="s">
        <v>8</v>
      </c>
      <c r="OB637" s="27" t="s">
        <v>7</v>
      </c>
      <c r="OE637" s="27" t="s">
        <v>8</v>
      </c>
      <c r="OF637" s="27" t="s">
        <v>7</v>
      </c>
      <c r="OY637" s="27" t="s">
        <v>8</v>
      </c>
      <c r="OZ637" s="27" t="s">
        <v>7</v>
      </c>
      <c r="PA637" s="27" t="s">
        <v>8</v>
      </c>
      <c r="PB637" s="27" t="s">
        <v>7</v>
      </c>
      <c r="PD637" s="27" t="s">
        <v>7</v>
      </c>
      <c r="PE637" s="27" t="s">
        <v>8</v>
      </c>
      <c r="PF637" s="27" t="s">
        <v>7</v>
      </c>
      <c r="PG637" s="27" t="s">
        <v>8</v>
      </c>
      <c r="PH637" s="27" t="s">
        <v>7</v>
      </c>
      <c r="PI637" s="27" t="s">
        <v>8</v>
      </c>
      <c r="PJ637" s="27" t="s">
        <v>7</v>
      </c>
      <c r="PK637" s="27" t="s">
        <v>8</v>
      </c>
      <c r="PL637" s="27" t="s">
        <v>7</v>
      </c>
    </row>
    <row r="638" spans="1:436" x14ac:dyDescent="0.25">
      <c r="A638" s="7">
        <v>0.36424302169310002</v>
      </c>
      <c r="B638"/>
      <c r="C638"/>
      <c r="D638"/>
      <c r="E638"/>
      <c r="F638" s="27" t="s">
        <v>7</v>
      </c>
      <c r="JQ638" s="27" t="s">
        <v>8</v>
      </c>
      <c r="JR638" s="27" t="s">
        <v>7</v>
      </c>
      <c r="KC638" s="27" t="s">
        <v>8</v>
      </c>
      <c r="KD638" s="27" t="s">
        <v>7</v>
      </c>
      <c r="KE638" s="27" t="s">
        <v>8</v>
      </c>
      <c r="KI638" s="27" t="s">
        <v>8</v>
      </c>
      <c r="KP638" s="27" t="s">
        <v>7</v>
      </c>
      <c r="KQ638" s="27" t="s">
        <v>8</v>
      </c>
      <c r="KR638" s="27" t="s">
        <v>7</v>
      </c>
      <c r="KS638" s="27" t="s">
        <v>8</v>
      </c>
      <c r="LH638" s="27" t="s">
        <v>7</v>
      </c>
      <c r="LI638" s="27" t="s">
        <v>8</v>
      </c>
      <c r="LX638" s="27" t="s">
        <v>7</v>
      </c>
      <c r="ML638" s="27" t="s">
        <v>7</v>
      </c>
      <c r="MM638" s="27" t="s">
        <v>8</v>
      </c>
      <c r="MN638" s="27" t="s">
        <v>7</v>
      </c>
      <c r="MO638" s="27" t="s">
        <v>8</v>
      </c>
      <c r="MP638" s="27" t="s">
        <v>7</v>
      </c>
      <c r="MQ638" s="27" t="s">
        <v>8</v>
      </c>
      <c r="MR638" s="27" t="s">
        <v>7</v>
      </c>
      <c r="MT638" s="27" t="s">
        <v>7</v>
      </c>
      <c r="MU638" s="27" t="s">
        <v>8</v>
      </c>
      <c r="NY638" s="27" t="s">
        <v>8</v>
      </c>
      <c r="NZ638" s="27" t="s">
        <v>7</v>
      </c>
      <c r="OA638" s="27" t="s">
        <v>8</v>
      </c>
      <c r="OB638" s="27" t="s">
        <v>7</v>
      </c>
      <c r="OE638" s="27" t="s">
        <v>8</v>
      </c>
      <c r="OF638" s="27" t="s">
        <v>7</v>
      </c>
      <c r="OS638" s="27" t="s">
        <v>8</v>
      </c>
      <c r="OU638" s="27" t="s">
        <v>8</v>
      </c>
      <c r="OY638" s="27" t="s">
        <v>8</v>
      </c>
      <c r="OZ638" s="27" t="s">
        <v>7</v>
      </c>
      <c r="PA638" s="27" t="s">
        <v>8</v>
      </c>
      <c r="PD638" s="27" t="s">
        <v>7</v>
      </c>
      <c r="PF638" s="27" t="s">
        <v>7</v>
      </c>
      <c r="PG638" s="27" t="s">
        <v>8</v>
      </c>
      <c r="PH638" s="27" t="s">
        <v>7</v>
      </c>
      <c r="PI638" s="27" t="s">
        <v>8</v>
      </c>
      <c r="PJ638" s="27" t="s">
        <v>7</v>
      </c>
      <c r="PK638" s="27" t="s">
        <v>8</v>
      </c>
      <c r="PL638" s="27" t="s">
        <v>7</v>
      </c>
      <c r="PS638" s="27" t="s">
        <v>8</v>
      </c>
    </row>
    <row r="639" spans="1:436" x14ac:dyDescent="0.25">
      <c r="A639" s="7">
        <v>0.35710100165990194</v>
      </c>
      <c r="B639"/>
      <c r="C639"/>
      <c r="D639"/>
      <c r="E639"/>
      <c r="F639" s="27" t="s">
        <v>7</v>
      </c>
      <c r="JQ639" s="27" t="s">
        <v>8</v>
      </c>
      <c r="JR639" s="27" t="s">
        <v>7</v>
      </c>
      <c r="KC639" s="27" t="s">
        <v>8</v>
      </c>
      <c r="KD639" s="27" t="s">
        <v>7</v>
      </c>
      <c r="KE639" s="27" t="s">
        <v>8</v>
      </c>
      <c r="KF639" s="27" t="s">
        <v>7</v>
      </c>
      <c r="KI639" s="27" t="s">
        <v>8</v>
      </c>
      <c r="KP639" s="27" t="s">
        <v>7</v>
      </c>
      <c r="KQ639" s="27" t="s">
        <v>8</v>
      </c>
      <c r="KR639" s="27" t="s">
        <v>7</v>
      </c>
      <c r="LH639" s="27" t="s">
        <v>7</v>
      </c>
      <c r="LI639" s="27" t="s">
        <v>8</v>
      </c>
      <c r="ML639" s="27" t="s">
        <v>7</v>
      </c>
      <c r="MM639" s="27" t="s">
        <v>8</v>
      </c>
      <c r="MN639" s="27" t="s">
        <v>7</v>
      </c>
      <c r="MO639" s="27" t="s">
        <v>8</v>
      </c>
      <c r="MP639" s="27" t="s">
        <v>7</v>
      </c>
      <c r="MQ639" s="27" t="s">
        <v>8</v>
      </c>
      <c r="MT639" s="27" t="s">
        <v>7</v>
      </c>
      <c r="MU639" s="27" t="s">
        <v>8</v>
      </c>
      <c r="MV639" s="27" t="s">
        <v>7</v>
      </c>
      <c r="NY639" s="27" t="s">
        <v>8</v>
      </c>
      <c r="NZ639" s="27" t="s">
        <v>7</v>
      </c>
      <c r="OA639" s="27" t="s">
        <v>8</v>
      </c>
      <c r="OB639" s="27" t="s">
        <v>7</v>
      </c>
      <c r="OC639" s="27" t="s">
        <v>8</v>
      </c>
      <c r="OE639" s="27" t="s">
        <v>8</v>
      </c>
      <c r="OF639" s="27" t="s">
        <v>7</v>
      </c>
      <c r="OG639" s="27" t="s">
        <v>8</v>
      </c>
      <c r="OS639" s="27" t="s">
        <v>8</v>
      </c>
      <c r="OT639" s="27" t="s">
        <v>7</v>
      </c>
      <c r="OU639" s="27" t="s">
        <v>8</v>
      </c>
      <c r="OV639" s="27" t="s">
        <v>7</v>
      </c>
      <c r="OW639" s="27" t="s">
        <v>8</v>
      </c>
      <c r="OY639" s="27" t="s">
        <v>8</v>
      </c>
      <c r="OZ639" s="27" t="s">
        <v>7</v>
      </c>
      <c r="PF639" s="27" t="s">
        <v>7</v>
      </c>
      <c r="PG639" s="27" t="s">
        <v>8</v>
      </c>
      <c r="PH639" s="27" t="s">
        <v>7</v>
      </c>
      <c r="PJ639" s="27" t="s">
        <v>7</v>
      </c>
      <c r="PK639" s="27" t="s">
        <v>8</v>
      </c>
      <c r="PL639" s="27" t="s">
        <v>7</v>
      </c>
      <c r="PM639" s="27" t="s">
        <v>8</v>
      </c>
      <c r="PS639" s="27" t="s">
        <v>8</v>
      </c>
      <c r="PT639" s="27" t="s">
        <v>7</v>
      </c>
    </row>
    <row r="640" spans="1:436" x14ac:dyDescent="0.25">
      <c r="A640" s="7">
        <v>0.35009902123519804</v>
      </c>
      <c r="B640"/>
      <c r="C640"/>
      <c r="D640"/>
      <c r="E640"/>
      <c r="F640" s="27" t="s">
        <v>7</v>
      </c>
      <c r="JQ640" s="27" t="s">
        <v>8</v>
      </c>
      <c r="JR640" s="27" t="s">
        <v>7</v>
      </c>
      <c r="KC640" s="27" t="s">
        <v>8</v>
      </c>
      <c r="KD640" s="27" t="s">
        <v>7</v>
      </c>
      <c r="KE640" s="27" t="s">
        <v>8</v>
      </c>
      <c r="KF640" s="27" t="s">
        <v>7</v>
      </c>
      <c r="KI640" s="27" t="s">
        <v>8</v>
      </c>
      <c r="KP640" s="27" t="s">
        <v>7</v>
      </c>
      <c r="KQ640" s="27" t="s">
        <v>8</v>
      </c>
      <c r="LH640" s="27" t="s">
        <v>7</v>
      </c>
      <c r="LI640" s="27" t="s">
        <v>8</v>
      </c>
      <c r="ML640" s="27" t="s">
        <v>7</v>
      </c>
      <c r="MM640" s="27" t="s">
        <v>8</v>
      </c>
      <c r="MN640" s="27" t="s">
        <v>7</v>
      </c>
      <c r="MO640" s="27" t="s">
        <v>8</v>
      </c>
      <c r="MP640" s="27" t="s">
        <v>7</v>
      </c>
      <c r="MT640" s="27" t="s">
        <v>7</v>
      </c>
      <c r="MU640" s="27" t="s">
        <v>8</v>
      </c>
      <c r="MV640" s="27" t="s">
        <v>7</v>
      </c>
      <c r="MW640" s="27" t="s">
        <v>8</v>
      </c>
      <c r="NW640" s="27" t="s">
        <v>8</v>
      </c>
      <c r="NY640" s="27" t="s">
        <v>8</v>
      </c>
      <c r="NZ640" s="27" t="s">
        <v>7</v>
      </c>
      <c r="OA640" s="27" t="s">
        <v>8</v>
      </c>
      <c r="OB640" s="27" t="s">
        <v>7</v>
      </c>
      <c r="OC640" s="27" t="s">
        <v>8</v>
      </c>
      <c r="OD640" s="27" t="s">
        <v>7</v>
      </c>
      <c r="OE640" s="27" t="s">
        <v>8</v>
      </c>
      <c r="OF640" s="27" t="s">
        <v>7</v>
      </c>
      <c r="OG640" s="27" t="s">
        <v>8</v>
      </c>
      <c r="OH640" s="27" t="s">
        <v>7</v>
      </c>
      <c r="OS640" s="27" t="s">
        <v>8</v>
      </c>
      <c r="OT640" s="27" t="s">
        <v>7</v>
      </c>
      <c r="OU640" s="27" t="s">
        <v>8</v>
      </c>
      <c r="OV640" s="27" t="s">
        <v>7</v>
      </c>
      <c r="OW640" s="27" t="s">
        <v>8</v>
      </c>
      <c r="OX640" s="27" t="s">
        <v>7</v>
      </c>
      <c r="OY640" s="27" t="s">
        <v>8</v>
      </c>
      <c r="PF640" s="27" t="s">
        <v>7</v>
      </c>
      <c r="PG640" s="27" t="s">
        <v>8</v>
      </c>
      <c r="PJ640" s="27" t="s">
        <v>7</v>
      </c>
      <c r="PL640" s="27" t="s">
        <v>7</v>
      </c>
      <c r="PM640" s="27" t="s">
        <v>8</v>
      </c>
      <c r="PN640" s="27" t="s">
        <v>7</v>
      </c>
      <c r="PQ640" s="27" t="s">
        <v>8</v>
      </c>
      <c r="PS640" s="27" t="s">
        <v>8</v>
      </c>
      <c r="PT640" s="27" t="s">
        <v>7</v>
      </c>
    </row>
    <row r="641" spans="1:454" x14ac:dyDescent="0.25">
      <c r="A641" s="7">
        <v>0.34323433454431179</v>
      </c>
      <c r="B641"/>
      <c r="C641"/>
      <c r="D641"/>
      <c r="E641"/>
      <c r="F641" s="27" t="s">
        <v>7</v>
      </c>
      <c r="JQ641" s="27" t="s">
        <v>8</v>
      </c>
      <c r="JR641" s="27" t="s">
        <v>7</v>
      </c>
      <c r="KC641" s="27" t="s">
        <v>8</v>
      </c>
      <c r="KD641" s="27" t="s">
        <v>7</v>
      </c>
      <c r="KE641" s="27" t="s">
        <v>8</v>
      </c>
      <c r="KF641" s="27" t="s">
        <v>7</v>
      </c>
      <c r="KG641" s="27" t="s">
        <v>8</v>
      </c>
      <c r="KI641" s="27" t="s">
        <v>8</v>
      </c>
      <c r="KP641" s="27" t="s">
        <v>7</v>
      </c>
      <c r="KQ641" s="27" t="s">
        <v>8</v>
      </c>
      <c r="LH641" s="27" t="s">
        <v>7</v>
      </c>
      <c r="ML641" s="27" t="s">
        <v>7</v>
      </c>
      <c r="MM641" s="27" t="s">
        <v>8</v>
      </c>
      <c r="MN641" s="27" t="s">
        <v>7</v>
      </c>
      <c r="MO641" s="27" t="s">
        <v>8</v>
      </c>
      <c r="MT641" s="27" t="s">
        <v>7</v>
      </c>
      <c r="MU641" s="27" t="s">
        <v>8</v>
      </c>
      <c r="MV641" s="27" t="s">
        <v>7</v>
      </c>
      <c r="MW641" s="27" t="s">
        <v>8</v>
      </c>
      <c r="MX641" s="27" t="s">
        <v>7</v>
      </c>
      <c r="NW641" s="27" t="s">
        <v>8</v>
      </c>
      <c r="NX641" s="27" t="s">
        <v>7</v>
      </c>
      <c r="NY641" s="27" t="s">
        <v>8</v>
      </c>
      <c r="NZ641" s="27" t="s">
        <v>7</v>
      </c>
      <c r="OA641" s="27" t="s">
        <v>8</v>
      </c>
      <c r="OB641" s="27" t="s">
        <v>7</v>
      </c>
      <c r="OC641" s="27" t="s">
        <v>8</v>
      </c>
      <c r="OD641" s="27" t="s">
        <v>7</v>
      </c>
      <c r="OE641" s="27" t="s">
        <v>8</v>
      </c>
      <c r="OF641" s="27" t="s">
        <v>7</v>
      </c>
      <c r="OG641" s="27" t="s">
        <v>8</v>
      </c>
      <c r="OH641" s="27" t="s">
        <v>7</v>
      </c>
      <c r="OS641" s="27" t="s">
        <v>8</v>
      </c>
      <c r="OT641" s="27" t="s">
        <v>7</v>
      </c>
      <c r="OU641" s="27" t="s">
        <v>8</v>
      </c>
      <c r="OV641" s="27" t="s">
        <v>7</v>
      </c>
      <c r="OW641" s="27" t="s">
        <v>8</v>
      </c>
      <c r="OX641" s="27" t="s">
        <v>7</v>
      </c>
      <c r="OY641" s="27" t="s">
        <v>8</v>
      </c>
      <c r="PF641" s="27" t="s">
        <v>7</v>
      </c>
      <c r="PG641" s="27" t="s">
        <v>8</v>
      </c>
      <c r="PL641" s="27" t="s">
        <v>7</v>
      </c>
      <c r="PM641" s="27" t="s">
        <v>8</v>
      </c>
      <c r="PN641" s="27" t="s">
        <v>7</v>
      </c>
      <c r="PQ641" s="27" t="s">
        <v>8</v>
      </c>
      <c r="PR641" s="27" t="s">
        <v>7</v>
      </c>
      <c r="PS641" s="27" t="s">
        <v>8</v>
      </c>
      <c r="PT641" s="27" t="s">
        <v>7</v>
      </c>
    </row>
    <row r="642" spans="1:454" x14ac:dyDescent="0.25">
      <c r="A642" s="7">
        <v>0.33650424955324681</v>
      </c>
      <c r="B642"/>
      <c r="C642"/>
      <c r="D642"/>
      <c r="E642"/>
      <c r="F642" s="27" t="s">
        <v>7</v>
      </c>
      <c r="JQ642" s="27" t="s">
        <v>8</v>
      </c>
      <c r="JR642" s="27" t="s">
        <v>7</v>
      </c>
      <c r="KC642" s="27" t="s">
        <v>8</v>
      </c>
      <c r="KD642" s="27" t="s">
        <v>7</v>
      </c>
      <c r="KE642" s="27" t="s">
        <v>8</v>
      </c>
      <c r="KF642" s="27" t="s">
        <v>7</v>
      </c>
      <c r="KG642" s="27" t="s">
        <v>8</v>
      </c>
      <c r="KH642" s="27" t="s">
        <v>7</v>
      </c>
      <c r="KI642" s="27" t="s">
        <v>8</v>
      </c>
      <c r="KP642" s="27" t="s">
        <v>7</v>
      </c>
      <c r="KQ642" s="27" t="s">
        <v>8</v>
      </c>
      <c r="ML642" s="27" t="s">
        <v>7</v>
      </c>
      <c r="MM642" s="27" t="s">
        <v>8</v>
      </c>
      <c r="MN642" s="27" t="s">
        <v>7</v>
      </c>
      <c r="MO642" s="27" t="s">
        <v>8</v>
      </c>
      <c r="MT642" s="27" t="s">
        <v>7</v>
      </c>
      <c r="MU642" s="27" t="s">
        <v>8</v>
      </c>
      <c r="MV642" s="27" t="s">
        <v>7</v>
      </c>
      <c r="MW642" s="27" t="s">
        <v>8</v>
      </c>
      <c r="MX642" s="27" t="s">
        <v>7</v>
      </c>
      <c r="NW642" s="27" t="s">
        <v>8</v>
      </c>
      <c r="NX642" s="27" t="s">
        <v>7</v>
      </c>
      <c r="NY642" s="27" t="s">
        <v>8</v>
      </c>
      <c r="NZ642" s="27" t="s">
        <v>7</v>
      </c>
      <c r="OA642" s="27" t="s">
        <v>8</v>
      </c>
      <c r="OB642" s="27" t="s">
        <v>7</v>
      </c>
      <c r="OC642" s="27" t="s">
        <v>8</v>
      </c>
      <c r="OD642" s="27" t="s">
        <v>7</v>
      </c>
      <c r="OE642" s="27" t="s">
        <v>8</v>
      </c>
      <c r="OF642" s="27" t="s">
        <v>7</v>
      </c>
      <c r="OG642" s="27" t="s">
        <v>8</v>
      </c>
      <c r="OH642" s="27" t="s">
        <v>7</v>
      </c>
      <c r="OI642" s="27" t="s">
        <v>8</v>
      </c>
      <c r="OK642" s="27" t="s">
        <v>8</v>
      </c>
      <c r="OS642" s="27" t="s">
        <v>8</v>
      </c>
      <c r="OT642" s="27" t="s">
        <v>7</v>
      </c>
      <c r="OV642" s="27" t="s">
        <v>7</v>
      </c>
      <c r="OW642" s="27" t="s">
        <v>8</v>
      </c>
      <c r="OX642" s="27" t="s">
        <v>7</v>
      </c>
      <c r="OY642" s="27" t="s">
        <v>8</v>
      </c>
      <c r="PF642" s="27" t="s">
        <v>7</v>
      </c>
      <c r="PG642" s="27" t="s">
        <v>8</v>
      </c>
      <c r="PL642" s="27" t="s">
        <v>7</v>
      </c>
      <c r="PM642" s="27" t="s">
        <v>8</v>
      </c>
      <c r="PN642" s="27" t="s">
        <v>7</v>
      </c>
      <c r="PQ642" s="27" t="s">
        <v>8</v>
      </c>
      <c r="PR642" s="27" t="s">
        <v>7</v>
      </c>
      <c r="PS642" s="27" t="s">
        <v>8</v>
      </c>
      <c r="PT642" s="27" t="s">
        <v>7</v>
      </c>
    </row>
    <row r="643" spans="1:454" x14ac:dyDescent="0.25">
      <c r="A643" s="7">
        <v>0.3299061270129871</v>
      </c>
      <c r="B643"/>
      <c r="C643"/>
      <c r="D643"/>
      <c r="E643"/>
      <c r="F643" s="27" t="s">
        <v>7</v>
      </c>
      <c r="JQ643" s="27" t="s">
        <v>8</v>
      </c>
      <c r="JR643" s="27" t="s">
        <v>7</v>
      </c>
      <c r="KC643" s="27" t="s">
        <v>8</v>
      </c>
      <c r="KD643" s="27" t="s">
        <v>7</v>
      </c>
      <c r="KE643" s="27" t="s">
        <v>8</v>
      </c>
      <c r="KF643" s="27" t="s">
        <v>7</v>
      </c>
      <c r="KG643" s="27" t="s">
        <v>8</v>
      </c>
      <c r="KH643" s="27" t="s">
        <v>7</v>
      </c>
      <c r="KI643" s="27" t="s">
        <v>8</v>
      </c>
      <c r="KP643" s="27" t="s">
        <v>7</v>
      </c>
      <c r="KQ643" s="27" t="s">
        <v>8</v>
      </c>
      <c r="ML643" s="27" t="s">
        <v>7</v>
      </c>
      <c r="MM643" s="27" t="s">
        <v>8</v>
      </c>
      <c r="MN643" s="27" t="s">
        <v>7</v>
      </c>
      <c r="MO643" s="27" t="s">
        <v>8</v>
      </c>
      <c r="MT643" s="27" t="s">
        <v>7</v>
      </c>
      <c r="MU643" s="27" t="s">
        <v>8</v>
      </c>
      <c r="MV643" s="27" t="s">
        <v>7</v>
      </c>
      <c r="MW643" s="27" t="s">
        <v>8</v>
      </c>
      <c r="MX643" s="27" t="s">
        <v>7</v>
      </c>
      <c r="NW643" s="27" t="s">
        <v>8</v>
      </c>
      <c r="NX643" s="27" t="s">
        <v>7</v>
      </c>
      <c r="NY643" s="27" t="s">
        <v>8</v>
      </c>
      <c r="NZ643" s="27" t="s">
        <v>7</v>
      </c>
      <c r="OB643" s="27" t="s">
        <v>7</v>
      </c>
      <c r="OD643" s="27" t="s">
        <v>7</v>
      </c>
      <c r="OF643" s="27" t="s">
        <v>7</v>
      </c>
      <c r="OG643" s="27" t="s">
        <v>8</v>
      </c>
      <c r="OH643" s="27" t="s">
        <v>7</v>
      </c>
      <c r="OI643" s="27" t="s">
        <v>8</v>
      </c>
      <c r="OJ643" s="27" t="s">
        <v>7</v>
      </c>
      <c r="OK643" s="27" t="s">
        <v>8</v>
      </c>
      <c r="OL643" s="27" t="s">
        <v>7</v>
      </c>
      <c r="OS643" s="27" t="s">
        <v>8</v>
      </c>
      <c r="OV643" s="27" t="s">
        <v>7</v>
      </c>
      <c r="OX643" s="27" t="s">
        <v>7</v>
      </c>
      <c r="OY643" s="27" t="s">
        <v>8</v>
      </c>
      <c r="PF643" s="27" t="s">
        <v>7</v>
      </c>
      <c r="PG643" s="27" t="s">
        <v>8</v>
      </c>
      <c r="PL643" s="27" t="s">
        <v>7</v>
      </c>
      <c r="PM643" s="27" t="s">
        <v>8</v>
      </c>
      <c r="PN643" s="27" t="s">
        <v>7</v>
      </c>
      <c r="PO643" s="27" t="s">
        <v>8</v>
      </c>
      <c r="PQ643" s="27" t="s">
        <v>8</v>
      </c>
      <c r="PR643" s="27" t="s">
        <v>7</v>
      </c>
      <c r="PS643" s="27" t="s">
        <v>8</v>
      </c>
      <c r="PT643" s="27" t="s">
        <v>7</v>
      </c>
    </row>
    <row r="644" spans="1:454" x14ac:dyDescent="0.25">
      <c r="A644" s="7">
        <v>0.32343737942449713</v>
      </c>
      <c r="B644"/>
      <c r="C644"/>
      <c r="D644"/>
      <c r="E644"/>
      <c r="F644" s="27" t="s">
        <v>7</v>
      </c>
      <c r="JQ644" s="27" t="s">
        <v>8</v>
      </c>
      <c r="JR644" s="27" t="s">
        <v>7</v>
      </c>
      <c r="JS644" s="27" t="s">
        <v>8</v>
      </c>
      <c r="JW644" s="27" t="s">
        <v>8</v>
      </c>
      <c r="KC644" s="27" t="s">
        <v>8</v>
      </c>
      <c r="KD644" s="27" t="s">
        <v>7</v>
      </c>
      <c r="KE644" s="27" t="s">
        <v>8</v>
      </c>
      <c r="KF644" s="27" t="s">
        <v>7</v>
      </c>
      <c r="KH644" s="27" t="s">
        <v>7</v>
      </c>
      <c r="KI644" s="27" t="s">
        <v>8</v>
      </c>
      <c r="KP644" s="27" t="s">
        <v>7</v>
      </c>
      <c r="KQ644" s="27" t="s">
        <v>8</v>
      </c>
      <c r="ML644" s="27" t="s">
        <v>7</v>
      </c>
      <c r="MM644" s="27" t="s">
        <v>8</v>
      </c>
      <c r="MN644" s="27" t="s">
        <v>7</v>
      </c>
      <c r="MO644" s="27" t="s">
        <v>8</v>
      </c>
      <c r="MT644" s="27" t="s">
        <v>7</v>
      </c>
      <c r="MU644" s="27" t="s">
        <v>8</v>
      </c>
      <c r="MV644" s="27" t="s">
        <v>7</v>
      </c>
      <c r="MW644" s="27" t="s">
        <v>8</v>
      </c>
      <c r="MX644" s="27" t="s">
        <v>7</v>
      </c>
      <c r="NW644" s="27" t="s">
        <v>8</v>
      </c>
      <c r="NX644" s="27" t="s">
        <v>7</v>
      </c>
      <c r="NY644" s="27" t="s">
        <v>8</v>
      </c>
      <c r="OF644" s="27" t="s">
        <v>7</v>
      </c>
      <c r="OG644" s="27" t="s">
        <v>8</v>
      </c>
      <c r="OH644" s="27" t="s">
        <v>7</v>
      </c>
      <c r="OI644" s="27" t="s">
        <v>8</v>
      </c>
      <c r="OJ644" s="27" t="s">
        <v>7</v>
      </c>
      <c r="OK644" s="27" t="s">
        <v>8</v>
      </c>
      <c r="OL644" s="27" t="s">
        <v>7</v>
      </c>
      <c r="OQ644" s="27" t="s">
        <v>8</v>
      </c>
      <c r="OS644" s="27" t="s">
        <v>8</v>
      </c>
      <c r="OX644" s="27" t="s">
        <v>7</v>
      </c>
      <c r="PF644" s="27" t="s">
        <v>7</v>
      </c>
      <c r="PG644" s="27" t="s">
        <v>8</v>
      </c>
      <c r="PL644" s="27" t="s">
        <v>7</v>
      </c>
      <c r="PM644" s="27" t="s">
        <v>8</v>
      </c>
      <c r="PN644" s="27" t="s">
        <v>7</v>
      </c>
      <c r="PO644" s="27" t="s">
        <v>8</v>
      </c>
      <c r="PP644" s="27" t="s">
        <v>7</v>
      </c>
      <c r="PQ644" s="27" t="s">
        <v>8</v>
      </c>
      <c r="PR644" s="27" t="s">
        <v>7</v>
      </c>
      <c r="PS644" s="27" t="s">
        <v>8</v>
      </c>
      <c r="PT644" s="27" t="s">
        <v>7</v>
      </c>
    </row>
    <row r="645" spans="1:454" x14ac:dyDescent="0.25">
      <c r="A645" s="7">
        <v>0.31709547002401678</v>
      </c>
      <c r="B645"/>
      <c r="C645"/>
      <c r="D645"/>
      <c r="E645"/>
      <c r="F645" s="27" t="s">
        <v>7</v>
      </c>
      <c r="JQ645" s="27" t="s">
        <v>8</v>
      </c>
      <c r="JR645" s="27" t="s">
        <v>7</v>
      </c>
      <c r="JS645" s="27" t="s">
        <v>8</v>
      </c>
      <c r="JT645" s="27" t="s">
        <v>7</v>
      </c>
      <c r="JW645" s="27" t="s">
        <v>8</v>
      </c>
      <c r="JX645" s="27" t="s">
        <v>7</v>
      </c>
      <c r="JY645" s="27" t="s">
        <v>8</v>
      </c>
      <c r="KC645" s="27" t="s">
        <v>8</v>
      </c>
      <c r="KD645" s="27" t="s">
        <v>7</v>
      </c>
      <c r="KE645" s="27" t="s">
        <v>8</v>
      </c>
      <c r="KH645" s="27" t="s">
        <v>7</v>
      </c>
      <c r="KP645" s="27" t="s">
        <v>7</v>
      </c>
      <c r="ML645" s="27" t="s">
        <v>7</v>
      </c>
      <c r="MM645" s="27" t="s">
        <v>8</v>
      </c>
      <c r="MN645" s="27" t="s">
        <v>7</v>
      </c>
      <c r="MO645" s="27" t="s">
        <v>8</v>
      </c>
      <c r="MT645" s="27" t="s">
        <v>7</v>
      </c>
      <c r="MU645" s="27" t="s">
        <v>8</v>
      </c>
      <c r="MV645" s="27" t="s">
        <v>7</v>
      </c>
      <c r="MW645" s="27" t="s">
        <v>8</v>
      </c>
      <c r="MX645" s="27" t="s">
        <v>7</v>
      </c>
      <c r="NW645" s="27" t="s">
        <v>8</v>
      </c>
      <c r="NX645" s="27" t="s">
        <v>7</v>
      </c>
      <c r="OF645" s="27" t="s">
        <v>7</v>
      </c>
      <c r="OG645" s="27" t="s">
        <v>8</v>
      </c>
      <c r="OH645" s="27" t="s">
        <v>7</v>
      </c>
      <c r="OJ645" s="27" t="s">
        <v>7</v>
      </c>
      <c r="OK645" s="27" t="s">
        <v>8</v>
      </c>
      <c r="OL645" s="27" t="s">
        <v>7</v>
      </c>
      <c r="OQ645" s="27" t="s">
        <v>8</v>
      </c>
      <c r="OR645" s="27" t="s">
        <v>7</v>
      </c>
      <c r="OS645" s="27" t="s">
        <v>8</v>
      </c>
      <c r="PF645" s="27" t="s">
        <v>7</v>
      </c>
      <c r="PG645" s="27" t="s">
        <v>8</v>
      </c>
      <c r="PL645" s="27" t="s">
        <v>7</v>
      </c>
      <c r="PN645" s="27" t="s">
        <v>7</v>
      </c>
      <c r="PO645" s="27" t="s">
        <v>8</v>
      </c>
      <c r="PP645" s="27" t="s">
        <v>7</v>
      </c>
      <c r="PQ645" s="27" t="s">
        <v>8</v>
      </c>
      <c r="PR645" s="27" t="s">
        <v>7</v>
      </c>
      <c r="PT645" s="27" t="s">
        <v>7</v>
      </c>
    </row>
    <row r="646" spans="1:454" x14ac:dyDescent="0.25">
      <c r="A646" s="7">
        <v>0.31087791178825175</v>
      </c>
      <c r="B646"/>
      <c r="C646"/>
      <c r="D646"/>
      <c r="E646"/>
      <c r="F646" s="27" t="s">
        <v>7</v>
      </c>
      <c r="JQ646" s="27" t="s">
        <v>8</v>
      </c>
      <c r="JR646" s="27" t="s">
        <v>7</v>
      </c>
      <c r="JS646" s="27" t="s">
        <v>8</v>
      </c>
      <c r="JT646" s="27" t="s">
        <v>7</v>
      </c>
      <c r="JU646" s="27" t="s">
        <v>8</v>
      </c>
      <c r="JW646" s="27" t="s">
        <v>8</v>
      </c>
      <c r="JX646" s="27" t="s">
        <v>7</v>
      </c>
      <c r="JY646" s="27" t="s">
        <v>8</v>
      </c>
      <c r="JZ646" s="27" t="s">
        <v>7</v>
      </c>
      <c r="KC646" s="27" t="s">
        <v>8</v>
      </c>
      <c r="KD646" s="27" t="s">
        <v>7</v>
      </c>
      <c r="KE646" s="27" t="s">
        <v>8</v>
      </c>
      <c r="ML646" s="27" t="s">
        <v>7</v>
      </c>
      <c r="MM646" s="27" t="s">
        <v>8</v>
      </c>
      <c r="MN646" s="27" t="s">
        <v>7</v>
      </c>
      <c r="MO646" s="27" t="s">
        <v>8</v>
      </c>
      <c r="MT646" s="27" t="s">
        <v>7</v>
      </c>
      <c r="MV646" s="27" t="s">
        <v>7</v>
      </c>
      <c r="MW646" s="27" t="s">
        <v>8</v>
      </c>
      <c r="MX646" s="27" t="s">
        <v>7</v>
      </c>
      <c r="NU646" s="27" t="s">
        <v>8</v>
      </c>
      <c r="NW646" s="27" t="s">
        <v>8</v>
      </c>
      <c r="OF646" s="27" t="s">
        <v>7</v>
      </c>
      <c r="OG646" s="27" t="s">
        <v>8</v>
      </c>
      <c r="OJ646" s="27" t="s">
        <v>7</v>
      </c>
      <c r="OL646" s="27" t="s">
        <v>7</v>
      </c>
      <c r="OQ646" s="27" t="s">
        <v>8</v>
      </c>
      <c r="OR646" s="27" t="s">
        <v>7</v>
      </c>
      <c r="OS646" s="27" t="s">
        <v>8</v>
      </c>
      <c r="PF646" s="27" t="s">
        <v>7</v>
      </c>
      <c r="PN646" s="27" t="s">
        <v>7</v>
      </c>
      <c r="PO646" s="27" t="s">
        <v>8</v>
      </c>
      <c r="PP646" s="27" t="s">
        <v>7</v>
      </c>
      <c r="PQ646" s="27" t="s">
        <v>8</v>
      </c>
      <c r="PT646" s="27" t="s">
        <v>7</v>
      </c>
    </row>
    <row r="647" spans="1:454" x14ac:dyDescent="0.25">
      <c r="A647" s="7">
        <v>0.30478226645907036</v>
      </c>
      <c r="B647"/>
      <c r="C647"/>
      <c r="D647"/>
      <c r="E647"/>
      <c r="F647" s="27" t="s">
        <v>7</v>
      </c>
      <c r="JQ647" s="27" t="s">
        <v>8</v>
      </c>
      <c r="JR647" s="27" t="s">
        <v>7</v>
      </c>
      <c r="JS647" s="27" t="s">
        <v>8</v>
      </c>
      <c r="JT647" s="27" t="s">
        <v>7</v>
      </c>
      <c r="JU647" s="27" t="s">
        <v>8</v>
      </c>
      <c r="JV647" s="27" t="s">
        <v>7</v>
      </c>
      <c r="JW647" s="27" t="s">
        <v>8</v>
      </c>
      <c r="JX647" s="27" t="s">
        <v>7</v>
      </c>
      <c r="JY647" s="27" t="s">
        <v>8</v>
      </c>
      <c r="JZ647" s="27" t="s">
        <v>7</v>
      </c>
      <c r="KC647" s="27" t="s">
        <v>8</v>
      </c>
      <c r="KD647" s="27" t="s">
        <v>7</v>
      </c>
      <c r="KE647" s="27" t="s">
        <v>8</v>
      </c>
      <c r="ML647" s="27" t="s">
        <v>7</v>
      </c>
      <c r="MM647" s="27" t="s">
        <v>8</v>
      </c>
      <c r="MN647" s="27" t="s">
        <v>7</v>
      </c>
      <c r="MO647" s="27" t="s">
        <v>8</v>
      </c>
      <c r="MV647" s="27" t="s">
        <v>7</v>
      </c>
      <c r="MX647" s="27" t="s">
        <v>7</v>
      </c>
      <c r="MY647" s="27" t="s">
        <v>8</v>
      </c>
      <c r="NU647" s="27" t="s">
        <v>8</v>
      </c>
      <c r="NV647" s="27" t="s">
        <v>7</v>
      </c>
      <c r="NW647" s="27" t="s">
        <v>8</v>
      </c>
      <c r="OF647" s="27" t="s">
        <v>7</v>
      </c>
      <c r="OG647" s="27" t="s">
        <v>8</v>
      </c>
      <c r="OL647" s="27" t="s">
        <v>7</v>
      </c>
      <c r="OM647" s="27" t="s">
        <v>8</v>
      </c>
      <c r="OQ647" s="27" t="s">
        <v>8</v>
      </c>
      <c r="OR647" s="27" t="s">
        <v>7</v>
      </c>
      <c r="OS647" s="27" t="s">
        <v>8</v>
      </c>
      <c r="PN647" s="27" t="s">
        <v>7</v>
      </c>
      <c r="PP647" s="27" t="s">
        <v>7</v>
      </c>
      <c r="PT647" s="27" t="s">
        <v>7</v>
      </c>
      <c r="PW647" s="27" t="s">
        <v>8</v>
      </c>
      <c r="QE647" s="27" t="s">
        <v>8</v>
      </c>
    </row>
    <row r="648" spans="1:454" x14ac:dyDescent="0.25">
      <c r="A648" s="7">
        <v>0.29880614358732388</v>
      </c>
      <c r="B648"/>
      <c r="C648"/>
      <c r="D648"/>
      <c r="E648"/>
      <c r="F648" s="27" t="s">
        <v>7</v>
      </c>
      <c r="JQ648" s="27" t="s">
        <v>8</v>
      </c>
      <c r="JR648" s="27" t="s">
        <v>7</v>
      </c>
      <c r="JS648" s="27" t="s">
        <v>8</v>
      </c>
      <c r="JT648" s="27" t="s">
        <v>7</v>
      </c>
      <c r="JU648" s="27" t="s">
        <v>8</v>
      </c>
      <c r="JV648" s="27" t="s">
        <v>7</v>
      </c>
      <c r="JW648" s="27" t="s">
        <v>8</v>
      </c>
      <c r="JX648" s="27" t="s">
        <v>7</v>
      </c>
      <c r="JY648" s="27" t="s">
        <v>8</v>
      </c>
      <c r="JZ648" s="27" t="s">
        <v>7</v>
      </c>
      <c r="KC648" s="27" t="s">
        <v>8</v>
      </c>
      <c r="KD648" s="27" t="s">
        <v>7</v>
      </c>
      <c r="KE648" s="27" t="s">
        <v>8</v>
      </c>
      <c r="ML648" s="27" t="s">
        <v>7</v>
      </c>
      <c r="MM648" s="27" t="s">
        <v>8</v>
      </c>
      <c r="MN648" s="27" t="s">
        <v>7</v>
      </c>
      <c r="MO648" s="27" t="s">
        <v>8</v>
      </c>
      <c r="MX648" s="27" t="s">
        <v>7</v>
      </c>
      <c r="MY648" s="27" t="s">
        <v>8</v>
      </c>
      <c r="MZ648" s="27" t="s">
        <v>7</v>
      </c>
      <c r="NQ648" s="27" t="s">
        <v>8</v>
      </c>
      <c r="NU648" s="27" t="s">
        <v>8</v>
      </c>
      <c r="NV648" s="27" t="s">
        <v>7</v>
      </c>
      <c r="NW648" s="27" t="s">
        <v>8</v>
      </c>
      <c r="OF648" s="27" t="s">
        <v>7</v>
      </c>
      <c r="OG648" s="27" t="s">
        <v>8</v>
      </c>
      <c r="OL648" s="27" t="s">
        <v>7</v>
      </c>
      <c r="OM648" s="27" t="s">
        <v>8</v>
      </c>
      <c r="ON648" s="27" t="s">
        <v>7</v>
      </c>
      <c r="OQ648" s="27" t="s">
        <v>8</v>
      </c>
      <c r="OR648" s="27" t="s">
        <v>7</v>
      </c>
      <c r="PT648" s="27" t="s">
        <v>7</v>
      </c>
      <c r="PW648" s="27" t="s">
        <v>8</v>
      </c>
      <c r="PX648" s="27" t="s">
        <v>7</v>
      </c>
      <c r="QE648" s="27" t="s">
        <v>8</v>
      </c>
      <c r="QF648" s="27" t="s">
        <v>7</v>
      </c>
    </row>
    <row r="649" spans="1:454" x14ac:dyDescent="0.25">
      <c r="A649" s="7">
        <v>0.2929471995954156</v>
      </c>
      <c r="B649"/>
      <c r="C649"/>
      <c r="D649"/>
      <c r="E649"/>
      <c r="F649" s="27" t="s">
        <v>7</v>
      </c>
      <c r="JQ649" s="27" t="s">
        <v>8</v>
      </c>
      <c r="JR649" s="27" t="s">
        <v>7</v>
      </c>
      <c r="JS649" s="27" t="s">
        <v>8</v>
      </c>
      <c r="JT649" s="27" t="s">
        <v>7</v>
      </c>
      <c r="JU649" s="27" t="s">
        <v>8</v>
      </c>
      <c r="JV649" s="27" t="s">
        <v>7</v>
      </c>
      <c r="JW649" s="27" t="s">
        <v>8</v>
      </c>
      <c r="JX649" s="27" t="s">
        <v>7</v>
      </c>
      <c r="JY649" s="27" t="s">
        <v>8</v>
      </c>
      <c r="JZ649" s="27" t="s">
        <v>7</v>
      </c>
      <c r="KC649" s="27" t="s">
        <v>8</v>
      </c>
      <c r="KD649" s="27" t="s">
        <v>7</v>
      </c>
      <c r="KE649" s="27" t="s">
        <v>8</v>
      </c>
      <c r="ML649" s="27" t="s">
        <v>7</v>
      </c>
      <c r="MM649" s="27" t="s">
        <v>8</v>
      </c>
      <c r="MN649" s="27" t="s">
        <v>7</v>
      </c>
      <c r="MO649" s="27" t="s">
        <v>8</v>
      </c>
      <c r="MX649" s="27" t="s">
        <v>7</v>
      </c>
      <c r="MY649" s="27" t="s">
        <v>8</v>
      </c>
      <c r="MZ649" s="27" t="s">
        <v>7</v>
      </c>
      <c r="NC649" s="27" t="s">
        <v>8</v>
      </c>
      <c r="NQ649" s="27" t="s">
        <v>8</v>
      </c>
      <c r="NR649" s="27" t="s">
        <v>7</v>
      </c>
      <c r="NU649" s="27" t="s">
        <v>8</v>
      </c>
      <c r="NV649" s="27" t="s">
        <v>7</v>
      </c>
      <c r="NW649" s="27" t="s">
        <v>8</v>
      </c>
      <c r="OF649" s="27" t="s">
        <v>7</v>
      </c>
      <c r="OG649" s="27" t="s">
        <v>8</v>
      </c>
      <c r="OL649" s="27" t="s">
        <v>7</v>
      </c>
      <c r="OM649" s="27" t="s">
        <v>8</v>
      </c>
      <c r="ON649" s="27" t="s">
        <v>7</v>
      </c>
      <c r="OQ649" s="27" t="s">
        <v>8</v>
      </c>
      <c r="PT649" s="27" t="s">
        <v>7</v>
      </c>
      <c r="PU649" s="27" t="s">
        <v>8</v>
      </c>
      <c r="PW649" s="27" t="s">
        <v>8</v>
      </c>
      <c r="PX649" s="27" t="s">
        <v>7</v>
      </c>
      <c r="QE649" s="27" t="s">
        <v>8</v>
      </c>
      <c r="QF649" s="27" t="s">
        <v>7</v>
      </c>
      <c r="QG649" s="27" t="s">
        <v>8</v>
      </c>
    </row>
    <row r="650" spans="1:454" x14ac:dyDescent="0.25">
      <c r="A650" s="7">
        <v>0.28720313685825055</v>
      </c>
      <c r="B650"/>
      <c r="C650"/>
      <c r="D650"/>
      <c r="E650"/>
      <c r="F650" s="27" t="s">
        <v>7</v>
      </c>
      <c r="JQ650" s="27" t="s">
        <v>8</v>
      </c>
      <c r="JR650" s="27" t="s">
        <v>7</v>
      </c>
      <c r="JS650" s="27" t="s">
        <v>8</v>
      </c>
      <c r="JT650" s="27" t="s">
        <v>7</v>
      </c>
      <c r="JU650" s="27" t="s">
        <v>8</v>
      </c>
      <c r="JV650" s="27" t="s">
        <v>7</v>
      </c>
      <c r="JW650" s="27" t="s">
        <v>8</v>
      </c>
      <c r="JX650" s="27" t="s">
        <v>7</v>
      </c>
      <c r="JY650" s="27" t="s">
        <v>8</v>
      </c>
      <c r="JZ650" s="27" t="s">
        <v>7</v>
      </c>
      <c r="KC650" s="27" t="s">
        <v>8</v>
      </c>
      <c r="KD650" s="27" t="s">
        <v>7</v>
      </c>
      <c r="KE650" s="27" t="s">
        <v>8</v>
      </c>
      <c r="ML650" s="27" t="s">
        <v>7</v>
      </c>
      <c r="MN650" s="27" t="s">
        <v>7</v>
      </c>
      <c r="MO650" s="27" t="s">
        <v>8</v>
      </c>
      <c r="MX650" s="27" t="s">
        <v>7</v>
      </c>
      <c r="MZ650" s="27" t="s">
        <v>7</v>
      </c>
      <c r="NC650" s="27" t="s">
        <v>8</v>
      </c>
      <c r="ND650" s="27" t="s">
        <v>7</v>
      </c>
      <c r="NQ650" s="27" t="s">
        <v>8</v>
      </c>
      <c r="NR650" s="27" t="s">
        <v>7</v>
      </c>
      <c r="NU650" s="27" t="s">
        <v>8</v>
      </c>
      <c r="NV650" s="27" t="s">
        <v>7</v>
      </c>
      <c r="NW650" s="27" t="s">
        <v>8</v>
      </c>
      <c r="OF650" s="27" t="s">
        <v>7</v>
      </c>
      <c r="OG650" s="27" t="s">
        <v>8</v>
      </c>
      <c r="OL650" s="27" t="s">
        <v>7</v>
      </c>
      <c r="OM650" s="27" t="s">
        <v>8</v>
      </c>
      <c r="ON650" s="27" t="s">
        <v>7</v>
      </c>
      <c r="OQ650" s="27" t="s">
        <v>8</v>
      </c>
      <c r="PT650" s="27" t="s">
        <v>7</v>
      </c>
      <c r="PU650" s="27" t="s">
        <v>8</v>
      </c>
      <c r="PV650" s="27" t="s">
        <v>7</v>
      </c>
      <c r="PW650" s="27" t="s">
        <v>8</v>
      </c>
      <c r="PX650" s="27" t="s">
        <v>7</v>
      </c>
      <c r="QE650" s="27" t="s">
        <v>8</v>
      </c>
      <c r="QF650" s="27" t="s">
        <v>7</v>
      </c>
      <c r="QG650" s="27" t="s">
        <v>8</v>
      </c>
      <c r="QH650" s="27" t="s">
        <v>7</v>
      </c>
      <c r="QK650" s="27" t="s">
        <v>8</v>
      </c>
    </row>
    <row r="651" spans="1:454" x14ac:dyDescent="0.25">
      <c r="A651" s="7">
        <v>0.28157170280220645</v>
      </c>
      <c r="B651"/>
      <c r="C651"/>
      <c r="D651"/>
      <c r="E651"/>
      <c r="F651" s="27" t="s">
        <v>7</v>
      </c>
      <c r="I651" s="27" t="s">
        <v>8</v>
      </c>
      <c r="JQ651" s="27" t="s">
        <v>8</v>
      </c>
      <c r="JR651" s="27" t="s">
        <v>7</v>
      </c>
      <c r="JS651" s="27" t="s">
        <v>8</v>
      </c>
      <c r="JT651" s="27" t="s">
        <v>7</v>
      </c>
      <c r="JU651" s="27" t="s">
        <v>8</v>
      </c>
      <c r="JV651" s="27" t="s">
        <v>7</v>
      </c>
      <c r="JW651" s="27" t="s">
        <v>8</v>
      </c>
      <c r="JX651" s="27" t="s">
        <v>7</v>
      </c>
      <c r="JY651" s="27" t="s">
        <v>8</v>
      </c>
      <c r="JZ651" s="27" t="s">
        <v>7</v>
      </c>
      <c r="KA651" s="27" t="s">
        <v>8</v>
      </c>
      <c r="KC651" s="27" t="s">
        <v>8</v>
      </c>
      <c r="KD651" s="27" t="s">
        <v>7</v>
      </c>
      <c r="MN651" s="27" t="s">
        <v>7</v>
      </c>
      <c r="MO651" s="27" t="s">
        <v>8</v>
      </c>
      <c r="MZ651" s="27" t="s">
        <v>7</v>
      </c>
      <c r="NC651" s="27" t="s">
        <v>8</v>
      </c>
      <c r="ND651" s="27" t="s">
        <v>7</v>
      </c>
      <c r="NM651" s="27" t="s">
        <v>8</v>
      </c>
      <c r="NO651" s="27" t="s">
        <v>8</v>
      </c>
      <c r="NQ651" s="27" t="s">
        <v>8</v>
      </c>
      <c r="NR651" s="27" t="s">
        <v>7</v>
      </c>
      <c r="NS651" s="27" t="s">
        <v>8</v>
      </c>
      <c r="NU651" s="27" t="s">
        <v>8</v>
      </c>
      <c r="NV651" s="27" t="s">
        <v>7</v>
      </c>
      <c r="OF651" s="27" t="s">
        <v>7</v>
      </c>
      <c r="OG651" s="27" t="s">
        <v>8</v>
      </c>
      <c r="OL651" s="27" t="s">
        <v>7</v>
      </c>
      <c r="OM651" s="27" t="s">
        <v>8</v>
      </c>
      <c r="ON651" s="27" t="s">
        <v>7</v>
      </c>
      <c r="OO651" s="27" t="s">
        <v>8</v>
      </c>
      <c r="OQ651" s="27" t="s">
        <v>8</v>
      </c>
      <c r="PT651" s="27" t="s">
        <v>7</v>
      </c>
      <c r="PU651" s="27" t="s">
        <v>8</v>
      </c>
      <c r="PV651" s="27" t="s">
        <v>7</v>
      </c>
      <c r="PW651" s="27" t="s">
        <v>8</v>
      </c>
      <c r="PX651" s="27" t="s">
        <v>7</v>
      </c>
      <c r="PY651" s="27" t="s">
        <v>8</v>
      </c>
      <c r="QE651" s="27" t="s">
        <v>8</v>
      </c>
      <c r="QF651" s="27" t="s">
        <v>7</v>
      </c>
      <c r="QG651" s="27" t="s">
        <v>8</v>
      </c>
      <c r="QH651" s="27" t="s">
        <v>7</v>
      </c>
      <c r="QK651" s="27" t="s">
        <v>8</v>
      </c>
      <c r="QL651" s="27" t="s">
        <v>7</v>
      </c>
    </row>
    <row r="652" spans="1:454" x14ac:dyDescent="0.25">
      <c r="A652" s="7">
        <v>0.27605068902177105</v>
      </c>
      <c r="B652"/>
      <c r="C652"/>
      <c r="D652"/>
      <c r="E652"/>
      <c r="F652" s="27" t="s">
        <v>7</v>
      </c>
      <c r="I652" s="27" t="s">
        <v>8</v>
      </c>
      <c r="J652" s="27" t="s">
        <v>7</v>
      </c>
      <c r="JQ652" s="27" t="s">
        <v>8</v>
      </c>
      <c r="JR652" s="27" t="s">
        <v>7</v>
      </c>
      <c r="JS652" s="27" t="s">
        <v>8</v>
      </c>
      <c r="JT652" s="27" t="s">
        <v>7</v>
      </c>
      <c r="JU652" s="27" t="s">
        <v>8</v>
      </c>
      <c r="JV652" s="27" t="s">
        <v>7</v>
      </c>
      <c r="JX652" s="27" t="s">
        <v>7</v>
      </c>
      <c r="JY652" s="27" t="s">
        <v>8</v>
      </c>
      <c r="JZ652" s="27" t="s">
        <v>7</v>
      </c>
      <c r="KA652" s="27" t="s">
        <v>8</v>
      </c>
      <c r="KB652" s="27" t="s">
        <v>7</v>
      </c>
      <c r="KC652" s="27" t="s">
        <v>8</v>
      </c>
      <c r="MN652" s="27" t="s">
        <v>7</v>
      </c>
      <c r="MZ652" s="27" t="s">
        <v>7</v>
      </c>
      <c r="NC652" s="27" t="s">
        <v>8</v>
      </c>
      <c r="ND652" s="27" t="s">
        <v>7</v>
      </c>
      <c r="NK652" s="27" t="s">
        <v>8</v>
      </c>
      <c r="NM652" s="27" t="s">
        <v>8</v>
      </c>
      <c r="NN652" s="27" t="s">
        <v>7</v>
      </c>
      <c r="NO652" s="27" t="s">
        <v>8</v>
      </c>
      <c r="NP652" s="27" t="s">
        <v>7</v>
      </c>
      <c r="NQ652" s="27" t="s">
        <v>8</v>
      </c>
      <c r="NR652" s="27" t="s">
        <v>7</v>
      </c>
      <c r="NS652" s="27" t="s">
        <v>8</v>
      </c>
      <c r="NT652" s="27" t="s">
        <v>7</v>
      </c>
      <c r="NU652" s="27" t="s">
        <v>8</v>
      </c>
      <c r="OF652" s="27" t="s">
        <v>7</v>
      </c>
      <c r="OL652" s="27" t="s">
        <v>7</v>
      </c>
      <c r="OM652" s="27" t="s">
        <v>8</v>
      </c>
      <c r="ON652" s="27" t="s">
        <v>7</v>
      </c>
      <c r="OO652" s="27" t="s">
        <v>8</v>
      </c>
      <c r="OP652" s="27" t="s">
        <v>7</v>
      </c>
      <c r="OQ652" s="27" t="s">
        <v>8</v>
      </c>
      <c r="PT652" s="27" t="s">
        <v>7</v>
      </c>
      <c r="PU652" s="27" t="s">
        <v>8</v>
      </c>
      <c r="PV652" s="27" t="s">
        <v>7</v>
      </c>
      <c r="PW652" s="27" t="s">
        <v>8</v>
      </c>
      <c r="PX652" s="27" t="s">
        <v>7</v>
      </c>
      <c r="PY652" s="27" t="s">
        <v>8</v>
      </c>
      <c r="PZ652" s="27" t="s">
        <v>7</v>
      </c>
      <c r="QE652" s="27" t="s">
        <v>8</v>
      </c>
      <c r="QF652" s="27" t="s">
        <v>7</v>
      </c>
      <c r="QG652" s="27" t="s">
        <v>8</v>
      </c>
      <c r="QH652" s="27" t="s">
        <v>7</v>
      </c>
      <c r="QK652" s="27" t="s">
        <v>8</v>
      </c>
      <c r="QL652" s="27" t="s">
        <v>7</v>
      </c>
    </row>
    <row r="653" spans="1:454" x14ac:dyDescent="0.25">
      <c r="A653" s="7">
        <v>0.27063793041350104</v>
      </c>
      <c r="B653"/>
      <c r="C653"/>
      <c r="D653"/>
      <c r="E653"/>
      <c r="F653" s="27" t="s">
        <v>7</v>
      </c>
      <c r="G653" s="27" t="s">
        <v>8</v>
      </c>
      <c r="I653" s="27" t="s">
        <v>8</v>
      </c>
      <c r="J653" s="27" t="s">
        <v>7</v>
      </c>
      <c r="JQ653" s="27" t="s">
        <v>8</v>
      </c>
      <c r="JR653" s="27" t="s">
        <v>7</v>
      </c>
      <c r="JS653" s="27" t="s">
        <v>8</v>
      </c>
      <c r="JT653" s="27" t="s">
        <v>7</v>
      </c>
      <c r="JU653" s="27" t="s">
        <v>8</v>
      </c>
      <c r="JX653" s="27" t="s">
        <v>7</v>
      </c>
      <c r="JY653" s="27" t="s">
        <v>8</v>
      </c>
      <c r="JZ653" s="27" t="s">
        <v>7</v>
      </c>
      <c r="KA653" s="27" t="s">
        <v>8</v>
      </c>
      <c r="KB653" s="27" t="s">
        <v>7</v>
      </c>
      <c r="KC653" s="27" t="s">
        <v>8</v>
      </c>
      <c r="MZ653" s="27" t="s">
        <v>7</v>
      </c>
      <c r="NA653" s="27" t="s">
        <v>8</v>
      </c>
      <c r="NC653" s="27" t="s">
        <v>8</v>
      </c>
      <c r="ND653" s="27" t="s">
        <v>7</v>
      </c>
      <c r="NE653" s="27" t="s">
        <v>8</v>
      </c>
      <c r="NK653" s="27" t="s">
        <v>8</v>
      </c>
      <c r="NL653" s="27" t="s">
        <v>7</v>
      </c>
      <c r="NM653" s="27" t="s">
        <v>8</v>
      </c>
      <c r="NN653" s="27" t="s">
        <v>7</v>
      </c>
      <c r="NO653" s="27" t="s">
        <v>8</v>
      </c>
      <c r="NP653" s="27" t="s">
        <v>7</v>
      </c>
      <c r="NQ653" s="27" t="s">
        <v>8</v>
      </c>
      <c r="NR653" s="27" t="s">
        <v>7</v>
      </c>
      <c r="NS653" s="27" t="s">
        <v>8</v>
      </c>
      <c r="NT653" s="27" t="s">
        <v>7</v>
      </c>
      <c r="NU653" s="27" t="s">
        <v>8</v>
      </c>
      <c r="OL653" s="27" t="s">
        <v>7</v>
      </c>
      <c r="OM653" s="27" t="s">
        <v>8</v>
      </c>
      <c r="ON653" s="27" t="s">
        <v>7</v>
      </c>
      <c r="OO653" s="27" t="s">
        <v>8</v>
      </c>
      <c r="OP653" s="27" t="s">
        <v>7</v>
      </c>
      <c r="OQ653" s="27" t="s">
        <v>8</v>
      </c>
      <c r="PT653" s="27" t="s">
        <v>7</v>
      </c>
      <c r="PU653" s="27" t="s">
        <v>8</v>
      </c>
      <c r="PV653" s="27" t="s">
        <v>7</v>
      </c>
      <c r="PW653" s="27" t="s">
        <v>8</v>
      </c>
      <c r="PX653" s="27" t="s">
        <v>7</v>
      </c>
      <c r="PY653" s="27" t="s">
        <v>8</v>
      </c>
      <c r="PZ653" s="27" t="s">
        <v>7</v>
      </c>
      <c r="QA653" s="27" t="s">
        <v>8</v>
      </c>
      <c r="QC653" s="27" t="s">
        <v>8</v>
      </c>
      <c r="QE653" s="27" t="s">
        <v>8</v>
      </c>
      <c r="QF653" s="27" t="s">
        <v>7</v>
      </c>
      <c r="QG653" s="27" t="s">
        <v>8</v>
      </c>
      <c r="QH653" s="27" t="s">
        <v>7</v>
      </c>
      <c r="QI653" s="27" t="s">
        <v>8</v>
      </c>
      <c r="QK653" s="27" t="s">
        <v>8</v>
      </c>
      <c r="QL653" s="27" t="s">
        <v>7</v>
      </c>
    </row>
    <row r="654" spans="1:454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  <c r="H654" s="27" t="s">
        <v>7</v>
      </c>
      <c r="I654" s="27" t="s">
        <v>8</v>
      </c>
      <c r="J654" s="27" t="s">
        <v>7</v>
      </c>
      <c r="JQ654" s="27" t="s">
        <v>8</v>
      </c>
      <c r="JR654" s="27" t="s">
        <v>7</v>
      </c>
      <c r="JT654" s="27" t="s">
        <v>7</v>
      </c>
      <c r="JU654" s="27" t="s">
        <v>8</v>
      </c>
      <c r="JX654" s="27" t="s">
        <v>7</v>
      </c>
      <c r="JY654" s="27" t="s">
        <v>8</v>
      </c>
      <c r="JZ654" s="27" t="s">
        <v>7</v>
      </c>
      <c r="KA654" s="27" t="s">
        <v>8</v>
      </c>
      <c r="KB654" s="27" t="s">
        <v>7</v>
      </c>
      <c r="KC654" s="27" t="s">
        <v>8</v>
      </c>
      <c r="MZ654" s="27" t="s">
        <v>7</v>
      </c>
      <c r="NA654" s="27" t="s">
        <v>8</v>
      </c>
      <c r="NB654" s="27" t="s">
        <v>7</v>
      </c>
      <c r="NC654" s="27" t="s">
        <v>8</v>
      </c>
      <c r="ND654" s="27" t="s">
        <v>7</v>
      </c>
      <c r="NE654" s="27" t="s">
        <v>8</v>
      </c>
      <c r="NF654" s="27" t="s">
        <v>7</v>
      </c>
      <c r="NK654" s="27" t="s">
        <v>8</v>
      </c>
      <c r="NL654" s="27" t="s">
        <v>7</v>
      </c>
      <c r="NM654" s="27" t="s">
        <v>8</v>
      </c>
      <c r="NN654" s="27" t="s">
        <v>7</v>
      </c>
      <c r="NO654" s="27" t="s">
        <v>8</v>
      </c>
      <c r="NP654" s="27" t="s">
        <v>7</v>
      </c>
      <c r="NR654" s="27" t="s">
        <v>7</v>
      </c>
      <c r="NT654" s="27" t="s">
        <v>7</v>
      </c>
      <c r="OL654" s="27" t="s">
        <v>7</v>
      </c>
      <c r="OM654" s="27" t="s">
        <v>8</v>
      </c>
      <c r="ON654" s="27" t="s">
        <v>7</v>
      </c>
      <c r="OP654" s="27" t="s">
        <v>7</v>
      </c>
      <c r="OQ654" s="27" t="s">
        <v>8</v>
      </c>
      <c r="PT654" s="27" t="s">
        <v>7</v>
      </c>
      <c r="PU654" s="27" t="s">
        <v>8</v>
      </c>
      <c r="PV654" s="27" t="s">
        <v>7</v>
      </c>
      <c r="PW654" s="27" t="s">
        <v>8</v>
      </c>
      <c r="PX654" s="27" t="s">
        <v>7</v>
      </c>
      <c r="PY654" s="27" t="s">
        <v>8</v>
      </c>
      <c r="PZ654" s="27" t="s">
        <v>7</v>
      </c>
      <c r="QA654" s="27" t="s">
        <v>8</v>
      </c>
      <c r="QB654" s="27" t="s">
        <v>7</v>
      </c>
      <c r="QC654" s="27" t="s">
        <v>8</v>
      </c>
      <c r="QD654" s="27" t="s">
        <v>7</v>
      </c>
      <c r="QE654" s="27" t="s">
        <v>8</v>
      </c>
      <c r="QF654" s="27" t="s">
        <v>7</v>
      </c>
      <c r="QG654" s="27" t="s">
        <v>8</v>
      </c>
      <c r="QH654" s="27" t="s">
        <v>7</v>
      </c>
      <c r="QI654" s="27" t="s">
        <v>8</v>
      </c>
      <c r="QJ654" s="27" t="s">
        <v>7</v>
      </c>
      <c r="QK654" s="27" t="s">
        <v>8</v>
      </c>
      <c r="QL654" s="27" t="s">
        <v>7</v>
      </c>
    </row>
    <row r="655" spans="1:454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  <c r="H655" s="27" t="s">
        <v>7</v>
      </c>
      <c r="I655" s="27" t="s">
        <v>8</v>
      </c>
      <c r="J655" s="27" t="s">
        <v>7</v>
      </c>
      <c r="JQ655" s="27" t="s">
        <v>8</v>
      </c>
      <c r="JT655" s="27" t="s">
        <v>7</v>
      </c>
      <c r="JU655" s="27" t="s">
        <v>8</v>
      </c>
      <c r="JX655" s="27" t="s">
        <v>7</v>
      </c>
      <c r="JZ655" s="27" t="s">
        <v>7</v>
      </c>
      <c r="KA655" s="27" t="s">
        <v>8</v>
      </c>
      <c r="KB655" s="27" t="s">
        <v>7</v>
      </c>
      <c r="KC655" s="27" t="s">
        <v>8</v>
      </c>
      <c r="MZ655" s="27" t="s">
        <v>7</v>
      </c>
      <c r="NA655" s="27" t="s">
        <v>8</v>
      </c>
      <c r="NB655" s="27" t="s">
        <v>7</v>
      </c>
      <c r="NC655" s="27" t="s">
        <v>8</v>
      </c>
      <c r="ND655" s="27" t="s">
        <v>7</v>
      </c>
      <c r="NE655" s="27" t="s">
        <v>8</v>
      </c>
      <c r="NF655" s="27" t="s">
        <v>7</v>
      </c>
      <c r="NK655" s="27" t="s">
        <v>8</v>
      </c>
      <c r="NL655" s="27" t="s">
        <v>7</v>
      </c>
      <c r="NM655" s="27" t="s">
        <v>8</v>
      </c>
      <c r="NN655" s="27" t="s">
        <v>7</v>
      </c>
      <c r="NO655" s="27" t="s">
        <v>8</v>
      </c>
      <c r="OL655" s="27" t="s">
        <v>7</v>
      </c>
      <c r="OP655" s="27" t="s">
        <v>7</v>
      </c>
      <c r="OQ655" s="27" t="s">
        <v>8</v>
      </c>
      <c r="PT655" s="27" t="s">
        <v>7</v>
      </c>
      <c r="PU655" s="27" t="s">
        <v>8</v>
      </c>
      <c r="PV655" s="27" t="s">
        <v>7</v>
      </c>
      <c r="PW655" s="27" t="s">
        <v>8</v>
      </c>
      <c r="PX655" s="27" t="s">
        <v>7</v>
      </c>
      <c r="PZ655" s="27" t="s">
        <v>7</v>
      </c>
      <c r="QA655" s="27" t="s">
        <v>8</v>
      </c>
      <c r="QB655" s="27" t="s">
        <v>7</v>
      </c>
      <c r="QC655" s="27" t="s">
        <v>8</v>
      </c>
      <c r="QD655" s="27" t="s">
        <v>7</v>
      </c>
      <c r="QE655" s="27" t="s">
        <v>8</v>
      </c>
      <c r="QF655" s="27" t="s">
        <v>7</v>
      </c>
      <c r="QH655" s="27" t="s">
        <v>7</v>
      </c>
      <c r="QI655" s="27" t="s">
        <v>8</v>
      </c>
      <c r="QJ655" s="27" t="s">
        <v>7</v>
      </c>
      <c r="QK655" s="27" t="s">
        <v>8</v>
      </c>
      <c r="QL655" s="27" t="s">
        <v>7</v>
      </c>
    </row>
    <row r="656" spans="1:454" x14ac:dyDescent="0.25">
      <c r="A656" s="7">
        <v>0.25502816640423093</v>
      </c>
      <c r="B656"/>
      <c r="C656"/>
      <c r="D656"/>
      <c r="E656"/>
      <c r="F656" s="27" t="s">
        <v>7</v>
      </c>
      <c r="G656" s="27" t="s">
        <v>8</v>
      </c>
      <c r="H656" s="27" t="s">
        <v>7</v>
      </c>
      <c r="I656" s="27" t="s">
        <v>8</v>
      </c>
      <c r="J656" s="27" t="s">
        <v>7</v>
      </c>
      <c r="M656" s="27" t="s">
        <v>8</v>
      </c>
      <c r="JQ656" s="27" t="s">
        <v>8</v>
      </c>
      <c r="JT656" s="27" t="s">
        <v>7</v>
      </c>
      <c r="JU656" s="27" t="s">
        <v>8</v>
      </c>
      <c r="JZ656" s="27" t="s">
        <v>7</v>
      </c>
      <c r="KA656" s="27" t="s">
        <v>8</v>
      </c>
      <c r="KB656" s="27" t="s">
        <v>7</v>
      </c>
      <c r="KC656" s="27" t="s">
        <v>8</v>
      </c>
      <c r="MZ656" s="27" t="s">
        <v>7</v>
      </c>
      <c r="NA656" s="27" t="s">
        <v>8</v>
      </c>
      <c r="NB656" s="27" t="s">
        <v>7</v>
      </c>
      <c r="NC656" s="27" t="s">
        <v>8</v>
      </c>
      <c r="ND656" s="27" t="s">
        <v>7</v>
      </c>
      <c r="NF656" s="27" t="s">
        <v>7</v>
      </c>
      <c r="NI656" s="27" t="s">
        <v>8</v>
      </c>
      <c r="NK656" s="27" t="s">
        <v>8</v>
      </c>
      <c r="NL656" s="27" t="s">
        <v>7</v>
      </c>
      <c r="NN656" s="27" t="s">
        <v>7</v>
      </c>
      <c r="OP656" s="27" t="s">
        <v>7</v>
      </c>
      <c r="PT656" s="27" t="s">
        <v>7</v>
      </c>
      <c r="PU656" s="27" t="s">
        <v>8</v>
      </c>
      <c r="PV656" s="27" t="s">
        <v>7</v>
      </c>
      <c r="PW656" s="27" t="s">
        <v>8</v>
      </c>
      <c r="PZ656" s="27" t="s">
        <v>7</v>
      </c>
      <c r="QA656" s="27" t="s">
        <v>8</v>
      </c>
      <c r="QB656" s="27" t="s">
        <v>7</v>
      </c>
      <c r="QC656" s="27" t="s">
        <v>8</v>
      </c>
      <c r="QD656" s="27" t="s">
        <v>7</v>
      </c>
      <c r="QH656" s="27" t="s">
        <v>7</v>
      </c>
      <c r="QJ656" s="27" t="s">
        <v>7</v>
      </c>
      <c r="QK656" s="27" t="s">
        <v>8</v>
      </c>
      <c r="QL656" s="27" t="s">
        <v>7</v>
      </c>
    </row>
    <row r="657" spans="1:458" x14ac:dyDescent="0.25">
      <c r="A657" s="7">
        <v>0.25002761412179503</v>
      </c>
      <c r="B657"/>
      <c r="C657"/>
      <c r="D657"/>
      <c r="E657"/>
      <c r="F657" s="27" t="s">
        <v>7</v>
      </c>
      <c r="G657" s="27" t="s">
        <v>8</v>
      </c>
      <c r="H657" s="27" t="s">
        <v>7</v>
      </c>
      <c r="J657" s="27" t="s">
        <v>7</v>
      </c>
      <c r="K657" s="27" t="s">
        <v>8</v>
      </c>
      <c r="M657" s="27" t="s">
        <v>8</v>
      </c>
      <c r="N657" s="27" t="s">
        <v>7</v>
      </c>
      <c r="JQ657" s="27" t="s">
        <v>8</v>
      </c>
      <c r="JT657" s="27" t="s">
        <v>7</v>
      </c>
      <c r="JU657" s="27" t="s">
        <v>8</v>
      </c>
      <c r="JZ657" s="27" t="s">
        <v>7</v>
      </c>
      <c r="KA657" s="27" t="s">
        <v>8</v>
      </c>
      <c r="KB657" s="27" t="s">
        <v>7</v>
      </c>
      <c r="KC657" s="27" t="s">
        <v>8</v>
      </c>
      <c r="MZ657" s="27" t="s">
        <v>7</v>
      </c>
      <c r="NA657" s="27" t="s">
        <v>8</v>
      </c>
      <c r="NB657" s="27" t="s">
        <v>7</v>
      </c>
      <c r="NC657" s="27" t="s">
        <v>8</v>
      </c>
      <c r="NF657" s="27" t="s">
        <v>7</v>
      </c>
      <c r="NG657" s="27" t="s">
        <v>8</v>
      </c>
      <c r="NI657" s="27" t="s">
        <v>8</v>
      </c>
      <c r="NJ657" s="27" t="s">
        <v>7</v>
      </c>
      <c r="NK657" s="27" t="s">
        <v>8</v>
      </c>
      <c r="PT657" s="27" t="s">
        <v>7</v>
      </c>
      <c r="PU657" s="27" t="s">
        <v>8</v>
      </c>
      <c r="PV657" s="27" t="s">
        <v>7</v>
      </c>
      <c r="PZ657" s="27" t="s">
        <v>7</v>
      </c>
      <c r="QB657" s="27" t="s">
        <v>7</v>
      </c>
      <c r="QJ657" s="27" t="s">
        <v>7</v>
      </c>
      <c r="QK657" s="27" t="s">
        <v>8</v>
      </c>
      <c r="QL657" s="27" t="s">
        <v>7</v>
      </c>
    </row>
    <row r="658" spans="1:458" x14ac:dyDescent="0.25">
      <c r="A658" s="7">
        <v>0.24512511188411276</v>
      </c>
      <c r="B658"/>
      <c r="C658"/>
      <c r="D658"/>
      <c r="E658"/>
      <c r="F658" s="27" t="s">
        <v>7</v>
      </c>
      <c r="G658" s="27" t="s">
        <v>8</v>
      </c>
      <c r="J658" s="27" t="s">
        <v>7</v>
      </c>
      <c r="K658" s="27" t="s">
        <v>8</v>
      </c>
      <c r="L658" s="27" t="s">
        <v>7</v>
      </c>
      <c r="M658" s="27" t="s">
        <v>8</v>
      </c>
      <c r="N658" s="27" t="s">
        <v>7</v>
      </c>
      <c r="JQ658" s="27" t="s">
        <v>8</v>
      </c>
      <c r="JT658" s="27" t="s">
        <v>7</v>
      </c>
      <c r="JU658" s="27" t="s">
        <v>8</v>
      </c>
      <c r="JZ658" s="27" t="s">
        <v>7</v>
      </c>
      <c r="KA658" s="27" t="s">
        <v>8</v>
      </c>
      <c r="KB658" s="27" t="s">
        <v>7</v>
      </c>
      <c r="KC658" s="27" t="s">
        <v>8</v>
      </c>
      <c r="MZ658" s="27" t="s">
        <v>7</v>
      </c>
      <c r="NA658" s="27" t="s">
        <v>8</v>
      </c>
      <c r="NB658" s="27" t="s">
        <v>7</v>
      </c>
      <c r="NC658" s="27" t="s">
        <v>8</v>
      </c>
      <c r="NF658" s="27" t="s">
        <v>7</v>
      </c>
      <c r="NG658" s="27" t="s">
        <v>8</v>
      </c>
      <c r="NH658" s="27" t="s">
        <v>7</v>
      </c>
      <c r="NI658" s="27" t="s">
        <v>8</v>
      </c>
      <c r="NJ658" s="27" t="s">
        <v>7</v>
      </c>
      <c r="NK658" s="27" t="s">
        <v>8</v>
      </c>
      <c r="PT658" s="27" t="s">
        <v>7</v>
      </c>
      <c r="PU658" s="27" t="s">
        <v>8</v>
      </c>
      <c r="QJ658" s="27" t="s">
        <v>7</v>
      </c>
      <c r="QK658" s="27" t="s">
        <v>8</v>
      </c>
      <c r="QL658" s="27" t="s">
        <v>7</v>
      </c>
    </row>
    <row r="659" spans="1:458" x14ac:dyDescent="0.25">
      <c r="A659" s="7">
        <v>0.24031873714128701</v>
      </c>
      <c r="B659"/>
      <c r="C659"/>
      <c r="D659"/>
      <c r="E659"/>
      <c r="F659" s="27" t="s">
        <v>7</v>
      </c>
      <c r="G659" s="27" t="s">
        <v>8</v>
      </c>
      <c r="J659" s="27" t="s">
        <v>7</v>
      </c>
      <c r="K659" s="27" t="s">
        <v>8</v>
      </c>
      <c r="L659" s="27" t="s">
        <v>7</v>
      </c>
      <c r="M659" s="27" t="s">
        <v>8</v>
      </c>
      <c r="N659" s="27" t="s">
        <v>7</v>
      </c>
      <c r="JQ659" s="27" t="s">
        <v>8</v>
      </c>
      <c r="JT659" s="27" t="s">
        <v>7</v>
      </c>
      <c r="JU659" s="27" t="s">
        <v>8</v>
      </c>
      <c r="JZ659" s="27" t="s">
        <v>7</v>
      </c>
      <c r="KA659" s="27" t="s">
        <v>8</v>
      </c>
      <c r="KB659" s="27" t="s">
        <v>7</v>
      </c>
      <c r="KC659" s="27" t="s">
        <v>8</v>
      </c>
      <c r="MZ659" s="27" t="s">
        <v>7</v>
      </c>
      <c r="NA659" s="27" t="s">
        <v>8</v>
      </c>
      <c r="NB659" s="27" t="s">
        <v>7</v>
      </c>
      <c r="NC659" s="27" t="s">
        <v>8</v>
      </c>
      <c r="NF659" s="27" t="s">
        <v>7</v>
      </c>
      <c r="NG659" s="27" t="s">
        <v>8</v>
      </c>
      <c r="NH659" s="27" t="s">
        <v>7</v>
      </c>
      <c r="NI659" s="27" t="s">
        <v>8</v>
      </c>
      <c r="NJ659" s="27" t="s">
        <v>7</v>
      </c>
      <c r="NK659" s="27" t="s">
        <v>8</v>
      </c>
      <c r="PT659" s="27" t="s">
        <v>7</v>
      </c>
      <c r="PU659" s="27" t="s">
        <v>8</v>
      </c>
      <c r="QJ659" s="27" t="s">
        <v>7</v>
      </c>
      <c r="QK659" s="27" t="s">
        <v>8</v>
      </c>
      <c r="QL659" s="27" t="s">
        <v>7</v>
      </c>
    </row>
    <row r="660" spans="1:458" x14ac:dyDescent="0.25">
      <c r="A660" s="7">
        <v>0.23560660504047748</v>
      </c>
      <c r="B660"/>
      <c r="C660"/>
      <c r="D660"/>
      <c r="E660"/>
      <c r="F660" s="27" t="s">
        <v>7</v>
      </c>
      <c r="G660" s="27" t="s">
        <v>8</v>
      </c>
      <c r="J660" s="27" t="s">
        <v>7</v>
      </c>
      <c r="K660" s="27" t="s">
        <v>8</v>
      </c>
      <c r="L660" s="27" t="s">
        <v>7</v>
      </c>
      <c r="N660" s="27" t="s">
        <v>7</v>
      </c>
      <c r="JQ660" s="27" t="s">
        <v>8</v>
      </c>
      <c r="JT660" s="27" t="s">
        <v>7</v>
      </c>
      <c r="JU660" s="27" t="s">
        <v>8</v>
      </c>
      <c r="JZ660" s="27" t="s">
        <v>7</v>
      </c>
      <c r="KA660" s="27" t="s">
        <v>8</v>
      </c>
      <c r="KB660" s="27" t="s">
        <v>7</v>
      </c>
      <c r="KC660" s="27" t="s">
        <v>8</v>
      </c>
      <c r="MZ660" s="27" t="s">
        <v>7</v>
      </c>
      <c r="NA660" s="27" t="s">
        <v>8</v>
      </c>
      <c r="NB660" s="27" t="s">
        <v>7</v>
      </c>
      <c r="NC660" s="27" t="s">
        <v>8</v>
      </c>
      <c r="NF660" s="27" t="s">
        <v>7</v>
      </c>
      <c r="NH660" s="27" t="s">
        <v>7</v>
      </c>
      <c r="NI660" s="27" t="s">
        <v>8</v>
      </c>
      <c r="NJ660" s="27" t="s">
        <v>7</v>
      </c>
      <c r="NK660" s="27" t="s">
        <v>8</v>
      </c>
      <c r="PT660" s="27" t="s">
        <v>7</v>
      </c>
      <c r="PU660" s="27" t="s">
        <v>8</v>
      </c>
      <c r="QJ660" s="27" t="s">
        <v>7</v>
      </c>
      <c r="QL660" s="27" t="s">
        <v>7</v>
      </c>
    </row>
    <row r="661" spans="1:458" x14ac:dyDescent="0.25">
      <c r="A661" s="7">
        <v>0.23098686768674265</v>
      </c>
      <c r="B661"/>
      <c r="C661"/>
      <c r="D661"/>
      <c r="E661"/>
      <c r="F661" s="27" t="s">
        <v>7</v>
      </c>
      <c r="G661" s="27" t="s">
        <v>8</v>
      </c>
      <c r="J661" s="27" t="s">
        <v>7</v>
      </c>
      <c r="K661" s="27" t="s">
        <v>8</v>
      </c>
      <c r="N661" s="27" t="s">
        <v>7</v>
      </c>
      <c r="IS661" s="27" t="s">
        <v>8</v>
      </c>
      <c r="JQ661" s="27" t="s">
        <v>8</v>
      </c>
      <c r="JT661" s="27" t="s">
        <v>7</v>
      </c>
      <c r="JU661" s="27" t="s">
        <v>8</v>
      </c>
      <c r="JZ661" s="27" t="s">
        <v>7</v>
      </c>
      <c r="KB661" s="27" t="s">
        <v>7</v>
      </c>
      <c r="MZ661" s="27" t="s">
        <v>7</v>
      </c>
      <c r="NA661" s="27" t="s">
        <v>8</v>
      </c>
      <c r="NB661" s="27" t="s">
        <v>7</v>
      </c>
      <c r="NH661" s="27" t="s">
        <v>7</v>
      </c>
      <c r="NI661" s="27" t="s">
        <v>8</v>
      </c>
      <c r="NJ661" s="27" t="s">
        <v>7</v>
      </c>
      <c r="NK661" s="27" t="s">
        <v>8</v>
      </c>
      <c r="PT661" s="27" t="s">
        <v>7</v>
      </c>
      <c r="PU661" s="27" t="s">
        <v>8</v>
      </c>
      <c r="QL661" s="27" t="s">
        <v>7</v>
      </c>
    </row>
    <row r="662" spans="1:458" x14ac:dyDescent="0.25">
      <c r="A662" s="7">
        <v>0.22645771341837515</v>
      </c>
      <c r="B662"/>
      <c r="C662"/>
      <c r="D662"/>
      <c r="E662"/>
      <c r="F662" s="27" t="s">
        <v>7</v>
      </c>
      <c r="G662" s="27" t="s">
        <v>8</v>
      </c>
      <c r="J662" s="27" t="s">
        <v>7</v>
      </c>
      <c r="K662" s="27" t="s">
        <v>8</v>
      </c>
      <c r="N662" s="27" t="s">
        <v>7</v>
      </c>
      <c r="IS662" s="27" t="s">
        <v>8</v>
      </c>
      <c r="IT662" s="27" t="s">
        <v>7</v>
      </c>
      <c r="JQ662" s="27" t="s">
        <v>8</v>
      </c>
      <c r="JT662" s="27" t="s">
        <v>7</v>
      </c>
      <c r="JU662" s="27" t="s">
        <v>8</v>
      </c>
      <c r="MZ662" s="27" t="s">
        <v>7</v>
      </c>
      <c r="NA662" s="27" t="s">
        <v>8</v>
      </c>
      <c r="NH662" s="27" t="s">
        <v>7</v>
      </c>
      <c r="NI662" s="27" t="s">
        <v>8</v>
      </c>
      <c r="NJ662" s="27" t="s">
        <v>7</v>
      </c>
      <c r="NK662" s="27" t="s">
        <v>8</v>
      </c>
      <c r="PT662" s="27" t="s">
        <v>7</v>
      </c>
      <c r="QL662" s="27" t="s">
        <v>7</v>
      </c>
    </row>
    <row r="663" spans="1:458" x14ac:dyDescent="0.25">
      <c r="A663" s="7">
        <v>0.22201736609644623</v>
      </c>
      <c r="B663"/>
      <c r="C663"/>
      <c r="D663"/>
      <c r="E663"/>
      <c r="F663" s="27" t="s">
        <v>7</v>
      </c>
      <c r="J663" s="27" t="s">
        <v>7</v>
      </c>
      <c r="K663" s="27" t="s">
        <v>8</v>
      </c>
      <c r="N663" s="27" t="s">
        <v>7</v>
      </c>
      <c r="IS663" s="27" t="s">
        <v>8</v>
      </c>
      <c r="IT663" s="27" t="s">
        <v>7</v>
      </c>
      <c r="JQ663" s="27" t="s">
        <v>8</v>
      </c>
      <c r="JT663" s="27" t="s">
        <v>7</v>
      </c>
      <c r="JU663" s="27" t="s">
        <v>8</v>
      </c>
      <c r="MZ663" s="27" t="s">
        <v>7</v>
      </c>
      <c r="NA663" s="27" t="s">
        <v>8</v>
      </c>
      <c r="NH663" s="27" t="s">
        <v>7</v>
      </c>
      <c r="NJ663" s="27" t="s">
        <v>7</v>
      </c>
      <c r="NK663" s="27" t="s">
        <v>8</v>
      </c>
      <c r="QL663" s="27" t="s">
        <v>7</v>
      </c>
    </row>
    <row r="664" spans="1:458" x14ac:dyDescent="0.25">
      <c r="A664" s="7">
        <v>0.21766408440828061</v>
      </c>
      <c r="B664"/>
      <c r="C664"/>
      <c r="D664"/>
      <c r="E664"/>
      <c r="J664" s="27" t="s">
        <v>7</v>
      </c>
      <c r="N664" s="27" t="s">
        <v>7</v>
      </c>
      <c r="IS664" s="27" t="s">
        <v>8</v>
      </c>
      <c r="IT664" s="27" t="s">
        <v>7</v>
      </c>
      <c r="IU664" s="27" t="s">
        <v>8</v>
      </c>
      <c r="JQ664" s="27" t="s">
        <v>8</v>
      </c>
      <c r="JT664" s="27" t="s">
        <v>7</v>
      </c>
      <c r="JU664" s="27" t="s">
        <v>8</v>
      </c>
      <c r="MZ664" s="27" t="s">
        <v>7</v>
      </c>
      <c r="NA664" s="27" t="s">
        <v>8</v>
      </c>
      <c r="NJ664" s="27" t="s">
        <v>7</v>
      </c>
      <c r="NK664" s="27" t="s">
        <v>8</v>
      </c>
      <c r="QL664" s="27" t="s">
        <v>7</v>
      </c>
    </row>
    <row r="665" spans="1:458" x14ac:dyDescent="0.25">
      <c r="A665" s="7">
        <v>0.21339616118458882</v>
      </c>
      <c r="B665"/>
      <c r="C665"/>
      <c r="D665"/>
      <c r="E665"/>
      <c r="N665" s="27" t="s">
        <v>7</v>
      </c>
      <c r="O665" s="27" t="s">
        <v>8</v>
      </c>
      <c r="IS665" s="27" t="s">
        <v>8</v>
      </c>
      <c r="IT665" s="27" t="s">
        <v>7</v>
      </c>
      <c r="IU665" s="27" t="s">
        <v>8</v>
      </c>
      <c r="IV665" s="27" t="s">
        <v>7</v>
      </c>
      <c r="JQ665" s="27" t="s">
        <v>8</v>
      </c>
      <c r="JT665" s="27" t="s">
        <v>7</v>
      </c>
      <c r="MZ665" s="27" t="s">
        <v>7</v>
      </c>
      <c r="NA665" s="27" t="s">
        <v>8</v>
      </c>
      <c r="NJ665" s="18" t="s">
        <v>7</v>
      </c>
      <c r="NK665" s="27" t="s">
        <v>8</v>
      </c>
      <c r="QL665" s="27" t="s">
        <v>7</v>
      </c>
    </row>
    <row r="666" spans="1:458" x14ac:dyDescent="0.25">
      <c r="A666" s="7">
        <v>0.20921192272998904</v>
      </c>
      <c r="B666"/>
      <c r="C666"/>
      <c r="D666"/>
      <c r="E666"/>
      <c r="N666" s="27" t="s">
        <v>7</v>
      </c>
      <c r="O666" s="27" t="s">
        <v>8</v>
      </c>
      <c r="P666" s="27" t="s">
        <v>7</v>
      </c>
      <c r="IS666" s="27" t="s">
        <v>8</v>
      </c>
      <c r="IT666" s="27" t="s">
        <v>7</v>
      </c>
      <c r="IU666" s="27" t="s">
        <v>8</v>
      </c>
      <c r="IV666" s="27" t="s">
        <v>7</v>
      </c>
      <c r="JQ666" s="27" t="s">
        <v>8</v>
      </c>
      <c r="MZ666" s="27" t="s">
        <v>7</v>
      </c>
      <c r="NA666" s="27" t="s">
        <v>8</v>
      </c>
      <c r="NJ666" s="27" t="s">
        <v>7</v>
      </c>
      <c r="NK666" s="27" t="s">
        <v>8</v>
      </c>
      <c r="QL666" s="27" t="s">
        <v>7</v>
      </c>
    </row>
    <row r="667" spans="1:458" x14ac:dyDescent="0.25">
      <c r="A667" s="7">
        <v>0.20510972816665593</v>
      </c>
      <c r="B667"/>
      <c r="C667"/>
      <c r="D667"/>
      <c r="E667"/>
      <c r="N667" s="27" t="s">
        <v>7</v>
      </c>
      <c r="O667" s="27" t="s">
        <v>8</v>
      </c>
      <c r="P667" s="27" t="s">
        <v>7</v>
      </c>
      <c r="IS667" s="27" t="s">
        <v>8</v>
      </c>
      <c r="IT667" s="27" t="s">
        <v>7</v>
      </c>
      <c r="IU667" s="27" t="s">
        <v>8</v>
      </c>
      <c r="IV667" s="27" t="s">
        <v>7</v>
      </c>
      <c r="IW667" s="27" t="s">
        <v>8</v>
      </c>
      <c r="JG667" s="27" t="s">
        <v>8</v>
      </c>
      <c r="JQ667" s="27" t="s">
        <v>8</v>
      </c>
      <c r="MZ667" s="27" t="s">
        <v>7</v>
      </c>
      <c r="NA667" s="27" t="s">
        <v>8</v>
      </c>
      <c r="NJ667" s="27" t="s">
        <v>7</v>
      </c>
      <c r="NK667" s="27" t="s">
        <v>8</v>
      </c>
      <c r="QL667" s="27" t="s">
        <v>7</v>
      </c>
      <c r="QO667" s="27" t="s">
        <v>8</v>
      </c>
    </row>
    <row r="668" spans="1:458" x14ac:dyDescent="0.25">
      <c r="A668" s="7">
        <v>0.20108796879083912</v>
      </c>
      <c r="B668"/>
      <c r="C668"/>
      <c r="D668"/>
      <c r="E668"/>
      <c r="N668" s="27" t="s">
        <v>7</v>
      </c>
      <c r="O668" s="27" t="s">
        <v>8</v>
      </c>
      <c r="P668" s="27" t="s">
        <v>7</v>
      </c>
      <c r="IS668" s="27" t="s">
        <v>8</v>
      </c>
      <c r="IT668" s="27" t="s">
        <v>7</v>
      </c>
      <c r="IU668" s="27" t="s">
        <v>8</v>
      </c>
      <c r="IV668" s="27" t="s">
        <v>7</v>
      </c>
      <c r="IW668" s="27" t="s">
        <v>8</v>
      </c>
      <c r="IX668" s="27" t="s">
        <v>7</v>
      </c>
      <c r="JG668" s="27" t="s">
        <v>8</v>
      </c>
      <c r="JH668" s="27" t="s">
        <v>7</v>
      </c>
      <c r="JQ668" s="27" t="s">
        <v>8</v>
      </c>
      <c r="MZ668" s="27" t="s">
        <v>7</v>
      </c>
      <c r="NJ668" s="27" t="s">
        <v>7</v>
      </c>
      <c r="QL668" s="27" t="s">
        <v>7</v>
      </c>
      <c r="QM668" s="27" t="s">
        <v>8</v>
      </c>
      <c r="QO668" s="27" t="s">
        <v>8</v>
      </c>
      <c r="QP668" s="27" t="s">
        <v>7</v>
      </c>
    </row>
    <row r="669" spans="1:458" x14ac:dyDescent="0.25">
      <c r="A669" s="7">
        <v>0.19714506744199917</v>
      </c>
      <c r="B669"/>
      <c r="C669"/>
      <c r="D669"/>
      <c r="E669"/>
      <c r="N669" s="27" t="s">
        <v>7</v>
      </c>
      <c r="O669" s="27" t="s">
        <v>8</v>
      </c>
      <c r="P669" s="27" t="s">
        <v>7</v>
      </c>
      <c r="IS669" s="27" t="s">
        <v>8</v>
      </c>
      <c r="IT669" s="27" t="s">
        <v>7</v>
      </c>
      <c r="IU669" s="27" t="s">
        <v>8</v>
      </c>
      <c r="IV669" s="27" t="s">
        <v>7</v>
      </c>
      <c r="IW669" s="27" t="s">
        <v>8</v>
      </c>
      <c r="IX669" s="27" t="s">
        <v>7</v>
      </c>
      <c r="JG669" s="27" t="s">
        <v>8</v>
      </c>
      <c r="JH669" s="27" t="s">
        <v>7</v>
      </c>
      <c r="JQ669" s="27" t="s">
        <v>8</v>
      </c>
      <c r="QL669" s="27" t="s">
        <v>7</v>
      </c>
      <c r="QM669" s="27" t="s">
        <v>8</v>
      </c>
      <c r="QN669" s="27" t="s">
        <v>7</v>
      </c>
      <c r="QO669" s="27" t="s">
        <v>8</v>
      </c>
      <c r="QP669" s="27" t="s">
        <v>7</v>
      </c>
    </row>
    <row r="670" spans="1:458" x14ac:dyDescent="0.25">
      <c r="A670" s="7">
        <v>0.19327947788431293</v>
      </c>
      <c r="B670"/>
      <c r="C670"/>
      <c r="D670"/>
      <c r="E670"/>
      <c r="N670" s="27" t="s">
        <v>7</v>
      </c>
      <c r="O670" s="27" t="s">
        <v>8</v>
      </c>
      <c r="P670" s="27" t="s">
        <v>7</v>
      </c>
      <c r="IS670" s="27" t="s">
        <v>8</v>
      </c>
      <c r="IT670" s="27" t="s">
        <v>7</v>
      </c>
      <c r="IU670" s="27" t="s">
        <v>8</v>
      </c>
      <c r="IV670" s="27" t="s">
        <v>7</v>
      </c>
      <c r="IW670" s="27" t="s">
        <v>8</v>
      </c>
      <c r="IX670" s="27" t="s">
        <v>7</v>
      </c>
      <c r="JG670" s="27" t="s">
        <v>8</v>
      </c>
      <c r="JH670" s="27" t="s">
        <v>7</v>
      </c>
      <c r="JQ670" s="27" t="s">
        <v>8</v>
      </c>
      <c r="QL670" s="27" t="s">
        <v>7</v>
      </c>
      <c r="QM670" s="27" t="s">
        <v>8</v>
      </c>
      <c r="QN670" s="27" t="s">
        <v>7</v>
      </c>
      <c r="QO670" s="27" t="s">
        <v>8</v>
      </c>
      <c r="QP670" s="27" t="s">
        <v>7</v>
      </c>
    </row>
    <row r="671" spans="1:458" x14ac:dyDescent="0.25">
      <c r="A671" s="7">
        <v>0.18948968420030682</v>
      </c>
      <c r="B671"/>
      <c r="C671"/>
      <c r="D671"/>
      <c r="E671"/>
      <c r="N671" s="27" t="s">
        <v>7</v>
      </c>
      <c r="O671" s="27" t="s">
        <v>8</v>
      </c>
      <c r="P671" s="27" t="s">
        <v>7</v>
      </c>
      <c r="IS671" s="27" t="s">
        <v>8</v>
      </c>
      <c r="IT671" s="27" t="s">
        <v>7</v>
      </c>
      <c r="IU671" s="27" t="s">
        <v>8</v>
      </c>
      <c r="IV671" s="27" t="s">
        <v>7</v>
      </c>
      <c r="IX671" s="27" t="s">
        <v>7</v>
      </c>
      <c r="IY671" s="27" t="s">
        <v>8</v>
      </c>
      <c r="JG671" s="27" t="s">
        <v>8</v>
      </c>
      <c r="JH671" s="27" t="s">
        <v>7</v>
      </c>
      <c r="JQ671" s="27" t="s">
        <v>8</v>
      </c>
      <c r="QL671" s="27" t="s">
        <v>7</v>
      </c>
      <c r="QM671" s="27" t="s">
        <v>8</v>
      </c>
      <c r="QN671" s="27" t="s">
        <v>7</v>
      </c>
      <c r="QO671" s="27" t="s">
        <v>8</v>
      </c>
    </row>
    <row r="672" spans="1:458" x14ac:dyDescent="0.25">
      <c r="A672" s="7">
        <v>0.18577420019637925</v>
      </c>
      <c r="B672"/>
      <c r="C672"/>
      <c r="D672"/>
      <c r="E672"/>
      <c r="N672" s="27" t="s">
        <v>7</v>
      </c>
      <c r="O672" s="27" t="s">
        <v>8</v>
      </c>
      <c r="P672" s="27" t="s">
        <v>7</v>
      </c>
      <c r="IS672" s="27" t="s">
        <v>8</v>
      </c>
      <c r="IT672" s="27" t="s">
        <v>7</v>
      </c>
      <c r="IU672" s="27" t="s">
        <v>8</v>
      </c>
      <c r="IX672" s="27" t="s">
        <v>7</v>
      </c>
      <c r="IY672" s="27" t="s">
        <v>8</v>
      </c>
      <c r="IZ672" s="27" t="s">
        <v>7</v>
      </c>
      <c r="JG672" s="27" t="s">
        <v>8</v>
      </c>
      <c r="JH672" s="27" t="s">
        <v>7</v>
      </c>
      <c r="JQ672" s="27" t="s">
        <v>8</v>
      </c>
      <c r="QL672" s="27" t="s">
        <v>7</v>
      </c>
      <c r="QM672" s="27" t="s">
        <v>8</v>
      </c>
      <c r="QN672" s="27" t="s">
        <v>7</v>
      </c>
      <c r="QO672" s="27" t="s">
        <v>8</v>
      </c>
    </row>
    <row r="673" spans="1:457" x14ac:dyDescent="0.25">
      <c r="A673" s="7">
        <v>0.18213156881997963</v>
      </c>
      <c r="B673"/>
      <c r="C673"/>
      <c r="D673"/>
      <c r="E673"/>
      <c r="N673" s="27" t="s">
        <v>7</v>
      </c>
      <c r="P673" s="27" t="s">
        <v>7</v>
      </c>
      <c r="IS673" s="27" t="s">
        <v>8</v>
      </c>
      <c r="IT673" s="27" t="s">
        <v>7</v>
      </c>
      <c r="IU673" s="27" t="s">
        <v>8</v>
      </c>
      <c r="IX673" s="27" t="s">
        <v>7</v>
      </c>
      <c r="IY673" s="27" t="s">
        <v>8</v>
      </c>
      <c r="IZ673" s="27" t="s">
        <v>7</v>
      </c>
      <c r="JG673" s="27" t="s">
        <v>8</v>
      </c>
      <c r="JH673" s="27" t="s">
        <v>7</v>
      </c>
      <c r="JQ673" s="27" t="s">
        <v>8</v>
      </c>
      <c r="QL673" s="27" t="s">
        <v>7</v>
      </c>
      <c r="QM673" s="27" t="s">
        <v>8</v>
      </c>
      <c r="QN673" s="27" t="s">
        <v>7</v>
      </c>
      <c r="QO673" s="27" t="s">
        <v>8</v>
      </c>
    </row>
    <row r="674" spans="1:457" x14ac:dyDescent="0.25">
      <c r="A674" s="7">
        <v>0.17856036158821534</v>
      </c>
      <c r="B674"/>
      <c r="C674"/>
      <c r="D674"/>
      <c r="E674"/>
      <c r="P674" s="27" t="s">
        <v>7</v>
      </c>
      <c r="IS674" s="27" t="s">
        <v>8</v>
      </c>
      <c r="IT674" s="27" t="s">
        <v>7</v>
      </c>
      <c r="IU674" s="27" t="s">
        <v>8</v>
      </c>
      <c r="IX674" s="27" t="s">
        <v>7</v>
      </c>
      <c r="IY674" s="27" t="s">
        <v>8</v>
      </c>
      <c r="IZ674" s="27" t="s">
        <v>7</v>
      </c>
      <c r="JA674" s="27" t="s">
        <v>8</v>
      </c>
      <c r="JE674" s="27" t="s">
        <v>8</v>
      </c>
      <c r="JG674" s="27" t="s">
        <v>8</v>
      </c>
      <c r="JH674" s="27" t="s">
        <v>7</v>
      </c>
      <c r="JQ674" s="27" t="s">
        <v>8</v>
      </c>
      <c r="QL674" s="27" t="s">
        <v>7</v>
      </c>
      <c r="QM674" s="27" t="s">
        <v>8</v>
      </c>
      <c r="QN674" s="27" t="s">
        <v>7</v>
      </c>
      <c r="QO674" s="27" t="s">
        <v>8</v>
      </c>
    </row>
    <row r="675" spans="1:457" x14ac:dyDescent="0.25">
      <c r="A675" s="7">
        <v>0.17505917802766208</v>
      </c>
      <c r="B675"/>
      <c r="C675"/>
      <c r="D675"/>
      <c r="E675"/>
      <c r="P675" s="27" t="s">
        <v>7</v>
      </c>
      <c r="IS675" s="27" t="s">
        <v>8</v>
      </c>
      <c r="IT675" s="27" t="s">
        <v>7</v>
      </c>
      <c r="IU675" s="27" t="s">
        <v>8</v>
      </c>
      <c r="IX675" s="27" t="s">
        <v>7</v>
      </c>
      <c r="IZ675" s="27" t="s">
        <v>7</v>
      </c>
      <c r="JA675" s="27" t="s">
        <v>8</v>
      </c>
      <c r="JB675" s="27" t="s">
        <v>7</v>
      </c>
      <c r="JC675" s="27" t="s">
        <v>8</v>
      </c>
      <c r="JE675" s="27" t="s">
        <v>8</v>
      </c>
      <c r="JF675" s="27" t="s">
        <v>7</v>
      </c>
      <c r="JG675" s="27" t="s">
        <v>8</v>
      </c>
      <c r="JH675" s="27" t="s">
        <v>7</v>
      </c>
      <c r="JQ675" s="27" t="s">
        <v>8</v>
      </c>
      <c r="QL675" s="27" t="s">
        <v>7</v>
      </c>
      <c r="QM675" s="27" t="s">
        <v>8</v>
      </c>
      <c r="QN675" s="27" t="s">
        <v>7</v>
      </c>
    </row>
    <row r="676" spans="1:457" x14ac:dyDescent="0.25">
      <c r="A676" s="7">
        <v>0.17162664512515888</v>
      </c>
      <c r="B676"/>
      <c r="C676"/>
      <c r="D676"/>
      <c r="E676"/>
      <c r="P676" s="27" t="s">
        <v>7</v>
      </c>
      <c r="S676" s="27" t="s">
        <v>8</v>
      </c>
      <c r="IS676" s="27" t="s">
        <v>8</v>
      </c>
      <c r="IT676" s="27" t="s">
        <v>7</v>
      </c>
      <c r="IU676" s="27" t="s">
        <v>8</v>
      </c>
      <c r="IZ676" s="27" t="s">
        <v>7</v>
      </c>
      <c r="JA676" s="27" t="s">
        <v>8</v>
      </c>
      <c r="JB676" s="27" t="s">
        <v>7</v>
      </c>
      <c r="JC676" s="27" t="s">
        <v>8</v>
      </c>
      <c r="JD676" s="27" t="s">
        <v>7</v>
      </c>
      <c r="JE676" s="27" t="s">
        <v>8</v>
      </c>
      <c r="JF676" s="27" t="s">
        <v>7</v>
      </c>
      <c r="JG676" s="27" t="s">
        <v>8</v>
      </c>
      <c r="JH676" s="27" t="s">
        <v>7</v>
      </c>
      <c r="JQ676" s="27" t="s">
        <v>8</v>
      </c>
      <c r="QL676" s="27" t="s">
        <v>7</v>
      </c>
      <c r="QM676" s="27" t="s">
        <v>8</v>
      </c>
    </row>
    <row r="677" spans="1:457" x14ac:dyDescent="0.25">
      <c r="A677" s="7">
        <v>0.16826141678937145</v>
      </c>
      <c r="B677"/>
      <c r="C677"/>
      <c r="D677"/>
      <c r="E677"/>
      <c r="P677" s="27" t="s">
        <v>7</v>
      </c>
      <c r="S677" s="27" t="s">
        <v>8</v>
      </c>
      <c r="T677" s="27" t="s">
        <v>7</v>
      </c>
      <c r="U677" s="27" t="s">
        <v>8</v>
      </c>
      <c r="IS677" s="27" t="s">
        <v>8</v>
      </c>
      <c r="IT677" s="27" t="s">
        <v>7</v>
      </c>
      <c r="IU677" s="27" t="s">
        <v>8</v>
      </c>
      <c r="IZ677" s="27" t="s">
        <v>7</v>
      </c>
      <c r="JA677" s="27" t="s">
        <v>8</v>
      </c>
      <c r="JB677" s="27" t="s">
        <v>7</v>
      </c>
      <c r="JC677" s="27" t="s">
        <v>8</v>
      </c>
      <c r="JD677" s="27" t="s">
        <v>7</v>
      </c>
      <c r="JE677" s="27" t="s">
        <v>8</v>
      </c>
      <c r="JF677" s="27" t="s">
        <v>7</v>
      </c>
      <c r="JG677" s="27" t="s">
        <v>8</v>
      </c>
      <c r="JH677" s="27" t="s">
        <v>7</v>
      </c>
      <c r="JQ677" s="27" t="s">
        <v>8</v>
      </c>
      <c r="QL677" s="27" t="s">
        <v>7</v>
      </c>
    </row>
    <row r="678" spans="1:457" x14ac:dyDescent="0.25">
      <c r="A678" s="7">
        <v>0.16496217332291319</v>
      </c>
      <c r="B678"/>
      <c r="C678"/>
      <c r="D678"/>
      <c r="E678"/>
      <c r="P678" s="27" t="s">
        <v>7</v>
      </c>
      <c r="Q678" s="27" t="s">
        <v>8</v>
      </c>
      <c r="S678" s="27" t="s">
        <v>8</v>
      </c>
      <c r="T678" s="27" t="s">
        <v>7</v>
      </c>
      <c r="U678" s="27" t="s">
        <v>8</v>
      </c>
      <c r="V678" s="27" t="s">
        <v>7</v>
      </c>
      <c r="IS678" s="27" t="s">
        <v>8</v>
      </c>
      <c r="IT678" s="27" t="s">
        <v>7</v>
      </c>
      <c r="IU678" s="27" t="s">
        <v>8</v>
      </c>
      <c r="IZ678" s="27" t="s">
        <v>7</v>
      </c>
      <c r="JA678" s="27" t="s">
        <v>8</v>
      </c>
      <c r="JB678" s="27" t="s">
        <v>7</v>
      </c>
      <c r="JC678" s="27" t="s">
        <v>8</v>
      </c>
      <c r="JD678" s="27" t="s">
        <v>7</v>
      </c>
      <c r="JE678" s="27" t="s">
        <v>8</v>
      </c>
      <c r="JF678" s="27" t="s">
        <v>7</v>
      </c>
      <c r="JG678" s="27" t="s">
        <v>8</v>
      </c>
      <c r="JH678" s="27" t="s">
        <v>7</v>
      </c>
      <c r="JI678" s="27" t="s">
        <v>8</v>
      </c>
      <c r="JQ678" s="27" t="s">
        <v>8</v>
      </c>
    </row>
    <row r="679" spans="1:457" x14ac:dyDescent="0.25">
      <c r="A679" s="7">
        <v>0.16172762090481685</v>
      </c>
      <c r="B679"/>
      <c r="C679"/>
      <c r="D679"/>
      <c r="E679"/>
      <c r="P679" s="27" t="s">
        <v>7</v>
      </c>
      <c r="Q679" s="27" t="s">
        <v>8</v>
      </c>
      <c r="R679" s="27" t="s">
        <v>7</v>
      </c>
      <c r="S679" s="27" t="s">
        <v>8</v>
      </c>
      <c r="T679" s="27" t="s">
        <v>7</v>
      </c>
      <c r="U679" s="27" t="s">
        <v>8</v>
      </c>
      <c r="V679" s="27" t="s">
        <v>7</v>
      </c>
      <c r="BW679" s="27" t="s">
        <v>8</v>
      </c>
      <c r="IS679" s="27" t="s">
        <v>8</v>
      </c>
      <c r="IT679" s="27" t="s">
        <v>7</v>
      </c>
      <c r="IU679" s="27" t="s">
        <v>8</v>
      </c>
      <c r="IZ679" s="27" t="s">
        <v>7</v>
      </c>
      <c r="JB679" s="27" t="s">
        <v>7</v>
      </c>
      <c r="JC679" s="27" t="s">
        <v>8</v>
      </c>
      <c r="JD679" s="27" t="s">
        <v>7</v>
      </c>
      <c r="JE679" s="27" t="s">
        <v>8</v>
      </c>
      <c r="JF679" s="27" t="s">
        <v>7</v>
      </c>
      <c r="JH679" s="27" t="s">
        <v>7</v>
      </c>
      <c r="JI679" s="27" t="s">
        <v>8</v>
      </c>
      <c r="JJ679" s="27" t="s">
        <v>7</v>
      </c>
      <c r="JQ679" s="27" t="s">
        <v>8</v>
      </c>
    </row>
    <row r="680" spans="1:457" x14ac:dyDescent="0.25">
      <c r="A680" s="7">
        <v>0.15855649108315376</v>
      </c>
      <c r="B680"/>
      <c r="C680"/>
      <c r="D680"/>
      <c r="E680"/>
      <c r="P680" s="27" t="s">
        <v>7</v>
      </c>
      <c r="Q680" s="27" t="s">
        <v>8</v>
      </c>
      <c r="R680" s="27" t="s">
        <v>7</v>
      </c>
      <c r="S680" s="27" t="s">
        <v>8</v>
      </c>
      <c r="T680" s="27" t="s">
        <v>7</v>
      </c>
      <c r="U680" s="27" t="s">
        <v>8</v>
      </c>
      <c r="V680" s="27" t="s">
        <v>7</v>
      </c>
      <c r="BW680" s="27" t="s">
        <v>8</v>
      </c>
      <c r="BX680" s="27" t="s">
        <v>7</v>
      </c>
      <c r="IS680" s="27" t="s">
        <v>8</v>
      </c>
      <c r="IT680" s="27" t="s">
        <v>7</v>
      </c>
      <c r="IU680" s="27" t="s">
        <v>8</v>
      </c>
      <c r="JB680" s="27" t="s">
        <v>7</v>
      </c>
      <c r="JC680" s="27" t="s">
        <v>8</v>
      </c>
      <c r="JD680" s="27" t="s">
        <v>7</v>
      </c>
      <c r="JE680" s="27" t="s">
        <v>8</v>
      </c>
      <c r="JH680" s="27" t="s">
        <v>7</v>
      </c>
      <c r="JI680" s="27" t="s">
        <v>8</v>
      </c>
      <c r="JJ680" s="27" t="s">
        <v>7</v>
      </c>
      <c r="JQ680" s="27" t="s">
        <v>8</v>
      </c>
    </row>
    <row r="681" spans="1:457" x14ac:dyDescent="0.25">
      <c r="A681" s="7">
        <v>0.15544754027760171</v>
      </c>
      <c r="B681"/>
      <c r="C681"/>
      <c r="D681"/>
      <c r="E681"/>
      <c r="P681" s="27" t="s">
        <v>7</v>
      </c>
      <c r="Q681" s="27" t="s">
        <v>8</v>
      </c>
      <c r="R681" s="27" t="s">
        <v>7</v>
      </c>
      <c r="S681" s="27" t="s">
        <v>8</v>
      </c>
      <c r="T681" s="27" t="s">
        <v>7</v>
      </c>
      <c r="V681" s="27" t="s">
        <v>7</v>
      </c>
      <c r="BW681" s="27" t="s">
        <v>8</v>
      </c>
      <c r="BX681" s="27" t="s">
        <v>7</v>
      </c>
      <c r="IS681" s="27" t="s">
        <v>8</v>
      </c>
      <c r="IT681" s="27" t="s">
        <v>7</v>
      </c>
      <c r="IU681" s="27" t="s">
        <v>8</v>
      </c>
      <c r="JB681" s="27" t="s">
        <v>7</v>
      </c>
      <c r="JC681" s="27" t="s">
        <v>8</v>
      </c>
      <c r="JD681" s="27" t="s">
        <v>7</v>
      </c>
      <c r="JE681" s="27" t="s">
        <v>8</v>
      </c>
      <c r="JH681" s="27" t="s">
        <v>7</v>
      </c>
      <c r="JI681" s="27" t="s">
        <v>8</v>
      </c>
      <c r="JJ681" s="27" t="s">
        <v>7</v>
      </c>
      <c r="JQ681" s="27" t="s">
        <v>8</v>
      </c>
    </row>
    <row r="682" spans="1:457" x14ac:dyDescent="0.25">
      <c r="A682" s="7">
        <v>0.15239954929176638</v>
      </c>
      <c r="B682"/>
      <c r="C682"/>
      <c r="D682"/>
      <c r="E682"/>
      <c r="P682" s="27" t="s">
        <v>7</v>
      </c>
      <c r="Q682" s="27" t="s">
        <v>8</v>
      </c>
      <c r="R682" s="27" t="s">
        <v>7</v>
      </c>
      <c r="S682" s="27" t="s">
        <v>8</v>
      </c>
      <c r="V682" s="27" t="s">
        <v>7</v>
      </c>
      <c r="BW682" s="27" t="s">
        <v>8</v>
      </c>
      <c r="BX682" s="27" t="s">
        <v>7</v>
      </c>
      <c r="IS682" s="27" t="s">
        <v>8</v>
      </c>
      <c r="IT682" s="27" t="s">
        <v>7</v>
      </c>
      <c r="IU682" s="27" t="s">
        <v>8</v>
      </c>
      <c r="JB682" s="27" t="s">
        <v>7</v>
      </c>
      <c r="JC682" s="27" t="s">
        <v>8</v>
      </c>
      <c r="JD682" s="27" t="s">
        <v>7</v>
      </c>
      <c r="JH682" s="27" t="s">
        <v>7</v>
      </c>
      <c r="JI682" s="27" t="s">
        <v>8</v>
      </c>
      <c r="JJ682" s="27" t="s">
        <v>7</v>
      </c>
      <c r="JK682" s="27" t="s">
        <v>8</v>
      </c>
      <c r="JQ682" s="27" t="s">
        <v>8</v>
      </c>
    </row>
    <row r="683" spans="1:457" x14ac:dyDescent="0.25">
      <c r="A683" s="7">
        <v>0.14941132283506509</v>
      </c>
      <c r="B683"/>
      <c r="C683"/>
      <c r="D683"/>
      <c r="E683"/>
      <c r="P683" s="27" t="s">
        <v>7</v>
      </c>
      <c r="Q683" s="27" t="s">
        <v>8</v>
      </c>
      <c r="R683" s="27" t="s">
        <v>7</v>
      </c>
      <c r="S683" s="27" t="s">
        <v>8</v>
      </c>
      <c r="V683" s="27" t="s">
        <v>7</v>
      </c>
      <c r="BW683" s="27" t="s">
        <v>8</v>
      </c>
      <c r="BX683" s="27" t="s">
        <v>7</v>
      </c>
      <c r="IS683" s="27" t="s">
        <v>8</v>
      </c>
      <c r="IT683" s="27" t="s">
        <v>7</v>
      </c>
      <c r="IU683" s="27" t="s">
        <v>8</v>
      </c>
      <c r="JB683" s="27" t="s">
        <v>7</v>
      </c>
      <c r="JC683" s="27" t="s">
        <v>8</v>
      </c>
      <c r="JH683" s="27" t="s">
        <v>7</v>
      </c>
      <c r="JI683" s="27" t="s">
        <v>8</v>
      </c>
      <c r="JJ683" s="27" t="s">
        <v>7</v>
      </c>
      <c r="JK683" s="27" t="s">
        <v>8</v>
      </c>
      <c r="JL683" s="27" t="s">
        <v>7</v>
      </c>
      <c r="JQ683" s="27" t="s">
        <v>8</v>
      </c>
    </row>
    <row r="684" spans="1:457" x14ac:dyDescent="0.25">
      <c r="A684" s="7">
        <v>0.14648168905398537</v>
      </c>
      <c r="B684"/>
      <c r="C684"/>
      <c r="D684"/>
      <c r="E684"/>
      <c r="P684" s="27" t="s">
        <v>7</v>
      </c>
      <c r="Q684" s="27" t="s">
        <v>8</v>
      </c>
      <c r="R684" s="27" t="s">
        <v>7</v>
      </c>
      <c r="S684" s="27" t="s">
        <v>8</v>
      </c>
      <c r="V684" s="27" t="s">
        <v>7</v>
      </c>
      <c r="BW684" s="27" t="s">
        <v>8</v>
      </c>
      <c r="BX684" s="27" t="s">
        <v>7</v>
      </c>
      <c r="IS684" s="27" t="s">
        <v>8</v>
      </c>
      <c r="IT684" s="27" t="s">
        <v>7</v>
      </c>
      <c r="JB684" s="27" t="s">
        <v>7</v>
      </c>
      <c r="JC684" s="27" t="s">
        <v>8</v>
      </c>
      <c r="JH684" s="27" t="s">
        <v>7</v>
      </c>
      <c r="JI684" s="27" t="s">
        <v>8</v>
      </c>
      <c r="JJ684" s="27" t="s">
        <v>7</v>
      </c>
      <c r="JK684" s="27" t="s">
        <v>8</v>
      </c>
      <c r="JL684" s="27" t="s">
        <v>7</v>
      </c>
      <c r="JQ684" s="27" t="s">
        <v>8</v>
      </c>
    </row>
    <row r="685" spans="1:457" x14ac:dyDescent="0.25">
      <c r="A685" s="7">
        <v>0.14360949907253467</v>
      </c>
      <c r="B685"/>
      <c r="C685"/>
      <c r="D685"/>
      <c r="E685"/>
      <c r="P685" s="27" t="s">
        <v>7</v>
      </c>
      <c r="Q685" s="27" t="s">
        <v>8</v>
      </c>
      <c r="R685" s="27" t="s">
        <v>7</v>
      </c>
      <c r="S685" s="27" t="s">
        <v>8</v>
      </c>
      <c r="V685" s="27" t="s">
        <v>7</v>
      </c>
      <c r="BW685" s="27" t="s">
        <v>8</v>
      </c>
      <c r="BX685" s="27" t="s">
        <v>7</v>
      </c>
      <c r="BY685" s="27" t="s">
        <v>8</v>
      </c>
      <c r="CA685" s="27" t="s">
        <v>8</v>
      </c>
      <c r="IS685" s="27" t="s">
        <v>8</v>
      </c>
      <c r="JB685" s="27" t="s">
        <v>7</v>
      </c>
      <c r="JC685" s="27" t="s">
        <v>8</v>
      </c>
      <c r="JH685" s="27" t="s">
        <v>7</v>
      </c>
      <c r="JI685" s="27" t="s">
        <v>8</v>
      </c>
      <c r="JJ685" s="27" t="s">
        <v>7</v>
      </c>
      <c r="JK685" s="27" t="s">
        <v>8</v>
      </c>
      <c r="JL685" s="27" t="s">
        <v>7</v>
      </c>
      <c r="JQ685" s="27" t="s">
        <v>8</v>
      </c>
    </row>
    <row r="686" spans="1:457" x14ac:dyDescent="0.25">
      <c r="A686" s="7">
        <v>0.14079362654170066</v>
      </c>
      <c r="B686"/>
      <c r="C686"/>
      <c r="D686"/>
      <c r="E686"/>
      <c r="P686" s="27" t="s">
        <v>7</v>
      </c>
      <c r="Q686" s="27" t="s">
        <v>8</v>
      </c>
      <c r="R686" s="27" t="s">
        <v>7</v>
      </c>
      <c r="V686" s="27" t="s">
        <v>7</v>
      </c>
      <c r="AC686" s="27" t="s">
        <v>8</v>
      </c>
      <c r="BW686" s="27" t="s">
        <v>8</v>
      </c>
      <c r="BX686" s="27" t="s">
        <v>7</v>
      </c>
      <c r="BY686" s="27" t="s">
        <v>8</v>
      </c>
      <c r="BZ686" s="27" t="s">
        <v>7</v>
      </c>
      <c r="CA686" s="27" t="s">
        <v>8</v>
      </c>
      <c r="CB686" s="27" t="s">
        <v>7</v>
      </c>
      <c r="IS686" s="27" t="s">
        <v>8</v>
      </c>
      <c r="JB686" s="27" t="s">
        <v>7</v>
      </c>
      <c r="JH686" s="27" t="s">
        <v>7</v>
      </c>
      <c r="JI686" s="27" t="s">
        <v>8</v>
      </c>
      <c r="JJ686" s="27" t="s">
        <v>7</v>
      </c>
      <c r="JK686" s="27" t="s">
        <v>8</v>
      </c>
      <c r="JL686" s="27" t="s">
        <v>7</v>
      </c>
      <c r="JQ686" s="27" t="s">
        <v>8</v>
      </c>
    </row>
    <row r="687" spans="1:457" x14ac:dyDescent="0.25">
      <c r="A687" s="7">
        <v>0.13803296719774574</v>
      </c>
      <c r="B687"/>
      <c r="C687"/>
      <c r="D687"/>
      <c r="E687"/>
      <c r="P687" s="27" t="s">
        <v>7</v>
      </c>
      <c r="Q687" s="27" t="s">
        <v>8</v>
      </c>
      <c r="V687" s="27" t="s">
        <v>7</v>
      </c>
      <c r="AC687" s="27" t="s">
        <v>8</v>
      </c>
      <c r="AD687" s="27" t="s">
        <v>7</v>
      </c>
      <c r="BW687" s="27" t="s">
        <v>8</v>
      </c>
      <c r="BX687" s="27" t="s">
        <v>7</v>
      </c>
      <c r="BY687" s="27" t="s">
        <v>8</v>
      </c>
      <c r="BZ687" s="27" t="s">
        <v>7</v>
      </c>
      <c r="CA687" s="27" t="s">
        <v>8</v>
      </c>
      <c r="CB687" s="27" t="s">
        <v>7</v>
      </c>
      <c r="CC687" s="27" t="s">
        <v>8</v>
      </c>
      <c r="IS687" s="27" t="s">
        <v>8</v>
      </c>
      <c r="JH687" s="27" t="s">
        <v>7</v>
      </c>
      <c r="JI687" s="27" t="s">
        <v>8</v>
      </c>
      <c r="JJ687" s="27" t="s">
        <v>7</v>
      </c>
      <c r="JK687" s="27" t="s">
        <v>8</v>
      </c>
      <c r="JL687" s="27" t="s">
        <v>7</v>
      </c>
      <c r="JM687" s="27" t="s">
        <v>8</v>
      </c>
      <c r="JO687" s="27" t="s">
        <v>8</v>
      </c>
      <c r="JQ687" s="27" t="s">
        <v>8</v>
      </c>
    </row>
    <row r="688" spans="1:457" x14ac:dyDescent="0.25">
      <c r="A688" s="7">
        <v>0.1353264384291625</v>
      </c>
      <c r="B688"/>
      <c r="C688"/>
      <c r="D688"/>
      <c r="E688"/>
      <c r="P688" s="27" t="s">
        <v>7</v>
      </c>
      <c r="V688" s="27" t="s">
        <v>7</v>
      </c>
      <c r="AC688" s="27" t="s">
        <v>8</v>
      </c>
      <c r="AD688" s="27" t="s">
        <v>7</v>
      </c>
      <c r="BI688" s="27" t="s">
        <v>8</v>
      </c>
      <c r="BW688" s="27" t="s">
        <v>8</v>
      </c>
      <c r="BX688" s="27" t="s">
        <v>7</v>
      </c>
      <c r="BY688" s="27" t="s">
        <v>8</v>
      </c>
      <c r="BZ688" s="27" t="s">
        <v>7</v>
      </c>
      <c r="CA688" s="27" t="s">
        <v>8</v>
      </c>
      <c r="CB688" s="27" t="s">
        <v>7</v>
      </c>
      <c r="CC688" s="27" t="s">
        <v>8</v>
      </c>
      <c r="CD688" s="27" t="s">
        <v>7</v>
      </c>
      <c r="IS688" s="27" t="s">
        <v>8</v>
      </c>
      <c r="JH688" s="27" t="s">
        <v>7</v>
      </c>
      <c r="JI688" s="27" t="s">
        <v>8</v>
      </c>
      <c r="JJ688" s="27" t="s">
        <v>7</v>
      </c>
      <c r="JL688" s="27" t="s">
        <v>7</v>
      </c>
      <c r="JM688" s="27" t="s">
        <v>8</v>
      </c>
      <c r="JN688" s="27" t="s">
        <v>7</v>
      </c>
      <c r="JO688" s="27" t="s">
        <v>8</v>
      </c>
      <c r="JP688" s="27" t="s">
        <v>7</v>
      </c>
      <c r="JQ688" s="27" t="s">
        <v>8</v>
      </c>
    </row>
    <row r="689" spans="1:277" x14ac:dyDescent="0.25">
      <c r="A689" s="7">
        <v>0.13267297885212009</v>
      </c>
      <c r="B689"/>
      <c r="C689"/>
      <c r="D689"/>
      <c r="E689"/>
      <c r="V689" s="27" t="s">
        <v>7</v>
      </c>
      <c r="AA689" s="27" t="s">
        <v>8</v>
      </c>
      <c r="AC689" s="27" t="s">
        <v>8</v>
      </c>
      <c r="AD689" s="27" t="s">
        <v>7</v>
      </c>
      <c r="BE689" s="27" t="s">
        <v>8</v>
      </c>
      <c r="BI689" s="27" t="s">
        <v>8</v>
      </c>
      <c r="BJ689" s="27" t="s">
        <v>7</v>
      </c>
      <c r="BW689" s="27" t="s">
        <v>8</v>
      </c>
      <c r="BX689" s="27" t="s">
        <v>7</v>
      </c>
      <c r="BY689" s="27" t="s">
        <v>8</v>
      </c>
      <c r="BZ689" s="27" t="s">
        <v>7</v>
      </c>
      <c r="CA689" s="27" t="s">
        <v>8</v>
      </c>
      <c r="CB689" s="27" t="s">
        <v>7</v>
      </c>
      <c r="CC689" s="27" t="s">
        <v>8</v>
      </c>
      <c r="CD689" s="27" t="s">
        <v>7</v>
      </c>
      <c r="CG689" s="27" t="s">
        <v>8</v>
      </c>
      <c r="CI689" s="27" t="s">
        <v>8</v>
      </c>
      <c r="CK689" s="27" t="s">
        <v>8</v>
      </c>
      <c r="IS689" s="27" t="s">
        <v>8</v>
      </c>
      <c r="JH689" s="27" t="s">
        <v>7</v>
      </c>
      <c r="JI689" s="27" t="s">
        <v>8</v>
      </c>
      <c r="JL689" s="27" t="s">
        <v>7</v>
      </c>
      <c r="JM689" s="27" t="s">
        <v>8</v>
      </c>
      <c r="JN689" s="27" t="s">
        <v>7</v>
      </c>
      <c r="JO689" s="27" t="s">
        <v>8</v>
      </c>
      <c r="JP689" s="27" t="s">
        <v>7</v>
      </c>
      <c r="JQ689" s="27" t="s">
        <v>8</v>
      </c>
    </row>
    <row r="690" spans="1:277" x14ac:dyDescent="0.25">
      <c r="A690" s="7">
        <v>0.13007154789423539</v>
      </c>
      <c r="B690"/>
      <c r="C690"/>
      <c r="D690"/>
      <c r="E690"/>
      <c r="V690" s="27" t="s">
        <v>7</v>
      </c>
      <c r="AA690" s="27" t="s">
        <v>8</v>
      </c>
      <c r="AB690" s="27" t="s">
        <v>7</v>
      </c>
      <c r="AC690" s="27" t="s">
        <v>8</v>
      </c>
      <c r="AD690" s="27" t="s">
        <v>7</v>
      </c>
      <c r="BE690" s="27" t="s">
        <v>8</v>
      </c>
      <c r="BF690" s="27" t="s">
        <v>7</v>
      </c>
      <c r="BI690" s="27" t="s">
        <v>8</v>
      </c>
      <c r="BJ690" s="27" t="s">
        <v>7</v>
      </c>
      <c r="BW690" s="27" t="s">
        <v>8</v>
      </c>
      <c r="BX690" s="27" t="s">
        <v>7</v>
      </c>
      <c r="BY690" s="27" t="s">
        <v>8</v>
      </c>
      <c r="BZ690" s="27" t="s">
        <v>7</v>
      </c>
      <c r="CA690" s="27" t="s">
        <v>8</v>
      </c>
      <c r="CB690" s="27" t="s">
        <v>7</v>
      </c>
      <c r="CC690" s="27" t="s">
        <v>8</v>
      </c>
      <c r="CD690" s="27" t="s">
        <v>7</v>
      </c>
      <c r="CE690" s="27" t="s">
        <v>8</v>
      </c>
      <c r="CG690" s="27" t="s">
        <v>8</v>
      </c>
      <c r="CH690" s="27" t="s">
        <v>7</v>
      </c>
      <c r="CI690" s="27" t="s">
        <v>8</v>
      </c>
      <c r="CJ690" s="27" t="s">
        <v>7</v>
      </c>
      <c r="CK690" s="27" t="s">
        <v>8</v>
      </c>
      <c r="CL690" s="27" t="s">
        <v>7</v>
      </c>
      <c r="IS690" s="27" t="s">
        <v>8</v>
      </c>
      <c r="JH690" s="27" t="s">
        <v>7</v>
      </c>
      <c r="JI690" s="27" t="s">
        <v>8</v>
      </c>
      <c r="JL690" s="27" t="s">
        <v>7</v>
      </c>
      <c r="JN690" s="27" t="s">
        <v>7</v>
      </c>
      <c r="JO690" s="27" t="s">
        <v>8</v>
      </c>
      <c r="JP690" s="27" t="s">
        <v>7</v>
      </c>
      <c r="JQ690" s="27" t="s">
        <v>8</v>
      </c>
    </row>
    <row r="691" spans="1:277" x14ac:dyDescent="0.25">
      <c r="A691" s="7">
        <v>0.12752112538650529</v>
      </c>
      <c r="B691"/>
      <c r="C691"/>
      <c r="D691"/>
      <c r="E691"/>
      <c r="V691" s="27" t="s">
        <v>7</v>
      </c>
      <c r="AA691" s="27" t="s">
        <v>8</v>
      </c>
      <c r="AB691" s="27" t="s">
        <v>7</v>
      </c>
      <c r="AC691" s="27" t="s">
        <v>8</v>
      </c>
      <c r="AD691" s="27" t="s">
        <v>7</v>
      </c>
      <c r="AG691" s="27" t="s">
        <v>8</v>
      </c>
      <c r="BE691" s="27" t="s">
        <v>8</v>
      </c>
      <c r="BF691" s="27" t="s">
        <v>7</v>
      </c>
      <c r="BG691" s="27" t="s">
        <v>8</v>
      </c>
      <c r="BI691" s="27" t="s">
        <v>8</v>
      </c>
      <c r="BJ691" s="27" t="s">
        <v>7</v>
      </c>
      <c r="BW691" s="27" t="s">
        <v>8</v>
      </c>
      <c r="BX691" s="27" t="s">
        <v>7</v>
      </c>
      <c r="BY691" s="27" t="s">
        <v>8</v>
      </c>
      <c r="BZ691" s="27" t="s">
        <v>7</v>
      </c>
      <c r="CA691" s="27" t="s">
        <v>8</v>
      </c>
      <c r="CB691" s="27" t="s">
        <v>7</v>
      </c>
      <c r="CC691" s="27" t="s">
        <v>8</v>
      </c>
      <c r="CD691" s="27" t="s">
        <v>7</v>
      </c>
      <c r="CE691" s="27" t="s">
        <v>8</v>
      </c>
      <c r="CF691" s="27" t="s">
        <v>7</v>
      </c>
      <c r="CG691" s="27" t="s">
        <v>8</v>
      </c>
      <c r="CH691" s="27" t="s">
        <v>7</v>
      </c>
      <c r="CI691" s="27" t="s">
        <v>8</v>
      </c>
      <c r="CJ691" s="27" t="s">
        <v>7</v>
      </c>
      <c r="CK691" s="27" t="s">
        <v>8</v>
      </c>
      <c r="CL691" s="27" t="s">
        <v>7</v>
      </c>
      <c r="IS691" s="27" t="s">
        <v>8</v>
      </c>
      <c r="JH691" s="27" t="s">
        <v>7</v>
      </c>
      <c r="JI691" s="27" t="s">
        <v>8</v>
      </c>
      <c r="JN691" s="27" t="s">
        <v>7</v>
      </c>
      <c r="JO691" s="27" t="s">
        <v>8</v>
      </c>
      <c r="JP691" s="27" t="s">
        <v>7</v>
      </c>
      <c r="JQ691" s="27" t="s">
        <v>8</v>
      </c>
    </row>
    <row r="692" spans="1:277" x14ac:dyDescent="0.25">
      <c r="A692" s="7">
        <v>0.12502071116324048</v>
      </c>
      <c r="B692"/>
      <c r="C692"/>
      <c r="D692"/>
      <c r="E692"/>
      <c r="V692" s="27" t="s">
        <v>7</v>
      </c>
      <c r="W692" s="27" t="s">
        <v>8</v>
      </c>
      <c r="Y692" s="27" t="s">
        <v>8</v>
      </c>
      <c r="AA692" s="27" t="s">
        <v>8</v>
      </c>
      <c r="AB692" s="27" t="s">
        <v>7</v>
      </c>
      <c r="AC692" s="27" t="s">
        <v>8</v>
      </c>
      <c r="AD692" s="27" t="s">
        <v>7</v>
      </c>
      <c r="AG692" s="27" t="s">
        <v>8</v>
      </c>
      <c r="AH692" s="27" t="s">
        <v>7</v>
      </c>
      <c r="BE692" s="27" t="s">
        <v>8</v>
      </c>
      <c r="BF692" s="27" t="s">
        <v>7</v>
      </c>
      <c r="BG692" s="27" t="s">
        <v>8</v>
      </c>
      <c r="BH692" s="27" t="s">
        <v>7</v>
      </c>
      <c r="BI692" s="27" t="s">
        <v>8</v>
      </c>
      <c r="BJ692" s="27" t="s">
        <v>7</v>
      </c>
      <c r="BW692" s="27" t="s">
        <v>8</v>
      </c>
      <c r="BX692" s="27" t="s">
        <v>7</v>
      </c>
      <c r="BY692" s="27" t="s">
        <v>8</v>
      </c>
      <c r="BZ692" s="27" t="s">
        <v>7</v>
      </c>
      <c r="CA692" s="27" t="s">
        <v>8</v>
      </c>
      <c r="CB692" s="27" t="s">
        <v>7</v>
      </c>
      <c r="CD692" s="27" t="s">
        <v>7</v>
      </c>
      <c r="CE692" s="27" t="s">
        <v>8</v>
      </c>
      <c r="CF692" s="27" t="s">
        <v>7</v>
      </c>
      <c r="CG692" s="27" t="s">
        <v>8</v>
      </c>
      <c r="CH692" s="27" t="s">
        <v>7</v>
      </c>
      <c r="CI692" s="27" t="s">
        <v>8</v>
      </c>
      <c r="CJ692" s="27" t="s">
        <v>7</v>
      </c>
      <c r="CK692" s="27" t="s">
        <v>8</v>
      </c>
      <c r="CL692" s="27" t="s">
        <v>7</v>
      </c>
      <c r="IS692" s="27" t="s">
        <v>8</v>
      </c>
      <c r="JH692" s="27" t="s">
        <v>7</v>
      </c>
      <c r="JI692" s="27" t="s">
        <v>8</v>
      </c>
      <c r="JN692" s="27" t="s">
        <v>7</v>
      </c>
      <c r="JO692" s="27" t="s">
        <v>8</v>
      </c>
      <c r="JP692" s="27" t="s">
        <v>7</v>
      </c>
    </row>
    <row r="693" spans="1:277" x14ac:dyDescent="0.25">
      <c r="A693" s="7">
        <v>0.1225693246698436</v>
      </c>
      <c r="B693"/>
      <c r="C693"/>
      <c r="D693"/>
      <c r="E693"/>
      <c r="V693" s="27" t="s">
        <v>7</v>
      </c>
      <c r="W693" s="27" t="s">
        <v>8</v>
      </c>
      <c r="X693" s="27" t="s">
        <v>7</v>
      </c>
      <c r="Y693" s="27" t="s">
        <v>8</v>
      </c>
      <c r="Z693" s="27" t="s">
        <v>7</v>
      </c>
      <c r="AA693" s="27" t="s">
        <v>8</v>
      </c>
      <c r="AB693" s="27" t="s">
        <v>7</v>
      </c>
      <c r="AC693" s="27" t="s">
        <v>8</v>
      </c>
      <c r="AD693" s="27" t="s">
        <v>7</v>
      </c>
      <c r="AG693" s="27" t="s">
        <v>8</v>
      </c>
      <c r="AH693" s="27" t="s">
        <v>7</v>
      </c>
      <c r="BE693" s="27" t="s">
        <v>8</v>
      </c>
      <c r="BF693" s="27" t="s">
        <v>7</v>
      </c>
      <c r="BG693" s="27" t="s">
        <v>8</v>
      </c>
      <c r="BH693" s="27" t="s">
        <v>7</v>
      </c>
      <c r="BI693" s="27" t="s">
        <v>8</v>
      </c>
      <c r="BJ693" s="27" t="s">
        <v>7</v>
      </c>
      <c r="BW693" s="27" t="s">
        <v>8</v>
      </c>
      <c r="BX693" s="27" t="s">
        <v>7</v>
      </c>
      <c r="BY693" s="27" t="s">
        <v>8</v>
      </c>
      <c r="BZ693" s="27" t="s">
        <v>7</v>
      </c>
      <c r="CA693" s="27" t="s">
        <v>8</v>
      </c>
      <c r="CD693" s="27" t="s">
        <v>7</v>
      </c>
      <c r="CE693" s="27" t="s">
        <v>8</v>
      </c>
      <c r="CF693" s="27" t="s">
        <v>7</v>
      </c>
      <c r="CG693" s="27" t="s">
        <v>8</v>
      </c>
      <c r="CH693" s="27" t="s">
        <v>7</v>
      </c>
      <c r="CJ693" s="27" t="s">
        <v>7</v>
      </c>
      <c r="CL693" s="27" t="s">
        <v>7</v>
      </c>
      <c r="IS693" s="27" t="s">
        <v>8</v>
      </c>
      <c r="JH693" s="27" t="s">
        <v>7</v>
      </c>
      <c r="JI693" s="27" t="s">
        <v>8</v>
      </c>
      <c r="JN693" s="27" t="s">
        <v>7</v>
      </c>
    </row>
    <row r="694" spans="1:277" x14ac:dyDescent="0.25">
      <c r="A694" s="7">
        <v>0.12016600457827803</v>
      </c>
      <c r="B694"/>
      <c r="C694"/>
      <c r="D694"/>
      <c r="E694"/>
      <c r="V694" s="27" t="s">
        <v>7</v>
      </c>
      <c r="W694" s="27" t="s">
        <v>8</v>
      </c>
      <c r="X694" s="27" t="s">
        <v>7</v>
      </c>
      <c r="Y694" s="27" t="s">
        <v>8</v>
      </c>
      <c r="Z694" s="27" t="s">
        <v>7</v>
      </c>
      <c r="AA694" s="27" t="s">
        <v>8</v>
      </c>
      <c r="AB694" s="27" t="s">
        <v>7</v>
      </c>
      <c r="AC694" s="27" t="s">
        <v>8</v>
      </c>
      <c r="AD694" s="27" t="s">
        <v>7</v>
      </c>
      <c r="AE694" s="27" t="s">
        <v>8</v>
      </c>
      <c r="AG694" s="27" t="s">
        <v>8</v>
      </c>
      <c r="AH694" s="27" t="s">
        <v>7</v>
      </c>
      <c r="BE694" s="27" t="s">
        <v>8</v>
      </c>
      <c r="BF694" s="27" t="s">
        <v>7</v>
      </c>
      <c r="BG694" s="27" t="s">
        <v>8</v>
      </c>
      <c r="BH694" s="27" t="s">
        <v>7</v>
      </c>
      <c r="BI694" s="27" t="s">
        <v>8</v>
      </c>
      <c r="BJ694" s="27" t="s">
        <v>7</v>
      </c>
      <c r="BW694" s="27" t="s">
        <v>8</v>
      </c>
      <c r="BX694" s="27" t="s">
        <v>7</v>
      </c>
      <c r="BY694" s="27" t="s">
        <v>8</v>
      </c>
      <c r="BZ694" s="27" t="s">
        <v>7</v>
      </c>
      <c r="CA694" s="27" t="s">
        <v>8</v>
      </c>
      <c r="CD694" s="27" t="s">
        <v>7</v>
      </c>
      <c r="CE694" s="27" t="s">
        <v>8</v>
      </c>
      <c r="CF694" s="27" t="s">
        <v>7</v>
      </c>
      <c r="CG694" s="27" t="s">
        <v>8</v>
      </c>
      <c r="CL694" s="27" t="s">
        <v>7</v>
      </c>
      <c r="CM694" s="27" t="s">
        <v>8</v>
      </c>
      <c r="IS694" s="27" t="s">
        <v>8</v>
      </c>
      <c r="JH694" s="27" t="s">
        <v>7</v>
      </c>
      <c r="JI694" s="27" t="s">
        <v>8</v>
      </c>
    </row>
    <row r="695" spans="1:277" x14ac:dyDescent="0.25">
      <c r="A695" s="7">
        <v>0.1178098084100765</v>
      </c>
      <c r="B695"/>
      <c r="C695"/>
      <c r="D695"/>
      <c r="E695"/>
      <c r="V695" s="27" t="s">
        <v>7</v>
      </c>
      <c r="W695" s="27" t="s">
        <v>8</v>
      </c>
      <c r="X695" s="27" t="s">
        <v>7</v>
      </c>
      <c r="Y695" s="27" t="s">
        <v>8</v>
      </c>
      <c r="Z695" s="27" t="s">
        <v>7</v>
      </c>
      <c r="AA695" s="27" t="s">
        <v>8</v>
      </c>
      <c r="AB695" s="27" t="s">
        <v>7</v>
      </c>
      <c r="AC695" s="27" t="s">
        <v>8</v>
      </c>
      <c r="AD695" s="27" t="s">
        <v>7</v>
      </c>
      <c r="AE695" s="27" t="s">
        <v>8</v>
      </c>
      <c r="AF695" s="27" t="s">
        <v>7</v>
      </c>
      <c r="AG695" s="27" t="s">
        <v>8</v>
      </c>
      <c r="AH695" s="27" t="s">
        <v>7</v>
      </c>
      <c r="BA695" s="27" t="s">
        <v>8</v>
      </c>
      <c r="BE695" s="27" t="s">
        <v>8</v>
      </c>
      <c r="BF695" s="27" t="s">
        <v>7</v>
      </c>
      <c r="BG695" s="27" t="s">
        <v>8</v>
      </c>
      <c r="BH695" s="27" t="s">
        <v>7</v>
      </c>
      <c r="BJ695" s="27" t="s">
        <v>7</v>
      </c>
      <c r="BK695" s="27" t="s">
        <v>8</v>
      </c>
      <c r="BM695" s="27" t="s">
        <v>8</v>
      </c>
      <c r="BW695" s="27" t="s">
        <v>8</v>
      </c>
      <c r="BX695" s="27" t="s">
        <v>7</v>
      </c>
      <c r="BZ695" s="27" t="s">
        <v>7</v>
      </c>
      <c r="CD695" s="27" t="s">
        <v>7</v>
      </c>
      <c r="CF695" s="27" t="s">
        <v>7</v>
      </c>
      <c r="CL695" s="27" t="s">
        <v>7</v>
      </c>
      <c r="CM695" s="27" t="s">
        <v>8</v>
      </c>
      <c r="CN695" s="27" t="s">
        <v>7</v>
      </c>
      <c r="HK695" s="27" t="s">
        <v>8</v>
      </c>
      <c r="IS695" s="27" t="s">
        <v>8</v>
      </c>
      <c r="JH695" s="27" t="s">
        <v>7</v>
      </c>
      <c r="JI695" s="27" t="s">
        <v>8</v>
      </c>
    </row>
    <row r="696" spans="1:277" x14ac:dyDescent="0.25">
      <c r="A696" s="7">
        <v>0.11549981216674166</v>
      </c>
      <c r="B696"/>
      <c r="C696"/>
      <c r="D696"/>
      <c r="E696"/>
      <c r="V696" s="27" t="s">
        <v>7</v>
      </c>
      <c r="W696" s="27" t="s">
        <v>8</v>
      </c>
      <c r="X696" s="27" t="s">
        <v>7</v>
      </c>
      <c r="Y696" s="27" t="s">
        <v>8</v>
      </c>
      <c r="Z696" s="27" t="s">
        <v>7</v>
      </c>
      <c r="AA696" s="27" t="s">
        <v>8</v>
      </c>
      <c r="AB696" s="27" t="s">
        <v>7</v>
      </c>
      <c r="AD696" s="27" t="s">
        <v>7</v>
      </c>
      <c r="AE696" s="27" t="s">
        <v>8</v>
      </c>
      <c r="AF696" s="27" t="s">
        <v>7</v>
      </c>
      <c r="AG696" s="27" t="s">
        <v>8</v>
      </c>
      <c r="AH696" s="27" t="s">
        <v>7</v>
      </c>
      <c r="BA696" s="27" t="s">
        <v>8</v>
      </c>
      <c r="BB696" s="27" t="s">
        <v>7</v>
      </c>
      <c r="BE696" s="27" t="s">
        <v>8</v>
      </c>
      <c r="BF696" s="27" t="s">
        <v>7</v>
      </c>
      <c r="BJ696" s="27" t="s">
        <v>7</v>
      </c>
      <c r="BK696" s="27" t="s">
        <v>8</v>
      </c>
      <c r="BL696" s="27" t="s">
        <v>7</v>
      </c>
      <c r="BM696" s="27" t="s">
        <v>8</v>
      </c>
      <c r="BN696" s="27" t="s">
        <v>7</v>
      </c>
      <c r="BW696" s="27" t="s">
        <v>8</v>
      </c>
      <c r="CL696" s="27" t="s">
        <v>7</v>
      </c>
      <c r="CM696" s="27" t="s">
        <v>8</v>
      </c>
      <c r="CN696" s="27" t="s">
        <v>7</v>
      </c>
      <c r="HE696" s="27" t="s">
        <v>8</v>
      </c>
      <c r="HK696" s="27" t="s">
        <v>8</v>
      </c>
      <c r="HL696" s="27" t="s">
        <v>7</v>
      </c>
      <c r="IS696" s="27" t="s">
        <v>8</v>
      </c>
      <c r="JH696" s="27" t="s">
        <v>7</v>
      </c>
      <c r="JI696" s="27" t="s">
        <v>8</v>
      </c>
    </row>
    <row r="697" spans="1:277" x14ac:dyDescent="0.25">
      <c r="A697" s="7">
        <v>0.11323510996739378</v>
      </c>
      <c r="B697"/>
      <c r="C697"/>
      <c r="D697"/>
      <c r="E697"/>
      <c r="V697" s="27" t="s">
        <v>7</v>
      </c>
      <c r="W697" s="27" t="s">
        <v>8</v>
      </c>
      <c r="X697" s="27" t="s">
        <v>7</v>
      </c>
      <c r="Y697" s="27" t="s">
        <v>8</v>
      </c>
      <c r="Z697" s="27" t="s">
        <v>7</v>
      </c>
      <c r="AA697" s="27" t="s">
        <v>8</v>
      </c>
      <c r="AD697" s="27" t="s">
        <v>7</v>
      </c>
      <c r="AE697" s="27" t="s">
        <v>8</v>
      </c>
      <c r="AF697" s="27" t="s">
        <v>7</v>
      </c>
      <c r="AG697" s="27" t="s">
        <v>8</v>
      </c>
      <c r="AH697" s="27" t="s">
        <v>7</v>
      </c>
      <c r="BA697" s="27" t="s">
        <v>8</v>
      </c>
      <c r="BB697" s="27" t="s">
        <v>7</v>
      </c>
      <c r="BE697" s="27" t="s">
        <v>8</v>
      </c>
      <c r="BJ697" s="27" t="s">
        <v>7</v>
      </c>
      <c r="BK697" s="27" t="s">
        <v>8</v>
      </c>
      <c r="BL697" s="27" t="s">
        <v>7</v>
      </c>
      <c r="BM697" s="27" t="s">
        <v>8</v>
      </c>
      <c r="BN697" s="27" t="s">
        <v>7</v>
      </c>
      <c r="BW697" s="27" t="s">
        <v>8</v>
      </c>
      <c r="CL697" s="27" t="s">
        <v>7</v>
      </c>
      <c r="CM697" s="27" t="s">
        <v>8</v>
      </c>
      <c r="CN697" s="27" t="s">
        <v>7</v>
      </c>
      <c r="HE697" s="27" t="s">
        <v>8</v>
      </c>
      <c r="HF697" s="27" t="s">
        <v>7</v>
      </c>
      <c r="HK697" s="27" t="s">
        <v>8</v>
      </c>
      <c r="HL697" s="27" t="s">
        <v>7</v>
      </c>
      <c r="IS697" s="27" t="s">
        <v>8</v>
      </c>
      <c r="JH697" s="27" t="s">
        <v>7</v>
      </c>
      <c r="JI697" s="27" t="s">
        <v>8</v>
      </c>
    </row>
    <row r="698" spans="1:277" x14ac:dyDescent="0.25">
      <c r="A698" s="7">
        <v>0.11101481369352331</v>
      </c>
      <c r="B698"/>
      <c r="C698"/>
      <c r="D698"/>
      <c r="E698"/>
      <c r="V698" s="27" t="s">
        <v>7</v>
      </c>
      <c r="W698" s="27" t="s">
        <v>8</v>
      </c>
      <c r="X698" s="27" t="s">
        <v>7</v>
      </c>
      <c r="Y698" s="27" t="s">
        <v>8</v>
      </c>
      <c r="Z698" s="27" t="s">
        <v>7</v>
      </c>
      <c r="AD698" s="27" t="s">
        <v>7</v>
      </c>
      <c r="AE698" s="27" t="s">
        <v>8</v>
      </c>
      <c r="AF698" s="27" t="s">
        <v>7</v>
      </c>
      <c r="AG698" s="27" t="s">
        <v>8</v>
      </c>
      <c r="AH698" s="27" t="s">
        <v>7</v>
      </c>
      <c r="AY698" s="27" t="s">
        <v>8</v>
      </c>
      <c r="BA698" s="27" t="s">
        <v>8</v>
      </c>
      <c r="BB698" s="27" t="s">
        <v>7</v>
      </c>
      <c r="BE698" s="27" t="s">
        <v>8</v>
      </c>
      <c r="BJ698" s="27" t="s">
        <v>7</v>
      </c>
      <c r="BK698" s="27" t="s">
        <v>8</v>
      </c>
      <c r="BL698" s="27" t="s">
        <v>7</v>
      </c>
      <c r="BN698" s="27" t="s">
        <v>7</v>
      </c>
      <c r="BW698" s="27" t="s">
        <v>8</v>
      </c>
      <c r="CL698" s="27" t="s">
        <v>7</v>
      </c>
      <c r="CM698" s="27" t="s">
        <v>8</v>
      </c>
      <c r="CN698" s="27" t="s">
        <v>7</v>
      </c>
      <c r="HE698" s="27" t="s">
        <v>8</v>
      </c>
      <c r="HF698" s="27" t="s">
        <v>7</v>
      </c>
      <c r="HG698" s="27" t="s">
        <v>8</v>
      </c>
      <c r="HK698" s="27" t="s">
        <v>8</v>
      </c>
      <c r="HL698" s="27" t="s">
        <v>7</v>
      </c>
      <c r="IS698" s="27" t="s">
        <v>8</v>
      </c>
      <c r="JH698" s="27" t="s">
        <v>7</v>
      </c>
    </row>
    <row r="699" spans="1:277" x14ac:dyDescent="0.25">
      <c r="A699" s="7">
        <v>0.10883805264070913</v>
      </c>
      <c r="B699"/>
      <c r="C699"/>
      <c r="D699"/>
      <c r="E699"/>
      <c r="V699" s="27" t="s">
        <v>7</v>
      </c>
      <c r="W699" s="27" t="s">
        <v>8</v>
      </c>
      <c r="X699" s="27" t="s">
        <v>7</v>
      </c>
      <c r="Y699" s="27" t="s">
        <v>8</v>
      </c>
      <c r="AD699" s="27" t="s">
        <v>7</v>
      </c>
      <c r="AE699" s="27" t="s">
        <v>8</v>
      </c>
      <c r="AF699" s="27" t="s">
        <v>7</v>
      </c>
      <c r="AH699" s="27" t="s">
        <v>7</v>
      </c>
      <c r="AI699" s="27" t="s">
        <v>8</v>
      </c>
      <c r="AK699" s="27" t="s">
        <v>8</v>
      </c>
      <c r="AW699" s="27" t="s">
        <v>8</v>
      </c>
      <c r="AY699" s="27" t="s">
        <v>8</v>
      </c>
      <c r="AZ699" s="27" t="s">
        <v>7</v>
      </c>
      <c r="BA699" s="27" t="s">
        <v>8</v>
      </c>
      <c r="BB699" s="27" t="s">
        <v>7</v>
      </c>
      <c r="BC699" s="27" t="s">
        <v>8</v>
      </c>
      <c r="BE699" s="27" t="s">
        <v>8</v>
      </c>
      <c r="BJ699" s="27" t="s">
        <v>7</v>
      </c>
      <c r="BN699" s="27" t="s">
        <v>7</v>
      </c>
      <c r="BW699" s="27" t="s">
        <v>8</v>
      </c>
      <c r="CL699" s="27" t="s">
        <v>7</v>
      </c>
      <c r="CM699" s="27" t="s">
        <v>8</v>
      </c>
      <c r="CN699" s="27" t="s">
        <v>7</v>
      </c>
      <c r="HE699" s="27" t="s">
        <v>8</v>
      </c>
      <c r="HF699" s="27" t="s">
        <v>7</v>
      </c>
      <c r="HG699" s="27" t="s">
        <v>8</v>
      </c>
      <c r="HH699" s="27" t="s">
        <v>7</v>
      </c>
      <c r="HK699" s="27" t="s">
        <v>8</v>
      </c>
      <c r="HL699" s="27" t="s">
        <v>7</v>
      </c>
      <c r="HM699" s="27" t="s">
        <v>8</v>
      </c>
      <c r="IS699" s="27" t="s">
        <v>8</v>
      </c>
    </row>
    <row r="700" spans="1:277" x14ac:dyDescent="0.25">
      <c r="A700" s="7">
        <v>0.10670397317716582</v>
      </c>
      <c r="B700"/>
      <c r="C700"/>
      <c r="D700"/>
      <c r="E700"/>
      <c r="V700" s="27" t="s">
        <v>7</v>
      </c>
      <c r="X700" s="27" t="s">
        <v>7</v>
      </c>
      <c r="Y700" s="27" t="s">
        <v>8</v>
      </c>
      <c r="AD700" s="27" t="s">
        <v>7</v>
      </c>
      <c r="AH700" s="27" t="s">
        <v>7</v>
      </c>
      <c r="AI700" s="27" t="s">
        <v>8</v>
      </c>
      <c r="AJ700" s="27" t="s">
        <v>7</v>
      </c>
      <c r="AK700" s="27" t="s">
        <v>8</v>
      </c>
      <c r="AL700" s="27" t="s">
        <v>7</v>
      </c>
      <c r="AW700" s="27" t="s">
        <v>8</v>
      </c>
      <c r="AX700" s="27" t="s">
        <v>7</v>
      </c>
      <c r="AY700" s="27" t="s">
        <v>8</v>
      </c>
      <c r="AZ700" s="27" t="s">
        <v>7</v>
      </c>
      <c r="BA700" s="27" t="s">
        <v>8</v>
      </c>
      <c r="BB700" s="27" t="s">
        <v>7</v>
      </c>
      <c r="BC700" s="27" t="s">
        <v>8</v>
      </c>
      <c r="BD700" s="27" t="s">
        <v>7</v>
      </c>
      <c r="BE700" s="27" t="s">
        <v>8</v>
      </c>
      <c r="BN700" s="27" t="s">
        <v>7</v>
      </c>
      <c r="BW700" s="27" t="s">
        <v>8</v>
      </c>
      <c r="CL700" s="27" t="s">
        <v>7</v>
      </c>
      <c r="CN700" s="27" t="s">
        <v>7</v>
      </c>
      <c r="GY700" s="27" t="s">
        <v>8</v>
      </c>
      <c r="HE700" s="27" t="s">
        <v>8</v>
      </c>
      <c r="HF700" s="27" t="s">
        <v>7</v>
      </c>
      <c r="HG700" s="27" t="s">
        <v>8</v>
      </c>
      <c r="HH700" s="27" t="s">
        <v>7</v>
      </c>
      <c r="HI700" s="27" t="s">
        <v>8</v>
      </c>
      <c r="HK700" s="27" t="s">
        <v>8</v>
      </c>
      <c r="HL700" s="27" t="s">
        <v>7</v>
      </c>
      <c r="HM700" s="27" t="s">
        <v>8</v>
      </c>
      <c r="HN700" s="27" t="s">
        <v>7</v>
      </c>
      <c r="IS700" s="27" t="s">
        <v>8</v>
      </c>
    </row>
    <row r="701" spans="1:277" x14ac:dyDescent="0.25">
      <c r="A701" s="7">
        <v>0.1046117384089861</v>
      </c>
      <c r="B701"/>
      <c r="C701"/>
      <c r="D701"/>
      <c r="E701"/>
      <c r="X701" s="27" t="s">
        <v>7</v>
      </c>
      <c r="Y701" s="27" t="s">
        <v>8</v>
      </c>
      <c r="AH701" s="27" t="s">
        <v>7</v>
      </c>
      <c r="AI701" s="27" t="s">
        <v>8</v>
      </c>
      <c r="AJ701" s="27" t="s">
        <v>7</v>
      </c>
      <c r="AK701" s="27" t="s">
        <v>8</v>
      </c>
      <c r="AL701" s="27" t="s">
        <v>7</v>
      </c>
      <c r="AW701" s="27" t="s">
        <v>8</v>
      </c>
      <c r="AX701" s="27" t="s">
        <v>7</v>
      </c>
      <c r="AY701" s="27" t="s">
        <v>8</v>
      </c>
      <c r="AZ701" s="27" t="s">
        <v>7</v>
      </c>
      <c r="BB701" s="27" t="s">
        <v>7</v>
      </c>
      <c r="BC701" s="27" t="s">
        <v>8</v>
      </c>
      <c r="BD701" s="27" t="s">
        <v>7</v>
      </c>
      <c r="BE701" s="27" t="s">
        <v>8</v>
      </c>
      <c r="BN701" s="27" t="s">
        <v>7</v>
      </c>
      <c r="BU701" s="27" t="s">
        <v>8</v>
      </c>
      <c r="BW701" s="27" t="s">
        <v>8</v>
      </c>
      <c r="CN701" s="27" t="s">
        <v>7</v>
      </c>
      <c r="GY701" s="27" t="s">
        <v>8</v>
      </c>
      <c r="GZ701" s="27" t="s">
        <v>7</v>
      </c>
      <c r="HC701" s="27" t="s">
        <v>8</v>
      </c>
      <c r="HE701" s="27" t="s">
        <v>8</v>
      </c>
      <c r="HF701" s="27" t="s">
        <v>7</v>
      </c>
      <c r="HG701" s="27" t="s">
        <v>8</v>
      </c>
      <c r="HH701" s="27" t="s">
        <v>7</v>
      </c>
      <c r="HI701" s="27" t="s">
        <v>8</v>
      </c>
      <c r="HJ701" s="27" t="s">
        <v>7</v>
      </c>
      <c r="HK701" s="27" t="s">
        <v>8</v>
      </c>
      <c r="HL701" s="27" t="s">
        <v>7</v>
      </c>
      <c r="HM701" s="27" t="s">
        <v>8</v>
      </c>
      <c r="HN701" s="27" t="s">
        <v>7</v>
      </c>
      <c r="HO701" s="27" t="s">
        <v>8</v>
      </c>
      <c r="IS701" s="27" t="s">
        <v>8</v>
      </c>
    </row>
    <row r="702" spans="1:277" x14ac:dyDescent="0.25">
      <c r="A702" s="7">
        <v>0.10256052785194716</v>
      </c>
      <c r="B702"/>
      <c r="C702"/>
      <c r="D702"/>
      <c r="E702"/>
      <c r="X702" s="27" t="s">
        <v>7</v>
      </c>
      <c r="Y702" s="27" t="s">
        <v>8</v>
      </c>
      <c r="AH702" s="27" t="s">
        <v>7</v>
      </c>
      <c r="AI702" s="27" t="s">
        <v>8</v>
      </c>
      <c r="AJ702" s="27" t="s">
        <v>7</v>
      </c>
      <c r="AL702" s="27" t="s">
        <v>7</v>
      </c>
      <c r="AW702" s="27" t="s">
        <v>8</v>
      </c>
      <c r="AX702" s="27" t="s">
        <v>7</v>
      </c>
      <c r="AY702" s="27" t="s">
        <v>8</v>
      </c>
      <c r="BB702" s="27" t="s">
        <v>7</v>
      </c>
      <c r="BC702" s="27" t="s">
        <v>8</v>
      </c>
      <c r="BD702" s="27" t="s">
        <v>7</v>
      </c>
      <c r="BE702" s="27" t="s">
        <v>8</v>
      </c>
      <c r="BN702" s="27" t="s">
        <v>7</v>
      </c>
      <c r="BO702" s="27" t="s">
        <v>8</v>
      </c>
      <c r="BQ702" s="27" t="s">
        <v>8</v>
      </c>
      <c r="BU702" s="27" t="s">
        <v>8</v>
      </c>
      <c r="BV702" s="27" t="s">
        <v>7</v>
      </c>
      <c r="BW702" s="27" t="s">
        <v>8</v>
      </c>
      <c r="CN702" s="27" t="s">
        <v>7</v>
      </c>
      <c r="GY702" s="27" t="s">
        <v>8</v>
      </c>
      <c r="GZ702" s="27" t="s">
        <v>7</v>
      </c>
      <c r="HC702" s="27" t="s">
        <v>8</v>
      </c>
      <c r="HD702" s="27" t="s">
        <v>7</v>
      </c>
      <c r="HE702" s="27" t="s">
        <v>8</v>
      </c>
      <c r="HF702" s="27" t="s">
        <v>7</v>
      </c>
      <c r="HH702" s="27" t="s">
        <v>7</v>
      </c>
      <c r="HI702" s="27" t="s">
        <v>8</v>
      </c>
      <c r="HJ702" s="27" t="s">
        <v>7</v>
      </c>
      <c r="HK702" s="27" t="s">
        <v>8</v>
      </c>
      <c r="HL702" s="27" t="s">
        <v>7</v>
      </c>
      <c r="HM702" s="27" t="s">
        <v>8</v>
      </c>
      <c r="HN702" s="27" t="s">
        <v>7</v>
      </c>
      <c r="HO702" s="27" t="s">
        <v>8</v>
      </c>
      <c r="HP702" s="27" t="s">
        <v>7</v>
      </c>
      <c r="IS702" s="27" t="s">
        <v>8</v>
      </c>
    </row>
    <row r="703" spans="1:277" x14ac:dyDescent="0.25">
      <c r="A703" s="7">
        <v>0.10054953710975212</v>
      </c>
      <c r="B703"/>
      <c r="C703"/>
      <c r="D703"/>
      <c r="E703"/>
      <c r="X703" s="27" t="s">
        <v>7</v>
      </c>
      <c r="Y703" s="27" t="s">
        <v>8</v>
      </c>
      <c r="AH703" s="27" t="s">
        <v>7</v>
      </c>
      <c r="AI703" s="27" t="s">
        <v>8</v>
      </c>
      <c r="AL703" s="27" t="s">
        <v>7</v>
      </c>
      <c r="AW703" s="27" t="s">
        <v>8</v>
      </c>
      <c r="AX703" s="27" t="s">
        <v>7</v>
      </c>
      <c r="AY703" s="27" t="s">
        <v>8</v>
      </c>
      <c r="BB703" s="27" t="s">
        <v>7</v>
      </c>
      <c r="BD703" s="27" t="s">
        <v>7</v>
      </c>
      <c r="BE703" s="27" t="s">
        <v>8</v>
      </c>
      <c r="BN703" s="27" t="s">
        <v>7</v>
      </c>
      <c r="BO703" s="27" t="s">
        <v>8</v>
      </c>
      <c r="BP703" s="27" t="s">
        <v>7</v>
      </c>
      <c r="BQ703" s="27" t="s">
        <v>8</v>
      </c>
      <c r="BR703" s="27" t="s">
        <v>7</v>
      </c>
      <c r="BU703" s="27" t="s">
        <v>8</v>
      </c>
      <c r="BV703" s="27" t="s">
        <v>7</v>
      </c>
      <c r="BW703" s="27" t="s">
        <v>8</v>
      </c>
      <c r="CN703" s="27" t="s">
        <v>7</v>
      </c>
      <c r="CO703" s="27" t="s">
        <v>8</v>
      </c>
      <c r="GW703" s="27" t="s">
        <v>8</v>
      </c>
      <c r="GY703" s="27" t="s">
        <v>8</v>
      </c>
      <c r="GZ703" s="27" t="s">
        <v>7</v>
      </c>
      <c r="HA703" s="27" t="s">
        <v>8</v>
      </c>
      <c r="HC703" s="27" t="s">
        <v>8</v>
      </c>
      <c r="HD703" s="27" t="s">
        <v>7</v>
      </c>
      <c r="HE703" s="27" t="s">
        <v>8</v>
      </c>
      <c r="HH703" s="27" t="s">
        <v>7</v>
      </c>
      <c r="HI703" s="27" t="s">
        <v>8</v>
      </c>
      <c r="HJ703" s="27" t="s">
        <v>7</v>
      </c>
      <c r="HK703" s="27" t="s">
        <v>8</v>
      </c>
      <c r="HL703" s="27" t="s">
        <v>7</v>
      </c>
      <c r="HM703" s="27" t="s">
        <v>8</v>
      </c>
      <c r="HN703" s="27" t="s">
        <v>7</v>
      </c>
      <c r="HO703" s="27" t="s">
        <v>8</v>
      </c>
      <c r="HP703" s="27" t="s">
        <v>7</v>
      </c>
      <c r="HQ703" s="27" t="s">
        <v>8</v>
      </c>
      <c r="IS703" s="27" t="s">
        <v>8</v>
      </c>
    </row>
    <row r="704" spans="1:277" x14ac:dyDescent="0.25">
      <c r="A704" s="7">
        <v>9.8577977558580512E-2</v>
      </c>
      <c r="B704"/>
      <c r="C704"/>
      <c r="D704"/>
      <c r="E704"/>
      <c r="X704" s="27" t="s">
        <v>7</v>
      </c>
      <c r="Y704" s="27" t="s">
        <v>8</v>
      </c>
      <c r="AH704" s="27" t="s">
        <v>7</v>
      </c>
      <c r="AL704" s="27" t="s">
        <v>7</v>
      </c>
      <c r="AW704" s="27" t="s">
        <v>8</v>
      </c>
      <c r="AX704" s="27" t="s">
        <v>7</v>
      </c>
      <c r="AY704" s="27" t="s">
        <v>8</v>
      </c>
      <c r="BD704" s="27" t="s">
        <v>7</v>
      </c>
      <c r="BN704" s="27" t="s">
        <v>7</v>
      </c>
      <c r="BO704" s="27" t="s">
        <v>8</v>
      </c>
      <c r="BP704" s="27" t="s">
        <v>7</v>
      </c>
      <c r="BQ704" s="27" t="s">
        <v>8</v>
      </c>
      <c r="BR704" s="27" t="s">
        <v>7</v>
      </c>
      <c r="BS704" s="27" t="s">
        <v>8</v>
      </c>
      <c r="BU704" s="27" t="s">
        <v>8</v>
      </c>
      <c r="BV704" s="27" t="s">
        <v>7</v>
      </c>
      <c r="BW704" s="27" t="s">
        <v>8</v>
      </c>
      <c r="CN704" s="27" t="s">
        <v>7</v>
      </c>
      <c r="CO704" s="27" t="s">
        <v>8</v>
      </c>
      <c r="CP704" s="27" t="s">
        <v>7</v>
      </c>
      <c r="GW704" s="27" t="s">
        <v>8</v>
      </c>
      <c r="GX704" s="27" t="s">
        <v>7</v>
      </c>
      <c r="GY704" s="27" t="s">
        <v>8</v>
      </c>
      <c r="GZ704" s="27" t="s">
        <v>7</v>
      </c>
      <c r="HA704" s="27" t="s">
        <v>8</v>
      </c>
      <c r="HB704" s="27" t="s">
        <v>7</v>
      </c>
      <c r="HC704" s="27" t="s">
        <v>8</v>
      </c>
      <c r="HD704" s="27" t="s">
        <v>7</v>
      </c>
      <c r="HE704" s="27" t="s">
        <v>8</v>
      </c>
      <c r="HH704" s="27" t="s">
        <v>7</v>
      </c>
      <c r="HI704" s="27" t="s">
        <v>8</v>
      </c>
      <c r="HJ704" s="27" t="s">
        <v>7</v>
      </c>
      <c r="HK704" s="27" t="s">
        <v>8</v>
      </c>
      <c r="HL704" s="27" t="s">
        <v>7</v>
      </c>
      <c r="HN704" s="27" t="s">
        <v>7</v>
      </c>
      <c r="HP704" s="27" t="s">
        <v>7</v>
      </c>
      <c r="HQ704" s="27" t="s">
        <v>8</v>
      </c>
      <c r="HR704" s="27" t="s">
        <v>7</v>
      </c>
      <c r="IS704" s="27" t="s">
        <v>8</v>
      </c>
    </row>
    <row r="705" spans="1:253" x14ac:dyDescent="0.25">
      <c r="A705" s="7">
        <v>9.6645076037824032E-2</v>
      </c>
      <c r="B705"/>
      <c r="C705"/>
      <c r="D705"/>
      <c r="E705"/>
      <c r="X705" s="27" t="s">
        <v>7</v>
      </c>
      <c r="Y705" s="27" t="s">
        <v>8</v>
      </c>
      <c r="AL705" s="27" t="s">
        <v>7</v>
      </c>
      <c r="AS705" s="27" t="s">
        <v>8</v>
      </c>
      <c r="AW705" s="27" t="s">
        <v>8</v>
      </c>
      <c r="AX705" s="27" t="s">
        <v>7</v>
      </c>
      <c r="BN705" s="27" t="s">
        <v>7</v>
      </c>
      <c r="BP705" s="27" t="s">
        <v>7</v>
      </c>
      <c r="BQ705" s="27" t="s">
        <v>8</v>
      </c>
      <c r="BR705" s="27" t="s">
        <v>7</v>
      </c>
      <c r="BS705" s="27" t="s">
        <v>8</v>
      </c>
      <c r="BT705" s="27" t="s">
        <v>7</v>
      </c>
      <c r="BU705" s="27" t="s">
        <v>8</v>
      </c>
      <c r="BV705" s="27" t="s">
        <v>7</v>
      </c>
      <c r="BW705" s="27" t="s">
        <v>8</v>
      </c>
      <c r="CN705" s="27" t="s">
        <v>7</v>
      </c>
      <c r="CO705" s="27" t="s">
        <v>8</v>
      </c>
      <c r="CP705" s="27" t="s">
        <v>7</v>
      </c>
      <c r="CQ705" s="27" t="s">
        <v>8</v>
      </c>
      <c r="GU705" s="27" t="s">
        <v>8</v>
      </c>
      <c r="GW705" s="27" t="s">
        <v>8</v>
      </c>
      <c r="GX705" s="27" t="s">
        <v>7</v>
      </c>
      <c r="GY705" s="27" t="s">
        <v>8</v>
      </c>
      <c r="GZ705" s="27" t="s">
        <v>7</v>
      </c>
      <c r="HA705" s="27" t="s">
        <v>8</v>
      </c>
      <c r="HB705" s="27" t="s">
        <v>7</v>
      </c>
      <c r="HC705" s="27" t="s">
        <v>8</v>
      </c>
      <c r="HD705" s="27" t="s">
        <v>7</v>
      </c>
      <c r="HE705" s="27" t="s">
        <v>8</v>
      </c>
      <c r="HH705" s="27" t="s">
        <v>7</v>
      </c>
      <c r="HI705" s="27" t="s">
        <v>8</v>
      </c>
      <c r="HJ705" s="27" t="s">
        <v>7</v>
      </c>
      <c r="HP705" s="27" t="s">
        <v>7</v>
      </c>
      <c r="HQ705" s="27" t="s">
        <v>8</v>
      </c>
      <c r="HR705" s="27" t="s">
        <v>7</v>
      </c>
      <c r="IS705" s="27" t="s">
        <v>8</v>
      </c>
    </row>
    <row r="706" spans="1:253" x14ac:dyDescent="0.25">
      <c r="A706" s="7">
        <v>9.4750074546886304E-2</v>
      </c>
      <c r="B706"/>
      <c r="C706"/>
      <c r="D706"/>
      <c r="E706"/>
      <c r="X706" s="27" t="s">
        <v>7</v>
      </c>
      <c r="Y706" s="27" t="s">
        <v>8</v>
      </c>
      <c r="AL706" s="27" t="s">
        <v>7</v>
      </c>
      <c r="AS706" s="27" t="s">
        <v>8</v>
      </c>
      <c r="AT706" s="27" t="s">
        <v>7</v>
      </c>
      <c r="AW706" s="27" t="s">
        <v>8</v>
      </c>
      <c r="BP706" s="27" t="s">
        <v>7</v>
      </c>
      <c r="BR706" s="27" t="s">
        <v>7</v>
      </c>
      <c r="BS706" s="27" t="s">
        <v>8</v>
      </c>
      <c r="BT706" s="27" t="s">
        <v>7</v>
      </c>
      <c r="BU706" s="27" t="s">
        <v>8</v>
      </c>
      <c r="BV706" s="27" t="s">
        <v>7</v>
      </c>
      <c r="CN706" s="27" t="s">
        <v>7</v>
      </c>
      <c r="CO706" s="27" t="s">
        <v>8</v>
      </c>
      <c r="CP706" s="27" t="s">
        <v>7</v>
      </c>
      <c r="CQ706" s="27" t="s">
        <v>8</v>
      </c>
      <c r="CR706" s="27" t="s">
        <v>7</v>
      </c>
      <c r="GU706" s="27" t="s">
        <v>8</v>
      </c>
      <c r="GV706" s="27" t="s">
        <v>7</v>
      </c>
      <c r="GW706" s="27" t="s">
        <v>8</v>
      </c>
      <c r="GX706" s="27" t="s">
        <v>7</v>
      </c>
      <c r="GY706" s="27" t="s">
        <v>8</v>
      </c>
      <c r="GZ706" s="27" t="s">
        <v>7</v>
      </c>
      <c r="HB706" s="27" t="s">
        <v>7</v>
      </c>
      <c r="HD706" s="27" t="s">
        <v>7</v>
      </c>
      <c r="HE706" s="27" t="s">
        <v>8</v>
      </c>
      <c r="HH706" s="27" t="s">
        <v>7</v>
      </c>
      <c r="HI706" s="27" t="s">
        <v>8</v>
      </c>
      <c r="HP706" s="27" t="s">
        <v>7</v>
      </c>
      <c r="HQ706" s="27" t="s">
        <v>8</v>
      </c>
      <c r="HR706" s="27" t="s">
        <v>7</v>
      </c>
      <c r="IS706" s="27" t="s">
        <v>8</v>
      </c>
    </row>
    <row r="707" spans="1:253" x14ac:dyDescent="0.25">
      <c r="A707" s="7">
        <v>9.2892229947927743E-2</v>
      </c>
      <c r="B707"/>
      <c r="C707"/>
      <c r="D707"/>
      <c r="E707"/>
      <c r="X707" s="27" t="s">
        <v>7</v>
      </c>
      <c r="AL707" s="27" t="s">
        <v>7</v>
      </c>
      <c r="AQ707" s="27" t="s">
        <v>8</v>
      </c>
      <c r="AS707" s="27" t="s">
        <v>8</v>
      </c>
      <c r="AT707" s="27" t="s">
        <v>7</v>
      </c>
      <c r="AW707" s="27" t="s">
        <v>8</v>
      </c>
      <c r="BR707" s="27" t="s">
        <v>7</v>
      </c>
      <c r="BT707" s="27" t="s">
        <v>7</v>
      </c>
      <c r="BU707" s="27" t="s">
        <v>8</v>
      </c>
      <c r="CN707" s="27" t="s">
        <v>7</v>
      </c>
      <c r="CO707" s="27" t="s">
        <v>8</v>
      </c>
      <c r="CP707" s="27" t="s">
        <v>7</v>
      </c>
      <c r="CQ707" s="27" t="s">
        <v>8</v>
      </c>
      <c r="CR707" s="27" t="s">
        <v>7</v>
      </c>
      <c r="GU707" s="27" t="s">
        <v>8</v>
      </c>
      <c r="GV707" s="27" t="s">
        <v>7</v>
      </c>
      <c r="GW707" s="27" t="s">
        <v>8</v>
      </c>
      <c r="GX707" s="27" t="s">
        <v>7</v>
      </c>
      <c r="GY707" s="27" t="s">
        <v>8</v>
      </c>
      <c r="HD707" s="27" t="s">
        <v>7</v>
      </c>
      <c r="HE707" s="27" t="s">
        <v>8</v>
      </c>
      <c r="HH707" s="27" t="s">
        <v>7</v>
      </c>
      <c r="HI707" s="27" t="s">
        <v>8</v>
      </c>
      <c r="HP707" s="27" t="s">
        <v>7</v>
      </c>
      <c r="HQ707" s="27" t="s">
        <v>8</v>
      </c>
      <c r="HR707" s="27" t="s">
        <v>7</v>
      </c>
      <c r="IS707" s="27" t="s">
        <v>8</v>
      </c>
    </row>
    <row r="708" spans="1:253" x14ac:dyDescent="0.25">
      <c r="A708" s="7">
        <v>9.1070813674438963E-2</v>
      </c>
      <c r="B708"/>
      <c r="C708"/>
      <c r="D708"/>
      <c r="E708"/>
      <c r="AL708" s="27" t="s">
        <v>7</v>
      </c>
      <c r="AQ708" s="27" t="s">
        <v>8</v>
      </c>
      <c r="AR708" s="27" t="s">
        <v>7</v>
      </c>
      <c r="AS708" s="27" t="s">
        <v>8</v>
      </c>
      <c r="AT708" s="27" t="s">
        <v>7</v>
      </c>
      <c r="AW708" s="27" t="s">
        <v>8</v>
      </c>
      <c r="BT708" s="27" t="s">
        <v>7</v>
      </c>
      <c r="BU708" s="27" t="s">
        <v>8</v>
      </c>
      <c r="CN708" s="27" t="s">
        <v>7</v>
      </c>
      <c r="CO708" s="27" t="s">
        <v>8</v>
      </c>
      <c r="CP708" s="27" t="s">
        <v>7</v>
      </c>
      <c r="CQ708" s="27" t="s">
        <v>8</v>
      </c>
      <c r="CR708" s="27" t="s">
        <v>7</v>
      </c>
      <c r="GU708" s="27" t="s">
        <v>8</v>
      </c>
      <c r="GV708" s="27" t="s">
        <v>7</v>
      </c>
      <c r="GW708" s="27" t="s">
        <v>8</v>
      </c>
      <c r="GX708" s="27" t="s">
        <v>7</v>
      </c>
      <c r="GY708" s="27" t="s">
        <v>8</v>
      </c>
      <c r="HD708" s="27" t="s">
        <v>7</v>
      </c>
      <c r="HE708" s="27" t="s">
        <v>8</v>
      </c>
      <c r="HH708" s="27" t="s">
        <v>7</v>
      </c>
      <c r="HI708" s="27" t="s">
        <v>8</v>
      </c>
      <c r="HP708" s="27" t="s">
        <v>7</v>
      </c>
      <c r="HR708" s="27" t="s">
        <v>7</v>
      </c>
      <c r="IS708" s="27" t="s">
        <v>8</v>
      </c>
    </row>
    <row r="709" spans="1:253" x14ac:dyDescent="0.25">
      <c r="A709" s="7">
        <v>8.9285111445528392E-2</v>
      </c>
      <c r="B709"/>
      <c r="C709"/>
      <c r="D709"/>
      <c r="E709"/>
      <c r="AL709" s="27" t="s">
        <v>7</v>
      </c>
      <c r="AQ709" s="27" t="s">
        <v>8</v>
      </c>
      <c r="AR709" s="27" t="s">
        <v>7</v>
      </c>
      <c r="AS709" s="27" t="s">
        <v>8</v>
      </c>
      <c r="AT709" s="27" t="s">
        <v>7</v>
      </c>
      <c r="AU709" s="27" t="s">
        <v>8</v>
      </c>
      <c r="AW709" s="27" t="s">
        <v>8</v>
      </c>
      <c r="BT709" s="27" t="s">
        <v>7</v>
      </c>
      <c r="BU709" s="27" t="s">
        <v>8</v>
      </c>
      <c r="CN709" s="27" t="s">
        <v>7</v>
      </c>
      <c r="CO709" s="27" t="s">
        <v>8</v>
      </c>
      <c r="CP709" s="27" t="s">
        <v>7</v>
      </c>
      <c r="CQ709" s="27" t="s">
        <v>8</v>
      </c>
      <c r="CR709" s="27" t="s">
        <v>7</v>
      </c>
      <c r="CS709" s="27" t="s">
        <v>8</v>
      </c>
      <c r="GU709" s="27" t="s">
        <v>8</v>
      </c>
      <c r="GV709" s="27" t="s">
        <v>7</v>
      </c>
      <c r="GW709" s="27" t="s">
        <v>8</v>
      </c>
      <c r="GX709" s="27" t="s">
        <v>7</v>
      </c>
      <c r="GY709" s="27" t="s">
        <v>8</v>
      </c>
      <c r="HD709" s="27" t="s">
        <v>7</v>
      </c>
      <c r="HH709" s="27" t="s">
        <v>7</v>
      </c>
      <c r="HR709" s="27" t="s">
        <v>7</v>
      </c>
      <c r="IS709" s="27" t="s">
        <v>8</v>
      </c>
    </row>
    <row r="710" spans="1:253" x14ac:dyDescent="0.25">
      <c r="A710" s="7">
        <v>8.7534422985812155E-2</v>
      </c>
      <c r="B710"/>
      <c r="C710"/>
      <c r="D710"/>
      <c r="E710"/>
      <c r="AL710" s="27" t="s">
        <v>7</v>
      </c>
      <c r="AM710" s="27" t="s">
        <v>8</v>
      </c>
      <c r="AQ710" s="27" t="s">
        <v>8</v>
      </c>
      <c r="AR710" s="27" t="s">
        <v>7</v>
      </c>
      <c r="AS710" s="27" t="s">
        <v>8</v>
      </c>
      <c r="AT710" s="27" t="s">
        <v>7</v>
      </c>
      <c r="AU710" s="27" t="s">
        <v>8</v>
      </c>
      <c r="AV710" s="27" t="s">
        <v>7</v>
      </c>
      <c r="AW710" s="27" t="s">
        <v>8</v>
      </c>
      <c r="BT710" s="27" t="s">
        <v>7</v>
      </c>
      <c r="CN710" s="27" t="s">
        <v>7</v>
      </c>
      <c r="CO710" s="27" t="s">
        <v>8</v>
      </c>
      <c r="CP710" s="27" t="s">
        <v>7</v>
      </c>
      <c r="CQ710" s="27" t="s">
        <v>8</v>
      </c>
      <c r="CR710" s="27" t="s">
        <v>7</v>
      </c>
      <c r="CS710" s="27" t="s">
        <v>8</v>
      </c>
      <c r="CT710" s="27" t="s">
        <v>7</v>
      </c>
      <c r="DC710" s="27" t="s">
        <v>8</v>
      </c>
      <c r="DS710" s="27" t="s">
        <v>8</v>
      </c>
      <c r="ES710" s="27" t="s">
        <v>8</v>
      </c>
      <c r="GU710" s="27" t="s">
        <v>8</v>
      </c>
      <c r="GV710" s="27" t="s">
        <v>7</v>
      </c>
      <c r="GW710" s="27" t="s">
        <v>8</v>
      </c>
      <c r="GX710" s="27" t="s">
        <v>7</v>
      </c>
      <c r="GY710" s="27" t="s">
        <v>8</v>
      </c>
      <c r="HR710" s="27" t="s">
        <v>7</v>
      </c>
      <c r="II710" s="27" t="s">
        <v>8</v>
      </c>
      <c r="IQ710" s="27" t="s">
        <v>8</v>
      </c>
      <c r="IS710" s="27" t="s">
        <v>8</v>
      </c>
    </row>
    <row r="711" spans="1:253" x14ac:dyDescent="0.25">
      <c r="A711" s="7">
        <v>8.5818061750796232E-2</v>
      </c>
      <c r="B711"/>
      <c r="C711"/>
      <c r="D711"/>
      <c r="E711"/>
      <c r="AL711" s="27" t="s">
        <v>7</v>
      </c>
      <c r="AM711" s="27" t="s">
        <v>8</v>
      </c>
      <c r="AN711" s="27" t="s">
        <v>7</v>
      </c>
      <c r="AQ711" s="27" t="s">
        <v>8</v>
      </c>
      <c r="AR711" s="27" t="s">
        <v>7</v>
      </c>
      <c r="AT711" s="27" t="s">
        <v>7</v>
      </c>
      <c r="AU711" s="27" t="s">
        <v>8</v>
      </c>
      <c r="AV711" s="27" t="s">
        <v>7</v>
      </c>
      <c r="AW711" s="27" t="s">
        <v>8</v>
      </c>
      <c r="CN711" s="27" t="s">
        <v>7</v>
      </c>
      <c r="CP711" s="27" t="s">
        <v>7</v>
      </c>
      <c r="CQ711" s="27" t="s">
        <v>8</v>
      </c>
      <c r="CR711" s="27" t="s">
        <v>7</v>
      </c>
      <c r="CS711" s="27" t="s">
        <v>8</v>
      </c>
      <c r="CT711" s="27" t="s">
        <v>7</v>
      </c>
      <c r="DC711" s="27" t="s">
        <v>8</v>
      </c>
      <c r="DD711" s="27" t="s">
        <v>7</v>
      </c>
      <c r="DS711" s="27" t="s">
        <v>8</v>
      </c>
      <c r="DT711" s="27" t="s">
        <v>7</v>
      </c>
      <c r="ES711" s="27" t="s">
        <v>8</v>
      </c>
      <c r="ET711" s="27" t="s">
        <v>7</v>
      </c>
      <c r="GM711" s="27" t="s">
        <v>8</v>
      </c>
      <c r="GU711" s="27" t="s">
        <v>8</v>
      </c>
      <c r="GV711" s="27" t="s">
        <v>7</v>
      </c>
      <c r="GW711" s="27" t="s">
        <v>8</v>
      </c>
      <c r="GX711" s="27" t="s">
        <v>7</v>
      </c>
      <c r="HR711" s="27" t="s">
        <v>7</v>
      </c>
      <c r="IG711" s="27" t="s">
        <v>8</v>
      </c>
      <c r="II711" s="27" t="s">
        <v>8</v>
      </c>
      <c r="IJ711" s="27" t="s">
        <v>7</v>
      </c>
      <c r="IM711" s="27" t="s">
        <v>8</v>
      </c>
      <c r="IQ711" s="27" t="s">
        <v>8</v>
      </c>
      <c r="IR711" s="27" t="s">
        <v>7</v>
      </c>
      <c r="IS711" s="27" t="s">
        <v>8</v>
      </c>
    </row>
    <row r="712" spans="1:253" x14ac:dyDescent="0.25">
      <c r="A712" s="7">
        <v>8.4135354657643366E-2</v>
      </c>
      <c r="B712"/>
      <c r="C712"/>
      <c r="D712"/>
      <c r="E712"/>
      <c r="AL712" s="27" t="s">
        <v>7</v>
      </c>
      <c r="AM712" s="27" t="s">
        <v>8</v>
      </c>
      <c r="AN712" s="27" t="s">
        <v>7</v>
      </c>
      <c r="AQ712" s="27" t="s">
        <v>8</v>
      </c>
      <c r="AT712" s="27" t="s">
        <v>7</v>
      </c>
      <c r="AU712" s="27" t="s">
        <v>8</v>
      </c>
      <c r="AV712" s="27" t="s">
        <v>7</v>
      </c>
      <c r="AW712" s="27" t="s">
        <v>8</v>
      </c>
      <c r="CP712" s="27" t="s">
        <v>7</v>
      </c>
      <c r="CQ712" s="27" t="s">
        <v>8</v>
      </c>
      <c r="CR712" s="27" t="s">
        <v>7</v>
      </c>
      <c r="CS712" s="27" t="s">
        <v>8</v>
      </c>
      <c r="CT712" s="27" t="s">
        <v>7</v>
      </c>
      <c r="DC712" s="27" t="s">
        <v>8</v>
      </c>
      <c r="DD712" s="27" t="s">
        <v>7</v>
      </c>
      <c r="DS712" s="27" t="s">
        <v>8</v>
      </c>
      <c r="DT712" s="27" t="s">
        <v>7</v>
      </c>
      <c r="ES712" s="27" t="s">
        <v>8</v>
      </c>
      <c r="ET712" s="27" t="s">
        <v>7</v>
      </c>
      <c r="GK712" s="27" t="s">
        <v>8</v>
      </c>
      <c r="GM712" s="27" t="s">
        <v>8</v>
      </c>
      <c r="GN712" s="27" t="s">
        <v>7</v>
      </c>
      <c r="GU712" s="27" t="s">
        <v>8</v>
      </c>
      <c r="GV712" s="27" t="s">
        <v>7</v>
      </c>
      <c r="GW712" s="27" t="s">
        <v>8</v>
      </c>
      <c r="HR712" s="27" t="s">
        <v>7</v>
      </c>
      <c r="HU712" s="27" t="s">
        <v>8</v>
      </c>
      <c r="IG712" s="27" t="s">
        <v>8</v>
      </c>
      <c r="IH712" s="27" t="s">
        <v>7</v>
      </c>
      <c r="II712" s="27" t="s">
        <v>8</v>
      </c>
      <c r="IJ712" s="27" t="s">
        <v>7</v>
      </c>
      <c r="IM712" s="27" t="s">
        <v>8</v>
      </c>
      <c r="IN712" s="27" t="s">
        <v>7</v>
      </c>
      <c r="IO712" s="27" t="s">
        <v>8</v>
      </c>
      <c r="IQ712" s="27" t="s">
        <v>8</v>
      </c>
      <c r="IR712" s="27" t="s">
        <v>7</v>
      </c>
      <c r="IS712" s="27" t="s">
        <v>8</v>
      </c>
    </row>
    <row r="713" spans="1:253" x14ac:dyDescent="0.25">
      <c r="A713" s="7">
        <v>8.248564182121898E-2</v>
      </c>
      <c r="B713"/>
      <c r="C713"/>
      <c r="D713"/>
      <c r="E713"/>
      <c r="AL713" s="27" t="s">
        <v>7</v>
      </c>
      <c r="AM713" s="27" t="s">
        <v>8</v>
      </c>
      <c r="AN713" s="27" t="s">
        <v>7</v>
      </c>
      <c r="AO713" s="27" t="s">
        <v>8</v>
      </c>
      <c r="AQ713" s="27" t="s">
        <v>8</v>
      </c>
      <c r="AT713" s="27" t="s">
        <v>7</v>
      </c>
      <c r="AU713" s="27" t="s">
        <v>8</v>
      </c>
      <c r="AV713" s="27" t="s">
        <v>7</v>
      </c>
      <c r="AW713" s="27" t="s">
        <v>8</v>
      </c>
      <c r="CP713" s="27" t="s">
        <v>7</v>
      </c>
      <c r="CQ713" s="27" t="s">
        <v>8</v>
      </c>
      <c r="CR713" s="27" t="s">
        <v>7</v>
      </c>
      <c r="CT713" s="27" t="s">
        <v>7</v>
      </c>
      <c r="DC713" s="27" t="s">
        <v>8</v>
      </c>
      <c r="DD713" s="27" t="s">
        <v>7</v>
      </c>
      <c r="DS713" s="27" t="s">
        <v>8</v>
      </c>
      <c r="DT713" s="27" t="s">
        <v>7</v>
      </c>
      <c r="ES713" s="27" t="s">
        <v>8</v>
      </c>
      <c r="ET713" s="27" t="s">
        <v>7</v>
      </c>
      <c r="GK713" s="27" t="s">
        <v>8</v>
      </c>
      <c r="GL713" s="27" t="s">
        <v>7</v>
      </c>
      <c r="GM713" s="27" t="s">
        <v>8</v>
      </c>
      <c r="GN713" s="27" t="s">
        <v>7</v>
      </c>
      <c r="GU713" s="27" t="s">
        <v>8</v>
      </c>
      <c r="GV713" s="27" t="s">
        <v>7</v>
      </c>
      <c r="HR713" s="27" t="s">
        <v>7</v>
      </c>
      <c r="HS713" s="27" t="s">
        <v>8</v>
      </c>
      <c r="HU713" s="27" t="s">
        <v>8</v>
      </c>
      <c r="HV713" s="27" t="s">
        <v>7</v>
      </c>
      <c r="IG713" s="27" t="s">
        <v>8</v>
      </c>
      <c r="IH713" s="27" t="s">
        <v>7</v>
      </c>
      <c r="II713" s="27" t="s">
        <v>8</v>
      </c>
      <c r="IJ713" s="27" t="s">
        <v>7</v>
      </c>
      <c r="IM713" s="27" t="s">
        <v>8</v>
      </c>
      <c r="IN713" s="27" t="s">
        <v>7</v>
      </c>
      <c r="IO713" s="27" t="s">
        <v>8</v>
      </c>
      <c r="IP713" s="27" t="s">
        <v>7</v>
      </c>
      <c r="IQ713" s="27" t="s">
        <v>8</v>
      </c>
      <c r="IR713" s="27" t="s">
        <v>7</v>
      </c>
    </row>
    <row r="714" spans="1:253" x14ac:dyDescent="0.25">
      <c r="A714" s="7">
        <v>8.0868276295312735E-2</v>
      </c>
      <c r="B714"/>
      <c r="C714"/>
      <c r="D714"/>
      <c r="E714"/>
      <c r="AL714" s="27" t="s">
        <v>7</v>
      </c>
      <c r="AN714" s="27" t="s">
        <v>7</v>
      </c>
      <c r="AO714" s="27" t="s">
        <v>8</v>
      </c>
      <c r="AP714" s="27" t="s">
        <v>7</v>
      </c>
      <c r="AQ714" s="27" t="s">
        <v>8</v>
      </c>
      <c r="AT714" s="27" t="s">
        <v>7</v>
      </c>
      <c r="AV714" s="27" t="s">
        <v>7</v>
      </c>
      <c r="CP714" s="27" t="s">
        <v>7</v>
      </c>
      <c r="CQ714" s="27" t="s">
        <v>8</v>
      </c>
      <c r="CT714" s="27" t="s">
        <v>7</v>
      </c>
      <c r="DC714" s="27" t="s">
        <v>8</v>
      </c>
      <c r="DD714" s="27" t="s">
        <v>7</v>
      </c>
      <c r="DS714" s="27" t="s">
        <v>8</v>
      </c>
      <c r="DT714" s="27" t="s">
        <v>7</v>
      </c>
      <c r="DU714" s="27" t="s">
        <v>8</v>
      </c>
      <c r="ES714" s="27" t="s">
        <v>8</v>
      </c>
      <c r="ET714" s="27" t="s">
        <v>7</v>
      </c>
      <c r="GK714" s="27" t="s">
        <v>8</v>
      </c>
      <c r="GL714" s="27" t="s">
        <v>7</v>
      </c>
      <c r="GM714" s="27" t="s">
        <v>8</v>
      </c>
      <c r="GN714" s="27" t="s">
        <v>7</v>
      </c>
      <c r="GU714" s="27" t="s">
        <v>8</v>
      </c>
      <c r="HR714" s="27" t="s">
        <v>7</v>
      </c>
      <c r="HS714" s="27" t="s">
        <v>8</v>
      </c>
      <c r="HT714" s="27" t="s">
        <v>7</v>
      </c>
      <c r="HU714" s="27" t="s">
        <v>8</v>
      </c>
      <c r="HV714" s="27" t="s">
        <v>7</v>
      </c>
      <c r="HW714" s="27" t="s">
        <v>8</v>
      </c>
      <c r="IG714" s="27" t="s">
        <v>8</v>
      </c>
      <c r="IH714" s="27" t="s">
        <v>7</v>
      </c>
      <c r="IJ714" s="27" t="s">
        <v>7</v>
      </c>
      <c r="IM714" s="27" t="s">
        <v>8</v>
      </c>
      <c r="IN714" s="27" t="s">
        <v>7</v>
      </c>
      <c r="IO714" s="27" t="s">
        <v>8</v>
      </c>
      <c r="IP714" s="27" t="s">
        <v>7</v>
      </c>
      <c r="IQ714" s="27" t="s">
        <v>8</v>
      </c>
    </row>
    <row r="715" spans="1:253" x14ac:dyDescent="0.25">
      <c r="A715" s="7">
        <v>7.9282623818934056E-2</v>
      </c>
      <c r="B715"/>
      <c r="C715"/>
      <c r="D715"/>
      <c r="E715"/>
      <c r="AN715" s="27" t="s">
        <v>7</v>
      </c>
      <c r="AO715" s="27" t="s">
        <v>8</v>
      </c>
      <c r="AP715" s="27" t="s">
        <v>7</v>
      </c>
      <c r="AQ715" s="27" t="s">
        <v>8</v>
      </c>
      <c r="CP715" s="27" t="s">
        <v>7</v>
      </c>
      <c r="CQ715" s="27" t="s">
        <v>8</v>
      </c>
      <c r="CT715" s="27" t="s">
        <v>7</v>
      </c>
      <c r="CU715" s="27" t="s">
        <v>8</v>
      </c>
      <c r="DC715" s="27" t="s">
        <v>8</v>
      </c>
      <c r="DD715" s="27" t="s">
        <v>7</v>
      </c>
      <c r="DS715" s="27" t="s">
        <v>8</v>
      </c>
      <c r="DT715" s="27" t="s">
        <v>7</v>
      </c>
      <c r="DU715" s="27" t="s">
        <v>8</v>
      </c>
      <c r="DV715" s="27" t="s">
        <v>7</v>
      </c>
      <c r="ES715" s="27" t="s">
        <v>8</v>
      </c>
      <c r="ET715" s="27" t="s">
        <v>7</v>
      </c>
      <c r="EU715" s="27" t="s">
        <v>8</v>
      </c>
      <c r="GK715" s="27" t="s">
        <v>8</v>
      </c>
      <c r="GL715" s="27" t="s">
        <v>7</v>
      </c>
      <c r="GM715" s="27" t="s">
        <v>8</v>
      </c>
      <c r="GN715" s="27" t="s">
        <v>7</v>
      </c>
      <c r="GU715" s="27" t="s">
        <v>8</v>
      </c>
      <c r="HR715" s="27" t="s">
        <v>7</v>
      </c>
      <c r="HS715" s="27" t="s">
        <v>8</v>
      </c>
      <c r="HT715" s="27" t="s">
        <v>7</v>
      </c>
      <c r="HU715" s="27" t="s">
        <v>8</v>
      </c>
      <c r="HV715" s="27" t="s">
        <v>7</v>
      </c>
      <c r="HW715" s="27" t="s">
        <v>8</v>
      </c>
      <c r="HX715" s="27" t="s">
        <v>7</v>
      </c>
      <c r="IG715" s="27" t="s">
        <v>8</v>
      </c>
      <c r="IJ715" s="27" t="s">
        <v>7</v>
      </c>
      <c r="IK715" s="27" t="s">
        <v>8</v>
      </c>
      <c r="IM715" s="27" t="s">
        <v>8</v>
      </c>
      <c r="IN715" s="27" t="s">
        <v>7</v>
      </c>
      <c r="IP715" s="27" t="s">
        <v>7</v>
      </c>
    </row>
    <row r="716" spans="1:253" x14ac:dyDescent="0.25">
      <c r="A716" s="7">
        <v>7.7728062567582412E-2</v>
      </c>
      <c r="B716"/>
      <c r="C716"/>
      <c r="D716"/>
      <c r="E716"/>
      <c r="AN716" s="27" t="s">
        <v>7</v>
      </c>
      <c r="AO716" s="27" t="s">
        <v>8</v>
      </c>
      <c r="AP716" s="27" t="s">
        <v>7</v>
      </c>
      <c r="AQ716" s="27" t="s">
        <v>8</v>
      </c>
      <c r="CP716" s="27" t="s">
        <v>7</v>
      </c>
      <c r="CQ716" s="27" t="s">
        <v>8</v>
      </c>
      <c r="CT716" s="27" t="s">
        <v>7</v>
      </c>
      <c r="CU716" s="27" t="s">
        <v>8</v>
      </c>
      <c r="CV716" s="27" t="s">
        <v>7</v>
      </c>
      <c r="DC716" s="27" t="s">
        <v>8</v>
      </c>
      <c r="DD716" s="27" t="s">
        <v>7</v>
      </c>
      <c r="DS716" s="27" t="s">
        <v>8</v>
      </c>
      <c r="DT716" s="27" t="s">
        <v>7</v>
      </c>
      <c r="DU716" s="27" t="s">
        <v>8</v>
      </c>
      <c r="DV716" s="27" t="s">
        <v>7</v>
      </c>
      <c r="ES716" s="27" t="s">
        <v>8</v>
      </c>
      <c r="ET716" s="27" t="s">
        <v>7</v>
      </c>
      <c r="EU716" s="27" t="s">
        <v>8</v>
      </c>
      <c r="EV716" s="27" t="s">
        <v>7</v>
      </c>
      <c r="GK716" s="27" t="s">
        <v>8</v>
      </c>
      <c r="GL716" s="27" t="s">
        <v>7</v>
      </c>
      <c r="GN716" s="27" t="s">
        <v>7</v>
      </c>
      <c r="GU716" s="27" t="s">
        <v>8</v>
      </c>
      <c r="HR716" s="27" t="s">
        <v>7</v>
      </c>
      <c r="HS716" s="27" t="s">
        <v>8</v>
      </c>
      <c r="HT716" s="27" t="s">
        <v>7</v>
      </c>
      <c r="HU716" s="27" t="s">
        <v>8</v>
      </c>
      <c r="HV716" s="27" t="s">
        <v>7</v>
      </c>
      <c r="HW716" s="27" t="s">
        <v>8</v>
      </c>
      <c r="HX716" s="27" t="s">
        <v>7</v>
      </c>
      <c r="IE716" s="27" t="s">
        <v>8</v>
      </c>
      <c r="IG716" s="27" t="s">
        <v>8</v>
      </c>
      <c r="IJ716" s="27" t="s">
        <v>7</v>
      </c>
      <c r="IK716" s="27" t="s">
        <v>8</v>
      </c>
      <c r="IL716" s="27" t="s">
        <v>7</v>
      </c>
      <c r="IM716" s="27" t="s">
        <v>8</v>
      </c>
    </row>
    <row r="717" spans="1:253" x14ac:dyDescent="0.25">
      <c r="A717" s="7">
        <v>7.6203982909394521E-2</v>
      </c>
      <c r="B717"/>
      <c r="C717"/>
      <c r="D717"/>
      <c r="E717"/>
      <c r="AN717" s="27" t="s">
        <v>7</v>
      </c>
      <c r="AO717" s="27" t="s">
        <v>8</v>
      </c>
      <c r="AP717" s="27" t="s">
        <v>7</v>
      </c>
      <c r="AQ717" s="27" t="s">
        <v>8</v>
      </c>
      <c r="CP717" s="27" t="s">
        <v>7</v>
      </c>
      <c r="CT717" s="27" t="s">
        <v>7</v>
      </c>
      <c r="CU717" s="27" t="s">
        <v>8</v>
      </c>
      <c r="CV717" s="27" t="s">
        <v>7</v>
      </c>
      <c r="DC717" s="27" t="s">
        <v>8</v>
      </c>
      <c r="DD717" s="27" t="s">
        <v>7</v>
      </c>
      <c r="DS717" s="27" t="s">
        <v>8</v>
      </c>
      <c r="DT717" s="27" t="s">
        <v>7</v>
      </c>
      <c r="DU717" s="27" t="s">
        <v>8</v>
      </c>
      <c r="DV717" s="27" t="s">
        <v>7</v>
      </c>
      <c r="ES717" s="27" t="s">
        <v>8</v>
      </c>
      <c r="ET717" s="27" t="s">
        <v>7</v>
      </c>
      <c r="EU717" s="27" t="s">
        <v>8</v>
      </c>
      <c r="EV717" s="27" t="s">
        <v>7</v>
      </c>
      <c r="FY717" s="27" t="s">
        <v>8</v>
      </c>
      <c r="GI717" s="27" t="s">
        <v>8</v>
      </c>
      <c r="GK717" s="27" t="s">
        <v>8</v>
      </c>
      <c r="GN717" s="27" t="s">
        <v>7</v>
      </c>
      <c r="GU717" s="27" t="s">
        <v>8</v>
      </c>
      <c r="HR717" s="27" t="s">
        <v>7</v>
      </c>
      <c r="HT717" s="27" t="s">
        <v>7</v>
      </c>
      <c r="HU717" s="27" t="s">
        <v>8</v>
      </c>
      <c r="HV717" s="27" t="s">
        <v>7</v>
      </c>
      <c r="HX717" s="27" t="s">
        <v>7</v>
      </c>
      <c r="HY717" s="27" t="s">
        <v>8</v>
      </c>
      <c r="IA717" s="27" t="s">
        <v>8</v>
      </c>
      <c r="IE717" s="27" t="s">
        <v>8</v>
      </c>
      <c r="IF717" s="27" t="s">
        <v>7</v>
      </c>
      <c r="IG717" s="27" t="s">
        <v>8</v>
      </c>
      <c r="IJ717" s="27" t="s">
        <v>7</v>
      </c>
      <c r="IK717" s="27" t="s">
        <v>8</v>
      </c>
      <c r="IL717" s="27" t="s">
        <v>7</v>
      </c>
      <c r="IM717" s="27" t="s">
        <v>8</v>
      </c>
    </row>
    <row r="718" spans="1:253" x14ac:dyDescent="0.25">
      <c r="A718" s="7">
        <v>7.4709787166073058E-2</v>
      </c>
      <c r="B718"/>
      <c r="C718"/>
      <c r="D718"/>
      <c r="E718"/>
      <c r="AN718" s="27" t="s">
        <v>7</v>
      </c>
      <c r="AO718" s="27" t="s">
        <v>8</v>
      </c>
      <c r="AP718" s="27" t="s">
        <v>7</v>
      </c>
      <c r="CT718" s="27" t="s">
        <v>7</v>
      </c>
      <c r="CU718" s="27" t="s">
        <v>8</v>
      </c>
      <c r="CV718" s="27" t="s">
        <v>7</v>
      </c>
      <c r="DC718" s="27" t="s">
        <v>8</v>
      </c>
      <c r="DD718" s="27" t="s">
        <v>7</v>
      </c>
      <c r="DS718" s="27" t="s">
        <v>8</v>
      </c>
      <c r="DT718" s="27" t="s">
        <v>7</v>
      </c>
      <c r="DU718" s="27" t="s">
        <v>8</v>
      </c>
      <c r="DV718" s="27" t="s">
        <v>7</v>
      </c>
      <c r="ES718" s="27" t="s">
        <v>8</v>
      </c>
      <c r="ET718" s="27" t="s">
        <v>7</v>
      </c>
      <c r="EU718" s="27" t="s">
        <v>8</v>
      </c>
      <c r="EV718" s="27" t="s">
        <v>7</v>
      </c>
      <c r="FY718" s="27" t="s">
        <v>8</v>
      </c>
      <c r="FZ718" s="27" t="s">
        <v>7</v>
      </c>
      <c r="GI718" s="27" t="s">
        <v>8</v>
      </c>
      <c r="GJ718" s="27" t="s">
        <v>7</v>
      </c>
      <c r="GK718" s="27" t="s">
        <v>8</v>
      </c>
      <c r="GN718" s="27" t="s">
        <v>7</v>
      </c>
      <c r="GO718" s="27" t="s">
        <v>8</v>
      </c>
      <c r="GU718" s="27" t="s">
        <v>8</v>
      </c>
      <c r="HT718" s="27" t="s">
        <v>7</v>
      </c>
      <c r="HU718" s="27" t="s">
        <v>8</v>
      </c>
      <c r="HX718" s="27" t="s">
        <v>7</v>
      </c>
      <c r="HY718" s="27" t="s">
        <v>8</v>
      </c>
      <c r="HZ718" s="27" t="s">
        <v>7</v>
      </c>
      <c r="IA718" s="27" t="s">
        <v>8</v>
      </c>
      <c r="IB718" s="27" t="s">
        <v>7</v>
      </c>
      <c r="IC718" s="27" t="s">
        <v>8</v>
      </c>
      <c r="IE718" s="27" t="s">
        <v>8</v>
      </c>
      <c r="IF718" s="27" t="s">
        <v>7</v>
      </c>
      <c r="IG718" s="27" t="s">
        <v>8</v>
      </c>
      <c r="IJ718" s="27" t="s">
        <v>7</v>
      </c>
      <c r="IL718" s="27" t="s">
        <v>7</v>
      </c>
      <c r="IM718" s="27" t="s">
        <v>8</v>
      </c>
    </row>
    <row r="719" spans="1:253" x14ac:dyDescent="0.25">
      <c r="A719" s="7">
        <v>7.3244889378503E-2</v>
      </c>
      <c r="B719"/>
      <c r="C719"/>
      <c r="D719"/>
      <c r="E719"/>
      <c r="AN719" s="27" t="s">
        <v>7</v>
      </c>
      <c r="AO719" s="27" t="s">
        <v>8</v>
      </c>
      <c r="CT719" s="27" t="s">
        <v>7</v>
      </c>
      <c r="CU719" s="27" t="s">
        <v>8</v>
      </c>
      <c r="CV719" s="27" t="s">
        <v>7</v>
      </c>
      <c r="DC719" s="27" t="s">
        <v>8</v>
      </c>
      <c r="DD719" s="27" t="s">
        <v>7</v>
      </c>
      <c r="DS719" s="27" t="s">
        <v>8</v>
      </c>
      <c r="DT719" s="27" t="s">
        <v>7</v>
      </c>
      <c r="DU719" s="27" t="s">
        <v>8</v>
      </c>
      <c r="DV719" s="27" t="s">
        <v>7</v>
      </c>
      <c r="EO719" s="27" t="s">
        <v>8</v>
      </c>
      <c r="EQ719" s="27" t="s">
        <v>8</v>
      </c>
      <c r="ES719" s="27" t="s">
        <v>8</v>
      </c>
      <c r="ET719" s="27" t="s">
        <v>7</v>
      </c>
      <c r="EU719" s="27" t="s">
        <v>8</v>
      </c>
      <c r="EV719" s="27" t="s">
        <v>7</v>
      </c>
      <c r="EW719" s="27" t="s">
        <v>8</v>
      </c>
      <c r="FW719" s="27" t="s">
        <v>8</v>
      </c>
      <c r="FY719" s="27" t="s">
        <v>8</v>
      </c>
      <c r="FZ719" s="27" t="s">
        <v>7</v>
      </c>
      <c r="GA719" s="27" t="s">
        <v>8</v>
      </c>
      <c r="GC719" s="27" t="s">
        <v>8</v>
      </c>
      <c r="GI719" s="27" t="s">
        <v>8</v>
      </c>
      <c r="GJ719" s="27" t="s">
        <v>7</v>
      </c>
      <c r="GK719" s="27" t="s">
        <v>8</v>
      </c>
      <c r="GN719" s="27" t="s">
        <v>7</v>
      </c>
      <c r="GO719" s="27" t="s">
        <v>8</v>
      </c>
      <c r="GP719" s="27" t="s">
        <v>7</v>
      </c>
      <c r="GQ719" s="27" t="s">
        <v>8</v>
      </c>
      <c r="GU719" s="27" t="s">
        <v>8</v>
      </c>
      <c r="HT719" s="27" t="s">
        <v>7</v>
      </c>
      <c r="HX719" s="27" t="s">
        <v>7</v>
      </c>
      <c r="HY719" s="27" t="s">
        <v>8</v>
      </c>
      <c r="HZ719" s="27" t="s">
        <v>7</v>
      </c>
      <c r="IA719" s="27" t="s">
        <v>8</v>
      </c>
      <c r="IB719" s="27" t="s">
        <v>7</v>
      </c>
      <c r="IC719" s="27" t="s">
        <v>8</v>
      </c>
      <c r="ID719" s="27" t="s">
        <v>7</v>
      </c>
      <c r="IE719" s="27" t="s">
        <v>8</v>
      </c>
      <c r="IF719" s="27" t="s">
        <v>7</v>
      </c>
      <c r="IL719" s="27" t="s">
        <v>7</v>
      </c>
    </row>
    <row r="720" spans="1:253" x14ac:dyDescent="0.25">
      <c r="A720" s="7">
        <v>7.1808715076963722E-2</v>
      </c>
      <c r="B720"/>
      <c r="C720"/>
      <c r="D720"/>
      <c r="E720"/>
      <c r="AN720" s="27" t="s">
        <v>7</v>
      </c>
      <c r="CT720" s="27" t="s">
        <v>7</v>
      </c>
      <c r="CV720" s="27" t="s">
        <v>7</v>
      </c>
      <c r="CW720" s="27" t="s">
        <v>8</v>
      </c>
      <c r="CY720" s="27" t="s">
        <v>8</v>
      </c>
      <c r="DC720" s="27" t="s">
        <v>8</v>
      </c>
      <c r="DD720" s="27" t="s">
        <v>7</v>
      </c>
      <c r="DS720" s="27" t="s">
        <v>8</v>
      </c>
      <c r="DT720" s="27" t="s">
        <v>7</v>
      </c>
      <c r="DU720" s="27" t="s">
        <v>8</v>
      </c>
      <c r="DV720" s="27" t="s">
        <v>7</v>
      </c>
      <c r="EO720" s="27" t="s">
        <v>8</v>
      </c>
      <c r="EP720" s="27" t="s">
        <v>7</v>
      </c>
      <c r="EQ720" s="27" t="s">
        <v>8</v>
      </c>
      <c r="ER720" s="27" t="s">
        <v>7</v>
      </c>
      <c r="ES720" s="27" t="s">
        <v>8</v>
      </c>
      <c r="ET720" s="27" t="s">
        <v>7</v>
      </c>
      <c r="EU720" s="27" t="s">
        <v>8</v>
      </c>
      <c r="EV720" s="27" t="s">
        <v>7</v>
      </c>
      <c r="EW720" s="27" t="s">
        <v>8</v>
      </c>
      <c r="EX720" s="27" t="s">
        <v>7</v>
      </c>
      <c r="FW720" s="27" t="s">
        <v>8</v>
      </c>
      <c r="FX720" s="27" t="s">
        <v>7</v>
      </c>
      <c r="FY720" s="27" t="s">
        <v>8</v>
      </c>
      <c r="FZ720" s="27" t="s">
        <v>7</v>
      </c>
      <c r="GA720" s="27" t="s">
        <v>8</v>
      </c>
      <c r="GB720" s="27" t="s">
        <v>7</v>
      </c>
      <c r="GC720" s="27" t="s">
        <v>8</v>
      </c>
      <c r="GD720" s="27" t="s">
        <v>7</v>
      </c>
      <c r="GE720" s="27" t="s">
        <v>8</v>
      </c>
      <c r="GI720" s="27" t="s">
        <v>8</v>
      </c>
      <c r="GJ720" s="27" t="s">
        <v>7</v>
      </c>
      <c r="GK720" s="27" t="s">
        <v>8</v>
      </c>
      <c r="GN720" s="27" t="s">
        <v>7</v>
      </c>
      <c r="GO720" s="27" t="s">
        <v>8</v>
      </c>
      <c r="GP720" s="27" t="s">
        <v>7</v>
      </c>
      <c r="GQ720" s="27" t="s">
        <v>8</v>
      </c>
      <c r="GR720" s="27" t="s">
        <v>7</v>
      </c>
      <c r="GU720" s="27" t="s">
        <v>8</v>
      </c>
      <c r="HX720" s="27" t="s">
        <v>7</v>
      </c>
      <c r="HY720" s="27" t="s">
        <v>8</v>
      </c>
      <c r="HZ720" s="27" t="s">
        <v>7</v>
      </c>
      <c r="IB720" s="27" t="s">
        <v>7</v>
      </c>
      <c r="IC720" s="27" t="s">
        <v>8</v>
      </c>
      <c r="ID720" s="27" t="s">
        <v>7</v>
      </c>
      <c r="IE720" s="27" t="s">
        <v>8</v>
      </c>
    </row>
    <row r="721" spans="1:238" x14ac:dyDescent="0.25">
      <c r="A721" s="7">
        <v>7.0400701055846782E-2</v>
      </c>
      <c r="B721"/>
      <c r="C721"/>
      <c r="D721"/>
      <c r="E721"/>
      <c r="CV721" s="27" t="s">
        <v>7</v>
      </c>
      <c r="CW721" s="27" t="s">
        <v>8</v>
      </c>
      <c r="CX721" s="27" t="s">
        <v>7</v>
      </c>
      <c r="CY721" s="27" t="s">
        <v>8</v>
      </c>
      <c r="CZ721" s="27" t="s">
        <v>7</v>
      </c>
      <c r="DC721" s="27" t="s">
        <v>8</v>
      </c>
      <c r="DD721" s="27" t="s">
        <v>7</v>
      </c>
      <c r="DS721" s="27" t="s">
        <v>8</v>
      </c>
      <c r="DT721" s="27" t="s">
        <v>7</v>
      </c>
      <c r="DU721" s="27" t="s">
        <v>8</v>
      </c>
      <c r="DV721" s="27" t="s">
        <v>7</v>
      </c>
      <c r="EO721" s="27" t="s">
        <v>8</v>
      </c>
      <c r="EP721" s="27" t="s">
        <v>7</v>
      </c>
      <c r="EQ721" s="27" t="s">
        <v>8</v>
      </c>
      <c r="ER721" s="27" t="s">
        <v>7</v>
      </c>
      <c r="ES721" s="27" t="s">
        <v>8</v>
      </c>
      <c r="ET721" s="27" t="s">
        <v>7</v>
      </c>
      <c r="EU721" s="27" t="s">
        <v>8</v>
      </c>
      <c r="EV721" s="27" t="s">
        <v>7</v>
      </c>
      <c r="EW721" s="27" t="s">
        <v>8</v>
      </c>
      <c r="EX721" s="27" t="s">
        <v>7</v>
      </c>
      <c r="FW721" s="27" t="s">
        <v>8</v>
      </c>
      <c r="FX721" s="27" t="s">
        <v>7</v>
      </c>
      <c r="FY721" s="27" t="s">
        <v>8</v>
      </c>
      <c r="FZ721" s="27" t="s">
        <v>7</v>
      </c>
      <c r="GA721" s="27" t="s">
        <v>8</v>
      </c>
      <c r="GB721" s="27" t="s">
        <v>7</v>
      </c>
      <c r="GC721" s="27" t="s">
        <v>8</v>
      </c>
      <c r="GD721" s="27" t="s">
        <v>7</v>
      </c>
      <c r="GE721" s="27" t="s">
        <v>8</v>
      </c>
      <c r="GF721" s="27" t="s">
        <v>7</v>
      </c>
      <c r="GI721" s="27" t="s">
        <v>8</v>
      </c>
      <c r="GJ721" s="27" t="s">
        <v>7</v>
      </c>
      <c r="GN721" s="27" t="s">
        <v>7</v>
      </c>
      <c r="GO721" s="27" t="s">
        <v>8</v>
      </c>
      <c r="GP721" s="27" t="s">
        <v>7</v>
      </c>
      <c r="GQ721" s="27" t="s">
        <v>8</v>
      </c>
      <c r="GR721" s="27" t="s">
        <v>7</v>
      </c>
      <c r="GS721" s="27" t="s">
        <v>8</v>
      </c>
      <c r="GU721" s="27" t="s">
        <v>8</v>
      </c>
      <c r="HX721" s="27" t="s">
        <v>7</v>
      </c>
      <c r="HY721" s="27" t="s">
        <v>8</v>
      </c>
      <c r="IB721" s="27" t="s">
        <v>7</v>
      </c>
      <c r="IC721" s="27" t="s">
        <v>8</v>
      </c>
      <c r="ID721" s="27" t="s">
        <v>7</v>
      </c>
    </row>
    <row r="722" spans="1:238" x14ac:dyDescent="0.25">
      <c r="A722" s="7">
        <v>6.9020295152790956E-2</v>
      </c>
      <c r="B722"/>
      <c r="C722"/>
      <c r="D722"/>
      <c r="E722"/>
      <c r="CV722" s="27" t="s">
        <v>7</v>
      </c>
      <c r="CW722" s="27" t="s">
        <v>8</v>
      </c>
      <c r="CX722" s="27" t="s">
        <v>7</v>
      </c>
      <c r="CY722" s="27" t="s">
        <v>8</v>
      </c>
      <c r="CZ722" s="27" t="s">
        <v>7</v>
      </c>
      <c r="DC722" s="27" t="s">
        <v>8</v>
      </c>
      <c r="DD722" s="27" t="s">
        <v>7</v>
      </c>
      <c r="DQ722" s="27" t="s">
        <v>8</v>
      </c>
      <c r="DS722" s="27" t="s">
        <v>8</v>
      </c>
      <c r="DT722" s="27" t="s">
        <v>7</v>
      </c>
      <c r="DV722" s="27" t="s">
        <v>7</v>
      </c>
      <c r="EO722" s="27" t="s">
        <v>8</v>
      </c>
      <c r="EP722" s="27" t="s">
        <v>7</v>
      </c>
      <c r="EQ722" s="27" t="s">
        <v>8</v>
      </c>
      <c r="ER722" s="27" t="s">
        <v>7</v>
      </c>
      <c r="ET722" s="27" t="s">
        <v>7</v>
      </c>
      <c r="EU722" s="27" t="s">
        <v>8</v>
      </c>
      <c r="EV722" s="27" t="s">
        <v>7</v>
      </c>
      <c r="EW722" s="27" t="s">
        <v>8</v>
      </c>
      <c r="EX722" s="27" t="s">
        <v>7</v>
      </c>
      <c r="FW722" s="27" t="s">
        <v>8</v>
      </c>
      <c r="FX722" s="27" t="s">
        <v>7</v>
      </c>
      <c r="FY722" s="27" t="s">
        <v>8</v>
      </c>
      <c r="FZ722" s="27" t="s">
        <v>7</v>
      </c>
      <c r="GA722" s="27" t="s">
        <v>8</v>
      </c>
      <c r="GB722" s="27" t="s">
        <v>7</v>
      </c>
      <c r="GD722" s="27" t="s">
        <v>7</v>
      </c>
      <c r="GE722" s="27" t="s">
        <v>8</v>
      </c>
      <c r="GF722" s="27" t="s">
        <v>7</v>
      </c>
      <c r="GG722" s="27" t="s">
        <v>8</v>
      </c>
      <c r="GI722" s="27" t="s">
        <v>8</v>
      </c>
      <c r="GN722" s="27" t="s">
        <v>7</v>
      </c>
      <c r="GP722" s="27" t="s">
        <v>7</v>
      </c>
      <c r="GQ722" s="27" t="s">
        <v>8</v>
      </c>
      <c r="GR722" s="27" t="s">
        <v>7</v>
      </c>
      <c r="GS722" s="27" t="s">
        <v>8</v>
      </c>
      <c r="GT722" s="27" t="s">
        <v>7</v>
      </c>
      <c r="GU722" s="27" t="s">
        <v>8</v>
      </c>
      <c r="HX722" s="27" t="s">
        <v>7</v>
      </c>
      <c r="HY722" s="27" t="s">
        <v>8</v>
      </c>
      <c r="IB722" s="27" t="s">
        <v>7</v>
      </c>
    </row>
    <row r="723" spans="1:238" x14ac:dyDescent="0.25">
      <c r="A723" s="7">
        <v>6.7666956032147993E-2</v>
      </c>
      <c r="B723"/>
      <c r="C723"/>
      <c r="D723"/>
      <c r="E723"/>
      <c r="CV723" s="27" t="s">
        <v>7</v>
      </c>
      <c r="CX723" s="27" t="s">
        <v>7</v>
      </c>
      <c r="CY723" s="27" t="s">
        <v>8</v>
      </c>
      <c r="CZ723" s="27" t="s">
        <v>7</v>
      </c>
      <c r="DC723" s="27" t="s">
        <v>8</v>
      </c>
      <c r="DD723" s="27" t="s">
        <v>7</v>
      </c>
      <c r="DQ723" s="27" t="s">
        <v>8</v>
      </c>
      <c r="DR723" s="27" t="s">
        <v>7</v>
      </c>
      <c r="DS723" s="27" t="s">
        <v>8</v>
      </c>
      <c r="DV723" s="27" t="s">
        <v>7</v>
      </c>
      <c r="EO723" s="27" t="s">
        <v>8</v>
      </c>
      <c r="EP723" s="27" t="s">
        <v>7</v>
      </c>
      <c r="ET723" s="27" t="s">
        <v>7</v>
      </c>
      <c r="EU723" s="27" t="s">
        <v>8</v>
      </c>
      <c r="EV723" s="27" t="s">
        <v>7</v>
      </c>
      <c r="EX723" s="27" t="s">
        <v>7</v>
      </c>
      <c r="FW723" s="27" t="s">
        <v>8</v>
      </c>
      <c r="FX723" s="27" t="s">
        <v>7</v>
      </c>
      <c r="FZ723" s="27" t="s">
        <v>7</v>
      </c>
      <c r="GD723" s="27" t="s">
        <v>7</v>
      </c>
      <c r="GE723" s="27" t="s">
        <v>8</v>
      </c>
      <c r="GF723" s="27" t="s">
        <v>7</v>
      </c>
      <c r="GG723" s="27" t="s">
        <v>8</v>
      </c>
      <c r="GH723" s="27" t="s">
        <v>7</v>
      </c>
      <c r="GI723" s="27" t="s">
        <v>8</v>
      </c>
      <c r="GP723" s="27" t="s">
        <v>7</v>
      </c>
      <c r="GQ723" s="27" t="s">
        <v>8</v>
      </c>
      <c r="GR723" s="27" t="s">
        <v>7</v>
      </c>
      <c r="GS723" s="27" t="s">
        <v>8</v>
      </c>
      <c r="GT723" s="27" t="s">
        <v>7</v>
      </c>
      <c r="GU723" s="27" t="s">
        <v>8</v>
      </c>
      <c r="HX723" s="27" t="s">
        <v>7</v>
      </c>
    </row>
    <row r="724" spans="1:238" x14ac:dyDescent="0.25">
      <c r="A724" s="7">
        <v>6.6340152972694105E-2</v>
      </c>
      <c r="B724"/>
      <c r="C724"/>
      <c r="D724"/>
      <c r="E724"/>
      <c r="CX724" s="27" t="s">
        <v>7</v>
      </c>
      <c r="CZ724" s="27" t="s">
        <v>7</v>
      </c>
      <c r="DC724" s="27" t="s">
        <v>8</v>
      </c>
      <c r="DD724" s="27" t="s">
        <v>7</v>
      </c>
      <c r="DK724" s="27" t="s">
        <v>8</v>
      </c>
      <c r="DO724" s="27" t="s">
        <v>8</v>
      </c>
      <c r="DQ724" s="27" t="s">
        <v>8</v>
      </c>
      <c r="DR724" s="27" t="s">
        <v>7</v>
      </c>
      <c r="DS724" s="27" t="s">
        <v>8</v>
      </c>
      <c r="DV724" s="27" t="s">
        <v>7</v>
      </c>
      <c r="EK724" s="27" t="s">
        <v>8</v>
      </c>
      <c r="EO724" s="27" t="s">
        <v>8</v>
      </c>
      <c r="ET724" s="27" t="s">
        <v>7</v>
      </c>
      <c r="EX724" s="27" t="s">
        <v>7</v>
      </c>
      <c r="FW724" s="27" t="s">
        <v>8</v>
      </c>
      <c r="GD724" s="27" t="s">
        <v>7</v>
      </c>
      <c r="GE724" s="27" t="s">
        <v>8</v>
      </c>
      <c r="GF724" s="27" t="s">
        <v>7</v>
      </c>
      <c r="GG724" s="27" t="s">
        <v>8</v>
      </c>
      <c r="GH724" s="27" t="s">
        <v>7</v>
      </c>
      <c r="GI724" s="27" t="s">
        <v>8</v>
      </c>
      <c r="GP724" s="27" t="s">
        <v>7</v>
      </c>
      <c r="GR724" s="27" t="s">
        <v>7</v>
      </c>
      <c r="GS724" s="27" t="s">
        <v>8</v>
      </c>
      <c r="GT724" s="27" t="s">
        <v>7</v>
      </c>
      <c r="GU724" s="27" t="s">
        <v>8</v>
      </c>
    </row>
    <row r="725" spans="1:238" x14ac:dyDescent="0.25">
      <c r="A725" s="7">
        <v>6.5039365659504023E-2</v>
      </c>
      <c r="B725"/>
      <c r="C725"/>
      <c r="D725"/>
      <c r="E725"/>
      <c r="CZ725" s="27" t="s">
        <v>7</v>
      </c>
      <c r="DC725" s="27" t="s">
        <v>8</v>
      </c>
      <c r="DD725" s="27" t="s">
        <v>7</v>
      </c>
      <c r="DK725" s="27" t="s">
        <v>8</v>
      </c>
      <c r="DL725" s="27" t="s">
        <v>7</v>
      </c>
      <c r="DM725" s="27" t="s">
        <v>8</v>
      </c>
      <c r="DO725" s="27" t="s">
        <v>8</v>
      </c>
      <c r="DP725" s="27" t="s">
        <v>7</v>
      </c>
      <c r="DQ725" s="27" t="s">
        <v>8</v>
      </c>
      <c r="DR725" s="27" t="s">
        <v>7</v>
      </c>
      <c r="DS725" s="27" t="s">
        <v>8</v>
      </c>
      <c r="DV725" s="27" t="s">
        <v>7</v>
      </c>
      <c r="EK725" s="27" t="s">
        <v>8</v>
      </c>
      <c r="EL725" s="27" t="s">
        <v>7</v>
      </c>
      <c r="EO725" s="27" t="s">
        <v>8</v>
      </c>
      <c r="EX725" s="27" t="s">
        <v>7</v>
      </c>
      <c r="FU725" s="27" t="s">
        <v>8</v>
      </c>
      <c r="FW725" s="27" t="s">
        <v>8</v>
      </c>
      <c r="GD725" s="27" t="s">
        <v>7</v>
      </c>
      <c r="GE725" s="27" t="s">
        <v>8</v>
      </c>
      <c r="GF725" s="27" t="s">
        <v>7</v>
      </c>
      <c r="GH725" s="27" t="s">
        <v>7</v>
      </c>
      <c r="GI725" s="27" t="s">
        <v>8</v>
      </c>
      <c r="GR725" s="27" t="s">
        <v>7</v>
      </c>
      <c r="GS725" s="27" t="s">
        <v>8</v>
      </c>
      <c r="GT725" s="27" t="s">
        <v>7</v>
      </c>
    </row>
    <row r="726" spans="1:238" x14ac:dyDescent="0.25">
      <c r="A726" s="7">
        <v>6.3764083979905906E-2</v>
      </c>
      <c r="B726"/>
      <c r="C726"/>
      <c r="D726"/>
      <c r="E726"/>
      <c r="CZ726" s="27" t="s">
        <v>7</v>
      </c>
      <c r="DC726" s="27" t="s">
        <v>8</v>
      </c>
      <c r="DD726" s="27" t="s">
        <v>7</v>
      </c>
      <c r="DI726" s="27" t="s">
        <v>8</v>
      </c>
      <c r="DK726" s="27" t="s">
        <v>8</v>
      </c>
      <c r="DL726" s="27" t="s">
        <v>7</v>
      </c>
      <c r="DM726" s="27" t="s">
        <v>8</v>
      </c>
      <c r="DN726" s="27" t="s">
        <v>7</v>
      </c>
      <c r="DO726" s="27" t="s">
        <v>8</v>
      </c>
      <c r="DP726" s="27" t="s">
        <v>7</v>
      </c>
      <c r="DQ726" s="27" t="s">
        <v>8</v>
      </c>
      <c r="DR726" s="27" t="s">
        <v>7</v>
      </c>
      <c r="DS726" s="27" t="s">
        <v>8</v>
      </c>
      <c r="DV726" s="27" t="s">
        <v>7</v>
      </c>
      <c r="EK726" s="27" t="s">
        <v>8</v>
      </c>
      <c r="EL726" s="27" t="s">
        <v>7</v>
      </c>
      <c r="EM726" s="27" t="s">
        <v>8</v>
      </c>
      <c r="EO726" s="27" t="s">
        <v>8</v>
      </c>
      <c r="EX726" s="27" t="s">
        <v>7</v>
      </c>
      <c r="FU726" s="27" t="s">
        <v>8</v>
      </c>
      <c r="FV726" s="27" t="s">
        <v>7</v>
      </c>
      <c r="FW726" s="27" t="s">
        <v>8</v>
      </c>
      <c r="GD726" s="27" t="s">
        <v>7</v>
      </c>
      <c r="GE726" s="27" t="s">
        <v>8</v>
      </c>
      <c r="GH726" s="27" t="s">
        <v>7</v>
      </c>
      <c r="GR726" s="27" t="s">
        <v>7</v>
      </c>
      <c r="GS726" s="27" t="s">
        <v>8</v>
      </c>
    </row>
    <row r="727" spans="1:238" x14ac:dyDescent="0.25">
      <c r="A727" s="7">
        <v>6.251380782343717E-2</v>
      </c>
      <c r="B727"/>
      <c r="C727"/>
      <c r="D727"/>
      <c r="E727"/>
      <c r="CZ727" s="27" t="s">
        <v>7</v>
      </c>
      <c r="DC727" s="27" t="s">
        <v>8</v>
      </c>
      <c r="DD727" s="27" t="s">
        <v>7</v>
      </c>
      <c r="DI727" s="27" t="s">
        <v>8</v>
      </c>
      <c r="DJ727" s="27" t="s">
        <v>7</v>
      </c>
      <c r="DK727" s="27" t="s">
        <v>8</v>
      </c>
      <c r="DL727" s="27" t="s">
        <v>7</v>
      </c>
      <c r="DM727" s="27" t="s">
        <v>8</v>
      </c>
      <c r="DN727" s="27" t="s">
        <v>7</v>
      </c>
      <c r="DO727" s="27" t="s">
        <v>8</v>
      </c>
      <c r="DP727" s="27" t="s">
        <v>7</v>
      </c>
      <c r="DR727" s="27" t="s">
        <v>7</v>
      </c>
      <c r="DV727" s="27" t="s">
        <v>7</v>
      </c>
      <c r="EK727" s="27" t="s">
        <v>8</v>
      </c>
      <c r="EL727" s="27" t="s">
        <v>7</v>
      </c>
      <c r="EM727" s="27" t="s">
        <v>8</v>
      </c>
      <c r="EN727" s="27" t="s">
        <v>7</v>
      </c>
      <c r="EO727" s="27" t="s">
        <v>8</v>
      </c>
      <c r="EX727" s="27" t="s">
        <v>7</v>
      </c>
      <c r="EY727" s="27" t="s">
        <v>8</v>
      </c>
      <c r="FU727" s="27" t="s">
        <v>8</v>
      </c>
      <c r="FV727" s="27" t="s">
        <v>7</v>
      </c>
      <c r="FW727" s="27" t="s">
        <v>8</v>
      </c>
      <c r="GD727" s="27" t="s">
        <v>7</v>
      </c>
      <c r="GE727" s="27" t="s">
        <v>8</v>
      </c>
      <c r="GR727" s="27" t="s">
        <v>7</v>
      </c>
      <c r="GS727" s="27" t="s">
        <v>8</v>
      </c>
    </row>
    <row r="728" spans="1:238" x14ac:dyDescent="0.25">
      <c r="A728" s="7">
        <v>6.1288046885722716E-2</v>
      </c>
      <c r="B728"/>
      <c r="C728"/>
      <c r="D728"/>
      <c r="E728"/>
      <c r="CZ728" s="27" t="s">
        <v>7</v>
      </c>
      <c r="DA728" s="27" t="s">
        <v>8</v>
      </c>
      <c r="DC728" s="27" t="s">
        <v>8</v>
      </c>
      <c r="DD728" s="27" t="s">
        <v>7</v>
      </c>
      <c r="DE728" s="27" t="s">
        <v>8</v>
      </c>
      <c r="DG728" s="27" t="s">
        <v>8</v>
      </c>
      <c r="DI728" s="27" t="s">
        <v>8</v>
      </c>
      <c r="DJ728" s="27" t="s">
        <v>7</v>
      </c>
      <c r="DK728" s="27" t="s">
        <v>8</v>
      </c>
      <c r="DL728" s="27" t="s">
        <v>7</v>
      </c>
      <c r="DN728" s="27" t="s">
        <v>7</v>
      </c>
      <c r="DO728" s="27" t="s">
        <v>8</v>
      </c>
      <c r="DV728" s="27" t="s">
        <v>7</v>
      </c>
      <c r="DW728" s="27" t="s">
        <v>8</v>
      </c>
      <c r="EK728" s="27" t="s">
        <v>8</v>
      </c>
      <c r="EL728" s="27" t="s">
        <v>7</v>
      </c>
      <c r="EM728" s="27" t="s">
        <v>8</v>
      </c>
      <c r="EN728" s="27" t="s">
        <v>7</v>
      </c>
      <c r="EO728" s="27" t="s">
        <v>8</v>
      </c>
      <c r="EX728" s="27" t="s">
        <v>7</v>
      </c>
      <c r="EY728" s="27" t="s">
        <v>8</v>
      </c>
      <c r="EZ728" s="27" t="s">
        <v>7</v>
      </c>
      <c r="FA728" s="27" t="s">
        <v>8</v>
      </c>
      <c r="FU728" s="27" t="s">
        <v>8</v>
      </c>
      <c r="FV728" s="27" t="s">
        <v>7</v>
      </c>
      <c r="FW728" s="27" t="s">
        <v>8</v>
      </c>
      <c r="GD728" s="27" t="s">
        <v>7</v>
      </c>
      <c r="GE728" s="27" t="s">
        <v>8</v>
      </c>
      <c r="GR728" s="27" t="s">
        <v>7</v>
      </c>
      <c r="GS728" s="27" t="s">
        <v>8</v>
      </c>
    </row>
    <row r="729" spans="1:238" x14ac:dyDescent="0.25">
      <c r="A729" s="7">
        <v>6.0086320476198739E-2</v>
      </c>
      <c r="B729"/>
      <c r="C729"/>
      <c r="D729"/>
      <c r="E729"/>
      <c r="CZ729" s="27" t="s">
        <v>7</v>
      </c>
      <c r="DA729" s="27" t="s">
        <v>8</v>
      </c>
      <c r="DB729" s="27" t="s">
        <v>7</v>
      </c>
      <c r="DC729" s="27" t="s">
        <v>8</v>
      </c>
      <c r="DD729" s="27" t="s">
        <v>7</v>
      </c>
      <c r="DE729" s="27" t="s">
        <v>8</v>
      </c>
      <c r="DF729" s="27" t="s">
        <v>7</v>
      </c>
      <c r="DG729" s="27" t="s">
        <v>8</v>
      </c>
      <c r="DH729" s="27" t="s">
        <v>7</v>
      </c>
      <c r="DI729" s="27" t="s">
        <v>8</v>
      </c>
      <c r="DJ729" s="27" t="s">
        <v>7</v>
      </c>
      <c r="DN729" s="27" t="s">
        <v>7</v>
      </c>
      <c r="DO729" s="27" t="s">
        <v>8</v>
      </c>
      <c r="DV729" s="27" t="s">
        <v>7</v>
      </c>
      <c r="DW729" s="27" t="s">
        <v>8</v>
      </c>
      <c r="DX729" s="27" t="s">
        <v>7</v>
      </c>
      <c r="EK729" s="27" t="s">
        <v>8</v>
      </c>
      <c r="EL729" s="27" t="s">
        <v>7</v>
      </c>
      <c r="EN729" s="27" t="s">
        <v>7</v>
      </c>
      <c r="EO729" s="27" t="s">
        <v>8</v>
      </c>
      <c r="EX729" s="27" t="s">
        <v>7</v>
      </c>
      <c r="EY729" s="27" t="s">
        <v>8</v>
      </c>
      <c r="EZ729" s="27" t="s">
        <v>7</v>
      </c>
      <c r="FA729" s="27" t="s">
        <v>8</v>
      </c>
      <c r="FB729" s="27" t="s">
        <v>7</v>
      </c>
      <c r="FU729" s="27" t="s">
        <v>8</v>
      </c>
      <c r="FV729" s="27" t="s">
        <v>7</v>
      </c>
      <c r="GD729" s="27" t="s">
        <v>7</v>
      </c>
      <c r="GE729" s="27" t="s">
        <v>8</v>
      </c>
      <c r="GR729" s="27" t="s">
        <v>7</v>
      </c>
      <c r="GS729" s="27" t="s">
        <v>8</v>
      </c>
    </row>
    <row r="730" spans="1:238" x14ac:dyDescent="0.25">
      <c r="A730" s="7">
        <v>5.8908157329606609E-2</v>
      </c>
      <c r="B730"/>
      <c r="C730"/>
      <c r="D730"/>
      <c r="E730"/>
      <c r="CZ730" s="27" t="s">
        <v>7</v>
      </c>
      <c r="DA730" s="27" t="s">
        <v>8</v>
      </c>
      <c r="DB730" s="27" t="s">
        <v>7</v>
      </c>
      <c r="DC730" s="27" t="s">
        <v>8</v>
      </c>
      <c r="DD730" s="27" t="s">
        <v>7</v>
      </c>
      <c r="DE730" s="27" t="s">
        <v>8</v>
      </c>
      <c r="DF730" s="27" t="s">
        <v>7</v>
      </c>
      <c r="DG730" s="27" t="s">
        <v>8</v>
      </c>
      <c r="DH730" s="27" t="s">
        <v>7</v>
      </c>
      <c r="DI730" s="27" t="s">
        <v>8</v>
      </c>
      <c r="DN730" s="27" t="s">
        <v>7</v>
      </c>
      <c r="DO730" s="27" t="s">
        <v>8</v>
      </c>
      <c r="DV730" s="27" t="s">
        <v>7</v>
      </c>
      <c r="DW730" s="27" t="s">
        <v>8</v>
      </c>
      <c r="DX730" s="27" t="s">
        <v>7</v>
      </c>
      <c r="DY730" s="27" t="s">
        <v>8</v>
      </c>
      <c r="EK730" s="27" t="s">
        <v>8</v>
      </c>
      <c r="EN730" s="27" t="s">
        <v>7</v>
      </c>
      <c r="EO730" s="27" t="s">
        <v>8</v>
      </c>
      <c r="EX730" s="27" t="s">
        <v>7</v>
      </c>
      <c r="EY730" s="27" t="s">
        <v>8</v>
      </c>
      <c r="EZ730" s="27" t="s">
        <v>7</v>
      </c>
      <c r="FA730" s="27" t="s">
        <v>8</v>
      </c>
      <c r="FB730" s="27" t="s">
        <v>7</v>
      </c>
      <c r="FU730" s="27" t="s">
        <v>8</v>
      </c>
      <c r="GD730" s="27" t="s">
        <v>7</v>
      </c>
      <c r="GR730" s="27" t="s">
        <v>7</v>
      </c>
    </row>
    <row r="731" spans="1:238" x14ac:dyDescent="0.25">
      <c r="A731" s="7">
        <v>5.7753095421182947E-2</v>
      </c>
      <c r="B731"/>
      <c r="C731"/>
      <c r="D731"/>
      <c r="E731"/>
      <c r="CZ731" s="27" t="s">
        <v>7</v>
      </c>
      <c r="DB731" s="27" t="s">
        <v>7</v>
      </c>
      <c r="DD731" s="27" t="s">
        <v>7</v>
      </c>
      <c r="DE731" s="27" t="s">
        <v>8</v>
      </c>
      <c r="DF731" s="27" t="s">
        <v>7</v>
      </c>
      <c r="DG731" s="27" t="s">
        <v>8</v>
      </c>
      <c r="DH731" s="27" t="s">
        <v>7</v>
      </c>
      <c r="DN731" s="27" t="s">
        <v>7</v>
      </c>
      <c r="DV731" s="27" t="s">
        <v>7</v>
      </c>
      <c r="DW731" s="27" t="s">
        <v>8</v>
      </c>
      <c r="DX731" s="27" t="s">
        <v>7</v>
      </c>
      <c r="DY731" s="27" t="s">
        <v>8</v>
      </c>
      <c r="DZ731" s="27" t="s">
        <v>7</v>
      </c>
      <c r="EK731" s="27" t="s">
        <v>8</v>
      </c>
      <c r="EN731" s="27" t="s">
        <v>7</v>
      </c>
      <c r="EO731" s="27" t="s">
        <v>8</v>
      </c>
      <c r="EX731" s="27" t="s">
        <v>7</v>
      </c>
      <c r="EY731" s="27" t="s">
        <v>8</v>
      </c>
      <c r="EZ731" s="27" t="s">
        <v>7</v>
      </c>
      <c r="FA731" s="27" t="s">
        <v>8</v>
      </c>
      <c r="FB731" s="27" t="s">
        <v>7</v>
      </c>
      <c r="FU731" s="27" t="s">
        <v>8</v>
      </c>
    </row>
    <row r="732" spans="1:238" x14ac:dyDescent="0.25">
      <c r="A732" s="7">
        <v>5.6620681785473484E-2</v>
      </c>
      <c r="B732"/>
      <c r="C732"/>
      <c r="D732"/>
      <c r="E732"/>
      <c r="DD732" s="27" t="s">
        <v>7</v>
      </c>
      <c r="DE732" s="27" t="s">
        <v>8</v>
      </c>
      <c r="DF732" s="27" t="s">
        <v>7</v>
      </c>
      <c r="DV732" s="27" t="s">
        <v>7</v>
      </c>
      <c r="DW732" s="27" t="s">
        <v>8</v>
      </c>
      <c r="DX732" s="27" t="s">
        <v>7</v>
      </c>
      <c r="DY732" s="27" t="s">
        <v>8</v>
      </c>
      <c r="DZ732" s="27" t="s">
        <v>7</v>
      </c>
      <c r="EI732" s="27" t="s">
        <v>8</v>
      </c>
      <c r="EK732" s="27" t="s">
        <v>8</v>
      </c>
      <c r="EN732" s="27" t="s">
        <v>7</v>
      </c>
      <c r="EO732" s="27" t="s">
        <v>8</v>
      </c>
      <c r="EX732" s="27" t="s">
        <v>7</v>
      </c>
      <c r="EY732" s="27" t="s">
        <v>8</v>
      </c>
      <c r="EZ732" s="27" t="s">
        <v>7</v>
      </c>
      <c r="FA732" s="27" t="s">
        <v>8</v>
      </c>
      <c r="FB732" s="27" t="s">
        <v>7</v>
      </c>
      <c r="FU732" s="27" t="s">
        <v>8</v>
      </c>
    </row>
    <row r="733" spans="1:238" x14ac:dyDescent="0.25">
      <c r="A733" s="7">
        <v>5.5510472338699497E-2</v>
      </c>
      <c r="B733"/>
      <c r="C733"/>
      <c r="D733"/>
      <c r="E733"/>
      <c r="DD733" s="27" t="s">
        <v>7</v>
      </c>
      <c r="DE733" s="27" t="s">
        <v>8</v>
      </c>
      <c r="DV733" s="27" t="s">
        <v>7</v>
      </c>
      <c r="DW733" s="27" t="s">
        <v>8</v>
      </c>
      <c r="DX733" s="27" t="s">
        <v>7</v>
      </c>
      <c r="DY733" s="27" t="s">
        <v>8</v>
      </c>
      <c r="DZ733" s="27" t="s">
        <v>7</v>
      </c>
      <c r="EI733" s="27" t="s">
        <v>8</v>
      </c>
      <c r="EJ733" s="27" t="s">
        <v>7</v>
      </c>
      <c r="EK733" s="27" t="s">
        <v>8</v>
      </c>
      <c r="EN733" s="27" t="s">
        <v>7</v>
      </c>
      <c r="EX733" s="27" t="s">
        <v>7</v>
      </c>
      <c r="EZ733" s="27" t="s">
        <v>7</v>
      </c>
      <c r="FB733" s="27" t="s">
        <v>7</v>
      </c>
      <c r="FU733" s="27" t="s">
        <v>8</v>
      </c>
    </row>
    <row r="734" spans="1:238" x14ac:dyDescent="0.25">
      <c r="A734" s="7">
        <v>5.4422031704607354E-2</v>
      </c>
      <c r="B734"/>
      <c r="C734"/>
      <c r="D734"/>
      <c r="E734"/>
      <c r="DD734" s="27" t="s">
        <v>7</v>
      </c>
      <c r="DE734" s="27" t="s">
        <v>8</v>
      </c>
      <c r="DV734" s="27" t="s">
        <v>7</v>
      </c>
      <c r="DW734" s="27" t="s">
        <v>8</v>
      </c>
      <c r="DX734" s="27" t="s">
        <v>7</v>
      </c>
      <c r="DY734" s="27" t="s">
        <v>8</v>
      </c>
      <c r="DZ734" s="27" t="s">
        <v>7</v>
      </c>
      <c r="EI734" s="27" t="s">
        <v>8</v>
      </c>
      <c r="EJ734" s="27" t="s">
        <v>7</v>
      </c>
      <c r="EK734" s="27" t="s">
        <v>8</v>
      </c>
      <c r="FB734" s="27" t="s">
        <v>7</v>
      </c>
      <c r="FU734" s="27" t="s">
        <v>8</v>
      </c>
    </row>
    <row r="735" spans="1:238" x14ac:dyDescent="0.25">
      <c r="A735" s="7">
        <v>5.3354933043732705E-2</v>
      </c>
      <c r="B735"/>
      <c r="C735"/>
      <c r="D735"/>
      <c r="E735"/>
      <c r="DD735" s="27" t="s">
        <v>7</v>
      </c>
      <c r="DE735" s="27" t="s">
        <v>8</v>
      </c>
      <c r="DV735" s="27" t="s">
        <v>7</v>
      </c>
      <c r="DX735" s="27" t="s">
        <v>7</v>
      </c>
      <c r="DZ735" s="27" t="s">
        <v>7</v>
      </c>
      <c r="EI735" s="27" t="s">
        <v>8</v>
      </c>
      <c r="EJ735" s="27" t="s">
        <v>7</v>
      </c>
      <c r="EK735" s="27" t="s">
        <v>8</v>
      </c>
      <c r="FB735" s="27" t="s">
        <v>7</v>
      </c>
      <c r="FS735" s="27" t="s">
        <v>8</v>
      </c>
      <c r="FU735" s="27" t="s">
        <v>8</v>
      </c>
    </row>
    <row r="736" spans="1:238" x14ac:dyDescent="0.25">
      <c r="A736" s="7">
        <v>5.2308757886012455E-2</v>
      </c>
      <c r="B736"/>
      <c r="C736"/>
      <c r="D736"/>
      <c r="E736"/>
      <c r="DD736" s="27" t="s">
        <v>7</v>
      </c>
      <c r="DE736" s="27" t="s">
        <v>8</v>
      </c>
      <c r="DZ736" s="27" t="s">
        <v>7</v>
      </c>
      <c r="EI736" s="27" t="s">
        <v>8</v>
      </c>
      <c r="EJ736" s="27" t="s">
        <v>7</v>
      </c>
      <c r="FB736" s="27" t="s">
        <v>7</v>
      </c>
      <c r="FC736" s="27" t="s">
        <v>8</v>
      </c>
      <c r="FO736" s="27" t="s">
        <v>8</v>
      </c>
      <c r="FS736" s="27" t="s">
        <v>8</v>
      </c>
      <c r="FT736" s="27" t="s">
        <v>7</v>
      </c>
      <c r="FU736" s="27" t="s">
        <v>8</v>
      </c>
    </row>
    <row r="737" spans="1:177" x14ac:dyDescent="0.25">
      <c r="A737" s="7">
        <v>5.1283095966678877E-2</v>
      </c>
      <c r="B737"/>
      <c r="C737"/>
      <c r="D737"/>
      <c r="E737"/>
      <c r="DD737" s="27" t="s">
        <v>7</v>
      </c>
      <c r="DE737" s="27" t="s">
        <v>8</v>
      </c>
      <c r="DZ737" s="27" t="s">
        <v>7</v>
      </c>
      <c r="EI737" s="27" t="s">
        <v>8</v>
      </c>
      <c r="FB737" s="27" t="s">
        <v>7</v>
      </c>
      <c r="FC737" s="27" t="s">
        <v>8</v>
      </c>
      <c r="FD737" s="27" t="s">
        <v>7</v>
      </c>
      <c r="FM737" s="27" t="s">
        <v>8</v>
      </c>
      <c r="FO737" s="27" t="s">
        <v>8</v>
      </c>
      <c r="FP737" s="27" t="s">
        <v>7</v>
      </c>
      <c r="FQ737" s="27" t="s">
        <v>8</v>
      </c>
      <c r="FS737" s="27" t="s">
        <v>8</v>
      </c>
      <c r="FT737" s="27" t="s">
        <v>7</v>
      </c>
      <c r="FU737" s="27" t="s">
        <v>8</v>
      </c>
    </row>
    <row r="738" spans="1:177" x14ac:dyDescent="0.25">
      <c r="A738" s="7">
        <v>5.0277545065371444E-2</v>
      </c>
      <c r="B738"/>
      <c r="C738"/>
      <c r="D738"/>
      <c r="E738"/>
      <c r="DD738" s="27" t="s">
        <v>7</v>
      </c>
      <c r="DZ738" s="27" t="s">
        <v>7</v>
      </c>
      <c r="EG738" s="27" t="s">
        <v>8</v>
      </c>
      <c r="EI738" s="27" t="s">
        <v>8</v>
      </c>
      <c r="FB738" s="27" t="s">
        <v>7</v>
      </c>
      <c r="FC738" s="27" t="s">
        <v>8</v>
      </c>
      <c r="FD738" s="27" t="s">
        <v>7</v>
      </c>
      <c r="FM738" s="27" t="s">
        <v>8</v>
      </c>
      <c r="FN738" s="27" t="s">
        <v>7</v>
      </c>
      <c r="FO738" s="27" t="s">
        <v>8</v>
      </c>
      <c r="FP738" s="27" t="s">
        <v>7</v>
      </c>
      <c r="FQ738" s="27" t="s">
        <v>8</v>
      </c>
      <c r="FR738" s="27" t="s">
        <v>7</v>
      </c>
      <c r="FS738" s="27" t="s">
        <v>8</v>
      </c>
      <c r="FT738" s="27" t="s">
        <v>7</v>
      </c>
      <c r="FU738" s="27" t="s">
        <v>8</v>
      </c>
    </row>
    <row r="739" spans="1:177" x14ac:dyDescent="0.25">
      <c r="A739" s="7">
        <v>4.9291710848403378E-2</v>
      </c>
      <c r="B739"/>
      <c r="C739"/>
      <c r="D739"/>
      <c r="E739"/>
      <c r="DZ739" s="27" t="s">
        <v>7</v>
      </c>
      <c r="EG739" s="27" t="s">
        <v>8</v>
      </c>
      <c r="EH739" s="27" t="s">
        <v>7</v>
      </c>
      <c r="EI739" s="27" t="s">
        <v>8</v>
      </c>
      <c r="FB739" s="27" t="s">
        <v>7</v>
      </c>
      <c r="FC739" s="27" t="s">
        <v>8</v>
      </c>
      <c r="FD739" s="27" t="s">
        <v>7</v>
      </c>
      <c r="FM739" s="27" t="s">
        <v>8</v>
      </c>
      <c r="FN739" s="27" t="s">
        <v>7</v>
      </c>
      <c r="FO739" s="27" t="s">
        <v>8</v>
      </c>
      <c r="FP739" s="27" t="s">
        <v>7</v>
      </c>
      <c r="FQ739" s="27" t="s">
        <v>8</v>
      </c>
      <c r="FR739" s="27" t="s">
        <v>7</v>
      </c>
      <c r="FS739" s="27" t="s">
        <v>8</v>
      </c>
      <c r="FT739" s="27" t="s">
        <v>7</v>
      </c>
    </row>
    <row r="740" spans="1:177" x14ac:dyDescent="0.25">
      <c r="A740" s="7">
        <v>4.8325206714120959E-2</v>
      </c>
      <c r="B740"/>
      <c r="C740"/>
      <c r="D740"/>
      <c r="E740"/>
      <c r="DZ740" s="27" t="s">
        <v>7</v>
      </c>
      <c r="EG740" s="27" t="s">
        <v>8</v>
      </c>
      <c r="EH740" s="27" t="s">
        <v>7</v>
      </c>
      <c r="EI740" s="27" t="s">
        <v>8</v>
      </c>
      <c r="FB740" s="27" t="s">
        <v>7</v>
      </c>
      <c r="FD740" s="27" t="s">
        <v>7</v>
      </c>
      <c r="FM740" s="27" t="s">
        <v>8</v>
      </c>
      <c r="FN740" s="27" t="s">
        <v>7</v>
      </c>
      <c r="FP740" s="27" t="s">
        <v>7</v>
      </c>
      <c r="FQ740" s="27" t="s">
        <v>8</v>
      </c>
      <c r="FR740" s="27" t="s">
        <v>7</v>
      </c>
      <c r="FS740" s="27" t="s">
        <v>8</v>
      </c>
    </row>
    <row r="741" spans="1:177" x14ac:dyDescent="0.25">
      <c r="A741" s="7">
        <v>4.7377653641295057E-2</v>
      </c>
      <c r="B741"/>
      <c r="C741"/>
      <c r="D741"/>
      <c r="E741"/>
      <c r="DZ741" s="27" t="s">
        <v>7</v>
      </c>
      <c r="EA741" s="27" t="s">
        <v>8</v>
      </c>
      <c r="EC741" s="27" t="s">
        <v>8</v>
      </c>
      <c r="EG741" s="27" t="s">
        <v>8</v>
      </c>
      <c r="EH741" s="27" t="s">
        <v>7</v>
      </c>
      <c r="EI741" s="27" t="s">
        <v>8</v>
      </c>
      <c r="FD741" s="27" t="s">
        <v>7</v>
      </c>
      <c r="FM741" s="27" t="s">
        <v>8</v>
      </c>
      <c r="FP741" s="27" t="s">
        <v>7</v>
      </c>
      <c r="FQ741" s="27" t="s">
        <v>8</v>
      </c>
      <c r="FR741" s="27" t="s">
        <v>7</v>
      </c>
      <c r="FS741" s="27" t="s">
        <v>8</v>
      </c>
    </row>
    <row r="742" spans="1:177" x14ac:dyDescent="0.25">
      <c r="A742" s="7">
        <v>4.644868004048535E-2</v>
      </c>
      <c r="B742"/>
      <c r="C742"/>
      <c r="D742"/>
      <c r="E742"/>
      <c r="DZ742" s="27" t="s">
        <v>7</v>
      </c>
      <c r="EA742" s="27" t="s">
        <v>8</v>
      </c>
      <c r="EB742" s="27" t="s">
        <v>7</v>
      </c>
      <c r="EC742" s="27" t="s">
        <v>8</v>
      </c>
      <c r="ED742" s="27" t="s">
        <v>7</v>
      </c>
      <c r="EE742" s="27" t="s">
        <v>8</v>
      </c>
      <c r="EG742" s="27" t="s">
        <v>8</v>
      </c>
      <c r="EH742" s="27" t="s">
        <v>7</v>
      </c>
      <c r="EI742" s="27" t="s">
        <v>8</v>
      </c>
      <c r="FD742" s="27" t="s">
        <v>7</v>
      </c>
      <c r="FM742" s="27" t="s">
        <v>8</v>
      </c>
      <c r="FP742" s="27" t="s">
        <v>7</v>
      </c>
      <c r="FQ742" s="27" t="s">
        <v>8</v>
      </c>
      <c r="FR742" s="27" t="s">
        <v>7</v>
      </c>
      <c r="FS742" s="27" t="s">
        <v>8</v>
      </c>
    </row>
    <row r="743" spans="1:177" x14ac:dyDescent="0.25">
      <c r="A743" s="7">
        <v>4.5537921608318974E-2</v>
      </c>
      <c r="B743"/>
      <c r="C743"/>
      <c r="D743"/>
      <c r="E743"/>
      <c r="DZ743" s="27" t="s">
        <v>7</v>
      </c>
      <c r="EA743" s="27" t="s">
        <v>8</v>
      </c>
      <c r="EB743" s="27" t="s">
        <v>7</v>
      </c>
      <c r="EC743" s="27" t="s">
        <v>8</v>
      </c>
      <c r="ED743" s="27" t="s">
        <v>7</v>
      </c>
      <c r="EE743" s="27" t="s">
        <v>8</v>
      </c>
      <c r="EF743" s="27" t="s">
        <v>7</v>
      </c>
      <c r="EG743" s="27" t="s">
        <v>8</v>
      </c>
      <c r="EH743" s="27" t="s">
        <v>7</v>
      </c>
      <c r="FD743" s="27" t="s">
        <v>7</v>
      </c>
      <c r="FM743" s="27" t="s">
        <v>8</v>
      </c>
      <c r="FP743" s="27" t="s">
        <v>7</v>
      </c>
      <c r="FR743" s="27" t="s">
        <v>7</v>
      </c>
    </row>
    <row r="744" spans="1:177" x14ac:dyDescent="0.25">
      <c r="A744" s="7">
        <v>4.4645021184626446E-2</v>
      </c>
      <c r="B744"/>
      <c r="C744"/>
      <c r="D744"/>
      <c r="E744"/>
      <c r="DZ744" s="27" t="s">
        <v>7</v>
      </c>
      <c r="EA744" s="27" t="s">
        <v>8</v>
      </c>
      <c r="EB744" s="27" t="s">
        <v>7</v>
      </c>
      <c r="ED744" s="27" t="s">
        <v>7</v>
      </c>
      <c r="EE744" s="27" t="s">
        <v>8</v>
      </c>
      <c r="EF744" s="27" t="s">
        <v>7</v>
      </c>
      <c r="EG744" s="27" t="s">
        <v>8</v>
      </c>
      <c r="FD744" s="27" t="s">
        <v>7</v>
      </c>
      <c r="FM744" s="27" t="s">
        <v>8</v>
      </c>
    </row>
    <row r="745" spans="1:177" x14ac:dyDescent="0.25">
      <c r="A745" s="7">
        <v>4.3769628612378868E-2</v>
      </c>
      <c r="B745"/>
      <c r="C745"/>
      <c r="D745"/>
      <c r="E745"/>
      <c r="DZ745" s="27" t="s">
        <v>7</v>
      </c>
      <c r="EA745" s="27" t="s">
        <v>8</v>
      </c>
      <c r="ED745" s="27" t="s">
        <v>7</v>
      </c>
      <c r="EF745" s="27" t="s">
        <v>7</v>
      </c>
      <c r="FD745" s="27" t="s">
        <v>7</v>
      </c>
      <c r="FI745" s="27" t="s">
        <v>8</v>
      </c>
      <c r="FM745" s="27" t="s">
        <v>8</v>
      </c>
    </row>
    <row r="746" spans="1:177" x14ac:dyDescent="0.25">
      <c r="A746" s="7">
        <v>4.2911400600371442E-2</v>
      </c>
      <c r="B746"/>
      <c r="C746"/>
      <c r="D746"/>
      <c r="E746"/>
      <c r="DZ746" s="27" t="s">
        <v>7</v>
      </c>
      <c r="FD746" s="27" t="s">
        <v>7</v>
      </c>
      <c r="FI746" s="27" t="s">
        <v>8</v>
      </c>
      <c r="FJ746" s="27" t="s">
        <v>7</v>
      </c>
      <c r="FK746" s="27" t="s">
        <v>8</v>
      </c>
      <c r="FM746" s="27" t="s">
        <v>8</v>
      </c>
    </row>
    <row r="747" spans="1:177" x14ac:dyDescent="0.25">
      <c r="A747" s="7">
        <v>4.2070000588599457E-2</v>
      </c>
      <c r="B747"/>
      <c r="C747"/>
      <c r="D747"/>
      <c r="E747"/>
      <c r="FD747" s="27" t="s">
        <v>7</v>
      </c>
      <c r="FI747" s="27" t="s">
        <v>8</v>
      </c>
      <c r="FJ747" s="27" t="s">
        <v>7</v>
      </c>
      <c r="FK747" s="27" t="s">
        <v>8</v>
      </c>
      <c r="FL747" s="27" t="s">
        <v>7</v>
      </c>
      <c r="FM747" s="27" t="s">
        <v>8</v>
      </c>
    </row>
    <row r="748" spans="1:177" x14ac:dyDescent="0.25">
      <c r="A748" s="7">
        <v>4.1245098616273977E-2</v>
      </c>
      <c r="B748"/>
      <c r="C748"/>
      <c r="D748"/>
      <c r="E748"/>
      <c r="FD748" s="27" t="s">
        <v>7</v>
      </c>
      <c r="FI748" s="27" t="s">
        <v>8</v>
      </c>
      <c r="FJ748" s="27" t="s">
        <v>7</v>
      </c>
      <c r="FK748" s="27" t="s">
        <v>8</v>
      </c>
      <c r="FL748" s="27" t="s">
        <v>7</v>
      </c>
      <c r="FM748" s="27" t="s">
        <v>8</v>
      </c>
    </row>
    <row r="749" spans="1:177" x14ac:dyDescent="0.25">
      <c r="A749" s="7">
        <v>4.043637119242547E-2</v>
      </c>
      <c r="B749"/>
      <c r="C749"/>
      <c r="D749"/>
      <c r="E749"/>
      <c r="FD749" s="27" t="s">
        <v>7</v>
      </c>
      <c r="FE749" s="27" t="s">
        <v>8</v>
      </c>
      <c r="FI749" s="27" t="s">
        <v>8</v>
      </c>
      <c r="FJ749" s="27" t="s">
        <v>7</v>
      </c>
      <c r="FK749" s="27" t="s">
        <v>8</v>
      </c>
      <c r="FL749" s="27" t="s">
        <v>7</v>
      </c>
      <c r="FM749" s="27" t="s">
        <v>8</v>
      </c>
    </row>
    <row r="750" spans="1:177" x14ac:dyDescent="0.25">
      <c r="A750" s="7">
        <v>3.9643501169044582E-2</v>
      </c>
      <c r="B750"/>
      <c r="C750"/>
      <c r="D750"/>
      <c r="E750"/>
      <c r="FD750" s="27" t="s">
        <v>7</v>
      </c>
      <c r="FE750" s="27" t="s">
        <v>8</v>
      </c>
      <c r="FF750" s="27" t="s">
        <v>7</v>
      </c>
      <c r="FI750" s="27" t="s">
        <v>8</v>
      </c>
      <c r="FJ750" s="27" t="s">
        <v>7</v>
      </c>
      <c r="FK750" s="27" t="s">
        <v>8</v>
      </c>
      <c r="FL750" s="27" t="s">
        <v>7</v>
      </c>
      <c r="FM750" s="27" t="s">
        <v>8</v>
      </c>
    </row>
    <row r="751" spans="1:177" x14ac:dyDescent="0.25">
      <c r="A751" s="7">
        <v>3.8866177616710372E-2</v>
      </c>
      <c r="B751"/>
      <c r="C751"/>
      <c r="D751"/>
      <c r="E751"/>
      <c r="FD751" s="27" t="s">
        <v>7</v>
      </c>
      <c r="FE751" s="27" t="s">
        <v>8</v>
      </c>
      <c r="FF751" s="27" t="s">
        <v>7</v>
      </c>
      <c r="FI751" s="27" t="s">
        <v>8</v>
      </c>
      <c r="FJ751" s="27" t="s">
        <v>7</v>
      </c>
      <c r="FK751" s="27" t="s">
        <v>8</v>
      </c>
      <c r="FL751" s="27" t="s">
        <v>7</v>
      </c>
      <c r="FM751" s="27" t="s">
        <v>8</v>
      </c>
    </row>
    <row r="752" spans="1:177" x14ac:dyDescent="0.25">
      <c r="A752" s="7">
        <v>3.8104095702657229E-2</v>
      </c>
      <c r="B752"/>
      <c r="C752"/>
      <c r="D752"/>
      <c r="E752"/>
      <c r="FD752" s="27" t="s">
        <v>7</v>
      </c>
      <c r="FE752" s="27" t="s">
        <v>8</v>
      </c>
      <c r="FF752" s="27" t="s">
        <v>7</v>
      </c>
      <c r="FG752" s="27" t="s">
        <v>8</v>
      </c>
      <c r="FI752" s="27" t="s">
        <v>8</v>
      </c>
      <c r="FJ752" s="27" t="s">
        <v>7</v>
      </c>
      <c r="FK752" s="27" t="s">
        <v>8</v>
      </c>
      <c r="FL752" s="27" t="s">
        <v>7</v>
      </c>
    </row>
    <row r="753" spans="1:167" x14ac:dyDescent="0.25">
      <c r="A753" s="7">
        <v>3.7356956571232579E-2</v>
      </c>
      <c r="B753"/>
      <c r="C753"/>
      <c r="D753"/>
      <c r="E753"/>
      <c r="FD753" s="27" t="s">
        <v>7</v>
      </c>
      <c r="FE753" s="27" t="s">
        <v>8</v>
      </c>
      <c r="FF753" s="27" t="s">
        <v>7</v>
      </c>
      <c r="FG753" s="27" t="s">
        <v>8</v>
      </c>
      <c r="FH753" s="27" t="s">
        <v>7</v>
      </c>
      <c r="FI753" s="27" t="s">
        <v>8</v>
      </c>
      <c r="FJ753" s="27" t="s">
        <v>7</v>
      </c>
      <c r="FK753" s="27" t="s">
        <v>8</v>
      </c>
    </row>
    <row r="754" spans="1:167" x14ac:dyDescent="0.25">
      <c r="A754" s="7">
        <v>3.6624467226698605E-2</v>
      </c>
      <c r="B754"/>
      <c r="C754"/>
      <c r="D754"/>
      <c r="E754"/>
      <c r="FD754" s="27" t="s">
        <v>7</v>
      </c>
      <c r="FE754" s="27" t="s">
        <v>8</v>
      </c>
      <c r="FF754" s="27" t="s">
        <v>7</v>
      </c>
      <c r="FG754" s="27" t="s">
        <v>8</v>
      </c>
      <c r="FH754" s="27" t="s">
        <v>7</v>
      </c>
      <c r="FI754" s="27" t="s">
        <v>8</v>
      </c>
      <c r="FJ754" s="27" t="s">
        <v>7</v>
      </c>
    </row>
    <row r="755" spans="1:167" x14ac:dyDescent="0.25">
      <c r="A755" s="7">
        <v>3.5906340418331961E-2</v>
      </c>
      <c r="B755"/>
      <c r="C755"/>
      <c r="D755"/>
      <c r="E755"/>
      <c r="FD755" s="27" t="s">
        <v>7</v>
      </c>
      <c r="FE755" s="27" t="s">
        <v>8</v>
      </c>
      <c r="FF755" s="27" t="s">
        <v>7</v>
      </c>
      <c r="FG755" s="27" t="s">
        <v>8</v>
      </c>
      <c r="FH755" s="27" t="s">
        <v>7</v>
      </c>
      <c r="FI755" s="27" t="s">
        <v>8</v>
      </c>
    </row>
    <row r="756" spans="1:167" x14ac:dyDescent="0.25">
      <c r="A756" s="7">
        <v>3.5202294527776436E-2</v>
      </c>
      <c r="B756"/>
      <c r="C756"/>
      <c r="D756"/>
      <c r="E756"/>
      <c r="FD756" s="27" t="s">
        <v>7</v>
      </c>
      <c r="FE756" s="27" t="s">
        <v>8</v>
      </c>
      <c r="FF756" s="27" t="s">
        <v>7</v>
      </c>
      <c r="FG756" s="27" t="s">
        <v>8</v>
      </c>
      <c r="FH756" s="27" t="s">
        <v>7</v>
      </c>
      <c r="FI756" s="27" t="s">
        <v>8</v>
      </c>
    </row>
    <row r="757" spans="1:167" x14ac:dyDescent="0.25">
      <c r="A757" s="7">
        <v>3.451205345860435E-2</v>
      </c>
      <c r="B757"/>
      <c r="C757"/>
      <c r="D757"/>
      <c r="E757"/>
      <c r="FD757" s="27" t="s">
        <v>7</v>
      </c>
      <c r="FE757" s="27" t="s">
        <v>8</v>
      </c>
      <c r="FF757" s="27" t="s">
        <v>7</v>
      </c>
      <c r="FG757" s="27" t="s">
        <v>8</v>
      </c>
      <c r="FH757" s="27" t="s">
        <v>7</v>
      </c>
    </row>
    <row r="758" spans="1:167" x14ac:dyDescent="0.25">
      <c r="A758" s="7">
        <v>3.3835346528043479E-2</v>
      </c>
      <c r="B758"/>
      <c r="C758"/>
      <c r="D758"/>
      <c r="E758"/>
      <c r="FD758" s="27" t="s">
        <v>7</v>
      </c>
      <c r="FE758" s="27" t="s">
        <v>8</v>
      </c>
      <c r="FF758" s="27" t="s">
        <v>7</v>
      </c>
      <c r="FG758" s="27" t="s">
        <v>8</v>
      </c>
    </row>
    <row r="759" spans="1:167" x14ac:dyDescent="0.25">
      <c r="A759" s="7">
        <v>3.3171908360826938E-2</v>
      </c>
      <c r="B759"/>
      <c r="C759"/>
      <c r="D759"/>
      <c r="E759"/>
      <c r="FD759" s="27" t="s">
        <v>7</v>
      </c>
      <c r="FE759" s="27" t="s">
        <v>8</v>
      </c>
      <c r="FF759" s="27" t="s">
        <v>7</v>
      </c>
      <c r="FG759" s="27" t="s">
        <v>8</v>
      </c>
    </row>
    <row r="760" spans="1:167" x14ac:dyDescent="0.25">
      <c r="A760" s="7">
        <v>3.2521478785124451E-2</v>
      </c>
      <c r="B760"/>
      <c r="C760"/>
      <c r="D760"/>
      <c r="E760"/>
      <c r="FD760" s="27" t="s">
        <v>7</v>
      </c>
      <c r="FE760" s="27" t="s">
        <v>8</v>
      </c>
      <c r="FF760" s="27" t="s">
        <v>7</v>
      </c>
      <c r="FG760" s="27" t="s">
        <v>8</v>
      </c>
    </row>
    <row r="761" spans="1:167" x14ac:dyDescent="0.25">
      <c r="A761" s="7">
        <v>3.1883802730514173E-2</v>
      </c>
      <c r="B761"/>
      <c r="C761"/>
      <c r="D761"/>
      <c r="E761"/>
      <c r="FD761" s="27" t="s">
        <v>7</v>
      </c>
      <c r="FE761" s="27" t="s">
        <v>8</v>
      </c>
      <c r="FF761" s="27" t="s">
        <v>7</v>
      </c>
    </row>
    <row r="762" spans="1:167" x14ac:dyDescent="0.25">
      <c r="A762" s="7">
        <v>3.1258630127955073E-2</v>
      </c>
      <c r="B762"/>
      <c r="C762"/>
      <c r="D762"/>
      <c r="E762"/>
      <c r="FD762" s="27" t="s">
        <v>7</v>
      </c>
      <c r="FE762" s="27" t="s">
        <v>8</v>
      </c>
    </row>
    <row r="763" spans="1:167" x14ac:dyDescent="0.25">
      <c r="A763" s="7">
        <v>3.064571581172066E-2</v>
      </c>
      <c r="B763"/>
      <c r="C763"/>
      <c r="D763"/>
      <c r="E763"/>
      <c r="FD763" s="27" t="s">
        <v>7</v>
      </c>
      <c r="FE763" s="27" t="s">
        <v>8</v>
      </c>
    </row>
    <row r="764" spans="1:167" x14ac:dyDescent="0.25">
      <c r="A764" s="7">
        <v>3.0044819423255549E-2</v>
      </c>
      <c r="B764"/>
      <c r="C764"/>
      <c r="D764"/>
      <c r="E764"/>
      <c r="FD764" s="27" t="s">
        <v>7</v>
      </c>
      <c r="FE764" s="27" t="s">
        <v>8</v>
      </c>
    </row>
    <row r="765" spans="1:167" x14ac:dyDescent="0.25">
      <c r="A765" s="7">
        <v>2.9455705316917203E-2</v>
      </c>
      <c r="B765"/>
      <c r="C765"/>
      <c r="D765"/>
      <c r="E765"/>
      <c r="FD765" s="27" t="s">
        <v>7</v>
      </c>
      <c r="FE765" s="27" t="s">
        <v>8</v>
      </c>
    </row>
    <row r="766" spans="1:167" x14ac:dyDescent="0.25">
      <c r="A766" s="7">
        <v>2.8878142467565884E-2</v>
      </c>
      <c r="B766"/>
      <c r="C766"/>
      <c r="D766"/>
      <c r="E766"/>
      <c r="FD766" s="27" t="s">
        <v>7</v>
      </c>
      <c r="FE766" s="27" t="s">
        <v>8</v>
      </c>
    </row>
    <row r="767" spans="1:167" x14ac:dyDescent="0.25">
      <c r="A767" s="7">
        <v>2.8311904379966554E-2</v>
      </c>
      <c r="B767"/>
      <c r="C767"/>
      <c r="D767"/>
      <c r="E767"/>
      <c r="FD767" s="27" t="s">
        <v>7</v>
      </c>
      <c r="FE767" s="27" t="s">
        <v>8</v>
      </c>
    </row>
    <row r="768" spans="1:167" x14ac:dyDescent="0.25">
      <c r="A768" s="7">
        <v>2.7756768999967207E-2</v>
      </c>
      <c r="B768"/>
      <c r="C768"/>
      <c r="D768"/>
      <c r="E768"/>
      <c r="FD768" s="27" t="s">
        <v>7</v>
      </c>
      <c r="FE768" s="27" t="s">
        <v>8</v>
      </c>
    </row>
    <row r="769" spans="1:161" x14ac:dyDescent="0.25">
      <c r="A769" s="7">
        <v>2.7212518627418834E-2</v>
      </c>
      <c r="B769"/>
      <c r="C769"/>
      <c r="D769"/>
      <c r="E769"/>
      <c r="FD769" s="27" t="s">
        <v>7</v>
      </c>
      <c r="FE769" s="27" t="s">
        <v>8</v>
      </c>
    </row>
    <row r="770" spans="1:161" x14ac:dyDescent="0.25">
      <c r="A770" s="7">
        <v>2.6678939830802779E-2</v>
      </c>
      <c r="B770"/>
      <c r="C770"/>
      <c r="D770"/>
      <c r="E770"/>
      <c r="FD770" s="27" t="s">
        <v>7</v>
      </c>
      <c r="FE770" s="27" t="s">
        <v>8</v>
      </c>
    </row>
    <row r="771" spans="1:161" x14ac:dyDescent="0.25">
      <c r="A771" s="7">
        <v>2.615582336353214E-2</v>
      </c>
      <c r="B771"/>
      <c r="C771"/>
      <c r="D771"/>
      <c r="E771"/>
      <c r="FD771" s="27" t="s">
        <v>7</v>
      </c>
    </row>
    <row r="772" spans="1:161" x14ac:dyDescent="0.25">
      <c r="A772" s="7">
        <v>2.5642964081894253E-2</v>
      </c>
      <c r="B772"/>
      <c r="C772"/>
      <c r="D772"/>
      <c r="E772"/>
    </row>
    <row r="773" spans="1:161" x14ac:dyDescent="0.25">
      <c r="A773" s="7">
        <v>2.5140160864602207E-2</v>
      </c>
      <c r="B773"/>
      <c r="C773"/>
      <c r="D773"/>
      <c r="E773"/>
    </row>
    <row r="774" spans="1:161" x14ac:dyDescent="0.25">
      <c r="A774" s="7">
        <v>2.4647216533923735E-2</v>
      </c>
      <c r="B774"/>
      <c r="C774"/>
      <c r="D774"/>
      <c r="E774"/>
    </row>
    <row r="775" spans="1:161" x14ac:dyDescent="0.25">
      <c r="A775" s="7">
        <v>2.4163937778356601E-2</v>
      </c>
      <c r="B775"/>
      <c r="C775"/>
      <c r="D775"/>
      <c r="E775"/>
    </row>
    <row r="776" spans="1:161" x14ac:dyDescent="0.25">
      <c r="A776" s="7">
        <v>2.3690135076820197E-2</v>
      </c>
      <c r="B776"/>
      <c r="C776"/>
      <c r="D776"/>
      <c r="E776"/>
    </row>
    <row r="777" spans="1:161" x14ac:dyDescent="0.25">
      <c r="A777" s="7">
        <v>2.3225622624333527E-2</v>
      </c>
      <c r="B777"/>
      <c r="C777"/>
      <c r="D777"/>
      <c r="E777"/>
    </row>
    <row r="778" spans="1:161" x14ac:dyDescent="0.25">
      <c r="A778" s="7">
        <v>2.2770218259150519E-2</v>
      </c>
      <c r="B778"/>
      <c r="C778"/>
      <c r="D778"/>
      <c r="E778"/>
    </row>
    <row r="779" spans="1:161" x14ac:dyDescent="0.25">
      <c r="A779" s="7">
        <v>2.2323743391324039E-2</v>
      </c>
      <c r="B779"/>
      <c r="C779"/>
      <c r="D779"/>
      <c r="E779"/>
    </row>
    <row r="780" spans="1:161" x14ac:dyDescent="0.25">
      <c r="A780" s="7">
        <v>2.188602293267063E-2</v>
      </c>
      <c r="B780"/>
      <c r="C780"/>
      <c r="D780"/>
      <c r="E780"/>
    </row>
    <row r="781" spans="1:161" x14ac:dyDescent="0.25">
      <c r="A781" s="7">
        <v>2.1456885228108461E-2</v>
      </c>
      <c r="B781"/>
      <c r="C781"/>
      <c r="D781"/>
      <c r="E781"/>
    </row>
    <row r="782" spans="1:161" x14ac:dyDescent="0.25">
      <c r="A782" s="7">
        <v>2.1036161988341632E-2</v>
      </c>
      <c r="B782"/>
      <c r="C782"/>
      <c r="D782"/>
      <c r="E782"/>
    </row>
    <row r="783" spans="1:161" x14ac:dyDescent="0.25">
      <c r="A783" s="7">
        <v>2.0623688223864345E-2</v>
      </c>
      <c r="B783"/>
      <c r="C783"/>
      <c r="D783"/>
      <c r="E783"/>
    </row>
    <row r="784" spans="1:161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42" zoomScale="90" zoomScaleNormal="90" workbookViewId="0">
      <pane xSplit="4" topLeftCell="CS1" activePane="topRight" state="frozen"/>
      <selection activeCell="A109" sqref="A109"/>
      <selection pane="topRight" activeCell="EQ273" sqref="EQ27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$A$272</v>
      </c>
      <c r="D111" s="1" t="str">
        <f>ADDRESS(C121-1,D121,1,1)</f>
        <v>$EQ$272</v>
      </c>
      <c r="E111"/>
    </row>
    <row r="112" spans="1:5" x14ac:dyDescent="0.25">
      <c r="A112" s="30">
        <v>515.50191262726139</v>
      </c>
      <c r="C112" s="1" t="str">
        <f>ADDRESS(C121,1,1,1)</f>
        <v>$A$273</v>
      </c>
      <c r="D112" s="1" t="str">
        <f>ADDRESS(C121,D121-1,1,1)</f>
        <v>$EP$273</v>
      </c>
      <c r="E112"/>
    </row>
    <row r="113" spans="1:5" x14ac:dyDescent="0.25">
      <c r="A113" s="30">
        <v>490.95420250215363</v>
      </c>
      <c r="C113" s="1" t="str">
        <f>ADDRESS(C121+1,1,1,1)</f>
        <v>$A$274</v>
      </c>
      <c r="D113" s="1" t="str">
        <f>ADDRESS(C121-1,D121+1,1,1)</f>
        <v>$ER$272</v>
      </c>
    </row>
    <row r="114" spans="1:5" x14ac:dyDescent="0.25">
      <c r="A114" s="30">
        <v>467.57543095443202</v>
      </c>
      <c r="C114" s="1" t="str">
        <f>ADDRESS(C121,D121,1,1)</f>
        <v>$EQ$273</v>
      </c>
      <c r="D114" s="1" t="str">
        <f>ADDRESS(C121+1,D121+1,1,1)</f>
        <v>$ER$274</v>
      </c>
    </row>
    <row r="115" spans="1:5" x14ac:dyDescent="0.25">
      <c r="A115" s="30">
        <v>445.30993424231622</v>
      </c>
      <c r="C115" s="1" t="str">
        <f>ADDRESS(C121+1,D121,1,1)</f>
        <v>$EQ$274</v>
      </c>
    </row>
    <row r="116" spans="1:5" x14ac:dyDescent="0.25">
      <c r="A116" s="30">
        <v>424.10469927839637</v>
      </c>
      <c r="C116" s="1">
        <f>C117-1</f>
        <v>272</v>
      </c>
    </row>
    <row r="117" spans="1:5" x14ac:dyDescent="0.25">
      <c r="A117" s="30">
        <v>403.9092374079965</v>
      </c>
      <c r="C117" s="1">
        <f>C121</f>
        <v>273</v>
      </c>
      <c r="D117" s="1">
        <f>D121</f>
        <v>147</v>
      </c>
    </row>
    <row r="118" spans="1:5" x14ac:dyDescent="0.25">
      <c r="A118" s="30">
        <v>384.6754641980919</v>
      </c>
      <c r="C118" s="1">
        <f>C117+1</f>
        <v>274</v>
      </c>
      <c r="D118" s="1">
        <f>D117+1</f>
        <v>148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273</v>
      </c>
      <c r="D121" s="19">
        <v>147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R273</v>
      </c>
      <c r="D123" s="1" t="str">
        <f>"C"&amp;D121</f>
        <v>C147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0.19987253960121379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122" x14ac:dyDescent="0.25">
      <c r="A241" s="30">
        <v>0.952380952380952</v>
      </c>
      <c r="B241"/>
      <c r="C241"/>
      <c r="D241"/>
      <c r="E241"/>
      <c r="F241" s="27" t="s">
        <v>7</v>
      </c>
    </row>
    <row r="242" spans="1:122" x14ac:dyDescent="0.25">
      <c r="A242" s="30">
        <v>0.90702947845804915</v>
      </c>
      <c r="B242"/>
      <c r="C242"/>
      <c r="D242"/>
      <c r="E242"/>
      <c r="F242" s="27" t="s">
        <v>7</v>
      </c>
    </row>
    <row r="243" spans="1:122" x14ac:dyDescent="0.25">
      <c r="A243" s="30">
        <v>0.86383759853147501</v>
      </c>
      <c r="B243"/>
      <c r="C243"/>
      <c r="D243"/>
      <c r="E243"/>
      <c r="F243" s="27" t="s">
        <v>7</v>
      </c>
    </row>
    <row r="244" spans="1:122" x14ac:dyDescent="0.25">
      <c r="A244" s="30">
        <v>0.82270247479188063</v>
      </c>
      <c r="B244"/>
      <c r="C244"/>
      <c r="D244"/>
      <c r="E244"/>
      <c r="F244" s="27" t="s">
        <v>7</v>
      </c>
    </row>
    <row r="245" spans="1:122" x14ac:dyDescent="0.25">
      <c r="A245" s="30">
        <v>0.78352616646845741</v>
      </c>
      <c r="B245"/>
      <c r="C245"/>
      <c r="D245"/>
      <c r="E245"/>
      <c r="F245" s="27" t="s">
        <v>7</v>
      </c>
      <c r="DG245" s="34" t="s">
        <v>8</v>
      </c>
    </row>
    <row r="246" spans="1:122" x14ac:dyDescent="0.25">
      <c r="A246" s="30">
        <v>0.74621539663662584</v>
      </c>
      <c r="B246"/>
      <c r="C246"/>
      <c r="D246"/>
      <c r="E246"/>
      <c r="F246" s="27" t="s">
        <v>7</v>
      </c>
      <c r="DE246" s="27" t="s">
        <v>8</v>
      </c>
      <c r="DG246" s="27" t="s">
        <v>8</v>
      </c>
      <c r="DH246" s="31" t="s">
        <v>7</v>
      </c>
    </row>
    <row r="247" spans="1:122" x14ac:dyDescent="0.25">
      <c r="A247" s="30">
        <v>0.71068133013011958</v>
      </c>
      <c r="B247"/>
      <c r="C247"/>
      <c r="D247"/>
      <c r="E247"/>
      <c r="F247" s="27" t="s">
        <v>7</v>
      </c>
      <c r="DE247" s="27" t="s">
        <v>8</v>
      </c>
      <c r="DF247" s="27" t="s">
        <v>7</v>
      </c>
      <c r="DG247" s="27" t="s">
        <v>8</v>
      </c>
      <c r="DH247" s="27" t="s">
        <v>7</v>
      </c>
      <c r="DI247" s="31"/>
    </row>
    <row r="248" spans="1:122" x14ac:dyDescent="0.25">
      <c r="A248" s="30">
        <v>0.676839362028685</v>
      </c>
      <c r="B248"/>
      <c r="C248"/>
      <c r="D248"/>
      <c r="E248"/>
      <c r="F248" s="27" t="s">
        <v>7</v>
      </c>
      <c r="CY248" s="27" t="s">
        <v>8</v>
      </c>
      <c r="DC248" s="27" t="s">
        <v>8</v>
      </c>
      <c r="DE248" s="27" t="s">
        <v>8</v>
      </c>
      <c r="DF248" s="27" t="s">
        <v>7</v>
      </c>
      <c r="DG248" s="27" t="s">
        <v>8</v>
      </c>
      <c r="DH248" s="27" t="s">
        <v>7</v>
      </c>
      <c r="DJ248" s="31"/>
    </row>
    <row r="249" spans="1:122" x14ac:dyDescent="0.25">
      <c r="A249" s="30">
        <v>0.64460891621779492</v>
      </c>
      <c r="B249"/>
      <c r="C249"/>
      <c r="D249"/>
      <c r="E249"/>
      <c r="F249" s="27" t="s">
        <v>7</v>
      </c>
      <c r="CY249" s="27" t="s">
        <v>8</v>
      </c>
      <c r="CZ249" s="27" t="s">
        <v>7</v>
      </c>
      <c r="DC249" s="27" t="s">
        <v>8</v>
      </c>
      <c r="DD249" s="27" t="s">
        <v>7</v>
      </c>
      <c r="DE249" s="27" t="s">
        <v>8</v>
      </c>
      <c r="DF249" s="27" t="s">
        <v>7</v>
      </c>
      <c r="DG249" s="27" t="s">
        <v>8</v>
      </c>
      <c r="DH249" s="27" t="s">
        <v>7</v>
      </c>
      <c r="DK249" s="31"/>
    </row>
    <row r="250" spans="1:122" x14ac:dyDescent="0.25">
      <c r="A250" s="30">
        <v>0.61391325354075688</v>
      </c>
      <c r="B250"/>
      <c r="C250"/>
      <c r="D250"/>
      <c r="E250"/>
      <c r="F250" s="27" t="s">
        <v>7</v>
      </c>
      <c r="CY250" s="27" t="s">
        <v>8</v>
      </c>
      <c r="CZ250" s="27" t="s">
        <v>7</v>
      </c>
      <c r="DC250" s="27" t="s">
        <v>8</v>
      </c>
      <c r="DD250" s="27" t="s">
        <v>7</v>
      </c>
      <c r="DE250" s="27" t="s">
        <v>8</v>
      </c>
      <c r="DF250" s="27" t="s">
        <v>7</v>
      </c>
      <c r="DG250" s="27" t="s">
        <v>8</v>
      </c>
      <c r="DH250" s="27" t="s">
        <v>7</v>
      </c>
      <c r="DL250" s="31"/>
    </row>
    <row r="251" spans="1:122" x14ac:dyDescent="0.25">
      <c r="A251" s="30">
        <v>0.58467928908643485</v>
      </c>
      <c r="B251"/>
      <c r="C251"/>
      <c r="D251"/>
      <c r="E251"/>
      <c r="F251" s="27" t="s">
        <v>7</v>
      </c>
      <c r="CM251" s="27" t="s">
        <v>8</v>
      </c>
      <c r="CY251" s="27" t="s">
        <v>8</v>
      </c>
      <c r="CZ251" s="27" t="s">
        <v>7</v>
      </c>
      <c r="DC251" s="34" t="s">
        <v>8</v>
      </c>
      <c r="DD251" s="27" t="s">
        <v>7</v>
      </c>
      <c r="DF251" s="27" t="s">
        <v>7</v>
      </c>
      <c r="DG251" s="27" t="s">
        <v>8</v>
      </c>
      <c r="DH251" s="27" t="s">
        <v>7</v>
      </c>
      <c r="DM251" s="31"/>
    </row>
    <row r="252" spans="1:122" x14ac:dyDescent="0.25">
      <c r="A252" s="30">
        <v>0.55683741817755672</v>
      </c>
      <c r="B252"/>
      <c r="C252"/>
      <c r="D252"/>
      <c r="E252"/>
      <c r="F252" s="27" t="s">
        <v>7</v>
      </c>
      <c r="CM252" s="27" t="s">
        <v>8</v>
      </c>
      <c r="CN252" s="27" t="s">
        <v>7</v>
      </c>
      <c r="CW252" s="27" t="s">
        <v>8</v>
      </c>
      <c r="CY252" s="27" t="s">
        <v>8</v>
      </c>
      <c r="CZ252" s="27" t="s">
        <v>7</v>
      </c>
      <c r="DA252" s="27" t="s">
        <v>8</v>
      </c>
      <c r="DC252" s="27" t="s">
        <v>8</v>
      </c>
      <c r="DF252" s="33" t="s">
        <v>7</v>
      </c>
      <c r="DH252" s="27" t="s">
        <v>7</v>
      </c>
      <c r="DN252" s="31"/>
    </row>
    <row r="253" spans="1:122" x14ac:dyDescent="0.25">
      <c r="A253" s="30">
        <v>0.53032135064529184</v>
      </c>
      <c r="B253"/>
      <c r="C253"/>
      <c r="D253"/>
      <c r="E253"/>
      <c r="F253" s="27" t="s">
        <v>7</v>
      </c>
      <c r="CM253" s="27" t="s">
        <v>8</v>
      </c>
      <c r="CN253" s="27" t="s">
        <v>7</v>
      </c>
      <c r="CO253" s="27" t="s">
        <v>8</v>
      </c>
      <c r="CW253" s="27" t="s">
        <v>8</v>
      </c>
      <c r="CX253" s="27" t="s">
        <v>7</v>
      </c>
      <c r="CY253" s="27" t="s">
        <v>8</v>
      </c>
      <c r="CZ253" s="27" t="s">
        <v>7</v>
      </c>
      <c r="DA253" s="27" t="s">
        <v>8</v>
      </c>
      <c r="DB253" s="27" t="s">
        <v>7</v>
      </c>
      <c r="DC253" s="27" t="s">
        <v>8</v>
      </c>
      <c r="DH253" s="33" t="s">
        <v>7</v>
      </c>
      <c r="DI253" s="27" t="s">
        <v>8</v>
      </c>
      <c r="DO253" s="31"/>
    </row>
    <row r="254" spans="1:122" x14ac:dyDescent="0.25">
      <c r="A254" s="30">
        <v>0.50506795299551588</v>
      </c>
      <c r="B254"/>
      <c r="C254"/>
      <c r="D254"/>
      <c r="E254"/>
      <c r="F254" s="27" t="s">
        <v>7</v>
      </c>
      <c r="CM254" s="27" t="s">
        <v>8</v>
      </c>
      <c r="CN254" s="27" t="s">
        <v>7</v>
      </c>
      <c r="CO254" s="27" t="s">
        <v>8</v>
      </c>
      <c r="CP254" s="27" t="s">
        <v>7</v>
      </c>
      <c r="CW254" s="27" t="s">
        <v>8</v>
      </c>
      <c r="CX254" s="27" t="s">
        <v>7</v>
      </c>
      <c r="CY254" s="27" t="s">
        <v>8</v>
      </c>
      <c r="CZ254" s="27" t="s">
        <v>7</v>
      </c>
      <c r="DA254" s="27" t="s">
        <v>8</v>
      </c>
      <c r="DB254" s="27" t="s">
        <v>7</v>
      </c>
      <c r="DC254" s="27" t="s">
        <v>8</v>
      </c>
      <c r="DH254" s="27" t="s">
        <v>7</v>
      </c>
      <c r="DI254" s="27" t="s">
        <v>8</v>
      </c>
      <c r="DJ254" s="27" t="s">
        <v>7</v>
      </c>
      <c r="DP254" s="31"/>
    </row>
    <row r="255" spans="1:122" x14ac:dyDescent="0.25">
      <c r="A255" s="30">
        <v>0.48101709809096732</v>
      </c>
      <c r="E255"/>
      <c r="F255" s="27" t="s">
        <v>7</v>
      </c>
      <c r="CM255" s="27" t="s">
        <v>8</v>
      </c>
      <c r="CN255" s="27" t="s">
        <v>7</v>
      </c>
      <c r="CO255" s="27" t="s">
        <v>8</v>
      </c>
      <c r="CP255" s="27" t="s">
        <v>7</v>
      </c>
      <c r="CW255" s="27" t="s">
        <v>8</v>
      </c>
      <c r="CX255" s="27" t="s">
        <v>7</v>
      </c>
      <c r="CY255" s="27" t="s">
        <v>8</v>
      </c>
      <c r="CZ255" s="27" t="s">
        <v>7</v>
      </c>
      <c r="DA255" s="27" t="s">
        <v>8</v>
      </c>
      <c r="DB255" s="27" t="s">
        <v>7</v>
      </c>
      <c r="DC255" s="27" t="s">
        <v>8</v>
      </c>
      <c r="DH255" s="27" t="s">
        <v>7</v>
      </c>
      <c r="DI255" s="27" t="s">
        <v>8</v>
      </c>
      <c r="DJ255" s="27" t="s">
        <v>7</v>
      </c>
      <c r="DQ255" s="31"/>
    </row>
    <row r="256" spans="1:122" x14ac:dyDescent="0.25">
      <c r="A256" s="30">
        <v>0.45811152199139726</v>
      </c>
      <c r="E256"/>
      <c r="F256" s="27" t="s">
        <v>7</v>
      </c>
      <c r="CM256" s="27" t="s">
        <v>8</v>
      </c>
      <c r="CN256" s="27" t="s">
        <v>7</v>
      </c>
      <c r="CO256" s="27" t="s">
        <v>8</v>
      </c>
      <c r="CP256" s="27" t="s">
        <v>7</v>
      </c>
      <c r="CS256" s="27" t="s">
        <v>8</v>
      </c>
      <c r="CW256" s="34" t="s">
        <v>8</v>
      </c>
      <c r="CX256" s="32" t="s">
        <v>7</v>
      </c>
      <c r="CZ256" s="32" t="s">
        <v>7</v>
      </c>
      <c r="DB256" s="27" t="s">
        <v>7</v>
      </c>
      <c r="DC256" s="27" t="s">
        <v>8</v>
      </c>
      <c r="DH256" s="27" t="s">
        <v>7</v>
      </c>
      <c r="DI256" s="27" t="s">
        <v>8</v>
      </c>
      <c r="DJ256" s="27" t="s">
        <v>7</v>
      </c>
      <c r="DK256" s="27" t="s">
        <v>8</v>
      </c>
      <c r="DR256" s="31"/>
    </row>
    <row r="257" spans="1:144" x14ac:dyDescent="0.25">
      <c r="A257" s="30">
        <v>0.43629668761085438</v>
      </c>
      <c r="B257"/>
      <c r="C257"/>
      <c r="D257"/>
      <c r="E257"/>
      <c r="F257" s="27" t="s">
        <v>7</v>
      </c>
      <c r="CM257" s="27" t="s">
        <v>8</v>
      </c>
      <c r="CN257" s="27" t="s">
        <v>7</v>
      </c>
      <c r="CP257" s="27" t="s">
        <v>7</v>
      </c>
      <c r="CS257" s="27" t="s">
        <v>8</v>
      </c>
      <c r="CT257" s="27" t="s">
        <v>7</v>
      </c>
      <c r="CU257" s="27" t="s">
        <v>8</v>
      </c>
      <c r="CW257" s="27" t="s">
        <v>8</v>
      </c>
      <c r="DB257" s="33" t="s">
        <v>7</v>
      </c>
      <c r="DC257" s="27" t="s">
        <v>8</v>
      </c>
      <c r="DH257" s="27" t="s">
        <v>7</v>
      </c>
      <c r="DI257" s="27" t="s">
        <v>8</v>
      </c>
      <c r="DJ257" s="27" t="s">
        <v>7</v>
      </c>
      <c r="DK257" s="27" t="s">
        <v>8</v>
      </c>
      <c r="DL257" s="27" t="s">
        <v>7</v>
      </c>
      <c r="DM257" s="27" t="s">
        <v>8</v>
      </c>
      <c r="DS257" s="31"/>
      <c r="EE257" s="27" t="s">
        <v>8</v>
      </c>
    </row>
    <row r="258" spans="1:144" x14ac:dyDescent="0.25">
      <c r="A258" s="30">
        <v>0.41552065486748019</v>
      </c>
      <c r="B258"/>
      <c r="C258"/>
      <c r="D258"/>
      <c r="E258"/>
      <c r="F258" s="27" t="s">
        <v>7</v>
      </c>
      <c r="CM258" s="27" t="s">
        <v>8</v>
      </c>
      <c r="CP258" s="27" t="s">
        <v>7</v>
      </c>
      <c r="CQ258" s="27" t="s">
        <v>8</v>
      </c>
      <c r="CS258" s="27" t="s">
        <v>8</v>
      </c>
      <c r="CT258" s="27" t="s">
        <v>7</v>
      </c>
      <c r="CU258" s="27" t="s">
        <v>8</v>
      </c>
      <c r="CV258" s="27" t="s">
        <v>7</v>
      </c>
      <c r="CW258" s="27" t="s">
        <v>8</v>
      </c>
      <c r="DB258" s="31" t="s">
        <v>7</v>
      </c>
      <c r="DC258" s="27" t="s">
        <v>8</v>
      </c>
      <c r="DH258" s="27" t="s">
        <v>7</v>
      </c>
      <c r="DI258" s="27" t="s">
        <v>8</v>
      </c>
      <c r="DJ258" s="27" t="s">
        <v>7</v>
      </c>
      <c r="DK258" s="27" t="s">
        <v>8</v>
      </c>
      <c r="DL258" s="27" t="s">
        <v>7</v>
      </c>
      <c r="DM258" s="27" t="s">
        <v>8</v>
      </c>
      <c r="DN258" s="27" t="s">
        <v>7</v>
      </c>
      <c r="DT258" s="31"/>
      <c r="DY258" s="27" t="s">
        <v>8</v>
      </c>
      <c r="EC258" s="27" t="s">
        <v>8</v>
      </c>
      <c r="EE258" s="27" t="s">
        <v>8</v>
      </c>
      <c r="EF258" s="27" t="s">
        <v>7</v>
      </c>
    </row>
    <row r="259" spans="1:144" x14ac:dyDescent="0.25">
      <c r="A259" s="30">
        <v>0.39573395701664765</v>
      </c>
      <c r="B259"/>
      <c r="C259"/>
      <c r="D259"/>
      <c r="E259"/>
      <c r="F259" s="27" t="s">
        <v>7</v>
      </c>
      <c r="CA259" s="27" t="s">
        <v>8</v>
      </c>
      <c r="CM259" s="27" t="s">
        <v>8</v>
      </c>
      <c r="CP259" s="27" t="s">
        <v>7</v>
      </c>
      <c r="CQ259" s="27" t="s">
        <v>8</v>
      </c>
      <c r="CR259" s="27" t="s">
        <v>7</v>
      </c>
      <c r="CS259" s="27" t="s">
        <v>8</v>
      </c>
      <c r="CT259" s="27" t="s">
        <v>7</v>
      </c>
      <c r="CU259" s="27" t="s">
        <v>8</v>
      </c>
      <c r="CV259" s="27" t="s">
        <v>7</v>
      </c>
      <c r="CW259" s="27" t="s">
        <v>8</v>
      </c>
      <c r="DA259" s="31"/>
      <c r="DB259" s="27" t="s">
        <v>7</v>
      </c>
      <c r="DC259" s="27" t="s">
        <v>8</v>
      </c>
      <c r="DH259" s="27" t="s">
        <v>7</v>
      </c>
      <c r="DI259" s="27" t="s">
        <v>8</v>
      </c>
      <c r="DJ259" s="27" t="s">
        <v>7</v>
      </c>
      <c r="DK259" s="27" t="s">
        <v>8</v>
      </c>
      <c r="DL259" s="27" t="s">
        <v>7</v>
      </c>
      <c r="DM259" s="27" t="s">
        <v>8</v>
      </c>
      <c r="DN259" s="27" t="s">
        <v>7</v>
      </c>
      <c r="DU259" s="31"/>
      <c r="DW259" s="27" t="s">
        <v>8</v>
      </c>
      <c r="DY259" s="27" t="s">
        <v>8</v>
      </c>
      <c r="DZ259" s="27" t="s">
        <v>7</v>
      </c>
      <c r="EC259" s="27" t="s">
        <v>8</v>
      </c>
      <c r="ED259" s="27" t="s">
        <v>7</v>
      </c>
      <c r="EE259" s="27" t="s">
        <v>8</v>
      </c>
      <c r="EF259" s="27" t="s">
        <v>7</v>
      </c>
    </row>
    <row r="260" spans="1:144" x14ac:dyDescent="0.25">
      <c r="A260" s="30">
        <v>0.37688948287299762</v>
      </c>
      <c r="B260"/>
      <c r="C260"/>
      <c r="D260"/>
      <c r="E260"/>
      <c r="F260" s="27" t="s">
        <v>7</v>
      </c>
      <c r="CA260" s="27" t="s">
        <v>8</v>
      </c>
      <c r="CB260" s="27" t="s">
        <v>7</v>
      </c>
      <c r="CK260" s="27" t="s">
        <v>8</v>
      </c>
      <c r="CM260" s="27" t="s">
        <v>8</v>
      </c>
      <c r="CP260" s="27" t="s">
        <v>7</v>
      </c>
      <c r="CQ260" s="27" t="s">
        <v>8</v>
      </c>
      <c r="CR260" s="27" t="s">
        <v>7</v>
      </c>
      <c r="CS260" s="27" t="s">
        <v>8</v>
      </c>
      <c r="CT260" s="27" t="s">
        <v>7</v>
      </c>
      <c r="CV260" s="27" t="s">
        <v>7</v>
      </c>
      <c r="CW260" s="27" t="s">
        <v>8</v>
      </c>
      <c r="CZ260" s="31"/>
      <c r="DB260" s="27" t="s">
        <v>7</v>
      </c>
      <c r="DC260" s="27" t="s">
        <v>8</v>
      </c>
      <c r="DH260" s="27" t="s">
        <v>7</v>
      </c>
      <c r="DI260" s="27" t="s">
        <v>8</v>
      </c>
      <c r="DJ260" s="27" t="s">
        <v>7</v>
      </c>
      <c r="DK260" s="27" t="s">
        <v>8</v>
      </c>
      <c r="DL260" s="27" t="s">
        <v>7</v>
      </c>
      <c r="DM260" s="27" t="s">
        <v>8</v>
      </c>
      <c r="DN260" s="27" t="s">
        <v>7</v>
      </c>
      <c r="DV260" s="31"/>
      <c r="DW260" s="27" t="s">
        <v>8</v>
      </c>
      <c r="DX260" s="27" t="s">
        <v>7</v>
      </c>
      <c r="DY260" s="27" t="s">
        <v>8</v>
      </c>
      <c r="DZ260" s="27" t="s">
        <v>7</v>
      </c>
      <c r="EC260" s="27" t="s">
        <v>8</v>
      </c>
      <c r="ED260" s="27" t="s">
        <v>7</v>
      </c>
      <c r="EE260" s="27" t="s">
        <v>8</v>
      </c>
      <c r="EF260" s="27" t="s">
        <v>7</v>
      </c>
    </row>
    <row r="261" spans="1:144" x14ac:dyDescent="0.25">
      <c r="A261" s="30">
        <v>0.35894236464094997</v>
      </c>
      <c r="B261"/>
      <c r="C261"/>
      <c r="D261"/>
      <c r="E261"/>
      <c r="F261" s="27" t="s">
        <v>7</v>
      </c>
      <c r="CA261" s="27" t="s">
        <v>8</v>
      </c>
      <c r="CB261" s="27" t="s">
        <v>7</v>
      </c>
      <c r="CK261" s="27" t="s">
        <v>8</v>
      </c>
      <c r="CL261" s="27" t="s">
        <v>7</v>
      </c>
      <c r="CM261" s="27" t="s">
        <v>8</v>
      </c>
      <c r="CP261" s="27" t="s">
        <v>7</v>
      </c>
      <c r="CQ261" s="27" t="s">
        <v>8</v>
      </c>
      <c r="CR261" s="27" t="s">
        <v>7</v>
      </c>
      <c r="CV261" s="33" t="s">
        <v>7</v>
      </c>
      <c r="CW261" s="27" t="s">
        <v>8</v>
      </c>
      <c r="CY261" s="31"/>
      <c r="DB261" s="27" t="s">
        <v>7</v>
      </c>
      <c r="DH261" s="27" t="s">
        <v>7</v>
      </c>
      <c r="DI261" s="27" t="s">
        <v>8</v>
      </c>
      <c r="DJ261" s="27" t="s">
        <v>7</v>
      </c>
      <c r="DK261" s="27" t="s">
        <v>8</v>
      </c>
      <c r="DL261" s="27" t="s">
        <v>7</v>
      </c>
      <c r="DN261" s="27" t="s">
        <v>7</v>
      </c>
      <c r="DO261" s="27" t="s">
        <v>8</v>
      </c>
      <c r="DW261" s="31" t="s">
        <v>8</v>
      </c>
      <c r="DX261" s="27" t="s">
        <v>7</v>
      </c>
      <c r="DY261" s="27" t="s">
        <v>8</v>
      </c>
      <c r="DZ261" s="27" t="s">
        <v>7</v>
      </c>
      <c r="EA261" s="27" t="s">
        <v>8</v>
      </c>
      <c r="EC261" s="27" t="s">
        <v>8</v>
      </c>
      <c r="ED261" s="27" t="s">
        <v>7</v>
      </c>
      <c r="EE261" s="27" t="s">
        <v>8</v>
      </c>
      <c r="EF261" s="27" t="s">
        <v>7</v>
      </c>
      <c r="EG261" s="27" t="s">
        <v>8</v>
      </c>
    </row>
    <row r="262" spans="1:144" x14ac:dyDescent="0.25">
      <c r="A262" s="30">
        <v>0.34184987108661891</v>
      </c>
      <c r="B262"/>
      <c r="C262"/>
      <c r="D262"/>
      <c r="E262"/>
      <c r="F262" s="27" t="s">
        <v>7</v>
      </c>
      <c r="CA262" s="27" t="s">
        <v>8</v>
      </c>
      <c r="CB262" s="27" t="s">
        <v>7</v>
      </c>
      <c r="CK262" s="27" t="s">
        <v>8</v>
      </c>
      <c r="CL262" s="27" t="s">
        <v>7</v>
      </c>
      <c r="CM262" s="27" t="s">
        <v>8</v>
      </c>
      <c r="CP262" s="27" t="s">
        <v>7</v>
      </c>
      <c r="CQ262" s="27" t="s">
        <v>8</v>
      </c>
      <c r="CV262" s="27" t="s">
        <v>7</v>
      </c>
      <c r="CX262" s="31"/>
      <c r="DH262" s="27" t="s">
        <v>7</v>
      </c>
      <c r="DI262" s="27" t="s">
        <v>8</v>
      </c>
      <c r="DJ262" s="27" t="s">
        <v>7</v>
      </c>
      <c r="DK262" s="27" t="s">
        <v>8</v>
      </c>
      <c r="DN262" s="27" t="s">
        <v>7</v>
      </c>
      <c r="DO262" s="27" t="s">
        <v>8</v>
      </c>
      <c r="DP262" s="27" t="s">
        <v>7</v>
      </c>
      <c r="DW262" s="27" t="s">
        <v>8</v>
      </c>
      <c r="DX262" s="31" t="s">
        <v>7</v>
      </c>
      <c r="DY262" s="27" t="s">
        <v>8</v>
      </c>
      <c r="DZ262" s="27" t="s">
        <v>7</v>
      </c>
      <c r="EA262" s="27" t="s">
        <v>8</v>
      </c>
      <c r="EB262" s="27" t="s">
        <v>7</v>
      </c>
      <c r="EC262" s="27" t="s">
        <v>8</v>
      </c>
      <c r="ED262" s="27" t="s">
        <v>7</v>
      </c>
      <c r="EE262" s="27" t="s">
        <v>8</v>
      </c>
      <c r="EF262" s="27" t="s">
        <v>7</v>
      </c>
      <c r="EG262" s="27" t="s">
        <v>8</v>
      </c>
      <c r="EH262" s="27" t="s">
        <v>7</v>
      </c>
    </row>
    <row r="263" spans="1:144" x14ac:dyDescent="0.25">
      <c r="A263" s="30">
        <v>0.32557130579677979</v>
      </c>
      <c r="B263"/>
      <c r="C263"/>
      <c r="D263"/>
      <c r="E263"/>
      <c r="F263" s="27" t="s">
        <v>7</v>
      </c>
      <c r="CA263" s="27" t="s">
        <v>8</v>
      </c>
      <c r="CB263" s="27" t="s">
        <v>7</v>
      </c>
      <c r="CC263" s="27" t="s">
        <v>8</v>
      </c>
      <c r="CK263" s="27" t="s">
        <v>8</v>
      </c>
      <c r="CL263" s="27" t="s">
        <v>7</v>
      </c>
      <c r="CM263" s="27" t="s">
        <v>8</v>
      </c>
      <c r="CP263" s="27" t="s">
        <v>7</v>
      </c>
      <c r="CW263" s="31"/>
      <c r="DH263" s="27" t="s">
        <v>7</v>
      </c>
      <c r="DI263" s="27" t="s">
        <v>8</v>
      </c>
      <c r="DJ263" s="27" t="s">
        <v>7</v>
      </c>
      <c r="DK263" s="27" t="s">
        <v>8</v>
      </c>
      <c r="DN263" s="27" t="s">
        <v>7</v>
      </c>
      <c r="DO263" s="27" t="s">
        <v>8</v>
      </c>
      <c r="DP263" s="27" t="s">
        <v>7</v>
      </c>
      <c r="DW263" s="27" t="s">
        <v>8</v>
      </c>
      <c r="DX263" s="27" t="s">
        <v>7</v>
      </c>
      <c r="DY263" s="31"/>
      <c r="DZ263" s="27" t="s">
        <v>7</v>
      </c>
      <c r="EA263" s="27" t="s">
        <v>8</v>
      </c>
      <c r="EB263" s="27" t="s">
        <v>7</v>
      </c>
      <c r="EC263" s="27" t="s">
        <v>8</v>
      </c>
      <c r="ED263" s="27" t="s">
        <v>7</v>
      </c>
      <c r="EE263" s="27" t="s">
        <v>8</v>
      </c>
      <c r="EF263" s="27" t="s">
        <v>7</v>
      </c>
      <c r="EG263" s="27" t="s">
        <v>8</v>
      </c>
      <c r="EH263" s="27" t="s">
        <v>7</v>
      </c>
    </row>
    <row r="264" spans="1:144" x14ac:dyDescent="0.25">
      <c r="A264" s="30">
        <v>0.3100679102826473</v>
      </c>
      <c r="B264"/>
      <c r="C264"/>
      <c r="D264"/>
      <c r="E264"/>
      <c r="F264" s="27" t="s">
        <v>7</v>
      </c>
      <c r="CA264" s="27" t="s">
        <v>8</v>
      </c>
      <c r="CB264" s="27" t="s">
        <v>7</v>
      </c>
      <c r="CC264" s="27" t="s">
        <v>8</v>
      </c>
      <c r="CD264" s="27" t="s">
        <v>7</v>
      </c>
      <c r="CE264" s="27" t="s">
        <v>8</v>
      </c>
      <c r="CG264" s="27" t="s">
        <v>8</v>
      </c>
      <c r="CK264" s="27" t="s">
        <v>8</v>
      </c>
      <c r="CL264" s="27" t="s">
        <v>7</v>
      </c>
      <c r="CM264" s="27" t="s">
        <v>8</v>
      </c>
      <c r="CV264" s="31"/>
      <c r="DH264" s="27" t="s">
        <v>7</v>
      </c>
      <c r="DI264" s="27" t="s">
        <v>8</v>
      </c>
      <c r="DJ264" s="27" t="s">
        <v>7</v>
      </c>
      <c r="DK264" s="27" t="s">
        <v>8</v>
      </c>
      <c r="DN264" s="27" t="s">
        <v>7</v>
      </c>
      <c r="DP264" s="27" t="s">
        <v>7</v>
      </c>
      <c r="DW264" s="27" t="s">
        <v>8</v>
      </c>
      <c r="DZ264" s="31" t="s">
        <v>7</v>
      </c>
      <c r="EA264" s="27" t="s">
        <v>8</v>
      </c>
      <c r="EB264" s="27" t="s">
        <v>7</v>
      </c>
      <c r="EC264" s="27" t="s">
        <v>8</v>
      </c>
      <c r="ED264" s="27" t="s">
        <v>7</v>
      </c>
      <c r="EF264" s="27" t="s">
        <v>7</v>
      </c>
      <c r="EH264" s="27" t="s">
        <v>7</v>
      </c>
    </row>
    <row r="265" spans="1:144" x14ac:dyDescent="0.25">
      <c r="A265" s="30">
        <v>0.2953027716977592</v>
      </c>
      <c r="B265"/>
      <c r="C265"/>
      <c r="D265"/>
      <c r="E265"/>
      <c r="F265" s="27" t="s">
        <v>7</v>
      </c>
      <c r="CA265" s="27" t="s">
        <v>8</v>
      </c>
      <c r="CB265" s="27" t="s">
        <v>7</v>
      </c>
      <c r="CC265" s="27" t="s">
        <v>8</v>
      </c>
      <c r="CD265" s="27" t="s">
        <v>7</v>
      </c>
      <c r="CE265" s="27" t="s">
        <v>8</v>
      </c>
      <c r="CF265" s="27" t="s">
        <v>7</v>
      </c>
      <c r="CG265" s="27" t="s">
        <v>8</v>
      </c>
      <c r="CH265" s="27" t="s">
        <v>7</v>
      </c>
      <c r="CK265" s="27" t="s">
        <v>8</v>
      </c>
      <c r="CL265" s="27" t="s">
        <v>7</v>
      </c>
      <c r="CM265" s="27" t="s">
        <v>8</v>
      </c>
      <c r="CU265" s="31"/>
      <c r="DH265" s="27" t="s">
        <v>7</v>
      </c>
      <c r="DJ265" s="27" t="s">
        <v>7</v>
      </c>
      <c r="DK265" s="27" t="s">
        <v>8</v>
      </c>
      <c r="DP265" s="27" t="s">
        <v>7</v>
      </c>
      <c r="DW265" s="27" t="s">
        <v>8</v>
      </c>
      <c r="DZ265" s="27" t="s">
        <v>7</v>
      </c>
      <c r="EA265" s="27" t="s">
        <v>8</v>
      </c>
      <c r="EB265" s="27" t="s">
        <v>7</v>
      </c>
      <c r="EC265" s="27" t="s">
        <v>8</v>
      </c>
      <c r="EH265" s="27" t="s">
        <v>7</v>
      </c>
      <c r="EI265" s="27" t="s">
        <v>8</v>
      </c>
      <c r="EK265" s="27" t="s">
        <v>8</v>
      </c>
    </row>
    <row r="266" spans="1:144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CA266" s="27" t="s">
        <v>8</v>
      </c>
      <c r="CB266" s="27" t="s">
        <v>7</v>
      </c>
      <c r="CC266" s="27" t="s">
        <v>8</v>
      </c>
      <c r="CD266" s="27" t="s">
        <v>7</v>
      </c>
      <c r="CE266" s="27" t="s">
        <v>8</v>
      </c>
      <c r="CF266" s="27" t="s">
        <v>7</v>
      </c>
      <c r="CG266" s="27" t="s">
        <v>8</v>
      </c>
      <c r="CH266" s="27" t="s">
        <v>7</v>
      </c>
      <c r="CI266" s="27" t="s">
        <v>8</v>
      </c>
      <c r="CK266" s="27" t="s">
        <v>8</v>
      </c>
      <c r="CL266" s="27" t="s">
        <v>7</v>
      </c>
      <c r="CT266" s="31"/>
      <c r="DJ266" s="27" t="s">
        <v>7</v>
      </c>
      <c r="DP266" s="27" t="s">
        <v>7</v>
      </c>
      <c r="DS266" s="34" t="s">
        <v>8</v>
      </c>
      <c r="DW266" s="27" t="s">
        <v>8</v>
      </c>
      <c r="DZ266" s="27" t="s">
        <v>7</v>
      </c>
      <c r="EB266" s="27" t="s">
        <v>7</v>
      </c>
      <c r="EC266" s="27" t="s">
        <v>8</v>
      </c>
      <c r="EH266" s="27" t="s">
        <v>7</v>
      </c>
      <c r="EI266" s="27" t="s">
        <v>8</v>
      </c>
      <c r="EJ266" s="27" t="s">
        <v>7</v>
      </c>
      <c r="EK266" s="27" t="s">
        <v>8</v>
      </c>
      <c r="EL266" s="27" t="s">
        <v>7</v>
      </c>
      <c r="EM266" s="27" t="s">
        <v>8</v>
      </c>
    </row>
    <row r="267" spans="1:144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H267" s="27" t="s">
        <v>7</v>
      </c>
      <c r="CA267" s="27" t="s">
        <v>8</v>
      </c>
      <c r="CB267" s="27" t="s">
        <v>7</v>
      </c>
      <c r="CD267" s="27" t="s">
        <v>7</v>
      </c>
      <c r="CE267" s="27" t="s">
        <v>8</v>
      </c>
      <c r="CF267" s="27" t="s">
        <v>7</v>
      </c>
      <c r="CH267" s="27" t="s">
        <v>7</v>
      </c>
      <c r="CI267" s="27" t="s">
        <v>8</v>
      </c>
      <c r="CJ267" s="27" t="s">
        <v>7</v>
      </c>
      <c r="CK267" s="27" t="s">
        <v>8</v>
      </c>
      <c r="CS267" s="31"/>
      <c r="DP267" s="27" t="s">
        <v>7</v>
      </c>
      <c r="DQ267" s="27" t="s">
        <v>8</v>
      </c>
      <c r="DS267" s="27" t="s">
        <v>8</v>
      </c>
      <c r="DT267" s="27" t="s">
        <v>7</v>
      </c>
      <c r="DW267" s="34" t="s">
        <v>8</v>
      </c>
      <c r="EB267" s="27" t="s">
        <v>7</v>
      </c>
      <c r="EC267" s="27" t="s">
        <v>8</v>
      </c>
      <c r="EH267" s="27" t="s">
        <v>7</v>
      </c>
      <c r="EI267" s="27" t="s">
        <v>8</v>
      </c>
      <c r="EJ267" s="27" t="s">
        <v>7</v>
      </c>
      <c r="EK267" s="27" t="s">
        <v>8</v>
      </c>
      <c r="EL267" s="27" t="s">
        <v>7</v>
      </c>
      <c r="EM267" s="27" t="s">
        <v>8</v>
      </c>
      <c r="EN267" s="27" t="s">
        <v>7</v>
      </c>
    </row>
    <row r="268" spans="1:144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  <c r="H268" s="27" t="s">
        <v>7</v>
      </c>
      <c r="I268" s="27" t="s">
        <v>8</v>
      </c>
      <c r="CA268" s="27" t="s">
        <v>8</v>
      </c>
      <c r="CD268" s="27" t="s">
        <v>7</v>
      </c>
      <c r="CE268" s="27" t="s">
        <v>8</v>
      </c>
      <c r="CH268" s="27" t="s">
        <v>7</v>
      </c>
      <c r="CI268" s="27" t="s">
        <v>8</v>
      </c>
      <c r="CJ268" s="27" t="s">
        <v>7</v>
      </c>
      <c r="CK268" s="27" t="s">
        <v>8</v>
      </c>
      <c r="CR268" s="31"/>
      <c r="DP268" s="27" t="s">
        <v>7</v>
      </c>
      <c r="DQ268" s="27" t="s">
        <v>8</v>
      </c>
      <c r="DR268" s="27" t="s">
        <v>7</v>
      </c>
      <c r="DS268" s="27" t="s">
        <v>8</v>
      </c>
      <c r="DT268" s="27" t="s">
        <v>7</v>
      </c>
      <c r="DU268" s="27" t="s">
        <v>8</v>
      </c>
      <c r="DW268" s="27" t="s">
        <v>8</v>
      </c>
      <c r="EB268" s="27" t="s">
        <v>7</v>
      </c>
      <c r="EH268" s="27" t="s">
        <v>7</v>
      </c>
      <c r="EI268" s="27" t="s">
        <v>8</v>
      </c>
      <c r="EJ268" s="27" t="s">
        <v>7</v>
      </c>
      <c r="EL268" s="27" t="s">
        <v>7</v>
      </c>
      <c r="EM268" s="27" t="s">
        <v>8</v>
      </c>
      <c r="EN268" s="27" t="s">
        <v>7</v>
      </c>
    </row>
    <row r="269" spans="1:144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  <c r="H269" s="27" t="s">
        <v>7</v>
      </c>
      <c r="I269" s="27" t="s">
        <v>8</v>
      </c>
      <c r="J269" s="27" t="s">
        <v>7</v>
      </c>
      <c r="CA269" s="27" t="s">
        <v>8</v>
      </c>
      <c r="CD269" s="27" t="s">
        <v>7</v>
      </c>
      <c r="CE269" s="27" t="s">
        <v>8</v>
      </c>
      <c r="CH269" s="27" t="s">
        <v>7</v>
      </c>
      <c r="CI269" s="27" t="s">
        <v>8</v>
      </c>
      <c r="CJ269" s="27" t="s">
        <v>7</v>
      </c>
      <c r="CK269" s="27" t="s">
        <v>8</v>
      </c>
      <c r="CQ269" s="31"/>
      <c r="DP269" s="27" t="s">
        <v>7</v>
      </c>
      <c r="DQ269" s="27" t="s">
        <v>8</v>
      </c>
      <c r="DR269" s="27" t="s">
        <v>7</v>
      </c>
      <c r="DS269" s="27" t="s">
        <v>8</v>
      </c>
      <c r="DT269" s="27" t="s">
        <v>7</v>
      </c>
      <c r="DU269" s="27" t="s">
        <v>8</v>
      </c>
      <c r="DV269" s="27" t="s">
        <v>7</v>
      </c>
      <c r="DW269" s="27" t="s">
        <v>8</v>
      </c>
      <c r="EH269" s="27" t="s">
        <v>7</v>
      </c>
      <c r="EI269" s="27" t="s">
        <v>8</v>
      </c>
      <c r="EL269" s="27" t="s">
        <v>7</v>
      </c>
      <c r="EN269" s="27" t="s">
        <v>7</v>
      </c>
    </row>
    <row r="270" spans="1:144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  <c r="H270" s="27" t="s">
        <v>7</v>
      </c>
      <c r="I270" s="27" t="s">
        <v>8</v>
      </c>
      <c r="J270" s="27" t="s">
        <v>7</v>
      </c>
      <c r="BS270" s="27" t="s">
        <v>8</v>
      </c>
      <c r="CA270" s="27" t="s">
        <v>8</v>
      </c>
      <c r="CD270" s="27" t="s">
        <v>7</v>
      </c>
      <c r="CE270" s="27" t="s">
        <v>8</v>
      </c>
      <c r="CH270" s="27" t="s">
        <v>7</v>
      </c>
      <c r="CJ270" s="27" t="s">
        <v>7</v>
      </c>
      <c r="CP270" s="31"/>
      <c r="DP270" s="27" t="s">
        <v>7</v>
      </c>
      <c r="DQ270" s="27" t="s">
        <v>8</v>
      </c>
      <c r="DR270" s="27" t="s">
        <v>7</v>
      </c>
      <c r="DT270" s="27" t="s">
        <v>7</v>
      </c>
      <c r="DU270" s="27" t="s">
        <v>8</v>
      </c>
      <c r="DV270" s="27" t="s">
        <v>7</v>
      </c>
      <c r="DW270" s="27" t="s">
        <v>8</v>
      </c>
      <c r="EH270" s="27" t="s">
        <v>7</v>
      </c>
      <c r="EN270" s="27" t="s">
        <v>7</v>
      </c>
    </row>
    <row r="271" spans="1:144" x14ac:dyDescent="0.25">
      <c r="A271" s="30">
        <v>0.22035947491033836</v>
      </c>
      <c r="B271"/>
      <c r="C271"/>
      <c r="D271"/>
      <c r="E271"/>
      <c r="F271" s="27" t="s">
        <v>7</v>
      </c>
      <c r="H271" s="27" t="s">
        <v>7</v>
      </c>
      <c r="J271" s="27" t="s">
        <v>7</v>
      </c>
      <c r="BS271" s="27" t="s">
        <v>8</v>
      </c>
      <c r="BT271" s="27" t="s">
        <v>7</v>
      </c>
      <c r="BU271" s="27" t="s">
        <v>8</v>
      </c>
      <c r="CA271" s="27" t="s">
        <v>8</v>
      </c>
      <c r="CD271" s="27" t="s">
        <v>7</v>
      </c>
      <c r="CO271" s="31"/>
      <c r="DP271" s="27" t="s">
        <v>7</v>
      </c>
      <c r="DQ271" s="27" t="s">
        <v>8</v>
      </c>
      <c r="DT271" s="33" t="s">
        <v>7</v>
      </c>
      <c r="DV271" s="18" t="s">
        <v>7</v>
      </c>
      <c r="DW271" s="27" t="s">
        <v>8</v>
      </c>
      <c r="EN271" s="27" t="s">
        <v>7</v>
      </c>
    </row>
    <row r="272" spans="1:144" x14ac:dyDescent="0.25">
      <c r="A272" s="30">
        <v>0.20986616658127455</v>
      </c>
      <c r="B272"/>
      <c r="C272"/>
      <c r="D272"/>
      <c r="E272"/>
      <c r="J272" s="27" t="s">
        <v>7</v>
      </c>
      <c r="K272" s="27" t="s">
        <v>8</v>
      </c>
      <c r="BS272" s="27" t="s">
        <v>8</v>
      </c>
      <c r="BT272" s="27" t="s">
        <v>7</v>
      </c>
      <c r="BU272" s="27" t="s">
        <v>8</v>
      </c>
      <c r="BV272" s="27" t="s">
        <v>7</v>
      </c>
      <c r="CA272" s="27" t="s">
        <v>8</v>
      </c>
      <c r="CN272" s="31"/>
      <c r="DP272" s="27" t="s">
        <v>7</v>
      </c>
      <c r="DQ272" s="27" t="s">
        <v>8</v>
      </c>
      <c r="DV272" s="27" t="s">
        <v>7</v>
      </c>
      <c r="DW272" s="27" t="s">
        <v>8</v>
      </c>
      <c r="EN272" s="27" t="s">
        <v>7</v>
      </c>
    </row>
    <row r="273" spans="1:147" x14ac:dyDescent="0.25">
      <c r="A273" s="30">
        <v>0.19987253960121379</v>
      </c>
      <c r="B273"/>
      <c r="C273"/>
      <c r="D273"/>
      <c r="E273"/>
      <c r="J273" s="27" t="s">
        <v>7</v>
      </c>
      <c r="K273" s="27" t="s">
        <v>8</v>
      </c>
      <c r="L273" s="27" t="s">
        <v>7</v>
      </c>
      <c r="BS273" s="27" t="s">
        <v>8</v>
      </c>
      <c r="BT273" s="27" t="s">
        <v>7</v>
      </c>
      <c r="BU273" s="27" t="s">
        <v>8</v>
      </c>
      <c r="BV273" s="27" t="s">
        <v>7</v>
      </c>
      <c r="BW273" s="27" t="s">
        <v>8</v>
      </c>
      <c r="CA273" s="27" t="s">
        <v>8</v>
      </c>
      <c r="CM273" s="31"/>
      <c r="DP273" s="27" t="s">
        <v>7</v>
      </c>
      <c r="DV273" s="27" t="s">
        <v>7</v>
      </c>
      <c r="EN273" s="27" t="s">
        <v>7</v>
      </c>
      <c r="EO273" s="27" t="s">
        <v>8</v>
      </c>
      <c r="EQ273" s="27" t="s">
        <v>8</v>
      </c>
    </row>
    <row r="274" spans="1:147" x14ac:dyDescent="0.25">
      <c r="A274" s="30">
        <v>0.19035479962020352</v>
      </c>
      <c r="B274"/>
      <c r="C274"/>
      <c r="D274"/>
      <c r="E274"/>
      <c r="J274" s="27" t="s">
        <v>7</v>
      </c>
      <c r="K274" s="27" t="s">
        <v>8</v>
      </c>
      <c r="L274" s="27" t="s">
        <v>7</v>
      </c>
      <c r="BS274" s="27" t="s">
        <v>8</v>
      </c>
      <c r="BT274" s="27" t="s">
        <v>7</v>
      </c>
      <c r="BU274" s="27" t="s">
        <v>8</v>
      </c>
      <c r="BV274" s="27" t="s">
        <v>7</v>
      </c>
      <c r="BW274" s="27" t="s">
        <v>8</v>
      </c>
      <c r="BX274" s="27" t="s">
        <v>7</v>
      </c>
      <c r="CA274" s="27" t="s">
        <v>8</v>
      </c>
      <c r="CL274" s="31"/>
      <c r="EN274" s="27" t="s">
        <v>7</v>
      </c>
      <c r="EO274" s="27" t="s">
        <v>8</v>
      </c>
      <c r="EP274" s="27" t="s">
        <v>7</v>
      </c>
      <c r="EQ274" s="27" t="s">
        <v>8</v>
      </c>
    </row>
    <row r="275" spans="1:147" x14ac:dyDescent="0.25">
      <c r="A275" s="30">
        <v>0.18129028535257471</v>
      </c>
      <c r="B275"/>
      <c r="C275"/>
      <c r="D275"/>
      <c r="E275"/>
      <c r="J275" s="27" t="s">
        <v>7</v>
      </c>
      <c r="L275" s="27" t="s">
        <v>7</v>
      </c>
      <c r="BS275" s="27" t="s">
        <v>8</v>
      </c>
      <c r="BT275" s="27" t="s">
        <v>7</v>
      </c>
      <c r="BU275" s="27" t="s">
        <v>8</v>
      </c>
      <c r="BV275" s="27" t="s">
        <v>7</v>
      </c>
      <c r="BW275" s="27" t="s">
        <v>8</v>
      </c>
      <c r="BX275" s="27" t="s">
        <v>7</v>
      </c>
      <c r="CA275" s="27" t="s">
        <v>8</v>
      </c>
      <c r="CK275" s="31"/>
      <c r="EN275" s="27" t="s">
        <v>7</v>
      </c>
      <c r="EO275" s="27" t="s">
        <v>8</v>
      </c>
      <c r="EP275" s="27" t="s">
        <v>7</v>
      </c>
      <c r="EQ275" s="27" t="s">
        <v>8</v>
      </c>
    </row>
    <row r="276" spans="1:147" x14ac:dyDescent="0.25">
      <c r="A276" s="30">
        <v>0.17265741462149967</v>
      </c>
      <c r="B276"/>
      <c r="C276"/>
      <c r="D276"/>
      <c r="E276"/>
      <c r="L276" s="27" t="s">
        <v>7</v>
      </c>
      <c r="O276" s="27" t="s">
        <v>8</v>
      </c>
      <c r="BS276" s="27" t="s">
        <v>8</v>
      </c>
      <c r="BT276" s="27" t="s">
        <v>7</v>
      </c>
      <c r="BU276" s="27" t="s">
        <v>8</v>
      </c>
      <c r="BV276" s="27" t="s">
        <v>7</v>
      </c>
      <c r="BW276" s="27" t="s">
        <v>8</v>
      </c>
      <c r="BX276" s="27" t="s">
        <v>7</v>
      </c>
      <c r="CA276" s="27" t="s">
        <v>8</v>
      </c>
      <c r="CJ276" s="31"/>
      <c r="EN276" s="27" t="s">
        <v>7</v>
      </c>
      <c r="EP276" s="27" t="s">
        <v>7</v>
      </c>
    </row>
    <row r="277" spans="1:147" x14ac:dyDescent="0.25">
      <c r="A277" s="30">
        <v>0.16443563297285677</v>
      </c>
      <c r="B277"/>
      <c r="C277"/>
      <c r="D277"/>
      <c r="E277"/>
      <c r="L277" s="27" t="s">
        <v>7</v>
      </c>
      <c r="M277" s="27" t="s">
        <v>8</v>
      </c>
      <c r="O277" s="27" t="s">
        <v>8</v>
      </c>
      <c r="P277" s="27" t="s">
        <v>7</v>
      </c>
      <c r="BS277" s="27" t="s">
        <v>8</v>
      </c>
      <c r="BT277" s="27" t="s">
        <v>7</v>
      </c>
      <c r="BU277" s="27" t="s">
        <v>8</v>
      </c>
      <c r="BV277" s="27" t="s">
        <v>7</v>
      </c>
      <c r="BW277" s="27" t="s">
        <v>8</v>
      </c>
      <c r="BX277" s="27" t="s">
        <v>7</v>
      </c>
      <c r="BY277" s="27" t="s">
        <v>8</v>
      </c>
      <c r="CA277" s="27" t="s">
        <v>8</v>
      </c>
      <c r="CI277" s="31"/>
    </row>
    <row r="278" spans="1:147" x14ac:dyDescent="0.25">
      <c r="A278" s="30">
        <v>0.15660536473605399</v>
      </c>
      <c r="B278"/>
      <c r="C278"/>
      <c r="D278"/>
      <c r="E278"/>
      <c r="L278" s="27" t="s">
        <v>7</v>
      </c>
      <c r="M278" s="27" t="s">
        <v>8</v>
      </c>
      <c r="N278" s="27" t="s">
        <v>7</v>
      </c>
      <c r="O278" s="27" t="s">
        <v>8</v>
      </c>
      <c r="P278" s="27" t="s">
        <v>7</v>
      </c>
      <c r="AC278" s="27" t="s">
        <v>8</v>
      </c>
      <c r="BS278" s="27" t="s">
        <v>8</v>
      </c>
      <c r="BT278" s="27" t="s">
        <v>7</v>
      </c>
      <c r="BU278" s="27" t="s">
        <v>8</v>
      </c>
      <c r="BV278" s="27" t="s">
        <v>7</v>
      </c>
      <c r="BW278" s="27" t="s">
        <v>8</v>
      </c>
      <c r="BX278" s="27" t="s">
        <v>7</v>
      </c>
      <c r="BY278" s="27" t="s">
        <v>8</v>
      </c>
      <c r="BZ278" s="27" t="s">
        <v>7</v>
      </c>
      <c r="CA278" s="27" t="s">
        <v>8</v>
      </c>
      <c r="CH278" s="31"/>
    </row>
    <row r="279" spans="1:147" x14ac:dyDescent="0.25">
      <c r="A279" s="30">
        <v>0.14914796641528946</v>
      </c>
      <c r="B279"/>
      <c r="C279"/>
      <c r="D279"/>
      <c r="E279"/>
      <c r="L279" s="27" t="s">
        <v>7</v>
      </c>
      <c r="M279" s="27" t="s">
        <v>8</v>
      </c>
      <c r="N279" s="27" t="s">
        <v>7</v>
      </c>
      <c r="O279" s="27" t="s">
        <v>8</v>
      </c>
      <c r="P279" s="27" t="s">
        <v>7</v>
      </c>
      <c r="AC279" s="27" t="s">
        <v>8</v>
      </c>
      <c r="AD279" s="27" t="s">
        <v>7</v>
      </c>
      <c r="BS279" s="27" t="s">
        <v>8</v>
      </c>
      <c r="BT279" s="27" t="s">
        <v>7</v>
      </c>
      <c r="BV279" s="27" t="s">
        <v>7</v>
      </c>
      <c r="BW279" s="27" t="s">
        <v>8</v>
      </c>
      <c r="BX279" s="27" t="s">
        <v>7</v>
      </c>
      <c r="BY279" s="27" t="s">
        <v>8</v>
      </c>
      <c r="BZ279" s="27" t="s">
        <v>7</v>
      </c>
      <c r="CA279" s="27" t="s">
        <v>8</v>
      </c>
      <c r="CG279" s="31"/>
    </row>
    <row r="280" spans="1:147" x14ac:dyDescent="0.25">
      <c r="A280" s="30">
        <v>0.14204568230027562</v>
      </c>
      <c r="B280"/>
      <c r="C280"/>
      <c r="D280"/>
      <c r="E280"/>
      <c r="L280" s="27" t="s">
        <v>7</v>
      </c>
      <c r="M280" s="27" t="s">
        <v>8</v>
      </c>
      <c r="N280" s="27" t="s">
        <v>7</v>
      </c>
      <c r="P280" s="27" t="s">
        <v>7</v>
      </c>
      <c r="S280" s="27" t="s">
        <v>8</v>
      </c>
      <c r="AC280" s="27" t="s">
        <v>8</v>
      </c>
      <c r="AD280" s="27" t="s">
        <v>7</v>
      </c>
      <c r="AE280" s="27" t="s">
        <v>8</v>
      </c>
      <c r="AG280" s="27" t="s">
        <v>8</v>
      </c>
      <c r="BS280" s="27" t="s">
        <v>8</v>
      </c>
      <c r="BV280" s="27" t="s">
        <v>7</v>
      </c>
      <c r="BX280" s="27" t="s">
        <v>7</v>
      </c>
      <c r="BY280" s="27" t="s">
        <v>8</v>
      </c>
      <c r="BZ280" s="27" t="s">
        <v>7</v>
      </c>
      <c r="CA280" s="27" t="s">
        <v>8</v>
      </c>
      <c r="CF280" s="31"/>
    </row>
    <row r="281" spans="1:147" x14ac:dyDescent="0.25">
      <c r="A281" s="30">
        <v>0.13528160219073862</v>
      </c>
      <c r="B281"/>
      <c r="C281"/>
      <c r="D281"/>
      <c r="E281"/>
      <c r="L281" s="27" t="s">
        <v>7</v>
      </c>
      <c r="P281" s="27" t="s">
        <v>7</v>
      </c>
      <c r="S281" s="27" t="s">
        <v>8</v>
      </c>
      <c r="T281" s="27" t="s">
        <v>7</v>
      </c>
      <c r="AA281" s="27" t="s">
        <v>8</v>
      </c>
      <c r="AC281" s="27" t="s">
        <v>8</v>
      </c>
      <c r="AD281" s="27" t="s">
        <v>7</v>
      </c>
      <c r="AE281" s="27" t="s">
        <v>8</v>
      </c>
      <c r="AF281" s="27" t="s">
        <v>7</v>
      </c>
      <c r="AG281" s="27" t="s">
        <v>8</v>
      </c>
      <c r="AH281" s="27" t="s">
        <v>7</v>
      </c>
      <c r="BS281" s="27" t="s">
        <v>8</v>
      </c>
      <c r="BX281" s="27" t="s">
        <v>7</v>
      </c>
      <c r="BY281" s="27" t="s">
        <v>8</v>
      </c>
      <c r="BZ281" s="27" t="s">
        <v>7</v>
      </c>
      <c r="CA281" s="27" t="s">
        <v>8</v>
      </c>
      <c r="CE281" s="31"/>
    </row>
    <row r="282" spans="1:147" x14ac:dyDescent="0.25">
      <c r="A282" s="30">
        <v>0.12883962113403674</v>
      </c>
      <c r="B282"/>
      <c r="C282"/>
      <c r="D282"/>
      <c r="E282"/>
      <c r="P282" s="27" t="s">
        <v>7</v>
      </c>
      <c r="S282" s="27" t="s">
        <v>8</v>
      </c>
      <c r="T282" s="27" t="s">
        <v>7</v>
      </c>
      <c r="AA282" s="27" t="s">
        <v>8</v>
      </c>
      <c r="AB282" s="27" t="s">
        <v>7</v>
      </c>
      <c r="AC282" s="27" t="s">
        <v>8</v>
      </c>
      <c r="AD282" s="27" t="s">
        <v>7</v>
      </c>
      <c r="AE282" s="27" t="s">
        <v>8</v>
      </c>
      <c r="AF282" s="27" t="s">
        <v>7</v>
      </c>
      <c r="AG282" s="27" t="s">
        <v>8</v>
      </c>
      <c r="AH282" s="27" t="s">
        <v>7</v>
      </c>
      <c r="BS282" s="27" t="s">
        <v>8</v>
      </c>
      <c r="BX282" s="27" t="s">
        <v>7</v>
      </c>
      <c r="BY282" s="27" t="s">
        <v>8</v>
      </c>
      <c r="BZ282" s="27" t="s">
        <v>7</v>
      </c>
      <c r="CA282" s="27" t="s">
        <v>8</v>
      </c>
      <c r="CD282" s="31"/>
    </row>
    <row r="283" spans="1:147" x14ac:dyDescent="0.25">
      <c r="A283" s="30">
        <v>0.12270440108003494</v>
      </c>
      <c r="B283"/>
      <c r="C283"/>
      <c r="D283"/>
      <c r="E283"/>
      <c r="P283" s="27" t="s">
        <v>7</v>
      </c>
      <c r="Q283" s="27" t="s">
        <v>8</v>
      </c>
      <c r="S283" s="27" t="s">
        <v>8</v>
      </c>
      <c r="T283" s="27" t="s">
        <v>7</v>
      </c>
      <c r="U283" s="27" t="s">
        <v>8</v>
      </c>
      <c r="AA283" s="27" t="s">
        <v>8</v>
      </c>
      <c r="AB283" s="27" t="s">
        <v>7</v>
      </c>
      <c r="AC283" s="27" t="s">
        <v>8</v>
      </c>
      <c r="AD283" s="27" t="s">
        <v>7</v>
      </c>
      <c r="AE283" s="27" t="s">
        <v>8</v>
      </c>
      <c r="AF283" s="27" t="s">
        <v>7</v>
      </c>
      <c r="AH283" s="27" t="s">
        <v>7</v>
      </c>
      <c r="BS283" s="27" t="s">
        <v>8</v>
      </c>
      <c r="BX283" s="27" t="s">
        <v>7</v>
      </c>
      <c r="BY283" s="27" t="s">
        <v>8</v>
      </c>
      <c r="BZ283" s="27" t="s">
        <v>7</v>
      </c>
      <c r="CC283" s="31"/>
    </row>
    <row r="284" spans="1:147" x14ac:dyDescent="0.25">
      <c r="A284" s="30">
        <v>0.11686133436193799</v>
      </c>
      <c r="B284"/>
      <c r="C284"/>
      <c r="D284"/>
      <c r="E284"/>
      <c r="P284" s="27" t="s">
        <v>7</v>
      </c>
      <c r="Q284" s="27" t="s">
        <v>8</v>
      </c>
      <c r="R284" s="27" t="s">
        <v>7</v>
      </c>
      <c r="S284" s="27" t="s">
        <v>8</v>
      </c>
      <c r="T284" s="27" t="s">
        <v>7</v>
      </c>
      <c r="U284" s="27" t="s">
        <v>8</v>
      </c>
      <c r="V284" s="27" t="s">
        <v>7</v>
      </c>
      <c r="Y284" s="27" t="s">
        <v>8</v>
      </c>
      <c r="AA284" s="27" t="s">
        <v>8</v>
      </c>
      <c r="AB284" s="27" t="s">
        <v>7</v>
      </c>
      <c r="AC284" s="27" t="s">
        <v>8</v>
      </c>
      <c r="AD284" s="27" t="s">
        <v>7</v>
      </c>
      <c r="AH284" s="27" t="s">
        <v>7</v>
      </c>
      <c r="BO284" s="27" t="s">
        <v>8</v>
      </c>
      <c r="BS284" s="27" t="s">
        <v>8</v>
      </c>
      <c r="BX284" s="27" t="s">
        <v>7</v>
      </c>
      <c r="BY284" s="27" t="s">
        <v>8</v>
      </c>
      <c r="CB284" s="31"/>
    </row>
    <row r="285" spans="1:147" x14ac:dyDescent="0.25">
      <c r="A285" s="30">
        <v>0.11129650891613138</v>
      </c>
      <c r="B285"/>
      <c r="C285"/>
      <c r="D285"/>
      <c r="E285"/>
      <c r="P285" s="27" t="s">
        <v>7</v>
      </c>
      <c r="Q285" s="27" t="s">
        <v>8</v>
      </c>
      <c r="R285" s="27" t="s">
        <v>7</v>
      </c>
      <c r="S285" s="27" t="s">
        <v>8</v>
      </c>
      <c r="T285" s="27" t="s">
        <v>7</v>
      </c>
      <c r="U285" s="27" t="s">
        <v>8</v>
      </c>
      <c r="V285" s="27" t="s">
        <v>7</v>
      </c>
      <c r="Y285" s="27" t="s">
        <v>8</v>
      </c>
      <c r="Z285" s="27" t="s">
        <v>7</v>
      </c>
      <c r="AA285" s="27" t="s">
        <v>8</v>
      </c>
      <c r="AB285" s="27" t="s">
        <v>7</v>
      </c>
      <c r="AC285" s="27" t="s">
        <v>8</v>
      </c>
      <c r="AH285" s="27" t="s">
        <v>7</v>
      </c>
      <c r="BM285" s="27" t="s">
        <v>8</v>
      </c>
      <c r="BO285" s="27" t="s">
        <v>8</v>
      </c>
      <c r="BP285" s="27" t="s">
        <v>7</v>
      </c>
      <c r="BS285" s="27" t="s">
        <v>8</v>
      </c>
      <c r="BX285" s="27" t="s">
        <v>7</v>
      </c>
      <c r="CA285" s="31"/>
    </row>
    <row r="286" spans="1:147" x14ac:dyDescent="0.25">
      <c r="A286" s="30">
        <v>0.10599667515822032</v>
      </c>
      <c r="B286"/>
      <c r="C286"/>
      <c r="D286"/>
      <c r="E286"/>
      <c r="P286" s="27" t="s">
        <v>7</v>
      </c>
      <c r="R286" s="27" t="s">
        <v>7</v>
      </c>
      <c r="S286" s="27" t="s">
        <v>8</v>
      </c>
      <c r="T286" s="27" t="s">
        <v>7</v>
      </c>
      <c r="V286" s="27" t="s">
        <v>7</v>
      </c>
      <c r="Y286" s="27" t="s">
        <v>8</v>
      </c>
      <c r="Z286" s="27" t="s">
        <v>7</v>
      </c>
      <c r="AA286" s="27" t="s">
        <v>8</v>
      </c>
      <c r="AB286" s="27" t="s">
        <v>7</v>
      </c>
      <c r="AC286" s="27" t="s">
        <v>8</v>
      </c>
      <c r="AH286" s="27" t="s">
        <v>7</v>
      </c>
      <c r="BK286" s="27" t="s">
        <v>8</v>
      </c>
      <c r="BM286" s="27" t="s">
        <v>8</v>
      </c>
      <c r="BN286" s="27" t="s">
        <v>7</v>
      </c>
      <c r="BO286" s="27" t="s">
        <v>8</v>
      </c>
      <c r="BP286" s="27" t="s">
        <v>7</v>
      </c>
      <c r="BS286" s="27" t="s">
        <v>8</v>
      </c>
      <c r="BZ286" s="31"/>
    </row>
    <row r="287" spans="1:147" x14ac:dyDescent="0.25">
      <c r="A287" s="30">
        <v>0.10094921443640027</v>
      </c>
      <c r="B287"/>
      <c r="C287"/>
      <c r="D287"/>
      <c r="E287"/>
      <c r="R287" s="27" t="s">
        <v>7</v>
      </c>
      <c r="S287" s="27" t="s">
        <v>8</v>
      </c>
      <c r="V287" s="27" t="s">
        <v>7</v>
      </c>
      <c r="Y287" s="27" t="s">
        <v>8</v>
      </c>
      <c r="Z287" s="27" t="s">
        <v>7</v>
      </c>
      <c r="AB287" s="27" t="s">
        <v>7</v>
      </c>
      <c r="AC287" s="27" t="s">
        <v>8</v>
      </c>
      <c r="AH287" s="27" t="s">
        <v>7</v>
      </c>
      <c r="AI287" s="27" t="s">
        <v>8</v>
      </c>
      <c r="BI287" s="27" t="s">
        <v>8</v>
      </c>
      <c r="BK287" s="27" t="s">
        <v>8</v>
      </c>
      <c r="BL287" s="27" t="s">
        <v>7</v>
      </c>
      <c r="BM287" s="27" t="s">
        <v>8</v>
      </c>
      <c r="BN287" s="27" t="s">
        <v>7</v>
      </c>
      <c r="BO287" s="27" t="s">
        <v>8</v>
      </c>
      <c r="BP287" s="27" t="s">
        <v>7</v>
      </c>
      <c r="BS287" s="27" t="s">
        <v>8</v>
      </c>
      <c r="BY287" s="31"/>
    </row>
    <row r="288" spans="1:147" x14ac:dyDescent="0.25">
      <c r="A288" s="30">
        <v>9.6142108987047836E-2</v>
      </c>
      <c r="B288"/>
      <c r="C288"/>
      <c r="D288"/>
      <c r="E288"/>
      <c r="R288" s="27" t="s">
        <v>7</v>
      </c>
      <c r="V288" s="27" t="s">
        <v>7</v>
      </c>
      <c r="W288" s="27" t="s">
        <v>8</v>
      </c>
      <c r="Y288" s="27" t="s">
        <v>8</v>
      </c>
      <c r="AB288" s="27" t="s">
        <v>7</v>
      </c>
      <c r="AC288" s="27" t="s">
        <v>8</v>
      </c>
      <c r="AH288" s="27" t="s">
        <v>7</v>
      </c>
      <c r="AI288" s="27" t="s">
        <v>8</v>
      </c>
      <c r="AJ288" s="27" t="s">
        <v>7</v>
      </c>
      <c r="AK288" s="27" t="s">
        <v>8</v>
      </c>
      <c r="BG288" s="27" t="s">
        <v>8</v>
      </c>
      <c r="BI288" s="27" t="s">
        <v>8</v>
      </c>
      <c r="BJ288" s="27" t="s">
        <v>7</v>
      </c>
      <c r="BK288" s="27" t="s">
        <v>8</v>
      </c>
      <c r="BL288" s="27" t="s">
        <v>7</v>
      </c>
      <c r="BM288" s="27" t="s">
        <v>8</v>
      </c>
      <c r="BN288" s="27" t="s">
        <v>7</v>
      </c>
      <c r="BO288" s="27" t="s">
        <v>8</v>
      </c>
      <c r="BP288" s="27" t="s">
        <v>7</v>
      </c>
      <c r="BS288" s="27" t="s">
        <v>8</v>
      </c>
      <c r="BX288" s="31"/>
    </row>
    <row r="289" spans="1:75" x14ac:dyDescent="0.25">
      <c r="A289" s="30">
        <v>9.1563913320997906E-2</v>
      </c>
      <c r="B289"/>
      <c r="C289"/>
      <c r="D289"/>
      <c r="E289"/>
      <c r="V289" s="27" t="s">
        <v>7</v>
      </c>
      <c r="W289" s="27" t="s">
        <v>8</v>
      </c>
      <c r="X289" s="27" t="s">
        <v>7</v>
      </c>
      <c r="Y289" s="27" t="s">
        <v>8</v>
      </c>
      <c r="AB289" s="27" t="s">
        <v>7</v>
      </c>
      <c r="AC289" s="27" t="s">
        <v>8</v>
      </c>
      <c r="AH289" s="27" t="s">
        <v>7</v>
      </c>
      <c r="AI289" s="27" t="s">
        <v>8</v>
      </c>
      <c r="AJ289" s="27" t="s">
        <v>7</v>
      </c>
      <c r="AK289" s="27" t="s">
        <v>8</v>
      </c>
      <c r="AL289" s="27" t="s">
        <v>7</v>
      </c>
      <c r="BG289" s="27" t="s">
        <v>8</v>
      </c>
      <c r="BH289" s="27" t="s">
        <v>7</v>
      </c>
      <c r="BI289" s="27" t="s">
        <v>8</v>
      </c>
      <c r="BJ289" s="27" t="s">
        <v>7</v>
      </c>
      <c r="BK289" s="27" t="s">
        <v>8</v>
      </c>
      <c r="BL289" s="27" t="s">
        <v>7</v>
      </c>
      <c r="BN289" s="27" t="s">
        <v>7</v>
      </c>
      <c r="BP289" s="27" t="s">
        <v>7</v>
      </c>
      <c r="BS289" s="27" t="s">
        <v>8</v>
      </c>
      <c r="BW289" s="31"/>
    </row>
    <row r="290" spans="1:75" x14ac:dyDescent="0.25">
      <c r="A290" s="30">
        <v>8.7203726972378923E-2</v>
      </c>
      <c r="B290"/>
      <c r="C290"/>
      <c r="D290"/>
      <c r="E290"/>
      <c r="V290" s="27" t="s">
        <v>7</v>
      </c>
      <c r="W290" s="27" t="s">
        <v>8</v>
      </c>
      <c r="X290" s="27" t="s">
        <v>7</v>
      </c>
      <c r="Y290" s="27" t="s">
        <v>8</v>
      </c>
      <c r="AB290" s="27" t="s">
        <v>7</v>
      </c>
      <c r="AH290" s="27" t="s">
        <v>7</v>
      </c>
      <c r="AJ290" s="27" t="s">
        <v>7</v>
      </c>
      <c r="AK290" s="27" t="s">
        <v>8</v>
      </c>
      <c r="AL290" s="27" t="s">
        <v>7</v>
      </c>
      <c r="AM290" s="27" t="s">
        <v>8</v>
      </c>
      <c r="AO290" s="27" t="s">
        <v>8</v>
      </c>
      <c r="AU290" s="27" t="s">
        <v>8</v>
      </c>
      <c r="BG290" s="27" t="s">
        <v>8</v>
      </c>
      <c r="BH290" s="27" t="s">
        <v>7</v>
      </c>
      <c r="BI290" s="27" t="s">
        <v>8</v>
      </c>
      <c r="BJ290" s="27" t="s">
        <v>7</v>
      </c>
      <c r="BP290" s="27" t="s">
        <v>7</v>
      </c>
      <c r="BQ290" s="27" t="s">
        <v>8</v>
      </c>
      <c r="BS290" s="27" t="s">
        <v>8</v>
      </c>
      <c r="BV290" s="31"/>
    </row>
    <row r="291" spans="1:75" x14ac:dyDescent="0.25">
      <c r="A291" s="30">
        <v>8.3051168545122747E-2</v>
      </c>
      <c r="B291"/>
      <c r="C291"/>
      <c r="D291"/>
      <c r="E291"/>
      <c r="V291" s="27" t="s">
        <v>7</v>
      </c>
      <c r="W291" s="27" t="s">
        <v>8</v>
      </c>
      <c r="X291" s="27" t="s">
        <v>7</v>
      </c>
      <c r="AJ291" s="27" t="s">
        <v>7</v>
      </c>
      <c r="AK291" s="27" t="s">
        <v>8</v>
      </c>
      <c r="AL291" s="27" t="s">
        <v>7</v>
      </c>
      <c r="AM291" s="27" t="s">
        <v>8</v>
      </c>
      <c r="AN291" s="27" t="s">
        <v>7</v>
      </c>
      <c r="AO291" s="27" t="s">
        <v>8</v>
      </c>
      <c r="AP291" s="27" t="s">
        <v>7</v>
      </c>
      <c r="AU291" s="27" t="s">
        <v>8</v>
      </c>
      <c r="AV291" s="27" t="s">
        <v>7</v>
      </c>
      <c r="BE291" s="27" t="s">
        <v>8</v>
      </c>
      <c r="BG291" s="27" t="s">
        <v>8</v>
      </c>
      <c r="BH291" s="27" t="s">
        <v>7</v>
      </c>
      <c r="BP291" s="27" t="s">
        <v>7</v>
      </c>
      <c r="BQ291" s="27" t="s">
        <v>8</v>
      </c>
      <c r="BR291" s="27" t="s">
        <v>7</v>
      </c>
      <c r="BS291" s="27" t="s">
        <v>8</v>
      </c>
      <c r="BU291" s="31"/>
    </row>
    <row r="292" spans="1:75" x14ac:dyDescent="0.25">
      <c r="A292" s="30">
        <v>7.9096350995354961E-2</v>
      </c>
      <c r="B292"/>
      <c r="C292"/>
      <c r="D292"/>
      <c r="E292"/>
      <c r="V292" s="27" t="s">
        <v>7</v>
      </c>
      <c r="W292" s="27" t="s">
        <v>8</v>
      </c>
      <c r="AJ292" s="27" t="s">
        <v>7</v>
      </c>
      <c r="AL292" s="27" t="s">
        <v>7</v>
      </c>
      <c r="AM292" s="27" t="s">
        <v>8</v>
      </c>
      <c r="AN292" s="27" t="s">
        <v>7</v>
      </c>
      <c r="AO292" s="27" t="s">
        <v>8</v>
      </c>
      <c r="AP292" s="27" t="s">
        <v>7</v>
      </c>
      <c r="AU292" s="27" t="s">
        <v>8</v>
      </c>
      <c r="AV292" s="27" t="s">
        <v>7</v>
      </c>
      <c r="AW292" s="27" t="s">
        <v>8</v>
      </c>
      <c r="BE292" s="27" t="s">
        <v>8</v>
      </c>
      <c r="BF292" s="27" t="s">
        <v>7</v>
      </c>
      <c r="BG292" s="27" t="s">
        <v>8</v>
      </c>
      <c r="BP292" s="27" t="s">
        <v>7</v>
      </c>
      <c r="BQ292" s="27" t="s">
        <v>8</v>
      </c>
      <c r="BR292" s="27" t="s">
        <v>7</v>
      </c>
      <c r="BS292" s="27" t="s">
        <v>8</v>
      </c>
      <c r="BT292" s="31"/>
    </row>
    <row r="293" spans="1:75" x14ac:dyDescent="0.25">
      <c r="A293" s="30">
        <v>7.5329858090814217E-2</v>
      </c>
      <c r="B293"/>
      <c r="C293"/>
      <c r="D293"/>
      <c r="E293"/>
      <c r="V293" s="27" t="s">
        <v>7</v>
      </c>
      <c r="W293" s="27" t="s">
        <v>8</v>
      </c>
      <c r="AL293" s="27" t="s">
        <v>7</v>
      </c>
      <c r="AM293" s="27" t="s">
        <v>8</v>
      </c>
      <c r="AN293" s="27" t="s">
        <v>7</v>
      </c>
      <c r="AO293" s="27" t="s">
        <v>8</v>
      </c>
      <c r="AP293" s="27" t="s">
        <v>7</v>
      </c>
      <c r="AU293" s="27" t="s">
        <v>8</v>
      </c>
      <c r="AV293" s="27" t="s">
        <v>7</v>
      </c>
      <c r="AW293" s="27" t="s">
        <v>8</v>
      </c>
      <c r="AX293" s="27" t="s">
        <v>7</v>
      </c>
      <c r="BC293" s="27" t="s">
        <v>8</v>
      </c>
      <c r="BE293" s="27" t="s">
        <v>8</v>
      </c>
      <c r="BF293" s="27" t="s">
        <v>7</v>
      </c>
      <c r="BG293" s="27" t="s">
        <v>8</v>
      </c>
      <c r="BP293" s="27" t="s">
        <v>7</v>
      </c>
      <c r="BQ293" s="27" t="s">
        <v>8</v>
      </c>
      <c r="BR293" s="27" t="s">
        <v>7</v>
      </c>
      <c r="BS293" s="31"/>
    </row>
    <row r="294" spans="1:75" x14ac:dyDescent="0.25">
      <c r="A294" s="30">
        <v>7.1742721991251604E-2</v>
      </c>
      <c r="B294"/>
      <c r="C294"/>
      <c r="D294"/>
      <c r="E294"/>
      <c r="V294" s="27" t="s">
        <v>7</v>
      </c>
      <c r="AL294" s="27" t="s">
        <v>7</v>
      </c>
      <c r="AM294" s="27" t="s">
        <v>8</v>
      </c>
      <c r="AN294" s="27" t="s">
        <v>7</v>
      </c>
      <c r="AO294" s="27" t="s">
        <v>8</v>
      </c>
      <c r="AP294" s="27" t="s">
        <v>7</v>
      </c>
      <c r="AU294" s="27" t="s">
        <v>8</v>
      </c>
      <c r="AV294" s="27" t="s">
        <v>7</v>
      </c>
      <c r="AW294" s="27" t="s">
        <v>8</v>
      </c>
      <c r="AX294" s="27" t="s">
        <v>7</v>
      </c>
      <c r="BC294" s="27" t="s">
        <v>8</v>
      </c>
      <c r="BD294" s="27" t="s">
        <v>7</v>
      </c>
      <c r="BE294" s="27" t="s">
        <v>8</v>
      </c>
      <c r="BF294" s="27" t="s">
        <v>7</v>
      </c>
      <c r="BG294" s="27" t="s">
        <v>8</v>
      </c>
      <c r="BP294" s="27" t="s">
        <v>7</v>
      </c>
      <c r="BQ294" s="27" t="s">
        <v>8</v>
      </c>
      <c r="BR294" s="31"/>
    </row>
    <row r="295" spans="1:75" x14ac:dyDescent="0.25">
      <c r="A295" s="30">
        <v>6.8326401896430078E-2</v>
      </c>
      <c r="B295"/>
      <c r="C295"/>
      <c r="D295"/>
      <c r="E295"/>
      <c r="AL295" s="27" t="s">
        <v>7</v>
      </c>
      <c r="AM295" s="27" t="s">
        <v>8</v>
      </c>
      <c r="AN295" s="27" t="s">
        <v>7</v>
      </c>
      <c r="AO295" s="27" t="s">
        <v>8</v>
      </c>
      <c r="AP295" s="27" t="s">
        <v>7</v>
      </c>
      <c r="AU295" s="27" t="s">
        <v>8</v>
      </c>
      <c r="AV295" s="27" t="s">
        <v>7</v>
      </c>
      <c r="AX295" s="27" t="s">
        <v>7</v>
      </c>
      <c r="BC295" s="27" t="s">
        <v>8</v>
      </c>
      <c r="BD295" s="27" t="s">
        <v>7</v>
      </c>
      <c r="BE295" s="27" t="s">
        <v>8</v>
      </c>
      <c r="BF295" s="27" t="s">
        <v>7</v>
      </c>
      <c r="BG295" s="27" t="s">
        <v>8</v>
      </c>
      <c r="BP295" s="27" t="s">
        <v>7</v>
      </c>
      <c r="BQ295" s="31"/>
    </row>
    <row r="296" spans="1:75" x14ac:dyDescent="0.25">
      <c r="A296" s="30">
        <v>6.5072763710885759E-2</v>
      </c>
      <c r="B296"/>
      <c r="C296"/>
      <c r="D296"/>
      <c r="E296"/>
      <c r="AL296" s="27" t="s">
        <v>7</v>
      </c>
      <c r="AM296" s="27" t="s">
        <v>8</v>
      </c>
      <c r="AN296" s="27" t="s">
        <v>7</v>
      </c>
      <c r="AO296" s="27" t="s">
        <v>8</v>
      </c>
      <c r="AP296" s="27" t="s">
        <v>7</v>
      </c>
      <c r="AS296" s="27" t="s">
        <v>8</v>
      </c>
      <c r="AU296" s="27" t="s">
        <v>8</v>
      </c>
      <c r="AX296" s="27" t="s">
        <v>7</v>
      </c>
      <c r="BC296" s="27" t="s">
        <v>8</v>
      </c>
      <c r="BD296" s="27" t="s">
        <v>7</v>
      </c>
      <c r="BE296" s="27" t="s">
        <v>8</v>
      </c>
      <c r="BF296" s="27" t="s">
        <v>7</v>
      </c>
      <c r="BG296" s="27" t="s">
        <v>8</v>
      </c>
      <c r="BP296" s="31"/>
    </row>
    <row r="297" spans="1:75" x14ac:dyDescent="0.25">
      <c r="A297" s="30">
        <v>6.197406067703403E-2</v>
      </c>
      <c r="B297"/>
      <c r="C297"/>
      <c r="D297"/>
      <c r="E297"/>
      <c r="AL297" s="27" t="s">
        <v>7</v>
      </c>
      <c r="AM297" s="27" t="s">
        <v>8</v>
      </c>
      <c r="AN297" s="27" t="s">
        <v>7</v>
      </c>
      <c r="AO297" s="27" t="s">
        <v>8</v>
      </c>
      <c r="AP297" s="27" t="s">
        <v>7</v>
      </c>
      <c r="AQ297" s="27" t="s">
        <v>8</v>
      </c>
      <c r="AS297" s="27" t="s">
        <v>8</v>
      </c>
      <c r="AT297" s="27" t="s">
        <v>7</v>
      </c>
      <c r="AU297" s="27" t="s">
        <v>8</v>
      </c>
      <c r="AX297" s="27" t="s">
        <v>7</v>
      </c>
      <c r="BC297" s="27" t="s">
        <v>8</v>
      </c>
      <c r="BD297" s="27" t="s">
        <v>7</v>
      </c>
      <c r="BE297" s="27" t="s">
        <v>8</v>
      </c>
      <c r="BF297" s="27" t="s">
        <v>7</v>
      </c>
      <c r="BG297" s="27" t="s">
        <v>8</v>
      </c>
      <c r="BO297" s="31"/>
    </row>
    <row r="298" spans="1:75" x14ac:dyDescent="0.25">
      <c r="A298" s="30">
        <v>5.9022914930508576E-2</v>
      </c>
      <c r="B298"/>
      <c r="C298"/>
      <c r="D298"/>
      <c r="E298"/>
      <c r="AL298" s="27" t="s">
        <v>7</v>
      </c>
      <c r="AN298" s="27" t="s">
        <v>7</v>
      </c>
      <c r="AO298" s="27" t="s">
        <v>8</v>
      </c>
      <c r="AP298" s="27" t="s">
        <v>7</v>
      </c>
      <c r="AQ298" s="27" t="s">
        <v>8</v>
      </c>
      <c r="AR298" s="27" t="s">
        <v>7</v>
      </c>
      <c r="AS298" s="27" t="s">
        <v>8</v>
      </c>
      <c r="AT298" s="27" t="s">
        <v>7</v>
      </c>
      <c r="AU298" s="27" t="s">
        <v>8</v>
      </c>
      <c r="AX298" s="27" t="s">
        <v>7</v>
      </c>
      <c r="BC298" s="27" t="s">
        <v>8</v>
      </c>
      <c r="BD298" s="27" t="s">
        <v>7</v>
      </c>
      <c r="BF298" s="27" t="s">
        <v>7</v>
      </c>
      <c r="BN298" s="31"/>
    </row>
    <row r="299" spans="1:75" x14ac:dyDescent="0.25">
      <c r="A299" s="30">
        <v>5.6212299933817669E-2</v>
      </c>
      <c r="B299"/>
      <c r="C299"/>
      <c r="D299"/>
      <c r="E299"/>
      <c r="AN299" s="27" t="s">
        <v>7</v>
      </c>
      <c r="AO299" s="27" t="s">
        <v>8</v>
      </c>
      <c r="AP299" s="27" t="s">
        <v>7</v>
      </c>
      <c r="AQ299" s="27" t="s">
        <v>8</v>
      </c>
      <c r="AR299" s="27" t="s">
        <v>7</v>
      </c>
      <c r="AS299" s="27" t="s">
        <v>8</v>
      </c>
      <c r="AT299" s="27" t="s">
        <v>7</v>
      </c>
      <c r="AX299" s="27" t="s">
        <v>7</v>
      </c>
      <c r="BC299" s="27" t="s">
        <v>8</v>
      </c>
      <c r="BM299" s="31"/>
    </row>
    <row r="300" spans="1:75" x14ac:dyDescent="0.25">
      <c r="A300" s="30">
        <v>5.3535523746492994E-2</v>
      </c>
      <c r="B300"/>
      <c r="C300"/>
      <c r="D300"/>
      <c r="E300"/>
      <c r="AN300" s="27" t="s">
        <v>7</v>
      </c>
      <c r="AO300" s="27" t="s">
        <v>8</v>
      </c>
      <c r="AP300" s="27" t="s">
        <v>7</v>
      </c>
      <c r="AR300" s="27" t="s">
        <v>7</v>
      </c>
      <c r="AS300" s="27" t="s">
        <v>8</v>
      </c>
      <c r="AX300" s="27" t="s">
        <v>7</v>
      </c>
      <c r="BC300" s="27" t="s">
        <v>8</v>
      </c>
      <c r="BL300" s="31"/>
    </row>
    <row r="301" spans="1:75" x14ac:dyDescent="0.25">
      <c r="A301" s="30">
        <v>5.0986213091898068E-2</v>
      </c>
      <c r="B301"/>
      <c r="C301"/>
      <c r="D301"/>
      <c r="E301"/>
      <c r="AN301" s="27" t="s">
        <v>7</v>
      </c>
      <c r="AR301" s="27" t="s">
        <v>7</v>
      </c>
      <c r="AS301" s="27" t="s">
        <v>8</v>
      </c>
      <c r="AX301" s="27" t="s">
        <v>7</v>
      </c>
      <c r="BC301" s="27" t="s">
        <v>8</v>
      </c>
      <c r="BK301" s="31"/>
    </row>
    <row r="302" spans="1:75" x14ac:dyDescent="0.25">
      <c r="A302" s="30">
        <v>4.8558298182760043E-2</v>
      </c>
      <c r="B302"/>
      <c r="C302"/>
      <c r="D302"/>
      <c r="E302"/>
      <c r="AR302" s="27" t="s">
        <v>7</v>
      </c>
      <c r="AS302" s="27" t="s">
        <v>8</v>
      </c>
      <c r="AX302" s="27" t="s">
        <v>7</v>
      </c>
      <c r="BC302" s="27" t="s">
        <v>8</v>
      </c>
      <c r="BJ302" s="31"/>
    </row>
    <row r="303" spans="1:75" x14ac:dyDescent="0.25">
      <c r="A303" s="30">
        <v>4.6245998269295263E-2</v>
      </c>
      <c r="B303"/>
      <c r="C303"/>
      <c r="D303"/>
      <c r="E303"/>
      <c r="AR303" s="27" t="s">
        <v>7</v>
      </c>
      <c r="AS303" s="27" t="s">
        <v>8</v>
      </c>
      <c r="AX303" s="27" t="s">
        <v>7</v>
      </c>
      <c r="BC303" s="27" t="s">
        <v>8</v>
      </c>
      <c r="BI303" s="31"/>
    </row>
    <row r="304" spans="1:75" x14ac:dyDescent="0.25">
      <c r="A304" s="30">
        <v>4.4043807875519279E-2</v>
      </c>
      <c r="B304"/>
      <c r="C304"/>
      <c r="D304"/>
      <c r="E304"/>
      <c r="AR304" s="27" t="s">
        <v>7</v>
      </c>
      <c r="AX304" s="27" t="s">
        <v>7</v>
      </c>
      <c r="BA304" s="27" t="s">
        <v>8</v>
      </c>
      <c r="BC304" s="27" t="s">
        <v>8</v>
      </c>
      <c r="BH304" s="31"/>
    </row>
    <row r="305" spans="1:59" x14ac:dyDescent="0.25">
      <c r="A305" s="30">
        <v>4.1946483690970725E-2</v>
      </c>
      <c r="B305"/>
      <c r="C305"/>
      <c r="D305"/>
      <c r="E305"/>
      <c r="AX305" s="27" t="s">
        <v>7</v>
      </c>
      <c r="BA305" s="27" t="s">
        <v>8</v>
      </c>
      <c r="BB305" s="27" t="s">
        <v>7</v>
      </c>
      <c r="BC305" s="27" t="s">
        <v>8</v>
      </c>
      <c r="BG305" s="31"/>
    </row>
    <row r="306" spans="1:59" x14ac:dyDescent="0.25">
      <c r="A306" s="30">
        <v>3.9949032086638768E-2</v>
      </c>
      <c r="B306"/>
      <c r="C306"/>
      <c r="D306"/>
      <c r="E306"/>
      <c r="AX306" s="27" t="s">
        <v>7</v>
      </c>
      <c r="AY306" s="27" t="s">
        <v>8</v>
      </c>
      <c r="BA306" s="27" t="s">
        <v>8</v>
      </c>
      <c r="BB306" s="27" t="s">
        <v>7</v>
      </c>
      <c r="BC306" s="27" t="s">
        <v>8</v>
      </c>
      <c r="BF306" s="31"/>
    </row>
    <row r="307" spans="1:59" x14ac:dyDescent="0.25">
      <c r="A307" s="30">
        <v>3.8046697225370241E-2</v>
      </c>
      <c r="B307"/>
      <c r="C307"/>
      <c r="D307"/>
      <c r="E307"/>
      <c r="AX307" s="27" t="s">
        <v>7</v>
      </c>
      <c r="AY307" s="27" t="s">
        <v>8</v>
      </c>
      <c r="AZ307" s="27" t="s">
        <v>7</v>
      </c>
      <c r="BA307" s="27" t="s">
        <v>8</v>
      </c>
      <c r="BB307" s="27" t="s">
        <v>7</v>
      </c>
      <c r="BC307" s="27" t="s">
        <v>8</v>
      </c>
      <c r="BE307" s="31"/>
    </row>
    <row r="308" spans="1:59" x14ac:dyDescent="0.25">
      <c r="A308" s="30">
        <v>3.6234949738447833E-2</v>
      </c>
      <c r="B308"/>
      <c r="C308"/>
      <c r="D308"/>
      <c r="E308"/>
      <c r="AX308" s="27" t="s">
        <v>7</v>
      </c>
      <c r="AY308" s="27" t="s">
        <v>8</v>
      </c>
      <c r="AZ308" s="27" t="s">
        <v>7</v>
      </c>
      <c r="BA308" s="27" t="s">
        <v>8</v>
      </c>
      <c r="BB308" s="27" t="s">
        <v>7</v>
      </c>
      <c r="BD308" s="31"/>
    </row>
    <row r="309" spans="1:59" x14ac:dyDescent="0.25">
      <c r="A309" s="30">
        <v>3.4509475941378875E-2</v>
      </c>
      <c r="B309"/>
      <c r="C309"/>
      <c r="D309"/>
      <c r="E309"/>
      <c r="AX309" s="27" t="s">
        <v>7</v>
      </c>
      <c r="AY309" s="27" t="s">
        <v>8</v>
      </c>
      <c r="AZ309" s="27" t="s">
        <v>7</v>
      </c>
      <c r="BA309" s="27" t="s">
        <v>8</v>
      </c>
      <c r="BC309" s="31"/>
    </row>
    <row r="310" spans="1:59" x14ac:dyDescent="0.25">
      <c r="A310" s="30">
        <v>3.286616756321796E-2</v>
      </c>
      <c r="B310"/>
      <c r="C310"/>
      <c r="D310"/>
      <c r="E310"/>
      <c r="AX310" s="27" t="s">
        <v>7</v>
      </c>
      <c r="AY310" s="27" t="s">
        <v>8</v>
      </c>
      <c r="AZ310" s="27" t="s">
        <v>7</v>
      </c>
      <c r="BB310" s="31"/>
    </row>
    <row r="311" spans="1:59" x14ac:dyDescent="0.25">
      <c r="A311" s="30">
        <v>3.1301111964969472E-2</v>
      </c>
      <c r="B311"/>
      <c r="C311"/>
      <c r="D311"/>
      <c r="E311"/>
      <c r="AX311" s="27" t="s">
        <v>7</v>
      </c>
      <c r="AY311" s="27" t="s">
        <v>8</v>
      </c>
      <c r="BA311" s="31"/>
    </row>
    <row r="312" spans="1:59" x14ac:dyDescent="0.25">
      <c r="A312" s="30">
        <v>2.9810582823780438E-2</v>
      </c>
      <c r="B312"/>
      <c r="C312"/>
      <c r="D312"/>
      <c r="E312"/>
      <c r="AX312" s="27" t="s">
        <v>7</v>
      </c>
      <c r="AY312" s="27" t="s">
        <v>8</v>
      </c>
      <c r="AZ312" s="31"/>
    </row>
    <row r="313" spans="1:59" x14ac:dyDescent="0.25">
      <c r="A313" s="30">
        <v>2.8391031260743264E-2</v>
      </c>
      <c r="B313"/>
      <c r="C313"/>
      <c r="D313"/>
      <c r="E313"/>
      <c r="AX313" s="27" t="s">
        <v>7</v>
      </c>
      <c r="AY313" s="31" t="s">
        <v>8</v>
      </c>
    </row>
    <row r="314" spans="1:59" x14ac:dyDescent="0.25">
      <c r="A314" s="30">
        <v>2.7039077391184052E-2</v>
      </c>
      <c r="B314"/>
      <c r="C314"/>
      <c r="D314"/>
      <c r="E314"/>
      <c r="AX314" s="31" t="s">
        <v>7</v>
      </c>
    </row>
    <row r="315" spans="1:59" x14ac:dyDescent="0.25">
      <c r="A315" s="30">
        <v>2.5751502277318133E-2</v>
      </c>
      <c r="B315"/>
      <c r="C315"/>
      <c r="D315"/>
      <c r="E315"/>
    </row>
    <row r="316" spans="1:59" x14ac:dyDescent="0.25">
      <c r="A316" s="30">
        <v>2.4525240264112496E-2</v>
      </c>
      <c r="B316"/>
      <c r="C316"/>
      <c r="D316"/>
      <c r="E316"/>
    </row>
    <row r="317" spans="1:59" x14ac:dyDescent="0.25">
      <c r="A317" s="30">
        <v>2.3357371680107129E-2</v>
      </c>
      <c r="B317"/>
      <c r="C317"/>
      <c r="D317"/>
      <c r="E317"/>
    </row>
    <row r="318" spans="1:59" x14ac:dyDescent="0.25">
      <c r="A318" s="30">
        <v>2.2245115885816305E-2</v>
      </c>
      <c r="B318"/>
      <c r="C318"/>
      <c r="D318"/>
      <c r="E318"/>
    </row>
    <row r="319" spans="1:59" x14ac:dyDescent="0.25">
      <c r="A319" s="30">
        <v>2.1185824653158377E-2</v>
      </c>
      <c r="B319"/>
      <c r="C319"/>
      <c r="D319"/>
      <c r="E319"/>
    </row>
    <row r="320" spans="1:59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20" zoomScale="90" zoomScaleNormal="90" workbookViewId="0">
      <pane xSplit="4" topLeftCell="G1" activePane="topRight" state="frozen"/>
      <selection activeCell="A109" sqref="A109"/>
      <selection pane="topRight" activeCell="BB139" sqref="BB13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$A$138</v>
      </c>
      <c r="D111" s="1" t="str">
        <f>ADDRESS(C121-1,D121,1,1)</f>
        <v>$BB$138</v>
      </c>
      <c r="E111"/>
    </row>
    <row r="112" spans="1:5" x14ac:dyDescent="0.25">
      <c r="A112" s="30">
        <v>2.3579476910000019</v>
      </c>
      <c r="C112" s="1" t="str">
        <f>ADDRESS(C121,1,1,1)</f>
        <v>$A$139</v>
      </c>
      <c r="D112" s="1" t="str">
        <f>ADDRESS(C121,D121-1,1,1)</f>
        <v>$BA$139</v>
      </c>
      <c r="E112"/>
    </row>
    <row r="113" spans="1:47" x14ac:dyDescent="0.25">
      <c r="A113" s="30">
        <v>2.1435888100000016</v>
      </c>
      <c r="C113" s="1" t="str">
        <f>ADDRESS(C121+1,1,1,1)</f>
        <v>$A$140</v>
      </c>
      <c r="D113" s="1" t="str">
        <f>ADDRESS(C121-1,D121+1,1,1)</f>
        <v>$BC$138</v>
      </c>
    </row>
    <row r="114" spans="1:47" x14ac:dyDescent="0.25">
      <c r="A114" s="30">
        <v>1.9487171000000014</v>
      </c>
      <c r="C114" s="1" t="str">
        <f>ADDRESS(C121,D121,1,1)</f>
        <v>$BB$139</v>
      </c>
      <c r="D114" s="1" t="str">
        <f>ADDRESS(C121+1,D121+1,1,1)</f>
        <v>$BC$140</v>
      </c>
    </row>
    <row r="115" spans="1:47" x14ac:dyDescent="0.25">
      <c r="A115" s="30">
        <v>1.7715610000000011</v>
      </c>
      <c r="C115" s="1" t="str">
        <f>ADDRESS(C121+1,D121,1,1)</f>
        <v>$BB$140</v>
      </c>
    </row>
    <row r="116" spans="1:47" x14ac:dyDescent="0.25">
      <c r="A116" s="30">
        <v>1.6105100000000008</v>
      </c>
      <c r="C116" s="1">
        <f>C117-1</f>
        <v>138</v>
      </c>
    </row>
    <row r="117" spans="1:47" x14ac:dyDescent="0.25">
      <c r="A117" s="30">
        <v>1.4641000000000006</v>
      </c>
      <c r="C117" s="1">
        <f>C121</f>
        <v>139</v>
      </c>
      <c r="D117" s="1">
        <f>D121</f>
        <v>54</v>
      </c>
    </row>
    <row r="118" spans="1:47" x14ac:dyDescent="0.25">
      <c r="A118" s="30">
        <v>1.3310000000000004</v>
      </c>
      <c r="C118" s="1">
        <f>C117+1</f>
        <v>140</v>
      </c>
      <c r="D118" s="1">
        <f>D117+1</f>
        <v>55</v>
      </c>
    </row>
    <row r="119" spans="1:47" x14ac:dyDescent="0.25">
      <c r="A119" s="30">
        <v>1.2100000000000002</v>
      </c>
    </row>
    <row r="120" spans="1:47" x14ac:dyDescent="0.25">
      <c r="A120" s="30">
        <v>1.1000000000000001</v>
      </c>
      <c r="C120" s="1" t="s">
        <v>9</v>
      </c>
    </row>
    <row r="121" spans="1:47" x14ac:dyDescent="0.25">
      <c r="A121" s="30">
        <v>1</v>
      </c>
      <c r="C121" s="18">
        <v>139</v>
      </c>
      <c r="D121" s="19">
        <v>54</v>
      </c>
      <c r="E121" s="18" t="s">
        <v>8</v>
      </c>
    </row>
    <row r="122" spans="1:47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47" x14ac:dyDescent="0.25">
      <c r="A123" s="30">
        <v>0.82644628099173523</v>
      </c>
      <c r="C123" s="1" t="str">
        <f>"R"&amp;C121</f>
        <v>R139</v>
      </c>
      <c r="D123" s="1" t="str">
        <f>"C"&amp;D121</f>
        <v>C54</v>
      </c>
      <c r="F123" s="27" t="s">
        <v>7</v>
      </c>
    </row>
    <row r="124" spans="1:47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O124" s="32" t="s">
        <v>8</v>
      </c>
      <c r="AQ124" s="32" t="s">
        <v>8</v>
      </c>
    </row>
    <row r="125" spans="1:47" x14ac:dyDescent="0.25">
      <c r="A125" s="30">
        <v>0.68301345536507019</v>
      </c>
      <c r="F125" s="27" t="s">
        <v>7</v>
      </c>
      <c r="AM125" s="27" t="s">
        <v>8</v>
      </c>
      <c r="AO125" s="27" t="s">
        <v>8</v>
      </c>
      <c r="AP125" s="27" t="s">
        <v>7</v>
      </c>
      <c r="AQ125" s="27" t="s">
        <v>8</v>
      </c>
      <c r="AR125" s="31" t="s">
        <v>7</v>
      </c>
    </row>
    <row r="126" spans="1:47" x14ac:dyDescent="0.25">
      <c r="A126" s="30">
        <v>0.6209213230591546</v>
      </c>
      <c r="C126" s="1" t="s">
        <v>10</v>
      </c>
      <c r="F126" s="27" t="s">
        <v>7</v>
      </c>
      <c r="AM126" s="27" t="s">
        <v>8</v>
      </c>
      <c r="AN126" s="27" t="s">
        <v>7</v>
      </c>
      <c r="AO126" s="27" t="s">
        <v>8</v>
      </c>
      <c r="AP126" s="27" t="s">
        <v>7</v>
      </c>
      <c r="AQ126" s="27" t="s">
        <v>8</v>
      </c>
      <c r="AR126" s="27" t="s">
        <v>7</v>
      </c>
      <c r="AS126" s="31"/>
    </row>
    <row r="127" spans="1:47" x14ac:dyDescent="0.25">
      <c r="A127" s="30">
        <v>0.56447393005377677</v>
      </c>
      <c r="C127" s="30">
        <v>0.17985878990921333</v>
      </c>
      <c r="D127"/>
      <c r="F127" s="27" t="s">
        <v>7</v>
      </c>
      <c r="AI127" s="27" t="s">
        <v>8</v>
      </c>
      <c r="AM127" s="27" t="s">
        <v>8</v>
      </c>
      <c r="AN127" s="27" t="s">
        <v>7</v>
      </c>
      <c r="AO127" s="27" t="s">
        <v>8</v>
      </c>
      <c r="AP127" s="27" t="s">
        <v>7</v>
      </c>
      <c r="AR127" s="27" t="s">
        <v>7</v>
      </c>
      <c r="AT127" s="31"/>
    </row>
    <row r="128" spans="1:47" x14ac:dyDescent="0.25">
      <c r="A128" s="30">
        <v>0.51315811823070612</v>
      </c>
      <c r="F128" s="27" t="s">
        <v>7</v>
      </c>
      <c r="AI128" s="27" t="s">
        <v>8</v>
      </c>
      <c r="AJ128" s="27" t="s">
        <v>7</v>
      </c>
      <c r="AM128" s="27" t="s">
        <v>8</v>
      </c>
      <c r="AN128" s="27" t="s">
        <v>7</v>
      </c>
      <c r="AO128" s="27" t="s">
        <v>8</v>
      </c>
      <c r="AR128" s="33" t="s">
        <v>7</v>
      </c>
      <c r="AS128" s="27" t="s">
        <v>8</v>
      </c>
      <c r="AU128" s="31"/>
    </row>
    <row r="129" spans="1:5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I129" s="27" t="s">
        <v>8</v>
      </c>
      <c r="AJ129" s="27" t="s">
        <v>7</v>
      </c>
      <c r="AK129" s="27" t="s">
        <v>8</v>
      </c>
      <c r="AM129" s="27" t="s">
        <v>8</v>
      </c>
      <c r="AN129" s="27" t="s">
        <v>7</v>
      </c>
      <c r="AO129" s="27" t="s">
        <v>8</v>
      </c>
      <c r="AR129" s="27" t="s">
        <v>7</v>
      </c>
      <c r="AS129" s="27" t="s">
        <v>8</v>
      </c>
      <c r="AT129" s="27" t="s">
        <v>7</v>
      </c>
      <c r="AU129" s="27" t="s">
        <v>8</v>
      </c>
      <c r="AV129" s="31"/>
    </row>
    <row r="130" spans="1:54" x14ac:dyDescent="0.25">
      <c r="A130" s="30">
        <v>0.42409761837248428</v>
      </c>
      <c r="C130" s="6"/>
      <c r="D130" s="6"/>
      <c r="E130"/>
      <c r="F130" s="27" t="s">
        <v>7</v>
      </c>
      <c r="AI130" s="27" t="s">
        <v>8</v>
      </c>
      <c r="AJ130" s="27" t="s">
        <v>7</v>
      </c>
      <c r="AK130" s="27" t="s">
        <v>8</v>
      </c>
      <c r="AL130" s="27" t="s">
        <v>7</v>
      </c>
      <c r="AM130" s="27" t="s">
        <v>8</v>
      </c>
      <c r="AN130" s="27" t="s">
        <v>7</v>
      </c>
      <c r="AO130" s="27" t="s">
        <v>8</v>
      </c>
      <c r="AR130" s="27" t="s">
        <v>7</v>
      </c>
      <c r="AS130" s="27" t="s">
        <v>8</v>
      </c>
      <c r="AT130" s="27" t="s">
        <v>7</v>
      </c>
      <c r="AU130" s="27" t="s">
        <v>8</v>
      </c>
      <c r="AV130" s="27" t="s">
        <v>7</v>
      </c>
      <c r="AW130" s="31"/>
      <c r="AY130" s="27" t="s">
        <v>8</v>
      </c>
      <c r="BA130" s="27" t="s">
        <v>8</v>
      </c>
    </row>
    <row r="131" spans="1:54" x14ac:dyDescent="0.25">
      <c r="A131" s="30">
        <v>0.38554328942953109</v>
      </c>
      <c r="E131"/>
      <c r="F131" s="27" t="s">
        <v>7</v>
      </c>
      <c r="AE131" s="27" t="s">
        <v>8</v>
      </c>
      <c r="AI131" s="27" t="s">
        <v>8</v>
      </c>
      <c r="AJ131" s="27" t="s">
        <v>7</v>
      </c>
      <c r="AK131" s="27" t="s">
        <v>8</v>
      </c>
      <c r="AL131" s="27" t="s">
        <v>7</v>
      </c>
      <c r="AM131" s="27" t="s">
        <v>8</v>
      </c>
      <c r="AN131" s="27" t="s">
        <v>7</v>
      </c>
      <c r="AR131" s="27" t="s">
        <v>7</v>
      </c>
      <c r="AS131" s="27" t="s">
        <v>8</v>
      </c>
      <c r="AT131" s="27" t="s">
        <v>7</v>
      </c>
      <c r="AU131" s="27" t="s">
        <v>8</v>
      </c>
      <c r="AV131" s="27" t="s">
        <v>7</v>
      </c>
      <c r="AX131" s="31"/>
      <c r="AY131" s="27" t="s">
        <v>8</v>
      </c>
      <c r="AZ131" s="27" t="s">
        <v>7</v>
      </c>
      <c r="BA131" s="27" t="s">
        <v>8</v>
      </c>
      <c r="BB131" s="27" t="s">
        <v>7</v>
      </c>
    </row>
    <row r="132" spans="1:54" x14ac:dyDescent="0.25">
      <c r="A132" s="30">
        <v>0.35049389948139187</v>
      </c>
      <c r="C132" s="1" t="s">
        <v>13</v>
      </c>
      <c r="E132"/>
      <c r="F132" s="27" t="s">
        <v>7</v>
      </c>
      <c r="AE132" s="27" t="s">
        <v>8</v>
      </c>
      <c r="AF132" s="27" t="s">
        <v>7</v>
      </c>
      <c r="AI132" s="27" t="s">
        <v>8</v>
      </c>
      <c r="AJ132" s="27" t="s">
        <v>7</v>
      </c>
      <c r="AK132" s="27" t="s">
        <v>8</v>
      </c>
      <c r="AL132" s="27" t="s">
        <v>7</v>
      </c>
      <c r="AR132" s="27" t="s">
        <v>7</v>
      </c>
      <c r="AS132" s="27" t="s">
        <v>8</v>
      </c>
      <c r="AT132" s="27" t="s">
        <v>7</v>
      </c>
      <c r="AU132" s="27" t="s">
        <v>8</v>
      </c>
      <c r="AV132" s="27" t="s">
        <v>7</v>
      </c>
      <c r="AY132" s="31" t="s">
        <v>8</v>
      </c>
      <c r="AZ132" s="27" t="s">
        <v>7</v>
      </c>
      <c r="BA132" s="27" t="s">
        <v>8</v>
      </c>
      <c r="BB132" s="27" t="s">
        <v>7</v>
      </c>
    </row>
    <row r="133" spans="1:54" x14ac:dyDescent="0.25">
      <c r="A133" s="30">
        <v>0.31863081771035617</v>
      </c>
      <c r="C133" s="1" t="str">
        <f>C122</f>
        <v>O</v>
      </c>
      <c r="E133"/>
      <c r="F133" s="27" t="s">
        <v>7</v>
      </c>
      <c r="AE133" s="27" t="s">
        <v>8</v>
      </c>
      <c r="AF133" s="27" t="s">
        <v>7</v>
      </c>
      <c r="AG133" s="27" t="s">
        <v>8</v>
      </c>
      <c r="AI133" s="27" t="s">
        <v>8</v>
      </c>
      <c r="AJ133" s="27" t="s">
        <v>7</v>
      </c>
      <c r="AR133" s="31" t="s">
        <v>7</v>
      </c>
      <c r="AS133" s="27" t="s">
        <v>8</v>
      </c>
      <c r="AT133" s="27" t="s">
        <v>7</v>
      </c>
      <c r="AU133" s="27" t="s">
        <v>8</v>
      </c>
      <c r="AV133" s="27" t="s">
        <v>7</v>
      </c>
      <c r="AY133" s="27" t="s">
        <v>8</v>
      </c>
      <c r="AZ133" s="31" t="s">
        <v>7</v>
      </c>
      <c r="BA133" s="27" t="s">
        <v>8</v>
      </c>
      <c r="BB133" s="27" t="s">
        <v>7</v>
      </c>
    </row>
    <row r="134" spans="1:54" x14ac:dyDescent="0.25">
      <c r="A134" s="30">
        <v>0.28966437973668741</v>
      </c>
      <c r="C134"/>
      <c r="D134"/>
      <c r="E134"/>
      <c r="F134" s="27" t="s">
        <v>7</v>
      </c>
      <c r="AE134" s="27" t="s">
        <v>8</v>
      </c>
      <c r="AF134" s="27" t="s">
        <v>7</v>
      </c>
      <c r="AG134" s="27" t="s">
        <v>8</v>
      </c>
      <c r="AH134" s="27" t="s">
        <v>7</v>
      </c>
      <c r="AI134" s="27" t="s">
        <v>8</v>
      </c>
      <c r="AQ134" s="31"/>
      <c r="AR134" s="32" t="s">
        <v>7</v>
      </c>
      <c r="AT134" s="32" t="s">
        <v>7</v>
      </c>
      <c r="AV134" s="27" t="s">
        <v>7</v>
      </c>
      <c r="AW134" s="27" t="s">
        <v>8</v>
      </c>
      <c r="AY134" s="27" t="s">
        <v>8</v>
      </c>
      <c r="AZ134" s="27" t="s">
        <v>7</v>
      </c>
      <c r="BA134" s="27" t="s">
        <v>8</v>
      </c>
      <c r="BB134" s="27" t="s">
        <v>7</v>
      </c>
    </row>
    <row r="135" spans="1:54" x14ac:dyDescent="0.25">
      <c r="A135" s="30">
        <v>0.2633312543060794</v>
      </c>
      <c r="C135" s="1" t="s">
        <v>14</v>
      </c>
      <c r="E135"/>
      <c r="F135" s="27" t="s">
        <v>7</v>
      </c>
      <c r="AE135" s="27" t="s">
        <v>8</v>
      </c>
      <c r="AF135" s="27" t="s">
        <v>7</v>
      </c>
      <c r="AG135" s="27" t="s">
        <v>8</v>
      </c>
      <c r="AH135" s="27" t="s">
        <v>7</v>
      </c>
      <c r="AI135" s="27" t="s">
        <v>8</v>
      </c>
      <c r="AP135" s="31"/>
      <c r="AV135" s="27" t="s">
        <v>7</v>
      </c>
      <c r="AW135" s="27" t="s">
        <v>8</v>
      </c>
      <c r="AX135" s="27" t="s">
        <v>7</v>
      </c>
      <c r="AY135" s="27" t="s">
        <v>8</v>
      </c>
      <c r="AZ135" s="27" t="s">
        <v>7</v>
      </c>
      <c r="BB135" s="27" t="s">
        <v>7</v>
      </c>
    </row>
    <row r="136" spans="1:5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E136" s="27" t="s">
        <v>8</v>
      </c>
      <c r="AF136" s="27" t="s">
        <v>7</v>
      </c>
      <c r="AG136" s="27" t="s">
        <v>8</v>
      </c>
      <c r="AH136" s="27" t="s">
        <v>7</v>
      </c>
      <c r="AO136" s="31"/>
      <c r="AV136" s="27" t="s">
        <v>7</v>
      </c>
      <c r="AW136" s="27" t="s">
        <v>8</v>
      </c>
      <c r="AX136" s="27" t="s">
        <v>7</v>
      </c>
      <c r="AY136" s="27" t="s">
        <v>8</v>
      </c>
      <c r="BB136" s="27" t="s">
        <v>7</v>
      </c>
    </row>
    <row r="137" spans="1:54" x14ac:dyDescent="0.25">
      <c r="A137" s="30">
        <v>0.2176291357901482</v>
      </c>
      <c r="E137"/>
      <c r="F137" s="27" t="s">
        <v>7</v>
      </c>
      <c r="W137" s="32" t="s">
        <v>8</v>
      </c>
      <c r="Y137" s="32" t="s">
        <v>8</v>
      </c>
      <c r="AE137" s="27" t="s">
        <v>8</v>
      </c>
      <c r="AF137" s="27" t="s">
        <v>7</v>
      </c>
      <c r="AN137" s="31"/>
      <c r="AV137" s="32" t="s">
        <v>7</v>
      </c>
      <c r="AX137" s="32" t="s">
        <v>7</v>
      </c>
      <c r="BB137" s="27" t="s">
        <v>7</v>
      </c>
    </row>
    <row r="138" spans="1:5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W138" s="27" t="s">
        <v>8</v>
      </c>
      <c r="X138" s="27" t="s">
        <v>7</v>
      </c>
      <c r="Y138" s="27" t="s">
        <v>8</v>
      </c>
      <c r="Z138" s="27" t="s">
        <v>7</v>
      </c>
      <c r="AA138" s="27" t="s">
        <v>8</v>
      </c>
      <c r="AE138" s="27" t="s">
        <v>8</v>
      </c>
      <c r="AM138" s="31"/>
      <c r="BB138" s="27" t="s">
        <v>7</v>
      </c>
    </row>
    <row r="139" spans="1:54" x14ac:dyDescent="0.25">
      <c r="A139" s="30">
        <v>0.17985878990921333</v>
      </c>
      <c r="E139"/>
      <c r="F139" s="27" t="s">
        <v>7</v>
      </c>
      <c r="W139" s="27" t="s">
        <v>8</v>
      </c>
      <c r="X139" s="27" t="s">
        <v>7</v>
      </c>
      <c r="Y139" s="27" t="s">
        <v>8</v>
      </c>
      <c r="Z139" s="27" t="s">
        <v>7</v>
      </c>
      <c r="AA139" s="27" t="s">
        <v>8</v>
      </c>
      <c r="AB139" s="27" t="s">
        <v>7</v>
      </c>
      <c r="AE139" s="34" t="s">
        <v>8</v>
      </c>
      <c r="AL139" s="31"/>
      <c r="BB139" s="27" t="s">
        <v>7</v>
      </c>
    </row>
    <row r="140" spans="1:54" x14ac:dyDescent="0.25">
      <c r="A140" s="30">
        <v>0.16350799082655756</v>
      </c>
      <c r="C140" s="1">
        <v>0</v>
      </c>
      <c r="E140"/>
      <c r="F140" s="27" t="s">
        <v>7</v>
      </c>
      <c r="W140" s="27" t="s">
        <v>8</v>
      </c>
      <c r="X140" s="27" t="s">
        <v>7</v>
      </c>
      <c r="Y140" s="27" t="s">
        <v>8</v>
      </c>
      <c r="Z140" s="27" t="s">
        <v>7</v>
      </c>
      <c r="AA140" s="27" t="s">
        <v>8</v>
      </c>
      <c r="AB140" s="27" t="s">
        <v>7</v>
      </c>
      <c r="AC140" s="27" t="s">
        <v>8</v>
      </c>
      <c r="AE140" s="27" t="s">
        <v>8</v>
      </c>
      <c r="AK140" s="31"/>
    </row>
    <row r="141" spans="1:54" x14ac:dyDescent="0.25">
      <c r="A141" s="30">
        <v>0.14864362802414322</v>
      </c>
      <c r="C141" s="1">
        <v>1</v>
      </c>
      <c r="E141"/>
      <c r="F141" s="27" t="s">
        <v>7</v>
      </c>
      <c r="K141" s="27" t="s">
        <v>8</v>
      </c>
      <c r="W141" s="27" t="s">
        <v>8</v>
      </c>
      <c r="X141" s="32" t="s">
        <v>7</v>
      </c>
      <c r="Z141" s="32" t="s">
        <v>7</v>
      </c>
      <c r="AB141" s="27" t="s">
        <v>7</v>
      </c>
      <c r="AC141" s="27" t="s">
        <v>8</v>
      </c>
      <c r="AD141" s="27" t="s">
        <v>7</v>
      </c>
      <c r="AE141" s="27" t="s">
        <v>8</v>
      </c>
      <c r="AJ141" s="31"/>
    </row>
    <row r="142" spans="1:54" x14ac:dyDescent="0.25">
      <c r="A142" s="30">
        <v>0.13513057093103928</v>
      </c>
      <c r="C142" s="1">
        <v>2</v>
      </c>
      <c r="E142"/>
      <c r="F142" s="27" t="s">
        <v>7</v>
      </c>
      <c r="G142" s="32" t="s">
        <v>8</v>
      </c>
      <c r="I142" s="32" t="s">
        <v>8</v>
      </c>
      <c r="K142" s="27" t="s">
        <v>8</v>
      </c>
      <c r="L142" s="27" t="s">
        <v>7</v>
      </c>
      <c r="W142" s="27" t="s">
        <v>8</v>
      </c>
      <c r="AB142" s="33" t="s">
        <v>7</v>
      </c>
      <c r="AC142" s="27" t="s">
        <v>8</v>
      </c>
      <c r="AD142" s="27" t="s">
        <v>7</v>
      </c>
      <c r="AE142" s="27" t="s">
        <v>8</v>
      </c>
      <c r="AI142" s="31"/>
    </row>
    <row r="143" spans="1:54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  <c r="J143" s="27" t="s">
        <v>7</v>
      </c>
      <c r="K143" s="27" t="s">
        <v>8</v>
      </c>
      <c r="L143" s="27" t="s">
        <v>7</v>
      </c>
      <c r="W143" s="27" t="s">
        <v>8</v>
      </c>
      <c r="AB143" s="27" t="s">
        <v>7</v>
      </c>
      <c r="AC143" s="27" t="s">
        <v>8</v>
      </c>
      <c r="AD143" s="27" t="s">
        <v>7</v>
      </c>
      <c r="AH143" s="31"/>
    </row>
    <row r="144" spans="1:54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I144" s="27" t="s">
        <v>8</v>
      </c>
      <c r="J144" s="27" t="s">
        <v>7</v>
      </c>
      <c r="K144" s="27" t="s">
        <v>8</v>
      </c>
      <c r="L144" s="27" t="s">
        <v>7</v>
      </c>
      <c r="U144" s="27" t="s">
        <v>8</v>
      </c>
      <c r="W144" s="27" t="s">
        <v>8</v>
      </c>
      <c r="AB144" s="27" t="s">
        <v>7</v>
      </c>
      <c r="AG144" s="31"/>
    </row>
    <row r="145" spans="1:32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H145" s="27" t="s">
        <v>7</v>
      </c>
      <c r="I145" s="27" t="s">
        <v>8</v>
      </c>
      <c r="J145" s="27" t="s">
        <v>7</v>
      </c>
      <c r="K145" s="27" t="s">
        <v>8</v>
      </c>
      <c r="L145" s="27" t="s">
        <v>7</v>
      </c>
      <c r="U145" s="27" t="s">
        <v>8</v>
      </c>
      <c r="V145" s="27" t="s">
        <v>7</v>
      </c>
      <c r="W145" s="27" t="s">
        <v>8</v>
      </c>
      <c r="AF145" s="31"/>
    </row>
    <row r="146" spans="1:32" x14ac:dyDescent="0.25">
      <c r="A146" s="30">
        <v>9.2295998177063854E-2</v>
      </c>
      <c r="B146"/>
      <c r="C146"/>
      <c r="D146"/>
      <c r="E146"/>
      <c r="F146" s="27" t="s">
        <v>7</v>
      </c>
      <c r="H146" s="27" t="s">
        <v>7</v>
      </c>
      <c r="I146" s="27" t="s">
        <v>8</v>
      </c>
      <c r="J146" s="27" t="s">
        <v>7</v>
      </c>
      <c r="L146" s="27" t="s">
        <v>7</v>
      </c>
      <c r="U146" s="34" t="s">
        <v>8</v>
      </c>
      <c r="V146" s="27" t="s">
        <v>7</v>
      </c>
      <c r="W146" s="27" t="s">
        <v>8</v>
      </c>
      <c r="AE146" s="31"/>
    </row>
    <row r="147" spans="1:32" x14ac:dyDescent="0.25">
      <c r="A147" s="30">
        <v>8.3905452888239848E-2</v>
      </c>
      <c r="B147"/>
      <c r="C147"/>
      <c r="D147"/>
      <c r="E147"/>
      <c r="H147" s="27" t="s">
        <v>7</v>
      </c>
      <c r="I147" s="27" t="s">
        <v>8</v>
      </c>
      <c r="L147" s="27" t="s">
        <v>7</v>
      </c>
      <c r="M147" s="32" t="s">
        <v>8</v>
      </c>
      <c r="O147" s="32" t="s">
        <v>8</v>
      </c>
      <c r="Q147" s="32" t="s">
        <v>8</v>
      </c>
      <c r="S147" s="32" t="s">
        <v>8</v>
      </c>
      <c r="U147" s="27" t="s">
        <v>8</v>
      </c>
      <c r="V147" s="27" t="s">
        <v>7</v>
      </c>
      <c r="W147" s="27" t="s">
        <v>8</v>
      </c>
      <c r="AD147" s="31"/>
    </row>
    <row r="148" spans="1:32" x14ac:dyDescent="0.25">
      <c r="A148" s="30">
        <v>7.6277684443854396E-2</v>
      </c>
      <c r="B148"/>
      <c r="C148"/>
      <c r="D148"/>
      <c r="E148"/>
      <c r="H148" s="27" t="s">
        <v>7</v>
      </c>
      <c r="L148" s="27" t="s">
        <v>7</v>
      </c>
      <c r="M148" s="27" t="s">
        <v>8</v>
      </c>
      <c r="N148" s="27" t="s">
        <v>7</v>
      </c>
      <c r="O148" s="27" t="s">
        <v>8</v>
      </c>
      <c r="P148" s="27" t="s">
        <v>7</v>
      </c>
      <c r="Q148" s="27" t="s">
        <v>8</v>
      </c>
      <c r="R148" s="27" t="s">
        <v>7</v>
      </c>
      <c r="S148" s="27" t="s">
        <v>8</v>
      </c>
      <c r="T148" s="27" t="s">
        <v>7</v>
      </c>
      <c r="U148" s="27" t="s">
        <v>8</v>
      </c>
      <c r="V148" s="27" t="s">
        <v>7</v>
      </c>
      <c r="W148" s="27" t="s">
        <v>8</v>
      </c>
      <c r="AC148" s="31"/>
    </row>
    <row r="149" spans="1:32" x14ac:dyDescent="0.25">
      <c r="A149" s="30">
        <v>6.9343349494413078E-2</v>
      </c>
      <c r="B149"/>
      <c r="C149"/>
      <c r="D149"/>
      <c r="E149"/>
      <c r="L149" s="27" t="s">
        <v>7</v>
      </c>
      <c r="M149" s="27" t="s">
        <v>8</v>
      </c>
      <c r="N149" s="27" t="s">
        <v>7</v>
      </c>
      <c r="O149" s="27" t="s">
        <v>8</v>
      </c>
      <c r="P149" s="27" t="s">
        <v>7</v>
      </c>
      <c r="Q149" s="27" t="s">
        <v>8</v>
      </c>
      <c r="R149" s="27" t="s">
        <v>7</v>
      </c>
      <c r="S149" s="27" t="s">
        <v>8</v>
      </c>
      <c r="T149" s="27" t="s">
        <v>7</v>
      </c>
      <c r="U149" s="27" t="s">
        <v>8</v>
      </c>
      <c r="V149" s="27" t="s">
        <v>7</v>
      </c>
      <c r="AB149" s="31"/>
    </row>
    <row r="150" spans="1:32" x14ac:dyDescent="0.25">
      <c r="A150" s="30">
        <v>6.3039408631284613E-2</v>
      </c>
      <c r="B150"/>
      <c r="C150"/>
      <c r="D150"/>
      <c r="E150"/>
      <c r="L150" s="27" t="s">
        <v>7</v>
      </c>
      <c r="M150" s="27" t="s">
        <v>8</v>
      </c>
      <c r="N150" s="27" t="s">
        <v>7</v>
      </c>
      <c r="O150" s="27" t="s">
        <v>8</v>
      </c>
      <c r="P150" s="27" t="s">
        <v>7</v>
      </c>
      <c r="Q150" s="27" t="s">
        <v>8</v>
      </c>
      <c r="R150" s="27" t="s">
        <v>7</v>
      </c>
      <c r="S150" s="27" t="s">
        <v>8</v>
      </c>
      <c r="T150" s="27" t="s">
        <v>7</v>
      </c>
      <c r="AA150" s="31"/>
    </row>
    <row r="151" spans="1:32" x14ac:dyDescent="0.25">
      <c r="A151" s="30">
        <v>5.7308553301167818E-2</v>
      </c>
      <c r="B151"/>
      <c r="C151"/>
      <c r="D151"/>
      <c r="E151"/>
      <c r="L151" s="27" t="s">
        <v>7</v>
      </c>
      <c r="N151" s="27" t="s">
        <v>7</v>
      </c>
      <c r="O151" s="27" t="s">
        <v>8</v>
      </c>
      <c r="P151" s="27" t="s">
        <v>7</v>
      </c>
      <c r="Q151" s="27" t="s">
        <v>8</v>
      </c>
      <c r="R151" s="27" t="s">
        <v>7</v>
      </c>
      <c r="S151" s="27" t="s">
        <v>8</v>
      </c>
      <c r="Z151" s="31"/>
    </row>
    <row r="152" spans="1:32" x14ac:dyDescent="0.25">
      <c r="A152" s="30">
        <v>5.2098684819243464E-2</v>
      </c>
      <c r="B152"/>
      <c r="C152"/>
      <c r="D152"/>
      <c r="E152"/>
      <c r="N152" s="27" t="s">
        <v>7</v>
      </c>
      <c r="P152" s="27" t="s">
        <v>7</v>
      </c>
      <c r="Q152" s="27" t="s">
        <v>8</v>
      </c>
      <c r="R152" s="27" t="s">
        <v>7</v>
      </c>
      <c r="S152" s="27" t="s">
        <v>8</v>
      </c>
      <c r="Y152" s="31"/>
    </row>
    <row r="153" spans="1:32" x14ac:dyDescent="0.25">
      <c r="A153" s="30">
        <v>4.7362440744766775E-2</v>
      </c>
      <c r="B153"/>
      <c r="C153"/>
      <c r="D153"/>
      <c r="E153"/>
      <c r="P153" s="27" t="s">
        <v>7</v>
      </c>
      <c r="Q153" s="27" t="s">
        <v>8</v>
      </c>
      <c r="R153" s="27" t="s">
        <v>7</v>
      </c>
      <c r="S153" s="27" t="s">
        <v>8</v>
      </c>
      <c r="X153" s="31"/>
    </row>
    <row r="154" spans="1:32" x14ac:dyDescent="0.25">
      <c r="A154" s="30">
        <v>4.3056764313424332E-2</v>
      </c>
      <c r="B154"/>
      <c r="C154"/>
      <c r="D154"/>
      <c r="E154"/>
      <c r="P154" s="27" t="s">
        <v>7</v>
      </c>
      <c r="R154" s="27" t="s">
        <v>7</v>
      </c>
      <c r="S154" s="27" t="s">
        <v>8</v>
      </c>
      <c r="W154" s="31"/>
    </row>
    <row r="155" spans="1:32" x14ac:dyDescent="0.25">
      <c r="A155" s="30">
        <v>3.9142513012203929E-2</v>
      </c>
      <c r="B155"/>
      <c r="C155"/>
      <c r="D155"/>
      <c r="E155"/>
      <c r="R155" s="27" t="s">
        <v>7</v>
      </c>
      <c r="S155" s="27" t="s">
        <v>8</v>
      </c>
      <c r="V155" s="31"/>
    </row>
    <row r="156" spans="1:32" x14ac:dyDescent="0.25">
      <c r="A156" s="30">
        <v>3.55841027383672E-2</v>
      </c>
      <c r="B156"/>
      <c r="C156"/>
      <c r="D156"/>
      <c r="E156"/>
      <c r="R156" s="27" t="s">
        <v>7</v>
      </c>
      <c r="S156" s="27" t="s">
        <v>8</v>
      </c>
      <c r="U156" s="31"/>
    </row>
    <row r="157" spans="1:32" x14ac:dyDescent="0.25">
      <c r="A157" s="30">
        <v>3.2349184307606541E-2</v>
      </c>
      <c r="B157"/>
      <c r="C157"/>
      <c r="D157"/>
      <c r="E157"/>
      <c r="R157" s="27" t="s">
        <v>7</v>
      </c>
      <c r="S157" s="27" t="s">
        <v>8</v>
      </c>
      <c r="T157" s="31"/>
    </row>
    <row r="158" spans="1:32" x14ac:dyDescent="0.25">
      <c r="A158" s="30">
        <v>2.9408349370551395E-2</v>
      </c>
      <c r="B158"/>
      <c r="C158"/>
      <c r="D158"/>
      <c r="E158"/>
      <c r="R158" s="27" t="s">
        <v>7</v>
      </c>
      <c r="S158" s="31" t="s">
        <v>8</v>
      </c>
    </row>
    <row r="159" spans="1:32" x14ac:dyDescent="0.25">
      <c r="A159" s="30">
        <v>2.6734863064137627E-2</v>
      </c>
      <c r="B159"/>
      <c r="C159"/>
      <c r="D159"/>
      <c r="E159"/>
      <c r="R159" s="31" t="s">
        <v>7</v>
      </c>
    </row>
    <row r="160" spans="1:32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0.19987253960121379</v>
      </c>
      <c r="F3" s="30">
        <v>0.20986616658127455</v>
      </c>
      <c r="G3" s="30">
        <v>0.39573395701664765</v>
      </c>
      <c r="H3" s="25">
        <f>IF(G3="","",(3*(G3-F3))+E3)</f>
        <v>0.75747591090733302</v>
      </c>
      <c r="I3" s="7"/>
      <c r="J3" s="7">
        <f>(E3+G3)/2</f>
        <v>0.29780324830893073</v>
      </c>
      <c r="K3" s="7">
        <f>H3/2</f>
        <v>0.37873795545366651</v>
      </c>
      <c r="M3" s="26">
        <f>IF(OR(J3="",H3=""),"",H3/J3)</f>
        <v>2.5435448243383627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2022-01-28T01:23:15Z</dcterms:modified>
</cp:coreProperties>
</file>