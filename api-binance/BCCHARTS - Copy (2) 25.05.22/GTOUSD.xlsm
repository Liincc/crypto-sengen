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BF839FE-B877-4236-840C-06A5484C37A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8" i="4"/>
  <c r="C116" i="4"/>
  <c r="C118" i="5"/>
  <c r="C116" i="3"/>
  <c r="R765" i="1"/>
  <c r="S765" i="1" s="1"/>
  <c r="T765" i="1" s="1"/>
  <c r="S766" i="1"/>
  <c r="T766" i="1" s="1"/>
  <c r="C136" i="4"/>
  <c r="D136" i="4"/>
  <c r="C122" i="3"/>
  <c r="C133" i="3" s="1"/>
  <c r="D136" i="3" s="1"/>
  <c r="R764" i="1"/>
  <c r="D136" i="5" l="1"/>
  <c r="C138" i="5" s="1"/>
  <c r="C138" i="4"/>
  <c r="C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S200" i="1" l="1"/>
  <c r="T200" i="1" s="1"/>
  <c r="R199" i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S192" i="1" l="1"/>
  <c r="T192" i="1" s="1"/>
  <c r="R191" i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<sst xmlns="http://schemas.openxmlformats.org/spreadsheetml/2006/main" count="9399" uniqueCount="34">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</sst>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2.964E-2</c:v>
                </c:pt>
                <c:pt idx="1">
                  <c:v>3.0329999999999999E-2</c:v>
                </c:pt>
                <c:pt idx="2">
                  <c:v>2.9579999999999999E-2</c:v>
                </c:pt>
                <c:pt idx="3">
                  <c:v>2.9780000000000001E-2</c:v>
                </c:pt>
                <c:pt idx="4">
                  <c:v>3.1870000000000002E-2</c:v>
                </c:pt>
                <c:pt idx="5">
                  <c:v>3.0339999999999999E-2</c:v>
                </c:pt>
                <c:pt idx="6">
                  <c:v>3.3779999999999998E-2</c:v>
                </c:pt>
                <c:pt idx="7">
                  <c:v>4.2209999999999998E-2</c:v>
                </c:pt>
                <c:pt idx="8">
                  <c:v>4.3790000000000003E-2</c:v>
                </c:pt>
                <c:pt idx="9">
                  <c:v>4.505E-2</c:v>
                </c:pt>
                <c:pt idx="10">
                  <c:v>4.5400000000000003E-2</c:v>
                </c:pt>
                <c:pt idx="11">
                  <c:v>4.7449999999999999E-2</c:v>
                </c:pt>
                <c:pt idx="12">
                  <c:v>4.8210000000000003E-2</c:v>
                </c:pt>
                <c:pt idx="13">
                  <c:v>4.7989999999999998E-2</c:v>
                </c:pt>
                <c:pt idx="14">
                  <c:v>4.7320000000000001E-2</c:v>
                </c:pt>
                <c:pt idx="15">
                  <c:v>5.0259999999999999E-2</c:v>
                </c:pt>
                <c:pt idx="16">
                  <c:v>4.7919999999999997E-2</c:v>
                </c:pt>
                <c:pt idx="17">
                  <c:v>4.6309999999999997E-2</c:v>
                </c:pt>
                <c:pt idx="18">
                  <c:v>4.9639999999999997E-2</c:v>
                </c:pt>
                <c:pt idx="19">
                  <c:v>4.8930000000000001E-2</c:v>
                </c:pt>
                <c:pt idx="20">
                  <c:v>4.965E-2</c:v>
                </c:pt>
                <c:pt idx="21">
                  <c:v>5.4679999999999999E-2</c:v>
                </c:pt>
                <c:pt idx="22">
                  <c:v>5.5109999999999999E-2</c:v>
                </c:pt>
                <c:pt idx="23">
                  <c:v>6.1780000000000002E-2</c:v>
                </c:pt>
                <c:pt idx="24">
                  <c:v>6.0609999999999997E-2</c:v>
                </c:pt>
                <c:pt idx="25">
                  <c:v>6.1420000000000002E-2</c:v>
                </c:pt>
                <c:pt idx="26">
                  <c:v>6.0089999999999998E-2</c:v>
                </c:pt>
                <c:pt idx="27">
                  <c:v>5.9119999999999999E-2</c:v>
                </c:pt>
                <c:pt idx="28">
                  <c:v>6.0940000000000001E-2</c:v>
                </c:pt>
                <c:pt idx="29">
                  <c:v>6.0600000000000001E-2</c:v>
                </c:pt>
                <c:pt idx="30">
                  <c:v>5.9520000000000003E-2</c:v>
                </c:pt>
                <c:pt idx="31">
                  <c:v>6.5369999999999998E-2</c:v>
                </c:pt>
                <c:pt idx="32">
                  <c:v>6.4299999999999996E-2</c:v>
                </c:pt>
                <c:pt idx="33">
                  <c:v>6.1010000000000002E-2</c:v>
                </c:pt>
                <c:pt idx="34">
                  <c:v>6.0420000000000001E-2</c:v>
                </c:pt>
                <c:pt idx="35">
                  <c:v>6.2640000000000001E-2</c:v>
                </c:pt>
                <c:pt idx="36">
                  <c:v>5.9380000000000002E-2</c:v>
                </c:pt>
                <c:pt idx="37">
                  <c:v>5.9670000000000001E-2</c:v>
                </c:pt>
                <c:pt idx="38">
                  <c:v>5.6320000000000002E-2</c:v>
                </c:pt>
                <c:pt idx="39">
                  <c:v>5.8659999999999997E-2</c:v>
                </c:pt>
                <c:pt idx="40">
                  <c:v>6.1960000000000001E-2</c:v>
                </c:pt>
                <c:pt idx="41">
                  <c:v>6.182E-2</c:v>
                </c:pt>
                <c:pt idx="42">
                  <c:v>6.0080000000000001E-2</c:v>
                </c:pt>
                <c:pt idx="43">
                  <c:v>5.4699999999999999E-2</c:v>
                </c:pt>
                <c:pt idx="44">
                  <c:v>5.4129999999999998E-2</c:v>
                </c:pt>
                <c:pt idx="45">
                  <c:v>5.484E-2</c:v>
                </c:pt>
                <c:pt idx="46">
                  <c:v>6.3930000000000001E-2</c:v>
                </c:pt>
                <c:pt idx="47">
                  <c:v>6.2590000000000007E-2</c:v>
                </c:pt>
                <c:pt idx="48">
                  <c:v>6.2469999999999998E-2</c:v>
                </c:pt>
                <c:pt idx="49">
                  <c:v>6.4649999999999999E-2</c:v>
                </c:pt>
                <c:pt idx="50">
                  <c:v>6.6669999999999993E-2</c:v>
                </c:pt>
                <c:pt idx="51">
                  <c:v>6.4460000000000003E-2</c:v>
                </c:pt>
                <c:pt idx="52">
                  <c:v>6.8599999999999994E-2</c:v>
                </c:pt>
                <c:pt idx="53">
                  <c:v>5.8029999999999998E-2</c:v>
                </c:pt>
                <c:pt idx="54">
                  <c:v>6.1839999999999999E-2</c:v>
                </c:pt>
                <c:pt idx="55">
                  <c:v>7.5370000000000006E-2</c:v>
                </c:pt>
                <c:pt idx="56">
                  <c:v>5.6619999999999997E-2</c:v>
                </c:pt>
                <c:pt idx="57">
                  <c:v>5.6919999999999998E-2</c:v>
                </c:pt>
                <c:pt idx="58">
                  <c:v>5.4640000000000001E-2</c:v>
                </c:pt>
                <c:pt idx="59">
                  <c:v>5.8049999999999997E-2</c:v>
                </c:pt>
                <c:pt idx="60">
                  <c:v>5.9249999999999997E-2</c:v>
                </c:pt>
                <c:pt idx="61">
                  <c:v>5.7770000000000002E-2</c:v>
                </c:pt>
                <c:pt idx="62">
                  <c:v>5.4289999999999998E-2</c:v>
                </c:pt>
                <c:pt idx="63">
                  <c:v>6.1449999999999998E-2</c:v>
                </c:pt>
                <c:pt idx="64">
                  <c:v>7.0690000000000003E-2</c:v>
                </c:pt>
                <c:pt idx="65">
                  <c:v>6.3549999999999995E-2</c:v>
                </c:pt>
                <c:pt idx="66">
                  <c:v>6.1990000000000003E-2</c:v>
                </c:pt>
                <c:pt idx="67">
                  <c:v>6.6170000000000007E-2</c:v>
                </c:pt>
                <c:pt idx="68">
                  <c:v>7.3010000000000005E-2</c:v>
                </c:pt>
                <c:pt idx="69">
                  <c:v>4.9110000000000001E-2</c:v>
                </c:pt>
                <c:pt idx="70">
                  <c:v>4.5609999999999998E-2</c:v>
                </c:pt>
                <c:pt idx="71">
                  <c:v>4.8370000000000003E-2</c:v>
                </c:pt>
                <c:pt idx="72">
                  <c:v>4.8750000000000002E-2</c:v>
                </c:pt>
                <c:pt idx="73">
                  <c:v>5.2359999999999997E-2</c:v>
                </c:pt>
                <c:pt idx="74">
                  <c:v>5.0729999999999997E-2</c:v>
                </c:pt>
                <c:pt idx="75">
                  <c:v>4.8320000000000002E-2</c:v>
                </c:pt>
                <c:pt idx="76">
                  <c:v>4.9689999999999998E-2</c:v>
                </c:pt>
                <c:pt idx="77">
                  <c:v>4.8189999999999997E-2</c:v>
                </c:pt>
                <c:pt idx="78">
                  <c:v>4.7800000000000002E-2</c:v>
                </c:pt>
                <c:pt idx="79">
                  <c:v>5.2249999999999998E-2</c:v>
                </c:pt>
                <c:pt idx="80">
                  <c:v>5.015E-2</c:v>
                </c:pt>
                <c:pt idx="81">
                  <c:v>5.1229999999999998E-2</c:v>
                </c:pt>
                <c:pt idx="82">
                  <c:v>4.8989999999999999E-2</c:v>
                </c:pt>
                <c:pt idx="83">
                  <c:v>4.888E-2</c:v>
                </c:pt>
                <c:pt idx="84">
                  <c:v>5.0049999999999997E-2</c:v>
                </c:pt>
                <c:pt idx="85">
                  <c:v>5.0180000000000002E-2</c:v>
                </c:pt>
                <c:pt idx="86">
                  <c:v>5.2240000000000002E-2</c:v>
                </c:pt>
                <c:pt idx="87">
                  <c:v>5.2319999999999998E-2</c:v>
                </c:pt>
                <c:pt idx="88">
                  <c:v>5.348E-2</c:v>
                </c:pt>
                <c:pt idx="89">
                  <c:v>5.4800000000000001E-2</c:v>
                </c:pt>
                <c:pt idx="90">
                  <c:v>4.9439999999999998E-2</c:v>
                </c:pt>
                <c:pt idx="91">
                  <c:v>4.7710000000000002E-2</c:v>
                </c:pt>
                <c:pt idx="92">
                  <c:v>4.0899999999999999E-2</c:v>
                </c:pt>
                <c:pt idx="93">
                  <c:v>4.6300000000000001E-2</c:v>
                </c:pt>
                <c:pt idx="94">
                  <c:v>4.6080000000000003E-2</c:v>
                </c:pt>
                <c:pt idx="95">
                  <c:v>4.4760000000000001E-2</c:v>
                </c:pt>
                <c:pt idx="96">
                  <c:v>4.7050000000000002E-2</c:v>
                </c:pt>
                <c:pt idx="97">
                  <c:v>4.4740000000000002E-2</c:v>
                </c:pt>
                <c:pt idx="98">
                  <c:v>4.555E-2</c:v>
                </c:pt>
                <c:pt idx="99">
                  <c:v>4.6980000000000001E-2</c:v>
                </c:pt>
                <c:pt idx="100">
                  <c:v>4.48E-2</c:v>
                </c:pt>
                <c:pt idx="101">
                  <c:v>4.4040000000000003E-2</c:v>
                </c:pt>
                <c:pt idx="102">
                  <c:v>4.5159999999999999E-2</c:v>
                </c:pt>
                <c:pt idx="103">
                  <c:v>4.4170000000000001E-2</c:v>
                </c:pt>
                <c:pt idx="104">
                  <c:v>4.1779999999999998E-2</c:v>
                </c:pt>
                <c:pt idx="105">
                  <c:v>4.1029999999999997E-2</c:v>
                </c:pt>
                <c:pt idx="106">
                  <c:v>3.9530000000000003E-2</c:v>
                </c:pt>
                <c:pt idx="107">
                  <c:v>3.9120000000000002E-2</c:v>
                </c:pt>
                <c:pt idx="108">
                  <c:v>3.7699999999999997E-2</c:v>
                </c:pt>
                <c:pt idx="109">
                  <c:v>3.9E-2</c:v>
                </c:pt>
                <c:pt idx="110">
                  <c:v>4.1599999999999998E-2</c:v>
                </c:pt>
                <c:pt idx="111">
                  <c:v>4.2869999999999998E-2</c:v>
                </c:pt>
                <c:pt idx="112">
                  <c:v>3.9489999999999997E-2</c:v>
                </c:pt>
                <c:pt idx="113">
                  <c:v>4.1509999999999998E-2</c:v>
                </c:pt>
                <c:pt idx="114">
                  <c:v>3.9690000000000003E-2</c:v>
                </c:pt>
                <c:pt idx="115">
                  <c:v>3.6560000000000002E-2</c:v>
                </c:pt>
                <c:pt idx="116">
                  <c:v>3.7220000000000003E-2</c:v>
                </c:pt>
                <c:pt idx="117">
                  <c:v>3.7330000000000002E-2</c:v>
                </c:pt>
                <c:pt idx="118">
                  <c:v>3.6269999999999997E-2</c:v>
                </c:pt>
                <c:pt idx="119">
                  <c:v>3.3829999999999999E-2</c:v>
                </c:pt>
                <c:pt idx="120">
                  <c:v>3.209E-2</c:v>
                </c:pt>
                <c:pt idx="121">
                  <c:v>3.1719999999999998E-2</c:v>
                </c:pt>
                <c:pt idx="122">
                  <c:v>3.2169999999999997E-2</c:v>
                </c:pt>
                <c:pt idx="123">
                  <c:v>3.2669999999999998E-2</c:v>
                </c:pt>
                <c:pt idx="124">
                  <c:v>3.261E-2</c:v>
                </c:pt>
                <c:pt idx="125">
                  <c:v>3.3550000000000003E-2</c:v>
                </c:pt>
                <c:pt idx="126">
                  <c:v>3.7139999999999999E-2</c:v>
                </c:pt>
                <c:pt idx="127">
                  <c:v>3.5929999999999997E-2</c:v>
                </c:pt>
                <c:pt idx="128">
                  <c:v>3.2009999999999997E-2</c:v>
                </c:pt>
                <c:pt idx="129">
                  <c:v>4.0370000000000003E-2</c:v>
                </c:pt>
                <c:pt idx="130">
                  <c:v>4.2340000000000003E-2</c:v>
                </c:pt>
                <c:pt idx="131">
                  <c:v>4.5510000000000002E-2</c:v>
                </c:pt>
                <c:pt idx="132">
                  <c:v>4.2169999999999999E-2</c:v>
                </c:pt>
                <c:pt idx="133">
                  <c:v>4.3970000000000002E-2</c:v>
                </c:pt>
                <c:pt idx="134">
                  <c:v>4.5839999999999999E-2</c:v>
                </c:pt>
                <c:pt idx="135">
                  <c:v>4.5379999999999997E-2</c:v>
                </c:pt>
                <c:pt idx="136">
                  <c:v>4.3860000000000003E-2</c:v>
                </c:pt>
                <c:pt idx="137">
                  <c:v>4.768E-2</c:v>
                </c:pt>
                <c:pt idx="138">
                  <c:v>4.4659999999999998E-2</c:v>
                </c:pt>
                <c:pt idx="139">
                  <c:v>4.437E-2</c:v>
                </c:pt>
                <c:pt idx="140">
                  <c:v>4.2009999999999999E-2</c:v>
                </c:pt>
                <c:pt idx="141">
                  <c:v>4.3900000000000002E-2</c:v>
                </c:pt>
                <c:pt idx="142">
                  <c:v>4.3020000000000003E-2</c:v>
                </c:pt>
                <c:pt idx="143">
                  <c:v>5.6829999999999999E-2</c:v>
                </c:pt>
                <c:pt idx="144">
                  <c:v>5.3650000000000003E-2</c:v>
                </c:pt>
                <c:pt idx="145">
                  <c:v>5.1470000000000002E-2</c:v>
                </c:pt>
                <c:pt idx="146">
                  <c:v>5.2560000000000003E-2</c:v>
                </c:pt>
                <c:pt idx="147">
                  <c:v>5.3199999999999997E-2</c:v>
                </c:pt>
                <c:pt idx="148">
                  <c:v>5.203E-2</c:v>
                </c:pt>
                <c:pt idx="149">
                  <c:v>4.7390000000000002E-2</c:v>
                </c:pt>
                <c:pt idx="150">
                  <c:v>4.6809999999999997E-2</c:v>
                </c:pt>
                <c:pt idx="151">
                  <c:v>4.9660000000000003E-2</c:v>
                </c:pt>
                <c:pt idx="152">
                  <c:v>4.9230000000000003E-2</c:v>
                </c:pt>
                <c:pt idx="153">
                  <c:v>5.092E-2</c:v>
                </c:pt>
                <c:pt idx="154">
                  <c:v>4.8980000000000003E-2</c:v>
                </c:pt>
                <c:pt idx="155">
                  <c:v>5.4080000000000003E-2</c:v>
                </c:pt>
                <c:pt idx="156">
                  <c:v>5.6860000000000001E-2</c:v>
                </c:pt>
                <c:pt idx="157">
                  <c:v>5.3220000000000003E-2</c:v>
                </c:pt>
                <c:pt idx="158">
                  <c:v>5.2319999999999998E-2</c:v>
                </c:pt>
                <c:pt idx="159">
                  <c:v>5.1130000000000002E-2</c:v>
                </c:pt>
                <c:pt idx="160">
                  <c:v>5.357E-2</c:v>
                </c:pt>
                <c:pt idx="161">
                  <c:v>5.2040000000000003E-2</c:v>
                </c:pt>
                <c:pt idx="162">
                  <c:v>4.9639999999999997E-2</c:v>
                </c:pt>
                <c:pt idx="163">
                  <c:v>4.5580000000000002E-2</c:v>
                </c:pt>
                <c:pt idx="164">
                  <c:v>5.0259999999999999E-2</c:v>
                </c:pt>
                <c:pt idx="165">
                  <c:v>5.2010000000000001E-2</c:v>
                </c:pt>
                <c:pt idx="166">
                  <c:v>5.3339999999999999E-2</c:v>
                </c:pt>
                <c:pt idx="167">
                  <c:v>5.8599999999999999E-2</c:v>
                </c:pt>
                <c:pt idx="168">
                  <c:v>4.1509999999999998E-2</c:v>
                </c:pt>
                <c:pt idx="169">
                  <c:v>4.292E-2</c:v>
                </c:pt>
                <c:pt idx="170">
                  <c:v>4.1300000000000003E-2</c:v>
                </c:pt>
                <c:pt idx="171">
                  <c:v>3.9219999999999998E-2</c:v>
                </c:pt>
                <c:pt idx="172">
                  <c:v>3.6630000000000003E-2</c:v>
                </c:pt>
                <c:pt idx="173">
                  <c:v>3.9280000000000002E-2</c:v>
                </c:pt>
                <c:pt idx="174">
                  <c:v>3.8330000000000003E-2</c:v>
                </c:pt>
                <c:pt idx="175">
                  <c:v>3.6119999999999999E-2</c:v>
                </c:pt>
                <c:pt idx="176">
                  <c:v>3.3189999999999997E-2</c:v>
                </c:pt>
                <c:pt idx="177">
                  <c:v>3.2199999999999999E-2</c:v>
                </c:pt>
                <c:pt idx="178">
                  <c:v>3.3259999999999998E-2</c:v>
                </c:pt>
                <c:pt idx="179">
                  <c:v>3.3279999999999997E-2</c:v>
                </c:pt>
                <c:pt idx="180">
                  <c:v>3.3390000000000003E-2</c:v>
                </c:pt>
                <c:pt idx="181">
                  <c:v>3.2579999999999998E-2</c:v>
                </c:pt>
                <c:pt idx="182">
                  <c:v>3.2480000000000002E-2</c:v>
                </c:pt>
                <c:pt idx="183">
                  <c:v>3.1460000000000002E-2</c:v>
                </c:pt>
                <c:pt idx="184">
                  <c:v>3.1399999999999997E-2</c:v>
                </c:pt>
                <c:pt idx="185">
                  <c:v>3.09E-2</c:v>
                </c:pt>
                <c:pt idx="186">
                  <c:v>3.091E-2</c:v>
                </c:pt>
                <c:pt idx="187">
                  <c:v>3.0710000000000001E-2</c:v>
                </c:pt>
                <c:pt idx="188">
                  <c:v>3.1099999999999999E-2</c:v>
                </c:pt>
                <c:pt idx="189">
                  <c:v>2.9489999999999999E-2</c:v>
                </c:pt>
                <c:pt idx="190">
                  <c:v>2.8580000000000001E-2</c:v>
                </c:pt>
                <c:pt idx="191">
                  <c:v>2.7119999999999998E-2</c:v>
                </c:pt>
                <c:pt idx="192">
                  <c:v>2.852E-2</c:v>
                </c:pt>
                <c:pt idx="193">
                  <c:v>3.0870000000000002E-2</c:v>
                </c:pt>
                <c:pt idx="194">
                  <c:v>3.1040000000000002E-2</c:v>
                </c:pt>
                <c:pt idx="195">
                  <c:v>3.073E-2</c:v>
                </c:pt>
                <c:pt idx="196">
                  <c:v>3.3689999999999998E-2</c:v>
                </c:pt>
                <c:pt idx="197">
                  <c:v>3.6549999999999999E-2</c:v>
                </c:pt>
                <c:pt idx="198">
                  <c:v>3.7019999999999997E-2</c:v>
                </c:pt>
                <c:pt idx="199">
                  <c:v>3.7260000000000001E-2</c:v>
                </c:pt>
                <c:pt idx="200">
                  <c:v>3.9269999999999999E-2</c:v>
                </c:pt>
                <c:pt idx="201">
                  <c:v>3.6290000000000003E-2</c:v>
                </c:pt>
                <c:pt idx="202">
                  <c:v>3.526E-2</c:v>
                </c:pt>
                <c:pt idx="203">
                  <c:v>3.3919999999999999E-2</c:v>
                </c:pt>
                <c:pt idx="204">
                  <c:v>3.5830000000000001E-2</c:v>
                </c:pt>
                <c:pt idx="205">
                  <c:v>3.3669999999999999E-2</c:v>
                </c:pt>
                <c:pt idx="206">
                  <c:v>3.2379999999999999E-2</c:v>
                </c:pt>
                <c:pt idx="207">
                  <c:v>3.3340000000000002E-2</c:v>
                </c:pt>
                <c:pt idx="208">
                  <c:v>3.2759999999999997E-2</c:v>
                </c:pt>
                <c:pt idx="209">
                  <c:v>3.3270000000000001E-2</c:v>
                </c:pt>
                <c:pt idx="210">
                  <c:v>3.1060000000000001E-2</c:v>
                </c:pt>
                <c:pt idx="211">
                  <c:v>3.3009999999999998E-2</c:v>
                </c:pt>
                <c:pt idx="212">
                  <c:v>3.4599999999999999E-2</c:v>
                </c:pt>
                <c:pt idx="213">
                  <c:v>3.3860000000000001E-2</c:v>
                </c:pt>
                <c:pt idx="214">
                  <c:v>3.2660000000000002E-2</c:v>
                </c:pt>
                <c:pt idx="215">
                  <c:v>3.252E-2</c:v>
                </c:pt>
                <c:pt idx="216">
                  <c:v>3.092E-2</c:v>
                </c:pt>
                <c:pt idx="217">
                  <c:v>3.2309999999999998E-2</c:v>
                </c:pt>
                <c:pt idx="218">
                  <c:v>3.2379999999999999E-2</c:v>
                </c:pt>
                <c:pt idx="219">
                  <c:v>3.0110000000000001E-2</c:v>
                </c:pt>
                <c:pt idx="220">
                  <c:v>3.236E-2</c:v>
                </c:pt>
                <c:pt idx="221">
                  <c:v>4.326E-2</c:v>
                </c:pt>
                <c:pt idx="222">
                  <c:v>4.4790000000000003E-2</c:v>
                </c:pt>
                <c:pt idx="223">
                  <c:v>4.2729999999999997E-2</c:v>
                </c:pt>
                <c:pt idx="224">
                  <c:v>4.8570000000000002E-2</c:v>
                </c:pt>
                <c:pt idx="225">
                  <c:v>4.9149999999999999E-2</c:v>
                </c:pt>
                <c:pt idx="226">
                  <c:v>5.6090000000000001E-2</c:v>
                </c:pt>
                <c:pt idx="227">
                  <c:v>6.2520000000000006E-2</c:v>
                </c:pt>
                <c:pt idx="228">
                  <c:v>6.8559999999999996E-2</c:v>
                </c:pt>
                <c:pt idx="229">
                  <c:v>5.9499999999999997E-2</c:v>
                </c:pt>
                <c:pt idx="230">
                  <c:v>6.089E-2</c:v>
                </c:pt>
                <c:pt idx="231">
                  <c:v>7.8350000000000003E-2</c:v>
                </c:pt>
                <c:pt idx="232">
                  <c:v>7.6700000000000004E-2</c:v>
                </c:pt>
                <c:pt idx="233">
                  <c:v>7.825E-2</c:v>
                </c:pt>
                <c:pt idx="234">
                  <c:v>5.4969999999999998E-2</c:v>
                </c:pt>
                <c:pt idx="235">
                  <c:v>4.5929999999999999E-2</c:v>
                </c:pt>
                <c:pt idx="236">
                  <c:v>3.8739999999999997E-2</c:v>
                </c:pt>
                <c:pt idx="237">
                  <c:v>3.1850000000000003E-2</c:v>
                </c:pt>
                <c:pt idx="238">
                  <c:v>3.5639999999999998E-2</c:v>
                </c:pt>
                <c:pt idx="239">
                  <c:v>3.4169999999999999E-2</c:v>
                </c:pt>
                <c:pt idx="240">
                  <c:v>3.3849999999999998E-2</c:v>
                </c:pt>
                <c:pt idx="241">
                  <c:v>3.6799999999999999E-2</c:v>
                </c:pt>
                <c:pt idx="242">
                  <c:v>3.526E-2</c:v>
                </c:pt>
                <c:pt idx="243">
                  <c:v>3.279E-2</c:v>
                </c:pt>
                <c:pt idx="244">
                  <c:v>2.8989999999999998E-2</c:v>
                </c:pt>
                <c:pt idx="245">
                  <c:v>3.4029999999999998E-2</c:v>
                </c:pt>
                <c:pt idx="246">
                  <c:v>3.5540000000000002E-2</c:v>
                </c:pt>
                <c:pt idx="247">
                  <c:v>3.1300000000000001E-2</c:v>
                </c:pt>
                <c:pt idx="248">
                  <c:v>2.964E-2</c:v>
                </c:pt>
                <c:pt idx="249">
                  <c:v>2.4420000000000001E-2</c:v>
                </c:pt>
                <c:pt idx="250">
                  <c:v>2.8160000000000001E-2</c:v>
                </c:pt>
                <c:pt idx="251">
                  <c:v>3.1960000000000002E-2</c:v>
                </c:pt>
                <c:pt idx="252">
                  <c:v>3.9219999999999998E-2</c:v>
                </c:pt>
                <c:pt idx="253">
                  <c:v>3.3419999999999998E-2</c:v>
                </c:pt>
                <c:pt idx="254">
                  <c:v>5.4390000000000001E-2</c:v>
                </c:pt>
                <c:pt idx="255">
                  <c:v>5.5059999999999998E-2</c:v>
                </c:pt>
                <c:pt idx="256">
                  <c:v>6.2799999999999995E-2</c:v>
                </c:pt>
                <c:pt idx="257">
                  <c:v>5.6120000000000003E-2</c:v>
                </c:pt>
                <c:pt idx="258">
                  <c:v>6.0810000000000003E-2</c:v>
                </c:pt>
                <c:pt idx="259">
                  <c:v>5.7549999999999997E-2</c:v>
                </c:pt>
                <c:pt idx="260">
                  <c:v>5.7209999999999997E-2</c:v>
                </c:pt>
                <c:pt idx="261">
                  <c:v>7.1190000000000003E-2</c:v>
                </c:pt>
                <c:pt idx="262">
                  <c:v>6.762E-2</c:v>
                </c:pt>
                <c:pt idx="263">
                  <c:v>7.6829999999999996E-2</c:v>
                </c:pt>
                <c:pt idx="264">
                  <c:v>8.1989999999999993E-2</c:v>
                </c:pt>
                <c:pt idx="265">
                  <c:v>7.9990000000000006E-2</c:v>
                </c:pt>
                <c:pt idx="266">
                  <c:v>7.9200000000000007E-2</c:v>
                </c:pt>
                <c:pt idx="267">
                  <c:v>8.1470000000000001E-2</c:v>
                </c:pt>
                <c:pt idx="268">
                  <c:v>7.689E-2</c:v>
                </c:pt>
                <c:pt idx="269">
                  <c:v>9.0389999999999998E-2</c:v>
                </c:pt>
                <c:pt idx="270">
                  <c:v>8.8489999999999999E-2</c:v>
                </c:pt>
                <c:pt idx="271">
                  <c:v>8.8999999999999996E-2</c:v>
                </c:pt>
                <c:pt idx="272">
                  <c:v>8.3640000000000006E-2</c:v>
                </c:pt>
                <c:pt idx="273">
                  <c:v>8.0100000000000005E-2</c:v>
                </c:pt>
                <c:pt idx="274">
                  <c:v>8.2769999999999996E-2</c:v>
                </c:pt>
                <c:pt idx="275">
                  <c:v>8.3000000000000004E-2</c:v>
                </c:pt>
                <c:pt idx="276">
                  <c:v>7.2499999999999995E-2</c:v>
                </c:pt>
                <c:pt idx="277">
                  <c:v>6.2609999999999999E-2</c:v>
                </c:pt>
                <c:pt idx="278">
                  <c:v>5.9569999999999998E-2</c:v>
                </c:pt>
                <c:pt idx="279">
                  <c:v>6.7180000000000004E-2</c:v>
                </c:pt>
                <c:pt idx="280">
                  <c:v>7.4139999999999998E-2</c:v>
                </c:pt>
                <c:pt idx="281">
                  <c:v>8.5959999999999995E-2</c:v>
                </c:pt>
                <c:pt idx="282">
                  <c:v>7.1800000000000003E-2</c:v>
                </c:pt>
                <c:pt idx="283">
                  <c:v>7.3179999999999995E-2</c:v>
                </c:pt>
                <c:pt idx="284">
                  <c:v>8.3640000000000006E-2</c:v>
                </c:pt>
                <c:pt idx="285">
                  <c:v>0.10031</c:v>
                </c:pt>
                <c:pt idx="286">
                  <c:v>9.4960000000000003E-2</c:v>
                </c:pt>
                <c:pt idx="287">
                  <c:v>0.10568</c:v>
                </c:pt>
                <c:pt idx="288">
                  <c:v>0.10421999999999999</c:v>
                </c:pt>
                <c:pt idx="289">
                  <c:v>0.11015999999999999</c:v>
                </c:pt>
                <c:pt idx="290">
                  <c:v>0.11484</c:v>
                </c:pt>
                <c:pt idx="291">
                  <c:v>0.13147</c:v>
                </c:pt>
                <c:pt idx="292">
                  <c:v>0.10276</c:v>
                </c:pt>
                <c:pt idx="293">
                  <c:v>0.11312</c:v>
                </c:pt>
                <c:pt idx="294">
                  <c:v>0.12651999999999999</c:v>
                </c:pt>
                <c:pt idx="295">
                  <c:v>9.0179999999999996E-2</c:v>
                </c:pt>
                <c:pt idx="296">
                  <c:v>0.1016</c:v>
                </c:pt>
                <c:pt idx="297">
                  <c:v>0.11507000000000001</c:v>
                </c:pt>
                <c:pt idx="298">
                  <c:v>6.8659999999999999E-2</c:v>
                </c:pt>
                <c:pt idx="299">
                  <c:v>5.6259999999999998E-2</c:v>
                </c:pt>
                <c:pt idx="300">
                  <c:v>6.2990000000000004E-2</c:v>
                </c:pt>
                <c:pt idx="301">
                  <c:v>6.8570000000000006E-2</c:v>
                </c:pt>
                <c:pt idx="302">
                  <c:v>7.2580000000000006E-2</c:v>
                </c:pt>
                <c:pt idx="303">
                  <c:v>7.0730000000000001E-2</c:v>
                </c:pt>
                <c:pt idx="304">
                  <c:v>4.3970000000000002E-2</c:v>
                </c:pt>
                <c:pt idx="305">
                  <c:v>4.3409999999999997E-2</c:v>
                </c:pt>
                <c:pt idx="306">
                  <c:v>3.6839999999999998E-2</c:v>
                </c:pt>
                <c:pt idx="307">
                  <c:v>3.7429999999999998E-2</c:v>
                </c:pt>
                <c:pt idx="308">
                  <c:v>3.3520000000000001E-2</c:v>
                </c:pt>
                <c:pt idx="309">
                  <c:v>3.6569999999999998E-2</c:v>
                </c:pt>
                <c:pt idx="310">
                  <c:v>3.8530000000000002E-2</c:v>
                </c:pt>
                <c:pt idx="311">
                  <c:v>4.0840000000000001E-2</c:v>
                </c:pt>
                <c:pt idx="312">
                  <c:v>4.2439999999999999E-2</c:v>
                </c:pt>
                <c:pt idx="313">
                  <c:v>4.2320000000000003E-2</c:v>
                </c:pt>
                <c:pt idx="314">
                  <c:v>4.2750000000000003E-2</c:v>
                </c:pt>
                <c:pt idx="315">
                  <c:v>4.0689999999999997E-2</c:v>
                </c:pt>
                <c:pt idx="316">
                  <c:v>3.9120000000000002E-2</c:v>
                </c:pt>
                <c:pt idx="317">
                  <c:v>3.9600000000000003E-2</c:v>
                </c:pt>
                <c:pt idx="318">
                  <c:v>3.5889999999999998E-2</c:v>
                </c:pt>
                <c:pt idx="319">
                  <c:v>3.3029999999999997E-2</c:v>
                </c:pt>
                <c:pt idx="320">
                  <c:v>3.6909999999999998E-2</c:v>
                </c:pt>
                <c:pt idx="321">
                  <c:v>3.1119999999999998E-2</c:v>
                </c:pt>
                <c:pt idx="322">
                  <c:v>3.1269999999999999E-2</c:v>
                </c:pt>
                <c:pt idx="323">
                  <c:v>3.1890000000000002E-2</c:v>
                </c:pt>
                <c:pt idx="324">
                  <c:v>2.4500000000000001E-2</c:v>
                </c:pt>
                <c:pt idx="325">
                  <c:v>2.3050000000000001E-2</c:v>
                </c:pt>
                <c:pt idx="326">
                  <c:v>2.3709999999999998E-2</c:v>
                </c:pt>
                <c:pt idx="327">
                  <c:v>2.274E-2</c:v>
                </c:pt>
                <c:pt idx="328">
                  <c:v>2.3369999999999998E-2</c:v>
                </c:pt>
                <c:pt idx="329">
                  <c:v>2.128E-2</c:v>
                </c:pt>
                <c:pt idx="330">
                  <c:v>2.061E-2</c:v>
                </c:pt>
                <c:pt idx="331">
                  <c:v>1.8919999999999999E-2</c:v>
                </c:pt>
                <c:pt idx="332">
                  <c:v>2.009E-2</c:v>
                </c:pt>
                <c:pt idx="333">
                  <c:v>1.9480000000000001E-2</c:v>
                </c:pt>
                <c:pt idx="334">
                  <c:v>1.9029999999999998E-2</c:v>
                </c:pt>
                <c:pt idx="335">
                  <c:v>1.7739999999999999E-2</c:v>
                </c:pt>
                <c:pt idx="336">
                  <c:v>1.7389999999999999E-2</c:v>
                </c:pt>
                <c:pt idx="337">
                  <c:v>1.9359999999999999E-2</c:v>
                </c:pt>
                <c:pt idx="338">
                  <c:v>1.814E-2</c:v>
                </c:pt>
                <c:pt idx="339">
                  <c:v>2.2200000000000001E-2</c:v>
                </c:pt>
                <c:pt idx="340">
                  <c:v>2.503E-2</c:v>
                </c:pt>
                <c:pt idx="341">
                  <c:v>2.4E-2</c:v>
                </c:pt>
                <c:pt idx="342">
                  <c:v>2.5999999999999999E-2</c:v>
                </c:pt>
                <c:pt idx="343">
                  <c:v>2.7050000000000001E-2</c:v>
                </c:pt>
                <c:pt idx="344">
                  <c:v>2.5229999999999999E-2</c:v>
                </c:pt>
                <c:pt idx="345">
                  <c:v>2.4479999999999998E-2</c:v>
                </c:pt>
                <c:pt idx="346">
                  <c:v>2.3259999999999999E-2</c:v>
                </c:pt>
                <c:pt idx="347">
                  <c:v>2.4320000000000001E-2</c:v>
                </c:pt>
                <c:pt idx="348">
                  <c:v>2.7550000000000002E-2</c:v>
                </c:pt>
                <c:pt idx="349">
                  <c:v>2.4070000000000001E-2</c:v>
                </c:pt>
                <c:pt idx="350">
                  <c:v>2.1899999999999999E-2</c:v>
                </c:pt>
                <c:pt idx="351">
                  <c:v>2.0570000000000001E-2</c:v>
                </c:pt>
                <c:pt idx="352">
                  <c:v>2.1870000000000001E-2</c:v>
                </c:pt>
                <c:pt idx="353">
                  <c:v>2.3009999999999999E-2</c:v>
                </c:pt>
                <c:pt idx="354">
                  <c:v>2.2419999999999999E-2</c:v>
                </c:pt>
                <c:pt idx="355">
                  <c:v>2.2370000000000001E-2</c:v>
                </c:pt>
                <c:pt idx="356">
                  <c:v>2.4119999999999999E-2</c:v>
                </c:pt>
                <c:pt idx="357">
                  <c:v>2.5020000000000001E-2</c:v>
                </c:pt>
                <c:pt idx="358">
                  <c:v>3.2899999999999999E-2</c:v>
                </c:pt>
                <c:pt idx="359">
                  <c:v>1.503E-2</c:v>
                </c:pt>
                <c:pt idx="360">
                  <c:v>1.5509999999999999E-2</c:v>
                </c:pt>
                <c:pt idx="361">
                  <c:v>1.3639999999999999E-2</c:v>
                </c:pt>
                <c:pt idx="362">
                  <c:v>1.32E-2</c:v>
                </c:pt>
                <c:pt idx="363">
                  <c:v>1.2970000000000001E-2</c:v>
                </c:pt>
                <c:pt idx="364">
                  <c:v>1.197E-2</c:v>
                </c:pt>
                <c:pt idx="365">
                  <c:v>1.0749999999999999E-2</c:v>
                </c:pt>
                <c:pt idx="366">
                  <c:v>1.255E-2</c:v>
                </c:pt>
                <c:pt idx="367">
                  <c:v>1.214E-2</c:v>
                </c:pt>
                <c:pt idx="368">
                  <c:v>1.2749999999999999E-2</c:v>
                </c:pt>
                <c:pt idx="369">
                  <c:v>1.2749999999999999E-2</c:v>
                </c:pt>
                <c:pt idx="370">
                  <c:v>1.277E-2</c:v>
                </c:pt>
                <c:pt idx="371">
                  <c:v>1.2239999999999999E-2</c:v>
                </c:pt>
                <c:pt idx="372">
                  <c:v>1.3690000000000001E-2</c:v>
                </c:pt>
                <c:pt idx="373">
                  <c:v>1.396E-2</c:v>
                </c:pt>
                <c:pt idx="374">
                  <c:v>1.5089999999999999E-2</c:v>
                </c:pt>
                <c:pt idx="375">
                  <c:v>1.4290000000000001E-2</c:v>
                </c:pt>
                <c:pt idx="376">
                  <c:v>1.6299999999999999E-2</c:v>
                </c:pt>
                <c:pt idx="377">
                  <c:v>9.7999999999999997E-3</c:v>
                </c:pt>
                <c:pt idx="378">
                  <c:v>1.027E-2</c:v>
                </c:pt>
                <c:pt idx="379">
                  <c:v>9.8799999999999999E-3</c:v>
                </c:pt>
                <c:pt idx="380">
                  <c:v>9.4599999999999997E-3</c:v>
                </c:pt>
                <c:pt idx="381">
                  <c:v>9.5499999999999995E-3</c:v>
                </c:pt>
                <c:pt idx="382">
                  <c:v>1.056E-2</c:v>
                </c:pt>
                <c:pt idx="383">
                  <c:v>1.123E-2</c:v>
                </c:pt>
                <c:pt idx="384">
                  <c:v>1.115E-2</c:v>
                </c:pt>
                <c:pt idx="385">
                  <c:v>9.6399999999999993E-3</c:v>
                </c:pt>
                <c:pt idx="386">
                  <c:v>1.0019999999999999E-2</c:v>
                </c:pt>
                <c:pt idx="387">
                  <c:v>9.6600000000000002E-3</c:v>
                </c:pt>
                <c:pt idx="388">
                  <c:v>8.8400000000000006E-3</c:v>
                </c:pt>
                <c:pt idx="389">
                  <c:v>8.8299999999999993E-3</c:v>
                </c:pt>
                <c:pt idx="390">
                  <c:v>9.41E-3</c:v>
                </c:pt>
                <c:pt idx="391">
                  <c:v>9.7699999999999992E-3</c:v>
                </c:pt>
                <c:pt idx="392">
                  <c:v>9.4400000000000005E-3</c:v>
                </c:pt>
                <c:pt idx="393">
                  <c:v>9.8399999999999998E-3</c:v>
                </c:pt>
                <c:pt idx="394">
                  <c:v>1.0540000000000001E-2</c:v>
                </c:pt>
                <c:pt idx="395">
                  <c:v>1.112E-2</c:v>
                </c:pt>
                <c:pt idx="396">
                  <c:v>1.234E-2</c:v>
                </c:pt>
                <c:pt idx="397">
                  <c:v>1.2500000000000001E-2</c:v>
                </c:pt>
                <c:pt idx="398">
                  <c:v>1.1129999999999999E-2</c:v>
                </c:pt>
                <c:pt idx="399">
                  <c:v>1.1650000000000001E-2</c:v>
                </c:pt>
                <c:pt idx="400">
                  <c:v>1.026E-2</c:v>
                </c:pt>
                <c:pt idx="401">
                  <c:v>1.274E-2</c:v>
                </c:pt>
                <c:pt idx="402">
                  <c:v>1.0460000000000001E-2</c:v>
                </c:pt>
                <c:pt idx="403">
                  <c:v>1.268E-2</c:v>
                </c:pt>
                <c:pt idx="404">
                  <c:v>7.5799999999999999E-3</c:v>
                </c:pt>
                <c:pt idx="405">
                  <c:v>7.2300000000000003E-3</c:v>
                </c:pt>
                <c:pt idx="406">
                  <c:v>6.8700000000000002E-3</c:v>
                </c:pt>
                <c:pt idx="407">
                  <c:v>7.1700000000000002E-3</c:v>
                </c:pt>
                <c:pt idx="408">
                  <c:v>7.0899999999999999E-3</c:v>
                </c:pt>
                <c:pt idx="409">
                  <c:v>7.4200000000000004E-3</c:v>
                </c:pt>
                <c:pt idx="410">
                  <c:v>7.0800000000000004E-3</c:v>
                </c:pt>
                <c:pt idx="411">
                  <c:v>7.2500000000000004E-3</c:v>
                </c:pt>
                <c:pt idx="412">
                  <c:v>6.4400000000000004E-3</c:v>
                </c:pt>
                <c:pt idx="413">
                  <c:v>6.3400000000000001E-3</c:v>
                </c:pt>
                <c:pt idx="414">
                  <c:v>6.4599999999999996E-3</c:v>
                </c:pt>
                <c:pt idx="415">
                  <c:v>6.1199999999999996E-3</c:v>
                </c:pt>
                <c:pt idx="416">
                  <c:v>6.7400000000000003E-3</c:v>
                </c:pt>
                <c:pt idx="417">
                  <c:v>6.8300000000000001E-3</c:v>
                </c:pt>
                <c:pt idx="418">
                  <c:v>7.0099999999999997E-3</c:v>
                </c:pt>
                <c:pt idx="419">
                  <c:v>6.6600000000000001E-3</c:v>
                </c:pt>
                <c:pt idx="420">
                  <c:v>7.45E-3</c:v>
                </c:pt>
                <c:pt idx="421">
                  <c:v>7.0400000000000003E-3</c:v>
                </c:pt>
                <c:pt idx="422">
                  <c:v>6.8500000000000002E-3</c:v>
                </c:pt>
                <c:pt idx="423">
                  <c:v>6.8799999999999998E-3</c:v>
                </c:pt>
                <c:pt idx="424">
                  <c:v>6.79E-3</c:v>
                </c:pt>
                <c:pt idx="425">
                  <c:v>6.9300000000000004E-3</c:v>
                </c:pt>
                <c:pt idx="426">
                  <c:v>6.7999999999999996E-3</c:v>
                </c:pt>
                <c:pt idx="427">
                  <c:v>6.5799999999999999E-3</c:v>
                </c:pt>
                <c:pt idx="428">
                  <c:v>7.8200000000000006E-3</c:v>
                </c:pt>
                <c:pt idx="429">
                  <c:v>8.0499999999999999E-3</c:v>
                </c:pt>
                <c:pt idx="430">
                  <c:v>7.6E-3</c:v>
                </c:pt>
                <c:pt idx="431">
                  <c:v>7.3699999999999998E-3</c:v>
                </c:pt>
                <c:pt idx="432">
                  <c:v>7.2700000000000004E-3</c:v>
                </c:pt>
                <c:pt idx="433">
                  <c:v>6.7799999999999996E-3</c:v>
                </c:pt>
                <c:pt idx="434">
                  <c:v>6.96E-3</c:v>
                </c:pt>
                <c:pt idx="435">
                  <c:v>6.6400000000000001E-3</c:v>
                </c:pt>
                <c:pt idx="436">
                  <c:v>6.5500000000000003E-3</c:v>
                </c:pt>
                <c:pt idx="437">
                  <c:v>6.6E-3</c:v>
                </c:pt>
                <c:pt idx="438">
                  <c:v>6.4700000000000001E-3</c:v>
                </c:pt>
                <c:pt idx="439">
                  <c:v>6.5399999999999998E-3</c:v>
                </c:pt>
                <c:pt idx="440">
                  <c:v>7.0400000000000003E-3</c:v>
                </c:pt>
                <c:pt idx="441">
                  <c:v>6.8700000000000002E-3</c:v>
                </c:pt>
                <c:pt idx="442">
                  <c:v>7.4400000000000004E-3</c:v>
                </c:pt>
                <c:pt idx="443">
                  <c:v>6.8599999999999998E-3</c:v>
                </c:pt>
                <c:pt idx="444">
                  <c:v>6.5100000000000002E-3</c:v>
                </c:pt>
                <c:pt idx="445">
                  <c:v>6.4099999999999999E-3</c:v>
                </c:pt>
                <c:pt idx="446">
                  <c:v>5.8999999999999999E-3</c:v>
                </c:pt>
                <c:pt idx="447">
                  <c:v>6.8500000000000002E-3</c:v>
                </c:pt>
                <c:pt idx="448">
                  <c:v>5.4999999999999997E-3</c:v>
                </c:pt>
                <c:pt idx="449">
                  <c:v>5.2100000000000002E-3</c:v>
                </c:pt>
                <c:pt idx="450">
                  <c:v>5.0499999999999998E-3</c:v>
                </c:pt>
                <c:pt idx="451">
                  <c:v>5.5199999999999997E-3</c:v>
                </c:pt>
                <c:pt idx="452">
                  <c:v>5.5199999999999997E-3</c:v>
                </c:pt>
                <c:pt idx="453">
                  <c:v>5.2199999999999998E-3</c:v>
                </c:pt>
                <c:pt idx="454">
                  <c:v>5.3800000000000002E-3</c:v>
                </c:pt>
                <c:pt idx="455">
                  <c:v>5.5599999999999998E-3</c:v>
                </c:pt>
                <c:pt idx="456">
                  <c:v>5.8999999999999999E-3</c:v>
                </c:pt>
                <c:pt idx="457">
                  <c:v>6.0000000000000001E-3</c:v>
                </c:pt>
                <c:pt idx="458">
                  <c:v>6.1700000000000001E-3</c:v>
                </c:pt>
                <c:pt idx="459">
                  <c:v>6.4200000000000004E-3</c:v>
                </c:pt>
                <c:pt idx="460">
                  <c:v>6.4599999999999996E-3</c:v>
                </c:pt>
                <c:pt idx="461">
                  <c:v>6.6499999999999997E-3</c:v>
                </c:pt>
                <c:pt idx="462">
                  <c:v>6.6800000000000002E-3</c:v>
                </c:pt>
                <c:pt idx="463">
                  <c:v>6.5500000000000003E-3</c:v>
                </c:pt>
                <c:pt idx="464">
                  <c:v>6.3099999999999996E-3</c:v>
                </c:pt>
                <c:pt idx="465">
                  <c:v>6.7000000000000002E-3</c:v>
                </c:pt>
                <c:pt idx="466">
                  <c:v>6.94E-3</c:v>
                </c:pt>
                <c:pt idx="467">
                  <c:v>6.7200000000000003E-3</c:v>
                </c:pt>
                <c:pt idx="468">
                  <c:v>6.4700000000000001E-3</c:v>
                </c:pt>
                <c:pt idx="469">
                  <c:v>6.8100000000000001E-3</c:v>
                </c:pt>
                <c:pt idx="470">
                  <c:v>7.1300000000000001E-3</c:v>
                </c:pt>
                <c:pt idx="471">
                  <c:v>7.4700000000000001E-3</c:v>
                </c:pt>
                <c:pt idx="472">
                  <c:v>7.3200000000000001E-3</c:v>
                </c:pt>
                <c:pt idx="473">
                  <c:v>7.62E-3</c:v>
                </c:pt>
                <c:pt idx="474">
                  <c:v>7.4200000000000004E-3</c:v>
                </c:pt>
                <c:pt idx="475">
                  <c:v>7.4700000000000001E-3</c:v>
                </c:pt>
                <c:pt idx="476">
                  <c:v>6.7499999999999999E-3</c:v>
                </c:pt>
                <c:pt idx="477">
                  <c:v>6.5900000000000004E-3</c:v>
                </c:pt>
                <c:pt idx="478">
                  <c:v>6.4400000000000004E-3</c:v>
                </c:pt>
                <c:pt idx="479">
                  <c:v>7.3400000000000002E-3</c:v>
                </c:pt>
                <c:pt idx="480">
                  <c:v>7.1399999999999996E-3</c:v>
                </c:pt>
                <c:pt idx="481">
                  <c:v>7.3699999999999998E-3</c:v>
                </c:pt>
                <c:pt idx="482">
                  <c:v>7.0800000000000004E-3</c:v>
                </c:pt>
                <c:pt idx="483">
                  <c:v>7.43E-3</c:v>
                </c:pt>
                <c:pt idx="484">
                  <c:v>7.8399999999999997E-3</c:v>
                </c:pt>
                <c:pt idx="485">
                  <c:v>7.9799999999999992E-3</c:v>
                </c:pt>
                <c:pt idx="486">
                  <c:v>7.8100000000000001E-3</c:v>
                </c:pt>
                <c:pt idx="487">
                  <c:v>8.0599999999999995E-3</c:v>
                </c:pt>
                <c:pt idx="488">
                  <c:v>8.2799999999999992E-3</c:v>
                </c:pt>
                <c:pt idx="489">
                  <c:v>8.1300000000000001E-3</c:v>
                </c:pt>
                <c:pt idx="490">
                  <c:v>7.9799999999999992E-3</c:v>
                </c:pt>
                <c:pt idx="491">
                  <c:v>7.2500000000000004E-3</c:v>
                </c:pt>
                <c:pt idx="492">
                  <c:v>8.0599999999999995E-3</c:v>
                </c:pt>
                <c:pt idx="493">
                  <c:v>7.9900000000000006E-3</c:v>
                </c:pt>
                <c:pt idx="494">
                  <c:v>8.8500000000000002E-3</c:v>
                </c:pt>
                <c:pt idx="495">
                  <c:v>9.0600000000000003E-3</c:v>
                </c:pt>
                <c:pt idx="496">
                  <c:v>8.7899999999999992E-3</c:v>
                </c:pt>
                <c:pt idx="497">
                  <c:v>8.9700000000000005E-3</c:v>
                </c:pt>
                <c:pt idx="498">
                  <c:v>9.0100000000000006E-3</c:v>
                </c:pt>
                <c:pt idx="499">
                  <c:v>8.5699999999999995E-3</c:v>
                </c:pt>
                <c:pt idx="500">
                  <c:v>8.9499999999999996E-3</c:v>
                </c:pt>
                <c:pt idx="501">
                  <c:v>8.9099999999999995E-3</c:v>
                </c:pt>
                <c:pt idx="502">
                  <c:v>9.7800000000000005E-3</c:v>
                </c:pt>
                <c:pt idx="503">
                  <c:v>9.6600000000000002E-3</c:v>
                </c:pt>
                <c:pt idx="504">
                  <c:v>9.7099999999999999E-3</c:v>
                </c:pt>
                <c:pt idx="505">
                  <c:v>9.1699999999999993E-3</c:v>
                </c:pt>
                <c:pt idx="506">
                  <c:v>8.8800000000000007E-3</c:v>
                </c:pt>
                <c:pt idx="507">
                  <c:v>9.1000000000000004E-3</c:v>
                </c:pt>
                <c:pt idx="508">
                  <c:v>9.6500000000000006E-3</c:v>
                </c:pt>
                <c:pt idx="509">
                  <c:v>9.1500000000000001E-3</c:v>
                </c:pt>
                <c:pt idx="510">
                  <c:v>1.057E-2</c:v>
                </c:pt>
                <c:pt idx="511">
                  <c:v>8.8100000000000001E-3</c:v>
                </c:pt>
                <c:pt idx="512">
                  <c:v>1.1560000000000001E-2</c:v>
                </c:pt>
                <c:pt idx="513">
                  <c:v>1.406E-2</c:v>
                </c:pt>
                <c:pt idx="514">
                  <c:v>1.172E-2</c:v>
                </c:pt>
                <c:pt idx="515">
                  <c:v>1.137E-2</c:v>
                </c:pt>
                <c:pt idx="516">
                  <c:v>1.196E-2</c:v>
                </c:pt>
                <c:pt idx="517">
                  <c:v>1.149E-2</c:v>
                </c:pt>
                <c:pt idx="518">
                  <c:v>1.0529999999999999E-2</c:v>
                </c:pt>
                <c:pt idx="519">
                  <c:v>1.0789999999999999E-2</c:v>
                </c:pt>
                <c:pt idx="520">
                  <c:v>9.5899999999999996E-3</c:v>
                </c:pt>
                <c:pt idx="521">
                  <c:v>1.01E-2</c:v>
                </c:pt>
                <c:pt idx="522">
                  <c:v>9.5600000000000008E-3</c:v>
                </c:pt>
                <c:pt idx="523">
                  <c:v>9.7199999999999995E-3</c:v>
                </c:pt>
                <c:pt idx="524">
                  <c:v>9.4500000000000001E-3</c:v>
                </c:pt>
                <c:pt idx="525">
                  <c:v>1.027E-2</c:v>
                </c:pt>
                <c:pt idx="526">
                  <c:v>9.58E-3</c:v>
                </c:pt>
                <c:pt idx="527">
                  <c:v>1.072E-2</c:v>
                </c:pt>
                <c:pt idx="528">
                  <c:v>1.102E-2</c:v>
                </c:pt>
                <c:pt idx="529">
                  <c:v>1.115E-2</c:v>
                </c:pt>
                <c:pt idx="530">
                  <c:v>1.0659999999999999E-2</c:v>
                </c:pt>
                <c:pt idx="531">
                  <c:v>1.133E-2</c:v>
                </c:pt>
                <c:pt idx="532">
                  <c:v>1.055E-2</c:v>
                </c:pt>
                <c:pt idx="533">
                  <c:v>1.064E-2</c:v>
                </c:pt>
                <c:pt idx="534">
                  <c:v>1.0149999999999999E-2</c:v>
                </c:pt>
                <c:pt idx="535">
                  <c:v>1.0279999999999999E-2</c:v>
                </c:pt>
                <c:pt idx="536">
                  <c:v>9.8700000000000003E-3</c:v>
                </c:pt>
                <c:pt idx="537">
                  <c:v>1.0059999999999999E-2</c:v>
                </c:pt>
                <c:pt idx="538">
                  <c:v>9.0799999999999995E-3</c:v>
                </c:pt>
                <c:pt idx="539">
                  <c:v>9.4699999999999993E-3</c:v>
                </c:pt>
                <c:pt idx="540">
                  <c:v>8.6700000000000006E-3</c:v>
                </c:pt>
                <c:pt idx="541">
                  <c:v>8.6199999999999992E-3</c:v>
                </c:pt>
                <c:pt idx="542">
                  <c:v>8.6700000000000006E-3</c:v>
                </c:pt>
                <c:pt idx="543">
                  <c:v>8.2699999999999996E-3</c:v>
                </c:pt>
                <c:pt idx="544">
                  <c:v>8.5500000000000003E-3</c:v>
                </c:pt>
                <c:pt idx="545">
                  <c:v>8.6300000000000005E-3</c:v>
                </c:pt>
                <c:pt idx="546">
                  <c:v>9.0500000000000008E-3</c:v>
                </c:pt>
                <c:pt idx="547">
                  <c:v>9.2399999999999999E-3</c:v>
                </c:pt>
                <c:pt idx="548">
                  <c:v>8.6199999999999992E-3</c:v>
                </c:pt>
                <c:pt idx="549">
                  <c:v>8.1499999999999993E-3</c:v>
                </c:pt>
                <c:pt idx="550">
                  <c:v>9.4299999999999991E-3</c:v>
                </c:pt>
                <c:pt idx="551">
                  <c:v>1.0109999999999999E-2</c:v>
                </c:pt>
                <c:pt idx="552">
                  <c:v>1.0189999999999999E-2</c:v>
                </c:pt>
                <c:pt idx="553">
                  <c:v>1.095E-2</c:v>
                </c:pt>
                <c:pt idx="554">
                  <c:v>9.8300000000000002E-3</c:v>
                </c:pt>
                <c:pt idx="555">
                  <c:v>8.8999999999999999E-3</c:v>
                </c:pt>
                <c:pt idx="556">
                  <c:v>8.6400000000000001E-3</c:v>
                </c:pt>
                <c:pt idx="557">
                  <c:v>8.5800000000000008E-3</c:v>
                </c:pt>
                <c:pt idx="558">
                  <c:v>8.4600000000000005E-3</c:v>
                </c:pt>
                <c:pt idx="559">
                  <c:v>8.4899999999999993E-3</c:v>
                </c:pt>
                <c:pt idx="560">
                  <c:v>8.0700000000000008E-3</c:v>
                </c:pt>
                <c:pt idx="561">
                  <c:v>8.2000000000000007E-3</c:v>
                </c:pt>
                <c:pt idx="562">
                  <c:v>8.4100000000000008E-3</c:v>
                </c:pt>
                <c:pt idx="563">
                  <c:v>8.4499999999999992E-3</c:v>
                </c:pt>
                <c:pt idx="564">
                  <c:v>8.5699999999999995E-3</c:v>
                </c:pt>
                <c:pt idx="565">
                  <c:v>8.8800000000000007E-3</c:v>
                </c:pt>
                <c:pt idx="566">
                  <c:v>8.4600000000000005E-3</c:v>
                </c:pt>
                <c:pt idx="567">
                  <c:v>8.0300000000000007E-3</c:v>
                </c:pt>
                <c:pt idx="568">
                  <c:v>7.8799999999999999E-3</c:v>
                </c:pt>
                <c:pt idx="569">
                  <c:v>7.9699999999999997E-3</c:v>
                </c:pt>
                <c:pt idx="570">
                  <c:v>8.0099999999999998E-3</c:v>
                </c:pt>
                <c:pt idx="571">
                  <c:v>7.62E-3</c:v>
                </c:pt>
                <c:pt idx="572">
                  <c:v>7.3299999999999997E-3</c:v>
                </c:pt>
                <c:pt idx="573">
                  <c:v>7.2399999999999999E-3</c:v>
                </c:pt>
                <c:pt idx="574">
                  <c:v>7.11E-3</c:v>
                </c:pt>
                <c:pt idx="575">
                  <c:v>6.94E-3</c:v>
                </c:pt>
                <c:pt idx="576">
                  <c:v>6.9100000000000003E-3</c:v>
                </c:pt>
                <c:pt idx="577">
                  <c:v>6.9100000000000003E-3</c:v>
                </c:pt>
                <c:pt idx="578">
                  <c:v>7.0400000000000003E-3</c:v>
                </c:pt>
                <c:pt idx="579">
                  <c:v>6.6800000000000002E-3</c:v>
                </c:pt>
                <c:pt idx="580">
                  <c:v>7.6299999999999996E-3</c:v>
                </c:pt>
                <c:pt idx="581">
                  <c:v>8.0199999999999994E-3</c:v>
                </c:pt>
                <c:pt idx="582">
                  <c:v>8.2000000000000007E-3</c:v>
                </c:pt>
                <c:pt idx="583">
                  <c:v>8.5800000000000008E-3</c:v>
                </c:pt>
                <c:pt idx="584">
                  <c:v>8.5800000000000008E-3</c:v>
                </c:pt>
                <c:pt idx="585">
                  <c:v>8.4499999999999992E-3</c:v>
                </c:pt>
                <c:pt idx="586">
                  <c:v>8.3999999999999995E-3</c:v>
                </c:pt>
                <c:pt idx="587">
                  <c:v>8.3899999999999999E-3</c:v>
                </c:pt>
                <c:pt idx="588">
                  <c:v>8.5000000000000006E-3</c:v>
                </c:pt>
                <c:pt idx="589">
                  <c:v>8.6400000000000001E-3</c:v>
                </c:pt>
                <c:pt idx="590">
                  <c:v>8.1300000000000001E-3</c:v>
                </c:pt>
                <c:pt idx="591">
                  <c:v>7.9000000000000008E-3</c:v>
                </c:pt>
                <c:pt idx="592">
                  <c:v>7.77E-3</c:v>
                </c:pt>
                <c:pt idx="593">
                  <c:v>8.1799999999999998E-3</c:v>
                </c:pt>
                <c:pt idx="594">
                  <c:v>7.43E-3</c:v>
                </c:pt>
                <c:pt idx="595">
                  <c:v>6.9800000000000001E-3</c:v>
                </c:pt>
                <c:pt idx="596">
                  <c:v>7.9600000000000001E-3</c:v>
                </c:pt>
                <c:pt idx="597">
                  <c:v>8.2299999999999995E-3</c:v>
                </c:pt>
                <c:pt idx="598">
                  <c:v>7.77E-3</c:v>
                </c:pt>
                <c:pt idx="599">
                  <c:v>7.62E-3</c:v>
                </c:pt>
                <c:pt idx="600">
                  <c:v>7.62E-3</c:v>
                </c:pt>
                <c:pt idx="601">
                  <c:v>7.3499999999999998E-3</c:v>
                </c:pt>
                <c:pt idx="602">
                  <c:v>7.3699999999999998E-3</c:v>
                </c:pt>
                <c:pt idx="603">
                  <c:v>7.2700000000000004E-3</c:v>
                </c:pt>
                <c:pt idx="604">
                  <c:v>7.11E-3</c:v>
                </c:pt>
                <c:pt idx="605">
                  <c:v>7.0699999999999999E-3</c:v>
                </c:pt>
                <c:pt idx="606">
                  <c:v>6.9100000000000003E-3</c:v>
                </c:pt>
                <c:pt idx="607">
                  <c:v>7.0099999999999997E-3</c:v>
                </c:pt>
                <c:pt idx="608">
                  <c:v>6.77E-3</c:v>
                </c:pt>
                <c:pt idx="609">
                  <c:v>6.6E-3</c:v>
                </c:pt>
                <c:pt idx="610">
                  <c:v>6.8399999999999997E-3</c:v>
                </c:pt>
                <c:pt idx="611">
                  <c:v>6.94E-3</c:v>
                </c:pt>
                <c:pt idx="612">
                  <c:v>7.28E-3</c:v>
                </c:pt>
                <c:pt idx="613">
                  <c:v>6.62E-3</c:v>
                </c:pt>
                <c:pt idx="614">
                  <c:v>6.3200000000000001E-3</c:v>
                </c:pt>
                <c:pt idx="615">
                  <c:v>6.3200000000000001E-3</c:v>
                </c:pt>
                <c:pt idx="616">
                  <c:v>6.0699999999999999E-3</c:v>
                </c:pt>
                <c:pt idx="617">
                  <c:v>6.45E-3</c:v>
                </c:pt>
                <c:pt idx="618">
                  <c:v>7.1500000000000001E-3</c:v>
                </c:pt>
                <c:pt idx="619">
                  <c:v>7.1300000000000001E-3</c:v>
                </c:pt>
                <c:pt idx="620">
                  <c:v>5.9199999999999999E-3</c:v>
                </c:pt>
                <c:pt idx="621">
                  <c:v>5.7999999999999996E-3</c:v>
                </c:pt>
                <c:pt idx="622">
                  <c:v>5.5999999999999999E-3</c:v>
                </c:pt>
                <c:pt idx="623">
                  <c:v>5.8399999999999997E-3</c:v>
                </c:pt>
                <c:pt idx="624">
                  <c:v>5.6499999999999996E-3</c:v>
                </c:pt>
                <c:pt idx="625">
                  <c:v>5.2700000000000004E-3</c:v>
                </c:pt>
                <c:pt idx="626">
                  <c:v>5.0299999999999997E-3</c:v>
                </c:pt>
                <c:pt idx="627">
                  <c:v>5.0800000000000003E-3</c:v>
                </c:pt>
                <c:pt idx="628">
                  <c:v>6.0400000000000002E-3</c:v>
                </c:pt>
                <c:pt idx="629">
                  <c:v>5.3E-3</c:v>
                </c:pt>
                <c:pt idx="630">
                  <c:v>5.2199999999999998E-3</c:v>
                </c:pt>
                <c:pt idx="631">
                  <c:v>5.1999999999999998E-3</c:v>
                </c:pt>
                <c:pt idx="632">
                  <c:v>5.4999999999999997E-3</c:v>
                </c:pt>
                <c:pt idx="633">
                  <c:v>5.47E-3</c:v>
                </c:pt>
                <c:pt idx="634">
                  <c:v>5.4799999999999996E-3</c:v>
                </c:pt>
                <c:pt idx="635">
                  <c:v>5.7000000000000002E-3</c:v>
                </c:pt>
                <c:pt idx="636">
                  <c:v>5.62E-3</c:v>
                </c:pt>
                <c:pt idx="637">
                  <c:v>5.5900000000000004E-3</c:v>
                </c:pt>
                <c:pt idx="638">
                  <c:v>5.5799999999999999E-3</c:v>
                </c:pt>
                <c:pt idx="639">
                  <c:v>5.3099999999999996E-3</c:v>
                </c:pt>
                <c:pt idx="640">
                  <c:v>5.3099999999999996E-3</c:v>
                </c:pt>
                <c:pt idx="641">
                  <c:v>5.3200000000000001E-3</c:v>
                </c:pt>
                <c:pt idx="642">
                  <c:v>5.2900000000000004E-3</c:v>
                </c:pt>
                <c:pt idx="643">
                  <c:v>5.1700000000000001E-3</c:v>
                </c:pt>
                <c:pt idx="644">
                  <c:v>5.0899999999999999E-3</c:v>
                </c:pt>
                <c:pt idx="645">
                  <c:v>4.9500000000000004E-3</c:v>
                </c:pt>
                <c:pt idx="646">
                  <c:v>4.7699999999999999E-3</c:v>
                </c:pt>
                <c:pt idx="647">
                  <c:v>4.6800000000000001E-3</c:v>
                </c:pt>
                <c:pt idx="648">
                  <c:v>5.1399999999999996E-3</c:v>
                </c:pt>
                <c:pt idx="649">
                  <c:v>5.3699999999999998E-3</c:v>
                </c:pt>
                <c:pt idx="650">
                  <c:v>5.1200000000000004E-3</c:v>
                </c:pt>
                <c:pt idx="651">
                  <c:v>4.96E-3</c:v>
                </c:pt>
                <c:pt idx="652">
                  <c:v>4.8399999999999997E-3</c:v>
                </c:pt>
                <c:pt idx="653">
                  <c:v>5.2100000000000002E-3</c:v>
                </c:pt>
                <c:pt idx="654">
                  <c:v>5.3400000000000001E-3</c:v>
                </c:pt>
                <c:pt idx="655">
                  <c:v>6.0499999999999998E-3</c:v>
                </c:pt>
                <c:pt idx="656">
                  <c:v>4.4900000000000001E-3</c:v>
                </c:pt>
                <c:pt idx="657">
                  <c:v>4.5799999999999999E-3</c:v>
                </c:pt>
                <c:pt idx="658">
                  <c:v>4.9100000000000003E-3</c:v>
                </c:pt>
                <c:pt idx="659">
                  <c:v>4.8999999999999998E-3</c:v>
                </c:pt>
                <c:pt idx="660">
                  <c:v>4.7699999999999999E-3</c:v>
                </c:pt>
                <c:pt idx="661">
                  <c:v>4.9199999999999999E-3</c:v>
                </c:pt>
                <c:pt idx="662">
                  <c:v>4.5700000000000003E-3</c:v>
                </c:pt>
                <c:pt idx="663">
                  <c:v>4.6600000000000001E-3</c:v>
                </c:pt>
                <c:pt idx="664">
                  <c:v>4.6699999999999997E-3</c:v>
                </c:pt>
                <c:pt idx="665">
                  <c:v>4.6899999999999997E-3</c:v>
                </c:pt>
                <c:pt idx="666">
                  <c:v>4.6699999999999997E-3</c:v>
                </c:pt>
                <c:pt idx="667">
                  <c:v>4.4900000000000001E-3</c:v>
                </c:pt>
                <c:pt idx="668">
                  <c:v>4.47E-3</c:v>
                </c:pt>
                <c:pt idx="669">
                  <c:v>4.2100000000000002E-3</c:v>
                </c:pt>
                <c:pt idx="670">
                  <c:v>4.5999999999999999E-3</c:v>
                </c:pt>
                <c:pt idx="671">
                  <c:v>4.5399999999999998E-3</c:v>
                </c:pt>
                <c:pt idx="672">
                  <c:v>4.8399999999999997E-3</c:v>
                </c:pt>
                <c:pt idx="673">
                  <c:v>4.81E-3</c:v>
                </c:pt>
                <c:pt idx="674">
                  <c:v>4.7400000000000003E-3</c:v>
                </c:pt>
                <c:pt idx="675">
                  <c:v>4.47E-3</c:v>
                </c:pt>
                <c:pt idx="676">
                  <c:v>4.2900000000000004E-3</c:v>
                </c:pt>
                <c:pt idx="677">
                  <c:v>4.64E-3</c:v>
                </c:pt>
                <c:pt idx="678">
                  <c:v>4.3E-3</c:v>
                </c:pt>
                <c:pt idx="679">
                  <c:v>4.64E-3</c:v>
                </c:pt>
                <c:pt idx="680">
                  <c:v>4.1200000000000004E-3</c:v>
                </c:pt>
                <c:pt idx="681">
                  <c:v>3.8800000000000002E-3</c:v>
                </c:pt>
                <c:pt idx="682">
                  <c:v>3.63E-3</c:v>
                </c:pt>
                <c:pt idx="683">
                  <c:v>4.6100000000000004E-3</c:v>
                </c:pt>
                <c:pt idx="684">
                  <c:v>4.0000000000000001E-3</c:v>
                </c:pt>
                <c:pt idx="685">
                  <c:v>4.0000000000000001E-3</c:v>
                </c:pt>
                <c:pt idx="686">
                  <c:v>3.5000000000000001E-3</c:v>
                </c:pt>
                <c:pt idx="687">
                  <c:v>7.0899999999999999E-3</c:v>
                </c:pt>
                <c:pt idx="688">
                  <c:v>7.3699999999999998E-3</c:v>
                </c:pt>
                <c:pt idx="689">
                  <c:v>6.96E-3</c:v>
                </c:pt>
                <c:pt idx="690">
                  <c:v>7.1900000000000002E-3</c:v>
                </c:pt>
                <c:pt idx="691">
                  <c:v>8.43E-3</c:v>
                </c:pt>
                <c:pt idx="692">
                  <c:v>9.2399999999999999E-3</c:v>
                </c:pt>
                <c:pt idx="693">
                  <c:v>8.4200000000000004E-3</c:v>
                </c:pt>
                <c:pt idx="694">
                  <c:v>7.77E-3</c:v>
                </c:pt>
                <c:pt idx="695">
                  <c:v>7.4999999999999997E-3</c:v>
                </c:pt>
                <c:pt idx="696">
                  <c:v>7.4999999999999997E-3</c:v>
                </c:pt>
                <c:pt idx="697">
                  <c:v>7.0699999999999999E-3</c:v>
                </c:pt>
                <c:pt idx="698">
                  <c:v>7.0200000000000002E-3</c:v>
                </c:pt>
                <c:pt idx="699">
                  <c:v>7.43E-3</c:v>
                </c:pt>
                <c:pt idx="700">
                  <c:v>7.5199999999999998E-3</c:v>
                </c:pt>
                <c:pt idx="701">
                  <c:v>7.4599999999999996E-3</c:v>
                </c:pt>
                <c:pt idx="702">
                  <c:v>8.4499999999999992E-3</c:v>
                </c:pt>
                <c:pt idx="703">
                  <c:v>9.3900000000000008E-3</c:v>
                </c:pt>
                <c:pt idx="704">
                  <c:v>1.035E-2</c:v>
                </c:pt>
                <c:pt idx="705">
                  <c:v>1.035E-2</c:v>
                </c:pt>
                <c:pt idx="706">
                  <c:v>9.6200000000000001E-3</c:v>
                </c:pt>
                <c:pt idx="707">
                  <c:v>9.6200000000000001E-3</c:v>
                </c:pt>
                <c:pt idx="708">
                  <c:v>9.9000000000000008E-3</c:v>
                </c:pt>
                <c:pt idx="709">
                  <c:v>1.093E-2</c:v>
                </c:pt>
                <c:pt idx="710">
                  <c:v>1.022E-2</c:v>
                </c:pt>
                <c:pt idx="711">
                  <c:v>1.0919999999999999E-2</c:v>
                </c:pt>
                <c:pt idx="712">
                  <c:v>1.2160000000000001E-2</c:v>
                </c:pt>
                <c:pt idx="713">
                  <c:v>1.1509999999999999E-2</c:v>
                </c:pt>
                <c:pt idx="714">
                  <c:v>1.09E-2</c:v>
                </c:pt>
                <c:pt idx="715">
                  <c:v>1.1310000000000001E-2</c:v>
                </c:pt>
                <c:pt idx="716">
                  <c:v>9.75E-3</c:v>
                </c:pt>
                <c:pt idx="717">
                  <c:v>9.4000000000000004E-3</c:v>
                </c:pt>
                <c:pt idx="718">
                  <c:v>9.0200000000000002E-3</c:v>
                </c:pt>
                <c:pt idx="719">
                  <c:v>8.7899999999999992E-3</c:v>
                </c:pt>
                <c:pt idx="720">
                  <c:v>9.2999999999999992E-3</c:v>
                </c:pt>
                <c:pt idx="721">
                  <c:v>9.0299999999999998E-3</c:v>
                </c:pt>
                <c:pt idx="722">
                  <c:v>8.8299999999999993E-3</c:v>
                </c:pt>
                <c:pt idx="723">
                  <c:v>8.3700000000000007E-3</c:v>
                </c:pt>
                <c:pt idx="724">
                  <c:v>7.7400000000000004E-3</c:v>
                </c:pt>
                <c:pt idx="725">
                  <c:v>7.8100000000000001E-3</c:v>
                </c:pt>
                <c:pt idx="726">
                  <c:v>7.5100000000000002E-3</c:v>
                </c:pt>
                <c:pt idx="727">
                  <c:v>7.1000000000000004E-3</c:v>
                </c:pt>
                <c:pt idx="728">
                  <c:v>7.1900000000000002E-3</c:v>
                </c:pt>
                <c:pt idx="729">
                  <c:v>7.0200000000000002E-3</c:v>
                </c:pt>
                <c:pt idx="730">
                  <c:v>6.96E-3</c:v>
                </c:pt>
                <c:pt idx="731">
                  <c:v>7.2100000000000003E-3</c:v>
                </c:pt>
                <c:pt idx="732">
                  <c:v>7.1300000000000001E-3</c:v>
                </c:pt>
                <c:pt idx="733">
                  <c:v>7.0200000000000002E-3</c:v>
                </c:pt>
                <c:pt idx="734">
                  <c:v>7.1599999999999997E-3</c:v>
                </c:pt>
                <c:pt idx="735">
                  <c:v>6.9499999999999996E-3</c:v>
                </c:pt>
                <c:pt idx="736">
                  <c:v>7.3499999999999998E-3</c:v>
                </c:pt>
                <c:pt idx="737">
                  <c:v>7.3499999999999998E-3</c:v>
                </c:pt>
                <c:pt idx="738">
                  <c:v>7.3000000000000001E-3</c:v>
                </c:pt>
                <c:pt idx="739">
                  <c:v>7.5900000000000004E-3</c:v>
                </c:pt>
                <c:pt idx="740">
                  <c:v>7.8399999999999997E-3</c:v>
                </c:pt>
                <c:pt idx="741">
                  <c:v>7.6600000000000001E-3</c:v>
                </c:pt>
                <c:pt idx="742">
                  <c:v>7.5500000000000003E-3</c:v>
                </c:pt>
                <c:pt idx="743">
                  <c:v>7.7200000000000003E-3</c:v>
                </c:pt>
                <c:pt idx="744">
                  <c:v>7.6299999999999996E-3</c:v>
                </c:pt>
                <c:pt idx="745">
                  <c:v>7.8499999999999993E-3</c:v>
                </c:pt>
                <c:pt idx="746">
                  <c:v>8.4499999999999992E-3</c:v>
                </c:pt>
                <c:pt idx="747">
                  <c:v>8.2500000000000004E-3</c:v>
                </c:pt>
                <c:pt idx="748">
                  <c:v>8.3599999999999994E-3</c:v>
                </c:pt>
                <c:pt idx="749">
                  <c:v>8.2799999999999992E-3</c:v>
                </c:pt>
                <c:pt idx="750">
                  <c:v>8.6099999999999996E-3</c:v>
                </c:pt>
                <c:pt idx="751">
                  <c:v>8.7399999999999995E-3</c:v>
                </c:pt>
                <c:pt idx="752">
                  <c:v>9.1699999999999993E-3</c:v>
                </c:pt>
                <c:pt idx="753">
                  <c:v>8.8800000000000007E-3</c:v>
                </c:pt>
                <c:pt idx="754">
                  <c:v>8.94E-3</c:v>
                </c:pt>
                <c:pt idx="755">
                  <c:v>9.0399999999999994E-3</c:v>
                </c:pt>
                <c:pt idx="756">
                  <c:v>8.7299999999999999E-3</c:v>
                </c:pt>
                <c:pt idx="757">
                  <c:v>8.8599999999999998E-3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5A-413B-BAE5-80C9CE2212B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-198.22961809236764</c:v>
                </c:pt>
                <c:pt idx="1">
                  <c:v>-198.20756461940218</c:v>
                </c:pt>
                <c:pt idx="2">
                  <c:v>-197.97160970750636</c:v>
                </c:pt>
                <c:pt idx="3">
                  <c:v>-197.90913082516462</c:v>
                </c:pt>
                <c:pt idx="4">
                  <c:v>-198.0267023502889</c:v>
                </c:pt>
                <c:pt idx="5">
                  <c:v>-198.00766309432061</c:v>
                </c:pt>
                <c:pt idx="6">
                  <c:v>-197.64510434303875</c:v>
                </c:pt>
                <c:pt idx="7">
                  <c:v>-196.97797365200751</c:v>
                </c:pt>
                <c:pt idx="8">
                  <c:v>-196.73606459800479</c:v>
                </c:pt>
                <c:pt idx="9">
                  <c:v>-196.59224235656592</c:v>
                </c:pt>
                <c:pt idx="10">
                  <c:v>-196.55121904770607</c:v>
                </c:pt>
                <c:pt idx="11">
                  <c:v>-196.42028005692754</c:v>
                </c:pt>
                <c:pt idx="12">
                  <c:v>-196.31628108270027</c:v>
                </c:pt>
                <c:pt idx="13">
                  <c:v>-196.29796418289507</c:v>
                </c:pt>
                <c:pt idx="14">
                  <c:v>-196.51572394909917</c:v>
                </c:pt>
                <c:pt idx="15">
                  <c:v>-196.1497701345109</c:v>
                </c:pt>
                <c:pt idx="16">
                  <c:v>-196.32144371185638</c:v>
                </c:pt>
                <c:pt idx="17">
                  <c:v>-196.41308833964408</c:v>
                </c:pt>
                <c:pt idx="18">
                  <c:v>-196.26018973963326</c:v>
                </c:pt>
                <c:pt idx="19">
                  <c:v>-196.13594264543082</c:v>
                </c:pt>
                <c:pt idx="20">
                  <c:v>-195.51964388430707</c:v>
                </c:pt>
                <c:pt idx="21">
                  <c:v>-194.97883724810401</c:v>
                </c:pt>
                <c:pt idx="22">
                  <c:v>-195.16132196580426</c:v>
                </c:pt>
                <c:pt idx="23">
                  <c:v>-194.48139453657615</c:v>
                </c:pt>
                <c:pt idx="24">
                  <c:v>-194.26979655200162</c:v>
                </c:pt>
                <c:pt idx="25">
                  <c:v>-193.61787292234663</c:v>
                </c:pt>
                <c:pt idx="26">
                  <c:v>-193.58740734359978</c:v>
                </c:pt>
                <c:pt idx="27">
                  <c:v>-193.71659983215</c:v>
                </c:pt>
                <c:pt idx="28">
                  <c:v>-193.42214660597537</c:v>
                </c:pt>
                <c:pt idx="29">
                  <c:v>-192.90893883955627</c:v>
                </c:pt>
                <c:pt idx="30">
                  <c:v>-192.5391188067112</c:v>
                </c:pt>
                <c:pt idx="31">
                  <c:v>-191.55762797005553</c:v>
                </c:pt>
                <c:pt idx="32">
                  <c:v>-189.40691994240748</c:v>
                </c:pt>
                <c:pt idx="33">
                  <c:v>-189.46680449112881</c:v>
                </c:pt>
                <c:pt idx="34">
                  <c:v>-189.36801850864708</c:v>
                </c:pt>
                <c:pt idx="35">
                  <c:v>-188.58125633140492</c:v>
                </c:pt>
                <c:pt idx="36">
                  <c:v>-189.11846099089948</c:v>
                </c:pt>
                <c:pt idx="37">
                  <c:v>-188.67841197330125</c:v>
                </c:pt>
                <c:pt idx="38">
                  <c:v>-188.65207358765008</c:v>
                </c:pt>
                <c:pt idx="39">
                  <c:v>-188.55041207646823</c:v>
                </c:pt>
                <c:pt idx="40">
                  <c:v>-187.36335181428416</c:v>
                </c:pt>
                <c:pt idx="41">
                  <c:v>-186.39535946616309</c:v>
                </c:pt>
                <c:pt idx="42">
                  <c:v>-184.83666881997135</c:v>
                </c:pt>
                <c:pt idx="43">
                  <c:v>-185.19275462292296</c:v>
                </c:pt>
                <c:pt idx="44">
                  <c:v>-185.54580529057284</c:v>
                </c:pt>
                <c:pt idx="45">
                  <c:v>-185.40107564973076</c:v>
                </c:pt>
                <c:pt idx="46">
                  <c:v>-184.55261850958303</c:v>
                </c:pt>
                <c:pt idx="47">
                  <c:v>-184.30589611737082</c:v>
                </c:pt>
                <c:pt idx="48">
                  <c:v>-184.34059543132602</c:v>
                </c:pt>
                <c:pt idx="49">
                  <c:v>-182.85700115914511</c:v>
                </c:pt>
                <c:pt idx="50">
                  <c:v>-181.25993667830028</c:v>
                </c:pt>
                <c:pt idx="51">
                  <c:v>-181.34804643131983</c:v>
                </c:pt>
                <c:pt idx="52">
                  <c:v>-179.607738103175</c:v>
                </c:pt>
                <c:pt idx="53">
                  <c:v>-180.17520367616765</c:v>
                </c:pt>
                <c:pt idx="54">
                  <c:v>-176.85384835430546</c:v>
                </c:pt>
                <c:pt idx="55">
                  <c:v>-168.46696689912227</c:v>
                </c:pt>
                <c:pt idx="56">
                  <c:v>-150.89470915271642</c:v>
                </c:pt>
                <c:pt idx="57">
                  <c:v>-151.09790178355152</c:v>
                </c:pt>
                <c:pt idx="58">
                  <c:v>-151.22421417664455</c:v>
                </c:pt>
                <c:pt idx="59">
                  <c:v>-150.72564198236839</c:v>
                </c:pt>
                <c:pt idx="60">
                  <c:v>-149.75801311351123</c:v>
                </c:pt>
                <c:pt idx="61">
                  <c:v>-149.52140037090319</c:v>
                </c:pt>
                <c:pt idx="62">
                  <c:v>-148.73834401713114</c:v>
                </c:pt>
                <c:pt idx="63">
                  <c:v>-147.69536976833507</c:v>
                </c:pt>
                <c:pt idx="64">
                  <c:v>-146.06192175913637</c:v>
                </c:pt>
                <c:pt idx="65">
                  <c:v>-146.51898220164284</c:v>
                </c:pt>
                <c:pt idx="66">
                  <c:v>-145.4225391060908</c:v>
                </c:pt>
                <c:pt idx="67">
                  <c:v>-140.3254624864235</c:v>
                </c:pt>
                <c:pt idx="68">
                  <c:v>-109.12443139212805</c:v>
                </c:pt>
                <c:pt idx="69">
                  <c:v>-112.1756853279124</c:v>
                </c:pt>
                <c:pt idx="70">
                  <c:v>-112.57943309547868</c:v>
                </c:pt>
                <c:pt idx="71">
                  <c:v>-112.09062068373341</c:v>
                </c:pt>
                <c:pt idx="72">
                  <c:v>-112.13245313905735</c:v>
                </c:pt>
                <c:pt idx="73">
                  <c:v>-111.62704385157959</c:v>
                </c:pt>
                <c:pt idx="74">
                  <c:v>-111.59343132190644</c:v>
                </c:pt>
                <c:pt idx="75">
                  <c:v>-111.99378810847557</c:v>
                </c:pt>
                <c:pt idx="76">
                  <c:v>-111.85041340798668</c:v>
                </c:pt>
                <c:pt idx="77">
                  <c:v>-112.27110449340725</c:v>
                </c:pt>
                <c:pt idx="78">
                  <c:v>-112.14001939270302</c:v>
                </c:pt>
                <c:pt idx="79">
                  <c:v>-111.38960004083</c:v>
                </c:pt>
                <c:pt idx="80">
                  <c:v>-110.79118485050165</c:v>
                </c:pt>
                <c:pt idx="81">
                  <c:v>-110.65023122351005</c:v>
                </c:pt>
                <c:pt idx="82">
                  <c:v>-110.92146755765711</c:v>
                </c:pt>
                <c:pt idx="83">
                  <c:v>-111.15590688743771</c:v>
                </c:pt>
                <c:pt idx="84">
                  <c:v>-110.88629984883477</c:v>
                </c:pt>
                <c:pt idx="85">
                  <c:v>-110.7234973755437</c:v>
                </c:pt>
                <c:pt idx="86">
                  <c:v>-110.4808114950352</c:v>
                </c:pt>
                <c:pt idx="87">
                  <c:v>-109.86022595093922</c:v>
                </c:pt>
                <c:pt idx="88">
                  <c:v>-109.01372728769289</c:v>
                </c:pt>
                <c:pt idx="89">
                  <c:v>-106.71663488912073</c:v>
                </c:pt>
                <c:pt idx="90">
                  <c:v>-102.81544982749324</c:v>
                </c:pt>
                <c:pt idx="91">
                  <c:v>-100.77473262337897</c:v>
                </c:pt>
                <c:pt idx="92">
                  <c:v>-98.159168110050629</c:v>
                </c:pt>
                <c:pt idx="93">
                  <c:v>-97.312011436772394</c:v>
                </c:pt>
                <c:pt idx="94">
                  <c:v>-96.358471358028126</c:v>
                </c:pt>
                <c:pt idx="95">
                  <c:v>-96.486418008898724</c:v>
                </c:pt>
                <c:pt idx="96">
                  <c:v>-96.289183661290025</c:v>
                </c:pt>
                <c:pt idx="97">
                  <c:v>-96.436822049029146</c:v>
                </c:pt>
                <c:pt idx="98">
                  <c:v>-96.233410693461565</c:v>
                </c:pt>
                <c:pt idx="99">
                  <c:v>-95.714633356681958</c:v>
                </c:pt>
                <c:pt idx="100">
                  <c:v>-95.380850743744958</c:v>
                </c:pt>
                <c:pt idx="101">
                  <c:v>-95.185220329744979</c:v>
                </c:pt>
                <c:pt idx="102">
                  <c:v>-94.569051148631232</c:v>
                </c:pt>
                <c:pt idx="103">
                  <c:v>-93.348773129777413</c:v>
                </c:pt>
                <c:pt idx="104">
                  <c:v>-92.999244177382678</c:v>
                </c:pt>
                <c:pt idx="105">
                  <c:v>-92.768633064435321</c:v>
                </c:pt>
                <c:pt idx="106">
                  <c:v>-91.929741783620543</c:v>
                </c:pt>
                <c:pt idx="107">
                  <c:v>-92.151270288145554</c:v>
                </c:pt>
                <c:pt idx="108">
                  <c:v>-92.154899761868677</c:v>
                </c:pt>
                <c:pt idx="109">
                  <c:v>-91.96694502683917</c:v>
                </c:pt>
                <c:pt idx="110">
                  <c:v>-91.622424214685054</c:v>
                </c:pt>
                <c:pt idx="111">
                  <c:v>-91.204163992204741</c:v>
                </c:pt>
                <c:pt idx="112">
                  <c:v>-91.699339102713211</c:v>
                </c:pt>
                <c:pt idx="113">
                  <c:v>-90.830269430256479</c:v>
                </c:pt>
                <c:pt idx="114">
                  <c:v>-90.278117439693389</c:v>
                </c:pt>
                <c:pt idx="115">
                  <c:v>-90.443336293067716</c:v>
                </c:pt>
                <c:pt idx="116">
                  <c:v>-90.591786410923646</c:v>
                </c:pt>
                <c:pt idx="117">
                  <c:v>-90.250034293526326</c:v>
                </c:pt>
                <c:pt idx="118">
                  <c:v>-90.970232660859665</c:v>
                </c:pt>
                <c:pt idx="119">
                  <c:v>-91.746257040928143</c:v>
                </c:pt>
                <c:pt idx="120">
                  <c:v>-91.84322254751639</c:v>
                </c:pt>
                <c:pt idx="121">
                  <c:v>-91.552948204882853</c:v>
                </c:pt>
                <c:pt idx="122">
                  <c:v>-90.811345885294116</c:v>
                </c:pt>
                <c:pt idx="123">
                  <c:v>-89.636728201385523</c:v>
                </c:pt>
                <c:pt idx="124">
                  <c:v>-89.56614463704129</c:v>
                </c:pt>
                <c:pt idx="125">
                  <c:v>-89.321519535231772</c:v>
                </c:pt>
                <c:pt idx="126">
                  <c:v>-89.161514221203859</c:v>
                </c:pt>
                <c:pt idx="127">
                  <c:v>-89.231888955874595</c:v>
                </c:pt>
                <c:pt idx="128">
                  <c:v>-89.741218228626252</c:v>
                </c:pt>
                <c:pt idx="129">
                  <c:v>-89.297500751953677</c:v>
                </c:pt>
                <c:pt idx="130">
                  <c:v>-88.861090207650719</c:v>
                </c:pt>
                <c:pt idx="131">
                  <c:v>-88.434994425933027</c:v>
                </c:pt>
                <c:pt idx="132">
                  <c:v>-87.633597743297642</c:v>
                </c:pt>
                <c:pt idx="133">
                  <c:v>-87.365653437510389</c:v>
                </c:pt>
                <c:pt idx="134">
                  <c:v>-87.091288558989731</c:v>
                </c:pt>
                <c:pt idx="135">
                  <c:v>-87.314019695555345</c:v>
                </c:pt>
                <c:pt idx="136">
                  <c:v>-87.603853135241337</c:v>
                </c:pt>
                <c:pt idx="137">
                  <c:v>-87.399097983357848</c:v>
                </c:pt>
                <c:pt idx="138">
                  <c:v>-87.513797528240389</c:v>
                </c:pt>
                <c:pt idx="139">
                  <c:v>-87.221306471342956</c:v>
                </c:pt>
                <c:pt idx="140">
                  <c:v>-86.719072256871101</c:v>
                </c:pt>
                <c:pt idx="141">
                  <c:v>-86.310228042413272</c:v>
                </c:pt>
                <c:pt idx="142">
                  <c:v>-86.557202984539103</c:v>
                </c:pt>
                <c:pt idx="143">
                  <c:v>-85.900016504950941</c:v>
                </c:pt>
                <c:pt idx="144">
                  <c:v>-86.400030649429056</c:v>
                </c:pt>
                <c:pt idx="145">
                  <c:v>-86.136719002434788</c:v>
                </c:pt>
                <c:pt idx="146">
                  <c:v>-85.914372431350046</c:v>
                </c:pt>
                <c:pt idx="147">
                  <c:v>-85.730573637371549</c:v>
                </c:pt>
                <c:pt idx="148">
                  <c:v>-86.129862755111276</c:v>
                </c:pt>
                <c:pt idx="149">
                  <c:v>-86.518639293837722</c:v>
                </c:pt>
                <c:pt idx="150">
                  <c:v>-86.288211272051342</c:v>
                </c:pt>
                <c:pt idx="151">
                  <c:v>-85.824231304250787</c:v>
                </c:pt>
                <c:pt idx="152">
                  <c:v>-86.064219241016417</c:v>
                </c:pt>
                <c:pt idx="153">
                  <c:v>-85.6854537853241</c:v>
                </c:pt>
                <c:pt idx="154">
                  <c:v>-85.892241935665524</c:v>
                </c:pt>
                <c:pt idx="155">
                  <c:v>-85.290127392128625</c:v>
                </c:pt>
                <c:pt idx="156">
                  <c:v>-84.982253851933493</c:v>
                </c:pt>
                <c:pt idx="157">
                  <c:v>-86.391693543202052</c:v>
                </c:pt>
                <c:pt idx="158">
                  <c:v>-86.957903977545612</c:v>
                </c:pt>
                <c:pt idx="159">
                  <c:v>-87.015158246702924</c:v>
                </c:pt>
                <c:pt idx="160">
                  <c:v>-86.243156725745635</c:v>
                </c:pt>
                <c:pt idx="161">
                  <c:v>-86.243156725745635</c:v>
                </c:pt>
                <c:pt idx="162">
                  <c:v>-86.666833654411747</c:v>
                </c:pt>
                <c:pt idx="163">
                  <c:v>-86.341925556143806</c:v>
                </c:pt>
                <c:pt idx="164">
                  <c:v>-85.719099185570627</c:v>
                </c:pt>
                <c:pt idx="165">
                  <c:v>-84.706632349347061</c:v>
                </c:pt>
                <c:pt idx="166">
                  <c:v>-84.773235166793768</c:v>
                </c:pt>
                <c:pt idx="167">
                  <c:v>-83.049159509043761</c:v>
                </c:pt>
                <c:pt idx="168">
                  <c:v>-85.863189374532922</c:v>
                </c:pt>
                <c:pt idx="169">
                  <c:v>-85.541562827346027</c:v>
                </c:pt>
                <c:pt idx="170">
                  <c:v>-84.815881048680907</c:v>
                </c:pt>
                <c:pt idx="171">
                  <c:v>-85.815870628007005</c:v>
                </c:pt>
                <c:pt idx="172">
                  <c:v>-86.360998996424385</c:v>
                </c:pt>
                <c:pt idx="173">
                  <c:v>-84.709574130142343</c:v>
                </c:pt>
                <c:pt idx="174">
                  <c:v>-84.607408170204067</c:v>
                </c:pt>
                <c:pt idx="175">
                  <c:v>-84.974513168138628</c:v>
                </c:pt>
                <c:pt idx="176">
                  <c:v>-85.324679084325908</c:v>
                </c:pt>
                <c:pt idx="177">
                  <c:v>-85.440761382562471</c:v>
                </c:pt>
                <c:pt idx="178">
                  <c:v>-84.962812180493501</c:v>
                </c:pt>
                <c:pt idx="179">
                  <c:v>-84.996603611014223</c:v>
                </c:pt>
                <c:pt idx="180">
                  <c:v>-84.48577381608186</c:v>
                </c:pt>
                <c:pt idx="181">
                  <c:v>-84.641231545585853</c:v>
                </c:pt>
                <c:pt idx="182">
                  <c:v>-85.023567451945851</c:v>
                </c:pt>
                <c:pt idx="183">
                  <c:v>-85.220282042534095</c:v>
                </c:pt>
                <c:pt idx="184">
                  <c:v>-84.968289500259019</c:v>
                </c:pt>
                <c:pt idx="185">
                  <c:v>-85.295650200271879</c:v>
                </c:pt>
                <c:pt idx="186">
                  <c:v>-84.111742900716337</c:v>
                </c:pt>
                <c:pt idx="187">
                  <c:v>-84.40429737348461</c:v>
                </c:pt>
                <c:pt idx="188">
                  <c:v>-84.365967322406178</c:v>
                </c:pt>
                <c:pt idx="189">
                  <c:v>-84.883919885672867</c:v>
                </c:pt>
                <c:pt idx="190">
                  <c:v>-85.301303330488807</c:v>
                </c:pt>
                <c:pt idx="191">
                  <c:v>-85.349779678478257</c:v>
                </c:pt>
                <c:pt idx="192">
                  <c:v>-85.282957889944129</c:v>
                </c:pt>
                <c:pt idx="193">
                  <c:v>-84.927588109010401</c:v>
                </c:pt>
                <c:pt idx="194">
                  <c:v>-84.648853555939525</c:v>
                </c:pt>
                <c:pt idx="195">
                  <c:v>-84.614222407811567</c:v>
                </c:pt>
                <c:pt idx="196">
                  <c:v>-84.141488993391818</c:v>
                </c:pt>
                <c:pt idx="197">
                  <c:v>-83.569011777289262</c:v>
                </c:pt>
                <c:pt idx="198">
                  <c:v>-83.714251402384235</c:v>
                </c:pt>
                <c:pt idx="199">
                  <c:v>-83.990257159336025</c:v>
                </c:pt>
                <c:pt idx="200">
                  <c:v>-82.946371221001257</c:v>
                </c:pt>
                <c:pt idx="201">
                  <c:v>-81.863760174203222</c:v>
                </c:pt>
                <c:pt idx="202">
                  <c:v>-81.871558363298121</c:v>
                </c:pt>
                <c:pt idx="203">
                  <c:v>-82.241087045254275</c:v>
                </c:pt>
                <c:pt idx="204">
                  <c:v>-81.461120620995843</c:v>
                </c:pt>
                <c:pt idx="205">
                  <c:v>-81.088170187904936</c:v>
                </c:pt>
                <c:pt idx="206">
                  <c:v>-81.215901013670702</c:v>
                </c:pt>
                <c:pt idx="207">
                  <c:v>-80.822332312562267</c:v>
                </c:pt>
                <c:pt idx="208">
                  <c:v>-81.025808831880255</c:v>
                </c:pt>
                <c:pt idx="209">
                  <c:v>-80.841960161023124</c:v>
                </c:pt>
                <c:pt idx="210">
                  <c:v>-81.533719125381353</c:v>
                </c:pt>
                <c:pt idx="211">
                  <c:v>-81.285160376530143</c:v>
                </c:pt>
                <c:pt idx="212">
                  <c:v>-81.452636157819668</c:v>
                </c:pt>
                <c:pt idx="213">
                  <c:v>-81.119406981155223</c:v>
                </c:pt>
                <c:pt idx="214">
                  <c:v>-80.796185816910324</c:v>
                </c:pt>
                <c:pt idx="215">
                  <c:v>-81.435143111910321</c:v>
                </c:pt>
                <c:pt idx="216">
                  <c:v>-81.769659566111855</c:v>
                </c:pt>
                <c:pt idx="217">
                  <c:v>-80.006901613622375</c:v>
                </c:pt>
                <c:pt idx="218">
                  <c:v>-79.999216104938384</c:v>
                </c:pt>
                <c:pt idx="219">
                  <c:v>-80.503246481469503</c:v>
                </c:pt>
                <c:pt idx="220">
                  <c:v>-80.13136011556854</c:v>
                </c:pt>
                <c:pt idx="221">
                  <c:v>-78.357337028015053</c:v>
                </c:pt>
                <c:pt idx="222">
                  <c:v>-78.307229803165995</c:v>
                </c:pt>
                <c:pt idx="223">
                  <c:v>-76.995554469636019</c:v>
                </c:pt>
                <c:pt idx="224">
                  <c:v>-75.454967180557148</c:v>
                </c:pt>
                <c:pt idx="225">
                  <c:v>-74.133649390313522</c:v>
                </c:pt>
                <c:pt idx="226">
                  <c:v>-70.974815550324934</c:v>
                </c:pt>
                <c:pt idx="227">
                  <c:v>-68.4053062214292</c:v>
                </c:pt>
                <c:pt idx="228">
                  <c:v>-65.141834956906848</c:v>
                </c:pt>
                <c:pt idx="229">
                  <c:v>-66.575180161307273</c:v>
                </c:pt>
                <c:pt idx="230">
                  <c:v>-65.10827585271835</c:v>
                </c:pt>
                <c:pt idx="231">
                  <c:v>-60.084654407524404</c:v>
                </c:pt>
                <c:pt idx="232">
                  <c:v>-59.447808533774406</c:v>
                </c:pt>
                <c:pt idx="233">
                  <c:v>-52.869359174695624</c:v>
                </c:pt>
                <c:pt idx="234">
                  <c:v>-60.478638035860087</c:v>
                </c:pt>
                <c:pt idx="235">
                  <c:v>-60.03566207755371</c:v>
                </c:pt>
                <c:pt idx="236">
                  <c:v>-58.491969910280126</c:v>
                </c:pt>
                <c:pt idx="237">
                  <c:v>-58.273191909731842</c:v>
                </c:pt>
                <c:pt idx="238">
                  <c:v>-58.127040255445372</c:v>
                </c:pt>
                <c:pt idx="239">
                  <c:v>-58.442476988234432</c:v>
                </c:pt>
                <c:pt idx="240">
                  <c:v>-58.609287480619052</c:v>
                </c:pt>
                <c:pt idx="241">
                  <c:v>-58.05858933769597</c:v>
                </c:pt>
                <c:pt idx="242">
                  <c:v>-58.546276144055646</c:v>
                </c:pt>
                <c:pt idx="243">
                  <c:v>-58.143289682277874</c:v>
                </c:pt>
                <c:pt idx="244">
                  <c:v>-58.287879183514235</c:v>
                </c:pt>
                <c:pt idx="245">
                  <c:v>-57.971652829086402</c:v>
                </c:pt>
                <c:pt idx="246">
                  <c:v>-58.087473820946052</c:v>
                </c:pt>
                <c:pt idx="247">
                  <c:v>-59.763459915606958</c:v>
                </c:pt>
                <c:pt idx="248">
                  <c:v>-60.345470664104411</c:v>
                </c:pt>
                <c:pt idx="249">
                  <c:v>-61.349670592517235</c:v>
                </c:pt>
                <c:pt idx="250">
                  <c:v>-61.5363818227069</c:v>
                </c:pt>
                <c:pt idx="251">
                  <c:v>-61.039336280986049</c:v>
                </c:pt>
                <c:pt idx="252">
                  <c:v>-60.75197284788473</c:v>
                </c:pt>
                <c:pt idx="253">
                  <c:v>-61.226928832366148</c:v>
                </c:pt>
                <c:pt idx="254">
                  <c:v>-60.217082799614118</c:v>
                </c:pt>
                <c:pt idx="255">
                  <c:v>-59.928013842924464</c:v>
                </c:pt>
                <c:pt idx="256">
                  <c:v>-58.894209066253801</c:v>
                </c:pt>
                <c:pt idx="257">
                  <c:v>-56.637867436054137</c:v>
                </c:pt>
                <c:pt idx="258">
                  <c:v>-56.273878139007692</c:v>
                </c:pt>
                <c:pt idx="259">
                  <c:v>-56.283599795212311</c:v>
                </c:pt>
                <c:pt idx="260">
                  <c:v>-56.274492364384429</c:v>
                </c:pt>
                <c:pt idx="261">
                  <c:v>-55.691488483951531</c:v>
                </c:pt>
                <c:pt idx="262">
                  <c:v>-56.258215072578054</c:v>
                </c:pt>
                <c:pt idx="263">
                  <c:v>-55.660428323778049</c:v>
                </c:pt>
                <c:pt idx="264">
                  <c:v>-55.51594858194543</c:v>
                </c:pt>
                <c:pt idx="265">
                  <c:v>-55.630669268232552</c:v>
                </c:pt>
                <c:pt idx="266">
                  <c:v>-54.779774983467185</c:v>
                </c:pt>
                <c:pt idx="267">
                  <c:v>-54.335674587207123</c:v>
                </c:pt>
                <c:pt idx="268">
                  <c:v>-54.412350278135705</c:v>
                </c:pt>
                <c:pt idx="269">
                  <c:v>-53.117662724250543</c:v>
                </c:pt>
                <c:pt idx="270">
                  <c:v>-51.698301663107785</c:v>
                </c:pt>
                <c:pt idx="271">
                  <c:v>-51.416900711657398</c:v>
                </c:pt>
                <c:pt idx="272">
                  <c:v>-51.047945344028371</c:v>
                </c:pt>
                <c:pt idx="273">
                  <c:v>-51.249567948390073</c:v>
                </c:pt>
                <c:pt idx="274">
                  <c:v>-51.652250532935533</c:v>
                </c:pt>
                <c:pt idx="275">
                  <c:v>-52.696807559066698</c:v>
                </c:pt>
                <c:pt idx="276">
                  <c:v>-53.850097984709379</c:v>
                </c:pt>
                <c:pt idx="277">
                  <c:v>-55.484140970817187</c:v>
                </c:pt>
                <c:pt idx="278">
                  <c:v>-54.929345561611079</c:v>
                </c:pt>
                <c:pt idx="279">
                  <c:v>-53.478577235146915</c:v>
                </c:pt>
                <c:pt idx="280">
                  <c:v>-53.952254069312929</c:v>
                </c:pt>
                <c:pt idx="281">
                  <c:v>-46.885705439154037</c:v>
                </c:pt>
                <c:pt idx="282">
                  <c:v>-46.17472149876815</c:v>
                </c:pt>
                <c:pt idx="283">
                  <c:v>-46.33888136121837</c:v>
                </c:pt>
                <c:pt idx="284">
                  <c:v>-45.223248296956669</c:v>
                </c:pt>
                <c:pt idx="285">
                  <c:v>-44.882265361216064</c:v>
                </c:pt>
                <c:pt idx="286">
                  <c:v>-44.583284679909944</c:v>
                </c:pt>
                <c:pt idx="287">
                  <c:v>-44.172305952430264</c:v>
                </c:pt>
                <c:pt idx="288">
                  <c:v>-44.038632846309945</c:v>
                </c:pt>
                <c:pt idx="289">
                  <c:v>-44.019119341329741</c:v>
                </c:pt>
                <c:pt idx="290">
                  <c:v>-44.093962233056622</c:v>
                </c:pt>
                <c:pt idx="291">
                  <c:v>-42.807971442775404</c:v>
                </c:pt>
                <c:pt idx="292">
                  <c:v>-47.137641430190698</c:v>
                </c:pt>
                <c:pt idx="293">
                  <c:v>-46.427488745768542</c:v>
                </c:pt>
                <c:pt idx="294">
                  <c:v>-45.156253876888847</c:v>
                </c:pt>
                <c:pt idx="295">
                  <c:v>-49.056170299002908</c:v>
                </c:pt>
                <c:pt idx="296">
                  <c:v>-47.42920179414596</c:v>
                </c:pt>
                <c:pt idx="297">
                  <c:v>-37.300407083639946</c:v>
                </c:pt>
                <c:pt idx="298">
                  <c:v>-44.566210630605639</c:v>
                </c:pt>
                <c:pt idx="299">
                  <c:v>-44.205445630655035</c:v>
                </c:pt>
                <c:pt idx="300">
                  <c:v>-42.700531227392773</c:v>
                </c:pt>
                <c:pt idx="301">
                  <c:v>-40.547762364962594</c:v>
                </c:pt>
                <c:pt idx="302">
                  <c:v>-36.502007590765629</c:v>
                </c:pt>
                <c:pt idx="303">
                  <c:v>-30.816268464646228</c:v>
                </c:pt>
                <c:pt idx="304">
                  <c:v>-33.427740929969417</c:v>
                </c:pt>
                <c:pt idx="305">
                  <c:v>-33.540524249756658</c:v>
                </c:pt>
                <c:pt idx="306">
                  <c:v>-33.999233582077601</c:v>
                </c:pt>
                <c:pt idx="307">
                  <c:v>-33.953010997969066</c:v>
                </c:pt>
                <c:pt idx="308">
                  <c:v>-34.34670175629455</c:v>
                </c:pt>
                <c:pt idx="309">
                  <c:v>-33.755053927961221</c:v>
                </c:pt>
                <c:pt idx="310">
                  <c:v>-32.943927180378864</c:v>
                </c:pt>
                <c:pt idx="311">
                  <c:v>-32.692119272045531</c:v>
                </c:pt>
                <c:pt idx="312">
                  <c:v>-32.099308863358033</c:v>
                </c:pt>
                <c:pt idx="313">
                  <c:v>-31.989862504556253</c:v>
                </c:pt>
                <c:pt idx="314">
                  <c:v>-30.51794190283675</c:v>
                </c:pt>
                <c:pt idx="315">
                  <c:v>-31.161644768593021</c:v>
                </c:pt>
                <c:pt idx="316">
                  <c:v>-30.307457140568452</c:v>
                </c:pt>
                <c:pt idx="317">
                  <c:v>-30.679763482673717</c:v>
                </c:pt>
                <c:pt idx="318">
                  <c:v>-31.003807610073721</c:v>
                </c:pt>
                <c:pt idx="319">
                  <c:v>-31.832623519447644</c:v>
                </c:pt>
                <c:pt idx="320">
                  <c:v>-30.784827619349169</c:v>
                </c:pt>
                <c:pt idx="321">
                  <c:v>-31.587376648086643</c:v>
                </c:pt>
                <c:pt idx="322">
                  <c:v>-31.135069474290688</c:v>
                </c:pt>
                <c:pt idx="323">
                  <c:v>-31.180737110080649</c:v>
                </c:pt>
                <c:pt idx="324">
                  <c:v>-34.062134964330426</c:v>
                </c:pt>
                <c:pt idx="325">
                  <c:v>-34.728124697806365</c:v>
                </c:pt>
                <c:pt idx="326">
                  <c:v>-34.629766650949229</c:v>
                </c:pt>
                <c:pt idx="327">
                  <c:v>-34.551156444040132</c:v>
                </c:pt>
                <c:pt idx="328">
                  <c:v>-31.300960504438677</c:v>
                </c:pt>
                <c:pt idx="329">
                  <c:v>-31.923362561108</c:v>
                </c:pt>
                <c:pt idx="330">
                  <c:v>-32.014818134725324</c:v>
                </c:pt>
                <c:pt idx="331">
                  <c:v>-32.616437827799402</c:v>
                </c:pt>
                <c:pt idx="332">
                  <c:v>-32.437425616596208</c:v>
                </c:pt>
                <c:pt idx="333">
                  <c:v>-32.633470208770127</c:v>
                </c:pt>
                <c:pt idx="334">
                  <c:v>-32.764425871802914</c:v>
                </c:pt>
                <c:pt idx="335">
                  <c:v>-32.671744296714415</c:v>
                </c:pt>
                <c:pt idx="336">
                  <c:v>-32.798886634252881</c:v>
                </c:pt>
                <c:pt idx="337">
                  <c:v>-32.097448804208362</c:v>
                </c:pt>
                <c:pt idx="338">
                  <c:v>-32.390217933541699</c:v>
                </c:pt>
                <c:pt idx="339">
                  <c:v>-32.086678316037329</c:v>
                </c:pt>
                <c:pt idx="340">
                  <c:v>-31.871116978803929</c:v>
                </c:pt>
                <c:pt idx="341">
                  <c:v>-31.967127357603932</c:v>
                </c:pt>
                <c:pt idx="342">
                  <c:v>-31.300952462133612</c:v>
                </c:pt>
                <c:pt idx="343">
                  <c:v>-31.158494671133614</c:v>
                </c:pt>
                <c:pt idx="344">
                  <c:v>-31.455921175795485</c:v>
                </c:pt>
                <c:pt idx="345">
                  <c:v>-30.692287817839414</c:v>
                </c:pt>
                <c:pt idx="346">
                  <c:v>-30.486278671237258</c:v>
                </c:pt>
                <c:pt idx="347">
                  <c:v>-30.374438117307491</c:v>
                </c:pt>
                <c:pt idx="348">
                  <c:v>-27.977070352429443</c:v>
                </c:pt>
                <c:pt idx="349">
                  <c:v>-27.504210939187683</c:v>
                </c:pt>
                <c:pt idx="350">
                  <c:v>-28.1107062317529</c:v>
                </c:pt>
                <c:pt idx="351">
                  <c:v>-28.88736182563683</c:v>
                </c:pt>
                <c:pt idx="352">
                  <c:v>-28.617272672430708</c:v>
                </c:pt>
                <c:pt idx="353">
                  <c:v>-27.771143733560116</c:v>
                </c:pt>
                <c:pt idx="354">
                  <c:v>-27.89957525144473</c:v>
                </c:pt>
                <c:pt idx="355">
                  <c:v>-28.176852976079648</c:v>
                </c:pt>
                <c:pt idx="356">
                  <c:v>-27.422651612930149</c:v>
                </c:pt>
                <c:pt idx="357">
                  <c:v>-26.366620200152369</c:v>
                </c:pt>
                <c:pt idx="358">
                  <c:v>-22.466817430337645</c:v>
                </c:pt>
                <c:pt idx="359">
                  <c:v>-27.72827123883598</c:v>
                </c:pt>
                <c:pt idx="360">
                  <c:v>-27.701460780207405</c:v>
                </c:pt>
                <c:pt idx="361">
                  <c:v>-28.152490407593508</c:v>
                </c:pt>
                <c:pt idx="362">
                  <c:v>-28.244518333119281</c:v>
                </c:pt>
                <c:pt idx="363">
                  <c:v>-28.209528502981073</c:v>
                </c:pt>
                <c:pt idx="364">
                  <c:v>-28.526006425182906</c:v>
                </c:pt>
                <c:pt idx="365">
                  <c:v>-28.573839666444094</c:v>
                </c:pt>
                <c:pt idx="366">
                  <c:v>-28.445623458757531</c:v>
                </c:pt>
                <c:pt idx="367">
                  <c:v>-28.545302972960059</c:v>
                </c:pt>
                <c:pt idx="368">
                  <c:v>-28.391123867604133</c:v>
                </c:pt>
                <c:pt idx="369">
                  <c:v>-28.459562505757976</c:v>
                </c:pt>
                <c:pt idx="370">
                  <c:v>-28.491312702199838</c:v>
                </c:pt>
                <c:pt idx="371">
                  <c:v>-28.727166298090381</c:v>
                </c:pt>
                <c:pt idx="372">
                  <c:v>-27.76395930956188</c:v>
                </c:pt>
                <c:pt idx="373">
                  <c:v>-27.700538714880352</c:v>
                </c:pt>
                <c:pt idx="374">
                  <c:v>-27.137372578347808</c:v>
                </c:pt>
                <c:pt idx="375">
                  <c:v>-14.937862980374042</c:v>
                </c:pt>
                <c:pt idx="376">
                  <c:v>-12.667164548720111</c:v>
                </c:pt>
                <c:pt idx="377">
                  <c:v>-24.319302322944182</c:v>
                </c:pt>
                <c:pt idx="378">
                  <c:v>-24.281520049930002</c:v>
                </c:pt>
                <c:pt idx="379">
                  <c:v>-24.53639061444613</c:v>
                </c:pt>
                <c:pt idx="380">
                  <c:v>-24.539782206655712</c:v>
                </c:pt>
                <c:pt idx="381">
                  <c:v>-24.520939310687972</c:v>
                </c:pt>
                <c:pt idx="382">
                  <c:v>-24.366352924836118</c:v>
                </c:pt>
                <c:pt idx="383">
                  <c:v>-24.301058053010035</c:v>
                </c:pt>
                <c:pt idx="384">
                  <c:v>-23.942530444314844</c:v>
                </c:pt>
                <c:pt idx="385">
                  <c:v>-23.718537184417411</c:v>
                </c:pt>
                <c:pt idx="386">
                  <c:v>-23.527416491493359</c:v>
                </c:pt>
                <c:pt idx="387">
                  <c:v>-23.659236123102886</c:v>
                </c:pt>
                <c:pt idx="388">
                  <c:v>-23.726988737758248</c:v>
                </c:pt>
                <c:pt idx="389">
                  <c:v>-23.597875574424915</c:v>
                </c:pt>
                <c:pt idx="390">
                  <c:v>-22.892353675763498</c:v>
                </c:pt>
                <c:pt idx="391">
                  <c:v>-22.555644130723763</c:v>
                </c:pt>
                <c:pt idx="392">
                  <c:v>-22.077079004502526</c:v>
                </c:pt>
                <c:pt idx="393">
                  <c:v>-22.072076010820705</c:v>
                </c:pt>
                <c:pt idx="394">
                  <c:v>-21.971265632249281</c:v>
                </c:pt>
                <c:pt idx="395">
                  <c:v>-21.822711470423194</c:v>
                </c:pt>
                <c:pt idx="396">
                  <c:v>-21.114799290154373</c:v>
                </c:pt>
                <c:pt idx="397">
                  <c:v>-20.553194461127049</c:v>
                </c:pt>
                <c:pt idx="398">
                  <c:v>-20.643528575351965</c:v>
                </c:pt>
                <c:pt idx="399">
                  <c:v>-19.299295842606199</c:v>
                </c:pt>
                <c:pt idx="400">
                  <c:v>-19.553570050181545</c:v>
                </c:pt>
                <c:pt idx="401">
                  <c:v>-16.047603659517094</c:v>
                </c:pt>
                <c:pt idx="402">
                  <c:v>-15.755701251222693</c:v>
                </c:pt>
                <c:pt idx="403">
                  <c:v>-10.048590473056388</c:v>
                </c:pt>
                <c:pt idx="404">
                  <c:v>-4.7290094268599132</c:v>
                </c:pt>
                <c:pt idx="405">
                  <c:v>-4.8487341072249928</c:v>
                </c:pt>
                <c:pt idx="406">
                  <c:v>-5.0125768872249932</c:v>
                </c:pt>
                <c:pt idx="407">
                  <c:v>-4.89899755209166</c:v>
                </c:pt>
                <c:pt idx="408">
                  <c:v>-4.7503918704435115</c:v>
                </c:pt>
                <c:pt idx="409">
                  <c:v>-4.7038339167292271</c:v>
                </c:pt>
                <c:pt idx="410">
                  <c:v>-4.8131895373238223</c:v>
                </c:pt>
                <c:pt idx="411">
                  <c:v>-4.6665284247504886</c:v>
                </c:pt>
                <c:pt idx="412">
                  <c:v>-4.8939321608212847</c:v>
                </c:pt>
                <c:pt idx="413">
                  <c:v>-4.9266324014641434</c:v>
                </c:pt>
                <c:pt idx="414">
                  <c:v>-4.9509695576803585</c:v>
                </c:pt>
                <c:pt idx="415">
                  <c:v>-5.0353323271891304</c:v>
                </c:pt>
                <c:pt idx="416">
                  <c:v>-4.9084509886525449</c:v>
                </c:pt>
                <c:pt idx="417">
                  <c:v>-4.8444007071819568</c:v>
                </c:pt>
                <c:pt idx="418">
                  <c:v>-4.8308188025152914</c:v>
                </c:pt>
                <c:pt idx="419">
                  <c:v>-4.905597829422268</c:v>
                </c:pt>
                <c:pt idx="420">
                  <c:v>-4.8069122472764345</c:v>
                </c:pt>
                <c:pt idx="421">
                  <c:v>-4.8536154400764344</c:v>
                </c:pt>
                <c:pt idx="422">
                  <c:v>-4.8400227689653237</c:v>
                </c:pt>
                <c:pt idx="423">
                  <c:v>-4.712285166683273</c:v>
                </c:pt>
                <c:pt idx="424">
                  <c:v>-4.7433429408832728</c:v>
                </c:pt>
                <c:pt idx="425">
                  <c:v>-4.6925580139601957</c:v>
                </c:pt>
                <c:pt idx="426">
                  <c:v>-4.7232680863080212</c:v>
                </c:pt>
                <c:pt idx="427">
                  <c:v>-4.8849171604330213</c:v>
                </c:pt>
                <c:pt idx="428">
                  <c:v>-4.6681573037930209</c:v>
                </c:pt>
                <c:pt idx="429">
                  <c:v>-4.5180150257717449</c:v>
                </c:pt>
                <c:pt idx="430">
                  <c:v>-4.6962133934574597</c:v>
                </c:pt>
                <c:pt idx="431">
                  <c:v>-4.7305993645925941</c:v>
                </c:pt>
                <c:pt idx="432">
                  <c:v>-4.5187585261654091</c:v>
                </c:pt>
                <c:pt idx="433">
                  <c:v>-4.63335666104041</c:v>
                </c:pt>
                <c:pt idx="434">
                  <c:v>-4.5628048178975522</c:v>
                </c:pt>
                <c:pt idx="435">
                  <c:v>-4.621892403962069</c:v>
                </c:pt>
                <c:pt idx="436">
                  <c:v>-4.4023421030646332</c:v>
                </c:pt>
                <c:pt idx="437">
                  <c:v>-4.3142142435807616</c:v>
                </c:pt>
                <c:pt idx="438">
                  <c:v>-4.253991534580762</c:v>
                </c:pt>
                <c:pt idx="439">
                  <c:v>-3.7160567840029843</c:v>
                </c:pt>
                <c:pt idx="440">
                  <c:v>-3.4674817200529837</c:v>
                </c:pt>
                <c:pt idx="441">
                  <c:v>-3.4104298248386979</c:v>
                </c:pt>
                <c:pt idx="442">
                  <c:v>-3.3464290240831422</c:v>
                </c:pt>
                <c:pt idx="443">
                  <c:v>-3.5140646025720317</c:v>
                </c:pt>
                <c:pt idx="444">
                  <c:v>-3.585095420852733</c:v>
                </c:pt>
                <c:pt idx="445">
                  <c:v>-3.6416465498866315</c:v>
                </c:pt>
                <c:pt idx="446">
                  <c:v>-3.6026170466313125</c:v>
                </c:pt>
                <c:pt idx="447">
                  <c:v>-3.5156465977424238</c:v>
                </c:pt>
                <c:pt idx="448">
                  <c:v>-3.6774690937424239</c:v>
                </c:pt>
                <c:pt idx="449">
                  <c:v>-3.7257744529955881</c:v>
                </c:pt>
                <c:pt idx="450">
                  <c:v>-3.6596165822714504</c:v>
                </c:pt>
                <c:pt idx="451">
                  <c:v>-3.4678017421067437</c:v>
                </c:pt>
                <c:pt idx="452">
                  <c:v>-3.4482851478759748</c:v>
                </c:pt>
                <c:pt idx="453">
                  <c:v>-3.440461360098197</c:v>
                </c:pt>
                <c:pt idx="454">
                  <c:v>-3.4130992869553398</c:v>
                </c:pt>
                <c:pt idx="455">
                  <c:v>-3.4273336023839116</c:v>
                </c:pt>
                <c:pt idx="456">
                  <c:v>-3.3951186304239118</c:v>
                </c:pt>
                <c:pt idx="457">
                  <c:v>-3.3846328860760853</c:v>
                </c:pt>
                <c:pt idx="458">
                  <c:v>-3.3828018979245704</c:v>
                </c:pt>
                <c:pt idx="459">
                  <c:v>-3.3672117452862724</c:v>
                </c:pt>
                <c:pt idx="460">
                  <c:v>-3.3672117452862724</c:v>
                </c:pt>
                <c:pt idx="461">
                  <c:v>-3.3230140380555033</c:v>
                </c:pt>
                <c:pt idx="462">
                  <c:v>-3.3120460112133978</c:v>
                </c:pt>
                <c:pt idx="463">
                  <c:v>-3.2641463331633975</c:v>
                </c:pt>
                <c:pt idx="464">
                  <c:v>-3.2398440208739245</c:v>
                </c:pt>
                <c:pt idx="465">
                  <c:v>-3.2243410709443467</c:v>
                </c:pt>
                <c:pt idx="466">
                  <c:v>-3.1704733374443466</c:v>
                </c:pt>
                <c:pt idx="467">
                  <c:v>-3.0712785505693465</c:v>
                </c:pt>
                <c:pt idx="468">
                  <c:v>-3.0430215042535576</c:v>
                </c:pt>
                <c:pt idx="469">
                  <c:v>-3.0074650317150957</c:v>
                </c:pt>
                <c:pt idx="470">
                  <c:v>-2.9682009471838455</c:v>
                </c:pt>
                <c:pt idx="471">
                  <c:v>-2.9104685674479964</c:v>
                </c:pt>
                <c:pt idx="472">
                  <c:v>-2.9226331505591072</c:v>
                </c:pt>
                <c:pt idx="473">
                  <c:v>-2.8614677453333015</c:v>
                </c:pt>
                <c:pt idx="474">
                  <c:v>-2.7368994586133017</c:v>
                </c:pt>
                <c:pt idx="475">
                  <c:v>-2.6404498318133016</c:v>
                </c:pt>
                <c:pt idx="476">
                  <c:v>-2.7240303018773018</c:v>
                </c:pt>
                <c:pt idx="477">
                  <c:v>-2.7470535895874462</c:v>
                </c:pt>
                <c:pt idx="478">
                  <c:v>-2.7738785671800392</c:v>
                </c:pt>
                <c:pt idx="479">
                  <c:v>-2.6769402373012516</c:v>
                </c:pt>
                <c:pt idx="480">
                  <c:v>-2.7071946536648879</c:v>
                </c:pt>
                <c:pt idx="481">
                  <c:v>-2.1613666229692359</c:v>
                </c:pt>
                <c:pt idx="482">
                  <c:v>-2.1964089345846207</c:v>
                </c:pt>
                <c:pt idx="483">
                  <c:v>-2.1978746412859191</c:v>
                </c:pt>
                <c:pt idx="484">
                  <c:v>-2.1524084345740548</c:v>
                </c:pt>
                <c:pt idx="485">
                  <c:v>-2.1395744602407212</c:v>
                </c:pt>
                <c:pt idx="486">
                  <c:v>-2.1197873270134489</c:v>
                </c:pt>
                <c:pt idx="487">
                  <c:v>-2.0444043771110092</c:v>
                </c:pt>
                <c:pt idx="488">
                  <c:v>-1.8202137537270093</c:v>
                </c:pt>
                <c:pt idx="489">
                  <c:v>-1.8289090606743779</c:v>
                </c:pt>
                <c:pt idx="490">
                  <c:v>-1.8928121962253981</c:v>
                </c:pt>
                <c:pt idx="491">
                  <c:v>-1.9228754305111122</c:v>
                </c:pt>
                <c:pt idx="492">
                  <c:v>-1.8674260291777789</c:v>
                </c:pt>
                <c:pt idx="493">
                  <c:v>-1.7075034214053648</c:v>
                </c:pt>
                <c:pt idx="494">
                  <c:v>-1.5987283178979024</c:v>
                </c:pt>
                <c:pt idx="495">
                  <c:v>-1.4249076121717876</c:v>
                </c:pt>
                <c:pt idx="496">
                  <c:v>-1.1665550915498972</c:v>
                </c:pt>
                <c:pt idx="497">
                  <c:v>-1.1483238551151149</c:v>
                </c:pt>
                <c:pt idx="498">
                  <c:v>-1.1439376520242057</c:v>
                </c:pt>
                <c:pt idx="499">
                  <c:v>-1.1015720433790448</c:v>
                </c:pt>
                <c:pt idx="500">
                  <c:v>-1.0675427296647588</c:v>
                </c:pt>
                <c:pt idx="501">
                  <c:v>-1.0574263012032203</c:v>
                </c:pt>
                <c:pt idx="502">
                  <c:v>-1.0264823681672492</c:v>
                </c:pt>
                <c:pt idx="503">
                  <c:v>-1.0497721135909783</c:v>
                </c:pt>
                <c:pt idx="504">
                  <c:v>-1.0551637957020894</c:v>
                </c:pt>
                <c:pt idx="505">
                  <c:v>-1.1048510870964556</c:v>
                </c:pt>
                <c:pt idx="506">
                  <c:v>-1.1035647167827298</c:v>
                </c:pt>
                <c:pt idx="507">
                  <c:v>-1.0986604600398731</c:v>
                </c:pt>
                <c:pt idx="508">
                  <c:v>-1.1368085783412427</c:v>
                </c:pt>
                <c:pt idx="509">
                  <c:v>-1.2389884379934168</c:v>
                </c:pt>
                <c:pt idx="510">
                  <c:v>-1.1626379094352775</c:v>
                </c:pt>
                <c:pt idx="511">
                  <c:v>-1.1181443440663452</c:v>
                </c:pt>
                <c:pt idx="512">
                  <c:v>-0.68416643967169599</c:v>
                </c:pt>
                <c:pt idx="513">
                  <c:v>-5.5566571716960892E-3</c:v>
                </c:pt>
                <c:pt idx="514">
                  <c:v>-0.18789004599508477</c:v>
                </c:pt>
                <c:pt idx="515">
                  <c:v>-0.25509770192712339</c:v>
                </c:pt>
                <c:pt idx="516">
                  <c:v>-0.15711797987306911</c:v>
                </c:pt>
                <c:pt idx="517">
                  <c:v>-0.24685296453973576</c:v>
                </c:pt>
                <c:pt idx="518">
                  <c:v>-0.36642099529790551</c:v>
                </c:pt>
                <c:pt idx="519">
                  <c:v>-0.4752467888693338</c:v>
                </c:pt>
                <c:pt idx="520">
                  <c:v>-0.63120365051639227</c:v>
                </c:pt>
                <c:pt idx="521">
                  <c:v>-0.60560358670831149</c:v>
                </c:pt>
                <c:pt idx="522">
                  <c:v>-0.68014847802476686</c:v>
                </c:pt>
                <c:pt idx="523">
                  <c:v>-0.66485740622476708</c:v>
                </c:pt>
                <c:pt idx="524">
                  <c:v>-0.77521093708190991</c:v>
                </c:pt>
                <c:pt idx="525">
                  <c:v>-0.57028557090242293</c:v>
                </c:pt>
                <c:pt idx="526">
                  <c:v>-0.67364430456280011</c:v>
                </c:pt>
                <c:pt idx="527">
                  <c:v>-0.56700246246403474</c:v>
                </c:pt>
                <c:pt idx="528">
                  <c:v>-0.41414292719521795</c:v>
                </c:pt>
                <c:pt idx="529">
                  <c:v>-0.38700389919521838</c:v>
                </c:pt>
                <c:pt idx="530">
                  <c:v>-0.55649362619521847</c:v>
                </c:pt>
                <c:pt idx="531">
                  <c:v>-0.38449026232855121</c:v>
                </c:pt>
                <c:pt idx="532">
                  <c:v>-0.49273772922937753</c:v>
                </c:pt>
                <c:pt idx="533">
                  <c:v>-0.55525874345722581</c:v>
                </c:pt>
                <c:pt idx="534">
                  <c:v>-0.7181024029016706</c:v>
                </c:pt>
                <c:pt idx="535">
                  <c:v>-0.71810240290167016</c:v>
                </c:pt>
                <c:pt idx="536">
                  <c:v>-0.88437163187009116</c:v>
                </c:pt>
                <c:pt idx="537">
                  <c:v>-0.96262403617675796</c:v>
                </c:pt>
                <c:pt idx="538">
                  <c:v>-1.0781465634494851</c:v>
                </c:pt>
                <c:pt idx="539">
                  <c:v>-1.0015029656277028</c:v>
                </c:pt>
                <c:pt idx="540">
                  <c:v>-1.1124099619746415</c:v>
                </c:pt>
                <c:pt idx="541">
                  <c:v>-1.0870340703382781</c:v>
                </c:pt>
                <c:pt idx="542">
                  <c:v>-1.1361559868739919</c:v>
                </c:pt>
                <c:pt idx="543">
                  <c:v>-1.1401428837705436</c:v>
                </c:pt>
                <c:pt idx="544">
                  <c:v>-1.171654947288616</c:v>
                </c:pt>
                <c:pt idx="545">
                  <c:v>-1.229912562980924</c:v>
                </c:pt>
                <c:pt idx="546">
                  <c:v>-1.1726264120654308</c:v>
                </c:pt>
                <c:pt idx="547">
                  <c:v>-1.1830859009654313</c:v>
                </c:pt>
                <c:pt idx="548">
                  <c:v>-1.2895213599898216</c:v>
                </c:pt>
                <c:pt idx="549">
                  <c:v>-1.2984475209028647</c:v>
                </c:pt>
                <c:pt idx="550">
                  <c:v>-1.1657730506230717</c:v>
                </c:pt>
                <c:pt idx="551">
                  <c:v>-1.1378995849209439</c:v>
                </c:pt>
                <c:pt idx="552">
                  <c:v>-1.0155119415209435</c:v>
                </c:pt>
                <c:pt idx="553">
                  <c:v>-0.7162193266409429</c:v>
                </c:pt>
                <c:pt idx="554">
                  <c:v>-0.8453255620255582</c:v>
                </c:pt>
                <c:pt idx="555">
                  <c:v>-0.80328615165346551</c:v>
                </c:pt>
                <c:pt idx="556">
                  <c:v>-0.81612665992269651</c:v>
                </c:pt>
                <c:pt idx="557">
                  <c:v>-0.78789604247342138</c:v>
                </c:pt>
                <c:pt idx="558">
                  <c:v>-0.86130264212559571</c:v>
                </c:pt>
                <c:pt idx="559">
                  <c:v>-0.79091837022395661</c:v>
                </c:pt>
                <c:pt idx="560">
                  <c:v>-0.80973363562936185</c:v>
                </c:pt>
                <c:pt idx="561">
                  <c:v>-0.84240227984854033</c:v>
                </c:pt>
                <c:pt idx="562">
                  <c:v>-0.80173610209854085</c:v>
                </c:pt>
                <c:pt idx="563">
                  <c:v>-0.63249723053604101</c:v>
                </c:pt>
                <c:pt idx="564">
                  <c:v>-0.64589202426937364</c:v>
                </c:pt>
                <c:pt idx="565">
                  <c:v>-0.56200120624038785</c:v>
                </c:pt>
                <c:pt idx="566">
                  <c:v>-0.61800832981181741</c:v>
                </c:pt>
                <c:pt idx="567">
                  <c:v>-0.58990244474882525</c:v>
                </c:pt>
                <c:pt idx="568">
                  <c:v>-0.698448548748826</c:v>
                </c:pt>
                <c:pt idx="569">
                  <c:v>-0.66919619974882605</c:v>
                </c:pt>
                <c:pt idx="570">
                  <c:v>-0.69022116386203325</c:v>
                </c:pt>
                <c:pt idx="571">
                  <c:v>-0.76598164968021465</c:v>
                </c:pt>
                <c:pt idx="572">
                  <c:v>-0.84023116394688113</c:v>
                </c:pt>
                <c:pt idx="573">
                  <c:v>-0.87727218453779032</c:v>
                </c:pt>
                <c:pt idx="574">
                  <c:v>-0.87365302923779031</c:v>
                </c:pt>
                <c:pt idx="575">
                  <c:v>-0.92274777953047304</c:v>
                </c:pt>
                <c:pt idx="576">
                  <c:v>-0.91836269043956398</c:v>
                </c:pt>
                <c:pt idx="577">
                  <c:v>-0.93563682486813549</c:v>
                </c:pt>
                <c:pt idx="578">
                  <c:v>-0.92847753172527847</c:v>
                </c:pt>
                <c:pt idx="579">
                  <c:v>-0.98730134804527858</c:v>
                </c:pt>
                <c:pt idx="580">
                  <c:v>-0.84825090729017671</c:v>
                </c:pt>
                <c:pt idx="581">
                  <c:v>-0.82950466080741803</c:v>
                </c:pt>
                <c:pt idx="582">
                  <c:v>-0.82855711773424723</c:v>
                </c:pt>
                <c:pt idx="583">
                  <c:v>-0.77956711295163861</c:v>
                </c:pt>
                <c:pt idx="584">
                  <c:v>-0.77524295195163873</c:v>
                </c:pt>
                <c:pt idx="585">
                  <c:v>-0.75753552721479722</c:v>
                </c:pt>
                <c:pt idx="586">
                  <c:v>-0.76161726230570603</c:v>
                </c:pt>
                <c:pt idx="587">
                  <c:v>-0.77302328575015045</c:v>
                </c:pt>
                <c:pt idx="588">
                  <c:v>-0.79307979160729336</c:v>
                </c:pt>
                <c:pt idx="589">
                  <c:v>-0.77115140460729359</c:v>
                </c:pt>
                <c:pt idx="590">
                  <c:v>-0.85969246771572749</c:v>
                </c:pt>
                <c:pt idx="591">
                  <c:v>-0.84551135384475995</c:v>
                </c:pt>
                <c:pt idx="592">
                  <c:v>-0.93219147498269117</c:v>
                </c:pt>
                <c:pt idx="593">
                  <c:v>-0.83648885768132142</c:v>
                </c:pt>
                <c:pt idx="594">
                  <c:v>-0.8551265862234898</c:v>
                </c:pt>
                <c:pt idx="595">
                  <c:v>-0.91346702249621703</c:v>
                </c:pt>
                <c:pt idx="596">
                  <c:v>-0.79675389591994583</c:v>
                </c:pt>
                <c:pt idx="597">
                  <c:v>-0.77366412461559819</c:v>
                </c:pt>
                <c:pt idx="598">
                  <c:v>-0.86849162282988379</c:v>
                </c:pt>
                <c:pt idx="599">
                  <c:v>-0.90458467142988397</c:v>
                </c:pt>
                <c:pt idx="600">
                  <c:v>-0.9298009530850565</c:v>
                </c:pt>
                <c:pt idx="601">
                  <c:v>-0.95501231954659493</c:v>
                </c:pt>
                <c:pt idx="602">
                  <c:v>-0.90687690554659506</c:v>
                </c:pt>
                <c:pt idx="603">
                  <c:v>-0.97471823661326151</c:v>
                </c:pt>
                <c:pt idx="604">
                  <c:v>-0.96568592043144375</c:v>
                </c:pt>
                <c:pt idx="605">
                  <c:v>-1.0060103383171581</c:v>
                </c:pt>
                <c:pt idx="606">
                  <c:v>-1.1107039782972905</c:v>
                </c:pt>
                <c:pt idx="607">
                  <c:v>-0.59001137111024027</c:v>
                </c:pt>
                <c:pt idx="608">
                  <c:v>-0.67920085543456443</c:v>
                </c:pt>
                <c:pt idx="609">
                  <c:v>-0.69807529227666976</c:v>
                </c:pt>
                <c:pt idx="610">
                  <c:v>-0.60265107013381236</c:v>
                </c:pt>
                <c:pt idx="611">
                  <c:v>-0.55087557272640497</c:v>
                </c:pt>
                <c:pt idx="612">
                  <c:v>-0.5240538689991322</c:v>
                </c:pt>
                <c:pt idx="613">
                  <c:v>-0.59841804773597429</c:v>
                </c:pt>
                <c:pt idx="614">
                  <c:v>-0.42053314216220389</c:v>
                </c:pt>
                <c:pt idx="615">
                  <c:v>-0.42364104254315615</c:v>
                </c:pt>
                <c:pt idx="616">
                  <c:v>-0.47748465785084859</c:v>
                </c:pt>
                <c:pt idx="617">
                  <c:v>-0.32586004546623293</c:v>
                </c:pt>
                <c:pt idx="618">
                  <c:v>-1.7477635966232755E-2</c:v>
                </c:pt>
                <c:pt idx="619">
                  <c:v>-0.19498149745559473</c:v>
                </c:pt>
                <c:pt idx="620">
                  <c:v>-0.38722462788005507</c:v>
                </c:pt>
                <c:pt idx="621">
                  <c:v>-0.37660953666054281</c:v>
                </c:pt>
                <c:pt idx="622">
                  <c:v>-0.40656845674625702</c:v>
                </c:pt>
                <c:pt idx="623">
                  <c:v>-0.37462300068743354</c:v>
                </c:pt>
                <c:pt idx="624">
                  <c:v>-0.39533176488743332</c:v>
                </c:pt>
                <c:pt idx="625">
                  <c:v>-0.4766311708874334</c:v>
                </c:pt>
                <c:pt idx="626">
                  <c:v>-0.50869029379854469</c:v>
                </c:pt>
                <c:pt idx="627">
                  <c:v>-0.50869029379854447</c:v>
                </c:pt>
                <c:pt idx="628">
                  <c:v>-0.34625775270610776</c:v>
                </c:pt>
                <c:pt idx="629">
                  <c:v>-0.51796099666907081</c:v>
                </c:pt>
                <c:pt idx="630">
                  <c:v>-0.50791058306907089</c:v>
                </c:pt>
                <c:pt idx="631">
                  <c:v>-0.52060515617433401</c:v>
                </c:pt>
                <c:pt idx="632">
                  <c:v>-0.45414093217433393</c:v>
                </c:pt>
                <c:pt idx="633">
                  <c:v>-0.42741423966524283</c:v>
                </c:pt>
                <c:pt idx="634">
                  <c:v>-0.43555856840208501</c:v>
                </c:pt>
                <c:pt idx="635">
                  <c:v>-0.39731043521289561</c:v>
                </c:pt>
                <c:pt idx="636">
                  <c:v>-0.31243860513597244</c:v>
                </c:pt>
                <c:pt idx="637">
                  <c:v>-0.20846416694678327</c:v>
                </c:pt>
                <c:pt idx="638">
                  <c:v>-0.19709543692456111</c:v>
                </c:pt>
                <c:pt idx="639">
                  <c:v>-0.26333649544307958</c:v>
                </c:pt>
                <c:pt idx="640">
                  <c:v>-0.25819840033781616</c:v>
                </c:pt>
                <c:pt idx="641">
                  <c:v>-0.26095327833781606</c:v>
                </c:pt>
                <c:pt idx="642">
                  <c:v>-0.15853646269630672</c:v>
                </c:pt>
                <c:pt idx="643">
                  <c:v>-0.16089087018202131</c:v>
                </c:pt>
                <c:pt idx="644">
                  <c:v>-0.16486111648971363</c:v>
                </c:pt>
                <c:pt idx="645">
                  <c:v>-0.18320431591524552</c:v>
                </c:pt>
                <c:pt idx="646">
                  <c:v>-0.20808974748667422</c:v>
                </c:pt>
                <c:pt idx="647">
                  <c:v>-0.23141232587797847</c:v>
                </c:pt>
                <c:pt idx="648">
                  <c:v>-8.9223976787069281E-2</c:v>
                </c:pt>
                <c:pt idx="649">
                  <c:v>-5.9266936818057302E-3</c:v>
                </c:pt>
                <c:pt idx="650">
                  <c:v>2.3440773318194778E-2</c:v>
                </c:pt>
                <c:pt idx="651">
                  <c:v>-1.207970822466258E-2</c:v>
                </c:pt>
                <c:pt idx="652">
                  <c:v>-6.1691516110376883E-2</c:v>
                </c:pt>
                <c:pt idx="653">
                  <c:v>5.6952734353038E-2</c:v>
                </c:pt>
                <c:pt idx="654">
                  <c:v>0.20136109144981199</c:v>
                </c:pt>
                <c:pt idx="655">
                  <c:v>0.49018001499350145</c:v>
                </c:pt>
                <c:pt idx="656">
                  <c:v>0.62203581687195453</c:v>
                </c:pt>
                <c:pt idx="657">
                  <c:v>0.64253810217195462</c:v>
                </c:pt>
                <c:pt idx="658">
                  <c:v>0.65795653558371936</c:v>
                </c:pt>
                <c:pt idx="659">
                  <c:v>0.66573401833371926</c:v>
                </c:pt>
                <c:pt idx="660">
                  <c:v>0.61344161833371913</c:v>
                </c:pt>
                <c:pt idx="661">
                  <c:v>0.78819324607284968</c:v>
                </c:pt>
                <c:pt idx="662">
                  <c:v>0.67751827353796568</c:v>
                </c:pt>
                <c:pt idx="663">
                  <c:v>0.71373967487129886</c:v>
                </c:pt>
                <c:pt idx="664">
                  <c:v>0.69694845207129874</c:v>
                </c:pt>
                <c:pt idx="665">
                  <c:v>0.74176855391745267</c:v>
                </c:pt>
                <c:pt idx="666">
                  <c:v>0.76112414725078648</c:v>
                </c:pt>
                <c:pt idx="667">
                  <c:v>0.71369785708411992</c:v>
                </c:pt>
                <c:pt idx="668">
                  <c:v>0.71544337954565829</c:v>
                </c:pt>
                <c:pt idx="669">
                  <c:v>0.65973391074565857</c:v>
                </c:pt>
                <c:pt idx="670">
                  <c:v>0.67809941298375387</c:v>
                </c:pt>
                <c:pt idx="671">
                  <c:v>0.62488839908375382</c:v>
                </c:pt>
                <c:pt idx="672">
                  <c:v>0.65632166872292919</c:v>
                </c:pt>
                <c:pt idx="673">
                  <c:v>0.64319588443721498</c:v>
                </c:pt>
                <c:pt idx="674">
                  <c:v>0.69432009902668856</c:v>
                </c:pt>
                <c:pt idx="675">
                  <c:v>0.63855086475839595</c:v>
                </c:pt>
                <c:pt idx="676">
                  <c:v>0.6048352449458958</c:v>
                </c:pt>
                <c:pt idx="677">
                  <c:v>0.64555315867316843</c:v>
                </c:pt>
                <c:pt idx="678">
                  <c:v>0.60413834314375658</c:v>
                </c:pt>
                <c:pt idx="679">
                  <c:v>0.58663722488391412</c:v>
                </c:pt>
                <c:pt idx="680">
                  <c:v>0.47538060083340911</c:v>
                </c:pt>
                <c:pt idx="681">
                  <c:v>0.41020115858703216</c:v>
                </c:pt>
                <c:pt idx="682">
                  <c:v>0.39438520385019005</c:v>
                </c:pt>
                <c:pt idx="683">
                  <c:v>0.516740470685633</c:v>
                </c:pt>
                <c:pt idx="684">
                  <c:v>0.37335402909472382</c:v>
                </c:pt>
                <c:pt idx="685">
                  <c:v>0.36070601834845512</c:v>
                </c:pt>
                <c:pt idx="686">
                  <c:v>0.32562584867454214</c:v>
                </c:pt>
                <c:pt idx="687">
                  <c:v>0.44475025913769994</c:v>
                </c:pt>
                <c:pt idx="688">
                  <c:v>0.45548931118688035</c:v>
                </c:pt>
                <c:pt idx="689">
                  <c:v>0.44532215853571755</c:v>
                </c:pt>
                <c:pt idx="690">
                  <c:v>0.43662383808856309</c:v>
                </c:pt>
                <c:pt idx="691">
                  <c:v>0.49906243669287964</c:v>
                </c:pt>
                <c:pt idx="692">
                  <c:v>0.55630764750369055</c:v>
                </c:pt>
                <c:pt idx="693">
                  <c:v>0.51069724714696529</c:v>
                </c:pt>
                <c:pt idx="694">
                  <c:v>0.41546085680213768</c:v>
                </c:pt>
                <c:pt idx="695">
                  <c:v>0.38270143995598399</c:v>
                </c:pt>
                <c:pt idx="696">
                  <c:v>0.36208943376848413</c:v>
                </c:pt>
                <c:pt idx="697">
                  <c:v>0.32711430841637157</c:v>
                </c:pt>
                <c:pt idx="698">
                  <c:v>0.33037127423455337</c:v>
                </c:pt>
                <c:pt idx="699">
                  <c:v>0.35825236323455334</c:v>
                </c:pt>
                <c:pt idx="700">
                  <c:v>0.35336047107724994</c:v>
                </c:pt>
                <c:pt idx="701">
                  <c:v>0.38377206857725005</c:v>
                </c:pt>
                <c:pt idx="702">
                  <c:v>0.42246213873514482</c:v>
                </c:pt>
                <c:pt idx="703">
                  <c:v>0.45289982585378891</c:v>
                </c:pt>
                <c:pt idx="704">
                  <c:v>0.49434475568590569</c:v>
                </c:pt>
                <c:pt idx="705">
                  <c:v>0.45412711901923908</c:v>
                </c:pt>
                <c:pt idx="706">
                  <c:v>0.40218153947085211</c:v>
                </c:pt>
                <c:pt idx="707">
                  <c:v>0.41128447302929361</c:v>
                </c:pt>
                <c:pt idx="708">
                  <c:v>0.43306238009596038</c:v>
                </c:pt>
                <c:pt idx="709">
                  <c:v>0.47159278908639091</c:v>
                </c:pt>
                <c:pt idx="710">
                  <c:v>0.42378213176914953</c:v>
                </c:pt>
                <c:pt idx="711">
                  <c:v>0.4017645499784519</c:v>
                </c:pt>
                <c:pt idx="712">
                  <c:v>0.47657137148382833</c:v>
                </c:pt>
                <c:pt idx="713">
                  <c:v>0.34879660877318991</c:v>
                </c:pt>
                <c:pt idx="714">
                  <c:v>0.36802753238103314</c:v>
                </c:pt>
                <c:pt idx="715">
                  <c:v>0.65166725923557878</c:v>
                </c:pt>
                <c:pt idx="716">
                  <c:v>0.4216355006786166</c:v>
                </c:pt>
                <c:pt idx="717">
                  <c:v>0.30365375767861663</c:v>
                </c:pt>
                <c:pt idx="718">
                  <c:v>0.19974968690938574</c:v>
                </c:pt>
                <c:pt idx="719">
                  <c:v>0.22183943861151326</c:v>
                </c:pt>
                <c:pt idx="720">
                  <c:v>0.26024129584835537</c:v>
                </c:pt>
                <c:pt idx="721">
                  <c:v>0.24753533612421766</c:v>
                </c:pt>
                <c:pt idx="722">
                  <c:v>0.17535167074186489</c:v>
                </c:pt>
                <c:pt idx="723">
                  <c:v>3.2893196667790989E-2</c:v>
                </c:pt>
                <c:pt idx="724">
                  <c:v>-6.1968717732209078E-2</c:v>
                </c:pt>
                <c:pt idx="725">
                  <c:v>-8.9792504772209264E-2</c:v>
                </c:pt>
                <c:pt idx="726">
                  <c:v>-0.18522402427990153</c:v>
                </c:pt>
                <c:pt idx="727">
                  <c:v>-0.28189676777046752</c:v>
                </c:pt>
                <c:pt idx="728">
                  <c:v>-0.22437801232046781</c:v>
                </c:pt>
                <c:pt idx="729">
                  <c:v>-0.29211751032046779</c:v>
                </c:pt>
                <c:pt idx="730">
                  <c:v>-0.2712559198659224</c:v>
                </c:pt>
                <c:pt idx="731">
                  <c:v>-0.2372033707230653</c:v>
                </c:pt>
                <c:pt idx="732">
                  <c:v>-0.23937461105639873</c:v>
                </c:pt>
                <c:pt idx="733">
                  <c:v>-0.21686259605639865</c:v>
                </c:pt>
                <c:pt idx="734">
                  <c:v>-0.21686259605639865</c:v>
                </c:pt>
                <c:pt idx="735">
                  <c:v>-0.23832451155639856</c:v>
                </c:pt>
                <c:pt idx="736">
                  <c:v>-0.18616925533417628</c:v>
                </c:pt>
                <c:pt idx="737">
                  <c:v>-0.19606582266750938</c:v>
                </c:pt>
                <c:pt idx="738">
                  <c:v>-0.22962965053707435</c:v>
                </c:pt>
                <c:pt idx="739">
                  <c:v>-0.20003950621504046</c:v>
                </c:pt>
                <c:pt idx="740">
                  <c:v>-0.14624293471504055</c:v>
                </c:pt>
                <c:pt idx="741">
                  <c:v>-0.19535114953857</c:v>
                </c:pt>
                <c:pt idx="742">
                  <c:v>-0.32617395466052135</c:v>
                </c:pt>
                <c:pt idx="743">
                  <c:v>-0.30607711466052151</c:v>
                </c:pt>
                <c:pt idx="744">
                  <c:v>-0.31301018089581573</c:v>
                </c:pt>
                <c:pt idx="745">
                  <c:v>-0.28984387515295851</c:v>
                </c:pt>
                <c:pt idx="746">
                  <c:v>-0.14251841115295788</c:v>
                </c:pt>
                <c:pt idx="747">
                  <c:v>-0.15664221415295787</c:v>
                </c:pt>
                <c:pt idx="748">
                  <c:v>-0.14692613012069985</c:v>
                </c:pt>
                <c:pt idx="749">
                  <c:v>-0.15527634932069986</c:v>
                </c:pt>
                <c:pt idx="750">
                  <c:v>-0.13941179981345345</c:v>
                </c:pt>
                <c:pt idx="751">
                  <c:v>-0.1429284555912311</c:v>
                </c:pt>
                <c:pt idx="752">
                  <c:v>-9.1433125146786559E-2</c:v>
                </c:pt>
                <c:pt idx="753">
                  <c:v>-0.10051167282971338</c:v>
                </c:pt>
                <c:pt idx="754">
                  <c:v>-5.6111385481887335E-2</c:v>
                </c:pt>
                <c:pt idx="755">
                  <c:v>-5.0093956681887326E-2</c:v>
                </c:pt>
                <c:pt idx="756">
                  <c:v>-5.0658273777777721E-2</c:v>
                </c:pt>
                <c:pt idx="757">
                  <c:v>-2.132934206349207E-2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5A-413B-BAE5-80C9CE221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401856"/>
        <c:axId val="185396448"/>
      </c:lineChart>
      <c:dateAx>
        <c:axId val="185401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96448"/>
        <c:crosses val="autoZero"/>
        <c:auto val="1"/>
        <c:lblOffset val="100"/>
        <c:baseTimeUnit val="days"/>
      </c:dateAx>
      <c:valAx>
        <c:axId val="18539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5093097-4700-4A9D-8A7D-C6F08B5FD2A3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5525B9-1F4E-4C34-BD63-9A5FF3C7002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0.15792</v>
      </c>
      <c r="D2" s="4">
        <f>MIN(D3:D1912)</f>
        <v>2.5400000000000002E-3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3.032E-2</v>
      </c>
      <c r="C5">
        <v>3.0779999999999998E-2</v>
      </c>
      <c r="D5">
        <v>2.962E-2</v>
      </c>
      <c r="E5">
        <v>2.964E-2</v>
      </c>
      <c r="F5">
        <v>2284109.7000000002</v>
      </c>
      <c r="G5">
        <v>2.964E-2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-0.96551724137931172</v>
      </c>
      <c r="Q5">
        <f t="shared" ref="Q5" si="1">F5*P5</f>
        <v>-2205347.2965517277</v>
      </c>
      <c r="R5">
        <f t="shared" ref="R5" si="2">R6+Q5</f>
        <v>-19822961809.236767</v>
      </c>
      <c r="S5">
        <f t="shared" ref="S5" si="3">R5/100000</f>
        <v>-198229.61809236766</v>
      </c>
      <c r="T5">
        <f t="shared" ref="T5" si="4">S5/1000</f>
        <v>-198.22961809236764</v>
      </c>
    </row>
    <row r="6" spans="1:20" x14ac:dyDescent="0.25">
      <c r="A6" s="5">
        <v>44587</v>
      </c>
      <c r="B6">
        <v>2.9669999999999998E-2</v>
      </c>
      <c r="C6">
        <v>3.3279999999999997E-2</v>
      </c>
      <c r="D6">
        <v>2.9250000000000002E-2</v>
      </c>
      <c r="E6">
        <v>3.0329999999999999E-2</v>
      </c>
      <c r="F6">
        <v>50850176.200000003</v>
      </c>
      <c r="G6">
        <v>3.0329999999999999E-2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-0.46401985111662586</v>
      </c>
      <c r="Q6">
        <f t="shared" ref="Q6" si="6">F6*P6</f>
        <v>-23595491.189578194</v>
      </c>
      <c r="R6">
        <f t="shared" ref="R6" si="7">R7+Q6</f>
        <v>-19820756461.940216</v>
      </c>
      <c r="S6">
        <f t="shared" ref="S6" si="8">R6/100000</f>
        <v>-198207.56461940217</v>
      </c>
      <c r="T6">
        <f t="shared" ref="T6" si="9">S6/1000</f>
        <v>-198.20756461940218</v>
      </c>
    </row>
    <row r="7" spans="1:20" x14ac:dyDescent="0.25">
      <c r="A7" s="5">
        <v>44586</v>
      </c>
      <c r="B7">
        <v>2.9790000000000001E-2</v>
      </c>
      <c r="C7">
        <v>3.099E-2</v>
      </c>
      <c r="D7">
        <v>2.862E-2</v>
      </c>
      <c r="E7">
        <v>2.9579999999999999E-2</v>
      </c>
      <c r="F7">
        <v>32905544.699999999</v>
      </c>
      <c r="G7">
        <v>2.9579999999999999E-2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-0.18987341772152</v>
      </c>
      <c r="Q7">
        <f t="shared" ref="Q7" si="11">F7*P7</f>
        <v>-6247888.2341772486</v>
      </c>
      <c r="R7">
        <f t="shared" ref="R7" si="12">R8+Q7</f>
        <v>-19797160970.750637</v>
      </c>
      <c r="S7">
        <f t="shared" ref="S7" si="13">R7/100000</f>
        <v>-197971.60970750637</v>
      </c>
      <c r="T7">
        <f t="shared" ref="T7" si="14">S7/1000</f>
        <v>-197.97160970750636</v>
      </c>
    </row>
    <row r="8" spans="1:20" x14ac:dyDescent="0.25">
      <c r="A8" s="5">
        <v>44585</v>
      </c>
      <c r="B8">
        <v>3.1890000000000002E-2</v>
      </c>
      <c r="C8">
        <v>3.1890000000000002E-2</v>
      </c>
      <c r="D8">
        <v>2.674E-2</v>
      </c>
      <c r="E8">
        <v>2.9780000000000001E-2</v>
      </c>
      <c r="F8">
        <v>65106812.299999997</v>
      </c>
      <c r="G8">
        <v>2.9780000000000001E-2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0.18058252427184465</v>
      </c>
      <c r="Q8">
        <f t="shared" ref="Q8" si="16">F8*P8</f>
        <v>11757152.512427183</v>
      </c>
      <c r="R8">
        <f t="shared" ref="R8" si="17">R9+Q8</f>
        <v>-19790913082.51646</v>
      </c>
      <c r="S8">
        <f t="shared" ref="S8" si="18">R8/100000</f>
        <v>-197909.13082516461</v>
      </c>
      <c r="T8">
        <f t="shared" ref="T8" si="19">S8/1000</f>
        <v>-197.90913082516462</v>
      </c>
    </row>
    <row r="9" spans="1:20" x14ac:dyDescent="0.25">
      <c r="A9" s="5">
        <v>44584</v>
      </c>
      <c r="B9">
        <v>3.0380000000000001E-2</v>
      </c>
      <c r="C9">
        <v>3.3689999999999998E-2</v>
      </c>
      <c r="D9">
        <v>3.022E-2</v>
      </c>
      <c r="E9">
        <v>3.1870000000000002E-2</v>
      </c>
      <c r="F9">
        <v>38862481.299999997</v>
      </c>
      <c r="G9">
        <v>3.1870000000000002E-2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-4.8991354466856832E-2</v>
      </c>
      <c r="Q9">
        <f t="shared" ref="Q9" si="21">F9*P9</f>
        <v>-1903925.5968298949</v>
      </c>
      <c r="R9">
        <f t="shared" ref="R9" si="22">R10+Q9</f>
        <v>-19802670235.028889</v>
      </c>
      <c r="S9">
        <f t="shared" ref="S9" si="23">R9/100000</f>
        <v>-198026.70235028889</v>
      </c>
      <c r="T9">
        <f t="shared" ref="T9" si="24">S9/1000</f>
        <v>-198.0267023502889</v>
      </c>
    </row>
    <row r="10" spans="1:20" x14ac:dyDescent="0.25">
      <c r="A10" s="5">
        <v>44583</v>
      </c>
      <c r="B10">
        <v>3.3779999999999998E-2</v>
      </c>
      <c r="C10">
        <v>3.4590000000000003E-2</v>
      </c>
      <c r="D10">
        <v>2.9020000000000001E-2</v>
      </c>
      <c r="E10">
        <v>3.0339999999999999E-2</v>
      </c>
      <c r="F10">
        <v>68923284.799999997</v>
      </c>
      <c r="G10">
        <v>3.0339999999999999E-2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-0.52603231597845679</v>
      </c>
      <c r="Q10">
        <f t="shared" ref="Q10" si="26">F10*P10</f>
        <v>-36255875.12818677</v>
      </c>
      <c r="R10">
        <f t="shared" ref="R10" si="27">R11+Q10</f>
        <v>-19800766309.43206</v>
      </c>
      <c r="S10">
        <f t="shared" ref="S10" si="28">R10/100000</f>
        <v>-198007.6630943206</v>
      </c>
      <c r="T10">
        <f t="shared" ref="T10" si="29">S10/1000</f>
        <v>-198.00766309432061</v>
      </c>
    </row>
    <row r="11" spans="1:20" x14ac:dyDescent="0.25">
      <c r="A11" s="5">
        <v>44582</v>
      </c>
      <c r="B11">
        <v>4.2229999999999997E-2</v>
      </c>
      <c r="C11">
        <v>4.2909999999999997E-2</v>
      </c>
      <c r="D11">
        <v>3.3309999999999999E-2</v>
      </c>
      <c r="E11">
        <v>3.3779999999999998E-2</v>
      </c>
      <c r="F11">
        <v>73954441.5</v>
      </c>
      <c r="G11">
        <v>3.3779999999999998E-2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-0.90208333333333368</v>
      </c>
      <c r="Q11">
        <f t="shared" ref="Q11" si="31">F11*P11</f>
        <v>-66713069.103125028</v>
      </c>
      <c r="R11">
        <f t="shared" ref="R11" si="32">R12+Q11</f>
        <v>-19764510434.303875</v>
      </c>
      <c r="S11">
        <f t="shared" ref="S11" si="33">R11/100000</f>
        <v>-197645.10434303875</v>
      </c>
      <c r="T11">
        <f t="shared" ref="T11" si="34">S11/1000</f>
        <v>-197.64510434303875</v>
      </c>
    </row>
    <row r="12" spans="1:20" x14ac:dyDescent="0.25">
      <c r="A12" s="5">
        <v>44581</v>
      </c>
      <c r="B12">
        <v>4.3900000000000002E-2</v>
      </c>
      <c r="C12">
        <v>4.5319999999999999E-2</v>
      </c>
      <c r="D12">
        <v>4.1610000000000001E-2</v>
      </c>
      <c r="E12">
        <v>4.2209999999999998E-2</v>
      </c>
      <c r="F12">
        <v>35756278.5</v>
      </c>
      <c r="G12">
        <v>4.2209999999999998E-2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-0.67654986522911231</v>
      </c>
      <c r="Q12">
        <f t="shared" ref="Q12" si="36">F12*P12</f>
        <v>-24190905.400269605</v>
      </c>
      <c r="R12">
        <f t="shared" ref="R12" si="37">R13+Q12</f>
        <v>-19697797365.200748</v>
      </c>
      <c r="S12">
        <f t="shared" ref="S12" si="38">R12/100000</f>
        <v>-196977.97365200749</v>
      </c>
      <c r="T12">
        <f t="shared" ref="T12" si="39">S12/1000</f>
        <v>-196.97797365200751</v>
      </c>
    </row>
    <row r="13" spans="1:20" x14ac:dyDescent="0.25">
      <c r="A13" s="5">
        <v>44580</v>
      </c>
      <c r="B13">
        <v>4.505E-2</v>
      </c>
      <c r="C13">
        <v>4.5940000000000002E-2</v>
      </c>
      <c r="D13">
        <v>4.3159999999999997E-2</v>
      </c>
      <c r="E13">
        <v>4.3790000000000003E-2</v>
      </c>
      <c r="F13">
        <v>26304331</v>
      </c>
      <c r="G13">
        <v>4.3790000000000003E-2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-0.54676258992805438</v>
      </c>
      <c r="Q13">
        <f t="shared" ref="Q13" si="41">F13*P13</f>
        <v>-14382224.143884808</v>
      </c>
      <c r="R13">
        <f t="shared" ref="R13" si="42">R14+Q13</f>
        <v>-19673606459.80048</v>
      </c>
      <c r="S13">
        <f t="shared" ref="S13" si="43">R13/100000</f>
        <v>-196736.0645980048</v>
      </c>
      <c r="T13">
        <f t="shared" ref="T13" si="44">S13/1000</f>
        <v>-196.73606459800479</v>
      </c>
    </row>
    <row r="14" spans="1:20" x14ac:dyDescent="0.25">
      <c r="A14" s="5">
        <v>44579</v>
      </c>
      <c r="B14">
        <v>4.5469999999999997E-2</v>
      </c>
      <c r="C14">
        <v>4.6789999999999998E-2</v>
      </c>
      <c r="D14">
        <v>4.3650000000000001E-2</v>
      </c>
      <c r="E14">
        <v>4.505E-2</v>
      </c>
      <c r="F14">
        <v>37886232.299999997</v>
      </c>
      <c r="G14">
        <v>4.505E-2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-0.10828025477707018</v>
      </c>
      <c r="Q14">
        <f t="shared" ref="Q14" si="46">F14*P14</f>
        <v>-4102330.885987265</v>
      </c>
      <c r="R14">
        <f t="shared" ref="R14" si="47">R15+Q14</f>
        <v>-19659224235.656593</v>
      </c>
      <c r="S14">
        <f t="shared" ref="S14" si="48">R14/100000</f>
        <v>-196592.24235656593</v>
      </c>
      <c r="T14">
        <f t="shared" ref="T14" si="49">S14/1000</f>
        <v>-196.59224235656592</v>
      </c>
    </row>
    <row r="15" spans="1:20" x14ac:dyDescent="0.25">
      <c r="A15" s="5">
        <v>44578</v>
      </c>
      <c r="B15">
        <v>4.7460000000000002E-2</v>
      </c>
      <c r="C15">
        <v>4.759E-2</v>
      </c>
      <c r="D15">
        <v>4.4699999999999997E-2</v>
      </c>
      <c r="E15">
        <v>4.5400000000000003E-2</v>
      </c>
      <c r="F15">
        <v>25396891.5</v>
      </c>
      <c r="G15">
        <v>4.5400000000000003E-2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-0.51557093425605172</v>
      </c>
      <c r="Q15">
        <f t="shared" ref="Q15" si="51">F15*P15</f>
        <v>-13093899.077854579</v>
      </c>
      <c r="R15">
        <f t="shared" ref="R15" si="52">R16+Q15</f>
        <v>-19655121904.770607</v>
      </c>
      <c r="S15">
        <f t="shared" ref="S15" si="53">R15/100000</f>
        <v>-196551.21904770608</v>
      </c>
      <c r="T15">
        <f t="shared" ref="T15" si="54">S15/1000</f>
        <v>-196.55121904770607</v>
      </c>
    </row>
    <row r="16" spans="1:20" x14ac:dyDescent="0.25">
      <c r="A16" s="5">
        <v>44577</v>
      </c>
      <c r="B16">
        <v>4.8210000000000003E-2</v>
      </c>
      <c r="C16">
        <v>4.8899999999999999E-2</v>
      </c>
      <c r="D16">
        <v>4.6699999999999998E-2</v>
      </c>
      <c r="E16">
        <v>4.7449999999999999E-2</v>
      </c>
      <c r="F16">
        <v>32685391.899999999</v>
      </c>
      <c r="G16">
        <v>4.7449999999999999E-2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-0.31818181818181773</v>
      </c>
      <c r="Q16">
        <f t="shared" ref="Q16" si="56">F16*P16</f>
        <v>-10399897.422727257</v>
      </c>
      <c r="R16">
        <f t="shared" ref="R16" si="57">R17+Q16</f>
        <v>-19642028005.692753</v>
      </c>
      <c r="S16">
        <f t="shared" ref="S16" si="58">R16/100000</f>
        <v>-196420.28005692753</v>
      </c>
      <c r="T16">
        <f t="shared" ref="T16" si="59">S16/1000</f>
        <v>-196.42028005692754</v>
      </c>
    </row>
    <row r="17" spans="1:20" x14ac:dyDescent="0.25">
      <c r="A17" s="5">
        <v>44576</v>
      </c>
      <c r="B17">
        <v>4.8090000000000001E-2</v>
      </c>
      <c r="C17">
        <v>4.9439999999999998E-2</v>
      </c>
      <c r="D17">
        <v>4.7129999999999998E-2</v>
      </c>
      <c r="E17">
        <v>4.8210000000000003E-2</v>
      </c>
      <c r="F17">
        <v>28208025.699999999</v>
      </c>
      <c r="G17">
        <v>4.8210000000000003E-2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-6.4935064935060793E-2</v>
      </c>
      <c r="Q17">
        <f t="shared" ref="Q17" si="61">F17*P17</f>
        <v>-1831689.9805193637</v>
      </c>
      <c r="R17">
        <f t="shared" ref="R17" si="62">R18+Q17</f>
        <v>-19631628108.270027</v>
      </c>
      <c r="S17">
        <f t="shared" ref="S17" si="63">R17/100000</f>
        <v>-196316.28108270027</v>
      </c>
      <c r="T17">
        <f t="shared" ref="T17" si="64">S17/1000</f>
        <v>-196.31628108270027</v>
      </c>
    </row>
    <row r="18" spans="1:20" x14ac:dyDescent="0.25">
      <c r="A18" s="5">
        <v>44575</v>
      </c>
      <c r="B18">
        <v>4.7359999999999999E-2</v>
      </c>
      <c r="C18">
        <v>4.8500000000000001E-2</v>
      </c>
      <c r="D18">
        <v>4.5560000000000003E-2</v>
      </c>
      <c r="E18">
        <v>4.7989999999999998E-2</v>
      </c>
      <c r="F18">
        <v>33344464.199999999</v>
      </c>
      <c r="G18">
        <v>4.7989999999999998E-2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0.65306122448979331</v>
      </c>
      <c r="Q18">
        <f t="shared" ref="Q18" si="66">F18*P18</f>
        <v>21775976.620408077</v>
      </c>
      <c r="R18">
        <f t="shared" ref="R18" si="67">R19+Q18</f>
        <v>-19629796418.289509</v>
      </c>
      <c r="S18">
        <f t="shared" ref="S18" si="68">R18/100000</f>
        <v>-196297.96418289508</v>
      </c>
      <c r="T18">
        <f t="shared" ref="T18" si="69">S18/1000</f>
        <v>-196.29796418289507</v>
      </c>
    </row>
    <row r="19" spans="1:20" x14ac:dyDescent="0.25">
      <c r="A19" s="5">
        <v>44574</v>
      </c>
      <c r="B19">
        <v>5.0299999999999997E-2</v>
      </c>
      <c r="C19">
        <v>5.0950000000000002E-2</v>
      </c>
      <c r="D19">
        <v>4.7210000000000002E-2</v>
      </c>
      <c r="E19">
        <v>4.7320000000000001E-2</v>
      </c>
      <c r="F19">
        <v>38882592.799999997</v>
      </c>
      <c r="G19">
        <v>4.7320000000000001E-2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-0.94117647058823584</v>
      </c>
      <c r="Q19">
        <f t="shared" ref="Q19" si="71">F19*P19</f>
        <v>-36595381.458823547</v>
      </c>
      <c r="R19">
        <f t="shared" ref="R19" si="72">R20+Q19</f>
        <v>-19651572394.909916</v>
      </c>
      <c r="S19">
        <f t="shared" ref="S19" si="73">R19/100000</f>
        <v>-196515.72394909916</v>
      </c>
      <c r="T19">
        <f t="shared" ref="T19" si="74">S19/1000</f>
        <v>-196.51572394909917</v>
      </c>
    </row>
    <row r="20" spans="1:20" x14ac:dyDescent="0.25">
      <c r="A20" s="5">
        <v>44573</v>
      </c>
      <c r="B20">
        <v>4.7919999999999997E-2</v>
      </c>
      <c r="C20">
        <v>5.1450000000000003E-2</v>
      </c>
      <c r="D20">
        <v>4.7600000000000003E-2</v>
      </c>
      <c r="E20">
        <v>5.0259999999999999E-2</v>
      </c>
      <c r="F20">
        <v>44962127.399999999</v>
      </c>
      <c r="G20">
        <v>5.0259999999999999E-2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0.38181818181817984</v>
      </c>
      <c r="Q20">
        <f t="shared" ref="Q20" si="76">F20*P20</f>
        <v>17167357.734545365</v>
      </c>
      <c r="R20">
        <f t="shared" ref="R20" si="77">R21+Q20</f>
        <v>-19614977013.451092</v>
      </c>
      <c r="S20">
        <f t="shared" ref="S20" si="78">R20/100000</f>
        <v>-196149.77013451091</v>
      </c>
      <c r="T20">
        <f t="shared" ref="T20" si="79">S20/1000</f>
        <v>-196.1497701345109</v>
      </c>
    </row>
    <row r="21" spans="1:20" x14ac:dyDescent="0.25">
      <c r="A21" s="5">
        <v>44572</v>
      </c>
      <c r="B21">
        <v>4.6339999999999999E-2</v>
      </c>
      <c r="C21">
        <v>4.9369999999999997E-2</v>
      </c>
      <c r="D21">
        <v>4.5789999999999997E-2</v>
      </c>
      <c r="E21">
        <v>4.7919999999999997E-2</v>
      </c>
      <c r="F21">
        <v>48248201.100000001</v>
      </c>
      <c r="G21">
        <v>4.7919999999999997E-2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0.18994413407821231</v>
      </c>
      <c r="Q21">
        <f t="shared" ref="Q21" si="81">F21*P21</f>
        <v>9164462.7787709516</v>
      </c>
      <c r="R21">
        <f t="shared" ref="R21" si="82">R22+Q21</f>
        <v>-19632144371.185638</v>
      </c>
      <c r="S21">
        <f t="shared" ref="S21" si="83">R21/100000</f>
        <v>-196321.44371185638</v>
      </c>
      <c r="T21">
        <f t="shared" ref="T21" si="84">S21/1000</f>
        <v>-196.32144371185638</v>
      </c>
    </row>
    <row r="22" spans="1:20" x14ac:dyDescent="0.25">
      <c r="A22" s="5">
        <v>44571</v>
      </c>
      <c r="B22">
        <v>4.9639999999999997E-2</v>
      </c>
      <c r="C22">
        <v>4.9970000000000001E-2</v>
      </c>
      <c r="D22">
        <v>4.444E-2</v>
      </c>
      <c r="E22">
        <v>4.6309999999999997E-2</v>
      </c>
      <c r="F22">
        <v>47236271.399999999</v>
      </c>
      <c r="G22">
        <v>4.6309999999999997E-2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-0.32368896925859075</v>
      </c>
      <c r="Q22">
        <f t="shared" ref="Q22" si="86">F22*P22</f>
        <v>-15289860.001085049</v>
      </c>
      <c r="R22">
        <f t="shared" ref="R22" si="87">R23+Q22</f>
        <v>-19641308833.964409</v>
      </c>
      <c r="S22">
        <f t="shared" ref="S22" si="88">R22/100000</f>
        <v>-196413.08833964408</v>
      </c>
      <c r="T22">
        <f t="shared" ref="T22" si="89">S22/1000</f>
        <v>-196.41308833964408</v>
      </c>
    </row>
    <row r="23" spans="1:20" x14ac:dyDescent="0.25">
      <c r="A23" s="5">
        <v>44570</v>
      </c>
      <c r="B23">
        <v>4.8910000000000002E-2</v>
      </c>
      <c r="C23">
        <v>5.1839999999999997E-2</v>
      </c>
      <c r="D23">
        <v>4.8529999999999997E-2</v>
      </c>
      <c r="E23">
        <v>4.9639999999999997E-2</v>
      </c>
      <c r="F23">
        <v>37730080.899999999</v>
      </c>
      <c r="G23">
        <v>4.9639999999999997E-2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-0.32930513595166178</v>
      </c>
      <c r="Q23">
        <f t="shared" ref="Q23" si="91">F23*P23</f>
        <v>-12424709.420241697</v>
      </c>
      <c r="R23">
        <f t="shared" ref="R23" si="92">R24+Q23</f>
        <v>-19626018973.963326</v>
      </c>
      <c r="S23">
        <f t="shared" ref="S23" si="93">R23/100000</f>
        <v>-196260.18973963326</v>
      </c>
      <c r="T23">
        <f t="shared" ref="T23" si="94">S23/1000</f>
        <v>-196.26018973963326</v>
      </c>
    </row>
    <row r="24" spans="1:20" x14ac:dyDescent="0.25">
      <c r="A24" s="5">
        <v>44569</v>
      </c>
      <c r="B24">
        <v>4.965E-2</v>
      </c>
      <c r="C24">
        <v>5.3850000000000002E-2</v>
      </c>
      <c r="D24">
        <v>4.7710000000000002E-2</v>
      </c>
      <c r="E24">
        <v>4.8930000000000001E-2</v>
      </c>
      <c r="F24">
        <v>102272280.90000001</v>
      </c>
      <c r="G24">
        <v>4.8930000000000001E-2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-0.60260586319218279</v>
      </c>
      <c r="Q24">
        <f t="shared" ref="Q24" si="96">F24*P24</f>
        <v>-61629876.112377889</v>
      </c>
      <c r="R24">
        <f t="shared" ref="R24" si="97">R25+Q24</f>
        <v>-19613594264.543083</v>
      </c>
      <c r="S24">
        <f t="shared" ref="S24" si="98">R24/100000</f>
        <v>-196135.94264543083</v>
      </c>
      <c r="T24">
        <f t="shared" ref="T24" si="99">S24/1000</f>
        <v>-196.13594264543082</v>
      </c>
    </row>
    <row r="25" spans="1:20" x14ac:dyDescent="0.25">
      <c r="A25" s="5">
        <v>44568</v>
      </c>
      <c r="B25">
        <v>5.4679999999999999E-2</v>
      </c>
      <c r="C25">
        <v>5.475E-2</v>
      </c>
      <c r="D25">
        <v>4.8840000000000001E-2</v>
      </c>
      <c r="E25">
        <v>4.965E-2</v>
      </c>
      <c r="F25">
        <v>74502732.400000006</v>
      </c>
      <c r="G25">
        <v>4.965E-2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-0.72588832487309696</v>
      </c>
      <c r="Q25">
        <f t="shared" ref="Q25" si="101">F25*P25</f>
        <v>-54080663.620304614</v>
      </c>
      <c r="R25">
        <f t="shared" ref="R25" si="102">R26+Q25</f>
        <v>-19551964388.430706</v>
      </c>
      <c r="S25">
        <f t="shared" ref="S25" si="103">R25/100000</f>
        <v>-195519.64388430706</v>
      </c>
      <c r="T25">
        <f t="shared" ref="T25" si="104">S25/1000</f>
        <v>-195.51964388430707</v>
      </c>
    </row>
    <row r="26" spans="1:20" x14ac:dyDescent="0.25">
      <c r="A26" s="5">
        <v>44567</v>
      </c>
      <c r="B26">
        <v>5.5120000000000002E-2</v>
      </c>
      <c r="C26">
        <v>5.6309999999999999E-2</v>
      </c>
      <c r="D26">
        <v>5.2240000000000002E-2</v>
      </c>
      <c r="E26">
        <v>5.4679999999999999E-2</v>
      </c>
      <c r="F26">
        <v>91692938.400000006</v>
      </c>
      <c r="G26">
        <v>5.4679999999999999E-2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0.19901719901719872</v>
      </c>
      <c r="Q26">
        <f t="shared" ref="Q26" si="106">F26*P26</f>
        <v>18248471.770024545</v>
      </c>
      <c r="R26">
        <f t="shared" ref="R26" si="107">R27+Q26</f>
        <v>-19497883724.810402</v>
      </c>
      <c r="S26">
        <f t="shared" ref="S26" si="108">R26/100000</f>
        <v>-194978.83724810401</v>
      </c>
      <c r="T26">
        <f t="shared" ref="T26" si="109">S26/1000</f>
        <v>-194.97883724810401</v>
      </c>
    </row>
    <row r="27" spans="1:20" x14ac:dyDescent="0.25">
      <c r="A27" s="5">
        <v>44566</v>
      </c>
      <c r="B27">
        <v>6.1780000000000002E-2</v>
      </c>
      <c r="C27">
        <v>6.5000000000000002E-2</v>
      </c>
      <c r="D27">
        <v>5.3469999999999997E-2</v>
      </c>
      <c r="E27">
        <v>5.5109999999999999E-2</v>
      </c>
      <c r="F27">
        <v>95025009.200000003</v>
      </c>
      <c r="G27">
        <v>5.5109999999999999E-2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-0.71552471812662588</v>
      </c>
      <c r="Q27">
        <f t="shared" ref="Q27" si="111">F27*P27</f>
        <v>-67992742.922810033</v>
      </c>
      <c r="R27">
        <f t="shared" ref="R27" si="112">R28+Q27</f>
        <v>-19516132196.580425</v>
      </c>
      <c r="S27">
        <f t="shared" ref="S27" si="113">R27/100000</f>
        <v>-195161.32196580427</v>
      </c>
      <c r="T27">
        <f t="shared" ref="T27" si="114">S27/1000</f>
        <v>-195.16132196580426</v>
      </c>
    </row>
    <row r="28" spans="1:20" x14ac:dyDescent="0.25">
      <c r="A28" s="5">
        <v>44565</v>
      </c>
      <c r="B28">
        <v>6.0600000000000001E-2</v>
      </c>
      <c r="C28">
        <v>6.5000000000000002E-2</v>
      </c>
      <c r="D28">
        <v>5.9499999999999997E-2</v>
      </c>
      <c r="E28">
        <v>6.1780000000000002E-2</v>
      </c>
      <c r="F28">
        <v>123807331.40000001</v>
      </c>
      <c r="G28">
        <v>6.1780000000000002E-2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-0.17090909090909009</v>
      </c>
      <c r="Q28">
        <f t="shared" ref="Q28" si="116">F28*P28</f>
        <v>-21159798.457454447</v>
      </c>
      <c r="R28">
        <f t="shared" ref="R28" si="117">R29+Q28</f>
        <v>-19448139453.657616</v>
      </c>
      <c r="S28">
        <f t="shared" ref="S28" si="118">R28/100000</f>
        <v>-194481.39453657615</v>
      </c>
      <c r="T28">
        <f t="shared" ref="T28" si="119">S28/1000</f>
        <v>-194.48139453657615</v>
      </c>
    </row>
    <row r="29" spans="1:20" x14ac:dyDescent="0.25">
      <c r="A29" s="5">
        <v>44564</v>
      </c>
      <c r="B29">
        <v>6.1460000000000001E-2</v>
      </c>
      <c r="C29">
        <v>6.4549999999999996E-2</v>
      </c>
      <c r="D29">
        <v>0.06</v>
      </c>
      <c r="E29">
        <v>6.0609999999999997E-2</v>
      </c>
      <c r="F29">
        <v>89076652.099999994</v>
      </c>
      <c r="G29">
        <v>6.0609999999999997E-2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-0.73186813186813204</v>
      </c>
      <c r="Q29">
        <f t="shared" ref="Q29" si="121">F29*P29</f>
        <v>-65192362.965494514</v>
      </c>
      <c r="R29">
        <f t="shared" ref="R29" si="122">R30+Q29</f>
        <v>-19426979655.200161</v>
      </c>
      <c r="S29">
        <f t="shared" ref="S29" si="123">R29/100000</f>
        <v>-194269.79655200162</v>
      </c>
      <c r="T29">
        <f t="shared" ref="T29" si="124">S29/1000</f>
        <v>-194.26979655200162</v>
      </c>
    </row>
    <row r="30" spans="1:20" x14ac:dyDescent="0.25">
      <c r="A30" s="5">
        <v>44563</v>
      </c>
      <c r="B30">
        <v>6.0159999999999998E-2</v>
      </c>
      <c r="C30">
        <v>6.3899999999999998E-2</v>
      </c>
      <c r="D30">
        <v>5.9080000000000001E-2</v>
      </c>
      <c r="E30">
        <v>6.1420000000000002E-2</v>
      </c>
      <c r="F30">
        <v>104888635.40000001</v>
      </c>
      <c r="G30">
        <v>6.1420000000000002E-2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-2.9045643153525799E-2</v>
      </c>
      <c r="Q30">
        <f t="shared" ref="Q30" si="126">F30*P30</f>
        <v>-3046557.8746886738</v>
      </c>
      <c r="R30">
        <f t="shared" ref="R30" si="127">R31+Q30</f>
        <v>-19361787292.234665</v>
      </c>
      <c r="S30">
        <f t="shared" ref="S30" si="128">R30/100000</f>
        <v>-193617.87292234664</v>
      </c>
      <c r="T30">
        <f t="shared" ref="T30" si="129">S30/1000</f>
        <v>-193.61787292234663</v>
      </c>
    </row>
    <row r="31" spans="1:20" x14ac:dyDescent="0.25">
      <c r="A31" s="5">
        <v>44562</v>
      </c>
      <c r="B31">
        <v>5.9119999999999999E-2</v>
      </c>
      <c r="C31">
        <v>6.0839999999999998E-2</v>
      </c>
      <c r="D31">
        <v>5.8549999999999998E-2</v>
      </c>
      <c r="E31">
        <v>6.0089999999999998E-2</v>
      </c>
      <c r="F31">
        <v>37449468.200000003</v>
      </c>
      <c r="G31">
        <v>6.0089999999999998E-2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0.34497816593886416</v>
      </c>
      <c r="Q31">
        <f t="shared" ref="Q31" si="131">F31*P31</f>
        <v>12919248.855021818</v>
      </c>
      <c r="R31">
        <f t="shared" ref="R31" si="132">R32+Q31</f>
        <v>-19358740734.359978</v>
      </c>
      <c r="S31">
        <f t="shared" ref="S31" si="133">R31/100000</f>
        <v>-193587.40734359977</v>
      </c>
      <c r="T31">
        <f t="shared" ref="T31" si="134">S31/1000</f>
        <v>-193.58740734359978</v>
      </c>
    </row>
    <row r="32" spans="1:20" x14ac:dyDescent="0.25">
      <c r="A32" s="5">
        <v>44561</v>
      </c>
      <c r="B32">
        <v>6.0940000000000001E-2</v>
      </c>
      <c r="C32">
        <v>6.198E-2</v>
      </c>
      <c r="D32">
        <v>5.8200000000000002E-2</v>
      </c>
      <c r="E32">
        <v>5.9119999999999999E-2</v>
      </c>
      <c r="F32">
        <v>57372845.100000001</v>
      </c>
      <c r="G32">
        <v>5.9119999999999999E-2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-0.51322751322751448</v>
      </c>
      <c r="Q32">
        <f t="shared" ref="Q32" si="136">F32*P32</f>
        <v>-29445322.617460389</v>
      </c>
      <c r="R32">
        <f t="shared" ref="R32" si="137">R33+Q32</f>
        <v>-19371659983.215</v>
      </c>
      <c r="S32">
        <f t="shared" ref="S32" si="138">R32/100000</f>
        <v>-193716.59983215001</v>
      </c>
      <c r="T32">
        <f t="shared" ref="T32" si="139">S32/1000</f>
        <v>-193.71659983215</v>
      </c>
    </row>
    <row r="33" spans="1:20" x14ac:dyDescent="0.25">
      <c r="A33" s="5">
        <v>44560</v>
      </c>
      <c r="B33">
        <v>6.0589999999999998E-2</v>
      </c>
      <c r="C33">
        <v>6.4799999999999996E-2</v>
      </c>
      <c r="D33">
        <v>5.9670000000000001E-2</v>
      </c>
      <c r="E33">
        <v>6.0940000000000001E-2</v>
      </c>
      <c r="F33">
        <v>101650804.7</v>
      </c>
      <c r="G33">
        <v>6.0940000000000001E-2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-0.50487329434697803</v>
      </c>
      <c r="Q33">
        <f t="shared" ref="Q33" si="141">F33*P33</f>
        <v>-51320776.641910277</v>
      </c>
      <c r="R33">
        <f t="shared" ref="R33" si="142">R34+Q33</f>
        <v>-19342214660.597538</v>
      </c>
      <c r="S33">
        <f t="shared" ref="S33" si="143">R33/100000</f>
        <v>-193422.14660597537</v>
      </c>
      <c r="T33">
        <f t="shared" ref="T33" si="144">S33/1000</f>
        <v>-193.42214660597537</v>
      </c>
    </row>
    <row r="34" spans="1:20" x14ac:dyDescent="0.25">
      <c r="A34" s="5">
        <v>44559</v>
      </c>
      <c r="B34">
        <v>5.953E-2</v>
      </c>
      <c r="C34">
        <v>6.3539999999999999E-2</v>
      </c>
      <c r="D34">
        <v>5.9279999999999999E-2</v>
      </c>
      <c r="E34">
        <v>6.0600000000000001E-2</v>
      </c>
      <c r="F34">
        <v>97248971.599999994</v>
      </c>
      <c r="G34">
        <v>6.0600000000000001E-2</v>
      </c>
      <c r="L34" t="s">
        <v>8</v>
      </c>
      <c r="M34" t="s">
        <v>7</v>
      </c>
      <c r="N34" t="s">
        <v>8</v>
      </c>
      <c r="P34">
        <f t="shared" ref="P34" si="145">IF(C34=D34,0,((E34-D34)-(C34-E34))/(C34-D34))</f>
        <v>-0.38028169014084423</v>
      </c>
      <c r="Q34">
        <f t="shared" ref="Q34" si="146">F34*P34</f>
        <v>-36982003.284506962</v>
      </c>
      <c r="R34">
        <f t="shared" ref="R34" si="147">R35+Q34</f>
        <v>-19290893883.955627</v>
      </c>
      <c r="S34">
        <f t="shared" ref="S34" si="148">R34/100000</f>
        <v>-192908.93883955627</v>
      </c>
      <c r="T34">
        <f t="shared" ref="T34" si="149">S34/1000</f>
        <v>-192.90893883955627</v>
      </c>
    </row>
    <row r="35" spans="1:20" x14ac:dyDescent="0.25">
      <c r="A35" s="5">
        <v>44558</v>
      </c>
      <c r="B35">
        <v>6.5229999999999996E-2</v>
      </c>
      <c r="C35">
        <v>6.7699999999999996E-2</v>
      </c>
      <c r="D35">
        <v>5.8000000000000003E-2</v>
      </c>
      <c r="E35">
        <v>5.9520000000000003E-2</v>
      </c>
      <c r="F35">
        <v>142949866.59999999</v>
      </c>
      <c r="G35">
        <v>5.9520000000000003E-2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-0.68659793814432957</v>
      </c>
      <c r="Q35">
        <f t="shared" ref="Q35" si="151">F35*P35</f>
        <v>-98149083.665566966</v>
      </c>
      <c r="R35">
        <f t="shared" ref="R35" si="152">R36+Q35</f>
        <v>-19253911880.67112</v>
      </c>
      <c r="S35">
        <f t="shared" ref="S35" si="153">R35/100000</f>
        <v>-192539.11880671119</v>
      </c>
      <c r="T35">
        <f t="shared" ref="T35" si="154">S35/1000</f>
        <v>-192.5391188067112</v>
      </c>
    </row>
    <row r="36" spans="1:20" x14ac:dyDescent="0.25">
      <c r="A36" s="5">
        <v>44557</v>
      </c>
      <c r="B36">
        <v>6.4310000000000006E-2</v>
      </c>
      <c r="C36">
        <v>7.7219999999999997E-2</v>
      </c>
      <c r="D36">
        <v>6.2899999999999998E-2</v>
      </c>
      <c r="E36">
        <v>6.5369999999999998E-2</v>
      </c>
      <c r="F36">
        <v>328338368.39999998</v>
      </c>
      <c r="G36">
        <v>6.5369999999999998E-2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-0.6550279329608939</v>
      </c>
      <c r="Q36">
        <f t="shared" ref="Q36" si="156">F36*P36</f>
        <v>-215070802.76480448</v>
      </c>
      <c r="R36">
        <f t="shared" ref="R36" si="157">R37+Q36</f>
        <v>-19155762797.005554</v>
      </c>
      <c r="S36">
        <f t="shared" ref="S36" si="158">R36/100000</f>
        <v>-191557.62797005553</v>
      </c>
      <c r="T36">
        <f t="shared" ref="T36" si="159">S36/1000</f>
        <v>-191.55762797005553</v>
      </c>
    </row>
    <row r="37" spans="1:20" x14ac:dyDescent="0.25">
      <c r="A37" s="5">
        <v>44556</v>
      </c>
      <c r="B37">
        <v>6.1030000000000001E-2</v>
      </c>
      <c r="C37">
        <v>6.9550000000000001E-2</v>
      </c>
      <c r="D37">
        <v>5.8569999999999997E-2</v>
      </c>
      <c r="E37">
        <v>6.4299999999999996E-2</v>
      </c>
      <c r="F37">
        <v>136985905.19999999</v>
      </c>
      <c r="G37">
        <v>6.4299999999999996E-2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4.3715846994534985E-2</v>
      </c>
      <c r="Q37">
        <f t="shared" ref="Q37" si="161">F37*P37</f>
        <v>5988454.8721310738</v>
      </c>
      <c r="R37">
        <f t="shared" ref="R37" si="162">R38+Q37</f>
        <v>-18940691994.240749</v>
      </c>
      <c r="S37">
        <f t="shared" ref="S37" si="163">R37/100000</f>
        <v>-189406.91994240749</v>
      </c>
      <c r="T37">
        <f t="shared" ref="T37" si="164">S37/1000</f>
        <v>-189.40691994240748</v>
      </c>
    </row>
    <row r="38" spans="1:20" x14ac:dyDescent="0.25">
      <c r="A38" s="5">
        <v>44555</v>
      </c>
      <c r="B38">
        <v>6.0429999999999998E-2</v>
      </c>
      <c r="C38">
        <v>6.2799999999999995E-2</v>
      </c>
      <c r="D38">
        <v>5.9790000000000003E-2</v>
      </c>
      <c r="E38">
        <v>6.1010000000000002E-2</v>
      </c>
      <c r="F38">
        <v>52165931.100000001</v>
      </c>
      <c r="G38">
        <v>6.1010000000000002E-2</v>
      </c>
      <c r="L38" t="s">
        <v>7</v>
      </c>
      <c r="M38" t="s">
        <v>7</v>
      </c>
      <c r="N38" t="s">
        <v>8</v>
      </c>
      <c r="P38">
        <f t="shared" ref="P38" si="165">IF(C38=D38,0,((E38-D38)-(C38-E38))/(C38-D38))</f>
        <v>-0.18936877076411815</v>
      </c>
      <c r="Q38">
        <f t="shared" ref="Q38" si="166">F38*P38</f>
        <v>-9878598.2481726818</v>
      </c>
      <c r="R38">
        <f t="shared" ref="R38" si="167">R39+Q38</f>
        <v>-18946680449.112881</v>
      </c>
      <c r="S38">
        <f t="shared" ref="S38" si="168">R38/100000</f>
        <v>-189466.8044911288</v>
      </c>
      <c r="T38">
        <f t="shared" ref="T38" si="169">S38/1000</f>
        <v>-189.46680449112881</v>
      </c>
    </row>
    <row r="39" spans="1:20" x14ac:dyDescent="0.25">
      <c r="A39" s="5">
        <v>44554</v>
      </c>
      <c r="B39">
        <v>6.2659999999999993E-2</v>
      </c>
      <c r="C39">
        <v>6.4399999999999999E-2</v>
      </c>
      <c r="D39">
        <v>5.994E-2</v>
      </c>
      <c r="E39">
        <v>6.0420000000000001E-2</v>
      </c>
      <c r="F39">
        <v>100255980.3</v>
      </c>
      <c r="G39">
        <v>6.0420000000000001E-2</v>
      </c>
      <c r="L39" t="s">
        <v>8</v>
      </c>
      <c r="M39" t="s">
        <v>7</v>
      </c>
      <c r="N39" t="s">
        <v>8</v>
      </c>
      <c r="P39">
        <f t="shared" ref="P39" si="170">IF(C39=D39,0,((E39-D39)-(C39-E39))/(C39-D39))</f>
        <v>-0.78475336322869893</v>
      </c>
      <c r="Q39">
        <f t="shared" ref="Q39" si="171">F39*P39</f>
        <v>-78676217.72421518</v>
      </c>
      <c r="R39">
        <f t="shared" ref="R39" si="172">R40+Q39</f>
        <v>-18936801850.864708</v>
      </c>
      <c r="S39">
        <f t="shared" ref="S39" si="173">R39/100000</f>
        <v>-189368.01850864707</v>
      </c>
      <c r="T39">
        <f t="shared" ref="T39" si="174">S39/1000</f>
        <v>-189.36801850864708</v>
      </c>
    </row>
    <row r="40" spans="1:20" x14ac:dyDescent="0.25">
      <c r="A40" s="5">
        <v>44553</v>
      </c>
      <c r="B40">
        <v>5.9380000000000002E-2</v>
      </c>
      <c r="C40">
        <v>6.4579999999999999E-2</v>
      </c>
      <c r="D40">
        <v>5.722E-2</v>
      </c>
      <c r="E40">
        <v>6.2640000000000001E-2</v>
      </c>
      <c r="F40">
        <v>113615698.09999999</v>
      </c>
      <c r="G40">
        <v>6.2640000000000001E-2</v>
      </c>
      <c r="L40" t="s">
        <v>7</v>
      </c>
      <c r="M40" t="s">
        <v>7</v>
      </c>
      <c r="N40" t="s">
        <v>8</v>
      </c>
      <c r="P40">
        <f t="shared" ref="P40" si="175">IF(C40=D40,0,((E40-D40)-(C40-E40))/(C40-D40))</f>
        <v>0.4728260869565224</v>
      </c>
      <c r="Q40">
        <f t="shared" ref="Q40" si="176">F40*P40</f>
        <v>53720465.949456595</v>
      </c>
      <c r="R40">
        <f t="shared" ref="R40" si="177">R41+Q40</f>
        <v>-18858125633.140491</v>
      </c>
      <c r="S40">
        <f t="shared" ref="S40" si="178">R40/100000</f>
        <v>-188581.2563314049</v>
      </c>
      <c r="T40">
        <f t="shared" ref="T40" si="179">S40/1000</f>
        <v>-188.58125633140492</v>
      </c>
    </row>
    <row r="41" spans="1:20" x14ac:dyDescent="0.25">
      <c r="A41" s="5">
        <v>44552</v>
      </c>
      <c r="B41">
        <v>5.9679999999999997E-2</v>
      </c>
      <c r="C41">
        <v>6.1960000000000001E-2</v>
      </c>
      <c r="D41">
        <v>5.8650000000000001E-2</v>
      </c>
      <c r="E41">
        <v>5.9380000000000002E-2</v>
      </c>
      <c r="F41">
        <v>78733094.5</v>
      </c>
      <c r="G41">
        <v>5.9380000000000002E-2</v>
      </c>
      <c r="L41" t="s">
        <v>7</v>
      </c>
      <c r="M41" t="s">
        <v>7</v>
      </c>
      <c r="N41" t="s">
        <v>8</v>
      </c>
      <c r="P41">
        <f t="shared" ref="P41" si="180">IF(C41=D41,0,((E41-D41)-(C41-E41))/(C41-D41))</f>
        <v>-0.55891238670694776</v>
      </c>
      <c r="Q41">
        <f t="shared" ref="Q41" si="181">F41*P41</f>
        <v>-44004901.759818658</v>
      </c>
      <c r="R41">
        <f t="shared" ref="R41" si="182">R42+Q41</f>
        <v>-18911846099.089947</v>
      </c>
      <c r="S41">
        <f t="shared" ref="S41" si="183">R41/100000</f>
        <v>-189118.46099089948</v>
      </c>
      <c r="T41">
        <f t="shared" ref="T41" si="184">S41/1000</f>
        <v>-189.11846099089948</v>
      </c>
    </row>
    <row r="42" spans="1:20" x14ac:dyDescent="0.25">
      <c r="A42" s="5">
        <v>44551</v>
      </c>
      <c r="B42">
        <v>5.629E-2</v>
      </c>
      <c r="C42">
        <v>6.3740000000000005E-2</v>
      </c>
      <c r="D42">
        <v>5.577E-2</v>
      </c>
      <c r="E42">
        <v>5.9670000000000001E-2</v>
      </c>
      <c r="F42">
        <v>123480549.2</v>
      </c>
      <c r="G42">
        <v>5.9670000000000001E-2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-2.1329987452948982E-2</v>
      </c>
      <c r="Q42">
        <f t="shared" ref="Q42" si="186">F42*P42</f>
        <v>-2633838.5651192497</v>
      </c>
      <c r="R42">
        <f t="shared" ref="R42" si="187">R43+Q42</f>
        <v>-18867841197.330128</v>
      </c>
      <c r="S42">
        <f t="shared" ref="S42" si="188">R42/100000</f>
        <v>-188678.41197330126</v>
      </c>
      <c r="T42">
        <f t="shared" ref="T42" si="189">S42/1000</f>
        <v>-188.67841197330125</v>
      </c>
    </row>
    <row r="43" spans="1:20" x14ac:dyDescent="0.25">
      <c r="A43" s="5">
        <v>44550</v>
      </c>
      <c r="B43">
        <v>5.8599999999999999E-2</v>
      </c>
      <c r="C43">
        <v>5.8959999999999999E-2</v>
      </c>
      <c r="D43">
        <v>5.4120000000000001E-2</v>
      </c>
      <c r="E43">
        <v>5.6320000000000002E-2</v>
      </c>
      <c r="F43">
        <v>111827662.3</v>
      </c>
      <c r="G43">
        <v>5.6320000000000002E-2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-9.0909090909090121E-2</v>
      </c>
      <c r="Q43">
        <f t="shared" ref="Q43" si="191">F43*P43</f>
        <v>-10166151.11818173</v>
      </c>
      <c r="R43">
        <f t="shared" ref="R43" si="192">R44+Q43</f>
        <v>-18865207358.765007</v>
      </c>
      <c r="S43">
        <f t="shared" ref="S43" si="193">R43/100000</f>
        <v>-188652.07358765008</v>
      </c>
      <c r="T43">
        <f t="shared" ref="T43" si="194">S43/1000</f>
        <v>-188.65207358765008</v>
      </c>
    </row>
    <row r="44" spans="1:20" x14ac:dyDescent="0.25">
      <c r="A44" s="5">
        <v>44549</v>
      </c>
      <c r="B44">
        <v>6.1960000000000001E-2</v>
      </c>
      <c r="C44">
        <v>6.4799999999999996E-2</v>
      </c>
      <c r="D44">
        <v>5.8279999999999998E-2</v>
      </c>
      <c r="E44">
        <v>5.8659999999999997E-2</v>
      </c>
      <c r="F44">
        <v>134368626.90000001</v>
      </c>
      <c r="G44">
        <v>5.8659999999999997E-2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-0.88343558282208634</v>
      </c>
      <c r="Q44">
        <f t="shared" ref="Q44" si="196">F44*P44</f>
        <v>-118706026.21840498</v>
      </c>
      <c r="R44">
        <f t="shared" ref="R44" si="197">R45+Q44</f>
        <v>-18855041207.646824</v>
      </c>
      <c r="S44">
        <f t="shared" ref="S44" si="198">R44/100000</f>
        <v>-188550.41207646823</v>
      </c>
      <c r="T44">
        <f t="shared" ref="T44" si="199">S44/1000</f>
        <v>-188.55041207646823</v>
      </c>
    </row>
    <row r="45" spans="1:20" x14ac:dyDescent="0.25">
      <c r="A45" s="5">
        <v>44548</v>
      </c>
      <c r="B45">
        <v>6.1940000000000002E-2</v>
      </c>
      <c r="C45">
        <v>6.8000000000000005E-2</v>
      </c>
      <c r="D45">
        <v>6.0069999999999998E-2</v>
      </c>
      <c r="E45">
        <v>6.1960000000000001E-2</v>
      </c>
      <c r="F45">
        <v>184968176.40000001</v>
      </c>
      <c r="G45">
        <v>6.1960000000000001E-2</v>
      </c>
      <c r="L45" t="s">
        <v>7</v>
      </c>
      <c r="M45" t="s">
        <v>8</v>
      </c>
      <c r="N45" t="s">
        <v>8</v>
      </c>
      <c r="P45">
        <f t="shared" ref="P45" si="200">IF(C45=D45,0,((E45-D45)-(C45-E45))/(C45-D45))</f>
        <v>-0.52332912988650659</v>
      </c>
      <c r="Q45">
        <f t="shared" ref="Q45" si="201">F45*P45</f>
        <v>-96799234.812105864</v>
      </c>
      <c r="R45">
        <f t="shared" ref="R45" si="202">R46+Q45</f>
        <v>-18736335181.428417</v>
      </c>
      <c r="S45">
        <f t="shared" ref="S45" si="203">R45/100000</f>
        <v>-187363.35181428416</v>
      </c>
      <c r="T45">
        <f t="shared" ref="T45" si="204">S45/1000</f>
        <v>-187.36335181428416</v>
      </c>
    </row>
    <row r="46" spans="1:20" x14ac:dyDescent="0.25">
      <c r="A46" s="5">
        <v>44547</v>
      </c>
      <c r="B46">
        <v>6.0089999999999998E-2</v>
      </c>
      <c r="C46">
        <v>7.0739999999999997E-2</v>
      </c>
      <c r="D46">
        <v>5.8119999999999998E-2</v>
      </c>
      <c r="E46">
        <v>6.182E-2</v>
      </c>
      <c r="F46">
        <v>376832872.69999999</v>
      </c>
      <c r="G46">
        <v>6.182E-2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-0.41362916006339112</v>
      </c>
      <c r="Q46">
        <f t="shared" ref="Q46" si="206">F46*P46</f>
        <v>-155869064.61917579</v>
      </c>
      <c r="R46">
        <f t="shared" ref="R46" si="207">R47+Q46</f>
        <v>-18639535946.61631</v>
      </c>
      <c r="S46">
        <f t="shared" ref="S46" si="208">R46/100000</f>
        <v>-186395.35946616309</v>
      </c>
      <c r="T46">
        <f t="shared" ref="T46" si="209">S46/1000</f>
        <v>-186.39535946616309</v>
      </c>
    </row>
    <row r="47" spans="1:20" x14ac:dyDescent="0.25">
      <c r="A47" s="5">
        <v>44546</v>
      </c>
      <c r="B47">
        <v>5.475E-2</v>
      </c>
      <c r="C47">
        <v>6.4250000000000002E-2</v>
      </c>
      <c r="D47">
        <v>5.4539999999999998E-2</v>
      </c>
      <c r="E47">
        <v>6.0080000000000001E-2</v>
      </c>
      <c r="F47">
        <v>252379061.80000001</v>
      </c>
      <c r="G47">
        <v>6.0080000000000001E-2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0.14109165808444929</v>
      </c>
      <c r="Q47">
        <f t="shared" ref="Q47" si="211">F47*P47</f>
        <v>35608580.295159698</v>
      </c>
      <c r="R47">
        <f t="shared" ref="R47" si="212">R48+Q47</f>
        <v>-18483666881.997135</v>
      </c>
      <c r="S47">
        <f t="shared" ref="S47" si="213">R47/100000</f>
        <v>-184836.66881997135</v>
      </c>
      <c r="T47">
        <f t="shared" ref="T47" si="214">S47/1000</f>
        <v>-184.83666881997135</v>
      </c>
    </row>
    <row r="48" spans="1:20" x14ac:dyDescent="0.25">
      <c r="A48" s="5">
        <v>44545</v>
      </c>
      <c r="B48">
        <v>5.4129999999999998E-2</v>
      </c>
      <c r="C48">
        <v>5.704E-2</v>
      </c>
      <c r="D48">
        <v>4.9669999999999999E-2</v>
      </c>
      <c r="E48">
        <v>5.4699999999999999E-2</v>
      </c>
      <c r="F48">
        <v>96728008.200000003</v>
      </c>
      <c r="G48">
        <v>5.4699999999999999E-2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0.36499321573948407</v>
      </c>
      <c r="Q48">
        <f t="shared" ref="Q48" si="216">F48*P48</f>
        <v>35305066.764993183</v>
      </c>
      <c r="R48">
        <f t="shared" ref="R48" si="217">R49+Q48</f>
        <v>-18519275462.292294</v>
      </c>
      <c r="S48">
        <f t="shared" ref="S48" si="218">R48/100000</f>
        <v>-185192.75462292295</v>
      </c>
      <c r="T48">
        <f t="shared" ref="T48" si="219">S48/1000</f>
        <v>-185.19275462292296</v>
      </c>
    </row>
    <row r="49" spans="1:20" x14ac:dyDescent="0.25">
      <c r="A49" s="5">
        <v>44544</v>
      </c>
      <c r="B49">
        <v>5.4820000000000001E-2</v>
      </c>
      <c r="C49">
        <v>5.738E-2</v>
      </c>
      <c r="D49">
        <v>5.1679999999999997E-2</v>
      </c>
      <c r="E49">
        <v>5.4129999999999998E-2</v>
      </c>
      <c r="F49">
        <v>103119869.09999999</v>
      </c>
      <c r="G49">
        <v>5.4129999999999998E-2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-0.14035087719298273</v>
      </c>
      <c r="Q49">
        <f t="shared" ref="Q49" si="221">F49*P49</f>
        <v>-14472964.084210554</v>
      </c>
      <c r="R49">
        <f t="shared" ref="R49" si="222">R50+Q49</f>
        <v>-18554580529.057285</v>
      </c>
      <c r="S49">
        <f t="shared" ref="S49" si="223">R49/100000</f>
        <v>-185545.80529057284</v>
      </c>
      <c r="T49">
        <f t="shared" ref="T49" si="224">S49/1000</f>
        <v>-185.54580529057284</v>
      </c>
    </row>
    <row r="50" spans="1:20" x14ac:dyDescent="0.25">
      <c r="A50" s="5">
        <v>44543</v>
      </c>
      <c r="B50">
        <v>6.3950000000000007E-2</v>
      </c>
      <c r="C50">
        <v>6.4119999999999996E-2</v>
      </c>
      <c r="D50">
        <v>5.3629999999999997E-2</v>
      </c>
      <c r="E50">
        <v>5.484E-2</v>
      </c>
      <c r="F50">
        <v>110288914.5</v>
      </c>
      <c r="G50">
        <v>5.484E-2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-0.76930409914203945</v>
      </c>
      <c r="Q50">
        <f t="shared" ref="Q50" si="226">F50*P50</f>
        <v>-84845714.014775917</v>
      </c>
      <c r="R50">
        <f t="shared" ref="R50" si="227">R51+Q50</f>
        <v>-18540107564.973076</v>
      </c>
      <c r="S50">
        <f t="shared" ref="S50" si="228">R50/100000</f>
        <v>-185401.07564973074</v>
      </c>
      <c r="T50">
        <f t="shared" ref="T50" si="229">S50/1000</f>
        <v>-185.40107564973076</v>
      </c>
    </row>
    <row r="51" spans="1:20" x14ac:dyDescent="0.25">
      <c r="A51" s="5">
        <v>44542</v>
      </c>
      <c r="B51">
        <v>6.5070000000000003E-2</v>
      </c>
      <c r="C51">
        <v>6.5850000000000006E-2</v>
      </c>
      <c r="D51">
        <v>6.2740000000000004E-2</v>
      </c>
      <c r="E51">
        <v>6.3930000000000001E-2</v>
      </c>
      <c r="F51">
        <v>105110498.59999999</v>
      </c>
      <c r="G51">
        <v>6.3930000000000001E-2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-0.23472668810289649</v>
      </c>
      <c r="Q51">
        <f t="shared" ref="Q51" si="231">F51*P51</f>
        <v>-24672239.221222136</v>
      </c>
      <c r="R51">
        <f t="shared" ref="R51" si="232">R52+Q51</f>
        <v>-18455261850.958302</v>
      </c>
      <c r="S51">
        <f t="shared" ref="S51" si="233">R51/100000</f>
        <v>-184552.61850958303</v>
      </c>
      <c r="T51">
        <f t="shared" ref="T51" si="234">S51/1000</f>
        <v>-184.55261850958303</v>
      </c>
    </row>
    <row r="52" spans="1:20" x14ac:dyDescent="0.25">
      <c r="A52" s="5">
        <v>44541</v>
      </c>
      <c r="B52">
        <v>6.2469999999999998E-2</v>
      </c>
      <c r="C52">
        <v>6.3299999999999995E-2</v>
      </c>
      <c r="D52">
        <v>6.062E-2</v>
      </c>
      <c r="E52">
        <v>6.2590000000000007E-2</v>
      </c>
      <c r="F52">
        <v>7380489</v>
      </c>
      <c r="G52">
        <v>6.2590000000000007E-2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0.47014925373135091</v>
      </c>
      <c r="Q52">
        <f t="shared" ref="Q52" si="236">F52*P52</f>
        <v>3469931.3955224445</v>
      </c>
      <c r="R52">
        <f t="shared" ref="R52" si="237">R53+Q52</f>
        <v>-18430589611.73708</v>
      </c>
      <c r="S52">
        <f t="shared" ref="S52" si="238">R52/100000</f>
        <v>-184305.89611737081</v>
      </c>
      <c r="T52">
        <f t="shared" ref="T52" si="239">S52/1000</f>
        <v>-184.30589611737082</v>
      </c>
    </row>
    <row r="53" spans="1:20" x14ac:dyDescent="0.25">
      <c r="A53" s="5">
        <v>44540</v>
      </c>
      <c r="B53">
        <v>6.4579999999999999E-2</v>
      </c>
      <c r="C53">
        <v>6.8959999999999994E-2</v>
      </c>
      <c r="D53">
        <v>6.2050000000000001E-2</v>
      </c>
      <c r="E53">
        <v>6.2469999999999998E-2</v>
      </c>
      <c r="F53">
        <v>168890221.09999999</v>
      </c>
      <c r="G53">
        <v>6.2469999999999998E-2</v>
      </c>
      <c r="L53" t="s">
        <v>7</v>
      </c>
      <c r="M53" t="s">
        <v>8</v>
      </c>
      <c r="N53" t="s">
        <v>8</v>
      </c>
      <c r="P53">
        <f t="shared" ref="P53" si="240">IF(C53=D53,0,((E53-D53)-(C53-E53))/(C53-D53))</f>
        <v>-0.87843704775687492</v>
      </c>
      <c r="Q53">
        <f t="shared" ref="Q53" si="241">F53*P53</f>
        <v>-148359427.21808985</v>
      </c>
      <c r="R53">
        <f t="shared" ref="R53" si="242">R54+Q53</f>
        <v>-18434059543.132603</v>
      </c>
      <c r="S53">
        <f t="shared" ref="S53" si="243">R53/100000</f>
        <v>-184340.59543132602</v>
      </c>
      <c r="T53">
        <f t="shared" ref="T53" si="244">S53/1000</f>
        <v>-184.34059543132602</v>
      </c>
    </row>
    <row r="54" spans="1:20" x14ac:dyDescent="0.25">
      <c r="A54" s="5">
        <v>44539</v>
      </c>
      <c r="B54">
        <v>6.6619999999999999E-2</v>
      </c>
      <c r="C54">
        <v>7.3999999999999996E-2</v>
      </c>
      <c r="D54">
        <v>6.1240000000000003E-2</v>
      </c>
      <c r="E54">
        <v>6.4649999999999999E-2</v>
      </c>
      <c r="F54">
        <v>343073110.69999999</v>
      </c>
      <c r="G54">
        <v>6.4649999999999999E-2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-0.46551724137931066</v>
      </c>
      <c r="Q54">
        <f t="shared" ref="Q54" si="246">F54*P54</f>
        <v>-159706448.08448285</v>
      </c>
      <c r="R54">
        <f t="shared" ref="R54" si="247">R55+Q54</f>
        <v>-18285700115.914513</v>
      </c>
      <c r="S54">
        <f t="shared" ref="S54" si="248">R54/100000</f>
        <v>-182857.00115914512</v>
      </c>
      <c r="T54">
        <f t="shared" ref="T54" si="249">S54/1000</f>
        <v>-182.85700115914511</v>
      </c>
    </row>
    <row r="55" spans="1:20" x14ac:dyDescent="0.25">
      <c r="A55" s="5">
        <v>44538</v>
      </c>
      <c r="B55">
        <v>6.4530000000000004E-2</v>
      </c>
      <c r="C55">
        <v>7.1999999999999995E-2</v>
      </c>
      <c r="D55">
        <v>6.0740000000000002E-2</v>
      </c>
      <c r="E55">
        <v>6.6669999999999993E-2</v>
      </c>
      <c r="F55">
        <v>165352636.5</v>
      </c>
      <c r="G55">
        <v>6.6669999999999993E-2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5.3285968028418278E-2</v>
      </c>
      <c r="Q55">
        <f t="shared" ref="Q55" si="251">F55*P55</f>
        <v>8810975.3019536696</v>
      </c>
      <c r="R55">
        <f t="shared" ref="R55" si="252">R56+Q55</f>
        <v>-18125993667.830029</v>
      </c>
      <c r="S55">
        <f t="shared" ref="S55" si="253">R55/100000</f>
        <v>-181259.93667830029</v>
      </c>
      <c r="T55">
        <f t="shared" ref="T55" si="254">S55/1000</f>
        <v>-181.25993667830028</v>
      </c>
    </row>
    <row r="56" spans="1:20" x14ac:dyDescent="0.25">
      <c r="A56" s="5">
        <v>44537</v>
      </c>
      <c r="B56">
        <v>6.8629999999999997E-2</v>
      </c>
      <c r="C56">
        <v>7.4520000000000003E-2</v>
      </c>
      <c r="D56">
        <v>6.2920000000000004E-2</v>
      </c>
      <c r="E56">
        <v>6.4460000000000003E-2</v>
      </c>
      <c r="F56">
        <v>236943387.40000001</v>
      </c>
      <c r="G56">
        <v>6.4460000000000003E-2</v>
      </c>
      <c r="L56" t="s">
        <v>7</v>
      </c>
      <c r="M56" t="s">
        <v>7</v>
      </c>
      <c r="N56" t="s">
        <v>8</v>
      </c>
      <c r="P56">
        <f t="shared" ref="P56" si="255">IF(C56=D56,0,((E56-D56)-(C56-E56))/(C56-D56))</f>
        <v>-0.73448275862068968</v>
      </c>
      <c r="Q56">
        <f t="shared" ref="Q56" si="256">F56*P56</f>
        <v>-174030832.81448278</v>
      </c>
      <c r="R56">
        <f t="shared" ref="R56" si="257">R57+Q56</f>
        <v>-18134804643.131981</v>
      </c>
      <c r="S56">
        <f t="shared" ref="S56" si="258">R56/100000</f>
        <v>-181348.04643131982</v>
      </c>
      <c r="T56">
        <f t="shared" ref="T56" si="259">S56/1000</f>
        <v>-181.34804643131983</v>
      </c>
    </row>
    <row r="57" spans="1:20" x14ac:dyDescent="0.25">
      <c r="A57" s="5">
        <v>44536</v>
      </c>
      <c r="B57">
        <v>5.8040000000000001E-2</v>
      </c>
      <c r="C57">
        <v>7.9719999999999999E-2</v>
      </c>
      <c r="D57">
        <v>5.5109999999999999E-2</v>
      </c>
      <c r="E57">
        <v>6.8599999999999994E-2</v>
      </c>
      <c r="F57">
        <v>589254335.5</v>
      </c>
      <c r="G57">
        <v>6.8599999999999994E-2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9.6302316131653395E-2</v>
      </c>
      <c r="Q57">
        <f t="shared" ref="Q57" si="261">F57*P57</f>
        <v>56746557.29926835</v>
      </c>
      <c r="R57">
        <f t="shared" ref="R57" si="262">R58+Q57</f>
        <v>-17960773810.317497</v>
      </c>
      <c r="S57">
        <f t="shared" ref="S57" si="263">R57/100000</f>
        <v>-179607.73810317498</v>
      </c>
      <c r="T57">
        <f t="shared" ref="T57" si="264">S57/1000</f>
        <v>-179.607738103175</v>
      </c>
    </row>
    <row r="58" spans="1:20" x14ac:dyDescent="0.25">
      <c r="A58" s="5">
        <v>44535</v>
      </c>
      <c r="B58">
        <v>6.173E-2</v>
      </c>
      <c r="C58">
        <v>7.4399999999999994E-2</v>
      </c>
      <c r="D58">
        <v>5.6550000000000003E-2</v>
      </c>
      <c r="E58">
        <v>5.8029999999999998E-2</v>
      </c>
      <c r="F58">
        <v>398161131.60000002</v>
      </c>
      <c r="G58">
        <v>5.8029999999999998E-2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-0.83417366946778759</v>
      </c>
      <c r="Q58">
        <f t="shared" ref="Q58" si="266">F58*P58</f>
        <v>-332135532.18621868</v>
      </c>
      <c r="R58">
        <f t="shared" ref="R58" si="267">R59+Q58</f>
        <v>-18017520367.616764</v>
      </c>
      <c r="S58">
        <f t="shared" ref="S58" si="268">R58/100000</f>
        <v>-180175.20367616764</v>
      </c>
      <c r="T58">
        <f t="shared" ref="T58" si="269">S58/1000</f>
        <v>-180.17520367616765</v>
      </c>
    </row>
    <row r="59" spans="1:20" x14ac:dyDescent="0.25">
      <c r="A59" s="5">
        <v>44534</v>
      </c>
      <c r="B59">
        <v>7.5370000000000006E-2</v>
      </c>
      <c r="C59">
        <v>9.7699999999999995E-2</v>
      </c>
      <c r="D59">
        <v>5.6000000000000001E-2</v>
      </c>
      <c r="E59">
        <v>6.1839999999999999E-2</v>
      </c>
      <c r="F59">
        <v>1164999855.7</v>
      </c>
      <c r="G59">
        <v>6.1839999999999999E-2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-0.71990407673860912</v>
      </c>
      <c r="Q59">
        <f t="shared" ref="Q59" si="271">F59*P59</f>
        <v>-838688145.51832139</v>
      </c>
      <c r="R59">
        <f t="shared" ref="R59" si="272">R60+Q59</f>
        <v>-17685384835.430546</v>
      </c>
      <c r="S59">
        <f t="shared" ref="S59" si="273">R59/100000</f>
        <v>-176853.84835430546</v>
      </c>
      <c r="T59">
        <f t="shared" ref="T59" si="274">S59/1000</f>
        <v>-176.85384835430546</v>
      </c>
    </row>
    <row r="60" spans="1:20" x14ac:dyDescent="0.25">
      <c r="A60" s="5">
        <v>44533</v>
      </c>
      <c r="B60">
        <v>5.6559999999999999E-2</v>
      </c>
      <c r="C60">
        <v>0.126</v>
      </c>
      <c r="D60">
        <v>5.6070000000000002E-2</v>
      </c>
      <c r="E60">
        <v>7.5370000000000006E-2</v>
      </c>
      <c r="F60">
        <v>3922208695.1999998</v>
      </c>
      <c r="G60">
        <v>7.5370000000000006E-2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-0.44801944801944793</v>
      </c>
      <c r="Q60">
        <f t="shared" ref="Q60" si="276">F60*P60</f>
        <v>-1757225774.640583</v>
      </c>
      <c r="R60">
        <f t="shared" ref="R60" si="277">R61+Q60</f>
        <v>-16846696689.912226</v>
      </c>
      <c r="S60">
        <f t="shared" ref="S60" si="278">R60/100000</f>
        <v>-168466.96689912226</v>
      </c>
      <c r="T60">
        <f t="shared" ref="T60" si="279">S60/1000</f>
        <v>-168.46696689912227</v>
      </c>
    </row>
    <row r="61" spans="1:20" x14ac:dyDescent="0.25">
      <c r="A61" s="5">
        <v>44532</v>
      </c>
      <c r="B61">
        <v>5.6939999999999998E-2</v>
      </c>
      <c r="C61">
        <v>5.8950000000000002E-2</v>
      </c>
      <c r="D61">
        <v>5.3249999999999999E-2</v>
      </c>
      <c r="E61">
        <v>5.6619999999999997E-2</v>
      </c>
      <c r="F61">
        <v>111365191.90000001</v>
      </c>
      <c r="G61">
        <v>5.6619999999999997E-2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0.18245614035087573</v>
      </c>
      <c r="Q61">
        <f t="shared" ref="Q61" si="281">F61*P61</f>
        <v>20319263.083508611</v>
      </c>
      <c r="R61">
        <f t="shared" ref="R61" si="282">R62+Q61</f>
        <v>-15089470915.271643</v>
      </c>
      <c r="S61">
        <f t="shared" ref="S61" si="283">R61/100000</f>
        <v>-150894.70915271642</v>
      </c>
      <c r="T61">
        <f t="shared" ref="T61" si="284">S61/1000</f>
        <v>-150.89470915271642</v>
      </c>
    </row>
    <row r="62" spans="1:20" x14ac:dyDescent="0.25">
      <c r="A62" s="5">
        <v>44531</v>
      </c>
      <c r="B62">
        <v>5.4679999999999999E-2</v>
      </c>
      <c r="C62">
        <v>5.919E-2</v>
      </c>
      <c r="D62">
        <v>5.4030000000000002E-2</v>
      </c>
      <c r="E62">
        <v>5.6919999999999998E-2</v>
      </c>
      <c r="F62">
        <v>105124507.8</v>
      </c>
      <c r="G62">
        <v>5.6919999999999998E-2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0.12015503875968911</v>
      </c>
      <c r="Q62">
        <f t="shared" ref="Q62" si="286">F62*P62</f>
        <v>12631239.309302241</v>
      </c>
      <c r="R62">
        <f t="shared" ref="R62" si="287">R63+Q62</f>
        <v>-15109790178.355152</v>
      </c>
      <c r="S62">
        <f t="shared" ref="S62" si="288">R62/100000</f>
        <v>-151097.90178355153</v>
      </c>
      <c r="T62">
        <f t="shared" ref="T62" si="289">S62/1000</f>
        <v>-151.09790178355152</v>
      </c>
    </row>
    <row r="63" spans="1:20" x14ac:dyDescent="0.25">
      <c r="A63" s="5">
        <v>44530</v>
      </c>
      <c r="B63">
        <v>5.8049999999999997E-2</v>
      </c>
      <c r="C63">
        <v>5.8310000000000001E-2</v>
      </c>
      <c r="D63">
        <v>5.3530000000000001E-2</v>
      </c>
      <c r="E63">
        <v>5.4640000000000001E-2</v>
      </c>
      <c r="F63">
        <v>93092776.900000006</v>
      </c>
      <c r="G63">
        <v>5.4640000000000001E-2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-0.53556485355648531</v>
      </c>
      <c r="Q63">
        <f t="shared" ref="Q63" si="291">F63*P63</f>
        <v>-49857219.427615061</v>
      </c>
      <c r="R63">
        <f t="shared" ref="R63" si="292">R64+Q63</f>
        <v>-15122421417.664454</v>
      </c>
      <c r="S63">
        <f t="shared" ref="S63" si="293">R63/100000</f>
        <v>-151224.21417664454</v>
      </c>
      <c r="T63">
        <f t="shared" ref="T63" si="294">S63/1000</f>
        <v>-151.22421417664455</v>
      </c>
    </row>
    <row r="64" spans="1:20" x14ac:dyDescent="0.25">
      <c r="A64" s="5">
        <v>44529</v>
      </c>
      <c r="B64">
        <v>5.919E-2</v>
      </c>
      <c r="C64">
        <v>6.08E-2</v>
      </c>
      <c r="D64">
        <v>5.7790000000000001E-2</v>
      </c>
      <c r="E64">
        <v>5.8049999999999997E-2</v>
      </c>
      <c r="F64">
        <v>116970397.40000001</v>
      </c>
      <c r="G64">
        <v>5.8049999999999997E-2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-0.82724252491694583</v>
      </c>
      <c r="Q64">
        <f t="shared" ref="Q64" si="296">F64*P64</f>
        <v>-96762886.885714561</v>
      </c>
      <c r="R64">
        <f t="shared" ref="R64" si="297">R65+Q64</f>
        <v>-15072564198.236839</v>
      </c>
      <c r="S64">
        <f t="shared" ref="S64" si="298">R64/100000</f>
        <v>-150725.6419823684</v>
      </c>
      <c r="T64">
        <f t="shared" ref="T64" si="299">S64/1000</f>
        <v>-150.72564198236839</v>
      </c>
    </row>
    <row r="65" spans="1:20" x14ac:dyDescent="0.25">
      <c r="A65" s="5">
        <v>44528</v>
      </c>
      <c r="B65">
        <v>5.7689999999999998E-2</v>
      </c>
      <c r="C65">
        <v>6.4960000000000004E-2</v>
      </c>
      <c r="D65">
        <v>5.45E-2</v>
      </c>
      <c r="E65">
        <v>5.9249999999999997E-2</v>
      </c>
      <c r="F65">
        <v>257809300.80000001</v>
      </c>
      <c r="G65">
        <v>5.9249999999999997E-2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-9.1778202676865109E-2</v>
      </c>
      <c r="Q65">
        <f t="shared" ref="Q65" si="301">F65*P65</f>
        <v>-23661274.260803282</v>
      </c>
      <c r="R65">
        <f t="shared" ref="R65" si="302">R66+Q65</f>
        <v>-14975801311.351124</v>
      </c>
      <c r="S65">
        <f t="shared" ref="S65" si="303">R65/100000</f>
        <v>-149758.01311351123</v>
      </c>
      <c r="T65">
        <f t="shared" ref="T65" si="304">S65/1000</f>
        <v>-149.75801311351123</v>
      </c>
    </row>
    <row r="66" spans="1:20" x14ac:dyDescent="0.25">
      <c r="A66" s="5">
        <v>44527</v>
      </c>
      <c r="B66">
        <v>5.4239999999999997E-2</v>
      </c>
      <c r="C66">
        <v>6.6000000000000003E-2</v>
      </c>
      <c r="D66">
        <v>5.3539999999999997E-2</v>
      </c>
      <c r="E66">
        <v>5.7770000000000002E-2</v>
      </c>
      <c r="F66">
        <v>243922054.19999999</v>
      </c>
      <c r="G66">
        <v>5.7770000000000002E-2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-0.32102728731942171</v>
      </c>
      <c r="Q66">
        <f t="shared" ref="Q66" si="306">F66*P66</f>
        <v>-78305635.377206951</v>
      </c>
      <c r="R66">
        <f t="shared" ref="R66" si="307">R67+Q66</f>
        <v>-14952140037.090321</v>
      </c>
      <c r="S66">
        <f t="shared" ref="S66" si="308">R66/100000</f>
        <v>-149521.4003709032</v>
      </c>
      <c r="T66">
        <f t="shared" ref="T66" si="309">S66/1000</f>
        <v>-149.52140037090319</v>
      </c>
    </row>
    <row r="67" spans="1:20" x14ac:dyDescent="0.25">
      <c r="A67" s="5">
        <v>44526</v>
      </c>
      <c r="B67">
        <v>6.1469999999999997E-2</v>
      </c>
      <c r="C67">
        <v>6.3509999999999997E-2</v>
      </c>
      <c r="D67">
        <v>5.2330000000000002E-2</v>
      </c>
      <c r="E67">
        <v>5.4289999999999998E-2</v>
      </c>
      <c r="F67">
        <v>160612287.90000001</v>
      </c>
      <c r="G67">
        <v>5.4289999999999998E-2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-0.64937388193202195</v>
      </c>
      <c r="Q67">
        <f t="shared" ref="Q67" si="311">F67*P67</f>
        <v>-104297424.87960652</v>
      </c>
      <c r="R67">
        <f t="shared" ref="R67" si="312">R68+Q67</f>
        <v>-14873834401.713114</v>
      </c>
      <c r="S67">
        <f t="shared" ref="S67" si="313">R67/100000</f>
        <v>-148738.34401713114</v>
      </c>
      <c r="T67">
        <f t="shared" ref="T67" si="314">S67/1000</f>
        <v>-148.73834401713114</v>
      </c>
    </row>
    <row r="68" spans="1:20" x14ac:dyDescent="0.25">
      <c r="A68" s="5">
        <v>44525</v>
      </c>
      <c r="B68">
        <v>6.3600000000000004E-2</v>
      </c>
      <c r="C68">
        <v>6.6500000000000004E-2</v>
      </c>
      <c r="D68">
        <v>6.0359999999999997E-2</v>
      </c>
      <c r="E68">
        <v>6.1449999999999998E-2</v>
      </c>
      <c r="F68">
        <v>253266938.80000001</v>
      </c>
      <c r="G68">
        <v>6.1449999999999998E-2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-0.64495114006514676</v>
      </c>
      <c r="Q68">
        <f t="shared" ref="Q68" si="316">F68*P68</f>
        <v>-163344800.91986975</v>
      </c>
      <c r="R68">
        <f t="shared" ref="R68" si="317">R69+Q68</f>
        <v>-14769536976.833508</v>
      </c>
      <c r="S68">
        <f t="shared" ref="S68" si="318">R68/100000</f>
        <v>-147695.36976833508</v>
      </c>
      <c r="T68">
        <f t="shared" ref="T68" si="319">S68/1000</f>
        <v>-147.69536976833507</v>
      </c>
    </row>
    <row r="69" spans="1:20" x14ac:dyDescent="0.25">
      <c r="A69" s="5">
        <v>44524</v>
      </c>
      <c r="B69">
        <v>6.3619999999999996E-2</v>
      </c>
      <c r="C69">
        <v>7.6450000000000004E-2</v>
      </c>
      <c r="D69">
        <v>6.2549999999999994E-2</v>
      </c>
      <c r="E69">
        <v>7.0690000000000003E-2</v>
      </c>
      <c r="F69">
        <v>266938661.80000001</v>
      </c>
      <c r="G69">
        <v>7.0690000000000003E-2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0.1712230215827342</v>
      </c>
      <c r="Q69">
        <f t="shared" ref="Q69" si="321">F69*P69</f>
        <v>45706044.25064759</v>
      </c>
      <c r="R69">
        <f t="shared" ref="R69" si="322">R70+Q69</f>
        <v>-14606192175.913637</v>
      </c>
      <c r="S69">
        <f t="shared" ref="S69" si="323">R69/100000</f>
        <v>-146061.92175913637</v>
      </c>
      <c r="T69">
        <f t="shared" ref="T69" si="324">S69/1000</f>
        <v>-146.06192175913637</v>
      </c>
    </row>
    <row r="70" spans="1:20" x14ac:dyDescent="0.25">
      <c r="A70" s="5">
        <v>44523</v>
      </c>
      <c r="B70">
        <v>6.1949999999999998E-2</v>
      </c>
      <c r="C70">
        <v>7.2440000000000004E-2</v>
      </c>
      <c r="D70">
        <v>5.8999999999999997E-2</v>
      </c>
      <c r="E70">
        <v>6.3549999999999995E-2</v>
      </c>
      <c r="F70">
        <v>339543668.30000001</v>
      </c>
      <c r="G70">
        <v>6.3549999999999995E-2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-0.3229166666666673</v>
      </c>
      <c r="Q70">
        <f t="shared" ref="Q70" si="326">F70*P70</f>
        <v>-109644309.55520855</v>
      </c>
      <c r="R70">
        <f t="shared" ref="R70" si="327">R71+Q70</f>
        <v>-14651898220.164286</v>
      </c>
      <c r="S70">
        <f t="shared" ref="S70" si="328">R70/100000</f>
        <v>-146518.98220164285</v>
      </c>
      <c r="T70">
        <f t="shared" ref="T70" si="329">S70/1000</f>
        <v>-146.51898220164284</v>
      </c>
    </row>
    <row r="71" spans="1:20" x14ac:dyDescent="0.25">
      <c r="A71" s="5">
        <v>44522</v>
      </c>
      <c r="B71">
        <v>6.6019999999999995E-2</v>
      </c>
      <c r="C71">
        <v>8.2400000000000001E-2</v>
      </c>
      <c r="D71">
        <v>6.0999999999999999E-2</v>
      </c>
      <c r="E71">
        <v>6.1990000000000003E-2</v>
      </c>
      <c r="F71">
        <v>561675796.39999998</v>
      </c>
      <c r="G71">
        <v>6.1990000000000003E-2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-0.90747663551401825</v>
      </c>
      <c r="Q71">
        <f t="shared" ref="Q71" si="331">F71*P71</f>
        <v>-509707661.96672869</v>
      </c>
      <c r="R71">
        <f t="shared" ref="R71" si="332">R72+Q71</f>
        <v>-14542253910.609077</v>
      </c>
      <c r="S71">
        <f t="shared" ref="S71" si="333">R71/100000</f>
        <v>-145422.53910609079</v>
      </c>
      <c r="T71">
        <f t="shared" ref="T71" si="334">S71/1000</f>
        <v>-145.4225391060908</v>
      </c>
    </row>
    <row r="72" spans="1:20" x14ac:dyDescent="0.25">
      <c r="A72" s="5">
        <v>44521</v>
      </c>
      <c r="B72">
        <v>7.3080000000000006E-2</v>
      </c>
      <c r="C72">
        <v>0.1384</v>
      </c>
      <c r="D72">
        <v>6.5699999999999995E-2</v>
      </c>
      <c r="E72">
        <v>6.6170000000000007E-2</v>
      </c>
      <c r="F72">
        <v>3160974025.3000002</v>
      </c>
      <c r="G72">
        <v>6.6170000000000007E-2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-0.9870701513067397</v>
      </c>
      <c r="Q72">
        <f t="shared" ref="Q72" si="336">F72*P72</f>
        <v>-3120103109.4295454</v>
      </c>
      <c r="R72">
        <f t="shared" ref="R72" si="337">R73+Q72</f>
        <v>-14032546248.642349</v>
      </c>
      <c r="S72">
        <f t="shared" ref="S72" si="338">R72/100000</f>
        <v>-140325.46248642349</v>
      </c>
      <c r="T72">
        <f t="shared" ref="T72" si="339">S72/1000</f>
        <v>-140.3254624864235</v>
      </c>
    </row>
    <row r="73" spans="1:20" x14ac:dyDescent="0.25">
      <c r="A73" s="5">
        <v>44520</v>
      </c>
      <c r="B73">
        <v>4.9180000000000001E-2</v>
      </c>
      <c r="C73">
        <v>9.0999999999999998E-2</v>
      </c>
      <c r="D73">
        <v>4.8800000000000003E-2</v>
      </c>
      <c r="E73">
        <v>7.3010000000000005E-2</v>
      </c>
      <c r="F73">
        <v>2070143345.5</v>
      </c>
      <c r="G73">
        <v>7.3010000000000005E-2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0.14739336492891023</v>
      </c>
      <c r="Q73">
        <f t="shared" ref="Q73" si="341">F73*P73</f>
        <v>305125393.57843661</v>
      </c>
      <c r="R73">
        <f t="shared" ref="R73" si="342">R74+Q73</f>
        <v>-10912443139.212805</v>
      </c>
      <c r="S73">
        <f t="shared" ref="S73" si="343">R73/100000</f>
        <v>-109124.43139212804</v>
      </c>
      <c r="T73">
        <f t="shared" ref="T73" si="344">S73/1000</f>
        <v>-109.12443139212805</v>
      </c>
    </row>
    <row r="74" spans="1:20" x14ac:dyDescent="0.25">
      <c r="A74" s="5">
        <v>44519</v>
      </c>
      <c r="B74">
        <v>4.564E-2</v>
      </c>
      <c r="C74">
        <v>5.0389999999999997E-2</v>
      </c>
      <c r="D74">
        <v>4.5409999999999999E-2</v>
      </c>
      <c r="E74">
        <v>4.9110000000000001E-2</v>
      </c>
      <c r="F74">
        <v>83085284.400000006</v>
      </c>
      <c r="G74">
        <v>4.9110000000000001E-2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0.48594377510040287</v>
      </c>
      <c r="Q74">
        <f t="shared" ref="Q74" si="346">F74*P74</f>
        <v>40374776.756626613</v>
      </c>
      <c r="R74">
        <f t="shared" ref="R74" si="347">R75+Q74</f>
        <v>-11217568532.791241</v>
      </c>
      <c r="S74">
        <f t="shared" ref="S74" si="348">R74/100000</f>
        <v>-112175.6853279124</v>
      </c>
      <c r="T74">
        <f t="shared" ref="T74" si="349">S74/1000</f>
        <v>-112.1756853279124</v>
      </c>
    </row>
    <row r="75" spans="1:20" x14ac:dyDescent="0.25">
      <c r="A75" s="5">
        <v>44518</v>
      </c>
      <c r="B75">
        <v>4.8439999999999997E-2</v>
      </c>
      <c r="C75">
        <v>5.219E-2</v>
      </c>
      <c r="D75">
        <v>4.4810000000000003E-2</v>
      </c>
      <c r="E75">
        <v>4.5609999999999998E-2</v>
      </c>
      <c r="F75">
        <v>62412380.600000001</v>
      </c>
      <c r="G75">
        <v>4.5609999999999998E-2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-0.78319783197832105</v>
      </c>
      <c r="Q75">
        <f t="shared" ref="Q75" si="351">F75*P75</f>
        <v>-48881241.174525827</v>
      </c>
      <c r="R75">
        <f t="shared" ref="R75" si="352">R76+Q75</f>
        <v>-11257943309.547867</v>
      </c>
      <c r="S75">
        <f t="shared" ref="S75" si="353">R75/100000</f>
        <v>-112579.43309547867</v>
      </c>
      <c r="T75">
        <f t="shared" ref="T75" si="354">S75/1000</f>
        <v>-112.57943309547868</v>
      </c>
    </row>
    <row r="76" spans="1:20" x14ac:dyDescent="0.25">
      <c r="A76" s="5">
        <v>44517</v>
      </c>
      <c r="B76">
        <v>4.8739999999999999E-2</v>
      </c>
      <c r="C76">
        <v>4.9630000000000001E-2</v>
      </c>
      <c r="D76">
        <v>4.6789999999999998E-2</v>
      </c>
      <c r="E76">
        <v>4.8370000000000003E-2</v>
      </c>
      <c r="F76">
        <v>37126304.100000001</v>
      </c>
      <c r="G76">
        <v>4.8370000000000003E-2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0.11267605633803082</v>
      </c>
      <c r="Q76">
        <f t="shared" ref="Q76" si="356">F76*P76</f>
        <v>4183245.5323944651</v>
      </c>
      <c r="R76">
        <f t="shared" ref="R76" si="357">R77+Q76</f>
        <v>-11209062068.373341</v>
      </c>
      <c r="S76">
        <f t="shared" ref="S76" si="358">R76/100000</f>
        <v>-112090.6206837334</v>
      </c>
      <c r="T76">
        <f t="shared" ref="T76" si="359">S76/1000</f>
        <v>-112.09062068373341</v>
      </c>
    </row>
    <row r="77" spans="1:20" x14ac:dyDescent="0.25">
      <c r="A77" s="5">
        <v>44516</v>
      </c>
      <c r="B77">
        <v>5.2409999999999998E-2</v>
      </c>
      <c r="C77">
        <v>5.3269999999999998E-2</v>
      </c>
      <c r="D77">
        <v>4.7199999999999999E-2</v>
      </c>
      <c r="E77">
        <v>4.8750000000000002E-2</v>
      </c>
      <c r="F77">
        <v>103294086.7</v>
      </c>
      <c r="G77">
        <v>4.8750000000000002E-2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-0.48929159802306327</v>
      </c>
      <c r="Q77">
        <f t="shared" ref="Q77" si="361">F77*P77</f>
        <v>-50540928.747775845</v>
      </c>
      <c r="R77">
        <f t="shared" ref="R77" si="362">R78+Q77</f>
        <v>-11213245313.905735</v>
      </c>
      <c r="S77">
        <f t="shared" ref="S77" si="363">R77/100000</f>
        <v>-112132.45313905735</v>
      </c>
      <c r="T77">
        <f t="shared" ref="T77" si="364">S77/1000</f>
        <v>-112.13245313905735</v>
      </c>
    </row>
    <row r="78" spans="1:20" x14ac:dyDescent="0.25">
      <c r="A78" s="5">
        <v>44515</v>
      </c>
      <c r="B78">
        <v>5.0819999999999997E-2</v>
      </c>
      <c r="C78">
        <v>5.5E-2</v>
      </c>
      <c r="D78">
        <v>4.9860000000000002E-2</v>
      </c>
      <c r="E78">
        <v>5.2359999999999997E-2</v>
      </c>
      <c r="F78">
        <v>123406001.8</v>
      </c>
      <c r="G78">
        <v>5.2359999999999997E-2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-2.7237354085604709E-2</v>
      </c>
      <c r="Q78">
        <f t="shared" ref="Q78" si="366">F78*P78</f>
        <v>-3361252.9673153721</v>
      </c>
      <c r="R78">
        <f t="shared" ref="R78" si="367">R79+Q78</f>
        <v>-11162704385.157959</v>
      </c>
      <c r="S78">
        <f t="shared" ref="S78" si="368">R78/100000</f>
        <v>-111627.04385157958</v>
      </c>
      <c r="T78">
        <f t="shared" ref="T78" si="369">S78/1000</f>
        <v>-111.62704385157959</v>
      </c>
    </row>
    <row r="79" spans="1:20" x14ac:dyDescent="0.25">
      <c r="A79" s="5">
        <v>44514</v>
      </c>
      <c r="B79">
        <v>4.8370000000000003E-2</v>
      </c>
      <c r="C79">
        <v>5.1319999999999998E-2</v>
      </c>
      <c r="D79">
        <v>4.8210000000000003E-2</v>
      </c>
      <c r="E79">
        <v>5.0729999999999997E-2</v>
      </c>
      <c r="F79">
        <v>64513451.100000001</v>
      </c>
      <c r="G79">
        <v>5.0729999999999997E-2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0.62057877813504747</v>
      </c>
      <c r="Q79">
        <f t="shared" ref="Q79" si="371">F79*P79</f>
        <v>40035678.656913131</v>
      </c>
      <c r="R79">
        <f t="shared" ref="R79" si="372">R80+Q79</f>
        <v>-11159343132.190643</v>
      </c>
      <c r="S79">
        <f t="shared" ref="S79" si="373">R79/100000</f>
        <v>-111593.43132190644</v>
      </c>
      <c r="T79">
        <f t="shared" ref="T79" si="374">S79/1000</f>
        <v>-111.59343132190644</v>
      </c>
    </row>
    <row r="80" spans="1:20" x14ac:dyDescent="0.25">
      <c r="A80" s="5">
        <v>44513</v>
      </c>
      <c r="B80">
        <v>4.956E-2</v>
      </c>
      <c r="C80">
        <v>4.9869999999999998E-2</v>
      </c>
      <c r="D80">
        <v>4.7620000000000003E-2</v>
      </c>
      <c r="E80">
        <v>4.8320000000000002E-2</v>
      </c>
      <c r="F80">
        <v>37952126.600000001</v>
      </c>
      <c r="G80">
        <v>4.8320000000000002E-2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-0.3777777777777771</v>
      </c>
      <c r="Q80">
        <f t="shared" ref="Q80" si="376">F80*P80</f>
        <v>-14337470.048888864</v>
      </c>
      <c r="R80">
        <f t="shared" ref="R80" si="377">R81+Q80</f>
        <v>-11199378810.847557</v>
      </c>
      <c r="S80">
        <f t="shared" ref="S80" si="378">R80/100000</f>
        <v>-111993.78810847556</v>
      </c>
      <c r="T80">
        <f t="shared" ref="T80" si="379">S80/1000</f>
        <v>-111.99378810847557</v>
      </c>
    </row>
    <row r="81" spans="1:20" x14ac:dyDescent="0.25">
      <c r="A81" s="5">
        <v>44512</v>
      </c>
      <c r="B81">
        <v>4.8099999999999997E-2</v>
      </c>
      <c r="C81">
        <v>4.9869999999999998E-2</v>
      </c>
      <c r="D81">
        <v>4.666E-2</v>
      </c>
      <c r="E81">
        <v>4.9689999999999998E-2</v>
      </c>
      <c r="F81">
        <v>47383101.200000003</v>
      </c>
      <c r="G81">
        <v>4.9689999999999998E-2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0.88785046728971984</v>
      </c>
      <c r="Q81">
        <f t="shared" ref="Q81" si="381">F81*P81</f>
        <v>42069108.542056084</v>
      </c>
      <c r="R81">
        <f t="shared" ref="R81" si="382">R82+Q81</f>
        <v>-11185041340.798668</v>
      </c>
      <c r="S81">
        <f t="shared" ref="S81" si="383">R81/100000</f>
        <v>-111850.41340798668</v>
      </c>
      <c r="T81">
        <f t="shared" ref="T81" si="384">S81/1000</f>
        <v>-111.85041340798668</v>
      </c>
    </row>
    <row r="82" spans="1:20" x14ac:dyDescent="0.25">
      <c r="A82" s="5">
        <v>44511</v>
      </c>
      <c r="B82">
        <v>4.7809999999999998E-2</v>
      </c>
      <c r="C82">
        <v>4.9959999999999997E-2</v>
      </c>
      <c r="D82">
        <v>4.7120000000000002E-2</v>
      </c>
      <c r="E82">
        <v>4.8189999999999997E-2</v>
      </c>
      <c r="F82">
        <v>53183098</v>
      </c>
      <c r="G82">
        <v>4.8189999999999997E-2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-0.24647887323943921</v>
      </c>
      <c r="Q82">
        <f t="shared" ref="Q82" si="386">F82*P82</f>
        <v>-13108510.070422674</v>
      </c>
      <c r="R82">
        <f t="shared" ref="R82" si="387">R83+Q82</f>
        <v>-11227110449.340725</v>
      </c>
      <c r="S82">
        <f t="shared" ref="S82" si="388">R82/100000</f>
        <v>-112271.10449340726</v>
      </c>
      <c r="T82">
        <f t="shared" ref="T82" si="389">S82/1000</f>
        <v>-112.27110449340725</v>
      </c>
    </row>
    <row r="83" spans="1:20" x14ac:dyDescent="0.25">
      <c r="A83" s="5">
        <v>44510</v>
      </c>
      <c r="B83">
        <v>5.2150000000000002E-2</v>
      </c>
      <c r="C83">
        <v>5.4219999999999997E-2</v>
      </c>
      <c r="D83">
        <v>4.666E-2</v>
      </c>
      <c r="E83">
        <v>4.7800000000000002E-2</v>
      </c>
      <c r="F83">
        <v>107446407.2</v>
      </c>
      <c r="G83">
        <v>4.7800000000000002E-2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-0.69841269841269771</v>
      </c>
      <c r="Q83">
        <f t="shared" ref="Q83" si="391">F83*P83</f>
        <v>-75041935.187301517</v>
      </c>
      <c r="R83">
        <f t="shared" ref="R83" si="392">R84+Q83</f>
        <v>-11214001939.270302</v>
      </c>
      <c r="S83">
        <f t="shared" ref="S83" si="393">R83/100000</f>
        <v>-112140.01939270302</v>
      </c>
      <c r="T83">
        <f t="shared" ref="T83" si="394">S83/1000</f>
        <v>-112.14001939270302</v>
      </c>
    </row>
    <row r="84" spans="1:20" x14ac:dyDescent="0.25">
      <c r="A84" s="5">
        <v>44509</v>
      </c>
      <c r="B84">
        <v>5.015E-2</v>
      </c>
      <c r="C84">
        <v>5.7750000000000003E-2</v>
      </c>
      <c r="D84">
        <v>4.9709999999999997E-2</v>
      </c>
      <c r="E84">
        <v>5.2249999999999998E-2</v>
      </c>
      <c r="F84">
        <v>162542504.40000001</v>
      </c>
      <c r="G84">
        <v>5.2249999999999998E-2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-0.36815920398009977</v>
      </c>
      <c r="Q84">
        <f t="shared" ref="Q84" si="396">F84*P84</f>
        <v>-59841519.032835864</v>
      </c>
      <c r="R84">
        <f t="shared" ref="R84" si="397">R85+Q84</f>
        <v>-11138960004.083</v>
      </c>
      <c r="S84">
        <f t="shared" ref="S84" si="398">R84/100000</f>
        <v>-111389.60004083</v>
      </c>
      <c r="T84">
        <f t="shared" ref="T84" si="399">S84/1000</f>
        <v>-111.38960004083</v>
      </c>
    </row>
    <row r="85" spans="1:20" x14ac:dyDescent="0.25">
      <c r="A85" s="5">
        <v>44508</v>
      </c>
      <c r="B85">
        <v>5.1339999999999997E-2</v>
      </c>
      <c r="C85">
        <v>5.1650000000000001E-2</v>
      </c>
      <c r="D85">
        <v>4.9270000000000001E-2</v>
      </c>
      <c r="E85">
        <v>5.015E-2</v>
      </c>
      <c r="F85">
        <v>54108005.200000003</v>
      </c>
      <c r="G85">
        <v>5.015E-2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-0.26050420168067329</v>
      </c>
      <c r="Q85">
        <f t="shared" ref="Q85" si="401">F85*P85</f>
        <v>-14095362.699159719</v>
      </c>
      <c r="R85">
        <f t="shared" ref="R85" si="402">R86+Q85</f>
        <v>-11079118485.050165</v>
      </c>
      <c r="S85">
        <f t="shared" ref="S85" si="403">R85/100000</f>
        <v>-110791.18485050165</v>
      </c>
      <c r="T85">
        <f t="shared" ref="T85" si="404">S85/1000</f>
        <v>-110.79118485050165</v>
      </c>
    </row>
    <row r="86" spans="1:20" x14ac:dyDescent="0.25">
      <c r="A86" s="5">
        <v>44507</v>
      </c>
      <c r="B86">
        <v>4.897E-2</v>
      </c>
      <c r="C86">
        <v>5.2499999999999998E-2</v>
      </c>
      <c r="D86">
        <v>4.8419999999999998E-2</v>
      </c>
      <c r="E86">
        <v>5.1229999999999998E-2</v>
      </c>
      <c r="F86">
        <v>71860015.799999997</v>
      </c>
      <c r="G86">
        <v>5.1229999999999998E-2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0.37745098039215674</v>
      </c>
      <c r="Q86">
        <f t="shared" ref="Q86" si="406">F86*P86</f>
        <v>27123633.414705873</v>
      </c>
      <c r="R86">
        <f t="shared" ref="R86" si="407">R87+Q86</f>
        <v>-11065023122.351006</v>
      </c>
      <c r="S86">
        <f t="shared" ref="S86" si="408">R86/100000</f>
        <v>-110650.23122351005</v>
      </c>
      <c r="T86">
        <f t="shared" ref="T86" si="409">S86/1000</f>
        <v>-110.65023122351005</v>
      </c>
    </row>
    <row r="87" spans="1:20" x14ac:dyDescent="0.25">
      <c r="A87" s="5">
        <v>44506</v>
      </c>
      <c r="B87">
        <v>4.8750000000000002E-2</v>
      </c>
      <c r="C87">
        <v>4.9430000000000002E-2</v>
      </c>
      <c r="D87">
        <v>4.7059999999999998E-2</v>
      </c>
      <c r="E87">
        <v>4.8989999999999999E-2</v>
      </c>
      <c r="F87">
        <v>37290014.200000003</v>
      </c>
      <c r="G87">
        <v>4.8989999999999999E-2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0.62869198312236108</v>
      </c>
      <c r="Q87">
        <f t="shared" ref="Q87" si="411">F87*P87</f>
        <v>23443932.978059005</v>
      </c>
      <c r="R87">
        <f t="shared" ref="R87" si="412">R88+Q87</f>
        <v>-11092146755.765711</v>
      </c>
      <c r="S87">
        <f t="shared" ref="S87" si="413">R87/100000</f>
        <v>-110921.4675576571</v>
      </c>
      <c r="T87">
        <f t="shared" ref="T87" si="414">S87/1000</f>
        <v>-110.92146755765711</v>
      </c>
    </row>
    <row r="88" spans="1:20" x14ac:dyDescent="0.25">
      <c r="A88" s="5">
        <v>44505</v>
      </c>
      <c r="B88">
        <v>5.0049999999999997E-2</v>
      </c>
      <c r="C88">
        <v>5.0990000000000001E-2</v>
      </c>
      <c r="D88">
        <v>4.827E-2</v>
      </c>
      <c r="E88">
        <v>4.888E-2</v>
      </c>
      <c r="F88">
        <v>48888743</v>
      </c>
      <c r="G88">
        <v>4.888E-2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-0.5514705882352946</v>
      </c>
      <c r="Q88">
        <f t="shared" ref="Q88" si="416">F88*P88</f>
        <v>-26960703.860294141</v>
      </c>
      <c r="R88">
        <f t="shared" ref="R88" si="417">R89+Q88</f>
        <v>-11115590688.743771</v>
      </c>
      <c r="S88">
        <f t="shared" ref="S88" si="418">R88/100000</f>
        <v>-111155.90688743771</v>
      </c>
      <c r="T88">
        <f t="shared" ref="T88" si="419">S88/1000</f>
        <v>-111.15590688743771</v>
      </c>
    </row>
    <row r="89" spans="1:20" x14ac:dyDescent="0.25">
      <c r="A89" s="5">
        <v>44504</v>
      </c>
      <c r="B89">
        <v>5.0180000000000002E-2</v>
      </c>
      <c r="C89">
        <v>5.2179999999999997E-2</v>
      </c>
      <c r="D89">
        <v>4.8710000000000003E-2</v>
      </c>
      <c r="E89">
        <v>5.0049999999999997E-2</v>
      </c>
      <c r="F89">
        <v>71509440.799999997</v>
      </c>
      <c r="G89">
        <v>5.0049999999999997E-2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-0.22766570605187533</v>
      </c>
      <c r="Q89">
        <f t="shared" ref="Q89" si="421">F89*P89</f>
        <v>-16280247.32910678</v>
      </c>
      <c r="R89">
        <f t="shared" ref="R89" si="422">R90+Q89</f>
        <v>-11088629984.883476</v>
      </c>
      <c r="S89">
        <f t="shared" ref="S89" si="423">R89/100000</f>
        <v>-110886.29984883477</v>
      </c>
      <c r="T89">
        <f t="shared" ref="T89" si="424">S89/1000</f>
        <v>-110.88629984883477</v>
      </c>
    </row>
    <row r="90" spans="1:20" x14ac:dyDescent="0.25">
      <c r="A90" s="5">
        <v>44503</v>
      </c>
      <c r="B90">
        <v>5.2249999999999998E-2</v>
      </c>
      <c r="C90">
        <v>5.2449999999999997E-2</v>
      </c>
      <c r="D90">
        <v>4.8910000000000002E-2</v>
      </c>
      <c r="E90">
        <v>5.0180000000000002E-2</v>
      </c>
      <c r="F90">
        <v>85910801.700000003</v>
      </c>
      <c r="G90">
        <v>5.0180000000000002E-2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-0.28248587570621342</v>
      </c>
      <c r="Q90">
        <f t="shared" ref="Q90" si="426">F90*P90</f>
        <v>-24268588.050847348</v>
      </c>
      <c r="R90">
        <f t="shared" ref="R90" si="427">R91+Q90</f>
        <v>-11072349737.554369</v>
      </c>
      <c r="S90">
        <f t="shared" ref="S90" si="428">R90/100000</f>
        <v>-110723.49737554369</v>
      </c>
      <c r="T90">
        <f t="shared" ref="T90" si="429">S90/1000</f>
        <v>-110.7234973755437</v>
      </c>
    </row>
    <row r="91" spans="1:20" x14ac:dyDescent="0.25">
      <c r="A91" s="5">
        <v>44502</v>
      </c>
      <c r="B91">
        <v>5.2249999999999998E-2</v>
      </c>
      <c r="C91">
        <v>5.6000000000000001E-2</v>
      </c>
      <c r="D91">
        <v>5.0999999999999997E-2</v>
      </c>
      <c r="E91">
        <v>5.2240000000000002E-2</v>
      </c>
      <c r="F91">
        <v>123132052.40000001</v>
      </c>
      <c r="G91">
        <v>5.2240000000000002E-2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-0.50399999999999845</v>
      </c>
      <c r="Q91">
        <f t="shared" ref="Q91" si="431">F91*P91</f>
        <v>-62058554.409599811</v>
      </c>
      <c r="R91">
        <f t="shared" ref="R91" si="432">R92+Q91</f>
        <v>-11048081149.503521</v>
      </c>
      <c r="S91">
        <f t="shared" ref="S91" si="433">R91/100000</f>
        <v>-110480.8114950352</v>
      </c>
      <c r="T91">
        <f t="shared" ref="T91" si="434">S91/1000</f>
        <v>-110.4808114950352</v>
      </c>
    </row>
    <row r="92" spans="1:20" x14ac:dyDescent="0.25">
      <c r="A92" s="5">
        <v>44501</v>
      </c>
      <c r="B92">
        <v>5.3490000000000003E-2</v>
      </c>
      <c r="C92">
        <v>5.7570000000000003E-2</v>
      </c>
      <c r="D92">
        <v>5.144E-2</v>
      </c>
      <c r="E92">
        <v>5.2319999999999998E-2</v>
      </c>
      <c r="F92">
        <v>118742261</v>
      </c>
      <c r="G92">
        <v>5.2319999999999998E-2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-0.71288743882544914</v>
      </c>
      <c r="Q92">
        <f t="shared" ref="Q92" si="436">F92*P92</f>
        <v>-84649866.324633017</v>
      </c>
      <c r="R92">
        <f t="shared" ref="R92" si="437">R93+Q92</f>
        <v>-10986022595.093922</v>
      </c>
      <c r="S92">
        <f t="shared" ref="S92" si="438">R92/100000</f>
        <v>-109860.22595093922</v>
      </c>
      <c r="T92">
        <f t="shared" ref="T92" si="439">S92/1000</f>
        <v>-109.86022595093922</v>
      </c>
    </row>
    <row r="93" spans="1:20" x14ac:dyDescent="0.25">
      <c r="A93" s="5">
        <v>44500</v>
      </c>
      <c r="B93">
        <v>5.4899999999999997E-2</v>
      </c>
      <c r="C93">
        <v>6.1400000000000003E-2</v>
      </c>
      <c r="D93">
        <v>5.1490000000000001E-2</v>
      </c>
      <c r="E93">
        <v>5.348E-2</v>
      </c>
      <c r="F93">
        <v>383881714.5</v>
      </c>
      <c r="G93">
        <v>5.348E-2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-0.59838546922300739</v>
      </c>
      <c r="Q93">
        <f t="shared" ref="Q93" si="441">F93*P93</f>
        <v>-229709239.85721505</v>
      </c>
      <c r="R93">
        <f t="shared" ref="R93" si="442">R94+Q93</f>
        <v>-10901372728.769289</v>
      </c>
      <c r="S93">
        <f t="shared" ref="S93" si="443">R93/100000</f>
        <v>-109013.72728769289</v>
      </c>
      <c r="T93">
        <f t="shared" ref="T93" si="444">S93/1000</f>
        <v>-109.01372728769289</v>
      </c>
    </row>
    <row r="94" spans="1:20" x14ac:dyDescent="0.25">
      <c r="A94" s="5">
        <v>44499</v>
      </c>
      <c r="B94">
        <v>4.9450000000000001E-2</v>
      </c>
      <c r="C94">
        <v>7.4999999999999997E-2</v>
      </c>
      <c r="D94">
        <v>4.7350000000000003E-2</v>
      </c>
      <c r="E94">
        <v>5.4800000000000001E-2</v>
      </c>
      <c r="F94">
        <v>846021701.60000002</v>
      </c>
      <c r="G94">
        <v>5.4800000000000001E-2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-0.46112115732368897</v>
      </c>
      <c r="Q94">
        <f t="shared" ref="Q94" si="446">F94*P94</f>
        <v>-390118506.16274863</v>
      </c>
      <c r="R94">
        <f t="shared" ref="R94" si="447">R95+Q94</f>
        <v>-10671663488.912073</v>
      </c>
      <c r="S94">
        <f t="shared" ref="S94" si="448">R94/100000</f>
        <v>-106716.63488912073</v>
      </c>
      <c r="T94">
        <f t="shared" ref="T94" si="449">S94/1000</f>
        <v>-106.71663488912073</v>
      </c>
    </row>
    <row r="95" spans="1:20" x14ac:dyDescent="0.25">
      <c r="A95" s="5">
        <v>44498</v>
      </c>
      <c r="B95">
        <v>4.7719999999999999E-2</v>
      </c>
      <c r="C95">
        <v>5.8999999999999997E-2</v>
      </c>
      <c r="D95">
        <v>4.4999999999999998E-2</v>
      </c>
      <c r="E95">
        <v>4.9439999999999998E-2</v>
      </c>
      <c r="F95">
        <v>558008610.5</v>
      </c>
      <c r="G95">
        <v>4.9439999999999998E-2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-0.36571428571428571</v>
      </c>
      <c r="Q95">
        <f t="shared" ref="Q95" si="451">F95*P95</f>
        <v>-204071720.41142857</v>
      </c>
      <c r="R95">
        <f t="shared" ref="R95" si="452">R96+Q95</f>
        <v>-10281544982.749325</v>
      </c>
      <c r="S95">
        <f t="shared" ref="S95" si="453">R95/100000</f>
        <v>-102815.44982749324</v>
      </c>
      <c r="T95">
        <f t="shared" ref="T95" si="454">S95/1000</f>
        <v>-102.81544982749324</v>
      </c>
    </row>
    <row r="96" spans="1:20" x14ac:dyDescent="0.25">
      <c r="A96" s="5">
        <v>44497</v>
      </c>
      <c r="B96">
        <v>4.0899999999999999E-2</v>
      </c>
      <c r="C96">
        <v>6.4420000000000005E-2</v>
      </c>
      <c r="D96">
        <v>4.0390000000000002E-2</v>
      </c>
      <c r="E96">
        <v>4.7710000000000002E-2</v>
      </c>
      <c r="F96">
        <v>669350535.20000005</v>
      </c>
      <c r="G96">
        <v>4.7710000000000002E-2</v>
      </c>
      <c r="L96" t="s">
        <v>7</v>
      </c>
      <c r="M96" t="s">
        <v>8</v>
      </c>
      <c r="N96" t="s">
        <v>8</v>
      </c>
      <c r="P96">
        <f t="shared" ref="P96" si="455">IF(C96=D96,0,((E96-D96)-(C96-E96))/(C96-D96))</f>
        <v>-0.39076154806491892</v>
      </c>
      <c r="Q96">
        <f t="shared" ref="Q96" si="456">F96*P96</f>
        <v>-261556451.33283404</v>
      </c>
      <c r="R96">
        <f t="shared" ref="R96" si="457">R97+Q96</f>
        <v>-10077473262.337896</v>
      </c>
      <c r="S96">
        <f t="shared" ref="S96" si="458">R96/100000</f>
        <v>-100774.73262337896</v>
      </c>
      <c r="T96">
        <f t="shared" ref="T96" si="459">S96/1000</f>
        <v>-100.77473262337897</v>
      </c>
    </row>
    <row r="97" spans="1:20" x14ac:dyDescent="0.25">
      <c r="A97" s="5">
        <v>44496</v>
      </c>
      <c r="B97">
        <v>4.6269999999999999E-2</v>
      </c>
      <c r="C97">
        <v>4.7E-2</v>
      </c>
      <c r="D97">
        <v>4.0890000000000003E-2</v>
      </c>
      <c r="E97">
        <v>4.0899999999999999E-2</v>
      </c>
      <c r="F97">
        <v>84993879.700000003</v>
      </c>
      <c r="G97">
        <v>4.0899999999999999E-2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-0.99672667757774269</v>
      </c>
      <c r="Q97">
        <f t="shared" ref="Q97" si="461">F97*P97</f>
        <v>-84715667.327823356</v>
      </c>
      <c r="R97">
        <f t="shared" ref="R97" si="462">R98+Q97</f>
        <v>-9815916811.0050621</v>
      </c>
      <c r="S97">
        <f t="shared" ref="S97" si="463">R97/100000</f>
        <v>-98159.168110050625</v>
      </c>
      <c r="T97">
        <f t="shared" ref="T97" si="464">S97/1000</f>
        <v>-98.159168110050629</v>
      </c>
    </row>
    <row r="98" spans="1:20" x14ac:dyDescent="0.25">
      <c r="A98" s="5">
        <v>44495</v>
      </c>
      <c r="B98">
        <v>4.5999999999999999E-2</v>
      </c>
      <c r="C98">
        <v>5.0999999999999997E-2</v>
      </c>
      <c r="D98">
        <v>4.5330000000000002E-2</v>
      </c>
      <c r="E98">
        <v>4.6300000000000001E-2</v>
      </c>
      <c r="F98">
        <v>144948317.59999999</v>
      </c>
      <c r="G98">
        <v>4.6300000000000001E-2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-0.65784832451499131</v>
      </c>
      <c r="Q98">
        <f t="shared" ref="Q98" si="466">F98*P98</f>
        <v>-95354007.874426827</v>
      </c>
      <c r="R98">
        <f t="shared" ref="R98" si="467">R99+Q98</f>
        <v>-9731201143.6772385</v>
      </c>
      <c r="S98">
        <f t="shared" ref="S98" si="468">R98/100000</f>
        <v>-97312.011436772387</v>
      </c>
      <c r="T98">
        <f t="shared" ref="T98" si="469">S98/1000</f>
        <v>-97.312011436772394</v>
      </c>
    </row>
    <row r="99" spans="1:20" x14ac:dyDescent="0.25">
      <c r="A99" s="5">
        <v>44494</v>
      </c>
      <c r="B99">
        <v>4.4760000000000001E-2</v>
      </c>
      <c r="C99">
        <v>4.6949999999999999E-2</v>
      </c>
      <c r="D99">
        <v>4.4400000000000002E-2</v>
      </c>
      <c r="E99">
        <v>4.6080000000000003E-2</v>
      </c>
      <c r="F99">
        <v>40279501.200000003</v>
      </c>
      <c r="G99">
        <v>4.6080000000000003E-2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0.31764705882353184</v>
      </c>
      <c r="Q99">
        <f t="shared" ref="Q99" si="471">F99*P99</f>
        <v>12794665.087058922</v>
      </c>
      <c r="R99">
        <f t="shared" ref="R99" si="472">R100+Q99</f>
        <v>-9635847135.8028126</v>
      </c>
      <c r="S99">
        <f t="shared" ref="S99" si="473">R99/100000</f>
        <v>-96358.471358028124</v>
      </c>
      <c r="T99">
        <f t="shared" ref="T99" si="474">S99/1000</f>
        <v>-96.358471358028126</v>
      </c>
    </row>
    <row r="100" spans="1:20" x14ac:dyDescent="0.25">
      <c r="A100" s="5">
        <v>44493</v>
      </c>
      <c r="B100">
        <v>4.7030000000000002E-2</v>
      </c>
      <c r="C100">
        <v>4.718E-2</v>
      </c>
      <c r="D100">
        <v>4.419E-2</v>
      </c>
      <c r="E100">
        <v>4.4760000000000001E-2</v>
      </c>
      <c r="F100">
        <v>31877335.100000001</v>
      </c>
      <c r="G100">
        <v>4.4760000000000001E-2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-0.61872909698996581</v>
      </c>
      <c r="Q100">
        <f t="shared" ref="Q100" si="476">F100*P100</f>
        <v>-19723434.760869544</v>
      </c>
      <c r="R100">
        <f t="shared" ref="R100" si="477">R101+Q100</f>
        <v>-9648641800.8898716</v>
      </c>
      <c r="S100">
        <f t="shared" ref="S100" si="478">R100/100000</f>
        <v>-96486.41800889872</v>
      </c>
      <c r="T100">
        <f t="shared" ref="T100" si="479">S100/1000</f>
        <v>-96.486418008898724</v>
      </c>
    </row>
    <row r="101" spans="1:20" x14ac:dyDescent="0.25">
      <c r="A101" s="5">
        <v>44492</v>
      </c>
      <c r="B101">
        <v>4.4740000000000002E-2</v>
      </c>
      <c r="C101">
        <v>4.8239999999999998E-2</v>
      </c>
      <c r="D101">
        <v>4.4330000000000001E-2</v>
      </c>
      <c r="E101">
        <v>4.7050000000000002E-2</v>
      </c>
      <c r="F101">
        <v>37729810.200000003</v>
      </c>
      <c r="G101">
        <v>4.7050000000000002E-2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0.39130434782608819</v>
      </c>
      <c r="Q101">
        <f t="shared" ref="Q101" si="481">F101*P101</f>
        <v>14763838.773913091</v>
      </c>
      <c r="R101">
        <f t="shared" ref="R101" si="482">R102+Q101</f>
        <v>-9628918366.1290016</v>
      </c>
      <c r="S101">
        <f t="shared" ref="S101" si="483">R101/100000</f>
        <v>-96289.183661290022</v>
      </c>
      <c r="T101">
        <f t="shared" ref="T101" si="484">S101/1000</f>
        <v>-96.289183661290025</v>
      </c>
    </row>
    <row r="102" spans="1:20" x14ac:dyDescent="0.25">
      <c r="A102" s="5">
        <v>44491</v>
      </c>
      <c r="B102">
        <v>4.555E-2</v>
      </c>
      <c r="C102">
        <v>4.6820000000000001E-2</v>
      </c>
      <c r="D102">
        <v>4.4229999999999998E-2</v>
      </c>
      <c r="E102">
        <v>4.4740000000000002E-2</v>
      </c>
      <c r="F102">
        <v>33556395.600000001</v>
      </c>
      <c r="G102">
        <v>4.4740000000000002E-2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-0.60617760617760374</v>
      </c>
      <c r="Q102">
        <f t="shared" ref="Q102" si="486">F102*P102</f>
        <v>-20341135.556756675</v>
      </c>
      <c r="R102">
        <f t="shared" ref="R102" si="487">R103+Q102</f>
        <v>-9643682204.902914</v>
      </c>
      <c r="S102">
        <f t="shared" ref="S102" si="488">R102/100000</f>
        <v>-96436.822049029142</v>
      </c>
      <c r="T102">
        <f t="shared" ref="T102" si="489">S102/1000</f>
        <v>-96.436822049029146</v>
      </c>
    </row>
    <row r="103" spans="1:20" x14ac:dyDescent="0.25">
      <c r="A103" s="5">
        <v>44490</v>
      </c>
      <c r="B103">
        <v>4.7149999999999997E-2</v>
      </c>
      <c r="C103">
        <v>4.8680000000000001E-2</v>
      </c>
      <c r="D103">
        <v>4.505E-2</v>
      </c>
      <c r="E103">
        <v>4.555E-2</v>
      </c>
      <c r="F103">
        <v>71603107.700000003</v>
      </c>
      <c r="G103">
        <v>4.555E-2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-0.72451790633608804</v>
      </c>
      <c r="Q103">
        <f t="shared" ref="Q103" si="491">F103*P103</f>
        <v>-51877733.677961424</v>
      </c>
      <c r="R103">
        <f t="shared" ref="R103" si="492">R104+Q103</f>
        <v>-9623341069.3461571</v>
      </c>
      <c r="S103">
        <f t="shared" ref="S103" si="493">R103/100000</f>
        <v>-96233.41069346157</v>
      </c>
      <c r="T103">
        <f t="shared" ref="T103" si="494">S103/1000</f>
        <v>-96.233410693461565</v>
      </c>
    </row>
    <row r="104" spans="1:20" x14ac:dyDescent="0.25">
      <c r="A104" s="5">
        <v>44489</v>
      </c>
      <c r="B104">
        <v>4.4729999999999999E-2</v>
      </c>
      <c r="C104">
        <v>5.219E-2</v>
      </c>
      <c r="D104">
        <v>4.3459999999999999E-2</v>
      </c>
      <c r="E104">
        <v>4.6980000000000001E-2</v>
      </c>
      <c r="F104">
        <v>172421432.59999999</v>
      </c>
      <c r="G104">
        <v>4.6980000000000001E-2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-0.19358533791523444</v>
      </c>
      <c r="Q104">
        <f t="shared" ref="Q104" si="496">F104*P104</f>
        <v>-33378261.29369982</v>
      </c>
      <c r="R104">
        <f t="shared" ref="R104" si="497">R105+Q104</f>
        <v>-9571463335.6681957</v>
      </c>
      <c r="S104">
        <f t="shared" ref="S104" si="498">R104/100000</f>
        <v>-95714.633356681952</v>
      </c>
      <c r="T104">
        <f t="shared" ref="T104" si="499">S104/1000</f>
        <v>-95.714633356681958</v>
      </c>
    </row>
    <row r="105" spans="1:20" x14ac:dyDescent="0.25">
      <c r="A105" s="5">
        <v>44488</v>
      </c>
      <c r="B105">
        <v>4.4049999999999999E-2</v>
      </c>
      <c r="C105">
        <v>4.7500000000000001E-2</v>
      </c>
      <c r="D105">
        <v>4.2999999999999997E-2</v>
      </c>
      <c r="E105">
        <v>4.48E-2</v>
      </c>
      <c r="F105">
        <v>97815207</v>
      </c>
      <c r="G105">
        <v>4.48E-2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-0.19999999999999937</v>
      </c>
      <c r="Q105">
        <f t="shared" ref="Q105" si="501">F105*P105</f>
        <v>-19563041.399999939</v>
      </c>
      <c r="R105">
        <f t="shared" ref="R105" si="502">R106+Q105</f>
        <v>-9538085074.3744965</v>
      </c>
      <c r="S105">
        <f t="shared" ref="S105" si="503">R105/100000</f>
        <v>-95380.850743744959</v>
      </c>
      <c r="T105">
        <f t="shared" ref="T105" si="504">S105/1000</f>
        <v>-95.380850743744958</v>
      </c>
    </row>
    <row r="106" spans="1:20" x14ac:dyDescent="0.25">
      <c r="A106" s="5">
        <v>44487</v>
      </c>
      <c r="B106">
        <v>4.5159999999999999E-2</v>
      </c>
      <c r="C106">
        <v>4.9500000000000002E-2</v>
      </c>
      <c r="D106">
        <v>4.317E-2</v>
      </c>
      <c r="E106">
        <v>4.4040000000000003E-2</v>
      </c>
      <c r="F106">
        <v>84974965.5</v>
      </c>
      <c r="G106">
        <v>4.4040000000000003E-2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-0.72511848341232155</v>
      </c>
      <c r="Q106">
        <f t="shared" ref="Q106" si="506">F106*P106</f>
        <v>-61616918.111374348</v>
      </c>
      <c r="R106">
        <f t="shared" ref="R106" si="507">R107+Q106</f>
        <v>-9518522032.9744968</v>
      </c>
      <c r="S106">
        <f t="shared" ref="S106" si="508">R106/100000</f>
        <v>-95185.220329744974</v>
      </c>
      <c r="T106">
        <f t="shared" ref="T106" si="509">S106/1000</f>
        <v>-95.185220329744979</v>
      </c>
    </row>
    <row r="107" spans="1:20" x14ac:dyDescent="0.25">
      <c r="A107" s="5">
        <v>44486</v>
      </c>
      <c r="B107">
        <v>4.4249999999999998E-2</v>
      </c>
      <c r="C107">
        <v>5.1999999999999998E-2</v>
      </c>
      <c r="D107">
        <v>4.2970000000000001E-2</v>
      </c>
      <c r="E107">
        <v>4.5159999999999999E-2</v>
      </c>
      <c r="F107">
        <v>236970118.5</v>
      </c>
      <c r="G107">
        <v>4.5159999999999999E-2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-0.51495016611295719</v>
      </c>
      <c r="Q107">
        <f t="shared" ref="Q107" si="511">F107*P107</f>
        <v>-122027801.88538215</v>
      </c>
      <c r="R107">
        <f t="shared" ref="R107" si="512">R108+Q107</f>
        <v>-9456905114.8631229</v>
      </c>
      <c r="S107">
        <f t="shared" ref="S107" si="513">R107/100000</f>
        <v>-94569.051148631232</v>
      </c>
      <c r="T107">
        <f t="shared" ref="T107" si="514">S107/1000</f>
        <v>-94.569051148631232</v>
      </c>
    </row>
    <row r="108" spans="1:20" x14ac:dyDescent="0.25">
      <c r="A108" s="5">
        <v>44485</v>
      </c>
      <c r="B108">
        <v>4.1739999999999999E-2</v>
      </c>
      <c r="C108">
        <v>4.8280000000000003E-2</v>
      </c>
      <c r="D108">
        <v>4.1439999999999998E-2</v>
      </c>
      <c r="E108">
        <v>4.4170000000000001E-2</v>
      </c>
      <c r="F108">
        <v>173244785.09999999</v>
      </c>
      <c r="G108">
        <v>4.4170000000000001E-2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-0.20175438596491199</v>
      </c>
      <c r="Q108">
        <f t="shared" ref="Q108" si="516">F108*P108</f>
        <v>-34952895.239473633</v>
      </c>
      <c r="R108">
        <f t="shared" ref="R108" si="517">R109+Q108</f>
        <v>-9334877312.9777412</v>
      </c>
      <c r="S108">
        <f t="shared" ref="S108" si="518">R108/100000</f>
        <v>-93348.773129777415</v>
      </c>
      <c r="T108">
        <f t="shared" ref="T108" si="519">S108/1000</f>
        <v>-93.348773129777413</v>
      </c>
    </row>
    <row r="109" spans="1:20" x14ac:dyDescent="0.25">
      <c r="A109" s="5">
        <v>44484</v>
      </c>
      <c r="B109">
        <v>4.1140000000000003E-2</v>
      </c>
      <c r="C109">
        <v>4.4499999999999998E-2</v>
      </c>
      <c r="D109">
        <v>3.9940000000000003E-2</v>
      </c>
      <c r="E109">
        <v>4.1779999999999998E-2</v>
      </c>
      <c r="F109">
        <v>119498485.8</v>
      </c>
      <c r="G109">
        <v>4.1779999999999998E-2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-0.19298245614035237</v>
      </c>
      <c r="Q109">
        <f t="shared" ref="Q109" si="521">F109*P109</f>
        <v>-23061111.294737019</v>
      </c>
      <c r="R109">
        <f t="shared" ref="R109" si="522">R110+Q109</f>
        <v>-9299924417.7382679</v>
      </c>
      <c r="S109">
        <f t="shared" ref="S109" si="523">R109/100000</f>
        <v>-92999.244177382672</v>
      </c>
      <c r="T109">
        <f t="shared" ref="T109" si="524">S109/1000</f>
        <v>-92.999244177382678</v>
      </c>
    </row>
    <row r="110" spans="1:20" x14ac:dyDescent="0.25">
      <c r="A110" s="5">
        <v>44483</v>
      </c>
      <c r="B110">
        <v>3.9530000000000003E-2</v>
      </c>
      <c r="C110">
        <v>4.5199999999999997E-2</v>
      </c>
      <c r="D110">
        <v>3.9370000000000002E-2</v>
      </c>
      <c r="E110">
        <v>4.1029999999999997E-2</v>
      </c>
      <c r="F110">
        <v>194850046.5</v>
      </c>
      <c r="G110">
        <v>4.1029999999999997E-2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-0.43053173241852616</v>
      </c>
      <c r="Q110">
        <f t="shared" ref="Q110" si="526">F110*P110</f>
        <v>-83889128.081475377</v>
      </c>
      <c r="R110">
        <f t="shared" ref="R110" si="527">R111+Q110</f>
        <v>-9276863306.443531</v>
      </c>
      <c r="S110">
        <f t="shared" ref="S110" si="528">R110/100000</f>
        <v>-92768.633064435315</v>
      </c>
      <c r="T110">
        <f t="shared" ref="T110" si="529">S110/1000</f>
        <v>-92.768633064435321</v>
      </c>
    </row>
    <row r="111" spans="1:20" x14ac:dyDescent="0.25">
      <c r="A111" s="5">
        <v>44482</v>
      </c>
      <c r="B111">
        <v>3.916E-2</v>
      </c>
      <c r="C111">
        <v>4.0160000000000001E-2</v>
      </c>
      <c r="D111">
        <v>3.7760000000000002E-2</v>
      </c>
      <c r="E111">
        <v>3.9530000000000003E-2</v>
      </c>
      <c r="F111">
        <v>46637579.899999999</v>
      </c>
      <c r="G111">
        <v>3.9530000000000003E-2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0.47500000000000103</v>
      </c>
      <c r="Q111">
        <f t="shared" ref="Q111" si="531">F111*P111</f>
        <v>22152850.452500049</v>
      </c>
      <c r="R111">
        <f t="shared" ref="R111" si="532">R112+Q111</f>
        <v>-9192974178.3620548</v>
      </c>
      <c r="S111">
        <f t="shared" ref="S111" si="533">R111/100000</f>
        <v>-91929.741783620542</v>
      </c>
      <c r="T111">
        <f t="shared" ref="T111" si="534">S111/1000</f>
        <v>-91.929741783620543</v>
      </c>
    </row>
    <row r="112" spans="1:20" x14ac:dyDescent="0.25">
      <c r="A112" s="5">
        <v>44481</v>
      </c>
      <c r="B112">
        <v>3.7679999999999998E-2</v>
      </c>
      <c r="C112">
        <v>4.2500000000000003E-2</v>
      </c>
      <c r="D112">
        <v>3.5709999999999999E-2</v>
      </c>
      <c r="E112">
        <v>3.9120000000000002E-2</v>
      </c>
      <c r="F112">
        <v>82147088.599999994</v>
      </c>
      <c r="G112">
        <v>3.9120000000000002E-2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4.4182621502212409E-3</v>
      </c>
      <c r="Q112">
        <f t="shared" ref="Q112" si="536">F112*P112</f>
        <v>362947.37231225078</v>
      </c>
      <c r="R112">
        <f t="shared" ref="R112" si="537">R113+Q112</f>
        <v>-9215127028.8145542</v>
      </c>
      <c r="S112">
        <f t="shared" ref="S112" si="538">R112/100000</f>
        <v>-92151.270288145548</v>
      </c>
      <c r="T112">
        <f t="shared" ref="T112" si="539">S112/1000</f>
        <v>-92.151270288145554</v>
      </c>
    </row>
    <row r="113" spans="1:20" x14ac:dyDescent="0.25">
      <c r="A113" s="5">
        <v>44480</v>
      </c>
      <c r="B113">
        <v>3.8980000000000001E-2</v>
      </c>
      <c r="C113">
        <v>4.0210000000000003E-2</v>
      </c>
      <c r="D113">
        <v>3.6819999999999999E-2</v>
      </c>
      <c r="E113">
        <v>3.7699999999999997E-2</v>
      </c>
      <c r="F113">
        <v>39089972.5</v>
      </c>
      <c r="G113">
        <v>3.7699999999999997E-2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-0.48082595870206624</v>
      </c>
      <c r="Q113">
        <f t="shared" ref="Q113" si="541">F113*P113</f>
        <v>-18795473.502949905</v>
      </c>
      <c r="R113">
        <f t="shared" ref="R113" si="542">R114+Q113</f>
        <v>-9215489976.1868668</v>
      </c>
      <c r="S113">
        <f t="shared" ref="S113" si="543">R113/100000</f>
        <v>-92154.89976186867</v>
      </c>
      <c r="T113">
        <f t="shared" ref="T113" si="544">S113/1000</f>
        <v>-92.154899761868677</v>
      </c>
    </row>
    <row r="114" spans="1:20" x14ac:dyDescent="0.25">
      <c r="A114" s="5">
        <v>44479</v>
      </c>
      <c r="B114">
        <v>4.1549999999999997E-2</v>
      </c>
      <c r="C114">
        <v>4.1689999999999998E-2</v>
      </c>
      <c r="D114">
        <v>3.8640000000000001E-2</v>
      </c>
      <c r="E114">
        <v>3.9E-2</v>
      </c>
      <c r="F114">
        <v>45098217.899999999</v>
      </c>
      <c r="G114">
        <v>3.9E-2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-0.76393442622950847</v>
      </c>
      <c r="Q114">
        <f t="shared" ref="Q114" si="546">F114*P114</f>
        <v>-34452081.215409845</v>
      </c>
      <c r="R114">
        <f t="shared" ref="R114" si="547">R115+Q114</f>
        <v>-9196694502.6839161</v>
      </c>
      <c r="S114">
        <f t="shared" ref="S114" si="548">R114/100000</f>
        <v>-91966.945026839167</v>
      </c>
      <c r="T114">
        <f t="shared" ref="T114" si="549">S114/1000</f>
        <v>-91.96694502683917</v>
      </c>
    </row>
    <row r="115" spans="1:20" x14ac:dyDescent="0.25">
      <c r="A115" s="5">
        <v>44478</v>
      </c>
      <c r="B115">
        <v>4.2880000000000001E-2</v>
      </c>
      <c r="C115">
        <v>4.487E-2</v>
      </c>
      <c r="D115">
        <v>4.1059999999999999E-2</v>
      </c>
      <c r="E115">
        <v>4.1599999999999998E-2</v>
      </c>
      <c r="F115">
        <v>58372580.5</v>
      </c>
      <c r="G115">
        <v>4.1599999999999998E-2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-0.71653543307086687</v>
      </c>
      <c r="Q115">
        <f t="shared" ref="Q115" si="551">F115*P115</f>
        <v>-41826022.248031542</v>
      </c>
      <c r="R115">
        <f t="shared" ref="R115" si="552">R116+Q115</f>
        <v>-9162242421.4685059</v>
      </c>
      <c r="S115">
        <f t="shared" ref="S115" si="553">R115/100000</f>
        <v>-91622.424214685059</v>
      </c>
      <c r="T115">
        <f t="shared" ref="T115" si="554">S115/1000</f>
        <v>-91.622424214685054</v>
      </c>
    </row>
    <row r="116" spans="1:20" x14ac:dyDescent="0.25">
      <c r="A116" s="5">
        <v>44477</v>
      </c>
      <c r="B116">
        <v>3.9489999999999997E-2</v>
      </c>
      <c r="C116">
        <v>4.3950000000000003E-2</v>
      </c>
      <c r="D116">
        <v>3.9230000000000001E-2</v>
      </c>
      <c r="E116">
        <v>4.2869999999999998E-2</v>
      </c>
      <c r="F116">
        <v>91297911</v>
      </c>
      <c r="G116">
        <v>4.2869999999999998E-2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0.54237288135593043</v>
      </c>
      <c r="Q116">
        <f t="shared" ref="Q116" si="556">F116*P116</f>
        <v>49517511.050847292</v>
      </c>
      <c r="R116">
        <f t="shared" ref="R116" si="557">R117+Q116</f>
        <v>-9120416399.2204742</v>
      </c>
      <c r="S116">
        <f t="shared" ref="S116" si="558">R116/100000</f>
        <v>-91204.163992204747</v>
      </c>
      <c r="T116">
        <f t="shared" ref="T116" si="559">S116/1000</f>
        <v>-91.204163992204741</v>
      </c>
    </row>
    <row r="117" spans="1:20" x14ac:dyDescent="0.25">
      <c r="A117" s="5">
        <v>44476</v>
      </c>
      <c r="B117">
        <v>4.1520000000000001E-2</v>
      </c>
      <c r="C117">
        <v>4.403E-2</v>
      </c>
      <c r="D117">
        <v>3.9059999999999997E-2</v>
      </c>
      <c r="E117">
        <v>3.9489999999999997E-2</v>
      </c>
      <c r="F117">
        <v>105091880.09999999</v>
      </c>
      <c r="G117">
        <v>3.9489999999999997E-2</v>
      </c>
      <c r="L117" t="s">
        <v>7</v>
      </c>
      <c r="M117" t="s">
        <v>7</v>
      </c>
      <c r="N117" t="s">
        <v>8</v>
      </c>
      <c r="P117">
        <f t="shared" ref="P117" si="560">IF(C117=D117,0,((E117-D117)-(C117-E117))/(C117-D117))</f>
        <v>-0.82696177062374265</v>
      </c>
      <c r="Q117">
        <f t="shared" ref="Q117" si="561">F117*P117</f>
        <v>-86906967.245674059</v>
      </c>
      <c r="R117">
        <f t="shared" ref="R117" si="562">R118+Q117</f>
        <v>-9169933910.2713223</v>
      </c>
      <c r="S117">
        <f t="shared" ref="S117" si="563">R117/100000</f>
        <v>-91699.339102713217</v>
      </c>
      <c r="T117">
        <f t="shared" ref="T117" si="564">S117/1000</f>
        <v>-91.699339102713211</v>
      </c>
    </row>
    <row r="118" spans="1:20" x14ac:dyDescent="0.25">
      <c r="A118" s="5">
        <v>44475</v>
      </c>
      <c r="B118">
        <v>3.9690000000000003E-2</v>
      </c>
      <c r="C118">
        <v>4.87E-2</v>
      </c>
      <c r="D118">
        <v>3.6889999999999999E-2</v>
      </c>
      <c r="E118">
        <v>4.1509999999999998E-2</v>
      </c>
      <c r="F118">
        <v>253732101.5</v>
      </c>
      <c r="G118">
        <v>4.1509999999999998E-2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-0.2176121930567318</v>
      </c>
      <c r="Q118">
        <f t="shared" ref="Q118" si="566">F118*P118</f>
        <v>-55215199.05630827</v>
      </c>
      <c r="R118">
        <f t="shared" ref="R118" si="567">R119+Q118</f>
        <v>-9083026943.0256481</v>
      </c>
      <c r="S118">
        <f t="shared" ref="S118" si="568">R118/100000</f>
        <v>-90830.269430256478</v>
      </c>
      <c r="T118">
        <f t="shared" ref="T118" si="569">S118/1000</f>
        <v>-90.830269430256479</v>
      </c>
    </row>
    <row r="119" spans="1:20" x14ac:dyDescent="0.25">
      <c r="A119" s="5">
        <v>44474</v>
      </c>
      <c r="B119">
        <v>3.6630000000000003E-2</v>
      </c>
      <c r="C119">
        <v>4.19E-2</v>
      </c>
      <c r="D119">
        <v>3.6450000000000003E-2</v>
      </c>
      <c r="E119">
        <v>3.9690000000000003E-2</v>
      </c>
      <c r="F119">
        <v>87421626.299999997</v>
      </c>
      <c r="G119">
        <v>3.9690000000000003E-2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0.1889908256880741</v>
      </c>
      <c r="Q119">
        <f t="shared" ref="Q119" si="571">F119*P119</f>
        <v>16521885.337431254</v>
      </c>
      <c r="R119">
        <f t="shared" ref="R119" si="572">R120+Q119</f>
        <v>-9027811743.9693394</v>
      </c>
      <c r="S119">
        <f t="shared" ref="S119" si="573">R119/100000</f>
        <v>-90278.117439693393</v>
      </c>
      <c r="T119">
        <f t="shared" ref="T119" si="574">S119/1000</f>
        <v>-90.278117439693389</v>
      </c>
    </row>
    <row r="120" spans="1:20" x14ac:dyDescent="0.25">
      <c r="A120" s="5">
        <v>44473</v>
      </c>
      <c r="B120">
        <v>3.7350000000000001E-2</v>
      </c>
      <c r="C120">
        <v>3.737E-2</v>
      </c>
      <c r="D120">
        <v>3.5009999999999999E-2</v>
      </c>
      <c r="E120">
        <v>3.6560000000000002E-2</v>
      </c>
      <c r="F120">
        <v>47343551.100000001</v>
      </c>
      <c r="G120">
        <v>3.6560000000000002E-2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0.31355932203390008</v>
      </c>
      <c r="Q120">
        <f t="shared" ref="Q120" si="576">F120*P120</f>
        <v>14845011.785593305</v>
      </c>
      <c r="R120">
        <f t="shared" ref="R120" si="577">R121+Q120</f>
        <v>-9044333629.3067703</v>
      </c>
      <c r="S120">
        <f t="shared" ref="S120" si="578">R120/100000</f>
        <v>-90443.33629306771</v>
      </c>
      <c r="T120">
        <f t="shared" ref="T120" si="579">S120/1000</f>
        <v>-90.443336293067716</v>
      </c>
    </row>
    <row r="121" spans="1:20" x14ac:dyDescent="0.25">
      <c r="A121" s="5">
        <v>44472</v>
      </c>
      <c r="B121">
        <v>3.73E-2</v>
      </c>
      <c r="C121">
        <v>3.9399999999999998E-2</v>
      </c>
      <c r="D121">
        <v>3.6429999999999997E-2</v>
      </c>
      <c r="E121">
        <v>3.7220000000000003E-2</v>
      </c>
      <c r="F121">
        <v>73021855.299999997</v>
      </c>
      <c r="G121">
        <v>3.7220000000000003E-2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-0.46801346801346405</v>
      </c>
      <c r="Q121">
        <f t="shared" ref="Q121" si="581">F121*P121</f>
        <v>-34175211.739730351</v>
      </c>
      <c r="R121">
        <f t="shared" ref="R121" si="582">R122+Q121</f>
        <v>-9059178641.0923634</v>
      </c>
      <c r="S121">
        <f t="shared" ref="S121" si="583">R121/100000</f>
        <v>-90591.78641092364</v>
      </c>
      <c r="T121">
        <f t="shared" ref="T121" si="584">S121/1000</f>
        <v>-90.591786410923646</v>
      </c>
    </row>
    <row r="122" spans="1:20" x14ac:dyDescent="0.25">
      <c r="A122" s="5">
        <v>44471</v>
      </c>
      <c r="B122">
        <v>3.6319999999999998E-2</v>
      </c>
      <c r="C122">
        <v>3.8199999999999998E-2</v>
      </c>
      <c r="D122">
        <v>3.5589999999999997E-2</v>
      </c>
      <c r="E122">
        <v>3.7330000000000002E-2</v>
      </c>
      <c r="F122">
        <v>216059510.19999999</v>
      </c>
      <c r="G122">
        <v>3.7330000000000002E-2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0.33333333333333687</v>
      </c>
      <c r="Q122">
        <f t="shared" ref="Q122" si="586">F122*P122</f>
        <v>72019836.733334094</v>
      </c>
      <c r="R122">
        <f t="shared" ref="R122" si="587">R123+Q122</f>
        <v>-9025003429.3526325</v>
      </c>
      <c r="S122">
        <f t="shared" ref="S122" si="588">R122/100000</f>
        <v>-90250.034293526332</v>
      </c>
      <c r="T122">
        <f t="shared" ref="T122" si="589">S122/1000</f>
        <v>-90.250034293526326</v>
      </c>
    </row>
    <row r="123" spans="1:20" x14ac:dyDescent="0.25">
      <c r="A123" s="5">
        <v>44470</v>
      </c>
      <c r="B123">
        <v>3.3829999999999999E-2</v>
      </c>
      <c r="C123">
        <v>3.6429999999999997E-2</v>
      </c>
      <c r="D123">
        <v>3.3509999999999998E-2</v>
      </c>
      <c r="E123">
        <v>3.6269999999999997E-2</v>
      </c>
      <c r="F123">
        <v>87153507.299999997</v>
      </c>
      <c r="G123">
        <v>3.6269999999999997E-2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0.89041095890410926</v>
      </c>
      <c r="Q123">
        <f t="shared" ref="Q123" si="591">F123*P123</f>
        <v>77602438.006849289</v>
      </c>
      <c r="R123">
        <f t="shared" ref="R123" si="592">R124+Q123</f>
        <v>-9097023266.0859661</v>
      </c>
      <c r="S123">
        <f t="shared" ref="S123" si="593">R123/100000</f>
        <v>-90970.232660859663</v>
      </c>
      <c r="T123">
        <f t="shared" ref="T123" si="594">S123/1000</f>
        <v>-90.970232660859665</v>
      </c>
    </row>
    <row r="124" spans="1:20" x14ac:dyDescent="0.25">
      <c r="A124" s="5">
        <v>44469</v>
      </c>
      <c r="B124">
        <v>3.2149999999999998E-2</v>
      </c>
      <c r="C124">
        <v>3.5000000000000003E-2</v>
      </c>
      <c r="D124">
        <v>3.1940000000000003E-2</v>
      </c>
      <c r="E124">
        <v>3.3829999999999999E-2</v>
      </c>
      <c r="F124">
        <v>41210340.299999997</v>
      </c>
      <c r="G124">
        <v>3.3829999999999999E-2</v>
      </c>
      <c r="L124" t="s">
        <v>7</v>
      </c>
      <c r="M124" t="s">
        <v>8</v>
      </c>
      <c r="N124" t="s">
        <v>7</v>
      </c>
      <c r="P124">
        <f t="shared" ref="P124" si="595">IF(C124=D124,0,((E124-D124)-(C124-E124))/(C124-D124))</f>
        <v>0.23529411764705602</v>
      </c>
      <c r="Q124">
        <f t="shared" ref="Q124" si="596">F124*P124</f>
        <v>9696550.6588234138</v>
      </c>
      <c r="R124">
        <f t="shared" ref="R124" si="597">R125+Q124</f>
        <v>-9174625704.0928154</v>
      </c>
      <c r="S124">
        <f t="shared" ref="S124" si="598">R124/100000</f>
        <v>-91746.257040928147</v>
      </c>
      <c r="T124">
        <f t="shared" ref="T124" si="599">S124/1000</f>
        <v>-91.746257040928143</v>
      </c>
    </row>
    <row r="125" spans="1:20" x14ac:dyDescent="0.25">
      <c r="A125" s="5">
        <v>44468</v>
      </c>
      <c r="B125">
        <v>3.1710000000000002E-2</v>
      </c>
      <c r="C125">
        <v>3.4630000000000001E-2</v>
      </c>
      <c r="D125">
        <v>3.141E-2</v>
      </c>
      <c r="E125">
        <v>3.209E-2</v>
      </c>
      <c r="F125">
        <v>50251794.799999997</v>
      </c>
      <c r="G125">
        <v>3.209E-2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-0.57763975155279512</v>
      </c>
      <c r="Q125">
        <f t="shared" ref="Q125" si="601">F125*P125</f>
        <v>-29027434.263354041</v>
      </c>
      <c r="R125">
        <f t="shared" ref="R125" si="602">R126+Q125</f>
        <v>-9184322254.7516384</v>
      </c>
      <c r="S125">
        <f t="shared" ref="S125" si="603">R125/100000</f>
        <v>-91843.222547516387</v>
      </c>
      <c r="T125">
        <f t="shared" ref="T125" si="604">S125/1000</f>
        <v>-91.84322254751639</v>
      </c>
    </row>
    <row r="126" spans="1:20" x14ac:dyDescent="0.25">
      <c r="A126" s="5">
        <v>44467</v>
      </c>
      <c r="B126">
        <v>3.2140000000000002E-2</v>
      </c>
      <c r="C126">
        <v>3.5000000000000003E-2</v>
      </c>
      <c r="D126">
        <v>3.1449999999999999E-2</v>
      </c>
      <c r="E126">
        <v>3.1719999999999998E-2</v>
      </c>
      <c r="F126">
        <v>87464725.400000006</v>
      </c>
      <c r="G126">
        <v>3.1719999999999998E-2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-0.84788732394366251</v>
      </c>
      <c r="Q126">
        <f t="shared" ref="Q126" si="606">F126*P126</f>
        <v>-74160231.958873287</v>
      </c>
      <c r="R126">
        <f t="shared" ref="R126" si="607">R127+Q126</f>
        <v>-9155294820.4882851</v>
      </c>
      <c r="S126">
        <f t="shared" ref="S126" si="608">R126/100000</f>
        <v>-91552.94820488285</v>
      </c>
      <c r="T126">
        <f t="shared" ref="T126" si="609">S126/1000</f>
        <v>-91.552948204882853</v>
      </c>
    </row>
    <row r="127" spans="1:20" x14ac:dyDescent="0.25">
      <c r="A127" s="5">
        <v>44466</v>
      </c>
      <c r="B127">
        <v>3.2680000000000001E-2</v>
      </c>
      <c r="C127">
        <v>3.7249999999999998E-2</v>
      </c>
      <c r="D127">
        <v>3.2000000000000001E-2</v>
      </c>
      <c r="E127">
        <v>3.2169999999999997E-2</v>
      </c>
      <c r="F127">
        <v>125595577.2</v>
      </c>
      <c r="G127">
        <v>3.2169999999999997E-2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-0.93523809523809653</v>
      </c>
      <c r="Q127">
        <f t="shared" ref="Q127" si="611">F127*P127</f>
        <v>-117461768.39085731</v>
      </c>
      <c r="R127">
        <f t="shared" ref="R127" si="612">R128+Q127</f>
        <v>-9081134588.5294113</v>
      </c>
      <c r="S127">
        <f t="shared" ref="S127" si="613">R127/100000</f>
        <v>-90811.345885294111</v>
      </c>
      <c r="T127">
        <f t="shared" ref="T127" si="614">S127/1000</f>
        <v>-90.811345885294116</v>
      </c>
    </row>
    <row r="128" spans="1:20" x14ac:dyDescent="0.25">
      <c r="A128" s="5">
        <v>44465</v>
      </c>
      <c r="B128">
        <v>3.2599999999999997E-2</v>
      </c>
      <c r="C128">
        <v>3.6299999999999999E-2</v>
      </c>
      <c r="D128">
        <v>2.9590000000000002E-2</v>
      </c>
      <c r="E128">
        <v>3.2669999999999998E-2</v>
      </c>
      <c r="F128">
        <v>86111948.5</v>
      </c>
      <c r="G128">
        <v>3.2669999999999998E-2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-8.1967213114754925E-2</v>
      </c>
      <c r="Q128">
        <f t="shared" ref="Q128" si="616">F128*P128</f>
        <v>-7058356.4344263002</v>
      </c>
      <c r="R128">
        <f t="shared" ref="R128" si="617">R129+Q128</f>
        <v>-8963672820.1385536</v>
      </c>
      <c r="S128">
        <f t="shared" ref="S128" si="618">R128/100000</f>
        <v>-89636.728201385529</v>
      </c>
      <c r="T128">
        <f t="shared" ref="T128" si="619">S128/1000</f>
        <v>-89.636728201385523</v>
      </c>
    </row>
    <row r="129" spans="1:20" x14ac:dyDescent="0.25">
      <c r="A129" s="5">
        <v>44464</v>
      </c>
      <c r="B129">
        <v>3.3579999999999999E-2</v>
      </c>
      <c r="C129">
        <v>3.44E-2</v>
      </c>
      <c r="D129">
        <v>3.2300000000000002E-2</v>
      </c>
      <c r="E129">
        <v>3.261E-2</v>
      </c>
      <c r="F129">
        <v>34710318.5</v>
      </c>
      <c r="G129">
        <v>3.261E-2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-0.70476190476190659</v>
      </c>
      <c r="Q129">
        <f t="shared" ref="Q129" si="621">F129*P129</f>
        <v>-24462510.180952445</v>
      </c>
      <c r="R129">
        <f t="shared" ref="R129" si="622">R130+Q129</f>
        <v>-8956614463.7041283</v>
      </c>
      <c r="S129">
        <f t="shared" ref="S129" si="623">R129/100000</f>
        <v>-89566.144637041289</v>
      </c>
      <c r="T129">
        <f t="shared" ref="T129" si="624">S129/1000</f>
        <v>-89.56614463704129</v>
      </c>
    </row>
    <row r="130" spans="1:20" x14ac:dyDescent="0.25">
      <c r="A130" s="5">
        <v>44463</v>
      </c>
      <c r="B130">
        <v>3.7130000000000003E-2</v>
      </c>
      <c r="C130">
        <v>3.7690000000000001E-2</v>
      </c>
      <c r="D130">
        <v>3.124E-2</v>
      </c>
      <c r="E130">
        <v>3.3550000000000003E-2</v>
      </c>
      <c r="F130">
        <v>56395315.600000001</v>
      </c>
      <c r="G130">
        <v>3.3550000000000003E-2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-0.28372093023255729</v>
      </c>
      <c r="Q130">
        <f t="shared" ref="Q130" si="626">F130*P130</f>
        <v>-16000531.402790651</v>
      </c>
      <c r="R130">
        <f t="shared" ref="R130" si="627">R131+Q130</f>
        <v>-8932151953.5231762</v>
      </c>
      <c r="S130">
        <f t="shared" ref="S130" si="628">R130/100000</f>
        <v>-89321.519535231768</v>
      </c>
      <c r="T130">
        <f t="shared" ref="T130" si="629">S130/1000</f>
        <v>-89.321519535231772</v>
      </c>
    </row>
    <row r="131" spans="1:20" x14ac:dyDescent="0.25">
      <c r="A131" s="5">
        <v>44462</v>
      </c>
      <c r="B131">
        <v>3.5970000000000002E-2</v>
      </c>
      <c r="C131">
        <v>3.857E-2</v>
      </c>
      <c r="D131">
        <v>3.5290000000000002E-2</v>
      </c>
      <c r="E131">
        <v>3.7139999999999999E-2</v>
      </c>
      <c r="F131">
        <v>54959316.600000001</v>
      </c>
      <c r="G131">
        <v>3.7139999999999999E-2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0.12804878048780396</v>
      </c>
      <c r="Q131">
        <f t="shared" ref="Q131" si="631">F131*P131</f>
        <v>7037473.4670731211</v>
      </c>
      <c r="R131">
        <f t="shared" ref="R131" si="632">R132+Q131</f>
        <v>-8916151422.1203861</v>
      </c>
      <c r="S131">
        <f t="shared" ref="S131" si="633">R131/100000</f>
        <v>-89161.514221203863</v>
      </c>
      <c r="T131">
        <f t="shared" ref="T131" si="634">S131/1000</f>
        <v>-89.161514221203859</v>
      </c>
    </row>
    <row r="132" spans="1:20" x14ac:dyDescent="0.25">
      <c r="A132" s="5">
        <v>44461</v>
      </c>
      <c r="B132">
        <v>3.2070000000000001E-2</v>
      </c>
      <c r="C132">
        <v>3.6319999999999998E-2</v>
      </c>
      <c r="D132">
        <v>3.1809999999999998E-2</v>
      </c>
      <c r="E132">
        <v>3.5929999999999997E-2</v>
      </c>
      <c r="F132">
        <v>61583780.700000003</v>
      </c>
      <c r="G132">
        <v>3.5929999999999997E-2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0.82705099778270441</v>
      </c>
      <c r="Q132">
        <f t="shared" ref="Q132" si="636">F132*P132</f>
        <v>50932927.275166258</v>
      </c>
      <c r="R132">
        <f t="shared" ref="R132" si="637">R133+Q132</f>
        <v>-8923188895.5874596</v>
      </c>
      <c r="S132">
        <f t="shared" ref="S132" si="638">R132/100000</f>
        <v>-89231.888955874601</v>
      </c>
      <c r="T132">
        <f t="shared" ref="T132" si="639">S132/1000</f>
        <v>-89.231888955874595</v>
      </c>
    </row>
    <row r="133" spans="1:20" x14ac:dyDescent="0.25">
      <c r="A133" s="5">
        <v>44460</v>
      </c>
      <c r="B133">
        <v>3.492E-2</v>
      </c>
      <c r="C133">
        <v>3.7379999999999997E-2</v>
      </c>
      <c r="D133">
        <v>3.0599999999999999E-2</v>
      </c>
      <c r="E133">
        <v>3.2009999999999997E-2</v>
      </c>
      <c r="F133">
        <v>75969810.400000006</v>
      </c>
      <c r="G133">
        <v>3.2009999999999997E-2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-0.58407079646017745</v>
      </c>
      <c r="Q133">
        <f t="shared" ref="Q133" si="641">F133*P133</f>
        <v>-44371747.667256676</v>
      </c>
      <c r="R133">
        <f t="shared" ref="R133" si="642">R134+Q133</f>
        <v>-8974121822.8626251</v>
      </c>
      <c r="S133">
        <f t="shared" ref="S133" si="643">R133/100000</f>
        <v>-89741.218228626254</v>
      </c>
      <c r="T133">
        <f t="shared" ref="T133" si="644">S133/1000</f>
        <v>-89.741218228626252</v>
      </c>
    </row>
    <row r="134" spans="1:20" x14ac:dyDescent="0.25">
      <c r="A134" s="5">
        <v>44459</v>
      </c>
      <c r="B134">
        <v>4.2259999999999999E-2</v>
      </c>
      <c r="C134">
        <v>4.7750000000000001E-2</v>
      </c>
      <c r="D134">
        <v>3.9300000000000002E-2</v>
      </c>
      <c r="E134">
        <v>4.0370000000000003E-2</v>
      </c>
      <c r="F134">
        <v>58441665.600000001</v>
      </c>
      <c r="G134">
        <v>4.0370000000000003E-2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-0.74674556213017718</v>
      </c>
      <c r="Q134">
        <f t="shared" ref="Q134" si="646">F134*P134</f>
        <v>-43641054.43029584</v>
      </c>
      <c r="R134">
        <f t="shared" ref="R134" si="647">R135+Q134</f>
        <v>-8929750075.1953678</v>
      </c>
      <c r="S134">
        <f t="shared" ref="S134" si="648">R134/100000</f>
        <v>-89297.500751953674</v>
      </c>
      <c r="T134">
        <f t="shared" ref="T134" si="649">S134/1000</f>
        <v>-89.297500751953677</v>
      </c>
    </row>
    <row r="135" spans="1:20" x14ac:dyDescent="0.25">
      <c r="A135" s="5">
        <v>44458</v>
      </c>
      <c r="B135">
        <v>4.5499999999999999E-2</v>
      </c>
      <c r="C135">
        <v>4.5999999999999999E-2</v>
      </c>
      <c r="D135">
        <v>4.1820000000000003E-2</v>
      </c>
      <c r="E135">
        <v>4.2340000000000003E-2</v>
      </c>
      <c r="F135">
        <v>56722304.700000003</v>
      </c>
      <c r="G135">
        <v>4.2340000000000003E-2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-0.75119617224880375</v>
      </c>
      <c r="Q135">
        <f t="shared" ref="Q135" si="651">F135*P135</f>
        <v>-42609578.171770334</v>
      </c>
      <c r="R135">
        <f t="shared" ref="R135" si="652">R136+Q135</f>
        <v>-8886109020.7650719</v>
      </c>
      <c r="S135">
        <f t="shared" ref="S135" si="653">R135/100000</f>
        <v>-88861.090207650719</v>
      </c>
      <c r="T135">
        <f t="shared" ref="T135" si="654">S135/1000</f>
        <v>-88.861090207650719</v>
      </c>
    </row>
    <row r="136" spans="1:20" x14ac:dyDescent="0.25">
      <c r="A136" s="5">
        <v>44457</v>
      </c>
      <c r="B136">
        <v>4.2220000000000001E-2</v>
      </c>
      <c r="C136">
        <v>5.2999999999999999E-2</v>
      </c>
      <c r="D136">
        <v>4.1919999999999999E-2</v>
      </c>
      <c r="E136">
        <v>4.5510000000000002E-2</v>
      </c>
      <c r="F136">
        <v>227678852.40000001</v>
      </c>
      <c r="G136">
        <v>4.5510000000000002E-2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-0.35198555956678645</v>
      </c>
      <c r="Q136">
        <f t="shared" ref="Q136" si="656">F136*P136</f>
        <v>-80139668.263537779</v>
      </c>
      <c r="R136">
        <f t="shared" ref="R136" si="657">R137+Q136</f>
        <v>-8843499442.5933018</v>
      </c>
      <c r="S136">
        <f t="shared" ref="S136" si="658">R136/100000</f>
        <v>-88434.994425933022</v>
      </c>
      <c r="T136">
        <f t="shared" ref="T136" si="659">S136/1000</f>
        <v>-88.434994425933027</v>
      </c>
    </row>
    <row r="137" spans="1:20" x14ac:dyDescent="0.25">
      <c r="A137" s="5">
        <v>44456</v>
      </c>
      <c r="B137">
        <v>4.3970000000000002E-2</v>
      </c>
      <c r="C137">
        <v>4.4659999999999998E-2</v>
      </c>
      <c r="D137">
        <v>4.1840000000000002E-2</v>
      </c>
      <c r="E137">
        <v>4.2169999999999999E-2</v>
      </c>
      <c r="F137">
        <v>34981617.700000003</v>
      </c>
      <c r="G137">
        <v>4.2169999999999999E-2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-0.76595744680851252</v>
      </c>
      <c r="Q137">
        <f t="shared" ref="Q137" si="661">F137*P137</f>
        <v>-26794430.578723472</v>
      </c>
      <c r="R137">
        <f t="shared" ref="R137" si="662">R138+Q137</f>
        <v>-8763359774.3297634</v>
      </c>
      <c r="S137">
        <f t="shared" ref="S137" si="663">R137/100000</f>
        <v>-87633.597743297636</v>
      </c>
      <c r="T137">
        <f t="shared" ref="T137" si="664">S137/1000</f>
        <v>-87.633597743297642</v>
      </c>
    </row>
    <row r="138" spans="1:20" x14ac:dyDescent="0.25">
      <c r="A138" s="5">
        <v>44455</v>
      </c>
      <c r="B138">
        <v>4.5859999999999998E-2</v>
      </c>
      <c r="C138">
        <v>4.6989999999999997E-2</v>
      </c>
      <c r="D138">
        <v>4.3360000000000003E-2</v>
      </c>
      <c r="E138">
        <v>4.3970000000000002E-2</v>
      </c>
      <c r="F138">
        <v>41325498.299999997</v>
      </c>
      <c r="G138">
        <v>4.3970000000000002E-2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-0.66391184573002737</v>
      </c>
      <c r="Q138">
        <f t="shared" ref="Q138" si="666">F138*P138</f>
        <v>-27436487.852066107</v>
      </c>
      <c r="R138">
        <f t="shared" ref="R138" si="667">R139+Q138</f>
        <v>-8736565343.7510395</v>
      </c>
      <c r="S138">
        <f t="shared" ref="S138" si="668">R138/100000</f>
        <v>-87365.653437510395</v>
      </c>
      <c r="T138">
        <f t="shared" ref="T138" si="669">S138/1000</f>
        <v>-87.365653437510389</v>
      </c>
    </row>
    <row r="139" spans="1:20" x14ac:dyDescent="0.25">
      <c r="A139" s="5">
        <v>44454</v>
      </c>
      <c r="B139">
        <v>4.5359999999999998E-2</v>
      </c>
      <c r="C139">
        <v>4.6260000000000003E-2</v>
      </c>
      <c r="D139">
        <v>4.4049999999999999E-2</v>
      </c>
      <c r="E139">
        <v>4.5839999999999999E-2</v>
      </c>
      <c r="F139">
        <v>35929621.299999997</v>
      </c>
      <c r="G139">
        <v>4.5839999999999999E-2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0.61990950226244068</v>
      </c>
      <c r="Q139">
        <f t="shared" ref="Q139" si="671">F139*P139</f>
        <v>22273113.656560984</v>
      </c>
      <c r="R139">
        <f t="shared" ref="R139" si="672">R140+Q139</f>
        <v>-8709128855.8989735</v>
      </c>
      <c r="S139">
        <f t="shared" ref="S139" si="673">R139/100000</f>
        <v>-87091.288558989734</v>
      </c>
      <c r="T139">
        <f t="shared" ref="T139" si="674">S139/1000</f>
        <v>-87.091288558989731</v>
      </c>
    </row>
    <row r="140" spans="1:20" x14ac:dyDescent="0.25">
      <c r="A140" s="5">
        <v>44453</v>
      </c>
      <c r="B140">
        <v>4.3810000000000002E-2</v>
      </c>
      <c r="C140">
        <v>4.5490000000000003E-2</v>
      </c>
      <c r="D140">
        <v>4.342E-2</v>
      </c>
      <c r="E140">
        <v>4.5379999999999997E-2</v>
      </c>
      <c r="F140">
        <v>32430011.899999999</v>
      </c>
      <c r="G140">
        <v>4.5379999999999997E-2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0.89371980676327945</v>
      </c>
      <c r="Q140">
        <f t="shared" ref="Q140" si="676">F140*P140</f>
        <v>28983343.96859885</v>
      </c>
      <c r="R140">
        <f t="shared" ref="R140" si="677">R141+Q140</f>
        <v>-8731401969.5555344</v>
      </c>
      <c r="S140">
        <f t="shared" ref="S140" si="678">R140/100000</f>
        <v>-87314.01969555534</v>
      </c>
      <c r="T140">
        <f t="shared" ref="T140" si="679">S140/1000</f>
        <v>-87.314019695555345</v>
      </c>
    </row>
    <row r="141" spans="1:20" x14ac:dyDescent="0.25">
      <c r="A141" s="5">
        <v>44452</v>
      </c>
      <c r="B141">
        <v>4.7579999999999997E-2</v>
      </c>
      <c r="C141">
        <v>4.7969999999999999E-2</v>
      </c>
      <c r="D141">
        <v>4.1790000000000001E-2</v>
      </c>
      <c r="E141">
        <v>4.3860000000000003E-2</v>
      </c>
      <c r="F141">
        <v>62028766.600000001</v>
      </c>
      <c r="G141">
        <v>4.3860000000000003E-2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-0.3300970873786398</v>
      </c>
      <c r="Q141">
        <f t="shared" ref="Q141" si="681">F141*P141</f>
        <v>-20475515.188349456</v>
      </c>
      <c r="R141">
        <f t="shared" ref="R141" si="682">R142+Q141</f>
        <v>-8760385313.5241337</v>
      </c>
      <c r="S141">
        <f t="shared" ref="S141" si="683">R141/100000</f>
        <v>-87603.853135241341</v>
      </c>
      <c r="T141">
        <f t="shared" ref="T141" si="684">S141/1000</f>
        <v>-87.603853135241337</v>
      </c>
    </row>
    <row r="142" spans="1:20" x14ac:dyDescent="0.25">
      <c r="A142" s="5">
        <v>44451</v>
      </c>
      <c r="B142">
        <v>4.48E-2</v>
      </c>
      <c r="C142">
        <v>5.0209999999999998E-2</v>
      </c>
      <c r="D142">
        <v>4.4249999999999998E-2</v>
      </c>
      <c r="E142">
        <v>4.768E-2</v>
      </c>
      <c r="F142">
        <v>75956587.5</v>
      </c>
      <c r="G142">
        <v>4.768E-2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0.15100671140939681</v>
      </c>
      <c r="Q142">
        <f t="shared" ref="Q142" si="686">F142*P142</f>
        <v>11469954.488255097</v>
      </c>
      <c r="R142">
        <f t="shared" ref="R142" si="687">R143+Q142</f>
        <v>-8739909798.3357849</v>
      </c>
      <c r="S142">
        <f t="shared" ref="S142" si="688">R142/100000</f>
        <v>-87399.097983357846</v>
      </c>
      <c r="T142">
        <f t="shared" ref="T142" si="689">S142/1000</f>
        <v>-87.399097983357848</v>
      </c>
    </row>
    <row r="143" spans="1:20" x14ac:dyDescent="0.25">
      <c r="A143" s="5">
        <v>44450</v>
      </c>
      <c r="B143">
        <v>4.4359999999999997E-2</v>
      </c>
      <c r="C143">
        <v>4.8500000000000001E-2</v>
      </c>
      <c r="D143">
        <v>4.265E-2</v>
      </c>
      <c r="E143">
        <v>4.4659999999999998E-2</v>
      </c>
      <c r="F143">
        <v>93501239.5</v>
      </c>
      <c r="G143">
        <v>4.4659999999999998E-2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-0.31282051282051365</v>
      </c>
      <c r="Q143">
        <f t="shared" ref="Q143" si="691">F143*P143</f>
        <v>-29249105.689743668</v>
      </c>
      <c r="R143">
        <f t="shared" ref="R143" si="692">R144+Q143</f>
        <v>-8751379752.8240395</v>
      </c>
      <c r="S143">
        <f t="shared" ref="S143" si="693">R143/100000</f>
        <v>-87513.797528240393</v>
      </c>
      <c r="T143">
        <f t="shared" ref="T143" si="694">S143/1000</f>
        <v>-87.513797528240389</v>
      </c>
    </row>
    <row r="144" spans="1:20" x14ac:dyDescent="0.25">
      <c r="A144" s="5">
        <v>44449</v>
      </c>
      <c r="B144">
        <v>4.206E-2</v>
      </c>
      <c r="C144">
        <v>4.9700000000000001E-2</v>
      </c>
      <c r="D144">
        <v>4.1349999999999998E-2</v>
      </c>
      <c r="E144">
        <v>4.437E-2</v>
      </c>
      <c r="F144">
        <v>181543536.40000001</v>
      </c>
      <c r="G144">
        <v>4.437E-2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-0.27664670658682616</v>
      </c>
      <c r="Q144">
        <f t="shared" ref="Q144" si="696">F144*P144</f>
        <v>-50223421.447185598</v>
      </c>
      <c r="R144">
        <f t="shared" ref="R144" si="697">R145+Q144</f>
        <v>-8722130647.1342964</v>
      </c>
      <c r="S144">
        <f t="shared" ref="S144" si="698">R144/100000</f>
        <v>-87221.306471342963</v>
      </c>
      <c r="T144">
        <f t="shared" ref="T144" si="699">S144/1000</f>
        <v>-87.221306471342956</v>
      </c>
    </row>
    <row r="145" spans="1:20" x14ac:dyDescent="0.25">
      <c r="A145" s="5">
        <v>44448</v>
      </c>
      <c r="B145">
        <v>4.394E-2</v>
      </c>
      <c r="C145">
        <v>4.4940000000000001E-2</v>
      </c>
      <c r="D145">
        <v>4.1619999999999997E-2</v>
      </c>
      <c r="E145">
        <v>4.2009999999999999E-2</v>
      </c>
      <c r="F145">
        <v>53439480</v>
      </c>
      <c r="G145">
        <v>4.2009999999999999E-2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-0.76506024096385483</v>
      </c>
      <c r="Q145">
        <f t="shared" ref="Q145" si="701">F145*P145</f>
        <v>-40884421.445783101</v>
      </c>
      <c r="R145">
        <f t="shared" ref="R145" si="702">R146+Q145</f>
        <v>-8671907225.6871109</v>
      </c>
      <c r="S145">
        <f t="shared" ref="S145" si="703">R145/100000</f>
        <v>-86719.072256871106</v>
      </c>
      <c r="T145">
        <f t="shared" ref="T145" si="704">S145/1000</f>
        <v>-86.719072256871101</v>
      </c>
    </row>
    <row r="146" spans="1:20" x14ac:dyDescent="0.25">
      <c r="A146" s="5">
        <v>44447</v>
      </c>
      <c r="B146">
        <v>4.2970000000000001E-2</v>
      </c>
      <c r="C146">
        <v>4.6690000000000002E-2</v>
      </c>
      <c r="D146">
        <v>3.7789999999999997E-2</v>
      </c>
      <c r="E146">
        <v>4.3900000000000002E-2</v>
      </c>
      <c r="F146">
        <v>66207138.100000001</v>
      </c>
      <c r="G146">
        <v>4.3900000000000002E-2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0.37303370786516871</v>
      </c>
      <c r="Q146">
        <f t="shared" ref="Q146" si="706">F146*P146</f>
        <v>24697494.212584279</v>
      </c>
      <c r="R146">
        <f t="shared" ref="R146" si="707">R147+Q146</f>
        <v>-8631022804.2413273</v>
      </c>
      <c r="S146">
        <f t="shared" ref="S146" si="708">R146/100000</f>
        <v>-86310.228042413277</v>
      </c>
      <c r="T146">
        <f t="shared" ref="T146" si="709">S146/1000</f>
        <v>-86.310228042413272</v>
      </c>
    </row>
    <row r="147" spans="1:20" x14ac:dyDescent="0.25">
      <c r="A147" s="5">
        <v>44446</v>
      </c>
      <c r="B147">
        <v>5.6829999999999999E-2</v>
      </c>
      <c r="C147">
        <v>5.6989999999999999E-2</v>
      </c>
      <c r="D147">
        <v>3.9750000000000001E-2</v>
      </c>
      <c r="E147">
        <v>4.3020000000000003E-2</v>
      </c>
      <c r="F147">
        <v>105886868.3</v>
      </c>
      <c r="G147">
        <v>4.3020000000000003E-2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-0.62064965197215749</v>
      </c>
      <c r="Q147">
        <f t="shared" ref="Q147" si="711">F147*P147</f>
        <v>-65718647.95881667</v>
      </c>
      <c r="R147">
        <f t="shared" ref="R147" si="712">R148+Q147</f>
        <v>-8655720298.4539108</v>
      </c>
      <c r="S147">
        <f t="shared" ref="S147" si="713">R147/100000</f>
        <v>-86557.202984539108</v>
      </c>
      <c r="T147">
        <f t="shared" ref="T147" si="714">S147/1000</f>
        <v>-86.557202984539103</v>
      </c>
    </row>
    <row r="148" spans="1:20" x14ac:dyDescent="0.25">
      <c r="A148" s="5">
        <v>44445</v>
      </c>
      <c r="B148">
        <v>5.3580000000000003E-2</v>
      </c>
      <c r="C148">
        <v>5.8500000000000003E-2</v>
      </c>
      <c r="D148">
        <v>5.2560000000000003E-2</v>
      </c>
      <c r="E148">
        <v>5.6829999999999999E-2</v>
      </c>
      <c r="F148">
        <v>114234000.7</v>
      </c>
      <c r="G148">
        <v>5.6829999999999999E-2</v>
      </c>
      <c r="L148" t="s">
        <v>7</v>
      </c>
      <c r="M148" t="s">
        <v>8</v>
      </c>
      <c r="N148" t="s">
        <v>7</v>
      </c>
      <c r="P148">
        <f t="shared" ref="P148" si="715">IF(C148=D148,0,((E148-D148)-(C148-E148))/(C148-D148))</f>
        <v>0.43771043771043616</v>
      </c>
      <c r="Q148">
        <f t="shared" ref="Q148" si="716">F148*P148</f>
        <v>50001414.447811276</v>
      </c>
      <c r="R148">
        <f t="shared" ref="R148" si="717">R149+Q148</f>
        <v>-8590001650.4950943</v>
      </c>
      <c r="S148">
        <f t="shared" ref="S148" si="718">R148/100000</f>
        <v>-85900.016504950938</v>
      </c>
      <c r="T148">
        <f t="shared" ref="T148" si="719">S148/1000</f>
        <v>-85.900016504950941</v>
      </c>
    </row>
    <row r="149" spans="1:20" x14ac:dyDescent="0.25">
      <c r="A149" s="5">
        <v>44444</v>
      </c>
      <c r="B149">
        <v>5.1470000000000002E-2</v>
      </c>
      <c r="C149">
        <v>5.7970000000000001E-2</v>
      </c>
      <c r="D149">
        <v>5.0999999999999997E-2</v>
      </c>
      <c r="E149">
        <v>5.3650000000000003E-2</v>
      </c>
      <c r="F149">
        <v>109897136.5</v>
      </c>
      <c r="G149">
        <v>5.3650000000000003E-2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-0.23959827833572309</v>
      </c>
      <c r="Q149">
        <f t="shared" ref="Q149" si="721">F149*P149</f>
        <v>-26331164.699425954</v>
      </c>
      <c r="R149">
        <f t="shared" ref="R149" si="722">R150+Q149</f>
        <v>-8640003064.9429054</v>
      </c>
      <c r="S149">
        <f t="shared" ref="S149" si="723">R149/100000</f>
        <v>-86400.030649429056</v>
      </c>
      <c r="T149">
        <f t="shared" ref="T149" si="724">S149/1000</f>
        <v>-86.400030649429056</v>
      </c>
    </row>
    <row r="150" spans="1:20" x14ac:dyDescent="0.25">
      <c r="A150" s="5">
        <v>44443</v>
      </c>
      <c r="B150">
        <v>5.2560000000000003E-2</v>
      </c>
      <c r="C150">
        <v>5.3310000000000003E-2</v>
      </c>
      <c r="D150">
        <v>5.0950000000000002E-2</v>
      </c>
      <c r="E150">
        <v>5.1470000000000002E-2</v>
      </c>
      <c r="F150">
        <v>39752871.799999997</v>
      </c>
      <c r="G150">
        <v>5.1470000000000002E-2</v>
      </c>
      <c r="L150" t="s">
        <v>7</v>
      </c>
      <c r="M150" t="s">
        <v>8</v>
      </c>
      <c r="N150" t="s">
        <v>7</v>
      </c>
      <c r="P150">
        <f t="shared" ref="P150" si="725">IF(C150=D150,0,((E150-D150)-(C150-E150))/(C150-D150))</f>
        <v>-0.55932203389830559</v>
      </c>
      <c r="Q150">
        <f t="shared" ref="Q150" si="726">F150*P150</f>
        <v>-22234657.108474594</v>
      </c>
      <c r="R150">
        <f t="shared" ref="R150" si="727">R151+Q150</f>
        <v>-8613671900.2434788</v>
      </c>
      <c r="S150">
        <f t="shared" ref="S150" si="728">R150/100000</f>
        <v>-86136.719002434795</v>
      </c>
      <c r="T150">
        <f t="shared" ref="T150" si="729">S150/1000</f>
        <v>-86.136719002434788</v>
      </c>
    </row>
    <row r="151" spans="1:20" x14ac:dyDescent="0.25">
      <c r="A151" s="5">
        <v>44442</v>
      </c>
      <c r="B151">
        <v>5.3199999999999997E-2</v>
      </c>
      <c r="C151">
        <v>5.4379999999999998E-2</v>
      </c>
      <c r="D151">
        <v>5.1589999999999997E-2</v>
      </c>
      <c r="E151">
        <v>5.2560000000000003E-2</v>
      </c>
      <c r="F151">
        <v>60329251.200000003</v>
      </c>
      <c r="G151">
        <v>5.2560000000000003E-2</v>
      </c>
      <c r="L151" t="s">
        <v>7</v>
      </c>
      <c r="M151" t="s">
        <v>8</v>
      </c>
      <c r="N151" t="s">
        <v>7</v>
      </c>
      <c r="P151">
        <f t="shared" ref="P151" si="730">IF(C151=D151,0,((E151-D151)-(C151-E151))/(C151-D151))</f>
        <v>-0.30465949820788152</v>
      </c>
      <c r="Q151">
        <f t="shared" ref="Q151" si="731">F151*P151</f>
        <v>-18379879.397849236</v>
      </c>
      <c r="R151">
        <f t="shared" ref="R151" si="732">R152+Q151</f>
        <v>-8591437243.135004</v>
      </c>
      <c r="S151">
        <f t="shared" ref="S151" si="733">R151/100000</f>
        <v>-85914.372431350042</v>
      </c>
      <c r="T151">
        <f t="shared" ref="T151" si="734">S151/1000</f>
        <v>-85.914372431350046</v>
      </c>
    </row>
    <row r="152" spans="1:20" x14ac:dyDescent="0.25">
      <c r="A152" s="5">
        <v>44441</v>
      </c>
      <c r="B152">
        <v>5.212E-2</v>
      </c>
      <c r="C152">
        <v>5.4149999999999997E-2</v>
      </c>
      <c r="D152">
        <v>5.0500000000000003E-2</v>
      </c>
      <c r="E152">
        <v>5.3199999999999997E-2</v>
      </c>
      <c r="F152">
        <v>83280301.700000003</v>
      </c>
      <c r="G152">
        <v>5.3199999999999997E-2</v>
      </c>
      <c r="L152" t="s">
        <v>7</v>
      </c>
      <c r="M152" t="s">
        <v>8</v>
      </c>
      <c r="N152" t="s">
        <v>7</v>
      </c>
      <c r="P152">
        <f t="shared" ref="P152" si="735">IF(C152=D152,0,((E152-D152)-(C152-E152))/(C152-D152))</f>
        <v>0.47945205479451991</v>
      </c>
      <c r="Q152">
        <f t="shared" ref="Q152" si="736">F152*P152</f>
        <v>39928911.773972549</v>
      </c>
      <c r="R152">
        <f t="shared" ref="R152" si="737">R153+Q152</f>
        <v>-8573057363.737155</v>
      </c>
      <c r="S152">
        <f t="shared" ref="S152" si="738">R152/100000</f>
        <v>-85730.573637371548</v>
      </c>
      <c r="T152">
        <f t="shared" ref="T152" si="739">S152/1000</f>
        <v>-85.730573637371549</v>
      </c>
    </row>
    <row r="153" spans="1:20" x14ac:dyDescent="0.25">
      <c r="A153" s="5">
        <v>44440</v>
      </c>
      <c r="B153">
        <v>4.7480000000000001E-2</v>
      </c>
      <c r="C153">
        <v>5.4890000000000001E-2</v>
      </c>
      <c r="D153">
        <v>4.6190000000000002E-2</v>
      </c>
      <c r="E153">
        <v>5.203E-2</v>
      </c>
      <c r="F153">
        <v>113501875.40000001</v>
      </c>
      <c r="G153">
        <v>5.203E-2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0.34252873563218356</v>
      </c>
      <c r="Q153">
        <f t="shared" ref="Q153" si="741">F153*P153</f>
        <v>38877653.872643642</v>
      </c>
      <c r="R153">
        <f t="shared" ref="R153" si="742">R154+Q153</f>
        <v>-8612986275.5111275</v>
      </c>
      <c r="S153">
        <f t="shared" ref="S153" si="743">R153/100000</f>
        <v>-86129.862755111273</v>
      </c>
      <c r="T153">
        <f t="shared" ref="T153" si="744">S153/1000</f>
        <v>-86.129862755111276</v>
      </c>
    </row>
    <row r="154" spans="1:20" x14ac:dyDescent="0.25">
      <c r="A154" s="5">
        <v>44439</v>
      </c>
      <c r="B154">
        <v>4.6730000000000001E-2</v>
      </c>
      <c r="C154">
        <v>4.9959999999999997E-2</v>
      </c>
      <c r="D154">
        <v>4.6730000000000001E-2</v>
      </c>
      <c r="E154">
        <v>4.7390000000000002E-2</v>
      </c>
      <c r="F154">
        <v>38967670.700000003</v>
      </c>
      <c r="G154">
        <v>4.7390000000000002E-2</v>
      </c>
      <c r="L154" t="s">
        <v>8</v>
      </c>
      <c r="M154" t="s">
        <v>7</v>
      </c>
      <c r="N154" t="s">
        <v>7</v>
      </c>
      <c r="P154">
        <f t="shared" ref="P154" si="745">IF(C154=D154,0,((E154-D154)-(C154-E154))/(C154-D154))</f>
        <v>-0.59133126934984426</v>
      </c>
      <c r="Q154">
        <f t="shared" ref="Q154" si="746">F154*P154</f>
        <v>-23042802.178637736</v>
      </c>
      <c r="R154">
        <f t="shared" ref="R154" si="747">R155+Q154</f>
        <v>-8651863929.3837719</v>
      </c>
      <c r="S154">
        <f t="shared" ref="S154" si="748">R154/100000</f>
        <v>-86518.639293837725</v>
      </c>
      <c r="T154">
        <f t="shared" ref="T154" si="749">S154/1000</f>
        <v>-86.518639293837722</v>
      </c>
    </row>
    <row r="155" spans="1:20" x14ac:dyDescent="0.25">
      <c r="A155" s="5">
        <v>44438</v>
      </c>
      <c r="B155">
        <v>4.9660000000000003E-2</v>
      </c>
      <c r="C155">
        <v>4.9970000000000001E-2</v>
      </c>
      <c r="D155">
        <v>4.6359999999999998E-2</v>
      </c>
      <c r="E155">
        <v>4.6809999999999997E-2</v>
      </c>
      <c r="F155">
        <v>61806925.600000001</v>
      </c>
      <c r="G155">
        <v>4.6809999999999997E-2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-0.75069252077562398</v>
      </c>
      <c r="Q155">
        <f t="shared" ref="Q155" si="751">F155*P155</f>
        <v>-46397996.780055448</v>
      </c>
      <c r="R155">
        <f t="shared" ref="R155" si="752">R156+Q155</f>
        <v>-8628821127.2051334</v>
      </c>
      <c r="S155">
        <f t="shared" ref="S155" si="753">R155/100000</f>
        <v>-86288.21127205134</v>
      </c>
      <c r="T155">
        <f t="shared" ref="T155" si="754">S155/1000</f>
        <v>-86.288211272051342</v>
      </c>
    </row>
    <row r="156" spans="1:20" x14ac:dyDescent="0.25">
      <c r="A156" s="5">
        <v>44437</v>
      </c>
      <c r="B156">
        <v>4.9230000000000003E-2</v>
      </c>
      <c r="C156">
        <v>5.0200000000000002E-2</v>
      </c>
      <c r="D156">
        <v>4.7640000000000002E-2</v>
      </c>
      <c r="E156">
        <v>4.9660000000000003E-2</v>
      </c>
      <c r="F156">
        <v>41511426.899999999</v>
      </c>
      <c r="G156">
        <v>4.9660000000000003E-2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0.57812500000000089</v>
      </c>
      <c r="Q156">
        <f t="shared" ref="Q156" si="756">F156*P156</f>
        <v>23998793.676562537</v>
      </c>
      <c r="R156">
        <f t="shared" ref="R156" si="757">R157+Q156</f>
        <v>-8582423130.4250784</v>
      </c>
      <c r="S156">
        <f t="shared" ref="S156" si="758">R156/100000</f>
        <v>-85824.231304250789</v>
      </c>
      <c r="T156">
        <f t="shared" ref="T156" si="759">S156/1000</f>
        <v>-85.824231304250787</v>
      </c>
    </row>
    <row r="157" spans="1:20" x14ac:dyDescent="0.25">
      <c r="A157" s="5">
        <v>44436</v>
      </c>
      <c r="B157">
        <v>5.0970000000000001E-2</v>
      </c>
      <c r="C157">
        <v>5.1479999999999998E-2</v>
      </c>
      <c r="D157">
        <v>4.8619999999999997E-2</v>
      </c>
      <c r="E157">
        <v>4.9230000000000003E-2</v>
      </c>
      <c r="F157">
        <v>66053000.200000003</v>
      </c>
      <c r="G157">
        <v>4.9230000000000003E-2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-0.57342657342656922</v>
      </c>
      <c r="Q157">
        <f t="shared" ref="Q157" si="761">F157*P157</f>
        <v>-37876545.569230489</v>
      </c>
      <c r="R157">
        <f t="shared" ref="R157" si="762">R158+Q157</f>
        <v>-8606421924.1016407</v>
      </c>
      <c r="S157">
        <f t="shared" ref="S157" si="763">R157/100000</f>
        <v>-86064.219241016413</v>
      </c>
      <c r="T157">
        <f t="shared" ref="T157" si="764">S157/1000</f>
        <v>-86.064219241016417</v>
      </c>
    </row>
    <row r="158" spans="1:20" x14ac:dyDescent="0.25">
      <c r="A158" s="5">
        <v>44435</v>
      </c>
      <c r="B158">
        <v>4.9020000000000001E-2</v>
      </c>
      <c r="C158">
        <v>5.2859999999999997E-2</v>
      </c>
      <c r="D158">
        <v>4.709E-2</v>
      </c>
      <c r="E158">
        <v>5.092E-2</v>
      </c>
      <c r="F158">
        <v>63130562.299999997</v>
      </c>
      <c r="G158">
        <v>5.092E-2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0.32755632582322419</v>
      </c>
      <c r="Q158">
        <f t="shared" ref="Q158" si="766">F158*P158</f>
        <v>20678815.034142151</v>
      </c>
      <c r="R158">
        <f t="shared" ref="R158" si="767">R159+Q158</f>
        <v>-8568545378.5324106</v>
      </c>
      <c r="S158">
        <f t="shared" ref="S158" si="768">R158/100000</f>
        <v>-85685.453785324105</v>
      </c>
      <c r="T158">
        <f t="shared" ref="T158" si="769">S158/1000</f>
        <v>-85.6854537853241</v>
      </c>
    </row>
    <row r="159" spans="1:20" x14ac:dyDescent="0.25">
      <c r="A159" s="5">
        <v>44434</v>
      </c>
      <c r="B159">
        <v>5.4210000000000001E-2</v>
      </c>
      <c r="C159">
        <v>5.4980000000000001E-2</v>
      </c>
      <c r="D159">
        <v>4.7530000000000003E-2</v>
      </c>
      <c r="E159">
        <v>4.8980000000000003E-2</v>
      </c>
      <c r="F159">
        <v>98587985.700000003</v>
      </c>
      <c r="G159">
        <v>4.8980000000000003E-2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-0.61073825503355694</v>
      </c>
      <c r="Q159">
        <f t="shared" ref="Q159" si="771">F159*P159</f>
        <v>-60211454.353691265</v>
      </c>
      <c r="R159">
        <f t="shared" ref="R159" si="772">R160+Q159</f>
        <v>-8589224193.5665531</v>
      </c>
      <c r="S159">
        <f t="shared" ref="S159" si="773">R159/100000</f>
        <v>-85892.24193566553</v>
      </c>
      <c r="T159">
        <f t="shared" ref="T159" si="774">S159/1000</f>
        <v>-85.892241935665524</v>
      </c>
    </row>
    <row r="160" spans="1:20" x14ac:dyDescent="0.25">
      <c r="A160" s="5">
        <v>44433</v>
      </c>
      <c r="B160">
        <v>5.6820000000000002E-2</v>
      </c>
      <c r="C160">
        <v>5.8500000000000003E-2</v>
      </c>
      <c r="D160">
        <v>5.1119999999999999E-2</v>
      </c>
      <c r="E160">
        <v>5.4080000000000003E-2</v>
      </c>
      <c r="F160">
        <v>155623748.40000001</v>
      </c>
      <c r="G160">
        <v>5.4080000000000003E-2</v>
      </c>
      <c r="L160" t="s">
        <v>7</v>
      </c>
      <c r="M160" t="s">
        <v>8</v>
      </c>
      <c r="N160" t="s">
        <v>7</v>
      </c>
      <c r="P160">
        <f t="shared" ref="P160" si="775">IF(C160=D160,0,((E160-D160)-(C160-E160))/(C160-D160))</f>
        <v>-0.19783197831978253</v>
      </c>
      <c r="Q160">
        <f t="shared" ref="Q160" si="776">F160*P160</f>
        <v>-30787354.019512091</v>
      </c>
      <c r="R160">
        <f t="shared" ref="R160" si="777">R161+Q160</f>
        <v>-8529012739.212862</v>
      </c>
      <c r="S160">
        <f t="shared" ref="S160" si="778">R160/100000</f>
        <v>-85290.127392128619</v>
      </c>
      <c r="T160">
        <f t="shared" ref="T160" si="779">S160/1000</f>
        <v>-85.290127392128625</v>
      </c>
    </row>
    <row r="161" spans="1:20" x14ac:dyDescent="0.25">
      <c r="A161" s="5">
        <v>44432</v>
      </c>
      <c r="B161">
        <v>5.3240000000000003E-2</v>
      </c>
      <c r="C161">
        <v>5.8040000000000001E-2</v>
      </c>
      <c r="D161">
        <v>5.1709999999999999E-2</v>
      </c>
      <c r="E161">
        <v>5.6860000000000001E-2</v>
      </c>
      <c r="F161">
        <v>224729300.90000001</v>
      </c>
      <c r="G161">
        <v>5.6860000000000001E-2</v>
      </c>
      <c r="L161" t="s">
        <v>8</v>
      </c>
      <c r="M161" t="s">
        <v>8</v>
      </c>
      <c r="N161" t="s">
        <v>7</v>
      </c>
      <c r="P161">
        <f t="shared" ref="P161" si="780">IF(C161=D161,0,((E161-D161)-(C161-E161))/(C161-D161))</f>
        <v>0.627172195892575</v>
      </c>
      <c r="Q161">
        <f t="shared" ref="Q161" si="781">F161*P161</f>
        <v>140943969.12685624</v>
      </c>
      <c r="R161">
        <f t="shared" ref="R161" si="782">R162+Q161</f>
        <v>-8498225385.1933498</v>
      </c>
      <c r="S161">
        <f t="shared" ref="S161" si="783">R161/100000</f>
        <v>-84982.253851933492</v>
      </c>
      <c r="T161">
        <f t="shared" ref="T161" si="784">S161/1000</f>
        <v>-84.982253851933493</v>
      </c>
    </row>
    <row r="162" spans="1:20" x14ac:dyDescent="0.25">
      <c r="A162" s="5">
        <v>44431</v>
      </c>
      <c r="B162">
        <v>5.1040000000000002E-2</v>
      </c>
      <c r="C162">
        <v>5.3789999999999998E-2</v>
      </c>
      <c r="D162">
        <v>5.0529999999999999E-2</v>
      </c>
      <c r="E162">
        <v>5.3220000000000003E-2</v>
      </c>
      <c r="F162">
        <v>87068208.299999997</v>
      </c>
      <c r="G162">
        <v>5.3220000000000003E-2</v>
      </c>
      <c r="L162" t="s">
        <v>7</v>
      </c>
      <c r="M162" t="s">
        <v>7</v>
      </c>
      <c r="N162" t="s">
        <v>7</v>
      </c>
      <c r="P162">
        <f t="shared" ref="P162" si="785">IF(C162=D162,0,((E162-D162)-(C162-E162))/(C162-D162))</f>
        <v>0.65030674846626113</v>
      </c>
      <c r="Q162">
        <f t="shared" ref="Q162" si="786">F162*P162</f>
        <v>56621043.434356131</v>
      </c>
      <c r="R162">
        <f t="shared" ref="R162" si="787">R163+Q162</f>
        <v>-8639169354.3202057</v>
      </c>
      <c r="S162">
        <f t="shared" ref="S162" si="788">R162/100000</f>
        <v>-86391.693543202055</v>
      </c>
      <c r="T162">
        <f t="shared" ref="T162" si="789">S162/1000</f>
        <v>-86.391693543202052</v>
      </c>
    </row>
    <row r="163" spans="1:20" x14ac:dyDescent="0.25">
      <c r="A163" s="5">
        <v>44430</v>
      </c>
      <c r="B163">
        <v>5.1209999999999999E-2</v>
      </c>
      <c r="C163">
        <v>5.2560000000000003E-2</v>
      </c>
      <c r="D163">
        <v>5.0779999999999999E-2</v>
      </c>
      <c r="E163">
        <v>5.2319999999999998E-2</v>
      </c>
      <c r="F163">
        <v>7839430.7000000002</v>
      </c>
      <c r="G163">
        <v>5.2319999999999998E-2</v>
      </c>
      <c r="L163" t="s">
        <v>7</v>
      </c>
      <c r="M163" t="s">
        <v>7</v>
      </c>
      <c r="N163" t="s">
        <v>7</v>
      </c>
      <c r="P163">
        <f t="shared" ref="P163" si="790">IF(C163=D163,0,((E163-D163)-(C163-E163))/(C163-D163))</f>
        <v>0.7303370786516814</v>
      </c>
      <c r="Q163">
        <f t="shared" ref="Q163" si="791">F163*P163</f>
        <v>5725426.9157303059</v>
      </c>
      <c r="R163">
        <f t="shared" ref="R163" si="792">R164+Q163</f>
        <v>-8695790397.7545624</v>
      </c>
      <c r="S163">
        <f t="shared" ref="S163" si="793">R163/100000</f>
        <v>-86957.903977545619</v>
      </c>
      <c r="T163">
        <f t="shared" ref="T163" si="794">S163/1000</f>
        <v>-86.957903977545612</v>
      </c>
    </row>
    <row r="164" spans="1:20" x14ac:dyDescent="0.25">
      <c r="A164" s="5">
        <v>44429</v>
      </c>
      <c r="B164">
        <v>5.3530000000000001E-2</v>
      </c>
      <c r="C164">
        <v>5.5899999999999998E-2</v>
      </c>
      <c r="D164">
        <v>5.0750000000000003E-2</v>
      </c>
      <c r="E164">
        <v>5.1130000000000002E-2</v>
      </c>
      <c r="F164">
        <v>90565098.700000003</v>
      </c>
      <c r="G164">
        <v>5.1130000000000002E-2</v>
      </c>
      <c r="L164" t="s">
        <v>7</v>
      </c>
      <c r="M164" t="s">
        <v>7</v>
      </c>
      <c r="N164" t="s">
        <v>7</v>
      </c>
      <c r="P164">
        <f t="shared" ref="P164" si="795">IF(C164=D164,0,((E164-D164)-(C164-E164))/(C164-D164))</f>
        <v>-0.85242718446601984</v>
      </c>
      <c r="Q164">
        <f t="shared" ref="Q164" si="796">F164*P164</f>
        <v>-77200152.095728189</v>
      </c>
      <c r="R164">
        <f t="shared" ref="R164" si="797">R165+Q164</f>
        <v>-8701515824.6702919</v>
      </c>
      <c r="S164">
        <f t="shared" ref="S164" si="798">R164/100000</f>
        <v>-87015.158246702922</v>
      </c>
      <c r="T164">
        <f t="shared" ref="T164" si="799">S164/1000</f>
        <v>-87.015158246702924</v>
      </c>
    </row>
    <row r="165" spans="1:20" x14ac:dyDescent="0.25">
      <c r="A165" s="5">
        <v>44428</v>
      </c>
      <c r="B165">
        <v>5.2040000000000003E-2</v>
      </c>
      <c r="C165">
        <v>5.5879999999999999E-2</v>
      </c>
      <c r="D165">
        <v>5.126E-2</v>
      </c>
      <c r="E165">
        <v>5.357E-2</v>
      </c>
      <c r="F165">
        <v>87775753.200000003</v>
      </c>
      <c r="G165">
        <v>5.357E-2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0</v>
      </c>
      <c r="Q165">
        <f t="shared" ref="Q165" si="801">F165*P165</f>
        <v>0</v>
      </c>
      <c r="R165">
        <f t="shared" ref="R165" si="802">R166+Q165</f>
        <v>-8624315672.574564</v>
      </c>
      <c r="S165">
        <f t="shared" ref="S165" si="803">R165/100000</f>
        <v>-86243.156725745634</v>
      </c>
      <c r="T165">
        <f t="shared" ref="T165" si="804">S165/1000</f>
        <v>-86.243156725745635</v>
      </c>
    </row>
    <row r="166" spans="1:20" x14ac:dyDescent="0.25">
      <c r="A166" s="5">
        <v>44427</v>
      </c>
      <c r="B166">
        <v>4.981E-2</v>
      </c>
      <c r="C166">
        <v>5.3999999999999999E-2</v>
      </c>
      <c r="D166">
        <v>4.7890000000000002E-2</v>
      </c>
      <c r="E166">
        <v>5.2040000000000003E-2</v>
      </c>
      <c r="F166">
        <v>118203928.5</v>
      </c>
      <c r="G166">
        <v>5.2040000000000003E-2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0.35842880523731674</v>
      </c>
      <c r="Q166">
        <f t="shared" ref="Q166" si="806">F166*P166</f>
        <v>42367692.866612211</v>
      </c>
      <c r="R166">
        <f t="shared" ref="R166" si="807">R167+Q166</f>
        <v>-8624315672.574564</v>
      </c>
      <c r="S166">
        <f t="shared" ref="S166" si="808">R166/100000</f>
        <v>-86243.156725745634</v>
      </c>
      <c r="T166">
        <f t="shared" ref="T166" si="809">S166/1000</f>
        <v>-86.243156725745635</v>
      </c>
    </row>
    <row r="167" spans="1:20" x14ac:dyDescent="0.25">
      <c r="A167" s="5">
        <v>44426</v>
      </c>
      <c r="B167">
        <v>4.5580000000000002E-2</v>
      </c>
      <c r="C167">
        <v>5.6349999999999997E-2</v>
      </c>
      <c r="D167">
        <v>4.4519999999999997E-2</v>
      </c>
      <c r="E167">
        <v>4.9639999999999997E-2</v>
      </c>
      <c r="F167">
        <v>241739798.90000001</v>
      </c>
      <c r="G167">
        <v>4.9639999999999997E-2</v>
      </c>
      <c r="L167" t="s">
        <v>7</v>
      </c>
      <c r="M167" t="s">
        <v>8</v>
      </c>
      <c r="N167" t="s">
        <v>7</v>
      </c>
      <c r="P167">
        <f t="shared" ref="P167" si="810">IF(C167=D167,0,((E167-D167)-(C167-E167))/(C167-D167))</f>
        <v>-0.13440405748098064</v>
      </c>
      <c r="Q167">
        <f t="shared" ref="Q167" si="811">F167*P167</f>
        <v>-32490809.826796301</v>
      </c>
      <c r="R167">
        <f t="shared" ref="R167" si="812">R168+Q167</f>
        <v>-8666683365.4411755</v>
      </c>
      <c r="S167">
        <f t="shared" ref="S167" si="813">R167/100000</f>
        <v>-86666.833654411748</v>
      </c>
      <c r="T167">
        <f t="shared" ref="T167" si="814">S167/1000</f>
        <v>-86.666833654411747</v>
      </c>
    </row>
    <row r="168" spans="1:20" x14ac:dyDescent="0.25">
      <c r="A168" s="5">
        <v>44425</v>
      </c>
      <c r="B168">
        <v>5.015E-2</v>
      </c>
      <c r="C168">
        <v>5.1700000000000003E-2</v>
      </c>
      <c r="D168">
        <v>4.514E-2</v>
      </c>
      <c r="E168">
        <v>4.5580000000000002E-2</v>
      </c>
      <c r="F168">
        <v>71932059.700000003</v>
      </c>
      <c r="G168">
        <v>4.5580000000000002E-2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-0.86585365853658458</v>
      </c>
      <c r="Q168">
        <f t="shared" ref="Q168" si="816">F168*P168</f>
        <v>-62282637.057317019</v>
      </c>
      <c r="R168">
        <f t="shared" ref="R168" si="817">R169+Q168</f>
        <v>-8634192555.6143799</v>
      </c>
      <c r="S168">
        <f t="shared" ref="S168" si="818">R168/100000</f>
        <v>-86341.925556143804</v>
      </c>
      <c r="T168">
        <f t="shared" ref="T168" si="819">S168/1000</f>
        <v>-86.341925556143806</v>
      </c>
    </row>
    <row r="169" spans="1:20" x14ac:dyDescent="0.25">
      <c r="A169" s="5">
        <v>44424</v>
      </c>
      <c r="B169">
        <v>5.2130000000000003E-2</v>
      </c>
      <c r="C169">
        <v>5.663E-2</v>
      </c>
      <c r="D169">
        <v>5.0009999999999999E-2</v>
      </c>
      <c r="E169">
        <v>5.0259999999999999E-2</v>
      </c>
      <c r="F169">
        <v>109518471.5</v>
      </c>
      <c r="G169">
        <v>5.0259999999999999E-2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-0.92447129909365555</v>
      </c>
      <c r="Q169">
        <f t="shared" ref="Q169" si="821">F169*P169</f>
        <v>-101246683.62235649</v>
      </c>
      <c r="R169">
        <f t="shared" ref="R169" si="822">R170+Q169</f>
        <v>-8571909918.5570621</v>
      </c>
      <c r="S169">
        <f t="shared" ref="S169" si="823">R169/100000</f>
        <v>-85719.099185570623</v>
      </c>
      <c r="T169">
        <f t="shared" ref="T169" si="824">S169/1000</f>
        <v>-85.719099185570627</v>
      </c>
    </row>
    <row r="170" spans="1:20" x14ac:dyDescent="0.25">
      <c r="A170" s="5">
        <v>44423</v>
      </c>
      <c r="B170">
        <v>5.3339999999999999E-2</v>
      </c>
      <c r="C170">
        <v>5.3850000000000002E-2</v>
      </c>
      <c r="D170">
        <v>4.9910000000000003E-2</v>
      </c>
      <c r="E170">
        <v>5.2010000000000001E-2</v>
      </c>
      <c r="F170">
        <v>100928884.90000001</v>
      </c>
      <c r="G170">
        <v>5.2010000000000001E-2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6.5989847715735128E-2</v>
      </c>
      <c r="Q170">
        <f t="shared" ref="Q170" si="826">F170*P170</f>
        <v>6660281.7446699589</v>
      </c>
      <c r="R170">
        <f t="shared" ref="R170" si="827">R171+Q170</f>
        <v>-8470663234.9347057</v>
      </c>
      <c r="S170">
        <f t="shared" ref="S170" si="828">R170/100000</f>
        <v>-84706.632349347055</v>
      </c>
      <c r="T170">
        <f t="shared" ref="T170" si="829">S170/1000</f>
        <v>-84.706632349347061</v>
      </c>
    </row>
    <row r="171" spans="1:20" x14ac:dyDescent="0.25">
      <c r="A171" s="5">
        <v>44422</v>
      </c>
      <c r="B171">
        <v>5.8599999999999999E-2</v>
      </c>
      <c r="C171">
        <v>6.2710000000000002E-2</v>
      </c>
      <c r="D171">
        <v>5.1429999999999997E-2</v>
      </c>
      <c r="E171">
        <v>5.3339999999999999E-2</v>
      </c>
      <c r="F171">
        <v>260691332.69999999</v>
      </c>
      <c r="G171">
        <v>5.3339999999999999E-2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-0.66134751773049627</v>
      </c>
      <c r="Q171">
        <f t="shared" ref="Q171" si="831">F171*P171</f>
        <v>-172407565.77499995</v>
      </c>
      <c r="R171">
        <f t="shared" ref="R171" si="832">R172+Q171</f>
        <v>-8477323516.6793756</v>
      </c>
      <c r="S171">
        <f t="shared" ref="S171" si="833">R171/100000</f>
        <v>-84773.235166793762</v>
      </c>
      <c r="T171">
        <f t="shared" ref="T171" si="834">S171/1000</f>
        <v>-84.773235166793768</v>
      </c>
    </row>
    <row r="172" spans="1:20" x14ac:dyDescent="0.25">
      <c r="A172" s="5">
        <v>44421</v>
      </c>
      <c r="B172">
        <v>4.1419999999999998E-2</v>
      </c>
      <c r="C172">
        <v>6.8360000000000004E-2</v>
      </c>
      <c r="D172">
        <v>4.1110000000000001E-2</v>
      </c>
      <c r="E172">
        <v>5.8599999999999999E-2</v>
      </c>
      <c r="F172">
        <v>992009234.60000002</v>
      </c>
      <c r="G172">
        <v>5.8599999999999999E-2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0.28366972477064195</v>
      </c>
      <c r="Q172">
        <f t="shared" ref="Q172" si="836">F172*P172</f>
        <v>281402986.54891717</v>
      </c>
      <c r="R172">
        <f t="shared" ref="R172" si="837">R173+Q172</f>
        <v>-8304915950.904376</v>
      </c>
      <c r="S172">
        <f t="shared" ref="S172" si="838">R172/100000</f>
        <v>-83049.159509043762</v>
      </c>
      <c r="T172">
        <f t="shared" ref="T172" si="839">S172/1000</f>
        <v>-83.049159509043761</v>
      </c>
    </row>
    <row r="173" spans="1:20" x14ac:dyDescent="0.25">
      <c r="A173" s="5">
        <v>44420</v>
      </c>
      <c r="B173">
        <v>4.2840000000000003E-2</v>
      </c>
      <c r="C173">
        <v>4.5699999999999998E-2</v>
      </c>
      <c r="D173">
        <v>3.9600000000000003E-2</v>
      </c>
      <c r="E173">
        <v>4.1509999999999998E-2</v>
      </c>
      <c r="F173">
        <v>86049207.799999997</v>
      </c>
      <c r="G173">
        <v>4.1509999999999998E-2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-0.37377049180327976</v>
      </c>
      <c r="Q173">
        <f t="shared" ref="Q173" si="841">F173*P173</f>
        <v>-32162654.718688615</v>
      </c>
      <c r="R173">
        <f t="shared" ref="R173" si="842">R174+Q173</f>
        <v>-8586318937.4532928</v>
      </c>
      <c r="S173">
        <f t="shared" ref="S173" si="843">R173/100000</f>
        <v>-85863.189374532929</v>
      </c>
      <c r="T173">
        <f t="shared" ref="T173" si="844">S173/1000</f>
        <v>-85.863189374532922</v>
      </c>
    </row>
    <row r="174" spans="1:20" x14ac:dyDescent="0.25">
      <c r="A174" s="5">
        <v>44419</v>
      </c>
      <c r="B174">
        <v>4.1360000000000001E-2</v>
      </c>
      <c r="C174">
        <v>4.9090000000000002E-2</v>
      </c>
      <c r="D174">
        <v>4.0399999999999998E-2</v>
      </c>
      <c r="E174">
        <v>4.292E-2</v>
      </c>
      <c r="F174">
        <v>172771908.40000001</v>
      </c>
      <c r="G174">
        <v>4.292E-2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-0.42002301495972372</v>
      </c>
      <c r="Q174">
        <f t="shared" ref="Q174" si="846">F174*P174</f>
        <v>-72568177.866513222</v>
      </c>
      <c r="R174">
        <f t="shared" ref="R174" si="847">R175+Q174</f>
        <v>-8554156282.7346039</v>
      </c>
      <c r="S174">
        <f t="shared" ref="S174" si="848">R174/100000</f>
        <v>-85541.562827346032</v>
      </c>
      <c r="T174">
        <f t="shared" ref="T174" si="849">S174/1000</f>
        <v>-85.541562827346027</v>
      </c>
    </row>
    <row r="175" spans="1:20" x14ac:dyDescent="0.25">
      <c r="A175" s="5">
        <v>44418</v>
      </c>
      <c r="B175">
        <v>3.9219999999999998E-2</v>
      </c>
      <c r="C175">
        <v>4.1369999999999997E-2</v>
      </c>
      <c r="D175">
        <v>3.8609999999999998E-2</v>
      </c>
      <c r="E175">
        <v>4.1300000000000003E-2</v>
      </c>
      <c r="F175">
        <v>105342413.7</v>
      </c>
      <c r="G175">
        <v>4.1300000000000003E-2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0.94927536231884513</v>
      </c>
      <c r="Q175">
        <f t="shared" ref="Q175" si="851">F175*P175</f>
        <v>99998957.932609171</v>
      </c>
      <c r="R175">
        <f t="shared" ref="R175" si="852">R176+Q175</f>
        <v>-8481588104.8680906</v>
      </c>
      <c r="S175">
        <f t="shared" ref="S175" si="853">R175/100000</f>
        <v>-84815.881048680909</v>
      </c>
      <c r="T175">
        <f t="shared" ref="T175" si="854">S175/1000</f>
        <v>-84.815881048680907</v>
      </c>
    </row>
    <row r="176" spans="1:20" x14ac:dyDescent="0.25">
      <c r="A176" s="5">
        <v>44417</v>
      </c>
      <c r="B176">
        <v>3.6630000000000003E-2</v>
      </c>
      <c r="C176">
        <v>3.9600000000000003E-2</v>
      </c>
      <c r="D176">
        <v>3.5000000000000003E-2</v>
      </c>
      <c r="E176">
        <v>3.9219999999999998E-2</v>
      </c>
      <c r="F176">
        <v>65301835.799999997</v>
      </c>
      <c r="G176">
        <v>3.9219999999999998E-2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0.8347826086956498</v>
      </c>
      <c r="Q176">
        <f t="shared" ref="Q176" si="856">F176*P176</f>
        <v>54512836.841738969</v>
      </c>
      <c r="R176">
        <f t="shared" ref="R176" si="857">R177+Q176</f>
        <v>-8581587062.8007002</v>
      </c>
      <c r="S176">
        <f t="shared" ref="S176" si="858">R176/100000</f>
        <v>-85815.870628007004</v>
      </c>
      <c r="T176">
        <f t="shared" ref="T176" si="859">S176/1000</f>
        <v>-85.815870628007005</v>
      </c>
    </row>
    <row r="177" spans="1:20" x14ac:dyDescent="0.25">
      <c r="A177" s="5">
        <v>44416</v>
      </c>
      <c r="B177">
        <v>3.9210000000000002E-2</v>
      </c>
      <c r="C177">
        <v>4.0599999999999997E-2</v>
      </c>
      <c r="D177">
        <v>3.5920000000000001E-2</v>
      </c>
      <c r="E177">
        <v>3.6630000000000003E-2</v>
      </c>
      <c r="F177">
        <v>237075717</v>
      </c>
      <c r="G177">
        <v>3.6630000000000003E-2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-0.69658119658119544</v>
      </c>
      <c r="Q177">
        <f t="shared" ref="Q177" si="861">F177*P177</f>
        <v>-165142486.62820485</v>
      </c>
      <c r="R177">
        <f t="shared" ref="R177" si="862">R178+Q177</f>
        <v>-8636099899.6424389</v>
      </c>
      <c r="S177">
        <f t="shared" ref="S177" si="863">R177/100000</f>
        <v>-86360.998996424387</v>
      </c>
      <c r="T177">
        <f t="shared" ref="T177" si="864">S177/1000</f>
        <v>-86.360998996424385</v>
      </c>
    </row>
    <row r="178" spans="1:20" x14ac:dyDescent="0.25">
      <c r="A178" s="5">
        <v>44415</v>
      </c>
      <c r="B178">
        <v>3.8339999999999999E-2</v>
      </c>
      <c r="C178">
        <v>4.1489999999999999E-2</v>
      </c>
      <c r="D178">
        <v>3.7440000000000001E-2</v>
      </c>
      <c r="E178">
        <v>3.9280000000000002E-2</v>
      </c>
      <c r="F178">
        <v>111830307.5</v>
      </c>
      <c r="G178">
        <v>3.9280000000000002E-2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-9.1358024691356912E-2</v>
      </c>
      <c r="Q178">
        <f t="shared" ref="Q178" si="866">F178*P178</f>
        <v>-10216595.993827036</v>
      </c>
      <c r="R178">
        <f t="shared" ref="R178" si="867">R179+Q178</f>
        <v>-8470957413.0142336</v>
      </c>
      <c r="S178">
        <f t="shared" ref="S178" si="868">R178/100000</f>
        <v>-84709.57413014234</v>
      </c>
      <c r="T178">
        <f t="shared" ref="T178" si="869">S178/1000</f>
        <v>-84.709574130142343</v>
      </c>
    </row>
    <row r="179" spans="1:20" x14ac:dyDescent="0.25">
      <c r="A179" s="5">
        <v>44414</v>
      </c>
      <c r="B179">
        <v>3.6119999999999999E-2</v>
      </c>
      <c r="C179">
        <v>0.04</v>
      </c>
      <c r="D179">
        <v>3.5110000000000002E-2</v>
      </c>
      <c r="E179">
        <v>3.8330000000000003E-2</v>
      </c>
      <c r="F179">
        <v>115815705.8</v>
      </c>
      <c r="G179">
        <v>3.8330000000000003E-2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0.31697341513292498</v>
      </c>
      <c r="Q179">
        <f t="shared" ref="Q179" si="871">F179*P179</f>
        <v>36710499.793456107</v>
      </c>
      <c r="R179">
        <f t="shared" ref="R179" si="872">R180+Q179</f>
        <v>-8460740817.0204067</v>
      </c>
      <c r="S179">
        <f t="shared" ref="S179" si="873">R179/100000</f>
        <v>-84607.408170204071</v>
      </c>
      <c r="T179">
        <f t="shared" ref="T179" si="874">S179/1000</f>
        <v>-84.607408170204067</v>
      </c>
    </row>
    <row r="180" spans="1:20" x14ac:dyDescent="0.25">
      <c r="A180" s="5">
        <v>44413</v>
      </c>
      <c r="B180">
        <v>3.3149999999999999E-2</v>
      </c>
      <c r="C180">
        <v>3.8490000000000003E-2</v>
      </c>
      <c r="D180">
        <v>3.2509999999999997E-2</v>
      </c>
      <c r="E180">
        <v>3.6119999999999999E-2</v>
      </c>
      <c r="F180">
        <v>168870337</v>
      </c>
      <c r="G180">
        <v>3.6119999999999999E-2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0.20735785953177205</v>
      </c>
      <c r="Q180">
        <f t="shared" ref="Q180" si="876">F180*P180</f>
        <v>35016591.61872901</v>
      </c>
      <c r="R180">
        <f t="shared" ref="R180" si="877">R181+Q180</f>
        <v>-8497451316.8138628</v>
      </c>
      <c r="S180">
        <f t="shared" ref="S180" si="878">R180/100000</f>
        <v>-84974.513168138626</v>
      </c>
      <c r="T180">
        <f t="shared" ref="T180" si="879">S180/1000</f>
        <v>-84.974513168138628</v>
      </c>
    </row>
    <row r="181" spans="1:20" x14ac:dyDescent="0.25">
      <c r="A181" s="5">
        <v>44412</v>
      </c>
      <c r="B181">
        <v>3.2219999999999999E-2</v>
      </c>
      <c r="C181">
        <v>3.3840000000000002E-2</v>
      </c>
      <c r="D181">
        <v>3.1980000000000001E-2</v>
      </c>
      <c r="E181">
        <v>3.3189999999999997E-2</v>
      </c>
      <c r="F181">
        <v>38555906.200000003</v>
      </c>
      <c r="G181">
        <v>3.3189999999999997E-2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0.30107526881719943</v>
      </c>
      <c r="Q181">
        <f t="shared" ref="Q181" si="881">F181*P181</f>
        <v>11608229.823655726</v>
      </c>
      <c r="R181">
        <f t="shared" ref="R181" si="882">R182+Q181</f>
        <v>-8532467908.4325914</v>
      </c>
      <c r="S181">
        <f t="shared" ref="S181" si="883">R181/100000</f>
        <v>-85324.679084325908</v>
      </c>
      <c r="T181">
        <f t="shared" ref="T181" si="884">S181/1000</f>
        <v>-85.324679084325908</v>
      </c>
    </row>
    <row r="182" spans="1:20" x14ac:dyDescent="0.25">
      <c r="A182" s="5">
        <v>44411</v>
      </c>
      <c r="B182">
        <v>3.3259999999999998E-2</v>
      </c>
      <c r="C182">
        <v>3.4160000000000003E-2</v>
      </c>
      <c r="D182">
        <v>3.184E-2</v>
      </c>
      <c r="E182">
        <v>3.2199999999999999E-2</v>
      </c>
      <c r="F182">
        <v>69302634.299999997</v>
      </c>
      <c r="G182">
        <v>3.2199999999999999E-2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-0.68965517241379415</v>
      </c>
      <c r="Q182">
        <f t="shared" ref="Q182" si="886">F182*P182</f>
        <v>-47794920.206896625</v>
      </c>
      <c r="R182">
        <f t="shared" ref="R182" si="887">R183+Q182</f>
        <v>-8544076138.2562475</v>
      </c>
      <c r="S182">
        <f t="shared" ref="S182" si="888">R182/100000</f>
        <v>-85440.761382562472</v>
      </c>
      <c r="T182">
        <f t="shared" ref="T182" si="889">S182/1000</f>
        <v>-85.440761382562471</v>
      </c>
    </row>
    <row r="183" spans="1:20" x14ac:dyDescent="0.25">
      <c r="A183" s="5">
        <v>44410</v>
      </c>
      <c r="B183">
        <v>3.3279999999999997E-2</v>
      </c>
      <c r="C183">
        <v>3.4020000000000002E-2</v>
      </c>
      <c r="D183">
        <v>3.2329999999999998E-2</v>
      </c>
      <c r="E183">
        <v>3.3259999999999998E-2</v>
      </c>
      <c r="F183">
        <v>33592657.399999999</v>
      </c>
      <c r="G183">
        <v>3.3259999999999998E-2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0.10059171597632907</v>
      </c>
      <c r="Q183">
        <f t="shared" ref="Q183" si="891">F183*P183</f>
        <v>3379143.0520709287</v>
      </c>
      <c r="R183">
        <f t="shared" ref="R183" si="892">R184+Q183</f>
        <v>-8496281218.0493507</v>
      </c>
      <c r="S183">
        <f t="shared" ref="S183" si="893">R183/100000</f>
        <v>-84962.812180493507</v>
      </c>
      <c r="T183">
        <f t="shared" ref="T183" si="894">S183/1000</f>
        <v>-84.962812180493501</v>
      </c>
    </row>
    <row r="184" spans="1:20" x14ac:dyDescent="0.25">
      <c r="A184" s="5">
        <v>44409</v>
      </c>
      <c r="B184">
        <v>3.3369999999999997E-2</v>
      </c>
      <c r="C184">
        <v>3.5099999999999999E-2</v>
      </c>
      <c r="D184">
        <v>3.3029999999999997E-2</v>
      </c>
      <c r="E184">
        <v>3.3279999999999997E-2</v>
      </c>
      <c r="F184">
        <v>67351444.299999997</v>
      </c>
      <c r="G184">
        <v>3.3279999999999997E-2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-0.75845410628019327</v>
      </c>
      <c r="Q184">
        <f t="shared" ref="Q184" si="896">F184*P184</f>
        <v>-51082979.493236713</v>
      </c>
      <c r="R184">
        <f t="shared" ref="R184" si="897">R185+Q184</f>
        <v>-8499660361.1014214</v>
      </c>
      <c r="S184">
        <f t="shared" ref="S184" si="898">R184/100000</f>
        <v>-84996.603611014216</v>
      </c>
      <c r="T184">
        <f t="shared" ref="T184" si="899">S184/1000</f>
        <v>-84.996603611014223</v>
      </c>
    </row>
    <row r="185" spans="1:20" x14ac:dyDescent="0.25">
      <c r="A185" s="5">
        <v>44408</v>
      </c>
      <c r="B185">
        <v>3.2579999999999998E-2</v>
      </c>
      <c r="C185">
        <v>3.431E-2</v>
      </c>
      <c r="D185">
        <v>3.1809999999999998E-2</v>
      </c>
      <c r="E185">
        <v>3.3390000000000003E-2</v>
      </c>
      <c r="F185">
        <v>58885503.600000001</v>
      </c>
      <c r="G185">
        <v>3.3390000000000003E-2</v>
      </c>
      <c r="L185" t="s">
        <v>8</v>
      </c>
      <c r="M185" t="s">
        <v>7</v>
      </c>
      <c r="N185" t="s">
        <v>7</v>
      </c>
      <c r="P185">
        <f t="shared" ref="P185" si="900">IF(C185=D185,0,((E185-D185)-(C185-E185))/(C185-D185))</f>
        <v>0.2640000000000029</v>
      </c>
      <c r="Q185">
        <f t="shared" ref="Q185" si="901">F185*P185</f>
        <v>15545772.950400172</v>
      </c>
      <c r="R185">
        <f t="shared" ref="R185" si="902">R186+Q185</f>
        <v>-8448577381.6081848</v>
      </c>
      <c r="S185">
        <f t="shared" ref="S185" si="903">R185/100000</f>
        <v>-84485.773816081855</v>
      </c>
      <c r="T185">
        <f t="shared" ref="T185" si="904">S185/1000</f>
        <v>-84.48577381608186</v>
      </c>
    </row>
    <row r="186" spans="1:20" x14ac:dyDescent="0.25">
      <c r="A186" s="5">
        <v>44407</v>
      </c>
      <c r="B186">
        <v>3.2480000000000002E-2</v>
      </c>
      <c r="C186">
        <v>3.2849999999999997E-2</v>
      </c>
      <c r="D186">
        <v>3.0599999999999999E-2</v>
      </c>
      <c r="E186">
        <v>3.2579999999999998E-2</v>
      </c>
      <c r="F186">
        <v>50307356.100000001</v>
      </c>
      <c r="G186">
        <v>3.2579999999999998E-2</v>
      </c>
      <c r="L186" t="s">
        <v>7</v>
      </c>
      <c r="M186" t="s">
        <v>7</v>
      </c>
      <c r="N186" t="s">
        <v>7</v>
      </c>
      <c r="P186">
        <f t="shared" ref="P186" si="905">IF(C186=D186,0,((E186-D186)-(C186-E186))/(C186-D186))</f>
        <v>0.76000000000000034</v>
      </c>
      <c r="Q186">
        <f t="shared" ref="Q186" si="906">F186*P186</f>
        <v>38233590.636000015</v>
      </c>
      <c r="R186">
        <f t="shared" ref="R186" si="907">R187+Q186</f>
        <v>-8464123154.5585852</v>
      </c>
      <c r="S186">
        <f t="shared" ref="S186" si="908">R186/100000</f>
        <v>-84641.231545585848</v>
      </c>
      <c r="T186">
        <f t="shared" ref="T186" si="909">S186/1000</f>
        <v>-84.641231545585853</v>
      </c>
    </row>
    <row r="187" spans="1:20" x14ac:dyDescent="0.25">
      <c r="A187" s="5">
        <v>44406</v>
      </c>
      <c r="B187">
        <v>3.1480000000000001E-2</v>
      </c>
      <c r="C187">
        <v>3.288E-2</v>
      </c>
      <c r="D187">
        <v>3.1009999999999999E-2</v>
      </c>
      <c r="E187">
        <v>3.2480000000000002E-2</v>
      </c>
      <c r="F187">
        <v>34379092</v>
      </c>
      <c r="G187">
        <v>3.2480000000000002E-2</v>
      </c>
      <c r="L187" t="s">
        <v>7</v>
      </c>
      <c r="M187" t="s">
        <v>7</v>
      </c>
      <c r="N187" t="s">
        <v>7</v>
      </c>
      <c r="P187">
        <f t="shared" ref="P187" si="910">IF(C187=D187,0,((E187-D187)-(C187-E187))/(C187-D187))</f>
        <v>0.57219251336898658</v>
      </c>
      <c r="Q187">
        <f t="shared" ref="Q187" si="911">F187*P187</f>
        <v>19671459.058823619</v>
      </c>
      <c r="R187">
        <f t="shared" ref="R187" si="912">R188+Q187</f>
        <v>-8502356745.1945848</v>
      </c>
      <c r="S187">
        <f t="shared" ref="S187" si="913">R187/100000</f>
        <v>-85023.567451945855</v>
      </c>
      <c r="T187">
        <f t="shared" ref="T187" si="914">S187/1000</f>
        <v>-85.023567451945851</v>
      </c>
    </row>
    <row r="188" spans="1:20" x14ac:dyDescent="0.25">
      <c r="A188" s="5">
        <v>44405</v>
      </c>
      <c r="B188">
        <v>3.1390000000000001E-2</v>
      </c>
      <c r="C188">
        <v>3.4000000000000002E-2</v>
      </c>
      <c r="D188">
        <v>3.0509999999999999E-2</v>
      </c>
      <c r="E188">
        <v>3.1460000000000002E-2</v>
      </c>
      <c r="F188">
        <v>55311570.600000001</v>
      </c>
      <c r="G188">
        <v>3.1460000000000002E-2</v>
      </c>
      <c r="L188" t="s">
        <v>8</v>
      </c>
      <c r="M188" t="s">
        <v>7</v>
      </c>
      <c r="N188" t="s">
        <v>7</v>
      </c>
      <c r="P188">
        <f t="shared" ref="P188" si="915">IF(C188=D188,0,((E188-D188)-(C188-E188))/(C188-D188))</f>
        <v>-0.45558739255014213</v>
      </c>
      <c r="Q188">
        <f t="shared" ref="Q188" si="916">F188*P188</f>
        <v>-25199254.2275071</v>
      </c>
      <c r="R188">
        <f t="shared" ref="R188" si="917">R189+Q188</f>
        <v>-8522028204.2534084</v>
      </c>
      <c r="S188">
        <f t="shared" ref="S188" si="918">R188/100000</f>
        <v>-85220.282042534091</v>
      </c>
      <c r="T188">
        <f t="shared" ref="T188" si="919">S188/1000</f>
        <v>-85.220282042534095</v>
      </c>
    </row>
    <row r="189" spans="1:20" x14ac:dyDescent="0.25">
      <c r="A189" s="5">
        <v>44404</v>
      </c>
      <c r="B189">
        <v>3.0859999999999999E-2</v>
      </c>
      <c r="C189">
        <v>3.2000000000000001E-2</v>
      </c>
      <c r="D189">
        <v>2.8889999999999999E-2</v>
      </c>
      <c r="E189">
        <v>3.1399999999999997E-2</v>
      </c>
      <c r="F189">
        <v>53303234.399999999</v>
      </c>
      <c r="G189">
        <v>3.1399999999999997E-2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0.61414790996784374</v>
      </c>
      <c r="Q189">
        <f t="shared" ref="Q189" si="921">F189*P189</f>
        <v>32736070.001286071</v>
      </c>
      <c r="R189">
        <f t="shared" ref="R189" si="922">R190+Q189</f>
        <v>-8496828950.0259018</v>
      </c>
      <c r="S189">
        <f t="shared" ref="S189" si="923">R189/100000</f>
        <v>-84968.289500259023</v>
      </c>
      <c r="T189">
        <f t="shared" ref="T189" si="924">S189/1000</f>
        <v>-84.968289500259019</v>
      </c>
    </row>
    <row r="190" spans="1:20" x14ac:dyDescent="0.25">
      <c r="A190" s="5">
        <v>44403</v>
      </c>
      <c r="B190">
        <v>3.0939999999999999E-2</v>
      </c>
      <c r="C190">
        <v>3.4979999999999997E-2</v>
      </c>
      <c r="D190">
        <v>3.066E-2</v>
      </c>
      <c r="E190">
        <v>3.09E-2</v>
      </c>
      <c r="F190">
        <v>133189571.2</v>
      </c>
      <c r="G190">
        <v>3.09E-2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-0.88888888888888851</v>
      </c>
      <c r="Q190">
        <f t="shared" ref="Q190" si="926">F190*P190</f>
        <v>-118390729.95555551</v>
      </c>
      <c r="R190">
        <f t="shared" ref="R190" si="927">R191+Q190</f>
        <v>-8529565020.0271883</v>
      </c>
      <c r="S190">
        <f t="shared" ref="S190" si="928">R190/100000</f>
        <v>-85295.650200271877</v>
      </c>
      <c r="T190">
        <f t="shared" ref="T190" si="929">S190/1000</f>
        <v>-85.295650200271879</v>
      </c>
    </row>
    <row r="191" spans="1:20" x14ac:dyDescent="0.25">
      <c r="A191" s="5">
        <v>44402</v>
      </c>
      <c r="B191">
        <v>3.0710000000000001E-2</v>
      </c>
      <c r="C191">
        <v>3.1119999999999998E-2</v>
      </c>
      <c r="D191">
        <v>2.9479999999999999E-2</v>
      </c>
      <c r="E191">
        <v>3.091E-2</v>
      </c>
      <c r="F191">
        <v>39326994.700000003</v>
      </c>
      <c r="G191">
        <v>3.091E-2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0.74390243902439213</v>
      </c>
      <c r="Q191">
        <f t="shared" ref="Q191" si="931">F191*P191</f>
        <v>29255447.276829343</v>
      </c>
      <c r="R191">
        <f t="shared" ref="R191" si="932">R192+Q191</f>
        <v>-8411174290.0716324</v>
      </c>
      <c r="S191">
        <f t="shared" ref="S191" si="933">R191/100000</f>
        <v>-84111.74290071633</v>
      </c>
      <c r="T191">
        <f t="shared" ref="T191:T197" si="934">S191/1000</f>
        <v>-84.111742900716337</v>
      </c>
    </row>
    <row r="192" spans="1:20" x14ac:dyDescent="0.25">
      <c r="A192" s="5">
        <v>44401</v>
      </c>
      <c r="B192">
        <v>3.1119999999999998E-2</v>
      </c>
      <c r="C192">
        <v>3.1530000000000002E-2</v>
      </c>
      <c r="D192">
        <v>0.03</v>
      </c>
      <c r="E192">
        <v>3.0710000000000001E-2</v>
      </c>
      <c r="F192">
        <v>53313616.5</v>
      </c>
      <c r="G192">
        <v>3.0710000000000001E-2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-7.1895424836600483E-2</v>
      </c>
      <c r="Q192">
        <f t="shared" ref="Q192" si="936">F192*P192</f>
        <v>-3833005.1078430931</v>
      </c>
      <c r="R192">
        <f t="shared" ref="R192" si="937">R193+Q192</f>
        <v>-8440429737.3484621</v>
      </c>
      <c r="S192">
        <f t="shared" ref="S192" si="938">R192/100000</f>
        <v>-84404.297373484616</v>
      </c>
      <c r="T192">
        <f t="shared" si="934"/>
        <v>-84.40429737348461</v>
      </c>
    </row>
    <row r="193" spans="1:20" x14ac:dyDescent="0.25">
      <c r="A193" s="5">
        <v>44400</v>
      </c>
      <c r="B193">
        <v>2.9510000000000002E-2</v>
      </c>
      <c r="C193">
        <v>3.1379999999999998E-2</v>
      </c>
      <c r="D193">
        <v>2.913E-2</v>
      </c>
      <c r="E193">
        <v>3.1099999999999999E-2</v>
      </c>
      <c r="F193">
        <v>68958181.5</v>
      </c>
      <c r="G193">
        <v>3.1099999999999999E-2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0.75111111111111184</v>
      </c>
      <c r="Q193">
        <f t="shared" ref="Q193" si="940">F193*P193</f>
        <v>51795256.32666672</v>
      </c>
      <c r="R193">
        <f t="shared" ref="R193" si="941">R194+Q193</f>
        <v>-8436596732.2406187</v>
      </c>
      <c r="S193">
        <f t="shared" ref="S193" si="942">R193/100000</f>
        <v>-84365.967322406184</v>
      </c>
      <c r="T193">
        <f t="shared" si="934"/>
        <v>-84.365967322406178</v>
      </c>
    </row>
    <row r="194" spans="1:20" x14ac:dyDescent="0.25">
      <c r="A194" s="5">
        <v>44399</v>
      </c>
      <c r="B194">
        <v>2.8570000000000002E-2</v>
      </c>
      <c r="C194">
        <v>2.963E-2</v>
      </c>
      <c r="D194">
        <v>2.8000000000000001E-2</v>
      </c>
      <c r="E194">
        <v>2.9489999999999999E-2</v>
      </c>
      <c r="F194">
        <v>50395186.299999997</v>
      </c>
      <c r="G194">
        <v>2.9489999999999999E-2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0.82822085889570396</v>
      </c>
      <c r="Q194">
        <f t="shared" ref="Q194" si="944">F194*P194</f>
        <v>41738344.48159501</v>
      </c>
      <c r="R194">
        <f t="shared" ref="R194" si="945">R195+Q194</f>
        <v>-8488391988.5672855</v>
      </c>
      <c r="S194">
        <f t="shared" ref="S194" si="946">R194/100000</f>
        <v>-84883.919885672862</v>
      </c>
      <c r="T194">
        <f t="shared" si="934"/>
        <v>-84.883919885672867</v>
      </c>
    </row>
    <row r="195" spans="1:20" x14ac:dyDescent="0.25">
      <c r="A195" s="5">
        <v>44398</v>
      </c>
      <c r="B195">
        <v>2.7119999999999998E-2</v>
      </c>
      <c r="C195">
        <v>3.0290000000000001E-2</v>
      </c>
      <c r="D195">
        <v>2.6499999999999999E-2</v>
      </c>
      <c r="E195">
        <v>2.8580000000000001E-2</v>
      </c>
      <c r="F195">
        <v>49655502.399999999</v>
      </c>
      <c r="G195">
        <v>2.8580000000000001E-2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9.7625329815303988E-2</v>
      </c>
      <c r="Q195">
        <f t="shared" ref="Q195" si="948">F195*P195</f>
        <v>4847634.7989446186</v>
      </c>
      <c r="R195">
        <f t="shared" ref="R195" si="949">R196+Q195</f>
        <v>-8530130333.0488806</v>
      </c>
      <c r="S195">
        <f t="shared" ref="S195" si="950">R195/100000</f>
        <v>-85301.303330488809</v>
      </c>
      <c r="T195">
        <f t="shared" si="934"/>
        <v>-85.301303330488807</v>
      </c>
    </row>
    <row r="196" spans="1:20" x14ac:dyDescent="0.25">
      <c r="A196" s="5">
        <v>44397</v>
      </c>
      <c r="B196">
        <v>2.8500000000000001E-2</v>
      </c>
      <c r="C196">
        <v>2.9069999999999999E-2</v>
      </c>
      <c r="D196">
        <v>2.5700000000000001E-2</v>
      </c>
      <c r="E196">
        <v>2.7119999999999998E-2</v>
      </c>
      <c r="F196">
        <v>42488571.200000003</v>
      </c>
      <c r="G196">
        <v>2.7119999999999998E-2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-0.15727002967359138</v>
      </c>
      <c r="Q196">
        <f t="shared" ref="Q196" si="952">F196*P196</f>
        <v>-6682178.8534125006</v>
      </c>
      <c r="R196">
        <f t="shared" ref="R196" si="953">R197+Q196</f>
        <v>-8534977967.8478251</v>
      </c>
      <c r="S196">
        <f t="shared" ref="S196" si="954">R196/100000</f>
        <v>-85349.779678478255</v>
      </c>
      <c r="T196">
        <f t="shared" si="934"/>
        <v>-85.349779678478257</v>
      </c>
    </row>
    <row r="197" spans="1:20" x14ac:dyDescent="0.25">
      <c r="A197" s="5">
        <v>44396</v>
      </c>
      <c r="B197">
        <v>3.0849999999999999E-2</v>
      </c>
      <c r="C197">
        <v>3.141E-2</v>
      </c>
      <c r="D197">
        <v>2.809E-2</v>
      </c>
      <c r="E197">
        <v>2.852E-2</v>
      </c>
      <c r="F197">
        <v>47960474.5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-0.74096385542168686</v>
      </c>
      <c r="Q197">
        <f t="shared" ref="Q197" si="956">F197*P197</f>
        <v>-35536978.0933735</v>
      </c>
      <c r="R197">
        <f t="shared" ref="R197" si="957">R198+Q197</f>
        <v>-8528295788.9944124</v>
      </c>
      <c r="S197">
        <f t="shared" ref="S197" si="958">R197/100000</f>
        <v>-85282.957889944126</v>
      </c>
      <c r="T197">
        <f t="shared" si="934"/>
        <v>-85.282957889944129</v>
      </c>
    </row>
    <row r="198" spans="1:20" x14ac:dyDescent="0.25">
      <c r="A198" s="5">
        <v>44395</v>
      </c>
      <c r="B198">
        <v>3.1109999999999999E-2</v>
      </c>
      <c r="C198">
        <v>3.288E-2</v>
      </c>
      <c r="D198">
        <v>3.0339999999999999E-2</v>
      </c>
      <c r="E198">
        <v>3.0870000000000002E-2</v>
      </c>
      <c r="F198">
        <v>47836876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-0.58267716535432867</v>
      </c>
      <c r="Q198">
        <f t="shared" ref="Q198:Q261" si="960">F198*P198</f>
        <v>-27873455.307086516</v>
      </c>
      <c r="R198">
        <f t="shared" ref="R198:R261" si="961">R199+Q198</f>
        <v>-8492758810.9010391</v>
      </c>
      <c r="S198">
        <f t="shared" ref="S198:S261" si="962">R198/100000</f>
        <v>-84927.588109010394</v>
      </c>
      <c r="T198">
        <f t="shared" ref="T198:T261" si="963">S198/1000</f>
        <v>-84.927588109010401</v>
      </c>
    </row>
    <row r="199" spans="1:20" x14ac:dyDescent="0.25">
      <c r="A199" s="5">
        <v>44394</v>
      </c>
      <c r="B199">
        <v>3.0710000000000001E-2</v>
      </c>
      <c r="C199">
        <v>3.2620000000000003E-2</v>
      </c>
      <c r="D199">
        <v>2.9649999999999999E-2</v>
      </c>
      <c r="E199">
        <v>3.1040000000000002E-2</v>
      </c>
      <c r="F199">
        <v>54133952.600000001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-6.3973063973063612E-2</v>
      </c>
      <c r="Q199">
        <f t="shared" si="960"/>
        <v>-3463114.8127945932</v>
      </c>
      <c r="R199">
        <f t="shared" si="961"/>
        <v>-8464885355.5939522</v>
      </c>
      <c r="S199">
        <f t="shared" si="962"/>
        <v>-84648.853555939524</v>
      </c>
      <c r="T199">
        <f t="shared" si="963"/>
        <v>-84.648853555939525</v>
      </c>
    </row>
    <row r="200" spans="1:20" x14ac:dyDescent="0.25">
      <c r="A200" s="5">
        <v>44393</v>
      </c>
      <c r="B200">
        <v>3.3689999999999998E-2</v>
      </c>
      <c r="C200">
        <v>3.458E-2</v>
      </c>
      <c r="D200">
        <v>3.0530000000000002E-2</v>
      </c>
      <c r="E200">
        <v>3.073E-2</v>
      </c>
      <c r="F200">
        <v>52453981.600000001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-0.90123456790123513</v>
      </c>
      <c r="Q200">
        <f t="shared" si="960"/>
        <v>-47273341.44197534</v>
      </c>
      <c r="R200">
        <f t="shared" si="961"/>
        <v>-8461422240.7811575</v>
      </c>
      <c r="S200">
        <f t="shared" si="962"/>
        <v>-84614.222407811569</v>
      </c>
      <c r="T200">
        <f t="shared" si="963"/>
        <v>-84.614222407811567</v>
      </c>
    </row>
    <row r="201" spans="1:20" x14ac:dyDescent="0.25">
      <c r="A201" s="5">
        <v>44392</v>
      </c>
      <c r="B201">
        <v>3.6560000000000002E-2</v>
      </c>
      <c r="C201">
        <v>3.7100000000000001E-2</v>
      </c>
      <c r="D201">
        <v>3.2809999999999999E-2</v>
      </c>
      <c r="E201">
        <v>3.3689999999999998E-2</v>
      </c>
      <c r="F201">
        <v>97072223.599999994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-0.58974358974359053</v>
      </c>
      <c r="Q201">
        <f t="shared" si="960"/>
        <v>-57247721.610256486</v>
      </c>
      <c r="R201">
        <f t="shared" si="961"/>
        <v>-8414148899.3391819</v>
      </c>
      <c r="S201">
        <f t="shared" si="962"/>
        <v>-84141.488993391817</v>
      </c>
      <c r="T201">
        <f t="shared" si="963"/>
        <v>-84.141488993391818</v>
      </c>
    </row>
    <row r="202" spans="1:20" x14ac:dyDescent="0.25">
      <c r="A202" s="5">
        <v>44391</v>
      </c>
      <c r="B202">
        <v>3.712E-2</v>
      </c>
      <c r="C202">
        <v>3.8199999999999998E-2</v>
      </c>
      <c r="D202">
        <v>3.4410000000000003E-2</v>
      </c>
      <c r="E202">
        <v>3.6549999999999999E-2</v>
      </c>
      <c r="F202">
        <v>112338403.90000001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0.12928759894459052</v>
      </c>
      <c r="Q202">
        <f t="shared" si="960"/>
        <v>14523962.509498624</v>
      </c>
      <c r="R202">
        <f t="shared" si="961"/>
        <v>-8356901177.7289257</v>
      </c>
      <c r="S202">
        <f t="shared" si="962"/>
        <v>-83569.011777289255</v>
      </c>
      <c r="T202">
        <f t="shared" si="963"/>
        <v>-83.569011777289262</v>
      </c>
    </row>
    <row r="203" spans="1:20" x14ac:dyDescent="0.25">
      <c r="A203" s="5">
        <v>44390</v>
      </c>
      <c r="B203">
        <v>3.7260000000000001E-2</v>
      </c>
      <c r="C203">
        <v>3.8269999999999998E-2</v>
      </c>
      <c r="D203">
        <v>3.5159999999999997E-2</v>
      </c>
      <c r="E203">
        <v>3.7019999999999997E-2</v>
      </c>
      <c r="F203">
        <v>140717689.19999999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0.19614147909967816</v>
      </c>
      <c r="Q203">
        <f t="shared" si="960"/>
        <v>27600575.695176806</v>
      </c>
      <c r="R203">
        <f t="shared" si="961"/>
        <v>-8371425140.2384243</v>
      </c>
      <c r="S203">
        <f t="shared" si="962"/>
        <v>-83714.251402384238</v>
      </c>
      <c r="T203">
        <f t="shared" si="963"/>
        <v>-83.714251402384235</v>
      </c>
    </row>
    <row r="204" spans="1:20" x14ac:dyDescent="0.25">
      <c r="A204" s="5">
        <v>44389</v>
      </c>
      <c r="B204">
        <v>3.9280000000000002E-2</v>
      </c>
      <c r="C204">
        <v>4.1009999999999998E-2</v>
      </c>
      <c r="D204">
        <v>3.635E-2</v>
      </c>
      <c r="E204">
        <v>3.7260000000000001E-2</v>
      </c>
      <c r="F204">
        <v>171285509.59999999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-0.60944206008583623</v>
      </c>
      <c r="Q204">
        <f t="shared" si="960"/>
        <v>-104388593.83347628</v>
      </c>
      <c r="R204">
        <f t="shared" si="961"/>
        <v>-8399025715.9336014</v>
      </c>
      <c r="S204">
        <f t="shared" si="962"/>
        <v>-83990.257159336019</v>
      </c>
      <c r="T204">
        <f t="shared" si="963"/>
        <v>-83.990257159336025</v>
      </c>
    </row>
    <row r="205" spans="1:20" x14ac:dyDescent="0.25">
      <c r="A205" s="5">
        <v>44388</v>
      </c>
      <c r="B205">
        <v>3.6290000000000003E-2</v>
      </c>
      <c r="C205">
        <v>4.4990000000000002E-2</v>
      </c>
      <c r="D205">
        <v>3.5880000000000002E-2</v>
      </c>
      <c r="E205">
        <v>3.9269999999999999E-2</v>
      </c>
      <c r="F205">
        <v>423286980.10000002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-0.25576289791438045</v>
      </c>
      <c r="Q205">
        <f t="shared" si="960"/>
        <v>-108261104.6798027</v>
      </c>
      <c r="R205">
        <f t="shared" si="961"/>
        <v>-8294637122.1001253</v>
      </c>
      <c r="S205">
        <f t="shared" si="962"/>
        <v>-82946.37122100126</v>
      </c>
      <c r="T205">
        <f t="shared" si="963"/>
        <v>-82.946371221001257</v>
      </c>
    </row>
    <row r="206" spans="1:20" x14ac:dyDescent="0.25">
      <c r="A206" s="5">
        <v>44387</v>
      </c>
      <c r="B206">
        <v>3.526E-2</v>
      </c>
      <c r="C206">
        <v>3.8330000000000003E-2</v>
      </c>
      <c r="D206">
        <v>3.422E-2</v>
      </c>
      <c r="E206">
        <v>3.6290000000000003E-2</v>
      </c>
      <c r="F206">
        <v>106835190.59999999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7.2992700729932426E-3</v>
      </c>
      <c r="Q206">
        <f t="shared" si="960"/>
        <v>779818.90948910895</v>
      </c>
      <c r="R206">
        <f t="shared" si="961"/>
        <v>-8186376017.4203224</v>
      </c>
      <c r="S206">
        <f t="shared" si="962"/>
        <v>-81863.760174203228</v>
      </c>
      <c r="T206">
        <f t="shared" si="963"/>
        <v>-81.863760174203222</v>
      </c>
    </row>
    <row r="207" spans="1:20" x14ac:dyDescent="0.25">
      <c r="A207" s="5">
        <v>44386</v>
      </c>
      <c r="B207">
        <v>3.3919999999999999E-2</v>
      </c>
      <c r="C207">
        <v>3.6400000000000002E-2</v>
      </c>
      <c r="D207">
        <v>3.2750000000000001E-2</v>
      </c>
      <c r="E207">
        <v>3.526E-2</v>
      </c>
      <c r="F207">
        <v>98451072.200000003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0.37534246575342356</v>
      </c>
      <c r="Q207">
        <f t="shared" si="960"/>
        <v>36952868.195616335</v>
      </c>
      <c r="R207">
        <f t="shared" si="961"/>
        <v>-8187155836.3298111</v>
      </c>
      <c r="S207">
        <f t="shared" si="962"/>
        <v>-81871.558363298114</v>
      </c>
      <c r="T207">
        <f t="shared" si="963"/>
        <v>-81.871558363298121</v>
      </c>
    </row>
    <row r="208" spans="1:20" x14ac:dyDescent="0.25">
      <c r="A208" s="5">
        <v>44385</v>
      </c>
      <c r="B208">
        <v>3.5830000000000001E-2</v>
      </c>
      <c r="C208">
        <v>3.7999999999999999E-2</v>
      </c>
      <c r="D208">
        <v>3.2660000000000002E-2</v>
      </c>
      <c r="E208">
        <v>3.3919999999999999E-2</v>
      </c>
      <c r="F208">
        <v>147695769.69999999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-0.52808988764045028</v>
      </c>
      <c r="Q208">
        <f t="shared" si="960"/>
        <v>-77996642.425842822</v>
      </c>
      <c r="R208">
        <f t="shared" si="961"/>
        <v>-8224108704.5254278</v>
      </c>
      <c r="S208">
        <f t="shared" si="962"/>
        <v>-82241.087045254273</v>
      </c>
      <c r="T208">
        <f t="shared" si="963"/>
        <v>-82.241087045254275</v>
      </c>
    </row>
    <row r="209" spans="1:20" x14ac:dyDescent="0.25">
      <c r="A209" s="5">
        <v>44384</v>
      </c>
      <c r="B209">
        <v>3.3640000000000003E-2</v>
      </c>
      <c r="C209">
        <v>3.934E-2</v>
      </c>
      <c r="D209">
        <v>3.3399999999999999E-2</v>
      </c>
      <c r="E209">
        <v>3.5830000000000001E-2</v>
      </c>
      <c r="F209">
        <v>205122738.19999999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-0.18181818181818141</v>
      </c>
      <c r="Q209">
        <f t="shared" si="960"/>
        <v>-37295043.309090823</v>
      </c>
      <c r="R209">
        <f t="shared" si="961"/>
        <v>-8146112062.0995846</v>
      </c>
      <c r="S209">
        <f t="shared" si="962"/>
        <v>-81461.120620995847</v>
      </c>
      <c r="T209">
        <f t="shared" si="963"/>
        <v>-81.461120620995843</v>
      </c>
    </row>
    <row r="210" spans="1:20" x14ac:dyDescent="0.25">
      <c r="A210" s="5">
        <v>44383</v>
      </c>
      <c r="B210">
        <v>3.243E-2</v>
      </c>
      <c r="C210">
        <v>3.458E-2</v>
      </c>
      <c r="D210">
        <v>3.236E-2</v>
      </c>
      <c r="E210">
        <v>3.3669999999999999E-2</v>
      </c>
      <c r="F210">
        <v>70890608.299999997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0.18018018018017912</v>
      </c>
      <c r="Q210">
        <f t="shared" si="960"/>
        <v>12773082.576576501</v>
      </c>
      <c r="R210">
        <f t="shared" si="961"/>
        <v>-8108817018.790494</v>
      </c>
      <c r="S210">
        <f t="shared" si="962"/>
        <v>-81088.170187904936</v>
      </c>
      <c r="T210">
        <f t="shared" si="963"/>
        <v>-81.088170187904936</v>
      </c>
    </row>
    <row r="211" spans="1:20" x14ac:dyDescent="0.25">
      <c r="A211" s="5">
        <v>44382</v>
      </c>
      <c r="B211">
        <v>3.3340000000000002E-2</v>
      </c>
      <c r="C211">
        <v>3.4209999999999997E-2</v>
      </c>
      <c r="D211">
        <v>3.1719999999999998E-2</v>
      </c>
      <c r="E211">
        <v>3.2379999999999999E-2</v>
      </c>
      <c r="F211">
        <v>83759492.799999997</v>
      </c>
      <c r="G211">
        <v>0</v>
      </c>
      <c r="L211" t="s">
        <v>8</v>
      </c>
      <c r="M211" t="s">
        <v>7</v>
      </c>
      <c r="N211" t="s">
        <v>8</v>
      </c>
      <c r="P211">
        <f t="shared" si="959"/>
        <v>-0.46987951807228828</v>
      </c>
      <c r="Q211">
        <f t="shared" si="960"/>
        <v>-39356870.110843301</v>
      </c>
      <c r="R211">
        <f t="shared" si="961"/>
        <v>-8121590101.3670702</v>
      </c>
      <c r="S211">
        <f t="shared" si="962"/>
        <v>-81215.901013670707</v>
      </c>
      <c r="T211">
        <f t="shared" si="963"/>
        <v>-81.215901013670702</v>
      </c>
    </row>
    <row r="212" spans="1:20" x14ac:dyDescent="0.25">
      <c r="A212" s="5">
        <v>44381</v>
      </c>
      <c r="B212">
        <v>3.279E-2</v>
      </c>
      <c r="C212">
        <v>3.4200000000000001E-2</v>
      </c>
      <c r="D212">
        <v>3.1809999999999998E-2</v>
      </c>
      <c r="E212">
        <v>3.3340000000000002E-2</v>
      </c>
      <c r="F212">
        <v>72583415.099999994</v>
      </c>
      <c r="G212">
        <v>0</v>
      </c>
      <c r="L212" t="s">
        <v>7</v>
      </c>
      <c r="M212" t="s">
        <v>7</v>
      </c>
      <c r="N212" t="s">
        <v>8</v>
      </c>
      <c r="P212">
        <f t="shared" si="959"/>
        <v>0.28033472803347409</v>
      </c>
      <c r="Q212">
        <f t="shared" si="960"/>
        <v>20347651.931799255</v>
      </c>
      <c r="R212">
        <f t="shared" si="961"/>
        <v>-8082233231.2562265</v>
      </c>
      <c r="S212">
        <f t="shared" si="962"/>
        <v>-80822.33231256227</v>
      </c>
      <c r="T212">
        <f t="shared" si="963"/>
        <v>-80.822332312562267</v>
      </c>
    </row>
    <row r="213" spans="1:20" x14ac:dyDescent="0.25">
      <c r="A213" s="5">
        <v>44380</v>
      </c>
      <c r="B213">
        <v>3.3189999999999997E-2</v>
      </c>
      <c r="C213">
        <v>3.3750000000000002E-2</v>
      </c>
      <c r="D213">
        <v>3.2210000000000003E-2</v>
      </c>
      <c r="E213">
        <v>3.2759999999999997E-2</v>
      </c>
      <c r="F213">
        <v>64347034.799999997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-0.28571428571429214</v>
      </c>
      <c r="Q213">
        <f t="shared" si="960"/>
        <v>-18384867.085714698</v>
      </c>
      <c r="R213">
        <f t="shared" si="961"/>
        <v>-8102580883.1880255</v>
      </c>
      <c r="S213">
        <f t="shared" si="962"/>
        <v>-81025.808831880262</v>
      </c>
      <c r="T213">
        <f t="shared" si="963"/>
        <v>-81.025808831880255</v>
      </c>
    </row>
    <row r="214" spans="1:20" x14ac:dyDescent="0.25">
      <c r="A214" s="5">
        <v>44379</v>
      </c>
      <c r="B214">
        <v>3.1009999999999999E-2</v>
      </c>
      <c r="C214">
        <v>3.4360000000000002E-2</v>
      </c>
      <c r="D214">
        <v>2.981E-2</v>
      </c>
      <c r="E214">
        <v>3.3270000000000001E-2</v>
      </c>
      <c r="F214">
        <v>132806045.90000001</v>
      </c>
      <c r="G214">
        <v>0</v>
      </c>
      <c r="L214" t="s">
        <v>8</v>
      </c>
      <c r="M214" t="s">
        <v>7</v>
      </c>
      <c r="N214" t="s">
        <v>8</v>
      </c>
      <c r="P214">
        <f t="shared" si="959"/>
        <v>0.5208791208791208</v>
      </c>
      <c r="Q214">
        <f t="shared" si="960"/>
        <v>69175896.435824171</v>
      </c>
      <c r="R214">
        <f t="shared" si="961"/>
        <v>-8084196016.1023111</v>
      </c>
      <c r="S214">
        <f t="shared" si="962"/>
        <v>-80841.960161023118</v>
      </c>
      <c r="T214">
        <f t="shared" si="963"/>
        <v>-80.841960161023124</v>
      </c>
    </row>
    <row r="215" spans="1:20" x14ac:dyDescent="0.25">
      <c r="A215" s="5">
        <v>44378</v>
      </c>
      <c r="B215">
        <v>3.3029999999999997E-2</v>
      </c>
      <c r="C215">
        <v>3.3090000000000001E-2</v>
      </c>
      <c r="D215">
        <v>3.0200000000000001E-2</v>
      </c>
      <c r="E215">
        <v>3.1060000000000001E-2</v>
      </c>
      <c r="F215">
        <v>61396135.399999999</v>
      </c>
      <c r="G215">
        <v>0</v>
      </c>
      <c r="L215" t="s">
        <v>8</v>
      </c>
      <c r="M215" t="s">
        <v>7</v>
      </c>
      <c r="N215" t="s">
        <v>8</v>
      </c>
      <c r="P215">
        <f t="shared" si="959"/>
        <v>-0.40484429065743971</v>
      </c>
      <c r="Q215">
        <f t="shared" si="960"/>
        <v>-24855874.885121122</v>
      </c>
      <c r="R215">
        <f t="shared" si="961"/>
        <v>-8153371912.5381355</v>
      </c>
      <c r="S215">
        <f t="shared" si="962"/>
        <v>-81533.719125381351</v>
      </c>
      <c r="T215">
        <f t="shared" si="963"/>
        <v>-81.533719125381353</v>
      </c>
    </row>
    <row r="216" spans="1:20" x14ac:dyDescent="0.25">
      <c r="A216" s="5">
        <v>44377</v>
      </c>
      <c r="B216">
        <v>3.4599999999999999E-2</v>
      </c>
      <c r="C216">
        <v>3.4909999999999997E-2</v>
      </c>
      <c r="D216">
        <v>3.0419999999999999E-2</v>
      </c>
      <c r="E216">
        <v>3.3009999999999998E-2</v>
      </c>
      <c r="F216">
        <v>108980617.09999999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0.1536748329621381</v>
      </c>
      <c r="Q216">
        <f t="shared" si="960"/>
        <v>16747578.12895323</v>
      </c>
      <c r="R216">
        <f t="shared" si="961"/>
        <v>-8128516037.6530142</v>
      </c>
      <c r="S216">
        <f t="shared" si="962"/>
        <v>-81285.160376530141</v>
      </c>
      <c r="T216">
        <f t="shared" si="963"/>
        <v>-81.285160376530143</v>
      </c>
    </row>
    <row r="217" spans="1:20" x14ac:dyDescent="0.25">
      <c r="A217" s="5">
        <v>44376</v>
      </c>
      <c r="B217">
        <v>3.3860000000000001E-2</v>
      </c>
      <c r="C217">
        <v>3.6499999999999998E-2</v>
      </c>
      <c r="D217">
        <v>3.3489999999999999E-2</v>
      </c>
      <c r="E217">
        <v>3.4599999999999999E-2</v>
      </c>
      <c r="F217">
        <v>126964534.40000001</v>
      </c>
      <c r="G217">
        <v>0</v>
      </c>
      <c r="L217" t="s">
        <v>7</v>
      </c>
      <c r="M217" t="s">
        <v>8</v>
      </c>
      <c r="N217" t="s">
        <v>8</v>
      </c>
      <c r="P217">
        <f t="shared" si="959"/>
        <v>-0.26245847176079712</v>
      </c>
      <c r="Q217">
        <f t="shared" si="960"/>
        <v>-33322917.666445155</v>
      </c>
      <c r="R217">
        <f t="shared" si="961"/>
        <v>-8145263615.7819672</v>
      </c>
      <c r="S217">
        <f t="shared" si="962"/>
        <v>-81452.636157819667</v>
      </c>
      <c r="T217">
        <f t="shared" si="963"/>
        <v>-81.452636157819668</v>
      </c>
    </row>
    <row r="218" spans="1:20" x14ac:dyDescent="0.25">
      <c r="A218" s="5">
        <v>44375</v>
      </c>
      <c r="B218">
        <v>3.2680000000000001E-2</v>
      </c>
      <c r="C218">
        <v>3.6499999999999998E-2</v>
      </c>
      <c r="D218">
        <v>3.209E-2</v>
      </c>
      <c r="E218">
        <v>3.3860000000000001E-2</v>
      </c>
      <c r="F218">
        <v>163839693.59999999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-0.19727891156462501</v>
      </c>
      <c r="Q218">
        <f t="shared" si="960"/>
        <v>-32322116.424489658</v>
      </c>
      <c r="R218">
        <f t="shared" si="961"/>
        <v>-8111940698.1155224</v>
      </c>
      <c r="S218">
        <f t="shared" si="962"/>
        <v>-81119.406981155218</v>
      </c>
      <c r="T218">
        <f t="shared" si="963"/>
        <v>-81.119406981155223</v>
      </c>
    </row>
    <row r="219" spans="1:20" x14ac:dyDescent="0.25">
      <c r="A219" s="5">
        <v>44374</v>
      </c>
      <c r="B219">
        <v>3.2439999999999997E-2</v>
      </c>
      <c r="C219">
        <v>3.3149999999999999E-2</v>
      </c>
      <c r="D219">
        <v>3.0700000000000002E-2</v>
      </c>
      <c r="E219">
        <v>3.2660000000000002E-2</v>
      </c>
      <c r="F219">
        <v>106492882.5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0.60000000000000175</v>
      </c>
      <c r="Q219">
        <f t="shared" si="960"/>
        <v>63895729.500000186</v>
      </c>
      <c r="R219">
        <f t="shared" si="961"/>
        <v>-8079618581.6910324</v>
      </c>
      <c r="S219">
        <f t="shared" si="962"/>
        <v>-80796.185816910322</v>
      </c>
      <c r="T219">
        <f t="shared" si="963"/>
        <v>-80.796185816910324</v>
      </c>
    </row>
    <row r="220" spans="1:20" x14ac:dyDescent="0.25">
      <c r="A220" s="5">
        <v>44373</v>
      </c>
      <c r="B220">
        <v>3.092E-2</v>
      </c>
      <c r="C220">
        <v>3.4799999999999998E-2</v>
      </c>
      <c r="D220">
        <v>2.954E-2</v>
      </c>
      <c r="E220">
        <v>3.252E-2</v>
      </c>
      <c r="F220">
        <v>251365221.30000001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0.13307984790874583</v>
      </c>
      <c r="Q220">
        <f t="shared" si="960"/>
        <v>33451645.42015224</v>
      </c>
      <c r="R220">
        <f t="shared" si="961"/>
        <v>-8143514311.1910324</v>
      </c>
      <c r="S220">
        <f t="shared" si="962"/>
        <v>-81435.143111910322</v>
      </c>
      <c r="T220">
        <f t="shared" si="963"/>
        <v>-81.435143111910321</v>
      </c>
    </row>
    <row r="221" spans="1:20" x14ac:dyDescent="0.25">
      <c r="A221" s="5">
        <v>44372</v>
      </c>
      <c r="B221">
        <v>3.2320000000000002E-2</v>
      </c>
      <c r="C221">
        <v>3.7150000000000002E-2</v>
      </c>
      <c r="D221">
        <v>2.955E-2</v>
      </c>
      <c r="E221">
        <v>3.092E-2</v>
      </c>
      <c r="F221">
        <v>275657622.19999999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-0.63947368421052653</v>
      </c>
      <c r="Q221">
        <f t="shared" si="960"/>
        <v>-176275795.24894741</v>
      </c>
      <c r="R221">
        <f t="shared" si="961"/>
        <v>-8176965956.6111851</v>
      </c>
      <c r="S221">
        <f t="shared" si="962"/>
        <v>-81769.659566111848</v>
      </c>
      <c r="T221">
        <f t="shared" si="963"/>
        <v>-81.769659566111855</v>
      </c>
    </row>
    <row r="222" spans="1:20" x14ac:dyDescent="0.25">
      <c r="A222" s="5">
        <v>44371</v>
      </c>
      <c r="B222">
        <v>3.2399999999999998E-2</v>
      </c>
      <c r="C222">
        <v>3.4819999999999997E-2</v>
      </c>
      <c r="D222">
        <v>2.9819999999999999E-2</v>
      </c>
      <c r="E222">
        <v>3.2309999999999998E-2</v>
      </c>
      <c r="F222">
        <v>192137717.09999999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-3.9999999999998388E-3</v>
      </c>
      <c r="Q222">
        <f t="shared" si="960"/>
        <v>-768550.86839996895</v>
      </c>
      <c r="R222">
        <f t="shared" si="961"/>
        <v>-8000690161.3622379</v>
      </c>
      <c r="S222">
        <f t="shared" si="962"/>
        <v>-80006.90161362238</v>
      </c>
      <c r="T222">
        <f t="shared" si="963"/>
        <v>-80.006901613622375</v>
      </c>
    </row>
    <row r="223" spans="1:20" x14ac:dyDescent="0.25">
      <c r="A223" s="5">
        <v>44370</v>
      </c>
      <c r="B223">
        <v>3.014E-2</v>
      </c>
      <c r="C223">
        <v>3.5490000000000001E-2</v>
      </c>
      <c r="D223">
        <v>2.826E-2</v>
      </c>
      <c r="E223">
        <v>3.2379999999999999E-2</v>
      </c>
      <c r="F223">
        <v>360805903.19999999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0.13969571230981978</v>
      </c>
      <c r="Q223">
        <f t="shared" si="960"/>
        <v>50403037.653111883</v>
      </c>
      <c r="R223">
        <f t="shared" si="961"/>
        <v>-7999921610.4938383</v>
      </c>
      <c r="S223">
        <f t="shared" si="962"/>
        <v>-79999.216104938387</v>
      </c>
      <c r="T223">
        <f t="shared" si="963"/>
        <v>-79.999216104938384</v>
      </c>
    </row>
    <row r="224" spans="1:20" x14ac:dyDescent="0.25">
      <c r="A224" s="5">
        <v>44369</v>
      </c>
      <c r="B224">
        <v>3.2379999999999999E-2</v>
      </c>
      <c r="C224">
        <v>3.671E-2</v>
      </c>
      <c r="D224">
        <v>2.52E-2</v>
      </c>
      <c r="E224">
        <v>3.0110000000000001E-2</v>
      </c>
      <c r="F224">
        <v>253278820.80000001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-0.14682884448305797</v>
      </c>
      <c r="Q224">
        <f t="shared" si="960"/>
        <v>-37188636.590095513</v>
      </c>
      <c r="R224">
        <f t="shared" si="961"/>
        <v>-8050324648.1469498</v>
      </c>
      <c r="S224">
        <f t="shared" si="962"/>
        <v>-80503.246481469498</v>
      </c>
      <c r="T224">
        <f t="shared" si="963"/>
        <v>-80.503246481469503</v>
      </c>
    </row>
    <row r="225" spans="1:20" x14ac:dyDescent="0.25">
      <c r="A225" s="5">
        <v>44368</v>
      </c>
      <c r="B225">
        <v>4.326E-2</v>
      </c>
      <c r="C225">
        <v>4.3709999999999999E-2</v>
      </c>
      <c r="D225">
        <v>3.184E-2</v>
      </c>
      <c r="E225">
        <v>3.236E-2</v>
      </c>
      <c r="F225">
        <v>194438172.19999999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-0.91238416175231685</v>
      </c>
      <c r="Q225">
        <f t="shared" si="960"/>
        <v>-177402308.75534964</v>
      </c>
      <c r="R225">
        <f t="shared" si="961"/>
        <v>-8013136011.5568542</v>
      </c>
      <c r="S225">
        <f t="shared" si="962"/>
        <v>-80131.360115568546</v>
      </c>
      <c r="T225">
        <f t="shared" si="963"/>
        <v>-80.13136011556854</v>
      </c>
    </row>
    <row r="226" spans="1:20" x14ac:dyDescent="0.25">
      <c r="A226" s="5">
        <v>44367</v>
      </c>
      <c r="B226">
        <v>4.48E-2</v>
      </c>
      <c r="C226">
        <v>4.65E-2</v>
      </c>
      <c r="D226">
        <v>4.0140000000000002E-2</v>
      </c>
      <c r="E226">
        <v>4.326E-2</v>
      </c>
      <c r="F226">
        <v>265568291.69999999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-1.8867924528302216E-2</v>
      </c>
      <c r="Q226">
        <f t="shared" si="960"/>
        <v>-5010722.4849057477</v>
      </c>
      <c r="R226">
        <f t="shared" si="961"/>
        <v>-7835733702.8015051</v>
      </c>
      <c r="S226">
        <f t="shared" si="962"/>
        <v>-78357.337028015056</v>
      </c>
      <c r="T226">
        <f t="shared" si="963"/>
        <v>-78.357337028015053</v>
      </c>
    </row>
    <row r="227" spans="1:20" x14ac:dyDescent="0.25">
      <c r="A227" s="5">
        <v>44366</v>
      </c>
      <c r="B227">
        <v>4.265E-2</v>
      </c>
      <c r="C227">
        <v>5.176E-2</v>
      </c>
      <c r="D227">
        <v>4.1250000000000002E-2</v>
      </c>
      <c r="E227">
        <v>4.4790000000000003E-2</v>
      </c>
      <c r="F227">
        <v>401915678</v>
      </c>
      <c r="G227">
        <v>0</v>
      </c>
      <c r="L227" t="s">
        <v>8</v>
      </c>
      <c r="M227" t="s">
        <v>8</v>
      </c>
      <c r="N227" t="s">
        <v>7</v>
      </c>
      <c r="P227">
        <f t="shared" si="959"/>
        <v>-0.32635585156993302</v>
      </c>
      <c r="Q227">
        <f t="shared" si="960"/>
        <v>-131167533.35299699</v>
      </c>
      <c r="R227">
        <f t="shared" si="961"/>
        <v>-7830722980.3165989</v>
      </c>
      <c r="S227">
        <f t="shared" si="962"/>
        <v>-78307.229803165988</v>
      </c>
      <c r="T227">
        <f t="shared" si="963"/>
        <v>-78.307229803165995</v>
      </c>
    </row>
    <row r="228" spans="1:20" x14ac:dyDescent="0.25">
      <c r="A228" s="5">
        <v>44365</v>
      </c>
      <c r="B228">
        <v>4.8619999999999997E-2</v>
      </c>
      <c r="C228">
        <v>4.8980000000000003E-2</v>
      </c>
      <c r="D228">
        <v>4.1119999999999997E-2</v>
      </c>
      <c r="E228">
        <v>4.2729999999999997E-2</v>
      </c>
      <c r="F228">
        <v>260970174.40000001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-0.59033078880407153</v>
      </c>
      <c r="Q228">
        <f t="shared" si="960"/>
        <v>-154058728.90788811</v>
      </c>
      <c r="R228">
        <f t="shared" si="961"/>
        <v>-7699555446.9636021</v>
      </c>
      <c r="S228">
        <f t="shared" si="962"/>
        <v>-76995.554469636016</v>
      </c>
      <c r="T228">
        <f t="shared" si="963"/>
        <v>-76.995554469636019</v>
      </c>
    </row>
    <row r="229" spans="1:20" x14ac:dyDescent="0.25">
      <c r="A229" s="5">
        <v>44364</v>
      </c>
      <c r="B229">
        <v>4.913E-2</v>
      </c>
      <c r="C229">
        <v>5.2999999999999999E-2</v>
      </c>
      <c r="D229">
        <v>4.7129999999999998E-2</v>
      </c>
      <c r="E229">
        <v>4.8570000000000002E-2</v>
      </c>
      <c r="F229">
        <v>259402522.69999999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-0.5093696763202713</v>
      </c>
      <c r="Q229">
        <f t="shared" si="960"/>
        <v>-132131779.02436082</v>
      </c>
      <c r="R229">
        <f t="shared" si="961"/>
        <v>-7545496718.0557137</v>
      </c>
      <c r="S229">
        <f t="shared" si="962"/>
        <v>-75454.967180557142</v>
      </c>
      <c r="T229">
        <f t="shared" si="963"/>
        <v>-75.454967180557148</v>
      </c>
    </row>
    <row r="230" spans="1:20" x14ac:dyDescent="0.25">
      <c r="A230" s="5">
        <v>44363</v>
      </c>
      <c r="B230">
        <v>5.6099999999999997E-2</v>
      </c>
      <c r="C230">
        <v>5.7500000000000002E-2</v>
      </c>
      <c r="D230">
        <v>4.8730000000000002E-2</v>
      </c>
      <c r="E230">
        <v>4.9149999999999999E-2</v>
      </c>
      <c r="F230">
        <v>349343919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-0.90421892816419691</v>
      </c>
      <c r="Q230">
        <f t="shared" si="960"/>
        <v>-315883383.99886</v>
      </c>
      <c r="R230">
        <f t="shared" si="961"/>
        <v>-7413364939.031353</v>
      </c>
      <c r="S230">
        <f t="shared" si="962"/>
        <v>-74133.649390313527</v>
      </c>
      <c r="T230">
        <f t="shared" si="963"/>
        <v>-74.133649390313522</v>
      </c>
    </row>
    <row r="231" spans="1:20" x14ac:dyDescent="0.25">
      <c r="A231" s="5">
        <v>44362</v>
      </c>
      <c r="B231">
        <v>6.2590000000000007E-2</v>
      </c>
      <c r="C231">
        <v>6.3119999999999996E-2</v>
      </c>
      <c r="D231">
        <v>5.4679999999999999E-2</v>
      </c>
      <c r="E231">
        <v>5.6090000000000001E-2</v>
      </c>
      <c r="F231">
        <v>385883607.39999998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-0.66587677725118433</v>
      </c>
      <c r="Q231">
        <f t="shared" si="960"/>
        <v>-256950932.88957325</v>
      </c>
      <c r="R231">
        <f t="shared" si="961"/>
        <v>-7097481555.0324926</v>
      </c>
      <c r="S231">
        <f t="shared" si="962"/>
        <v>-70974.815550324929</v>
      </c>
      <c r="T231">
        <f t="shared" si="963"/>
        <v>-70.974815550324934</v>
      </c>
    </row>
    <row r="232" spans="1:20" x14ac:dyDescent="0.25">
      <c r="A232" s="5">
        <v>44361</v>
      </c>
      <c r="B232">
        <v>6.8529999999999994E-2</v>
      </c>
      <c r="C232">
        <v>7.1999999999999995E-2</v>
      </c>
      <c r="D232">
        <v>6.0589999999999998E-2</v>
      </c>
      <c r="E232">
        <v>6.2520000000000006E-2</v>
      </c>
      <c r="F232">
        <v>493194796.39999998</v>
      </c>
      <c r="G232">
        <v>0</v>
      </c>
      <c r="L232" t="s">
        <v>7</v>
      </c>
      <c r="M232" t="s">
        <v>7</v>
      </c>
      <c r="N232" t="s">
        <v>8</v>
      </c>
      <c r="P232">
        <f t="shared" si="959"/>
        <v>-0.66170026292725526</v>
      </c>
      <c r="Q232">
        <f t="shared" si="960"/>
        <v>-326347126.45223409</v>
      </c>
      <c r="R232">
        <f t="shared" si="961"/>
        <v>-6840530622.1429195</v>
      </c>
      <c r="S232">
        <f t="shared" si="962"/>
        <v>-68405.3062214292</v>
      </c>
      <c r="T232">
        <f t="shared" si="963"/>
        <v>-68.4053062214292</v>
      </c>
    </row>
    <row r="233" spans="1:20" x14ac:dyDescent="0.25">
      <c r="A233" s="5">
        <v>44360</v>
      </c>
      <c r="B233">
        <v>5.9650000000000002E-2</v>
      </c>
      <c r="C233">
        <v>7.6869999999999994E-2</v>
      </c>
      <c r="D233">
        <v>5.7590000000000002E-2</v>
      </c>
      <c r="E233">
        <v>6.8559999999999996E-2</v>
      </c>
      <c r="F233">
        <v>1038905847.4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0.13796680497925295</v>
      </c>
      <c r="Q233">
        <f t="shared" si="960"/>
        <v>143334520.44004133</v>
      </c>
      <c r="R233">
        <f t="shared" si="961"/>
        <v>-6514183495.6906853</v>
      </c>
      <c r="S233">
        <f t="shared" si="962"/>
        <v>-65141.834956906852</v>
      </c>
      <c r="T233">
        <f t="shared" si="963"/>
        <v>-65.141834956906848</v>
      </c>
    </row>
    <row r="234" spans="1:20" x14ac:dyDescent="0.25">
      <c r="A234" s="5">
        <v>44359</v>
      </c>
      <c r="B234">
        <v>6.096E-2</v>
      </c>
      <c r="C234">
        <v>7.009E-2</v>
      </c>
      <c r="D234">
        <v>5.1700000000000003E-2</v>
      </c>
      <c r="E234">
        <v>5.9499999999999997E-2</v>
      </c>
      <c r="F234">
        <v>966894990.5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-0.15171288743882591</v>
      </c>
      <c r="Q234">
        <f t="shared" si="960"/>
        <v>-146690430.85889116</v>
      </c>
      <c r="R234">
        <f t="shared" si="961"/>
        <v>-6657518016.1307268</v>
      </c>
      <c r="S234">
        <f t="shared" si="962"/>
        <v>-66575.180161307275</v>
      </c>
      <c r="T234">
        <f t="shared" si="963"/>
        <v>-66.575180161307273</v>
      </c>
    </row>
    <row r="235" spans="1:20" x14ac:dyDescent="0.25">
      <c r="A235" s="5">
        <v>44358</v>
      </c>
      <c r="B235">
        <v>7.8350000000000003E-2</v>
      </c>
      <c r="C235">
        <v>8.3070000000000005E-2</v>
      </c>
      <c r="D235">
        <v>6.0589999999999998E-2</v>
      </c>
      <c r="E235">
        <v>6.089E-2</v>
      </c>
      <c r="F235">
        <v>516138071.69999999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-0.97330960854092508</v>
      </c>
      <c r="Q235">
        <f t="shared" si="960"/>
        <v>-502362144.51939493</v>
      </c>
      <c r="R235">
        <f t="shared" si="961"/>
        <v>-6510827585.2718353</v>
      </c>
      <c r="S235">
        <f t="shared" si="962"/>
        <v>-65108.275852718354</v>
      </c>
      <c r="T235">
        <f t="shared" si="963"/>
        <v>-65.10827585271835</v>
      </c>
    </row>
    <row r="236" spans="1:20" x14ac:dyDescent="0.25">
      <c r="A236" s="5">
        <v>44357</v>
      </c>
      <c r="B236">
        <v>7.6689999999999994E-2</v>
      </c>
      <c r="C236">
        <v>9.0759999999999993E-2</v>
      </c>
      <c r="D236">
        <v>6.7400000000000002E-2</v>
      </c>
      <c r="E236">
        <v>7.8350000000000003E-2</v>
      </c>
      <c r="F236">
        <v>1018953398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-6.2499999999999556E-2</v>
      </c>
      <c r="Q236">
        <f t="shared" si="960"/>
        <v>-63684587.374999546</v>
      </c>
      <c r="R236">
        <f t="shared" si="961"/>
        <v>-6008465440.7524405</v>
      </c>
      <c r="S236">
        <f t="shared" si="962"/>
        <v>-60084.654407524402</v>
      </c>
      <c r="T236">
        <f t="shared" si="963"/>
        <v>-60.084654407524404</v>
      </c>
    </row>
    <row r="237" spans="1:20" x14ac:dyDescent="0.25">
      <c r="A237" s="5">
        <v>44356</v>
      </c>
      <c r="B237">
        <v>7.7729999999999994E-2</v>
      </c>
      <c r="C237">
        <v>9.1719999999999996E-2</v>
      </c>
      <c r="D237">
        <v>7.0269999999999999E-2</v>
      </c>
      <c r="E237">
        <v>7.6700000000000004E-2</v>
      </c>
      <c r="F237">
        <v>1642697773.5999999</v>
      </c>
      <c r="G237">
        <v>0</v>
      </c>
      <c r="L237" t="s">
        <v>7</v>
      </c>
      <c r="M237" t="s">
        <v>7</v>
      </c>
      <c r="N237" t="s">
        <v>8</v>
      </c>
      <c r="P237">
        <f t="shared" si="959"/>
        <v>-0.40046620046619991</v>
      </c>
      <c r="Q237">
        <f t="shared" si="960"/>
        <v>-657844935.9078778</v>
      </c>
      <c r="R237">
        <f t="shared" si="961"/>
        <v>-5944780853.3774405</v>
      </c>
      <c r="S237">
        <f t="shared" si="962"/>
        <v>-59447.808533774405</v>
      </c>
      <c r="T237">
        <f t="shared" si="963"/>
        <v>-59.447808533774406</v>
      </c>
    </row>
    <row r="238" spans="1:20" x14ac:dyDescent="0.25">
      <c r="A238" s="5">
        <v>44355</v>
      </c>
      <c r="B238">
        <v>5.4949999999999999E-2</v>
      </c>
      <c r="C238">
        <v>9.4200000000000006E-2</v>
      </c>
      <c r="D238">
        <v>4.9509999999999998E-2</v>
      </c>
      <c r="E238">
        <v>7.825E-2</v>
      </c>
      <c r="F238">
        <v>2658785553.5999999</v>
      </c>
      <c r="G238">
        <v>0</v>
      </c>
      <c r="L238" t="s">
        <v>8</v>
      </c>
      <c r="M238" t="s">
        <v>8</v>
      </c>
      <c r="N238" t="s">
        <v>8</v>
      </c>
      <c r="P238">
        <f t="shared" si="959"/>
        <v>0.28619377936898621</v>
      </c>
      <c r="Q238">
        <f t="shared" si="960"/>
        <v>760927886.11644626</v>
      </c>
      <c r="R238">
        <f t="shared" si="961"/>
        <v>-5286935917.4695625</v>
      </c>
      <c r="S238">
        <f t="shared" si="962"/>
        <v>-52869.359174695623</v>
      </c>
      <c r="T238">
        <f t="shared" si="963"/>
        <v>-52.869359174695624</v>
      </c>
    </row>
    <row r="239" spans="1:20" x14ac:dyDescent="0.25">
      <c r="A239" s="5">
        <v>44354</v>
      </c>
      <c r="B239">
        <v>4.5999999999999999E-2</v>
      </c>
      <c r="C239">
        <v>6.5930000000000002E-2</v>
      </c>
      <c r="D239">
        <v>4.4909999999999999E-2</v>
      </c>
      <c r="E239">
        <v>5.4969999999999998E-2</v>
      </c>
      <c r="F239">
        <v>1034594960.4</v>
      </c>
      <c r="G239">
        <v>0</v>
      </c>
      <c r="L239" t="s">
        <v>8</v>
      </c>
      <c r="M239" t="s">
        <v>8</v>
      </c>
      <c r="N239" t="s">
        <v>8</v>
      </c>
      <c r="P239">
        <f t="shared" si="959"/>
        <v>-4.281636536631802E-2</v>
      </c>
      <c r="Q239">
        <f t="shared" si="960"/>
        <v>-44297595.830637723</v>
      </c>
      <c r="R239">
        <f t="shared" si="961"/>
        <v>-6047863803.586009</v>
      </c>
      <c r="S239">
        <f t="shared" si="962"/>
        <v>-60478.638035860087</v>
      </c>
      <c r="T239">
        <f t="shared" si="963"/>
        <v>-60.478638035860087</v>
      </c>
    </row>
    <row r="240" spans="1:20" x14ac:dyDescent="0.25">
      <c r="A240" s="5">
        <v>44353</v>
      </c>
      <c r="B240">
        <v>3.884E-2</v>
      </c>
      <c r="C240">
        <v>5.7939999999999998E-2</v>
      </c>
      <c r="D240">
        <v>3.6850000000000001E-2</v>
      </c>
      <c r="E240">
        <v>4.5929999999999999E-2</v>
      </c>
      <c r="F240">
        <v>1111142246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-0.13892840208629695</v>
      </c>
      <c r="Q240">
        <f t="shared" si="960"/>
        <v>-154369216.72735909</v>
      </c>
      <c r="R240">
        <f t="shared" si="961"/>
        <v>-6003566207.7553711</v>
      </c>
      <c r="S240">
        <f t="shared" si="962"/>
        <v>-60035.662077553709</v>
      </c>
      <c r="T240">
        <f t="shared" si="963"/>
        <v>-60.03566207755371</v>
      </c>
    </row>
    <row r="241" spans="1:20" x14ac:dyDescent="0.25">
      <c r="A241" s="5">
        <v>44352</v>
      </c>
      <c r="B241">
        <v>3.1629999999999998E-2</v>
      </c>
      <c r="C241">
        <v>4.7710000000000002E-2</v>
      </c>
      <c r="D241">
        <v>3.031E-2</v>
      </c>
      <c r="E241">
        <v>3.8739999999999997E-2</v>
      </c>
      <c r="F241">
        <v>704951335.10000002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-3.1034482758621217E-2</v>
      </c>
      <c r="Q241">
        <f t="shared" si="960"/>
        <v>-21877800.054827958</v>
      </c>
      <c r="R241">
        <f t="shared" si="961"/>
        <v>-5849196991.0280123</v>
      </c>
      <c r="S241">
        <f t="shared" si="962"/>
        <v>-58491.969910280124</v>
      </c>
      <c r="T241">
        <f t="shared" si="963"/>
        <v>-58.491969910280126</v>
      </c>
    </row>
    <row r="242" spans="1:20" x14ac:dyDescent="0.25">
      <c r="A242" s="5">
        <v>44351</v>
      </c>
      <c r="B242">
        <v>3.569E-2</v>
      </c>
      <c r="C242">
        <v>3.569E-2</v>
      </c>
      <c r="D242">
        <v>0.03</v>
      </c>
      <c r="E242">
        <v>3.1850000000000003E-2</v>
      </c>
      <c r="F242">
        <v>41789091.100000001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-0.3497363796133553</v>
      </c>
      <c r="Q242">
        <f t="shared" si="960"/>
        <v>-14615165.428646687</v>
      </c>
      <c r="R242">
        <f t="shared" si="961"/>
        <v>-5827319190.9731846</v>
      </c>
      <c r="S242">
        <f t="shared" si="962"/>
        <v>-58273.191909731846</v>
      </c>
      <c r="T242">
        <f t="shared" si="963"/>
        <v>-58.273191909731842</v>
      </c>
    </row>
    <row r="243" spans="1:20" x14ac:dyDescent="0.25">
      <c r="A243" s="5">
        <v>44350</v>
      </c>
      <c r="B243">
        <v>3.4119999999999998E-2</v>
      </c>
      <c r="C243">
        <v>3.6150000000000002E-2</v>
      </c>
      <c r="D243">
        <v>3.3590000000000002E-2</v>
      </c>
      <c r="E243">
        <v>3.5639999999999998E-2</v>
      </c>
      <c r="F243">
        <v>52436236.100000001</v>
      </c>
      <c r="G243">
        <v>0</v>
      </c>
      <c r="L243" t="s">
        <v>8</v>
      </c>
      <c r="M243" t="s">
        <v>7</v>
      </c>
      <c r="N243" t="s">
        <v>8</v>
      </c>
      <c r="P243">
        <f t="shared" si="959"/>
        <v>0.60156249999999722</v>
      </c>
      <c r="Q243">
        <f t="shared" si="960"/>
        <v>31543673.278906107</v>
      </c>
      <c r="R243">
        <f t="shared" si="961"/>
        <v>-5812704025.5445375</v>
      </c>
      <c r="S243">
        <f t="shared" si="962"/>
        <v>-58127.040255445376</v>
      </c>
      <c r="T243">
        <f t="shared" si="963"/>
        <v>-58.127040255445372</v>
      </c>
    </row>
    <row r="244" spans="1:20" x14ac:dyDescent="0.25">
      <c r="A244" s="5">
        <v>44349</v>
      </c>
      <c r="B244">
        <v>3.372E-2</v>
      </c>
      <c r="C244">
        <v>3.5069999999999997E-2</v>
      </c>
      <c r="D244">
        <v>3.2730000000000002E-2</v>
      </c>
      <c r="E244">
        <v>3.4169999999999999E-2</v>
      </c>
      <c r="F244">
        <v>72284546.700000003</v>
      </c>
      <c r="G244">
        <v>0</v>
      </c>
      <c r="L244" t="s">
        <v>7</v>
      </c>
      <c r="M244" t="s">
        <v>7</v>
      </c>
      <c r="N244" t="s">
        <v>8</v>
      </c>
      <c r="P244">
        <f t="shared" si="959"/>
        <v>0.23076923076923078</v>
      </c>
      <c r="Q244">
        <f t="shared" si="960"/>
        <v>16681049.238461539</v>
      </c>
      <c r="R244">
        <f t="shared" si="961"/>
        <v>-5844247698.8234434</v>
      </c>
      <c r="S244">
        <f t="shared" si="962"/>
        <v>-58442.476988234434</v>
      </c>
      <c r="T244">
        <f t="shared" si="963"/>
        <v>-58.442476988234432</v>
      </c>
    </row>
    <row r="245" spans="1:20" x14ac:dyDescent="0.25">
      <c r="A245" s="5">
        <v>44348</v>
      </c>
      <c r="B245">
        <v>3.6799999999999999E-2</v>
      </c>
      <c r="C245">
        <v>3.798E-2</v>
      </c>
      <c r="D245">
        <v>3.2649999999999998E-2</v>
      </c>
      <c r="E245">
        <v>3.3849999999999998E-2</v>
      </c>
      <c r="F245">
        <v>100178194.59999999</v>
      </c>
      <c r="G245">
        <v>0</v>
      </c>
      <c r="L245" t="s">
        <v>8</v>
      </c>
      <c r="M245" t="s">
        <v>7</v>
      </c>
      <c r="N245" t="s">
        <v>8</v>
      </c>
      <c r="P245">
        <f t="shared" si="959"/>
        <v>-0.5497185741088183</v>
      </c>
      <c r="Q245">
        <f t="shared" si="960"/>
        <v>-55069814.29230772</v>
      </c>
      <c r="R245">
        <f t="shared" si="961"/>
        <v>-5860928748.0619049</v>
      </c>
      <c r="S245">
        <f t="shared" si="962"/>
        <v>-58609.287480619052</v>
      </c>
      <c r="T245">
        <f t="shared" si="963"/>
        <v>-58.609287480619052</v>
      </c>
    </row>
    <row r="246" spans="1:20" x14ac:dyDescent="0.25">
      <c r="A246" s="5">
        <v>44347</v>
      </c>
      <c r="B246">
        <v>3.5270000000000003E-2</v>
      </c>
      <c r="C246">
        <v>3.78E-2</v>
      </c>
      <c r="D246">
        <v>3.2739999999999998E-2</v>
      </c>
      <c r="E246">
        <v>3.6799999999999999E-2</v>
      </c>
      <c r="F246">
        <v>80643635.299999997</v>
      </c>
      <c r="G246">
        <v>0</v>
      </c>
      <c r="L246" t="s">
        <v>7</v>
      </c>
      <c r="M246" t="s">
        <v>7</v>
      </c>
      <c r="N246" t="s">
        <v>8</v>
      </c>
      <c r="P246">
        <f t="shared" si="959"/>
        <v>0.60474308300395241</v>
      </c>
      <c r="Q246">
        <f t="shared" si="960"/>
        <v>48768680.635968365</v>
      </c>
      <c r="R246">
        <f t="shared" si="961"/>
        <v>-5805858933.7695971</v>
      </c>
      <c r="S246">
        <f t="shared" si="962"/>
        <v>-58058.589337695972</v>
      </c>
      <c r="T246">
        <f t="shared" si="963"/>
        <v>-58.05858933769597</v>
      </c>
    </row>
    <row r="247" spans="1:20" x14ac:dyDescent="0.25">
      <c r="A247" s="5">
        <v>44346</v>
      </c>
      <c r="B247">
        <v>3.2649999999999998E-2</v>
      </c>
      <c r="C247">
        <v>4.1700000000000001E-2</v>
      </c>
      <c r="D247">
        <v>3.0360000000000002E-2</v>
      </c>
      <c r="E247">
        <v>3.526E-2</v>
      </c>
      <c r="F247">
        <v>296744576.39999998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-0.13580246913580277</v>
      </c>
      <c r="Q247">
        <f t="shared" si="960"/>
        <v>-40298646.177777864</v>
      </c>
      <c r="R247">
        <f t="shared" si="961"/>
        <v>-5854627614.4055653</v>
      </c>
      <c r="S247">
        <f t="shared" si="962"/>
        <v>-58546.27614405565</v>
      </c>
      <c r="T247">
        <f t="shared" si="963"/>
        <v>-58.546276144055646</v>
      </c>
    </row>
    <row r="248" spans="1:20" x14ac:dyDescent="0.25">
      <c r="A248" s="5">
        <v>44345</v>
      </c>
      <c r="B248">
        <v>2.8979999999999999E-2</v>
      </c>
      <c r="C248">
        <v>3.6360000000000003E-2</v>
      </c>
      <c r="D248">
        <v>2.8660000000000001E-2</v>
      </c>
      <c r="E248">
        <v>3.279E-2</v>
      </c>
      <c r="F248">
        <v>198810564.19999999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7.2727272727272002E-2</v>
      </c>
      <c r="Q248">
        <f t="shared" si="960"/>
        <v>14458950.123636218</v>
      </c>
      <c r="R248">
        <f t="shared" si="961"/>
        <v>-5814328968.227787</v>
      </c>
      <c r="S248">
        <f t="shared" si="962"/>
        <v>-58143.289682277871</v>
      </c>
      <c r="T248">
        <f t="shared" si="963"/>
        <v>-58.143289682277874</v>
      </c>
    </row>
    <row r="249" spans="1:20" x14ac:dyDescent="0.25">
      <c r="A249" s="5">
        <v>44344</v>
      </c>
      <c r="B249">
        <v>3.4020000000000002E-2</v>
      </c>
      <c r="C249">
        <v>3.4759999999999999E-2</v>
      </c>
      <c r="D249">
        <v>2.7E-2</v>
      </c>
      <c r="E249">
        <v>2.8989999999999998E-2</v>
      </c>
      <c r="F249">
        <v>64918426.200000003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-0.48711340206185599</v>
      </c>
      <c r="Q249">
        <f t="shared" si="960"/>
        <v>-31622635.442783527</v>
      </c>
      <c r="R249">
        <f t="shared" si="961"/>
        <v>-5828787918.3514233</v>
      </c>
      <c r="S249">
        <f t="shared" si="962"/>
        <v>-58287.879183514233</v>
      </c>
      <c r="T249">
        <f t="shared" si="963"/>
        <v>-58.287879183514235</v>
      </c>
    </row>
    <row r="250" spans="1:20" x14ac:dyDescent="0.25">
      <c r="A250" s="5">
        <v>44343</v>
      </c>
      <c r="B250">
        <v>3.5659999999999997E-2</v>
      </c>
      <c r="C250">
        <v>3.585E-2</v>
      </c>
      <c r="D250">
        <v>3.1289999999999998E-2</v>
      </c>
      <c r="E250">
        <v>3.4029999999999998E-2</v>
      </c>
      <c r="F250">
        <v>57406926.399999999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0.2017543859649116</v>
      </c>
      <c r="Q250">
        <f t="shared" si="960"/>
        <v>11582099.185964873</v>
      </c>
      <c r="R250">
        <f t="shared" si="961"/>
        <v>-5797165282.9086399</v>
      </c>
      <c r="S250">
        <f t="shared" si="962"/>
        <v>-57971.652829086401</v>
      </c>
      <c r="T250">
        <f t="shared" si="963"/>
        <v>-57.971652829086402</v>
      </c>
    </row>
    <row r="251" spans="1:20" x14ac:dyDescent="0.25">
      <c r="A251" s="5">
        <v>44342</v>
      </c>
      <c r="B251">
        <v>3.1289999999999998E-2</v>
      </c>
      <c r="C251">
        <v>3.5819999999999998E-2</v>
      </c>
      <c r="D251">
        <v>3.1189999999999999E-2</v>
      </c>
      <c r="E251">
        <v>3.5540000000000002E-2</v>
      </c>
      <c r="F251">
        <v>190658860.40000001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0.87904967602591977</v>
      </c>
      <c r="Q251">
        <f t="shared" si="960"/>
        <v>167598609.46609107</v>
      </c>
      <c r="R251">
        <f t="shared" si="961"/>
        <v>-5808747382.0946045</v>
      </c>
      <c r="S251">
        <f t="shared" si="962"/>
        <v>-58087.473820946048</v>
      </c>
      <c r="T251">
        <f t="shared" si="963"/>
        <v>-58.087473820946052</v>
      </c>
    </row>
    <row r="252" spans="1:20" x14ac:dyDescent="0.25">
      <c r="A252" s="5">
        <v>44341</v>
      </c>
      <c r="B252">
        <v>2.9770000000000001E-2</v>
      </c>
      <c r="C252">
        <v>3.4000000000000002E-2</v>
      </c>
      <c r="D252">
        <v>2.6120000000000001E-2</v>
      </c>
      <c r="E252">
        <v>3.1300000000000001E-2</v>
      </c>
      <c r="F252">
        <v>184929221.69999999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0.31472081218274101</v>
      </c>
      <c r="Q252">
        <f t="shared" si="960"/>
        <v>58201074.849746168</v>
      </c>
      <c r="R252">
        <f t="shared" si="961"/>
        <v>-5976345991.5606956</v>
      </c>
      <c r="S252">
        <f t="shared" si="962"/>
        <v>-59763.45991560696</v>
      </c>
      <c r="T252">
        <f t="shared" si="963"/>
        <v>-59.763459915606958</v>
      </c>
    </row>
    <row r="253" spans="1:20" x14ac:dyDescent="0.25">
      <c r="A253" s="5">
        <v>44340</v>
      </c>
      <c r="B253">
        <v>2.452E-2</v>
      </c>
      <c r="C253">
        <v>2.9790000000000001E-2</v>
      </c>
      <c r="D253">
        <v>2.308E-2</v>
      </c>
      <c r="E253">
        <v>2.964E-2</v>
      </c>
      <c r="F253">
        <v>105119836.5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0.95529061102831569</v>
      </c>
      <c r="Q253">
        <f t="shared" si="960"/>
        <v>100419992.84128164</v>
      </c>
      <c r="R253">
        <f t="shared" si="961"/>
        <v>-6034547066.4104414</v>
      </c>
      <c r="S253">
        <f t="shared" si="962"/>
        <v>-60345.47066410441</v>
      </c>
      <c r="T253">
        <f t="shared" si="963"/>
        <v>-60.345470664104411</v>
      </c>
    </row>
    <row r="254" spans="1:20" x14ac:dyDescent="0.25">
      <c r="A254" s="5">
        <v>44339</v>
      </c>
      <c r="B254">
        <v>2.8060000000000002E-2</v>
      </c>
      <c r="C254">
        <v>2.9229999999999999E-2</v>
      </c>
      <c r="D254">
        <v>1.7999999999999999E-2</v>
      </c>
      <c r="E254">
        <v>2.4420000000000001E-2</v>
      </c>
      <c r="F254">
        <v>130233982.3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0.14336598397150524</v>
      </c>
      <c r="Q254">
        <f t="shared" si="960"/>
        <v>18671123.018967096</v>
      </c>
      <c r="R254">
        <f t="shared" si="961"/>
        <v>-6134967059.2517233</v>
      </c>
      <c r="S254">
        <f t="shared" si="962"/>
        <v>-61349.670592517235</v>
      </c>
      <c r="T254">
        <f t="shared" si="963"/>
        <v>-61.349670592517235</v>
      </c>
    </row>
    <row r="255" spans="1:20" x14ac:dyDescent="0.25">
      <c r="A255" s="5">
        <v>44338</v>
      </c>
      <c r="B255">
        <v>3.2009999999999997E-2</v>
      </c>
      <c r="C255">
        <v>3.252E-2</v>
      </c>
      <c r="D255">
        <v>2.6859999999999998E-2</v>
      </c>
      <c r="E255">
        <v>2.8160000000000001E-2</v>
      </c>
      <c r="F255">
        <v>91937181.900000006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-0.54063604240282614</v>
      </c>
      <c r="Q255">
        <f t="shared" si="960"/>
        <v>-49704554.172084741</v>
      </c>
      <c r="R255">
        <f t="shared" si="961"/>
        <v>-6153638182.27069</v>
      </c>
      <c r="S255">
        <f t="shared" si="962"/>
        <v>-61536.381822706899</v>
      </c>
      <c r="T255">
        <f t="shared" si="963"/>
        <v>-61.5363818227069</v>
      </c>
    </row>
    <row r="256" spans="1:20" x14ac:dyDescent="0.25">
      <c r="A256" s="5">
        <v>44337</v>
      </c>
      <c r="B256">
        <v>3.9100000000000003E-2</v>
      </c>
      <c r="C256">
        <v>4.0739999999999998E-2</v>
      </c>
      <c r="D256">
        <v>2.7119999999999998E-2</v>
      </c>
      <c r="E256">
        <v>3.1960000000000002E-2</v>
      </c>
      <c r="F256">
        <v>99337308.599999994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-0.2892804698972094</v>
      </c>
      <c r="Q256">
        <f t="shared" si="960"/>
        <v>-28736343.310132097</v>
      </c>
      <c r="R256">
        <f t="shared" si="961"/>
        <v>-6103933628.0986052</v>
      </c>
      <c r="S256">
        <f t="shared" si="962"/>
        <v>-61039.336280986048</v>
      </c>
      <c r="T256">
        <f t="shared" si="963"/>
        <v>-61.039336280986049</v>
      </c>
    </row>
    <row r="257" spans="1:20" x14ac:dyDescent="0.25">
      <c r="A257" s="5">
        <v>44336</v>
      </c>
      <c r="B257">
        <v>3.3399999999999999E-2</v>
      </c>
      <c r="C257">
        <v>4.1590000000000002E-2</v>
      </c>
      <c r="D257">
        <v>3.0290000000000001E-2</v>
      </c>
      <c r="E257">
        <v>3.9219999999999998E-2</v>
      </c>
      <c r="F257">
        <v>81814064.400000006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0.58053097345132676</v>
      </c>
      <c r="Q257">
        <f t="shared" si="960"/>
        <v>47495598.448141538</v>
      </c>
      <c r="R257">
        <f t="shared" si="961"/>
        <v>-6075197284.7884731</v>
      </c>
      <c r="S257">
        <f t="shared" si="962"/>
        <v>-60751.972847884732</v>
      </c>
      <c r="T257">
        <f t="shared" si="963"/>
        <v>-60.75197284788473</v>
      </c>
    </row>
    <row r="258" spans="1:20" x14ac:dyDescent="0.25">
      <c r="A258" s="5">
        <v>44335</v>
      </c>
      <c r="B258">
        <v>5.4300000000000001E-2</v>
      </c>
      <c r="C258">
        <v>5.5129999999999998E-2</v>
      </c>
      <c r="D258">
        <v>2.682E-2</v>
      </c>
      <c r="E258">
        <v>3.3419999999999998E-2</v>
      </c>
      <c r="F258">
        <v>189204111.09999999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-0.53373366301660197</v>
      </c>
      <c r="Q258">
        <f t="shared" si="960"/>
        <v>-100984603.27520312</v>
      </c>
      <c r="R258">
        <f t="shared" si="961"/>
        <v>-6122692883.2366142</v>
      </c>
      <c r="S258">
        <f t="shared" si="962"/>
        <v>-61226.928832366146</v>
      </c>
      <c r="T258">
        <f t="shared" si="963"/>
        <v>-61.226928832366148</v>
      </c>
    </row>
    <row r="259" spans="1:20" x14ac:dyDescent="0.25">
      <c r="A259" s="5">
        <v>44334</v>
      </c>
      <c r="B259">
        <v>5.5109999999999999E-2</v>
      </c>
      <c r="C259">
        <v>5.8540000000000002E-2</v>
      </c>
      <c r="D259">
        <v>5.2159999999999998E-2</v>
      </c>
      <c r="E259">
        <v>5.4390000000000001E-2</v>
      </c>
      <c r="F259">
        <v>96055205.400000006</v>
      </c>
      <c r="G259">
        <v>0</v>
      </c>
      <c r="L259" t="s">
        <v>7</v>
      </c>
      <c r="M259" t="s">
        <v>7</v>
      </c>
      <c r="N259" t="s">
        <v>7</v>
      </c>
      <c r="P259">
        <f t="shared" si="959"/>
        <v>-0.30094043887147287</v>
      </c>
      <c r="Q259">
        <f t="shared" si="960"/>
        <v>-28906895.668965474</v>
      </c>
      <c r="R259">
        <f t="shared" si="961"/>
        <v>-6021708279.9614115</v>
      </c>
      <c r="S259">
        <f t="shared" si="962"/>
        <v>-60217.082799614116</v>
      </c>
      <c r="T259">
        <f t="shared" si="963"/>
        <v>-60.217082799614118</v>
      </c>
    </row>
    <row r="260" spans="1:20" x14ac:dyDescent="0.25">
      <c r="A260" s="5">
        <v>44333</v>
      </c>
      <c r="B260">
        <v>6.2799999999999995E-2</v>
      </c>
      <c r="C260">
        <v>6.2990000000000004E-2</v>
      </c>
      <c r="D260">
        <v>5.2970000000000003E-2</v>
      </c>
      <c r="E260">
        <v>5.5059999999999998E-2</v>
      </c>
      <c r="F260">
        <v>177375408.59999999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-0.58283433133732643</v>
      </c>
      <c r="Q260">
        <f t="shared" si="960"/>
        <v>-103380477.66706605</v>
      </c>
      <c r="R260">
        <f t="shared" si="961"/>
        <v>-5992801384.2924461</v>
      </c>
      <c r="S260">
        <f t="shared" si="962"/>
        <v>-59928.013842924462</v>
      </c>
      <c r="T260">
        <f t="shared" si="963"/>
        <v>-59.928013842924464</v>
      </c>
    </row>
    <row r="261" spans="1:20" x14ac:dyDescent="0.25">
      <c r="A261" s="5">
        <v>44332</v>
      </c>
      <c r="B261">
        <v>5.6120000000000003E-2</v>
      </c>
      <c r="C261">
        <v>7.9820000000000002E-2</v>
      </c>
      <c r="D261">
        <v>5.5780000000000003E-2</v>
      </c>
      <c r="E261">
        <v>6.2799999999999995E-2</v>
      </c>
      <c r="F261">
        <v>542424527.89999998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-0.41597337770382764</v>
      </c>
      <c r="Q261">
        <f t="shared" si="960"/>
        <v>-225634163.01996708</v>
      </c>
      <c r="R261">
        <f t="shared" si="961"/>
        <v>-5889420906.6253805</v>
      </c>
      <c r="S261">
        <f t="shared" si="962"/>
        <v>-58894.209066253803</v>
      </c>
      <c r="T261">
        <f t="shared" si="963"/>
        <v>-58.894209066253801</v>
      </c>
    </row>
    <row r="262" spans="1:20" x14ac:dyDescent="0.25">
      <c r="A262" s="5">
        <v>44331</v>
      </c>
      <c r="B262">
        <v>6.0920000000000002E-2</v>
      </c>
      <c r="C262">
        <v>6.1460000000000001E-2</v>
      </c>
      <c r="D262">
        <v>5.5E-2</v>
      </c>
      <c r="E262">
        <v>5.6120000000000003E-2</v>
      </c>
      <c r="F262">
        <v>55719688.600000001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-0.65325077399380715</v>
      </c>
      <c r="Q262">
        <f t="shared" ref="Q262:Q325" si="965">F262*P262</f>
        <v>-36398929.704643913</v>
      </c>
      <c r="R262">
        <f t="shared" ref="R262:R325" si="966">R263+Q262</f>
        <v>-5663786743.6054134</v>
      </c>
      <c r="S262">
        <f t="shared" ref="S262:S325" si="967">R262/100000</f>
        <v>-56637.867436054134</v>
      </c>
      <c r="T262">
        <f t="shared" ref="T262:T325" si="968">S262/1000</f>
        <v>-56.637867436054137</v>
      </c>
    </row>
    <row r="263" spans="1:20" x14ac:dyDescent="0.25">
      <c r="A263" s="5">
        <v>44330</v>
      </c>
      <c r="B263">
        <v>5.7450000000000001E-2</v>
      </c>
      <c r="C263">
        <v>6.5280000000000005E-2</v>
      </c>
      <c r="D263">
        <v>5.6189999999999997E-2</v>
      </c>
      <c r="E263">
        <v>6.0810000000000003E-2</v>
      </c>
      <c r="F263">
        <v>58913236.600000001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1.6501650165016962E-2</v>
      </c>
      <c r="Q263">
        <f t="shared" si="965"/>
        <v>972165.62046207336</v>
      </c>
      <c r="R263">
        <f t="shared" si="966"/>
        <v>-5627387813.9007692</v>
      </c>
      <c r="S263">
        <f t="shared" si="967"/>
        <v>-56273.878139007691</v>
      </c>
      <c r="T263">
        <f t="shared" si="968"/>
        <v>-56.273878139007692</v>
      </c>
    </row>
    <row r="264" spans="1:20" x14ac:dyDescent="0.25">
      <c r="A264" s="5">
        <v>44329</v>
      </c>
      <c r="B264">
        <v>5.7180000000000002E-2</v>
      </c>
      <c r="C264">
        <v>6.2190000000000002E-2</v>
      </c>
      <c r="D264">
        <v>5.3010000000000002E-2</v>
      </c>
      <c r="E264">
        <v>5.7549999999999997E-2</v>
      </c>
      <c r="F264">
        <v>83606215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-1.0893246187364902E-2</v>
      </c>
      <c r="Q264">
        <f t="shared" si="965"/>
        <v>-910743.08278876031</v>
      </c>
      <c r="R264">
        <f t="shared" si="966"/>
        <v>-5628359979.5212317</v>
      </c>
      <c r="S264">
        <f t="shared" si="967"/>
        <v>-56283.599795212314</v>
      </c>
      <c r="T264">
        <f t="shared" si="968"/>
        <v>-56.283599795212311</v>
      </c>
    </row>
    <row r="265" spans="1:20" x14ac:dyDescent="0.25">
      <c r="A265" s="5">
        <v>44328</v>
      </c>
      <c r="B265">
        <v>7.1110000000000007E-2</v>
      </c>
      <c r="C265">
        <v>7.2470000000000007E-2</v>
      </c>
      <c r="D265">
        <v>5.6300000000000003E-2</v>
      </c>
      <c r="E265">
        <v>5.7209999999999997E-2</v>
      </c>
      <c r="F265">
        <v>65694583.600000001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-0.88744588744588815</v>
      </c>
      <c r="Q265">
        <f t="shared" si="965"/>
        <v>-58300388.043290094</v>
      </c>
      <c r="R265">
        <f t="shared" si="966"/>
        <v>-5627449236.4384432</v>
      </c>
      <c r="S265">
        <f t="shared" si="967"/>
        <v>-56274.49236438443</v>
      </c>
      <c r="T265">
        <f t="shared" si="968"/>
        <v>-56.274492364384429</v>
      </c>
    </row>
    <row r="266" spans="1:20" x14ac:dyDescent="0.25">
      <c r="A266" s="5">
        <v>44327</v>
      </c>
      <c r="B266">
        <v>6.7559999999999995E-2</v>
      </c>
      <c r="C266">
        <v>7.1809999999999999E-2</v>
      </c>
      <c r="D266">
        <v>6.4420000000000005E-2</v>
      </c>
      <c r="E266">
        <v>7.1190000000000003E-2</v>
      </c>
      <c r="F266">
        <v>68099341.299999997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0.8322056833558874</v>
      </c>
      <c r="Q266">
        <f t="shared" si="965"/>
        <v>56672658.862652302</v>
      </c>
      <c r="R266">
        <f t="shared" si="966"/>
        <v>-5569148848.395153</v>
      </c>
      <c r="S266">
        <f t="shared" si="967"/>
        <v>-55691.488483951529</v>
      </c>
      <c r="T266">
        <f t="shared" si="968"/>
        <v>-55.691488483951531</v>
      </c>
    </row>
    <row r="267" spans="1:20" x14ac:dyDescent="0.25">
      <c r="A267" s="5">
        <v>44326</v>
      </c>
      <c r="B267">
        <v>7.6920000000000002E-2</v>
      </c>
      <c r="C267">
        <v>8.0500000000000002E-2</v>
      </c>
      <c r="D267">
        <v>6.4399999999999999E-2</v>
      </c>
      <c r="E267">
        <v>6.762E-2</v>
      </c>
      <c r="F267">
        <v>99631124.799999997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</v>
      </c>
      <c r="Q267">
        <f t="shared" si="965"/>
        <v>-59778674.879999995</v>
      </c>
      <c r="R267">
        <f t="shared" si="966"/>
        <v>-5625821507.2578049</v>
      </c>
      <c r="S267">
        <f t="shared" si="967"/>
        <v>-56258.215072578052</v>
      </c>
      <c r="T267">
        <f t="shared" si="968"/>
        <v>-56.258215072578054</v>
      </c>
    </row>
    <row r="268" spans="1:20" x14ac:dyDescent="0.25">
      <c r="A268" s="5">
        <v>44325</v>
      </c>
      <c r="B268">
        <v>8.1989999999999993E-2</v>
      </c>
      <c r="C268">
        <v>8.2320000000000004E-2</v>
      </c>
      <c r="D268">
        <v>7.2999999999999995E-2</v>
      </c>
      <c r="E268">
        <v>7.6829999999999996E-2</v>
      </c>
      <c r="F268">
        <v>81117541.799999997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-0.17811158798283339</v>
      </c>
      <c r="Q268">
        <f t="shared" si="965"/>
        <v>-14447974.183261864</v>
      </c>
      <c r="R268">
        <f t="shared" si="966"/>
        <v>-5566042832.3778048</v>
      </c>
      <c r="S268">
        <f t="shared" si="967"/>
        <v>-55660.428323778047</v>
      </c>
      <c r="T268">
        <f t="shared" si="968"/>
        <v>-55.660428323778049</v>
      </c>
    </row>
    <row r="269" spans="1:20" x14ac:dyDescent="0.25">
      <c r="A269" s="5">
        <v>44324</v>
      </c>
      <c r="B269">
        <v>7.9969999999999999E-2</v>
      </c>
      <c r="C269">
        <v>8.5000000000000006E-2</v>
      </c>
      <c r="D269">
        <v>7.7929999999999999E-2</v>
      </c>
      <c r="E269">
        <v>8.1989999999999993E-2</v>
      </c>
      <c r="F269">
        <v>77245262.099999994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0.14851485148514576</v>
      </c>
      <c r="Q269">
        <f t="shared" si="965"/>
        <v>11472068.628712658</v>
      </c>
      <c r="R269">
        <f t="shared" si="966"/>
        <v>-5551594858.1945429</v>
      </c>
      <c r="S269">
        <f t="shared" si="967"/>
        <v>-55515.948581945428</v>
      </c>
      <c r="T269">
        <f t="shared" si="968"/>
        <v>-55.51594858194543</v>
      </c>
    </row>
    <row r="270" spans="1:20" x14ac:dyDescent="0.25">
      <c r="A270" s="5">
        <v>44323</v>
      </c>
      <c r="B270">
        <v>7.9189999999999997E-2</v>
      </c>
      <c r="C270">
        <v>9.0929999999999997E-2</v>
      </c>
      <c r="D270">
        <v>7.5800000000000006E-2</v>
      </c>
      <c r="E270">
        <v>7.9990000000000006E-2</v>
      </c>
      <c r="F270">
        <v>190726378.19999999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-0.44613350958360848</v>
      </c>
      <c r="Q270">
        <f t="shared" si="965"/>
        <v>-85089428.476536632</v>
      </c>
      <c r="R270">
        <f t="shared" si="966"/>
        <v>-5563066926.8232555</v>
      </c>
      <c r="S270">
        <f t="shared" si="967"/>
        <v>-55630.669268232552</v>
      </c>
      <c r="T270">
        <f t="shared" si="968"/>
        <v>-55.630669268232552</v>
      </c>
    </row>
    <row r="271" spans="1:20" x14ac:dyDescent="0.25">
      <c r="A271" s="5">
        <v>44322</v>
      </c>
      <c r="B271">
        <v>8.158E-2</v>
      </c>
      <c r="C271">
        <v>8.6440000000000003E-2</v>
      </c>
      <c r="D271">
        <v>7.6249999999999998E-2</v>
      </c>
      <c r="E271">
        <v>7.9200000000000007E-2</v>
      </c>
      <c r="F271">
        <v>105486784.09999999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-0.42100098135426756</v>
      </c>
      <c r="Q271">
        <f t="shared" si="965"/>
        <v>-44410039.626005746</v>
      </c>
      <c r="R271">
        <f t="shared" si="966"/>
        <v>-5477977498.3467188</v>
      </c>
      <c r="S271">
        <f t="shared" si="967"/>
        <v>-54779.774983467185</v>
      </c>
      <c r="T271">
        <f t="shared" si="968"/>
        <v>-54.779774983467185</v>
      </c>
    </row>
    <row r="272" spans="1:20" x14ac:dyDescent="0.25">
      <c r="A272" s="5">
        <v>44321</v>
      </c>
      <c r="B272">
        <v>7.6869999999999994E-2</v>
      </c>
      <c r="C272">
        <v>8.5889999999999994E-2</v>
      </c>
      <c r="D272">
        <v>7.6369999999999993E-2</v>
      </c>
      <c r="E272">
        <v>8.1470000000000001E-2</v>
      </c>
      <c r="F272">
        <v>107345967.3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7.1428571428572882E-2</v>
      </c>
      <c r="Q272">
        <f t="shared" si="965"/>
        <v>7667569.0928572984</v>
      </c>
      <c r="R272">
        <f t="shared" si="966"/>
        <v>-5433567458.7207127</v>
      </c>
      <c r="S272">
        <f t="shared" si="967"/>
        <v>-54335.674587207126</v>
      </c>
      <c r="T272">
        <f t="shared" si="968"/>
        <v>-54.335674587207123</v>
      </c>
    </row>
    <row r="273" spans="1:20" x14ac:dyDescent="0.25">
      <c r="A273" s="5">
        <v>44320</v>
      </c>
      <c r="B273">
        <v>9.0359999999999996E-2</v>
      </c>
      <c r="C273">
        <v>9.0469999999999995E-2</v>
      </c>
      <c r="D273">
        <v>7.5579999999999994E-2</v>
      </c>
      <c r="E273">
        <v>7.689E-2</v>
      </c>
      <c r="F273">
        <v>157114080.5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-0.82404298186702407</v>
      </c>
      <c r="Q273">
        <f t="shared" si="965"/>
        <v>-129468755.38851567</v>
      </c>
      <c r="R273">
        <f t="shared" si="966"/>
        <v>-5441235027.81357</v>
      </c>
      <c r="S273">
        <f t="shared" si="967"/>
        <v>-54412.350278135702</v>
      </c>
      <c r="T273">
        <f t="shared" si="968"/>
        <v>-54.412350278135705</v>
      </c>
    </row>
    <row r="274" spans="1:20" x14ac:dyDescent="0.25">
      <c r="A274" s="5">
        <v>44319</v>
      </c>
      <c r="B274">
        <v>8.8590000000000002E-2</v>
      </c>
      <c r="C274">
        <v>0.1024</v>
      </c>
      <c r="D274">
        <v>8.8109999999999994E-2</v>
      </c>
      <c r="E274">
        <v>9.0389999999999998E-2</v>
      </c>
      <c r="F274">
        <v>208454980.09999999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-0.68089573128061542</v>
      </c>
      <c r="Q274">
        <f t="shared" si="965"/>
        <v>-141936106.11427563</v>
      </c>
      <c r="R274">
        <f t="shared" si="966"/>
        <v>-5311766272.4250546</v>
      </c>
      <c r="S274">
        <f t="shared" si="967"/>
        <v>-53117.662724250542</v>
      </c>
      <c r="T274">
        <f t="shared" si="968"/>
        <v>-53.117662724250543</v>
      </c>
    </row>
    <row r="275" spans="1:20" x14ac:dyDescent="0.25">
      <c r="A275" s="5">
        <v>44318</v>
      </c>
      <c r="B275">
        <v>8.8999999999999996E-2</v>
      </c>
      <c r="C275">
        <v>9.3859999999999999E-2</v>
      </c>
      <c r="D275">
        <v>8.4690000000000001E-2</v>
      </c>
      <c r="E275">
        <v>8.8489999999999999E-2</v>
      </c>
      <c r="F275">
        <v>164359664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-0.17121046892039285</v>
      </c>
      <c r="Q275">
        <f t="shared" si="965"/>
        <v>-28140095.14503821</v>
      </c>
      <c r="R275">
        <f t="shared" si="966"/>
        <v>-5169830166.3107786</v>
      </c>
      <c r="S275">
        <f t="shared" si="967"/>
        <v>-51698.301663107784</v>
      </c>
      <c r="T275">
        <f t="shared" si="968"/>
        <v>-51.698301663107785</v>
      </c>
    </row>
    <row r="276" spans="1:20" x14ac:dyDescent="0.25">
      <c r="A276" s="5">
        <v>44317</v>
      </c>
      <c r="B276">
        <v>8.3449999999999996E-2</v>
      </c>
      <c r="C276">
        <v>9.887E-2</v>
      </c>
      <c r="D276">
        <v>8.1509999999999999E-2</v>
      </c>
      <c r="E276">
        <v>8.8999999999999996E-2</v>
      </c>
      <c r="F276">
        <v>269120385.80000001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-0.13709677419354879</v>
      </c>
      <c r="Q276">
        <f t="shared" si="965"/>
        <v>-36895536.76290334</v>
      </c>
      <c r="R276">
        <f t="shared" si="966"/>
        <v>-5141690071.16574</v>
      </c>
      <c r="S276">
        <f t="shared" si="967"/>
        <v>-51416.900711657399</v>
      </c>
      <c r="T276">
        <f t="shared" si="968"/>
        <v>-51.416900711657398</v>
      </c>
    </row>
    <row r="277" spans="1:20" x14ac:dyDescent="0.25">
      <c r="A277" s="5">
        <v>44316</v>
      </c>
      <c r="B277">
        <v>8.0100000000000005E-2</v>
      </c>
      <c r="C277">
        <v>8.7900000000000006E-2</v>
      </c>
      <c r="D277">
        <v>7.8030000000000002E-2</v>
      </c>
      <c r="E277">
        <v>8.3640000000000006E-2</v>
      </c>
      <c r="F277">
        <v>147408526.30000001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0.13677811550152011</v>
      </c>
      <c r="Q277">
        <f t="shared" si="965"/>
        <v>20162260.436170265</v>
      </c>
      <c r="R277">
        <f t="shared" si="966"/>
        <v>-5104794534.4028368</v>
      </c>
      <c r="S277">
        <f t="shared" si="967"/>
        <v>-51047.945344028369</v>
      </c>
      <c r="T277">
        <f t="shared" si="968"/>
        <v>-51.047945344028371</v>
      </c>
    </row>
    <row r="278" spans="1:20" x14ac:dyDescent="0.25">
      <c r="A278" s="5">
        <v>44315</v>
      </c>
      <c r="B278">
        <v>8.2769999999999996E-2</v>
      </c>
      <c r="C278">
        <v>8.3059999999999995E-2</v>
      </c>
      <c r="D278">
        <v>7.492E-2</v>
      </c>
      <c r="E278">
        <v>8.0100000000000005E-2</v>
      </c>
      <c r="F278">
        <v>147650281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0.27272727272727459</v>
      </c>
      <c r="Q278">
        <f t="shared" si="965"/>
        <v>40268258.454545729</v>
      </c>
      <c r="R278">
        <f t="shared" si="966"/>
        <v>-5124956794.8390074</v>
      </c>
      <c r="S278">
        <f t="shared" si="967"/>
        <v>-51249.567948390075</v>
      </c>
      <c r="T278">
        <f t="shared" si="968"/>
        <v>-51.249567948390073</v>
      </c>
    </row>
    <row r="279" spans="1:20" x14ac:dyDescent="0.25">
      <c r="A279" s="5">
        <v>44314</v>
      </c>
      <c r="B279">
        <v>8.3000000000000004E-2</v>
      </c>
      <c r="C279">
        <v>8.5510000000000003E-2</v>
      </c>
      <c r="D279">
        <v>7.3539999999999994E-2</v>
      </c>
      <c r="E279">
        <v>8.2769999999999996E-2</v>
      </c>
      <c r="F279">
        <v>192655587.09999999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0.54218880534669933</v>
      </c>
      <c r="Q279">
        <f t="shared" si="965"/>
        <v>104455702.61311598</v>
      </c>
      <c r="R279">
        <f t="shared" si="966"/>
        <v>-5165225053.2935534</v>
      </c>
      <c r="S279">
        <f t="shared" si="967"/>
        <v>-51652.250532935534</v>
      </c>
      <c r="T279">
        <f t="shared" si="968"/>
        <v>-51.652250532935533</v>
      </c>
    </row>
    <row r="280" spans="1:20" x14ac:dyDescent="0.25">
      <c r="A280" s="5">
        <v>44313</v>
      </c>
      <c r="B280">
        <v>7.2489999999999999E-2</v>
      </c>
      <c r="C280">
        <v>8.7520000000000001E-2</v>
      </c>
      <c r="D280">
        <v>7.1400000000000005E-2</v>
      </c>
      <c r="E280">
        <v>8.3000000000000004E-2</v>
      </c>
      <c r="F280">
        <v>262585334.19999999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0.43920595533498791</v>
      </c>
      <c r="Q280">
        <f t="shared" si="965"/>
        <v>115329042.56426807</v>
      </c>
      <c r="R280">
        <f t="shared" si="966"/>
        <v>-5269680755.9066696</v>
      </c>
      <c r="S280">
        <f t="shared" si="967"/>
        <v>-52696.807559066699</v>
      </c>
      <c r="T280">
        <f t="shared" si="968"/>
        <v>-52.696807559066698</v>
      </c>
    </row>
    <row r="281" spans="1:20" x14ac:dyDescent="0.25">
      <c r="A281" s="5">
        <v>44312</v>
      </c>
      <c r="B281">
        <v>6.2609999999999999E-2</v>
      </c>
      <c r="C281">
        <v>7.4999999999999997E-2</v>
      </c>
      <c r="D281">
        <v>6.1550000000000001E-2</v>
      </c>
      <c r="E281">
        <v>7.2499999999999995E-2</v>
      </c>
      <c r="F281">
        <v>260093232.69999999</v>
      </c>
      <c r="G281">
        <v>0</v>
      </c>
      <c r="L281" t="s">
        <v>8</v>
      </c>
      <c r="M281" t="s">
        <v>7</v>
      </c>
      <c r="N281" t="s">
        <v>7</v>
      </c>
      <c r="P281">
        <f t="shared" si="964"/>
        <v>0.6282527881040888</v>
      </c>
      <c r="Q281">
        <f t="shared" si="965"/>
        <v>163404298.61078057</v>
      </c>
      <c r="R281">
        <f t="shared" si="966"/>
        <v>-5385009798.4709377</v>
      </c>
      <c r="S281">
        <f t="shared" si="967"/>
        <v>-53850.097984709377</v>
      </c>
      <c r="T281">
        <f t="shared" si="968"/>
        <v>-53.850097984709379</v>
      </c>
    </row>
    <row r="282" spans="1:20" x14ac:dyDescent="0.25">
      <c r="A282" s="5">
        <v>44311</v>
      </c>
      <c r="B282">
        <v>5.9589999999999997E-2</v>
      </c>
      <c r="C282">
        <v>7.3999999999999996E-2</v>
      </c>
      <c r="D282">
        <v>5.5660000000000001E-2</v>
      </c>
      <c r="E282">
        <v>6.2609999999999999E-2</v>
      </c>
      <c r="F282">
        <v>229165491.09999999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-0.24209378407851695</v>
      </c>
      <c r="Q282">
        <f t="shared" si="965"/>
        <v>-55479540.920610696</v>
      </c>
      <c r="R282">
        <f t="shared" si="966"/>
        <v>-5548414097.0817184</v>
      </c>
      <c r="S282">
        <f t="shared" si="967"/>
        <v>-55484.140970817185</v>
      </c>
      <c r="T282">
        <f t="shared" si="968"/>
        <v>-55.484140970817187</v>
      </c>
    </row>
    <row r="283" spans="1:20" x14ac:dyDescent="0.25">
      <c r="A283" s="5">
        <v>44310</v>
      </c>
      <c r="B283">
        <v>6.7180000000000004E-2</v>
      </c>
      <c r="C283">
        <v>7.0989999999999998E-2</v>
      </c>
      <c r="D283">
        <v>5.9270000000000003E-2</v>
      </c>
      <c r="E283">
        <v>5.9569999999999998E-2</v>
      </c>
      <c r="F283">
        <v>152904719.30000001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-0.94880546075085415</v>
      </c>
      <c r="Q283">
        <f t="shared" si="965"/>
        <v>-145076832.64641654</v>
      </c>
      <c r="R283">
        <f t="shared" si="966"/>
        <v>-5492934556.161108</v>
      </c>
      <c r="S283">
        <f t="shared" si="967"/>
        <v>-54929.34556161108</v>
      </c>
      <c r="T283">
        <f t="shared" si="968"/>
        <v>-54.929345561611079</v>
      </c>
    </row>
    <row r="284" spans="1:20" x14ac:dyDescent="0.25">
      <c r="A284" s="5">
        <v>44309</v>
      </c>
      <c r="B284">
        <v>7.4139999999999998E-2</v>
      </c>
      <c r="C284">
        <v>7.5859999999999997E-2</v>
      </c>
      <c r="D284">
        <v>5.5620000000000003E-2</v>
      </c>
      <c r="E284">
        <v>6.7180000000000004E-2</v>
      </c>
      <c r="F284">
        <v>332889552.89999998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0.1422924901185775</v>
      </c>
      <c r="Q284">
        <f t="shared" si="965"/>
        <v>47367683.416600928</v>
      </c>
      <c r="R284">
        <f t="shared" si="966"/>
        <v>-5347857723.5146914</v>
      </c>
      <c r="S284">
        <f t="shared" si="967"/>
        <v>-53478.577235146913</v>
      </c>
      <c r="T284">
        <f t="shared" si="968"/>
        <v>-53.478577235146915</v>
      </c>
    </row>
    <row r="285" spans="1:20" x14ac:dyDescent="0.25">
      <c r="A285" s="5">
        <v>44308</v>
      </c>
      <c r="B285">
        <v>8.5970000000000005E-2</v>
      </c>
      <c r="C285">
        <v>0.10499</v>
      </c>
      <c r="D285">
        <v>7.2010000000000005E-2</v>
      </c>
      <c r="E285">
        <v>7.4139999999999998E-2</v>
      </c>
      <c r="F285">
        <v>811472053.70000005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-0.87083080654942435</v>
      </c>
      <c r="Q285">
        <f t="shared" si="965"/>
        <v>-706654863.01588881</v>
      </c>
      <c r="R285">
        <f t="shared" si="966"/>
        <v>-5395225406.9312925</v>
      </c>
      <c r="S285">
        <f t="shared" si="967"/>
        <v>-53952.254069312927</v>
      </c>
      <c r="T285">
        <f t="shared" si="968"/>
        <v>-53.952254069312929</v>
      </c>
    </row>
    <row r="286" spans="1:20" x14ac:dyDescent="0.25">
      <c r="A286" s="5">
        <v>44307</v>
      </c>
      <c r="B286">
        <v>7.1809999999999999E-2</v>
      </c>
      <c r="C286">
        <v>0.10599</v>
      </c>
      <c r="D286">
        <v>6.9580000000000003E-2</v>
      </c>
      <c r="E286">
        <v>8.5959999999999995E-2</v>
      </c>
      <c r="F286">
        <v>709230829.29999995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-0.10024718483933025</v>
      </c>
      <c r="Q286">
        <f t="shared" si="965"/>
        <v>-71098394.038588569</v>
      </c>
      <c r="R286">
        <f t="shared" si="966"/>
        <v>-4688570543.9154034</v>
      </c>
      <c r="S286">
        <f t="shared" si="967"/>
        <v>-46885.705439154037</v>
      </c>
      <c r="T286">
        <f t="shared" si="968"/>
        <v>-46.885705439154037</v>
      </c>
    </row>
    <row r="287" spans="1:20" x14ac:dyDescent="0.25">
      <c r="A287" s="5">
        <v>44306</v>
      </c>
      <c r="B287">
        <v>7.3330000000000006E-2</v>
      </c>
      <c r="C287">
        <v>7.6319999999999999E-2</v>
      </c>
      <c r="D287">
        <v>6.5369999999999998E-2</v>
      </c>
      <c r="E287">
        <v>7.1800000000000003E-2</v>
      </c>
      <c r="F287">
        <v>94112591.299999997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0.17442922374429304</v>
      </c>
      <c r="Q287">
        <f t="shared" si="965"/>
        <v>16415986.245022906</v>
      </c>
      <c r="R287">
        <f t="shared" si="966"/>
        <v>-4617472149.8768148</v>
      </c>
      <c r="S287">
        <f t="shared" si="967"/>
        <v>-46174.721498768151</v>
      </c>
      <c r="T287">
        <f t="shared" si="968"/>
        <v>-46.17472149876815</v>
      </c>
    </row>
    <row r="288" spans="1:20" x14ac:dyDescent="0.25">
      <c r="A288" s="5">
        <v>44305</v>
      </c>
      <c r="B288">
        <v>8.3750000000000005E-2</v>
      </c>
      <c r="C288">
        <v>9.3259999999999996E-2</v>
      </c>
      <c r="D288">
        <v>7.1249999999999994E-2</v>
      </c>
      <c r="E288">
        <v>7.3179999999999995E-2</v>
      </c>
      <c r="F288">
        <v>135289717.59999999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-0.82462517037710126</v>
      </c>
      <c r="Q288">
        <f t="shared" si="965"/>
        <v>-111563306.42616992</v>
      </c>
      <c r="R288">
        <f t="shared" si="966"/>
        <v>-4633888136.1218376</v>
      </c>
      <c r="S288">
        <f t="shared" si="967"/>
        <v>-46338.881361218373</v>
      </c>
      <c r="T288">
        <f t="shared" si="968"/>
        <v>-46.33888136121837</v>
      </c>
    </row>
    <row r="289" spans="1:20" x14ac:dyDescent="0.25">
      <c r="A289" s="5">
        <v>44304</v>
      </c>
      <c r="B289">
        <v>0.10031</v>
      </c>
      <c r="C289">
        <v>0.10097</v>
      </c>
      <c r="D289">
        <v>7.3830000000000007E-2</v>
      </c>
      <c r="E289">
        <v>8.3640000000000006E-2</v>
      </c>
      <c r="F289">
        <v>123062192.5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-0.27708179808400885</v>
      </c>
      <c r="Q289">
        <f t="shared" si="965"/>
        <v>-34098293.574060425</v>
      </c>
      <c r="R289">
        <f t="shared" si="966"/>
        <v>-4522324829.6956673</v>
      </c>
      <c r="S289">
        <f t="shared" si="967"/>
        <v>-45223.24829695667</v>
      </c>
      <c r="T289">
        <f t="shared" si="968"/>
        <v>-45.223248296956669</v>
      </c>
    </row>
    <row r="290" spans="1:20" x14ac:dyDescent="0.25">
      <c r="A290" s="5">
        <v>44303</v>
      </c>
      <c r="B290">
        <v>9.4719999999999999E-2</v>
      </c>
      <c r="C290">
        <v>0.11</v>
      </c>
      <c r="D290">
        <v>9.3340000000000006E-2</v>
      </c>
      <c r="E290">
        <v>0.10031</v>
      </c>
      <c r="F290">
        <v>183125667.30000001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-0.16326530612244988</v>
      </c>
      <c r="Q290">
        <f t="shared" si="965"/>
        <v>-29898068.130612411</v>
      </c>
      <c r="R290">
        <f t="shared" si="966"/>
        <v>-4488226536.1216068</v>
      </c>
      <c r="S290">
        <f t="shared" si="967"/>
        <v>-44882.265361216065</v>
      </c>
      <c r="T290">
        <f t="shared" si="968"/>
        <v>-44.882265361216064</v>
      </c>
    </row>
    <row r="291" spans="1:20" x14ac:dyDescent="0.25">
      <c r="A291" s="5">
        <v>44302</v>
      </c>
      <c r="B291">
        <v>0.10629</v>
      </c>
      <c r="C291">
        <v>0.108</v>
      </c>
      <c r="D291">
        <v>8.8319999999999996E-2</v>
      </c>
      <c r="E291">
        <v>9.4960000000000003E-2</v>
      </c>
      <c r="F291">
        <v>126375958.7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-0.32520325203251971</v>
      </c>
      <c r="Q291">
        <f t="shared" si="965"/>
        <v>-41097872.7479674</v>
      </c>
      <c r="R291">
        <f t="shared" si="966"/>
        <v>-4458328467.9909945</v>
      </c>
      <c r="S291">
        <f t="shared" si="967"/>
        <v>-44583.284679909942</v>
      </c>
      <c r="T291">
        <f t="shared" si="968"/>
        <v>-44.583284679909944</v>
      </c>
    </row>
    <row r="292" spans="1:20" x14ac:dyDescent="0.25">
      <c r="A292" s="5">
        <v>44301</v>
      </c>
      <c r="B292">
        <v>0.10433000000000001</v>
      </c>
      <c r="C292">
        <v>0.11244999999999999</v>
      </c>
      <c r="D292">
        <v>0.10015</v>
      </c>
      <c r="E292">
        <v>0.10568</v>
      </c>
      <c r="F292">
        <v>132595097.2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-0.10081300813008177</v>
      </c>
      <c r="Q292">
        <f t="shared" si="965"/>
        <v>-13367310.612032583</v>
      </c>
      <c r="R292">
        <f t="shared" si="966"/>
        <v>-4417230595.2430267</v>
      </c>
      <c r="S292">
        <f t="shared" si="967"/>
        <v>-44172.305952430266</v>
      </c>
      <c r="T292">
        <f t="shared" si="968"/>
        <v>-44.172305952430264</v>
      </c>
    </row>
    <row r="293" spans="1:20" x14ac:dyDescent="0.25">
      <c r="A293" s="5">
        <v>44300</v>
      </c>
      <c r="B293">
        <v>0.11043</v>
      </c>
      <c r="C293">
        <v>0.1139</v>
      </c>
      <c r="D293">
        <v>9.4719999999999999E-2</v>
      </c>
      <c r="E293">
        <v>0.10421999999999999</v>
      </c>
      <c r="F293">
        <v>207927236.40000001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-9.3847758081341739E-3</v>
      </c>
      <c r="Q293">
        <f t="shared" si="965"/>
        <v>-1951350.4980189155</v>
      </c>
      <c r="R293">
        <f t="shared" si="966"/>
        <v>-4403863284.6309938</v>
      </c>
      <c r="S293">
        <f t="shared" si="967"/>
        <v>-44038.632846309942</v>
      </c>
      <c r="T293">
        <f t="shared" si="968"/>
        <v>-44.038632846309945</v>
      </c>
    </row>
    <row r="294" spans="1:20" x14ac:dyDescent="0.25">
      <c r="A294" s="5">
        <v>44299</v>
      </c>
      <c r="B294">
        <v>0.11448</v>
      </c>
      <c r="C294">
        <v>0.11683</v>
      </c>
      <c r="D294">
        <v>0.10299</v>
      </c>
      <c r="E294">
        <v>0.11015999999999999</v>
      </c>
      <c r="F294">
        <v>207165124.30000001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3.6127167630056821E-2</v>
      </c>
      <c r="Q294">
        <f t="shared" si="965"/>
        <v>7484289.1726876581</v>
      </c>
      <c r="R294">
        <f t="shared" si="966"/>
        <v>-4401911934.1329746</v>
      </c>
      <c r="S294">
        <f t="shared" si="967"/>
        <v>-44019.119341329744</v>
      </c>
      <c r="T294">
        <f t="shared" si="968"/>
        <v>-44.019119341329741</v>
      </c>
    </row>
    <row r="295" spans="1:20" x14ac:dyDescent="0.25">
      <c r="A295" s="5">
        <v>44298</v>
      </c>
      <c r="B295">
        <v>0.13119</v>
      </c>
      <c r="C295">
        <v>0.13125999999999999</v>
      </c>
      <c r="D295">
        <v>0.109</v>
      </c>
      <c r="E295">
        <v>0.11484</v>
      </c>
      <c r="F295">
        <v>270568572.69999999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-0.47529200359389029</v>
      </c>
      <c r="Q295">
        <f t="shared" si="965"/>
        <v>-128599079.02812216</v>
      </c>
      <c r="R295">
        <f t="shared" si="966"/>
        <v>-4409396223.3056622</v>
      </c>
      <c r="S295">
        <f t="shared" si="967"/>
        <v>-44093.96223305662</v>
      </c>
      <c r="T295">
        <f t="shared" si="968"/>
        <v>-44.093962233056622</v>
      </c>
    </row>
    <row r="296" spans="1:20" x14ac:dyDescent="0.25">
      <c r="A296" s="5">
        <v>44297</v>
      </c>
      <c r="B296">
        <v>0.10251</v>
      </c>
      <c r="C296">
        <v>0.14000000000000001</v>
      </c>
      <c r="D296">
        <v>0.1021</v>
      </c>
      <c r="E296">
        <v>0.13147</v>
      </c>
      <c r="F296">
        <v>787401595.60000002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0.54986807387862768</v>
      </c>
      <c r="Q296">
        <f t="shared" si="965"/>
        <v>432966998.74153012</v>
      </c>
      <c r="R296">
        <f t="shared" si="966"/>
        <v>-4280797144.2775397</v>
      </c>
      <c r="S296">
        <f t="shared" si="967"/>
        <v>-42807.971442775401</v>
      </c>
      <c r="T296">
        <f t="shared" si="968"/>
        <v>-42.807971442775404</v>
      </c>
    </row>
    <row r="297" spans="1:20" x14ac:dyDescent="0.25">
      <c r="A297" s="5">
        <v>44296</v>
      </c>
      <c r="B297">
        <v>0.1135</v>
      </c>
      <c r="C297">
        <v>0.11407</v>
      </c>
      <c r="D297">
        <v>9.8909999999999998E-2</v>
      </c>
      <c r="E297">
        <v>0.10276</v>
      </c>
      <c r="F297">
        <v>144315210.40000001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-0.49208443271767749</v>
      </c>
      <c r="Q297">
        <f t="shared" si="965"/>
        <v>-71015268.442216277</v>
      </c>
      <c r="R297">
        <f t="shared" si="966"/>
        <v>-4713764143.0190697</v>
      </c>
      <c r="S297">
        <f t="shared" si="967"/>
        <v>-47137.641430190699</v>
      </c>
      <c r="T297">
        <f t="shared" si="968"/>
        <v>-47.137641430190698</v>
      </c>
    </row>
    <row r="298" spans="1:20" x14ac:dyDescent="0.25">
      <c r="A298" s="5">
        <v>44295</v>
      </c>
      <c r="B298">
        <v>0.12651999999999999</v>
      </c>
      <c r="C298">
        <v>0.13</v>
      </c>
      <c r="D298">
        <v>0.10706</v>
      </c>
      <c r="E298">
        <v>0.11312</v>
      </c>
      <c r="F298">
        <v>269520590.5</v>
      </c>
      <c r="G298">
        <v>0</v>
      </c>
      <c r="L298" t="s">
        <v>7</v>
      </c>
      <c r="M298" t="s">
        <v>7</v>
      </c>
      <c r="N298" t="s">
        <v>8</v>
      </c>
      <c r="P298">
        <f t="shared" si="964"/>
        <v>-0.47166521360069785</v>
      </c>
      <c r="Q298">
        <f t="shared" si="965"/>
        <v>-127123486.88796872</v>
      </c>
      <c r="R298">
        <f t="shared" si="966"/>
        <v>-4642748874.5768538</v>
      </c>
      <c r="S298">
        <f t="shared" si="967"/>
        <v>-46427.48874576854</v>
      </c>
      <c r="T298">
        <f t="shared" si="968"/>
        <v>-46.427488745768542</v>
      </c>
    </row>
    <row r="299" spans="1:20" x14ac:dyDescent="0.25">
      <c r="A299" s="5">
        <v>44294</v>
      </c>
      <c r="B299">
        <v>9.0130000000000002E-2</v>
      </c>
      <c r="C299">
        <v>0.13672999999999999</v>
      </c>
      <c r="D299">
        <v>8.702E-2</v>
      </c>
      <c r="E299">
        <v>0.12651999999999999</v>
      </c>
      <c r="F299">
        <v>661880660.10000002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0.58921746127539731</v>
      </c>
      <c r="Q299">
        <f t="shared" si="965"/>
        <v>389991642.21140617</v>
      </c>
      <c r="R299">
        <f t="shared" si="966"/>
        <v>-4515625387.6888847</v>
      </c>
      <c r="S299">
        <f t="shared" si="967"/>
        <v>-45156.253876888848</v>
      </c>
      <c r="T299">
        <f t="shared" si="968"/>
        <v>-45.156253876888847</v>
      </c>
    </row>
    <row r="300" spans="1:20" x14ac:dyDescent="0.25">
      <c r="A300" s="5">
        <v>44293</v>
      </c>
      <c r="B300">
        <v>0.10152</v>
      </c>
      <c r="C300">
        <v>0.10932</v>
      </c>
      <c r="D300">
        <v>8.1500000000000003E-2</v>
      </c>
      <c r="E300">
        <v>9.0179999999999996E-2</v>
      </c>
      <c r="F300">
        <v>432717627.19999999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-0.37598849748382501</v>
      </c>
      <c r="Q300">
        <f t="shared" si="965"/>
        <v>-162696850.48569393</v>
      </c>
      <c r="R300">
        <f t="shared" si="966"/>
        <v>-4905617029.9002905</v>
      </c>
      <c r="S300">
        <f t="shared" si="967"/>
        <v>-49056.170299002908</v>
      </c>
      <c r="T300">
        <f t="shared" si="968"/>
        <v>-49.056170299002908</v>
      </c>
    </row>
    <row r="301" spans="1:20" x14ac:dyDescent="0.25">
      <c r="A301" s="5">
        <v>44292</v>
      </c>
      <c r="B301">
        <v>0.11507000000000001</v>
      </c>
      <c r="C301">
        <v>0.15792</v>
      </c>
      <c r="D301">
        <v>9.8000000000000004E-2</v>
      </c>
      <c r="E301">
        <v>0.1016</v>
      </c>
      <c r="F301">
        <v>1151208989.0999999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-0.87983978638184268</v>
      </c>
      <c r="Q301">
        <f t="shared" si="965"/>
        <v>-1012879471.050601</v>
      </c>
      <c r="R301">
        <f t="shared" si="966"/>
        <v>-4742920179.4145966</v>
      </c>
      <c r="S301">
        <f t="shared" si="967"/>
        <v>-47429.201794145964</v>
      </c>
      <c r="T301">
        <f t="shared" si="968"/>
        <v>-47.42920179414596</v>
      </c>
    </row>
    <row r="302" spans="1:20" x14ac:dyDescent="0.25">
      <c r="A302" s="5">
        <v>44291</v>
      </c>
      <c r="B302">
        <v>6.8669999999999995E-2</v>
      </c>
      <c r="C302">
        <v>0.13300000000000001</v>
      </c>
      <c r="D302">
        <v>6.6549999999999998E-2</v>
      </c>
      <c r="E302">
        <v>0.11507000000000001</v>
      </c>
      <c r="F302">
        <v>1578334899.3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0.46034612490594434</v>
      </c>
      <c r="Q302">
        <f t="shared" si="965"/>
        <v>726580354.69656885</v>
      </c>
      <c r="R302">
        <f t="shared" si="966"/>
        <v>-3730040708.3639951</v>
      </c>
      <c r="S302">
        <f t="shared" si="967"/>
        <v>-37300.407083639948</v>
      </c>
      <c r="T302">
        <f t="shared" si="968"/>
        <v>-37.300407083639946</v>
      </c>
    </row>
    <row r="303" spans="1:20" x14ac:dyDescent="0.25">
      <c r="A303" s="5">
        <v>44290</v>
      </c>
      <c r="B303">
        <v>5.6219999999999999E-2</v>
      </c>
      <c r="C303">
        <v>8.3000000000000004E-2</v>
      </c>
      <c r="D303">
        <v>5.5669999999999997E-2</v>
      </c>
      <c r="E303">
        <v>6.8659999999999999E-2</v>
      </c>
      <c r="F303">
        <v>730348699.89999998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-4.9396267837541294E-2</v>
      </c>
      <c r="Q303">
        <f t="shared" si="965"/>
        <v>-36076499.995060466</v>
      </c>
      <c r="R303">
        <f t="shared" si="966"/>
        <v>-4456621063.060564</v>
      </c>
      <c r="S303">
        <f t="shared" si="967"/>
        <v>-44566.210630605638</v>
      </c>
      <c r="T303">
        <f t="shared" si="968"/>
        <v>-44.566210630605639</v>
      </c>
    </row>
    <row r="304" spans="1:20" x14ac:dyDescent="0.25">
      <c r="A304" s="5">
        <v>44289</v>
      </c>
      <c r="B304">
        <v>6.2990000000000004E-2</v>
      </c>
      <c r="C304">
        <v>6.4799999999999996E-2</v>
      </c>
      <c r="D304">
        <v>5.6030000000000003E-2</v>
      </c>
      <c r="E304">
        <v>5.6259999999999998E-2</v>
      </c>
      <c r="F304">
        <v>158821893.09999999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-0.94754846066134679</v>
      </c>
      <c r="Q304">
        <f t="shared" si="965"/>
        <v>-150491440.32622597</v>
      </c>
      <c r="R304">
        <f t="shared" si="966"/>
        <v>-4420544563.0655031</v>
      </c>
      <c r="S304">
        <f t="shared" si="967"/>
        <v>-44205.445630655035</v>
      </c>
      <c r="T304">
        <f t="shared" si="968"/>
        <v>-44.205445630655035</v>
      </c>
    </row>
    <row r="305" spans="1:20" x14ac:dyDescent="0.25">
      <c r="A305" s="5">
        <v>44288</v>
      </c>
      <c r="B305">
        <v>6.8580000000000002E-2</v>
      </c>
      <c r="C305">
        <v>7.3109999999999994E-2</v>
      </c>
      <c r="D305">
        <v>6.0650000000000003E-2</v>
      </c>
      <c r="E305">
        <v>6.2990000000000004E-2</v>
      </c>
      <c r="F305">
        <v>344775064.60000002</v>
      </c>
      <c r="G305">
        <v>0</v>
      </c>
      <c r="L305" t="s">
        <v>7</v>
      </c>
      <c r="M305" t="s">
        <v>7</v>
      </c>
      <c r="N305" t="s">
        <v>7</v>
      </c>
      <c r="P305">
        <f t="shared" si="964"/>
        <v>-0.62439807383627555</v>
      </c>
      <c r="Q305">
        <f t="shared" si="965"/>
        <v>-215276886.24301749</v>
      </c>
      <c r="R305">
        <f t="shared" si="966"/>
        <v>-4270053122.7392774</v>
      </c>
      <c r="S305">
        <f t="shared" si="967"/>
        <v>-42700.53122739277</v>
      </c>
      <c r="T305">
        <f t="shared" si="968"/>
        <v>-42.700531227392773</v>
      </c>
    </row>
    <row r="306" spans="1:20" x14ac:dyDescent="0.25">
      <c r="A306" s="5">
        <v>44287</v>
      </c>
      <c r="B306">
        <v>7.2459999999999997E-2</v>
      </c>
      <c r="C306">
        <v>7.8200000000000006E-2</v>
      </c>
      <c r="D306">
        <v>6.6320000000000004E-2</v>
      </c>
      <c r="E306">
        <v>6.8570000000000006E-2</v>
      </c>
      <c r="F306">
        <v>651267841.70000005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-0.62121212121212088</v>
      </c>
      <c r="Q306">
        <f t="shared" si="965"/>
        <v>-404575477.41969681</v>
      </c>
      <c r="R306">
        <f t="shared" si="966"/>
        <v>-4054776236.4962597</v>
      </c>
      <c r="S306">
        <f t="shared" si="967"/>
        <v>-40547.762364962597</v>
      </c>
      <c r="T306">
        <f t="shared" si="968"/>
        <v>-40.547762364962594</v>
      </c>
    </row>
    <row r="307" spans="1:20" x14ac:dyDescent="0.25">
      <c r="A307" s="5">
        <v>44286</v>
      </c>
      <c r="B307">
        <v>7.0900000000000005E-2</v>
      </c>
      <c r="C307">
        <v>9.06E-2</v>
      </c>
      <c r="D307">
        <v>6.2460000000000002E-2</v>
      </c>
      <c r="E307">
        <v>7.2580000000000006E-2</v>
      </c>
      <c r="F307">
        <v>2025274671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-0.28073916133617594</v>
      </c>
      <c r="Q307">
        <f t="shared" si="965"/>
        <v>-568573912.61193967</v>
      </c>
      <c r="R307">
        <f t="shared" si="966"/>
        <v>-3650200759.0765629</v>
      </c>
      <c r="S307">
        <f t="shared" si="967"/>
        <v>-36502.007590765628</v>
      </c>
      <c r="T307">
        <f t="shared" si="968"/>
        <v>-36.502007590765629</v>
      </c>
    </row>
    <row r="308" spans="1:20" x14ac:dyDescent="0.25">
      <c r="A308" s="5">
        <v>44285</v>
      </c>
      <c r="B308">
        <v>4.3990000000000001E-2</v>
      </c>
      <c r="C308">
        <v>9.1399999999999995E-2</v>
      </c>
      <c r="D308">
        <v>4.3439999999999999E-2</v>
      </c>
      <c r="E308">
        <v>7.0730000000000001E-2</v>
      </c>
      <c r="F308">
        <v>1891936849.5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0.13803169307756483</v>
      </c>
      <c r="Q308">
        <f t="shared" si="965"/>
        <v>261147246.53231895</v>
      </c>
      <c r="R308">
        <f t="shared" si="966"/>
        <v>-3081626846.464623</v>
      </c>
      <c r="S308">
        <f t="shared" si="967"/>
        <v>-30816.268464646229</v>
      </c>
      <c r="T308">
        <f t="shared" si="968"/>
        <v>-30.816268464646228</v>
      </c>
    </row>
    <row r="309" spans="1:20" x14ac:dyDescent="0.25">
      <c r="A309" s="5">
        <v>44284</v>
      </c>
      <c r="B309">
        <v>4.3470000000000002E-2</v>
      </c>
      <c r="C309">
        <v>4.6489999999999997E-2</v>
      </c>
      <c r="D309">
        <v>4.0849999999999997E-2</v>
      </c>
      <c r="E309">
        <v>4.3970000000000002E-2</v>
      </c>
      <c r="F309">
        <v>106016320.59999999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0.10638297872340609</v>
      </c>
      <c r="Q309">
        <f t="shared" si="965"/>
        <v>11278331.978723599</v>
      </c>
      <c r="R309">
        <f t="shared" si="966"/>
        <v>-3342774092.996942</v>
      </c>
      <c r="S309">
        <f t="shared" si="967"/>
        <v>-33427.740929969419</v>
      </c>
      <c r="T309">
        <f t="shared" si="968"/>
        <v>-33.427740929969417</v>
      </c>
    </row>
    <row r="310" spans="1:20" x14ac:dyDescent="0.25">
      <c r="A310" s="5">
        <v>44283</v>
      </c>
      <c r="B310">
        <v>3.6830000000000002E-2</v>
      </c>
      <c r="C310">
        <v>4.7750000000000001E-2</v>
      </c>
      <c r="D310">
        <v>3.6720000000000003E-2</v>
      </c>
      <c r="E310">
        <v>4.3409999999999997E-2</v>
      </c>
      <c r="F310">
        <v>215300593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0.2130553037171343</v>
      </c>
      <c r="Q310">
        <f t="shared" si="965"/>
        <v>45870933.232094117</v>
      </c>
      <c r="R310">
        <f t="shared" si="966"/>
        <v>-3354052424.9756656</v>
      </c>
      <c r="S310">
        <f t="shared" si="967"/>
        <v>-33540.524249756658</v>
      </c>
      <c r="T310">
        <f t="shared" si="968"/>
        <v>-33.540524249756658</v>
      </c>
    </row>
    <row r="311" spans="1:20" x14ac:dyDescent="0.25">
      <c r="A311" s="5">
        <v>44282</v>
      </c>
      <c r="B311">
        <v>3.7350000000000001E-2</v>
      </c>
      <c r="C311">
        <v>3.8899999999999997E-2</v>
      </c>
      <c r="D311">
        <v>3.5029999999999999E-2</v>
      </c>
      <c r="E311">
        <v>3.6839999999999998E-2</v>
      </c>
      <c r="F311">
        <v>71552560.200000003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-6.4599483204134445E-2</v>
      </c>
      <c r="Q311">
        <f t="shared" si="965"/>
        <v>-4622258.4108527191</v>
      </c>
      <c r="R311">
        <f t="shared" si="966"/>
        <v>-3399923358.2077599</v>
      </c>
      <c r="S311">
        <f t="shared" si="967"/>
        <v>-33999.233582077599</v>
      </c>
      <c r="T311">
        <f t="shared" si="968"/>
        <v>-33.999233582077601</v>
      </c>
    </row>
    <row r="312" spans="1:20" x14ac:dyDescent="0.25">
      <c r="A312" s="5">
        <v>44281</v>
      </c>
      <c r="B312">
        <v>3.3459999999999997E-2</v>
      </c>
      <c r="C312">
        <v>3.798E-2</v>
      </c>
      <c r="D312">
        <v>3.3309999999999999E-2</v>
      </c>
      <c r="E312">
        <v>3.7429999999999998E-2</v>
      </c>
      <c r="F312">
        <v>51499603.399999999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0.764453961456102</v>
      </c>
      <c r="Q312">
        <f t="shared" si="965"/>
        <v>39369075.832548141</v>
      </c>
      <c r="R312">
        <f t="shared" si="966"/>
        <v>-3395301099.7969069</v>
      </c>
      <c r="S312">
        <f t="shared" si="967"/>
        <v>-33953.010997969068</v>
      </c>
      <c r="T312">
        <f t="shared" si="968"/>
        <v>-33.953010997969066</v>
      </c>
    </row>
    <row r="313" spans="1:20" x14ac:dyDescent="0.25">
      <c r="A313" s="5">
        <v>44280</v>
      </c>
      <c r="B313">
        <v>3.6459999999999999E-2</v>
      </c>
      <c r="C313">
        <v>3.7609999999999998E-2</v>
      </c>
      <c r="D313">
        <v>3.2719999999999999E-2</v>
      </c>
      <c r="E313">
        <v>3.3520000000000001E-2</v>
      </c>
      <c r="F313">
        <v>87937929.5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-0.67280163599181908</v>
      </c>
      <c r="Q313">
        <f t="shared" si="965"/>
        <v>-59164782.833333246</v>
      </c>
      <c r="R313">
        <f t="shared" si="966"/>
        <v>-3434670175.6294551</v>
      </c>
      <c r="S313">
        <f t="shared" si="967"/>
        <v>-34346.701756294548</v>
      </c>
      <c r="T313">
        <f t="shared" si="968"/>
        <v>-34.34670175629455</v>
      </c>
    </row>
    <row r="314" spans="1:20" x14ac:dyDescent="0.25">
      <c r="A314" s="5">
        <v>44279</v>
      </c>
      <c r="B314">
        <v>3.848E-2</v>
      </c>
      <c r="C314">
        <v>4.2799999999999998E-2</v>
      </c>
      <c r="D314">
        <v>3.5999999999999997E-2</v>
      </c>
      <c r="E314">
        <v>3.6569999999999998E-2</v>
      </c>
      <c r="F314">
        <v>97449856.599999994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-0.8323529411764703</v>
      </c>
      <c r="Q314">
        <f t="shared" si="965"/>
        <v>-81112674.758235261</v>
      </c>
      <c r="R314">
        <f t="shared" si="966"/>
        <v>-3375505392.7961221</v>
      </c>
      <c r="S314">
        <f t="shared" si="967"/>
        <v>-33755.05392796122</v>
      </c>
      <c r="T314">
        <f t="shared" si="968"/>
        <v>-33.755053927961221</v>
      </c>
    </row>
    <row r="315" spans="1:20" x14ac:dyDescent="0.25">
      <c r="A315" s="5">
        <v>44278</v>
      </c>
      <c r="B315">
        <v>4.086E-2</v>
      </c>
      <c r="C315">
        <v>4.231E-2</v>
      </c>
      <c r="D315">
        <v>3.6639999999999999E-2</v>
      </c>
      <c r="E315">
        <v>3.8530000000000002E-2</v>
      </c>
      <c r="F315">
        <v>75542372.5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-0.33333333333333254</v>
      </c>
      <c r="Q315">
        <f t="shared" si="965"/>
        <v>-25180790.833333272</v>
      </c>
      <c r="R315">
        <f t="shared" si="966"/>
        <v>-3294392718.0378866</v>
      </c>
      <c r="S315">
        <f t="shared" si="967"/>
        <v>-32943.927180378865</v>
      </c>
      <c r="T315">
        <f t="shared" si="968"/>
        <v>-32.943927180378864</v>
      </c>
    </row>
    <row r="316" spans="1:20" x14ac:dyDescent="0.25">
      <c r="A316" s="5">
        <v>44277</v>
      </c>
      <c r="B316">
        <v>4.2500000000000003E-2</v>
      </c>
      <c r="C316">
        <v>4.5589999999999999E-2</v>
      </c>
      <c r="D316">
        <v>3.9510000000000003E-2</v>
      </c>
      <c r="E316">
        <v>4.0840000000000001E-2</v>
      </c>
      <c r="F316">
        <v>105388517.09999999</v>
      </c>
      <c r="G316">
        <v>0</v>
      </c>
      <c r="L316" t="s">
        <v>8</v>
      </c>
      <c r="M316" t="s">
        <v>7</v>
      </c>
      <c r="N316" t="s">
        <v>8</v>
      </c>
      <c r="P316">
        <f t="shared" si="964"/>
        <v>-0.56250000000000033</v>
      </c>
      <c r="Q316">
        <f t="shared" si="965"/>
        <v>-59281040.868750028</v>
      </c>
      <c r="R316">
        <f t="shared" si="966"/>
        <v>-3269211927.2045531</v>
      </c>
      <c r="S316">
        <f t="shared" si="967"/>
        <v>-32692.119272045533</v>
      </c>
      <c r="T316">
        <f t="shared" si="968"/>
        <v>-32.692119272045531</v>
      </c>
    </row>
    <row r="317" spans="1:20" x14ac:dyDescent="0.25">
      <c r="A317" s="5">
        <v>44276</v>
      </c>
      <c r="B317">
        <v>4.2290000000000001E-2</v>
      </c>
      <c r="C317">
        <v>4.5969999999999997E-2</v>
      </c>
      <c r="D317">
        <v>3.9210000000000002E-2</v>
      </c>
      <c r="E317">
        <v>4.2439999999999999E-2</v>
      </c>
      <c r="F317">
        <v>246619128.5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-4.4378698224852346E-2</v>
      </c>
      <c r="Q317">
        <f t="shared" si="965"/>
        <v>-10944635.880177584</v>
      </c>
      <c r="R317">
        <f t="shared" si="966"/>
        <v>-3209930886.335803</v>
      </c>
      <c r="S317">
        <f t="shared" si="967"/>
        <v>-32099.30886335803</v>
      </c>
      <c r="T317">
        <f t="shared" si="968"/>
        <v>-32.099308863358033</v>
      </c>
    </row>
    <row r="318" spans="1:20" x14ac:dyDescent="0.25">
      <c r="A318" s="5">
        <v>44275</v>
      </c>
      <c r="B318">
        <v>4.2840000000000003E-2</v>
      </c>
      <c r="C318">
        <v>4.8570000000000002E-2</v>
      </c>
      <c r="D318">
        <v>4.2009999999999999E-2</v>
      </c>
      <c r="E318">
        <v>4.2320000000000003E-2</v>
      </c>
      <c r="F318">
        <v>162555541.19999999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-0.90548780487804736</v>
      </c>
      <c r="Q318">
        <f t="shared" si="965"/>
        <v>-147192060.17195097</v>
      </c>
      <c r="R318">
        <f t="shared" si="966"/>
        <v>-3198986250.4556255</v>
      </c>
      <c r="S318">
        <f t="shared" si="967"/>
        <v>-31989.862504556255</v>
      </c>
      <c r="T318">
        <f t="shared" si="968"/>
        <v>-31.989862504556253</v>
      </c>
    </row>
    <row r="319" spans="1:20" x14ac:dyDescent="0.25">
      <c r="A319" s="5">
        <v>44274</v>
      </c>
      <c r="B319">
        <v>4.0570000000000002E-2</v>
      </c>
      <c r="C319">
        <v>4.3959999999999999E-2</v>
      </c>
      <c r="D319">
        <v>3.8379999999999997E-2</v>
      </c>
      <c r="E319">
        <v>4.2750000000000003E-2</v>
      </c>
      <c r="F319">
        <v>113666518.7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0.56630824372760025</v>
      </c>
      <c r="Q319">
        <f t="shared" si="965"/>
        <v>64370286.575627431</v>
      </c>
      <c r="R319">
        <f t="shared" si="966"/>
        <v>-3051794190.2836747</v>
      </c>
      <c r="S319">
        <f t="shared" si="967"/>
        <v>-30517.941902836748</v>
      </c>
      <c r="T319">
        <f t="shared" si="968"/>
        <v>-30.51794190283675</v>
      </c>
    </row>
    <row r="320" spans="1:20" x14ac:dyDescent="0.25">
      <c r="A320" s="5">
        <v>44273</v>
      </c>
      <c r="B320">
        <v>3.8969999999999998E-2</v>
      </c>
      <c r="C320">
        <v>4.403E-2</v>
      </c>
      <c r="D320">
        <v>3.8330000000000003E-2</v>
      </c>
      <c r="E320">
        <v>4.0689999999999997E-2</v>
      </c>
      <c r="F320">
        <v>496823416.30000001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-0.17192982456140513</v>
      </c>
      <c r="Q320">
        <f t="shared" si="965"/>
        <v>-85418762.802456945</v>
      </c>
      <c r="R320">
        <f t="shared" si="966"/>
        <v>-3116164476.859302</v>
      </c>
      <c r="S320">
        <f t="shared" si="967"/>
        <v>-31161.644768593022</v>
      </c>
      <c r="T320">
        <f t="shared" si="968"/>
        <v>-31.161644768593021</v>
      </c>
    </row>
    <row r="321" spans="1:20" x14ac:dyDescent="0.25">
      <c r="A321" s="5">
        <v>44272</v>
      </c>
      <c r="B321">
        <v>3.9600000000000003E-2</v>
      </c>
      <c r="C321">
        <v>4.1439999999999998E-2</v>
      </c>
      <c r="D321">
        <v>3.5549999999999998E-2</v>
      </c>
      <c r="E321">
        <v>3.9120000000000002E-2</v>
      </c>
      <c r="F321">
        <v>175430748.40000001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0.21222410865874503</v>
      </c>
      <c r="Q321">
        <f t="shared" si="965"/>
        <v>37230634.210526563</v>
      </c>
      <c r="R321">
        <f t="shared" si="966"/>
        <v>-3030745714.0568452</v>
      </c>
      <c r="S321">
        <f t="shared" si="967"/>
        <v>-30307.457140568451</v>
      </c>
      <c r="T321">
        <f t="shared" si="968"/>
        <v>-30.307457140568452</v>
      </c>
    </row>
    <row r="322" spans="1:20" x14ac:dyDescent="0.25">
      <c r="A322" s="5">
        <v>44271</v>
      </c>
      <c r="B322">
        <v>3.5839999999999997E-2</v>
      </c>
      <c r="C322">
        <v>4.4999999999999998E-2</v>
      </c>
      <c r="D322">
        <v>3.3000000000000002E-2</v>
      </c>
      <c r="E322">
        <v>3.9600000000000003E-2</v>
      </c>
      <c r="F322">
        <v>324044127.39999998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0.10000000000000057</v>
      </c>
      <c r="Q322">
        <f t="shared" si="965"/>
        <v>32404412.740000185</v>
      </c>
      <c r="R322">
        <f t="shared" si="966"/>
        <v>-3067976348.2673717</v>
      </c>
      <c r="S322">
        <f t="shared" si="967"/>
        <v>-30679.763482673716</v>
      </c>
      <c r="T322">
        <f t="shared" si="968"/>
        <v>-30.679763482673717</v>
      </c>
    </row>
    <row r="323" spans="1:20" x14ac:dyDescent="0.25">
      <c r="A323" s="5">
        <v>44270</v>
      </c>
      <c r="B323">
        <v>3.3029999999999997E-2</v>
      </c>
      <c r="C323">
        <v>3.9570000000000001E-2</v>
      </c>
      <c r="D323">
        <v>2.9139999999999999E-2</v>
      </c>
      <c r="E323">
        <v>3.5889999999999998E-2</v>
      </c>
      <c r="F323">
        <v>281581431.10000002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0.2943432406519651</v>
      </c>
      <c r="Q323">
        <f t="shared" si="965"/>
        <v>82881590.937392041</v>
      </c>
      <c r="R323">
        <f t="shared" si="966"/>
        <v>-3100380761.0073719</v>
      </c>
      <c r="S323">
        <f t="shared" si="967"/>
        <v>-31003.80761007372</v>
      </c>
      <c r="T323">
        <f t="shared" si="968"/>
        <v>-31.003807610073721</v>
      </c>
    </row>
    <row r="324" spans="1:20" x14ac:dyDescent="0.25">
      <c r="A324" s="5">
        <v>44269</v>
      </c>
      <c r="B324">
        <v>3.6979999999999999E-2</v>
      </c>
      <c r="C324">
        <v>3.712E-2</v>
      </c>
      <c r="D324">
        <v>3.2550000000000003E-2</v>
      </c>
      <c r="E324">
        <v>3.3029999999999997E-2</v>
      </c>
      <c r="F324">
        <v>132643414.5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-0.7899343544857792</v>
      </c>
      <c r="Q324">
        <f t="shared" si="965"/>
        <v>-104779590.00984715</v>
      </c>
      <c r="R324">
        <f t="shared" si="966"/>
        <v>-3183262351.9447641</v>
      </c>
      <c r="S324">
        <f t="shared" si="967"/>
        <v>-31832.623519447643</v>
      </c>
      <c r="T324">
        <f t="shared" si="968"/>
        <v>-31.832623519447644</v>
      </c>
    </row>
    <row r="325" spans="1:20" x14ac:dyDescent="0.25">
      <c r="A325" s="5">
        <v>44268</v>
      </c>
      <c r="B325">
        <v>3.1210000000000002E-2</v>
      </c>
      <c r="C325">
        <v>0.04</v>
      </c>
      <c r="D325">
        <v>3.0020000000000002E-2</v>
      </c>
      <c r="E325">
        <v>3.6909999999999998E-2</v>
      </c>
      <c r="F325">
        <v>210774718.59999999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0.38076152304609162</v>
      </c>
      <c r="Q325">
        <f t="shared" si="965"/>
        <v>80254902.873747379</v>
      </c>
      <c r="R325">
        <f t="shared" si="966"/>
        <v>-3078482761.934917</v>
      </c>
      <c r="S325">
        <f t="shared" si="967"/>
        <v>-30784.827619349169</v>
      </c>
      <c r="T325">
        <f t="shared" si="968"/>
        <v>-30.784827619349169</v>
      </c>
    </row>
    <row r="326" spans="1:20" x14ac:dyDescent="0.25">
      <c r="A326" s="5">
        <v>44267</v>
      </c>
      <c r="B326">
        <v>3.1320000000000001E-2</v>
      </c>
      <c r="C326">
        <v>3.4930000000000003E-2</v>
      </c>
      <c r="D326">
        <v>2.9000000000000001E-2</v>
      </c>
      <c r="E326">
        <v>3.1119999999999998E-2</v>
      </c>
      <c r="F326">
        <v>158708966.90000001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-0.28499156829679717</v>
      </c>
      <c r="Q326">
        <f t="shared" ref="Q326:Q389" si="970">F326*P326</f>
        <v>-45230717.379595473</v>
      </c>
      <c r="R326">
        <f t="shared" ref="R326:R389" si="971">R327+Q326</f>
        <v>-3158737664.8086643</v>
      </c>
      <c r="S326">
        <f t="shared" ref="S326:S389" si="972">R326/100000</f>
        <v>-31587.376648086643</v>
      </c>
      <c r="T326">
        <f t="shared" ref="T326:T389" si="973">S326/1000</f>
        <v>-31.587376648086643</v>
      </c>
    </row>
    <row r="327" spans="1:20" x14ac:dyDescent="0.25">
      <c r="A327" s="5">
        <v>44266</v>
      </c>
      <c r="B327">
        <v>3.1890000000000002E-2</v>
      </c>
      <c r="C327">
        <v>3.5000000000000003E-2</v>
      </c>
      <c r="D327">
        <v>2.743E-2</v>
      </c>
      <c r="E327">
        <v>3.1269999999999999E-2</v>
      </c>
      <c r="F327">
        <v>314276366.30000001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1.4531043593130181E-2</v>
      </c>
      <c r="Q327">
        <f t="shared" si="970"/>
        <v>4566763.578995849</v>
      </c>
      <c r="R327">
        <f t="shared" si="971"/>
        <v>-3113506947.429069</v>
      </c>
      <c r="S327">
        <f t="shared" si="972"/>
        <v>-31135.069474290689</v>
      </c>
      <c r="T327">
        <f t="shared" si="973"/>
        <v>-31.135069474290688</v>
      </c>
    </row>
    <row r="328" spans="1:20" x14ac:dyDescent="0.25">
      <c r="A328" s="5">
        <v>44265</v>
      </c>
      <c r="B328">
        <v>2.4500000000000001E-2</v>
      </c>
      <c r="C328">
        <v>3.5000000000000003E-2</v>
      </c>
      <c r="D328">
        <v>2.351E-2</v>
      </c>
      <c r="E328">
        <v>3.1890000000000002E-2</v>
      </c>
      <c r="F328">
        <v>628221277.89999998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0.45865970409051338</v>
      </c>
      <c r="Q328">
        <f t="shared" si="970"/>
        <v>288139785.42497814</v>
      </c>
      <c r="R328">
        <f t="shared" si="971"/>
        <v>-3118073711.0080647</v>
      </c>
      <c r="S328">
        <f t="shared" si="972"/>
        <v>-31180.737110080649</v>
      </c>
      <c r="T328">
        <f t="shared" si="973"/>
        <v>-31.180737110080649</v>
      </c>
    </row>
    <row r="329" spans="1:20" x14ac:dyDescent="0.25">
      <c r="A329" s="5">
        <v>44264</v>
      </c>
      <c r="B329">
        <v>2.3050000000000001E-2</v>
      </c>
      <c r="C329">
        <v>2.4750000000000001E-2</v>
      </c>
      <c r="D329">
        <v>2.2880000000000001E-2</v>
      </c>
      <c r="E329">
        <v>2.4500000000000001E-2</v>
      </c>
      <c r="F329">
        <v>90905168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0.73262032085561479</v>
      </c>
      <c r="Q329">
        <f t="shared" si="970"/>
        <v>66598973.347593568</v>
      </c>
      <c r="R329">
        <f t="shared" si="971"/>
        <v>-3406213496.433043</v>
      </c>
      <c r="S329">
        <f t="shared" si="972"/>
        <v>-34062.134964330427</v>
      </c>
      <c r="T329">
        <f t="shared" si="973"/>
        <v>-34.062134964330426</v>
      </c>
    </row>
    <row r="330" spans="1:20" x14ac:dyDescent="0.25">
      <c r="A330" s="5">
        <v>44263</v>
      </c>
      <c r="B330">
        <v>2.368E-2</v>
      </c>
      <c r="C330">
        <v>2.385E-2</v>
      </c>
      <c r="D330">
        <v>2.2450000000000001E-2</v>
      </c>
      <c r="E330">
        <v>2.3050000000000001E-2</v>
      </c>
      <c r="F330">
        <v>68850632.799999997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-0.14285714285714216</v>
      </c>
      <c r="Q330">
        <f t="shared" si="970"/>
        <v>-9835804.6857142374</v>
      </c>
      <c r="R330">
        <f t="shared" si="971"/>
        <v>-3472812469.7806368</v>
      </c>
      <c r="S330">
        <f t="shared" si="972"/>
        <v>-34728.124697806365</v>
      </c>
      <c r="T330">
        <f t="shared" si="973"/>
        <v>-34.728124697806365</v>
      </c>
    </row>
    <row r="331" spans="1:20" x14ac:dyDescent="0.25">
      <c r="A331" s="5">
        <v>44262</v>
      </c>
      <c r="B331">
        <v>2.2749999999999999E-2</v>
      </c>
      <c r="C331">
        <v>2.5499999999999998E-2</v>
      </c>
      <c r="D331">
        <v>2.2089999999999999E-2</v>
      </c>
      <c r="E331">
        <v>2.3709999999999998E-2</v>
      </c>
      <c r="F331">
        <v>157682826.80000001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-4.98533724340176E-2</v>
      </c>
      <c r="Q331">
        <f t="shared" si="970"/>
        <v>-7861020.6909090923</v>
      </c>
      <c r="R331">
        <f t="shared" si="971"/>
        <v>-3462976665.0949225</v>
      </c>
      <c r="S331">
        <f t="shared" si="972"/>
        <v>-34629.766650949226</v>
      </c>
      <c r="T331">
        <f t="shared" si="973"/>
        <v>-34.629766650949229</v>
      </c>
    </row>
    <row r="332" spans="1:20" x14ac:dyDescent="0.25">
      <c r="A332" s="5">
        <v>44261</v>
      </c>
      <c r="B332">
        <v>2.3369999999999998E-2</v>
      </c>
      <c r="C332">
        <v>2.7969999999999998E-2</v>
      </c>
      <c r="D332">
        <v>2.2499999999999999E-2</v>
      </c>
      <c r="E332">
        <v>2.274E-2</v>
      </c>
      <c r="F332">
        <v>356284003.80000001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-0.91224862888482605</v>
      </c>
      <c r="Q332">
        <f t="shared" si="970"/>
        <v>-325019593.96014619</v>
      </c>
      <c r="R332">
        <f t="shared" si="971"/>
        <v>-3455115644.4040136</v>
      </c>
      <c r="S332">
        <f t="shared" si="972"/>
        <v>-34551.156444040134</v>
      </c>
      <c r="T332">
        <f t="shared" si="973"/>
        <v>-34.551156444040132</v>
      </c>
    </row>
    <row r="333" spans="1:20" x14ac:dyDescent="0.25">
      <c r="A333" s="5">
        <v>44260</v>
      </c>
      <c r="B333">
        <v>2.1260000000000001E-2</v>
      </c>
      <c r="C333">
        <v>2.46E-2</v>
      </c>
      <c r="D333">
        <v>1.958E-2</v>
      </c>
      <c r="E333">
        <v>2.3369999999999998E-2</v>
      </c>
      <c r="F333">
        <v>122049153.3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0.50996015936254901</v>
      </c>
      <c r="Q333">
        <f t="shared" si="970"/>
        <v>62240205.666932173</v>
      </c>
      <c r="R333">
        <f t="shared" si="971"/>
        <v>-3130096050.4438677</v>
      </c>
      <c r="S333">
        <f t="shared" si="972"/>
        <v>-31300.960504438677</v>
      </c>
      <c r="T333">
        <f t="shared" si="973"/>
        <v>-31.300960504438677</v>
      </c>
    </row>
    <row r="334" spans="1:20" x14ac:dyDescent="0.25">
      <c r="A334" s="5">
        <v>44259</v>
      </c>
      <c r="B334">
        <v>2.061E-2</v>
      </c>
      <c r="C334">
        <v>2.2579999999999999E-2</v>
      </c>
      <c r="D334">
        <v>1.9810000000000001E-2</v>
      </c>
      <c r="E334">
        <v>2.128E-2</v>
      </c>
      <c r="F334">
        <v>149018787.59999999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6.1371841155234703E-2</v>
      </c>
      <c r="Q334">
        <f t="shared" si="970"/>
        <v>9145557.3617328592</v>
      </c>
      <c r="R334">
        <f t="shared" si="971"/>
        <v>-3192336256.1107998</v>
      </c>
      <c r="S334">
        <f t="shared" si="972"/>
        <v>-31923.362561107999</v>
      </c>
      <c r="T334">
        <f t="shared" si="973"/>
        <v>-31.923362561108</v>
      </c>
    </row>
    <row r="335" spans="1:20" x14ac:dyDescent="0.25">
      <c r="A335" s="5">
        <v>44258</v>
      </c>
      <c r="B335">
        <v>1.89E-2</v>
      </c>
      <c r="C335">
        <v>2.086E-2</v>
      </c>
      <c r="D335">
        <v>1.8700000000000001E-2</v>
      </c>
      <c r="E335">
        <v>2.061E-2</v>
      </c>
      <c r="F335">
        <v>78283044.400000006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0.76851851851851816</v>
      </c>
      <c r="Q335">
        <f t="shared" si="970"/>
        <v>60161969.307407387</v>
      </c>
      <c r="R335">
        <f t="shared" si="971"/>
        <v>-3201481813.4725327</v>
      </c>
      <c r="S335">
        <f t="shared" si="972"/>
        <v>-32014.818134725327</v>
      </c>
      <c r="T335">
        <f t="shared" si="973"/>
        <v>-32.014818134725324</v>
      </c>
    </row>
    <row r="336" spans="1:20" x14ac:dyDescent="0.25">
      <c r="A336" s="5">
        <v>44257</v>
      </c>
      <c r="B336">
        <v>2.0199999999999999E-2</v>
      </c>
      <c r="C336">
        <v>2.052E-2</v>
      </c>
      <c r="D336">
        <v>1.8010000000000002E-2</v>
      </c>
      <c r="E336">
        <v>1.8919999999999999E-2</v>
      </c>
      <c r="F336">
        <v>65118934.799999997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-0.27490039840637592</v>
      </c>
      <c r="Q336">
        <f t="shared" si="970"/>
        <v>-17901221.120318815</v>
      </c>
      <c r="R336">
        <f t="shared" si="971"/>
        <v>-3261643782.7799401</v>
      </c>
      <c r="S336">
        <f t="shared" si="972"/>
        <v>-32616.4378277994</v>
      </c>
      <c r="T336">
        <f t="shared" si="973"/>
        <v>-32.616437827799402</v>
      </c>
    </row>
    <row r="337" spans="1:20" x14ac:dyDescent="0.25">
      <c r="A337" s="5">
        <v>44256</v>
      </c>
      <c r="B337">
        <v>1.9449999999999999E-2</v>
      </c>
      <c r="C337">
        <v>2.085E-2</v>
      </c>
      <c r="D337">
        <v>1.8780000000000002E-2</v>
      </c>
      <c r="E337">
        <v>2.009E-2</v>
      </c>
      <c r="F337">
        <v>73784055.599999994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0.26570048309178679</v>
      </c>
      <c r="Q337">
        <f t="shared" si="970"/>
        <v>19604459.217391256</v>
      </c>
      <c r="R337">
        <f t="shared" si="971"/>
        <v>-3243742561.6596212</v>
      </c>
      <c r="S337">
        <f t="shared" si="972"/>
        <v>-32437.425616596211</v>
      </c>
      <c r="T337">
        <f t="shared" si="973"/>
        <v>-32.437425616596208</v>
      </c>
    </row>
    <row r="338" spans="1:20" x14ac:dyDescent="0.25">
      <c r="A338" s="5">
        <v>44255</v>
      </c>
      <c r="B338">
        <v>1.9009999999999999E-2</v>
      </c>
      <c r="C338">
        <v>2.0920000000000001E-2</v>
      </c>
      <c r="D338">
        <v>1.7260000000000001E-2</v>
      </c>
      <c r="E338">
        <v>1.9480000000000001E-2</v>
      </c>
      <c r="F338">
        <v>61448426.5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0.2131147540983605</v>
      </c>
      <c r="Q338">
        <f t="shared" si="970"/>
        <v>13095566.303278679</v>
      </c>
      <c r="R338">
        <f t="shared" si="971"/>
        <v>-3263347020.8770127</v>
      </c>
      <c r="S338">
        <f t="shared" si="972"/>
        <v>-32633.470208770126</v>
      </c>
      <c r="T338">
        <f t="shared" si="973"/>
        <v>-32.633470208770127</v>
      </c>
    </row>
    <row r="339" spans="1:20" x14ac:dyDescent="0.25">
      <c r="A339" s="5">
        <v>44254</v>
      </c>
      <c r="B339">
        <v>1.7500000000000002E-2</v>
      </c>
      <c r="C339">
        <v>2.086E-2</v>
      </c>
      <c r="D339">
        <v>1.7469999999999999E-2</v>
      </c>
      <c r="E339">
        <v>1.9029999999999998E-2</v>
      </c>
      <c r="F339">
        <v>116366866.5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-7.9646017699115876E-2</v>
      </c>
      <c r="Q339">
        <f t="shared" si="970"/>
        <v>-9268157.5088496543</v>
      </c>
      <c r="R339">
        <f t="shared" si="971"/>
        <v>-3276442587.1802912</v>
      </c>
      <c r="S339">
        <f t="shared" si="972"/>
        <v>-32764.425871802912</v>
      </c>
      <c r="T339">
        <f t="shared" si="973"/>
        <v>-32.764425871802914</v>
      </c>
    </row>
    <row r="340" spans="1:20" x14ac:dyDescent="0.25">
      <c r="A340" s="5">
        <v>44253</v>
      </c>
      <c r="B340">
        <v>1.738E-2</v>
      </c>
      <c r="C340">
        <v>1.8800000000000001E-2</v>
      </c>
      <c r="D340">
        <v>1.6070000000000001E-2</v>
      </c>
      <c r="E340">
        <v>1.7739999999999999E-2</v>
      </c>
      <c r="F340">
        <v>56901406.799999997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0.22344322344322198</v>
      </c>
      <c r="Q340">
        <f t="shared" si="970"/>
        <v>12714233.75384607</v>
      </c>
      <c r="R340">
        <f t="shared" si="971"/>
        <v>-3267174429.6714416</v>
      </c>
      <c r="S340">
        <f t="shared" si="972"/>
        <v>-32671.744296714416</v>
      </c>
      <c r="T340">
        <f t="shared" si="973"/>
        <v>-32.671744296714415</v>
      </c>
    </row>
    <row r="341" spans="1:20" x14ac:dyDescent="0.25">
      <c r="A341" s="5">
        <v>44252</v>
      </c>
      <c r="B341">
        <v>1.9359999999999999E-2</v>
      </c>
      <c r="C341">
        <v>2.07E-2</v>
      </c>
      <c r="D341">
        <v>1.7330000000000002E-2</v>
      </c>
      <c r="E341">
        <v>1.7389999999999999E-2</v>
      </c>
      <c r="F341">
        <v>72733707.299999997</v>
      </c>
      <c r="G341">
        <v>0</v>
      </c>
      <c r="L341" t="s">
        <v>8</v>
      </c>
      <c r="M341" t="s">
        <v>7</v>
      </c>
      <c r="N341" t="s">
        <v>7</v>
      </c>
      <c r="P341">
        <f t="shared" si="969"/>
        <v>-0.96439169139466019</v>
      </c>
      <c r="Q341">
        <f t="shared" si="970"/>
        <v>-70143783.004451141</v>
      </c>
      <c r="R341">
        <f t="shared" si="971"/>
        <v>-3279888663.4252877</v>
      </c>
      <c r="S341">
        <f t="shared" si="972"/>
        <v>-32798.886634252878</v>
      </c>
      <c r="T341">
        <f t="shared" si="973"/>
        <v>-32.798886634252881</v>
      </c>
    </row>
    <row r="342" spans="1:20" x14ac:dyDescent="0.25">
      <c r="A342" s="5">
        <v>44251</v>
      </c>
      <c r="B342">
        <v>1.814E-2</v>
      </c>
      <c r="C342">
        <v>2.0500000000000001E-2</v>
      </c>
      <c r="D342">
        <v>1.7080000000000001E-2</v>
      </c>
      <c r="E342">
        <v>1.9359999999999999E-2</v>
      </c>
      <c r="F342">
        <v>87830738.799999997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0.33333333333333198</v>
      </c>
      <c r="Q342">
        <f t="shared" si="970"/>
        <v>29276912.933333214</v>
      </c>
      <c r="R342">
        <f t="shared" si="971"/>
        <v>-3209744880.4208364</v>
      </c>
      <c r="S342">
        <f t="shared" si="972"/>
        <v>-32097.448804208365</v>
      </c>
      <c r="T342">
        <f t="shared" si="973"/>
        <v>-32.097448804208362</v>
      </c>
    </row>
    <row r="343" spans="1:20" x14ac:dyDescent="0.25">
      <c r="A343" s="5">
        <v>44250</v>
      </c>
      <c r="B343">
        <v>2.231E-2</v>
      </c>
      <c r="C343">
        <v>2.231E-2</v>
      </c>
      <c r="D343">
        <v>1.545E-2</v>
      </c>
      <c r="E343">
        <v>1.814E-2</v>
      </c>
      <c r="F343">
        <v>140694714.59999999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-0.21574344023323622</v>
      </c>
      <c r="Q343">
        <f t="shared" si="970"/>
        <v>-30353961.750437327</v>
      </c>
      <c r="R343">
        <f t="shared" si="971"/>
        <v>-3239021793.3541698</v>
      </c>
      <c r="S343">
        <f t="shared" si="972"/>
        <v>-32390.217933541699</v>
      </c>
      <c r="T343">
        <f t="shared" si="973"/>
        <v>-32.390217933541699</v>
      </c>
    </row>
    <row r="344" spans="1:20" x14ac:dyDescent="0.25">
      <c r="A344" s="5">
        <v>44249</v>
      </c>
      <c r="B344">
        <v>2.52E-2</v>
      </c>
      <c r="C344">
        <v>2.5270000000000001E-2</v>
      </c>
      <c r="D344">
        <v>0.02</v>
      </c>
      <c r="E344">
        <v>2.2200000000000001E-2</v>
      </c>
      <c r="F344">
        <v>130575660.59999999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-0.16508538899430725</v>
      </c>
      <c r="Q344">
        <f t="shared" si="970"/>
        <v>-21556133.723339636</v>
      </c>
      <c r="R344">
        <f t="shared" si="971"/>
        <v>-3208667831.6037326</v>
      </c>
      <c r="S344">
        <f t="shared" si="972"/>
        <v>-32086.678316037327</v>
      </c>
      <c r="T344">
        <f t="shared" si="973"/>
        <v>-32.086678316037329</v>
      </c>
    </row>
    <row r="345" spans="1:20" x14ac:dyDescent="0.25">
      <c r="A345" s="5">
        <v>44248</v>
      </c>
      <c r="B345">
        <v>2.401E-2</v>
      </c>
      <c r="C345">
        <v>2.6190000000000001E-2</v>
      </c>
      <c r="D345">
        <v>2.3390000000000001E-2</v>
      </c>
      <c r="E345">
        <v>2.503E-2</v>
      </c>
      <c r="F345">
        <v>56006054.299999997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0.17142857142857063</v>
      </c>
      <c r="Q345">
        <f t="shared" si="970"/>
        <v>9601037.8799999543</v>
      </c>
      <c r="R345">
        <f t="shared" si="971"/>
        <v>-3187111697.880393</v>
      </c>
      <c r="S345">
        <f t="shared" si="972"/>
        <v>-31871.11697880393</v>
      </c>
      <c r="T345">
        <f t="shared" si="973"/>
        <v>-31.871116978803929</v>
      </c>
    </row>
    <row r="346" spans="1:20" x14ac:dyDescent="0.25">
      <c r="A346" s="5">
        <v>44247</v>
      </c>
      <c r="B346">
        <v>2.5919999999999999E-2</v>
      </c>
      <c r="C346">
        <v>2.7380000000000002E-2</v>
      </c>
      <c r="D346">
        <v>2.3E-2</v>
      </c>
      <c r="E346">
        <v>2.4E-2</v>
      </c>
      <c r="F346">
        <v>122598573.2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-0.54337899543378976</v>
      </c>
      <c r="Q346">
        <f t="shared" si="970"/>
        <v>-66617489.547031939</v>
      </c>
      <c r="R346">
        <f t="shared" si="971"/>
        <v>-3196712735.7603931</v>
      </c>
      <c r="S346">
        <f t="shared" si="972"/>
        <v>-31967.127357603931</v>
      </c>
      <c r="T346">
        <f t="shared" si="973"/>
        <v>-31.967127357603932</v>
      </c>
    </row>
    <row r="347" spans="1:20" x14ac:dyDescent="0.25">
      <c r="A347" s="5">
        <v>44246</v>
      </c>
      <c r="B347">
        <v>2.7050000000000001E-2</v>
      </c>
      <c r="C347">
        <v>2.7380000000000002E-2</v>
      </c>
      <c r="D347">
        <v>2.504E-2</v>
      </c>
      <c r="E347">
        <v>2.5999999999999999E-2</v>
      </c>
      <c r="F347">
        <v>79369340.700000003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-0.17948717948718093</v>
      </c>
      <c r="Q347">
        <f t="shared" si="970"/>
        <v>-14245779.100000115</v>
      </c>
      <c r="R347">
        <f t="shared" si="971"/>
        <v>-3130095246.2133613</v>
      </c>
      <c r="S347">
        <f t="shared" si="972"/>
        <v>-31300.952462133613</v>
      </c>
      <c r="T347">
        <f t="shared" si="973"/>
        <v>-31.300952462133612</v>
      </c>
    </row>
    <row r="348" spans="1:20" x14ac:dyDescent="0.25">
      <c r="A348" s="5">
        <v>44245</v>
      </c>
      <c r="B348">
        <v>2.5219999999999999E-2</v>
      </c>
      <c r="C348">
        <v>2.8000000000000001E-2</v>
      </c>
      <c r="D348">
        <v>2.5219999999999999E-2</v>
      </c>
      <c r="E348">
        <v>2.7050000000000001E-2</v>
      </c>
      <c r="F348">
        <v>93959736.700000003</v>
      </c>
      <c r="G348">
        <v>0</v>
      </c>
      <c r="L348" t="s">
        <v>7</v>
      </c>
      <c r="M348" t="s">
        <v>8</v>
      </c>
      <c r="N348" t="s">
        <v>7</v>
      </c>
      <c r="P348">
        <f t="shared" si="969"/>
        <v>0.31654676258992875</v>
      </c>
      <c r="Q348">
        <f t="shared" si="970"/>
        <v>29742650.466187116</v>
      </c>
      <c r="R348">
        <f t="shared" si="971"/>
        <v>-3115849467.1133614</v>
      </c>
      <c r="S348">
        <f t="shared" si="972"/>
        <v>-31158.494671133612</v>
      </c>
      <c r="T348">
        <f t="shared" si="973"/>
        <v>-31.158494671133614</v>
      </c>
    </row>
    <row r="349" spans="1:20" x14ac:dyDescent="0.25">
      <c r="A349" s="5">
        <v>44244</v>
      </c>
      <c r="B349">
        <v>2.4490000000000001E-2</v>
      </c>
      <c r="C349">
        <v>2.818E-2</v>
      </c>
      <c r="D349">
        <v>2.4309999999999998E-2</v>
      </c>
      <c r="E349">
        <v>2.5229999999999999E-2</v>
      </c>
      <c r="F349">
        <v>145579364.30000001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-0.52454780361757092</v>
      </c>
      <c r="Q349">
        <f t="shared" si="970"/>
        <v>-76363335.795607224</v>
      </c>
      <c r="R349">
        <f t="shared" si="971"/>
        <v>-3145592117.5795484</v>
      </c>
      <c r="S349">
        <f t="shared" si="972"/>
        <v>-31455.921175795484</v>
      </c>
      <c r="T349">
        <f t="shared" si="973"/>
        <v>-31.455921175795485</v>
      </c>
    </row>
    <row r="350" spans="1:20" x14ac:dyDescent="0.25">
      <c r="A350" s="5">
        <v>44243</v>
      </c>
      <c r="B350">
        <v>2.3349999999999999E-2</v>
      </c>
      <c r="C350">
        <v>2.7189999999999999E-2</v>
      </c>
      <c r="D350">
        <v>2.2540000000000001E-2</v>
      </c>
      <c r="E350">
        <v>2.4479999999999998E-2</v>
      </c>
      <c r="F350">
        <v>124408121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-0.16559139784946317</v>
      </c>
      <c r="Q350">
        <f t="shared" si="970"/>
        <v>-20600914.660215154</v>
      </c>
      <c r="R350">
        <f t="shared" si="971"/>
        <v>-3069228781.7839413</v>
      </c>
      <c r="S350">
        <f t="shared" si="972"/>
        <v>-30692.287817839413</v>
      </c>
      <c r="T350">
        <f t="shared" si="973"/>
        <v>-30.692287817839414</v>
      </c>
    </row>
    <row r="351" spans="1:20" x14ac:dyDescent="0.25">
      <c r="A351" s="5">
        <v>44242</v>
      </c>
      <c r="B351">
        <v>2.4379999999999999E-2</v>
      </c>
      <c r="C351">
        <v>2.6499999999999999E-2</v>
      </c>
      <c r="D351">
        <v>2.052E-2</v>
      </c>
      <c r="E351">
        <v>2.3259999999999999E-2</v>
      </c>
      <c r="F351">
        <v>133761302.5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-8.3612040133779347E-2</v>
      </c>
      <c r="Q351">
        <f t="shared" si="970"/>
        <v>-11184055.392976599</v>
      </c>
      <c r="R351">
        <f t="shared" si="971"/>
        <v>-3048627867.1237259</v>
      </c>
      <c r="S351">
        <f t="shared" si="972"/>
        <v>-30486.278671237258</v>
      </c>
      <c r="T351">
        <f t="shared" si="973"/>
        <v>-30.486278671237258</v>
      </c>
    </row>
    <row r="352" spans="1:20" x14ac:dyDescent="0.25">
      <c r="A352" s="5">
        <v>44241</v>
      </c>
      <c r="B352">
        <v>2.7570000000000001E-2</v>
      </c>
      <c r="C352">
        <v>2.928E-2</v>
      </c>
      <c r="D352">
        <v>2.2720000000000001E-2</v>
      </c>
      <c r="E352">
        <v>2.4320000000000001E-2</v>
      </c>
      <c r="F352">
        <v>468057516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-0.5121951219512193</v>
      </c>
      <c r="Q352">
        <f t="shared" si="970"/>
        <v>-239736776.48780477</v>
      </c>
      <c r="R352">
        <f t="shared" si="971"/>
        <v>-3037443811.7307491</v>
      </c>
      <c r="S352">
        <f t="shared" si="972"/>
        <v>-30374.438117307491</v>
      </c>
      <c r="T352">
        <f t="shared" si="973"/>
        <v>-30.374438117307491</v>
      </c>
    </row>
    <row r="353" spans="1:20" x14ac:dyDescent="0.25">
      <c r="A353" s="5">
        <v>44240</v>
      </c>
      <c r="B353">
        <v>2.402E-2</v>
      </c>
      <c r="C353">
        <v>3.1870000000000002E-2</v>
      </c>
      <c r="D353">
        <v>2.368E-2</v>
      </c>
      <c r="E353">
        <v>2.7550000000000002E-2</v>
      </c>
      <c r="F353">
        <v>860604132.10000002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-5.4945054945054805E-2</v>
      </c>
      <c r="Q353">
        <f t="shared" si="970"/>
        <v>-47285941.324175708</v>
      </c>
      <c r="R353">
        <f t="shared" si="971"/>
        <v>-2797707035.2429442</v>
      </c>
      <c r="S353">
        <f t="shared" si="972"/>
        <v>-27977.070352429444</v>
      </c>
      <c r="T353">
        <f t="shared" si="973"/>
        <v>-27.977070352429443</v>
      </c>
    </row>
    <row r="354" spans="1:20" x14ac:dyDescent="0.25">
      <c r="A354" s="5">
        <v>44239</v>
      </c>
      <c r="B354">
        <v>2.197E-2</v>
      </c>
      <c r="C354">
        <v>2.5430000000000001E-2</v>
      </c>
      <c r="D354">
        <v>2.1520000000000001E-2</v>
      </c>
      <c r="E354">
        <v>2.4070000000000001E-2</v>
      </c>
      <c r="F354">
        <v>199277024.69999999</v>
      </c>
      <c r="G354">
        <v>0</v>
      </c>
      <c r="L354" t="s">
        <v>8</v>
      </c>
      <c r="M354" t="s">
        <v>8</v>
      </c>
      <c r="N354" t="s">
        <v>7</v>
      </c>
      <c r="P354">
        <f t="shared" si="969"/>
        <v>0.30434782608695654</v>
      </c>
      <c r="Q354">
        <f t="shared" si="970"/>
        <v>60649529.256521739</v>
      </c>
      <c r="R354">
        <f t="shared" si="971"/>
        <v>-2750421093.9187684</v>
      </c>
      <c r="S354">
        <f t="shared" si="972"/>
        <v>-27504.210939187684</v>
      </c>
      <c r="T354">
        <f t="shared" si="973"/>
        <v>-27.504210939187683</v>
      </c>
    </row>
    <row r="355" spans="1:20" x14ac:dyDescent="0.25">
      <c r="A355" s="5">
        <v>44238</v>
      </c>
      <c r="B355">
        <v>2.0570000000000001E-2</v>
      </c>
      <c r="C355">
        <v>2.2370000000000001E-2</v>
      </c>
      <c r="D355">
        <v>2.0129999999999999E-2</v>
      </c>
      <c r="E355">
        <v>2.1899999999999999E-2</v>
      </c>
      <c r="F355">
        <v>133823733.09999999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0.58035714285714179</v>
      </c>
      <c r="Q355">
        <f t="shared" si="970"/>
        <v>77665559.388392717</v>
      </c>
      <c r="R355">
        <f t="shared" si="971"/>
        <v>-2811070623.1752901</v>
      </c>
      <c r="S355">
        <f t="shared" si="972"/>
        <v>-28110.706231752902</v>
      </c>
      <c r="T355">
        <f t="shared" si="973"/>
        <v>-28.1107062317529</v>
      </c>
    </row>
    <row r="356" spans="1:20" x14ac:dyDescent="0.25">
      <c r="A356" s="5">
        <v>44237</v>
      </c>
      <c r="B356">
        <v>2.1930000000000002E-2</v>
      </c>
      <c r="C356">
        <v>2.2610000000000002E-2</v>
      </c>
      <c r="D356">
        <v>1.9019999999999999E-2</v>
      </c>
      <c r="E356">
        <v>2.0570000000000001E-2</v>
      </c>
      <c r="F356">
        <v>197881644.90000001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-0.13649025069637799</v>
      </c>
      <c r="Q356">
        <f t="shared" si="970"/>
        <v>-27008915.320612647</v>
      </c>
      <c r="R356">
        <f t="shared" si="971"/>
        <v>-2888736182.563683</v>
      </c>
      <c r="S356">
        <f t="shared" si="972"/>
        <v>-28887.361825636832</v>
      </c>
      <c r="T356">
        <f t="shared" si="973"/>
        <v>-28.88736182563683</v>
      </c>
    </row>
    <row r="357" spans="1:20" x14ac:dyDescent="0.25">
      <c r="A357" s="5">
        <v>44236</v>
      </c>
      <c r="B357">
        <v>2.299E-2</v>
      </c>
      <c r="C357">
        <v>2.3550000000000001E-2</v>
      </c>
      <c r="D357">
        <v>2.1000000000000001E-2</v>
      </c>
      <c r="E357">
        <v>2.1870000000000001E-2</v>
      </c>
      <c r="F357">
        <v>266373925.19999999</v>
      </c>
      <c r="G357">
        <v>0</v>
      </c>
      <c r="L357" t="s">
        <v>7</v>
      </c>
      <c r="M357" t="s">
        <v>7</v>
      </c>
      <c r="N357" t="s">
        <v>7</v>
      </c>
      <c r="P357">
        <f t="shared" si="969"/>
        <v>-0.31764705882353006</v>
      </c>
      <c r="Q357">
        <f t="shared" si="970"/>
        <v>-84612893.887058988</v>
      </c>
      <c r="R357">
        <f t="shared" si="971"/>
        <v>-2861727267.2430706</v>
      </c>
      <c r="S357">
        <f t="shared" si="972"/>
        <v>-28617.272672430707</v>
      </c>
      <c r="T357">
        <f t="shared" si="973"/>
        <v>-28.617272672430708</v>
      </c>
    </row>
    <row r="358" spans="1:20" x14ac:dyDescent="0.25">
      <c r="A358" s="5">
        <v>44235</v>
      </c>
      <c r="B358">
        <v>2.2270000000000002E-2</v>
      </c>
      <c r="C358">
        <v>2.385E-2</v>
      </c>
      <c r="D358">
        <v>2.1770000000000001E-2</v>
      </c>
      <c r="E358">
        <v>2.3009999999999999E-2</v>
      </c>
      <c r="F358">
        <v>66784389.299999997</v>
      </c>
      <c r="G358">
        <v>0</v>
      </c>
      <c r="L358" t="s">
        <v>8</v>
      </c>
      <c r="M358" t="s">
        <v>7</v>
      </c>
      <c r="N358" t="s">
        <v>7</v>
      </c>
      <c r="P358">
        <f t="shared" si="969"/>
        <v>0.19230769230769129</v>
      </c>
      <c r="Q358">
        <f t="shared" si="970"/>
        <v>12843151.788461469</v>
      </c>
      <c r="R358">
        <f t="shared" si="971"/>
        <v>-2777114373.3560114</v>
      </c>
      <c r="S358">
        <f t="shared" si="972"/>
        <v>-27771.143733560115</v>
      </c>
      <c r="T358">
        <f t="shared" si="973"/>
        <v>-27.771143733560116</v>
      </c>
    </row>
    <row r="359" spans="1:20" x14ac:dyDescent="0.25">
      <c r="A359" s="5">
        <v>44234</v>
      </c>
      <c r="B359">
        <v>2.2409999999999999E-2</v>
      </c>
      <c r="C359">
        <v>2.29E-2</v>
      </c>
      <c r="D359">
        <v>2.1010000000000001E-2</v>
      </c>
      <c r="E359">
        <v>2.2419999999999999E-2</v>
      </c>
      <c r="F359">
        <v>56349989.200000003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0.49206349206349054</v>
      </c>
      <c r="Q359">
        <f t="shared" si="970"/>
        <v>27727772.46349198</v>
      </c>
      <c r="R359">
        <f t="shared" si="971"/>
        <v>-2789957525.1444731</v>
      </c>
      <c r="S359">
        <f t="shared" si="972"/>
        <v>-27899.57525144473</v>
      </c>
      <c r="T359">
        <f t="shared" si="973"/>
        <v>-27.89957525144473</v>
      </c>
    </row>
    <row r="360" spans="1:20" x14ac:dyDescent="0.25">
      <c r="A360" s="5">
        <v>44233</v>
      </c>
      <c r="B360">
        <v>2.4119999999999999E-2</v>
      </c>
      <c r="C360">
        <v>2.4709999999999999E-2</v>
      </c>
      <c r="D360">
        <v>2.1700000000000001E-2</v>
      </c>
      <c r="E360">
        <v>2.2370000000000001E-2</v>
      </c>
      <c r="F360">
        <v>135936892.40000001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-0.55481727574750783</v>
      </c>
      <c r="Q360">
        <f t="shared" si="970"/>
        <v>-75420136.314950109</v>
      </c>
      <c r="R360">
        <f t="shared" si="971"/>
        <v>-2817685297.607965</v>
      </c>
      <c r="S360">
        <f t="shared" si="972"/>
        <v>-28176.852976079648</v>
      </c>
      <c r="T360">
        <f t="shared" si="973"/>
        <v>-28.176852976079648</v>
      </c>
    </row>
    <row r="361" spans="1:20" x14ac:dyDescent="0.25">
      <c r="A361" s="5">
        <v>44232</v>
      </c>
      <c r="B361">
        <v>2.5020000000000001E-2</v>
      </c>
      <c r="C361">
        <v>2.699E-2</v>
      </c>
      <c r="D361">
        <v>2.3300000000000001E-2</v>
      </c>
      <c r="E361">
        <v>2.4119999999999999E-2</v>
      </c>
      <c r="F361">
        <v>190085654.30000001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-0.55555555555555658</v>
      </c>
      <c r="Q361">
        <f t="shared" si="970"/>
        <v>-105603141.27777798</v>
      </c>
      <c r="R361">
        <f t="shared" si="971"/>
        <v>-2742265161.293015</v>
      </c>
      <c r="S361">
        <f t="shared" si="972"/>
        <v>-27422.651612930149</v>
      </c>
      <c r="T361">
        <f t="shared" si="973"/>
        <v>-27.422651612930149</v>
      </c>
    </row>
    <row r="362" spans="1:20" x14ac:dyDescent="0.25">
      <c r="A362" s="5">
        <v>44231</v>
      </c>
      <c r="B362">
        <v>3.2899999999999999E-2</v>
      </c>
      <c r="C362">
        <v>3.4849999999999999E-2</v>
      </c>
      <c r="D362">
        <v>2.222E-2</v>
      </c>
      <c r="E362">
        <v>2.5020000000000001E-2</v>
      </c>
      <c r="F362">
        <v>700633129.20000005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-0.55661124307205057</v>
      </c>
      <c r="Q362">
        <f t="shared" si="970"/>
        <v>-389980276.98147261</v>
      </c>
      <c r="R362">
        <f t="shared" si="971"/>
        <v>-2636662020.0152369</v>
      </c>
      <c r="S362">
        <f t="shared" si="972"/>
        <v>-26366.620200152367</v>
      </c>
      <c r="T362">
        <f t="shared" si="973"/>
        <v>-26.366620200152369</v>
      </c>
    </row>
    <row r="363" spans="1:20" x14ac:dyDescent="0.25">
      <c r="A363" s="5">
        <v>44230</v>
      </c>
      <c r="B363">
        <v>1.503E-2</v>
      </c>
      <c r="C363">
        <v>4.4900000000000002E-2</v>
      </c>
      <c r="D363">
        <v>1.4800000000000001E-2</v>
      </c>
      <c r="E363">
        <v>3.2899999999999999E-2</v>
      </c>
      <c r="F363">
        <v>2596225567.8000002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0.2026578073089699</v>
      </c>
      <c r="Q363">
        <f t="shared" si="970"/>
        <v>526145380.84983343</v>
      </c>
      <c r="R363">
        <f t="shared" si="971"/>
        <v>-2246681743.0337644</v>
      </c>
      <c r="S363">
        <f t="shared" si="972"/>
        <v>-22466.817430337644</v>
      </c>
      <c r="T363">
        <f t="shared" si="973"/>
        <v>-22.466817430337645</v>
      </c>
    </row>
    <row r="364" spans="1:20" x14ac:dyDescent="0.25">
      <c r="A364" s="5">
        <v>44229</v>
      </c>
      <c r="B364">
        <v>1.541E-2</v>
      </c>
      <c r="C364">
        <v>1.5599999999999999E-2</v>
      </c>
      <c r="D364">
        <v>1.455E-2</v>
      </c>
      <c r="E364">
        <v>1.503E-2</v>
      </c>
      <c r="F364">
        <v>31278868.399999999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-8.5714285714285618E-2</v>
      </c>
      <c r="Q364">
        <f t="shared" si="970"/>
        <v>-2681045.8628571397</v>
      </c>
      <c r="R364">
        <f t="shared" si="971"/>
        <v>-2772827123.8835979</v>
      </c>
      <c r="S364">
        <f t="shared" si="972"/>
        <v>-27728.27123883598</v>
      </c>
      <c r="T364">
        <f t="shared" si="973"/>
        <v>-27.72827123883598</v>
      </c>
    </row>
    <row r="365" spans="1:20" x14ac:dyDescent="0.25">
      <c r="A365" s="5">
        <v>44228</v>
      </c>
      <c r="B365">
        <v>1.3639999999999999E-2</v>
      </c>
      <c r="C365">
        <v>1.5699999999999999E-2</v>
      </c>
      <c r="D365">
        <v>1.311E-2</v>
      </c>
      <c r="E365">
        <v>1.5509999999999999E-2</v>
      </c>
      <c r="F365">
        <v>52858223.299999997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0.8532818532818538</v>
      </c>
      <c r="Q365">
        <f t="shared" si="970"/>
        <v>45102962.738610066</v>
      </c>
      <c r="R365">
        <f t="shared" si="971"/>
        <v>-2770146078.0207405</v>
      </c>
      <c r="S365">
        <f t="shared" si="972"/>
        <v>-27701.460780207406</v>
      </c>
      <c r="T365">
        <f t="shared" si="973"/>
        <v>-27.701460780207405</v>
      </c>
    </row>
    <row r="366" spans="1:20" x14ac:dyDescent="0.25">
      <c r="A366" s="5">
        <v>44227</v>
      </c>
      <c r="B366">
        <v>1.3220000000000001E-2</v>
      </c>
      <c r="C366">
        <v>1.3979999999999999E-2</v>
      </c>
      <c r="D366">
        <v>1.3010000000000001E-2</v>
      </c>
      <c r="E366">
        <v>1.3639999999999999E-2</v>
      </c>
      <c r="F366">
        <v>30781754.399999999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0.29896907216494745</v>
      </c>
      <c r="Q366">
        <f t="shared" si="970"/>
        <v>9202792.5525772888</v>
      </c>
      <c r="R366">
        <f t="shared" si="971"/>
        <v>-2815249040.7593508</v>
      </c>
      <c r="S366">
        <f t="shared" si="972"/>
        <v>-28152.490407593508</v>
      </c>
      <c r="T366">
        <f t="shared" si="973"/>
        <v>-28.152490407593508</v>
      </c>
    </row>
    <row r="367" spans="1:20" x14ac:dyDescent="0.25">
      <c r="A367" s="5">
        <v>44226</v>
      </c>
      <c r="B367">
        <v>1.2959999999999999E-2</v>
      </c>
      <c r="C367">
        <v>1.4500000000000001E-2</v>
      </c>
      <c r="D367">
        <v>1.204E-2</v>
      </c>
      <c r="E367">
        <v>1.32E-2</v>
      </c>
      <c r="F367">
        <v>61482130.100000001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-5.6910569105691547E-2</v>
      </c>
      <c r="Q367">
        <f t="shared" si="970"/>
        <v>-3498983.0138211683</v>
      </c>
      <c r="R367">
        <f t="shared" si="971"/>
        <v>-2824451833.3119283</v>
      </c>
      <c r="S367">
        <f t="shared" si="972"/>
        <v>-28244.518333119282</v>
      </c>
      <c r="T367">
        <f t="shared" si="973"/>
        <v>-28.244518333119281</v>
      </c>
    </row>
    <row r="368" spans="1:20" x14ac:dyDescent="0.25">
      <c r="A368" s="5">
        <v>44225</v>
      </c>
      <c r="B368">
        <v>1.1979999999999999E-2</v>
      </c>
      <c r="C368">
        <v>1.35E-2</v>
      </c>
      <c r="D368">
        <v>1.132E-2</v>
      </c>
      <c r="E368">
        <v>1.2970000000000001E-2</v>
      </c>
      <c r="F368">
        <v>61600167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0.51376146788990884</v>
      </c>
      <c r="Q368">
        <f t="shared" si="970"/>
        <v>31647792.220183522</v>
      </c>
      <c r="R368">
        <f t="shared" si="971"/>
        <v>-2820952850.2981071</v>
      </c>
      <c r="S368">
        <f t="shared" si="972"/>
        <v>-28209.528502981073</v>
      </c>
      <c r="T368">
        <f t="shared" si="973"/>
        <v>-28.209528502981073</v>
      </c>
    </row>
    <row r="369" spans="1:20" x14ac:dyDescent="0.25">
      <c r="A369" s="5">
        <v>44224</v>
      </c>
      <c r="B369">
        <v>1.077E-2</v>
      </c>
      <c r="C369">
        <v>1.3180000000000001E-2</v>
      </c>
      <c r="D369">
        <v>1.0500000000000001E-2</v>
      </c>
      <c r="E369">
        <v>1.197E-2</v>
      </c>
      <c r="F369">
        <v>49305033.299999997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9.7014925373133609E-2</v>
      </c>
      <c r="Q369">
        <f t="shared" si="970"/>
        <v>4783324.1261193668</v>
      </c>
      <c r="R369">
        <f t="shared" si="971"/>
        <v>-2852600642.5182905</v>
      </c>
      <c r="S369">
        <f t="shared" si="972"/>
        <v>-28526.006425182906</v>
      </c>
      <c r="T369">
        <f t="shared" si="973"/>
        <v>-28.526006425182906</v>
      </c>
    </row>
    <row r="370" spans="1:20" x14ac:dyDescent="0.25">
      <c r="A370" s="5">
        <v>44223</v>
      </c>
      <c r="B370">
        <v>1.255E-2</v>
      </c>
      <c r="C370">
        <v>1.264E-2</v>
      </c>
      <c r="D370">
        <v>9.9600000000000001E-3</v>
      </c>
      <c r="E370">
        <v>1.0749999999999999E-2</v>
      </c>
      <c r="F370">
        <v>31238130.600000001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-0.41044776119403059</v>
      </c>
      <c r="Q370">
        <f t="shared" si="970"/>
        <v>-12821620.76865674</v>
      </c>
      <c r="R370">
        <f t="shared" si="971"/>
        <v>-2857383966.6444097</v>
      </c>
      <c r="S370">
        <f t="shared" si="972"/>
        <v>-28573.839666444095</v>
      </c>
      <c r="T370">
        <f t="shared" si="973"/>
        <v>-28.573839666444094</v>
      </c>
    </row>
    <row r="371" spans="1:20" x14ac:dyDescent="0.25">
      <c r="A371" s="5">
        <v>44222</v>
      </c>
      <c r="B371">
        <v>1.2070000000000001E-2</v>
      </c>
      <c r="C371">
        <v>1.269E-2</v>
      </c>
      <c r="D371">
        <v>1.1900000000000001E-2</v>
      </c>
      <c r="E371">
        <v>1.255E-2</v>
      </c>
      <c r="F371">
        <v>15440552.199999999</v>
      </c>
      <c r="G371">
        <v>0</v>
      </c>
      <c r="L371" t="s">
        <v>8</v>
      </c>
      <c r="M371" t="s">
        <v>8</v>
      </c>
      <c r="N371" t="s">
        <v>7</v>
      </c>
      <c r="P371">
        <f t="shared" si="969"/>
        <v>0.64556962025316544</v>
      </c>
      <c r="Q371">
        <f t="shared" si="970"/>
        <v>9967951.4202531781</v>
      </c>
      <c r="R371">
        <f t="shared" si="971"/>
        <v>-2844562345.8757529</v>
      </c>
      <c r="S371">
        <f t="shared" si="972"/>
        <v>-28445.623458757531</v>
      </c>
      <c r="T371">
        <f t="shared" si="973"/>
        <v>-28.445623458757531</v>
      </c>
    </row>
    <row r="372" spans="1:20" x14ac:dyDescent="0.25">
      <c r="A372" s="5">
        <v>44221</v>
      </c>
      <c r="B372">
        <v>1.268E-2</v>
      </c>
      <c r="C372">
        <v>1.3520000000000001E-2</v>
      </c>
      <c r="D372">
        <v>1.175E-2</v>
      </c>
      <c r="E372">
        <v>1.214E-2</v>
      </c>
      <c r="F372">
        <v>27565355.199999999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-0.55932203389830559</v>
      </c>
      <c r="Q372">
        <f t="shared" si="970"/>
        <v>-15417910.535593234</v>
      </c>
      <c r="R372">
        <f t="shared" si="971"/>
        <v>-2854530297.2960062</v>
      </c>
      <c r="S372">
        <f t="shared" si="972"/>
        <v>-28545.30297296006</v>
      </c>
      <c r="T372">
        <f t="shared" si="973"/>
        <v>-28.545302972960059</v>
      </c>
    </row>
    <row r="373" spans="1:20" x14ac:dyDescent="0.25">
      <c r="A373" s="5">
        <v>44220</v>
      </c>
      <c r="B373">
        <v>1.268E-2</v>
      </c>
      <c r="C373">
        <v>1.306E-2</v>
      </c>
      <c r="D373">
        <v>1.2279999999999999E-2</v>
      </c>
      <c r="E373">
        <v>1.2749999999999999E-2</v>
      </c>
      <c r="F373">
        <v>33363836.100000001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0.20512820512820312</v>
      </c>
      <c r="Q373">
        <f t="shared" si="970"/>
        <v>6843863.8153845491</v>
      </c>
      <c r="R373">
        <f t="shared" si="971"/>
        <v>-2839112386.7604132</v>
      </c>
      <c r="S373">
        <f t="shared" si="972"/>
        <v>-28391.123867604132</v>
      </c>
      <c r="T373">
        <f t="shared" si="973"/>
        <v>-28.391123867604133</v>
      </c>
    </row>
    <row r="374" spans="1:20" x14ac:dyDescent="0.25">
      <c r="A374" s="5">
        <v>44219</v>
      </c>
      <c r="B374">
        <v>1.274E-2</v>
      </c>
      <c r="C374">
        <v>1.3089999999999999E-2</v>
      </c>
      <c r="D374">
        <v>1.223E-2</v>
      </c>
      <c r="E374">
        <v>1.2749999999999999E-2</v>
      </c>
      <c r="F374">
        <v>15169538.300000001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0.20930232558139497</v>
      </c>
      <c r="Q374">
        <f t="shared" si="970"/>
        <v>3175019.6441860409</v>
      </c>
      <c r="R374">
        <f t="shared" si="971"/>
        <v>-2845956250.5757976</v>
      </c>
      <c r="S374">
        <f t="shared" si="972"/>
        <v>-28459.562505757975</v>
      </c>
      <c r="T374">
        <f t="shared" si="973"/>
        <v>-28.459562505757976</v>
      </c>
    </row>
    <row r="375" spans="1:20" x14ac:dyDescent="0.25">
      <c r="A375" s="5">
        <v>44218</v>
      </c>
      <c r="B375">
        <v>1.2239999999999999E-2</v>
      </c>
      <c r="C375">
        <v>1.324E-2</v>
      </c>
      <c r="D375">
        <v>1.123E-2</v>
      </c>
      <c r="E375">
        <v>1.277E-2</v>
      </c>
      <c r="F375">
        <v>44305208.200000003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0.53233830845771146</v>
      </c>
      <c r="Q375">
        <f t="shared" si="970"/>
        <v>23585359.58905473</v>
      </c>
      <c r="R375">
        <f t="shared" si="971"/>
        <v>-2849131270.2199836</v>
      </c>
      <c r="S375">
        <f t="shared" si="972"/>
        <v>-28491.312702199837</v>
      </c>
      <c r="T375">
        <f t="shared" si="973"/>
        <v>-28.491312702199838</v>
      </c>
    </row>
    <row r="376" spans="1:20" x14ac:dyDescent="0.25">
      <c r="A376" s="5">
        <v>44217</v>
      </c>
      <c r="B376">
        <v>1.37E-2</v>
      </c>
      <c r="C376">
        <v>1.404E-2</v>
      </c>
      <c r="D376">
        <v>1.2109999999999999E-2</v>
      </c>
      <c r="E376">
        <v>1.2239999999999999E-2</v>
      </c>
      <c r="F376">
        <v>111316735.8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-0.86528497409326444</v>
      </c>
      <c r="Q376">
        <f t="shared" si="970"/>
        <v>-96320698.852849767</v>
      </c>
      <c r="R376">
        <f t="shared" si="971"/>
        <v>-2872716629.8090382</v>
      </c>
      <c r="S376">
        <f t="shared" si="972"/>
        <v>-28727.166298090382</v>
      </c>
      <c r="T376">
        <f t="shared" si="973"/>
        <v>-28.727166298090381</v>
      </c>
    </row>
    <row r="377" spans="1:20" x14ac:dyDescent="0.25">
      <c r="A377" s="5">
        <v>44216</v>
      </c>
      <c r="B377">
        <v>1.3899999999999999E-2</v>
      </c>
      <c r="C377">
        <v>1.456E-2</v>
      </c>
      <c r="D377">
        <v>1.299E-2</v>
      </c>
      <c r="E377">
        <v>1.3690000000000001E-2</v>
      </c>
      <c r="F377">
        <v>58570784.5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-0.10828025477706896</v>
      </c>
      <c r="Q377">
        <f t="shared" si="970"/>
        <v>-6342059.4681528015</v>
      </c>
      <c r="R377">
        <f t="shared" si="971"/>
        <v>-2776395930.9561882</v>
      </c>
      <c r="S377">
        <f t="shared" si="972"/>
        <v>-27763.95930956188</v>
      </c>
      <c r="T377">
        <f t="shared" si="973"/>
        <v>-27.76395930956188</v>
      </c>
    </row>
    <row r="378" spans="1:20" x14ac:dyDescent="0.25">
      <c r="A378" s="5">
        <v>44215</v>
      </c>
      <c r="B378">
        <v>1.515E-2</v>
      </c>
      <c r="C378">
        <v>1.559E-2</v>
      </c>
      <c r="D378">
        <v>1.3899999999999999E-2</v>
      </c>
      <c r="E378">
        <v>1.396E-2</v>
      </c>
      <c r="F378">
        <v>60621068.200000003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-0.92899408284023555</v>
      </c>
      <c r="Q378">
        <f t="shared" si="970"/>
        <v>-56316613.653254375</v>
      </c>
      <c r="R378">
        <f t="shared" si="971"/>
        <v>-2770053871.4880352</v>
      </c>
      <c r="S378">
        <f t="shared" si="972"/>
        <v>-27700.538714880353</v>
      </c>
      <c r="T378">
        <f t="shared" si="973"/>
        <v>-27.700538714880352</v>
      </c>
    </row>
    <row r="379" spans="1:20" x14ac:dyDescent="0.25">
      <c r="A379" s="5">
        <v>44214</v>
      </c>
      <c r="B379">
        <v>1.4279999999999999E-2</v>
      </c>
      <c r="C379">
        <v>1.78E-2</v>
      </c>
      <c r="D379">
        <v>1.3610000000000001E-2</v>
      </c>
      <c r="E379">
        <v>1.5089999999999999E-2</v>
      </c>
      <c r="F379">
        <v>4155767903.6999998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-0.2935560859188549</v>
      </c>
      <c r="Q379">
        <f t="shared" si="970"/>
        <v>-1219950959.7973766</v>
      </c>
      <c r="R379">
        <f t="shared" si="971"/>
        <v>-2713737257.8347807</v>
      </c>
      <c r="S379">
        <f t="shared" si="972"/>
        <v>-27137.372578347808</v>
      </c>
      <c r="T379">
        <f t="shared" si="973"/>
        <v>-27.137372578347808</v>
      </c>
    </row>
    <row r="380" spans="1:20" x14ac:dyDescent="0.25">
      <c r="A380" s="5">
        <v>44213</v>
      </c>
      <c r="B380">
        <v>1.6330000000000001E-2</v>
      </c>
      <c r="C380">
        <v>1.695E-2</v>
      </c>
      <c r="D380">
        <v>1.2500000000000001E-2</v>
      </c>
      <c r="E380">
        <v>1.4290000000000001E-2</v>
      </c>
      <c r="F380">
        <v>1161449197.8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-0.19550561797752797</v>
      </c>
      <c r="Q380">
        <f t="shared" si="970"/>
        <v>-227069843.16539311</v>
      </c>
      <c r="R380">
        <f t="shared" si="971"/>
        <v>-1493786298.0374043</v>
      </c>
      <c r="S380">
        <f t="shared" si="972"/>
        <v>-14937.862980374042</v>
      </c>
      <c r="T380">
        <f t="shared" si="973"/>
        <v>-14.937862980374042</v>
      </c>
    </row>
    <row r="381" spans="1:20" x14ac:dyDescent="0.25">
      <c r="A381" s="5">
        <v>44212</v>
      </c>
      <c r="B381">
        <v>9.7900000000000001E-3</v>
      </c>
      <c r="C381">
        <v>1.7489999999999999E-2</v>
      </c>
      <c r="D381">
        <v>9.6799999999999994E-3</v>
      </c>
      <c r="E381">
        <v>1.6299999999999999E-2</v>
      </c>
      <c r="F381">
        <v>1675933628.3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0.69526248399487833</v>
      </c>
      <c r="Q381">
        <f t="shared" si="970"/>
        <v>1165213777.4224072</v>
      </c>
      <c r="R381">
        <f t="shared" si="971"/>
        <v>-1266716454.8720112</v>
      </c>
      <c r="S381">
        <f t="shared" si="972"/>
        <v>-12667.164548720111</v>
      </c>
      <c r="T381">
        <f t="shared" si="973"/>
        <v>-12.667164548720111</v>
      </c>
    </row>
    <row r="382" spans="1:20" x14ac:dyDescent="0.25">
      <c r="A382" s="5">
        <v>44211</v>
      </c>
      <c r="B382">
        <v>1.026E-2</v>
      </c>
      <c r="C382">
        <v>1.056E-2</v>
      </c>
      <c r="D382">
        <v>9.1500000000000001E-3</v>
      </c>
      <c r="E382">
        <v>9.7999999999999997E-3</v>
      </c>
      <c r="F382">
        <v>48430004.5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-7.8014184397163649E-2</v>
      </c>
      <c r="Q382">
        <f t="shared" si="970"/>
        <v>-3778227.3014184656</v>
      </c>
      <c r="R382">
        <f t="shared" si="971"/>
        <v>-2431930232.2944183</v>
      </c>
      <c r="S382">
        <f t="shared" si="972"/>
        <v>-24319.302322944182</v>
      </c>
      <c r="T382">
        <f t="shared" si="973"/>
        <v>-24.319302322944182</v>
      </c>
    </row>
    <row r="383" spans="1:20" x14ac:dyDescent="0.25">
      <c r="A383" s="5">
        <v>44210</v>
      </c>
      <c r="B383">
        <v>0.01</v>
      </c>
      <c r="C383">
        <v>1.03E-2</v>
      </c>
      <c r="D383">
        <v>9.6799999999999994E-3</v>
      </c>
      <c r="E383">
        <v>1.027E-2</v>
      </c>
      <c r="F383">
        <v>28217812.5</v>
      </c>
      <c r="G383">
        <v>0</v>
      </c>
      <c r="L383" t="s">
        <v>7</v>
      </c>
      <c r="M383" t="s">
        <v>8</v>
      </c>
      <c r="N383" t="s">
        <v>7</v>
      </c>
      <c r="P383">
        <f t="shared" si="969"/>
        <v>0.90322580645161132</v>
      </c>
      <c r="Q383">
        <f t="shared" si="970"/>
        <v>25487056.45161286</v>
      </c>
      <c r="R383">
        <f t="shared" si="971"/>
        <v>-2428152004.993</v>
      </c>
      <c r="S383">
        <f t="shared" si="972"/>
        <v>-24281.520049930001</v>
      </c>
      <c r="T383">
        <f t="shared" si="973"/>
        <v>-24.281520049930002</v>
      </c>
    </row>
    <row r="384" spans="1:20" x14ac:dyDescent="0.25">
      <c r="A384" s="5">
        <v>44209</v>
      </c>
      <c r="B384">
        <v>9.4699999999999993E-3</v>
      </c>
      <c r="C384">
        <v>1.0699999999999999E-2</v>
      </c>
      <c r="D384">
        <v>9.0299999999999998E-3</v>
      </c>
      <c r="E384">
        <v>9.8799999999999999E-3</v>
      </c>
      <c r="F384">
        <v>18879863.300000001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1.7964071856287737E-2</v>
      </c>
      <c r="Q384">
        <f t="shared" si="970"/>
        <v>339159.22095808975</v>
      </c>
      <c r="R384">
        <f t="shared" si="971"/>
        <v>-2453639061.444613</v>
      </c>
      <c r="S384">
        <f t="shared" si="972"/>
        <v>-24536.390614446129</v>
      </c>
      <c r="T384">
        <f t="shared" si="973"/>
        <v>-24.53639061444613</v>
      </c>
    </row>
    <row r="385" spans="1:20" x14ac:dyDescent="0.25">
      <c r="A385" s="5">
        <v>44208</v>
      </c>
      <c r="B385">
        <v>9.5999999999999992E-3</v>
      </c>
      <c r="C385">
        <v>1.014E-2</v>
      </c>
      <c r="D385">
        <v>8.8999999999999999E-3</v>
      </c>
      <c r="E385">
        <v>9.4599999999999997E-3</v>
      </c>
      <c r="F385">
        <v>19470992.5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-9.6774193548387372E-2</v>
      </c>
      <c r="Q385">
        <f t="shared" si="970"/>
        <v>-1884289.5967741988</v>
      </c>
      <c r="R385">
        <f t="shared" si="971"/>
        <v>-2453978220.6655712</v>
      </c>
      <c r="S385">
        <f t="shared" si="972"/>
        <v>-24539.782206655713</v>
      </c>
      <c r="T385">
        <f t="shared" si="973"/>
        <v>-24.539782206655712</v>
      </c>
    </row>
    <row r="386" spans="1:20" x14ac:dyDescent="0.25">
      <c r="A386" s="5">
        <v>44207</v>
      </c>
      <c r="B386">
        <v>1.0500000000000001E-2</v>
      </c>
      <c r="C386">
        <v>1.1900000000000001E-2</v>
      </c>
      <c r="D386">
        <v>8.3899999999999999E-3</v>
      </c>
      <c r="E386">
        <v>9.5499999999999995E-3</v>
      </c>
      <c r="F386">
        <v>45596488.600000001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-0.33903133903133947</v>
      </c>
      <c r="Q386">
        <f t="shared" si="970"/>
        <v>-15458638.585185206</v>
      </c>
      <c r="R386">
        <f t="shared" si="971"/>
        <v>-2452093931.0687971</v>
      </c>
      <c r="S386">
        <f t="shared" si="972"/>
        <v>-24520.939310687972</v>
      </c>
      <c r="T386">
        <f t="shared" si="973"/>
        <v>-24.520939310687972</v>
      </c>
    </row>
    <row r="387" spans="1:20" x14ac:dyDescent="0.25">
      <c r="A387" s="5">
        <v>44206</v>
      </c>
      <c r="B387">
        <v>1.128E-2</v>
      </c>
      <c r="C387">
        <v>1.1639999999999999E-2</v>
      </c>
      <c r="D387">
        <v>9.7999999999999997E-3</v>
      </c>
      <c r="E387">
        <v>1.056E-2</v>
      </c>
      <c r="F387">
        <v>37544551.299999997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-0.17391304347826042</v>
      </c>
      <c r="Q387">
        <f t="shared" si="970"/>
        <v>-6529487.182608678</v>
      </c>
      <c r="R387">
        <f t="shared" si="971"/>
        <v>-2436635292.4836121</v>
      </c>
      <c r="S387">
        <f t="shared" si="972"/>
        <v>-24366.352924836119</v>
      </c>
      <c r="T387">
        <f t="shared" si="973"/>
        <v>-24.366352924836118</v>
      </c>
    </row>
    <row r="388" spans="1:20" x14ac:dyDescent="0.25">
      <c r="A388" s="5">
        <v>44205</v>
      </c>
      <c r="B388">
        <v>1.115E-2</v>
      </c>
      <c r="C388">
        <v>1.2579999999999999E-2</v>
      </c>
      <c r="D388">
        <v>1.0710000000000001E-2</v>
      </c>
      <c r="E388">
        <v>1.123E-2</v>
      </c>
      <c r="F388">
        <v>80776702.200000003</v>
      </c>
      <c r="G388">
        <v>0</v>
      </c>
      <c r="L388" t="s">
        <v>7</v>
      </c>
      <c r="M388" t="s">
        <v>7</v>
      </c>
      <c r="N388" t="s">
        <v>8</v>
      </c>
      <c r="P388">
        <f t="shared" si="969"/>
        <v>-0.44385026737967909</v>
      </c>
      <c r="Q388">
        <f t="shared" si="970"/>
        <v>-35852760.869518712</v>
      </c>
      <c r="R388">
        <f t="shared" si="971"/>
        <v>-2430105805.3010035</v>
      </c>
      <c r="S388">
        <f t="shared" si="972"/>
        <v>-24301.058053010034</v>
      </c>
      <c r="T388">
        <f t="shared" si="973"/>
        <v>-24.301058053010035</v>
      </c>
    </row>
    <row r="389" spans="1:20" x14ac:dyDescent="0.25">
      <c r="A389" s="5">
        <v>44204</v>
      </c>
      <c r="B389">
        <v>9.6299999999999997E-3</v>
      </c>
      <c r="C389">
        <v>1.35E-2</v>
      </c>
      <c r="D389">
        <v>9.5999999999999992E-3</v>
      </c>
      <c r="E389">
        <v>1.115E-2</v>
      </c>
      <c r="F389">
        <v>109196714.2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-0.20512820512820473</v>
      </c>
      <c r="Q389">
        <f t="shared" si="970"/>
        <v>-22399325.989743546</v>
      </c>
      <c r="R389">
        <f t="shared" si="971"/>
        <v>-2394253044.4314847</v>
      </c>
      <c r="S389">
        <f t="shared" si="972"/>
        <v>-23942.530444314845</v>
      </c>
      <c r="T389">
        <f t="shared" si="973"/>
        <v>-23.942530444314844</v>
      </c>
    </row>
    <row r="390" spans="1:20" x14ac:dyDescent="0.25">
      <c r="A390" s="5">
        <v>44203</v>
      </c>
      <c r="B390">
        <v>1.0059999999999999E-2</v>
      </c>
      <c r="C390">
        <v>1.018E-2</v>
      </c>
      <c r="D390">
        <v>9.3900000000000008E-3</v>
      </c>
      <c r="E390">
        <v>9.6399999999999993E-3</v>
      </c>
      <c r="F390">
        <v>52063912.899999999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-0.36708860759493978</v>
      </c>
      <c r="Q390">
        <f t="shared" ref="Q390:Q453" si="975">F390*P390</f>
        <v>-19112069.292405222</v>
      </c>
      <c r="R390">
        <f t="shared" ref="R390:R453" si="976">R391+Q390</f>
        <v>-2371853718.441741</v>
      </c>
      <c r="S390">
        <f t="shared" ref="S390:S453" si="977">R390/100000</f>
        <v>-23718.537184417411</v>
      </c>
      <c r="T390">
        <f t="shared" ref="T390:T453" si="978">S390/1000</f>
        <v>-23.718537184417411</v>
      </c>
    </row>
    <row r="391" spans="1:20" x14ac:dyDescent="0.25">
      <c r="A391" s="5">
        <v>44202</v>
      </c>
      <c r="B391">
        <v>9.6699999999999998E-3</v>
      </c>
      <c r="C391">
        <v>1.039E-2</v>
      </c>
      <c r="D391">
        <v>9.3399999999999993E-3</v>
      </c>
      <c r="E391">
        <v>1.0019999999999999E-2</v>
      </c>
      <c r="F391">
        <v>44648584.899999999</v>
      </c>
      <c r="G391">
        <v>0</v>
      </c>
      <c r="L391" t="s">
        <v>7</v>
      </c>
      <c r="M391" t="s">
        <v>8</v>
      </c>
      <c r="N391" t="s">
        <v>7</v>
      </c>
      <c r="P391">
        <f t="shared" si="974"/>
        <v>0.29523809523809463</v>
      </c>
      <c r="Q391">
        <f t="shared" si="975"/>
        <v>13181963.160952354</v>
      </c>
      <c r="R391">
        <f t="shared" si="976"/>
        <v>-2352741649.1493359</v>
      </c>
      <c r="S391">
        <f t="shared" si="977"/>
        <v>-23527.416491493357</v>
      </c>
      <c r="T391">
        <f t="shared" si="978"/>
        <v>-23.527416491493359</v>
      </c>
    </row>
    <row r="392" spans="1:20" x14ac:dyDescent="0.25">
      <c r="A392" s="5">
        <v>44201</v>
      </c>
      <c r="B392">
        <v>8.8500000000000002E-3</v>
      </c>
      <c r="C392">
        <v>1.039E-2</v>
      </c>
      <c r="D392">
        <v>8.6199999999999992E-3</v>
      </c>
      <c r="E392">
        <v>9.6600000000000002E-3</v>
      </c>
      <c r="F392">
        <v>38684557.399999999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0.17514124293785374</v>
      </c>
      <c r="Q392">
        <f t="shared" si="975"/>
        <v>6775261.4655367471</v>
      </c>
      <c r="R392">
        <f t="shared" si="976"/>
        <v>-2365923612.3102884</v>
      </c>
      <c r="S392">
        <f t="shared" si="977"/>
        <v>-23659.236123102884</v>
      </c>
      <c r="T392">
        <f t="shared" si="978"/>
        <v>-23.659236123102886</v>
      </c>
    </row>
    <row r="393" spans="1:20" x14ac:dyDescent="0.25">
      <c r="A393" s="5">
        <v>44200</v>
      </c>
      <c r="B393">
        <v>8.8299999999999993E-3</v>
      </c>
      <c r="C393">
        <v>9.4999999999999998E-3</v>
      </c>
      <c r="D393">
        <v>8.5100000000000002E-3</v>
      </c>
      <c r="E393">
        <v>8.8400000000000006E-3</v>
      </c>
      <c r="F393">
        <v>38733949</v>
      </c>
      <c r="G393">
        <v>0</v>
      </c>
      <c r="L393" t="s">
        <v>8</v>
      </c>
      <c r="M393" t="s">
        <v>7</v>
      </c>
      <c r="N393" t="s">
        <v>7</v>
      </c>
      <c r="P393">
        <f t="shared" si="974"/>
        <v>-0.33333333333333215</v>
      </c>
      <c r="Q393">
        <f t="shared" si="975"/>
        <v>-12911316.333333287</v>
      </c>
      <c r="R393">
        <f t="shared" si="976"/>
        <v>-2372698873.775825</v>
      </c>
      <c r="S393">
        <f t="shared" si="977"/>
        <v>-23726.988737758249</v>
      </c>
      <c r="T393">
        <f t="shared" si="978"/>
        <v>-23.726988737758248</v>
      </c>
    </row>
    <row r="394" spans="1:20" x14ac:dyDescent="0.25">
      <c r="A394" s="5">
        <v>44199</v>
      </c>
      <c r="B394">
        <v>9.3299999999999998E-3</v>
      </c>
      <c r="C394">
        <v>9.8300000000000002E-3</v>
      </c>
      <c r="D394">
        <v>8.5599999999999999E-3</v>
      </c>
      <c r="E394">
        <v>8.8299999999999993E-3</v>
      </c>
      <c r="F394">
        <v>122741481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-0.57480314960630019</v>
      </c>
      <c r="Q394">
        <f t="shared" si="975"/>
        <v>-70552189.866141856</v>
      </c>
      <c r="R394">
        <f t="shared" si="976"/>
        <v>-2359787557.4424915</v>
      </c>
      <c r="S394">
        <f t="shared" si="977"/>
        <v>-23597.875574424914</v>
      </c>
      <c r="T394">
        <f t="shared" si="978"/>
        <v>-23.597875574424915</v>
      </c>
    </row>
    <row r="395" spans="1:20" x14ac:dyDescent="0.25">
      <c r="A395" s="5">
        <v>44198</v>
      </c>
      <c r="B395">
        <v>9.75E-3</v>
      </c>
      <c r="C395">
        <v>1.06E-2</v>
      </c>
      <c r="D395">
        <v>9.0900000000000009E-3</v>
      </c>
      <c r="E395">
        <v>9.41E-3</v>
      </c>
      <c r="F395">
        <v>58440392.299999997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-0.57615894039735194</v>
      </c>
      <c r="Q395">
        <f t="shared" si="975"/>
        <v>-33670954.503973566</v>
      </c>
      <c r="R395">
        <f t="shared" si="976"/>
        <v>-2289235367.5763497</v>
      </c>
      <c r="S395">
        <f t="shared" si="977"/>
        <v>-22892.353675763497</v>
      </c>
      <c r="T395">
        <f t="shared" si="978"/>
        <v>-22.892353675763498</v>
      </c>
    </row>
    <row r="396" spans="1:20" x14ac:dyDescent="0.25">
      <c r="A396" s="5">
        <v>44197</v>
      </c>
      <c r="B396">
        <v>9.3399999999999993E-3</v>
      </c>
      <c r="C396">
        <v>1.1509999999999999E-2</v>
      </c>
      <c r="D396">
        <v>9.2499999999999995E-3</v>
      </c>
      <c r="E396">
        <v>9.7699999999999992E-3</v>
      </c>
      <c r="F396">
        <v>88652228.299999997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-0.53982300884955781</v>
      </c>
      <c r="Q396">
        <f t="shared" si="975"/>
        <v>-47856512.622123919</v>
      </c>
      <c r="R396">
        <f t="shared" si="976"/>
        <v>-2255564413.0723763</v>
      </c>
      <c r="S396">
        <f t="shared" si="977"/>
        <v>-22555.644130723762</v>
      </c>
      <c r="T396">
        <f t="shared" si="978"/>
        <v>-22.555644130723763</v>
      </c>
    </row>
    <row r="397" spans="1:20" x14ac:dyDescent="0.25">
      <c r="A397" s="5">
        <v>44196</v>
      </c>
      <c r="B397">
        <v>9.8799999999999999E-3</v>
      </c>
      <c r="C397">
        <v>1.0109999999999999E-2</v>
      </c>
      <c r="D397">
        <v>8.7899999999999992E-3</v>
      </c>
      <c r="E397">
        <v>9.4400000000000005E-3</v>
      </c>
      <c r="F397">
        <v>33019758.300000001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-1.5151515151513219E-2</v>
      </c>
      <c r="Q397">
        <f t="shared" si="975"/>
        <v>-500299.36818175437</v>
      </c>
      <c r="R397">
        <f t="shared" si="976"/>
        <v>-2207707900.4502525</v>
      </c>
      <c r="S397">
        <f t="shared" si="977"/>
        <v>-22077.079004502524</v>
      </c>
      <c r="T397">
        <f t="shared" si="978"/>
        <v>-22.077079004502526</v>
      </c>
    </row>
    <row r="398" spans="1:20" x14ac:dyDescent="0.25">
      <c r="A398" s="5">
        <v>44195</v>
      </c>
      <c r="B398">
        <v>1.0630000000000001E-2</v>
      </c>
      <c r="C398">
        <v>1.068E-2</v>
      </c>
      <c r="D398">
        <v>9.2099999999999994E-3</v>
      </c>
      <c r="E398">
        <v>9.8399999999999998E-3</v>
      </c>
      <c r="F398">
        <v>70567265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-0.14285714285714285</v>
      </c>
      <c r="Q398">
        <f t="shared" si="975"/>
        <v>-10081037.857142856</v>
      </c>
      <c r="R398">
        <f t="shared" si="976"/>
        <v>-2207207601.0820708</v>
      </c>
      <c r="S398">
        <f t="shared" si="977"/>
        <v>-22072.076010820707</v>
      </c>
      <c r="T398">
        <f t="shared" si="978"/>
        <v>-22.072076010820705</v>
      </c>
    </row>
    <row r="399" spans="1:20" x14ac:dyDescent="0.25">
      <c r="A399" s="5">
        <v>44194</v>
      </c>
      <c r="B399">
        <v>1.115E-2</v>
      </c>
      <c r="C399">
        <v>1.1259999999999999E-2</v>
      </c>
      <c r="D399">
        <v>1.0109999999999999E-2</v>
      </c>
      <c r="E399">
        <v>1.0540000000000001E-2</v>
      </c>
      <c r="F399">
        <v>58909409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-0.25217391304347553</v>
      </c>
      <c r="Q399">
        <f t="shared" si="975"/>
        <v>-14855416.182608536</v>
      </c>
      <c r="R399">
        <f t="shared" si="976"/>
        <v>-2197126563.2249279</v>
      </c>
      <c r="S399">
        <f t="shared" si="977"/>
        <v>-21971.26563224928</v>
      </c>
      <c r="T399">
        <f t="shared" si="978"/>
        <v>-21.971265632249281</v>
      </c>
    </row>
    <row r="400" spans="1:20" x14ac:dyDescent="0.25">
      <c r="A400" s="5">
        <v>44193</v>
      </c>
      <c r="B400">
        <v>1.2409999999999999E-2</v>
      </c>
      <c r="C400">
        <v>1.29E-2</v>
      </c>
      <c r="D400">
        <v>1.1039999999999999E-2</v>
      </c>
      <c r="E400">
        <v>1.112E-2</v>
      </c>
      <c r="F400">
        <v>77453920.900000006</v>
      </c>
      <c r="G400">
        <v>0</v>
      </c>
      <c r="L400" t="s">
        <v>7</v>
      </c>
      <c r="M400" t="s">
        <v>7</v>
      </c>
      <c r="N400" t="s">
        <v>8</v>
      </c>
      <c r="P400">
        <f t="shared" si="974"/>
        <v>-0.91397849462365577</v>
      </c>
      <c r="Q400">
        <f t="shared" si="975"/>
        <v>-70791218.02688171</v>
      </c>
      <c r="R400">
        <f t="shared" si="976"/>
        <v>-2182271147.0423193</v>
      </c>
      <c r="S400">
        <f t="shared" si="977"/>
        <v>-21822.711470423194</v>
      </c>
      <c r="T400">
        <f t="shared" si="978"/>
        <v>-21.822711470423194</v>
      </c>
    </row>
    <row r="401" spans="1:20" x14ac:dyDescent="0.25">
      <c r="A401" s="5">
        <v>44192</v>
      </c>
      <c r="B401">
        <v>1.2489999999999999E-2</v>
      </c>
      <c r="C401">
        <v>1.3610000000000001E-2</v>
      </c>
      <c r="D401">
        <v>1.1780000000000001E-2</v>
      </c>
      <c r="E401">
        <v>1.234E-2</v>
      </c>
      <c r="F401">
        <v>144751667.19999999</v>
      </c>
      <c r="G401">
        <v>0</v>
      </c>
      <c r="L401" t="s">
        <v>7</v>
      </c>
      <c r="M401" t="s">
        <v>7</v>
      </c>
      <c r="N401" t="s">
        <v>8</v>
      </c>
      <c r="P401">
        <f t="shared" si="974"/>
        <v>-0.38797814207650305</v>
      </c>
      <c r="Q401">
        <f t="shared" si="975"/>
        <v>-56160482.902732283</v>
      </c>
      <c r="R401">
        <f t="shared" si="976"/>
        <v>-2111479929.0154374</v>
      </c>
      <c r="S401">
        <f t="shared" si="977"/>
        <v>-21114.799290154373</v>
      </c>
      <c r="T401">
        <f t="shared" si="978"/>
        <v>-21.114799290154373</v>
      </c>
    </row>
    <row r="402" spans="1:20" x14ac:dyDescent="0.25">
      <c r="A402" s="5">
        <v>44191</v>
      </c>
      <c r="B402">
        <v>1.1129999999999999E-2</v>
      </c>
      <c r="C402">
        <v>1.3899999999999999E-2</v>
      </c>
      <c r="D402">
        <v>1.1010000000000001E-2</v>
      </c>
      <c r="E402">
        <v>1.2500000000000001E-2</v>
      </c>
      <c r="F402">
        <v>290072877.89999998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3.1141868512111277E-2</v>
      </c>
      <c r="Q402">
        <f t="shared" si="975"/>
        <v>9033411.4224915076</v>
      </c>
      <c r="R402">
        <f t="shared" si="976"/>
        <v>-2055319446.112705</v>
      </c>
      <c r="S402">
        <f t="shared" si="977"/>
        <v>-20553.194461127048</v>
      </c>
      <c r="T402">
        <f t="shared" si="978"/>
        <v>-20.553194461127049</v>
      </c>
    </row>
    <row r="403" spans="1:20" x14ac:dyDescent="0.25">
      <c r="A403" s="5">
        <v>44190</v>
      </c>
      <c r="B403">
        <v>1.1650000000000001E-2</v>
      </c>
      <c r="C403">
        <v>1.295E-2</v>
      </c>
      <c r="D403">
        <v>1.059E-2</v>
      </c>
      <c r="E403">
        <v>1.1129999999999999E-2</v>
      </c>
      <c r="F403">
        <v>247842910.09999999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-0.54237288135593309</v>
      </c>
      <c r="Q403">
        <f t="shared" si="975"/>
        <v>-134423273.27457649</v>
      </c>
      <c r="R403">
        <f t="shared" si="976"/>
        <v>-2064352857.5351965</v>
      </c>
      <c r="S403">
        <f t="shared" si="977"/>
        <v>-20643.528575351964</v>
      </c>
      <c r="T403">
        <f t="shared" si="978"/>
        <v>-20.643528575351965</v>
      </c>
    </row>
    <row r="404" spans="1:20" x14ac:dyDescent="0.25">
      <c r="A404" s="5">
        <v>44189</v>
      </c>
      <c r="B404">
        <v>1.0279999999999999E-2</v>
      </c>
      <c r="C404">
        <v>1.355E-2</v>
      </c>
      <c r="D404">
        <v>9.1699999999999993E-3</v>
      </c>
      <c r="E404">
        <v>1.1650000000000001E-2</v>
      </c>
      <c r="F404">
        <v>192020867.09999999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0.13242009132420146</v>
      </c>
      <c r="Q404">
        <f t="shared" si="975"/>
        <v>25427420.757534351</v>
      </c>
      <c r="R404">
        <f t="shared" si="976"/>
        <v>-1929929584.2606201</v>
      </c>
      <c r="S404">
        <f t="shared" si="977"/>
        <v>-19299.2958426062</v>
      </c>
      <c r="T404">
        <f t="shared" si="978"/>
        <v>-19.299295842606199</v>
      </c>
    </row>
    <row r="405" spans="1:20" x14ac:dyDescent="0.25">
      <c r="A405" s="5">
        <v>44188</v>
      </c>
      <c r="B405">
        <v>1.278E-2</v>
      </c>
      <c r="C405">
        <v>1.5740000000000001E-2</v>
      </c>
      <c r="D405">
        <v>9.7199999999999995E-3</v>
      </c>
      <c r="E405">
        <v>1.026E-2</v>
      </c>
      <c r="F405">
        <v>427245297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-0.8205980066445181</v>
      </c>
      <c r="Q405">
        <f t="shared" si="975"/>
        <v>-350596639.06644511</v>
      </c>
      <c r="R405">
        <f t="shared" si="976"/>
        <v>-1955357005.0181544</v>
      </c>
      <c r="S405">
        <f t="shared" si="977"/>
        <v>-19553.570050181545</v>
      </c>
      <c r="T405">
        <f t="shared" si="978"/>
        <v>-19.553570050181545</v>
      </c>
    </row>
    <row r="406" spans="1:20" x14ac:dyDescent="0.25">
      <c r="A406" s="5">
        <v>44187</v>
      </c>
      <c r="B406">
        <v>1.0460000000000001E-2</v>
      </c>
      <c r="C406">
        <v>1.6E-2</v>
      </c>
      <c r="D406">
        <v>9.75E-3</v>
      </c>
      <c r="E406">
        <v>1.274E-2</v>
      </c>
      <c r="F406">
        <v>675700019.20000005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-4.3200000000000183E-2</v>
      </c>
      <c r="Q406">
        <f t="shared" si="975"/>
        <v>-29190240.829440124</v>
      </c>
      <c r="R406">
        <f t="shared" si="976"/>
        <v>-1604760365.9517093</v>
      </c>
      <c r="S406">
        <f t="shared" si="977"/>
        <v>-16047.603659517094</v>
      </c>
      <c r="T406">
        <f t="shared" si="978"/>
        <v>-16.047603659517094</v>
      </c>
    </row>
    <row r="407" spans="1:20" x14ac:dyDescent="0.25">
      <c r="A407" s="5">
        <v>44186</v>
      </c>
      <c r="B407">
        <v>1.268E-2</v>
      </c>
      <c r="C407">
        <v>1.8079999999999999E-2</v>
      </c>
      <c r="D407">
        <v>8.8199999999999997E-3</v>
      </c>
      <c r="E407">
        <v>1.0460000000000001E-2</v>
      </c>
      <c r="F407">
        <v>883743240.89999998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-0.64578833693304516</v>
      </c>
      <c r="Q407">
        <f t="shared" si="975"/>
        <v>-570711077.81663048</v>
      </c>
      <c r="R407">
        <f t="shared" si="976"/>
        <v>-1575570125.1222692</v>
      </c>
      <c r="S407">
        <f t="shared" si="977"/>
        <v>-15755.701251222692</v>
      </c>
      <c r="T407">
        <f t="shared" si="978"/>
        <v>-15.755701251222693</v>
      </c>
    </row>
    <row r="408" spans="1:20" x14ac:dyDescent="0.25">
      <c r="A408" s="5">
        <v>44185</v>
      </c>
      <c r="B408">
        <v>7.62E-3</v>
      </c>
      <c r="C408">
        <v>2.3259999999999999E-2</v>
      </c>
      <c r="D408">
        <v>7.3800000000000003E-3</v>
      </c>
      <c r="E408">
        <v>1.268E-2</v>
      </c>
      <c r="F408">
        <v>1599904299.5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-0.33249370277078083</v>
      </c>
      <c r="Q408">
        <f t="shared" si="975"/>
        <v>-531958104.61964732</v>
      </c>
      <c r="R408">
        <f t="shared" si="976"/>
        <v>-1004859047.3056387</v>
      </c>
      <c r="S408">
        <f t="shared" si="977"/>
        <v>-10048.590473056387</v>
      </c>
      <c r="T408">
        <f t="shared" si="978"/>
        <v>-10.048590473056388</v>
      </c>
    </row>
    <row r="409" spans="1:20" x14ac:dyDescent="0.25">
      <c r="A409" s="5">
        <v>44184</v>
      </c>
      <c r="B409">
        <v>7.2300000000000003E-3</v>
      </c>
      <c r="C409">
        <v>7.7499999999999999E-3</v>
      </c>
      <c r="D409">
        <v>7.1199999999999996E-3</v>
      </c>
      <c r="E409">
        <v>7.5799999999999999E-3</v>
      </c>
      <c r="F409">
        <v>26009154.699999999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0.46031746031746057</v>
      </c>
      <c r="Q409">
        <f t="shared" si="975"/>
        <v>11972468.036507944</v>
      </c>
      <c r="R409">
        <f t="shared" si="976"/>
        <v>-472900942.68599135</v>
      </c>
      <c r="S409">
        <f t="shared" si="977"/>
        <v>-4729.0094268599132</v>
      </c>
      <c r="T409">
        <f t="shared" si="978"/>
        <v>-4.7290094268599132</v>
      </c>
    </row>
    <row r="410" spans="1:20" x14ac:dyDescent="0.25">
      <c r="A410" s="5">
        <v>44183</v>
      </c>
      <c r="B410">
        <v>6.7999999999999996E-3</v>
      </c>
      <c r="C410">
        <v>7.2300000000000003E-3</v>
      </c>
      <c r="D410">
        <v>6.7200000000000003E-3</v>
      </c>
      <c r="E410">
        <v>7.2300000000000003E-3</v>
      </c>
      <c r="F410">
        <v>16384278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1</v>
      </c>
      <c r="Q410">
        <f t="shared" si="975"/>
        <v>16384278</v>
      </c>
      <c r="R410">
        <f t="shared" si="976"/>
        <v>-484873410.72249931</v>
      </c>
      <c r="S410">
        <f t="shared" si="977"/>
        <v>-4848.7341072249928</v>
      </c>
      <c r="T410">
        <f t="shared" si="978"/>
        <v>-4.8487341072249928</v>
      </c>
    </row>
    <row r="411" spans="1:20" x14ac:dyDescent="0.25">
      <c r="A411" s="5">
        <v>44182</v>
      </c>
      <c r="B411">
        <v>7.1799999999999998E-3</v>
      </c>
      <c r="C411">
        <v>7.3000000000000001E-3</v>
      </c>
      <c r="D411">
        <v>6.7000000000000002E-3</v>
      </c>
      <c r="E411">
        <v>6.8700000000000002E-3</v>
      </c>
      <c r="F411">
        <v>26210615.800000001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-0.43333333333333313</v>
      </c>
      <c r="Q411">
        <f t="shared" si="975"/>
        <v>-11357933.513333328</v>
      </c>
      <c r="R411">
        <f t="shared" si="976"/>
        <v>-501257688.72249931</v>
      </c>
      <c r="S411">
        <f t="shared" si="977"/>
        <v>-5012.5768872249928</v>
      </c>
      <c r="T411">
        <f t="shared" si="978"/>
        <v>-5.0125768872249932</v>
      </c>
    </row>
    <row r="412" spans="1:20" x14ac:dyDescent="0.25">
      <c r="A412" s="5">
        <v>44181</v>
      </c>
      <c r="B412">
        <v>7.0200000000000002E-3</v>
      </c>
      <c r="C412">
        <v>7.7799999999999996E-3</v>
      </c>
      <c r="D412">
        <v>6.7000000000000002E-3</v>
      </c>
      <c r="E412">
        <v>7.1700000000000002E-3</v>
      </c>
      <c r="F412">
        <v>114638668.7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-0.12962962962962923</v>
      </c>
      <c r="Q412">
        <f t="shared" si="975"/>
        <v>-14860568.16481477</v>
      </c>
      <c r="R412">
        <f t="shared" si="976"/>
        <v>-489899755.20916599</v>
      </c>
      <c r="S412">
        <f t="shared" si="977"/>
        <v>-4898.9975520916596</v>
      </c>
      <c r="T412">
        <f t="shared" si="978"/>
        <v>-4.89899755209166</v>
      </c>
    </row>
    <row r="413" spans="1:20" x14ac:dyDescent="0.25">
      <c r="A413" s="5">
        <v>44180</v>
      </c>
      <c r="B413">
        <v>7.4200000000000004E-3</v>
      </c>
      <c r="C413">
        <v>7.45E-3</v>
      </c>
      <c r="D413">
        <v>6.96E-3</v>
      </c>
      <c r="E413">
        <v>7.0899999999999999E-3</v>
      </c>
      <c r="F413">
        <v>9918868.4000000004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-0.46938775510204117</v>
      </c>
      <c r="Q413">
        <f t="shared" si="975"/>
        <v>-4655795.3714285754</v>
      </c>
      <c r="R413">
        <f t="shared" si="976"/>
        <v>-475039187.04435122</v>
      </c>
      <c r="S413">
        <f t="shared" si="977"/>
        <v>-4750.3918704435118</v>
      </c>
      <c r="T413">
        <f t="shared" si="978"/>
        <v>-4.7503918704435115</v>
      </c>
    </row>
    <row r="414" spans="1:20" x14ac:dyDescent="0.25">
      <c r="A414" s="5">
        <v>44179</v>
      </c>
      <c r="B414">
        <v>7.0899999999999999E-3</v>
      </c>
      <c r="C414">
        <v>7.6800000000000002E-3</v>
      </c>
      <c r="D414">
        <v>6.94E-3</v>
      </c>
      <c r="E414">
        <v>7.4200000000000004E-3</v>
      </c>
      <c r="F414">
        <v>36783254.200000003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0.29729729729729798</v>
      </c>
      <c r="Q414">
        <f t="shared" si="975"/>
        <v>10935562.059459485</v>
      </c>
      <c r="R414">
        <f t="shared" si="976"/>
        <v>-470383391.67292267</v>
      </c>
      <c r="S414">
        <f t="shared" si="977"/>
        <v>-4703.833916729227</v>
      </c>
      <c r="T414">
        <f t="shared" si="978"/>
        <v>-4.7038339167292271</v>
      </c>
    </row>
    <row r="415" spans="1:20" x14ac:dyDescent="0.25">
      <c r="A415" s="5">
        <v>44178</v>
      </c>
      <c r="B415">
        <v>7.2399999999999999E-3</v>
      </c>
      <c r="C415">
        <v>7.6400000000000001E-3</v>
      </c>
      <c r="D415">
        <v>6.8900000000000003E-3</v>
      </c>
      <c r="E415">
        <v>7.0800000000000004E-3</v>
      </c>
      <c r="F415">
        <v>29728603.899999999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-0.49333333333333301</v>
      </c>
      <c r="Q415">
        <f t="shared" si="975"/>
        <v>-14666111.257333323</v>
      </c>
      <c r="R415">
        <f t="shared" si="976"/>
        <v>-481318953.73238218</v>
      </c>
      <c r="S415">
        <f t="shared" si="977"/>
        <v>-4813.1895373238222</v>
      </c>
      <c r="T415">
        <f t="shared" si="978"/>
        <v>-4.8131895373238223</v>
      </c>
    </row>
    <row r="416" spans="1:20" x14ac:dyDescent="0.25">
      <c r="A416" s="5">
        <v>44177</v>
      </c>
      <c r="B416">
        <v>6.5199999999999998E-3</v>
      </c>
      <c r="C416">
        <v>7.4599999999999996E-3</v>
      </c>
      <c r="D416">
        <v>6.3299999999999997E-3</v>
      </c>
      <c r="E416">
        <v>7.2500000000000004E-3</v>
      </c>
      <c r="F416">
        <v>36192425.600000001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0.62831858407079777</v>
      </c>
      <c r="Q416">
        <f t="shared" si="975"/>
        <v>22740373.607079696</v>
      </c>
      <c r="R416">
        <f t="shared" si="976"/>
        <v>-466652842.47504884</v>
      </c>
      <c r="S416">
        <f t="shared" si="977"/>
        <v>-4666.5284247504887</v>
      </c>
      <c r="T416">
        <f t="shared" si="978"/>
        <v>-4.6665284247504886</v>
      </c>
    </row>
    <row r="417" spans="1:20" x14ac:dyDescent="0.25">
      <c r="A417" s="5">
        <v>44176</v>
      </c>
      <c r="B417">
        <v>6.3899999999999998E-3</v>
      </c>
      <c r="C417">
        <v>6.6899999999999998E-3</v>
      </c>
      <c r="D417">
        <v>6.13E-3</v>
      </c>
      <c r="E417">
        <v>6.4400000000000004E-3</v>
      </c>
      <c r="F417">
        <v>30520224.600000001</v>
      </c>
      <c r="G417">
        <v>0</v>
      </c>
      <c r="L417" t="s">
        <v>8</v>
      </c>
      <c r="M417" t="s">
        <v>7</v>
      </c>
      <c r="N417" t="s">
        <v>7</v>
      </c>
      <c r="P417">
        <f t="shared" si="974"/>
        <v>0.10714285714285902</v>
      </c>
      <c r="Q417">
        <f t="shared" si="975"/>
        <v>3270024.0642857719</v>
      </c>
      <c r="R417">
        <f t="shared" si="976"/>
        <v>-489393216.08212852</v>
      </c>
      <c r="S417">
        <f t="shared" si="977"/>
        <v>-4893.9321608212849</v>
      </c>
      <c r="T417">
        <f t="shared" si="978"/>
        <v>-4.8939321608212847</v>
      </c>
    </row>
    <row r="418" spans="1:20" x14ac:dyDescent="0.25">
      <c r="A418" s="5">
        <v>44175</v>
      </c>
      <c r="B418">
        <v>6.3800000000000003E-3</v>
      </c>
      <c r="C418">
        <v>6.45E-3</v>
      </c>
      <c r="D418">
        <v>6.0800000000000003E-3</v>
      </c>
      <c r="E418">
        <v>6.3400000000000001E-3</v>
      </c>
      <c r="F418">
        <v>6003165.2000000002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0.40540540540540565</v>
      </c>
      <c r="Q418">
        <f t="shared" si="975"/>
        <v>2433715.6216216232</v>
      </c>
      <c r="R418">
        <f t="shared" si="976"/>
        <v>-492663240.14641428</v>
      </c>
      <c r="S418">
        <f t="shared" si="977"/>
        <v>-4926.6324014641432</v>
      </c>
      <c r="T418">
        <f t="shared" si="978"/>
        <v>-4.9266324014641434</v>
      </c>
    </row>
    <row r="419" spans="1:20" x14ac:dyDescent="0.25">
      <c r="A419" s="5">
        <v>44174</v>
      </c>
      <c r="B419">
        <v>6.1599999999999997E-3</v>
      </c>
      <c r="C419">
        <v>6.6E-3</v>
      </c>
      <c r="D419">
        <v>6.0299999999999998E-3</v>
      </c>
      <c r="E419">
        <v>6.4599999999999996E-3</v>
      </c>
      <c r="F419">
        <v>16581647.800000001</v>
      </c>
      <c r="G419">
        <v>0</v>
      </c>
      <c r="L419" t="s">
        <v>8</v>
      </c>
      <c r="M419" t="s">
        <v>7</v>
      </c>
      <c r="N419" t="s">
        <v>7</v>
      </c>
      <c r="P419">
        <f t="shared" si="974"/>
        <v>0.50877192982456032</v>
      </c>
      <c r="Q419">
        <f t="shared" si="975"/>
        <v>8436276.9508771747</v>
      </c>
      <c r="R419">
        <f t="shared" si="976"/>
        <v>-495096955.76803589</v>
      </c>
      <c r="S419">
        <f t="shared" si="977"/>
        <v>-4950.9695576803588</v>
      </c>
      <c r="T419">
        <f t="shared" si="978"/>
        <v>-4.9509695576803585</v>
      </c>
    </row>
    <row r="420" spans="1:20" x14ac:dyDescent="0.25">
      <c r="A420" s="5">
        <v>44173</v>
      </c>
      <c r="B420">
        <v>6.8100000000000001E-3</v>
      </c>
      <c r="C420">
        <v>6.8300000000000001E-3</v>
      </c>
      <c r="D420">
        <v>6.0099999999999997E-3</v>
      </c>
      <c r="E420">
        <v>6.1199999999999996E-3</v>
      </c>
      <c r="F420">
        <v>17340449.600000001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-0.73170731707317127</v>
      </c>
      <c r="Q420">
        <f t="shared" si="975"/>
        <v>-12688133.853658548</v>
      </c>
      <c r="R420">
        <f t="shared" si="976"/>
        <v>-503533232.71891308</v>
      </c>
      <c r="S420">
        <f t="shared" si="977"/>
        <v>-5035.3323271891304</v>
      </c>
      <c r="T420">
        <f t="shared" si="978"/>
        <v>-5.0353323271891304</v>
      </c>
    </row>
    <row r="421" spans="1:20" x14ac:dyDescent="0.25">
      <c r="A421" s="5">
        <v>44172</v>
      </c>
      <c r="B421">
        <v>6.7799999999999996E-3</v>
      </c>
      <c r="C421">
        <v>7.0000000000000001E-3</v>
      </c>
      <c r="D421">
        <v>6.6600000000000001E-3</v>
      </c>
      <c r="E421">
        <v>6.7400000000000003E-3</v>
      </c>
      <c r="F421">
        <v>12098386.5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-0.52941176470588114</v>
      </c>
      <c r="Q421">
        <f t="shared" si="975"/>
        <v>-6405028.1470588092</v>
      </c>
      <c r="R421">
        <f t="shared" si="976"/>
        <v>-490845098.86525452</v>
      </c>
      <c r="S421">
        <f t="shared" si="977"/>
        <v>-4908.4509886525448</v>
      </c>
      <c r="T421">
        <f t="shared" si="978"/>
        <v>-4.9084509886525449</v>
      </c>
    </row>
    <row r="422" spans="1:20" x14ac:dyDescent="0.25">
      <c r="A422" s="5">
        <v>44171</v>
      </c>
      <c r="B422">
        <v>7.0499999999999998E-3</v>
      </c>
      <c r="C422">
        <v>7.11E-3</v>
      </c>
      <c r="D422">
        <v>6.6299999999999996E-3</v>
      </c>
      <c r="E422">
        <v>6.8300000000000001E-3</v>
      </c>
      <c r="F422">
        <v>8149142.7999999998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-0.16666666666666516</v>
      </c>
      <c r="Q422">
        <f t="shared" si="975"/>
        <v>-1358190.4666666545</v>
      </c>
      <c r="R422">
        <f t="shared" si="976"/>
        <v>-484440070.71819574</v>
      </c>
      <c r="S422">
        <f t="shared" si="977"/>
        <v>-4844.4007071819569</v>
      </c>
      <c r="T422">
        <f t="shared" si="978"/>
        <v>-4.8444007071819568</v>
      </c>
    </row>
    <row r="423" spans="1:20" x14ac:dyDescent="0.25">
      <c r="A423" s="5">
        <v>44170</v>
      </c>
      <c r="B423">
        <v>6.6600000000000001E-3</v>
      </c>
      <c r="C423">
        <v>7.0699999999999999E-3</v>
      </c>
      <c r="D423">
        <v>6.6400000000000001E-3</v>
      </c>
      <c r="E423">
        <v>7.0099999999999997E-3</v>
      </c>
      <c r="F423">
        <v>10372574.699999999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0.72093023255813871</v>
      </c>
      <c r="Q423">
        <f t="shared" si="975"/>
        <v>7477902.6906976653</v>
      </c>
      <c r="R423">
        <f t="shared" si="976"/>
        <v>-483081880.2515291</v>
      </c>
      <c r="S423">
        <f t="shared" si="977"/>
        <v>-4830.8188025152913</v>
      </c>
      <c r="T423">
        <f t="shared" si="978"/>
        <v>-4.8308188025152914</v>
      </c>
    </row>
    <row r="424" spans="1:20" x14ac:dyDescent="0.25">
      <c r="A424" s="5">
        <v>44169</v>
      </c>
      <c r="B424">
        <v>7.4799999999999997E-3</v>
      </c>
      <c r="C424">
        <v>7.5100000000000002E-3</v>
      </c>
      <c r="D424">
        <v>6.5500000000000003E-3</v>
      </c>
      <c r="E424">
        <v>6.6600000000000001E-3</v>
      </c>
      <c r="F424">
        <v>12802453.9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-0.77083333333333359</v>
      </c>
      <c r="Q424">
        <f t="shared" si="975"/>
        <v>-9868558.2145833373</v>
      </c>
      <c r="R424">
        <f t="shared" si="976"/>
        <v>-490559782.94222677</v>
      </c>
      <c r="S424">
        <f t="shared" si="977"/>
        <v>-4905.5978294222678</v>
      </c>
      <c r="T424">
        <f t="shared" si="978"/>
        <v>-4.905597829422268</v>
      </c>
    </row>
    <row r="425" spans="1:20" x14ac:dyDescent="0.25">
      <c r="A425" s="5">
        <v>44168</v>
      </c>
      <c r="B425">
        <v>7.0200000000000002E-3</v>
      </c>
      <c r="C425">
        <v>7.7799999999999996E-3</v>
      </c>
      <c r="D425">
        <v>6.8799999999999998E-3</v>
      </c>
      <c r="E425">
        <v>7.45E-3</v>
      </c>
      <c r="F425">
        <v>17513697.300000001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0.26666666666666744</v>
      </c>
      <c r="Q425">
        <f t="shared" si="975"/>
        <v>4670319.2800000133</v>
      </c>
      <c r="R425">
        <f t="shared" si="976"/>
        <v>-480691224.72764343</v>
      </c>
      <c r="S425">
        <f t="shared" si="977"/>
        <v>-4806.9122472764348</v>
      </c>
      <c r="T425">
        <f t="shared" si="978"/>
        <v>-4.8069122472764345</v>
      </c>
    </row>
    <row r="426" spans="1:20" x14ac:dyDescent="0.25">
      <c r="A426" s="5">
        <v>44167</v>
      </c>
      <c r="B426">
        <v>6.8500000000000002E-3</v>
      </c>
      <c r="C426">
        <v>7.4700000000000001E-3</v>
      </c>
      <c r="D426">
        <v>6.6600000000000001E-3</v>
      </c>
      <c r="E426">
        <v>7.0400000000000003E-3</v>
      </c>
      <c r="F426">
        <v>22020127.199999999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-6.1728395061728024E-2</v>
      </c>
      <c r="Q426">
        <f t="shared" si="975"/>
        <v>-1359267.1111111029</v>
      </c>
      <c r="R426">
        <f t="shared" si="976"/>
        <v>-485361544.00764346</v>
      </c>
      <c r="S426">
        <f t="shared" si="977"/>
        <v>-4853.6154400764344</v>
      </c>
      <c r="T426">
        <f t="shared" si="978"/>
        <v>-4.8536154400764344</v>
      </c>
    </row>
    <row r="427" spans="1:20" x14ac:dyDescent="0.25">
      <c r="A427" s="5">
        <v>44166</v>
      </c>
      <c r="B427">
        <v>6.8599999999999998E-3</v>
      </c>
      <c r="C427">
        <v>7.4700000000000001E-3</v>
      </c>
      <c r="D427">
        <v>6.6899999999999998E-3</v>
      </c>
      <c r="E427">
        <v>6.8500000000000002E-3</v>
      </c>
      <c r="F427">
        <v>21659854.300000001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-0.58974358974358887</v>
      </c>
      <c r="Q427">
        <f t="shared" si="975"/>
        <v>-12773760.228205109</v>
      </c>
      <c r="R427">
        <f t="shared" si="976"/>
        <v>-484002276.89653236</v>
      </c>
      <c r="S427">
        <f t="shared" si="977"/>
        <v>-4840.0227689653238</v>
      </c>
      <c r="T427">
        <f t="shared" si="978"/>
        <v>-4.8400227689653237</v>
      </c>
    </row>
    <row r="428" spans="1:20" x14ac:dyDescent="0.25">
      <c r="A428" s="5">
        <v>44165</v>
      </c>
      <c r="B428">
        <v>6.7799999999999996E-3</v>
      </c>
      <c r="C428">
        <v>7.1000000000000004E-3</v>
      </c>
      <c r="D428">
        <v>6.5500000000000003E-3</v>
      </c>
      <c r="E428">
        <v>6.8799999999999998E-3</v>
      </c>
      <c r="F428">
        <v>15528887.1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0.1999999999999981</v>
      </c>
      <c r="Q428">
        <f t="shared" si="975"/>
        <v>3105777.4199999706</v>
      </c>
      <c r="R428">
        <f t="shared" si="976"/>
        <v>-471228516.66832727</v>
      </c>
      <c r="S428">
        <f t="shared" si="977"/>
        <v>-4712.285166683273</v>
      </c>
      <c r="T428">
        <f t="shared" si="978"/>
        <v>-4.712285166683273</v>
      </c>
    </row>
    <row r="429" spans="1:20" x14ac:dyDescent="0.25">
      <c r="A429" s="5">
        <v>44164</v>
      </c>
      <c r="B429">
        <v>6.9199999999999999E-3</v>
      </c>
      <c r="C429">
        <v>7.0600000000000003E-3</v>
      </c>
      <c r="D429">
        <v>6.6699999999999997E-3</v>
      </c>
      <c r="E429">
        <v>6.79E-3</v>
      </c>
      <c r="F429">
        <v>13204081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-0.38461538461538392</v>
      </c>
      <c r="Q429">
        <f t="shared" si="975"/>
        <v>-5078492.6923076827</v>
      </c>
      <c r="R429">
        <f t="shared" si="976"/>
        <v>-474334294.08832723</v>
      </c>
      <c r="S429">
        <f t="shared" si="977"/>
        <v>-4743.3429408832726</v>
      </c>
      <c r="T429">
        <f t="shared" si="978"/>
        <v>-4.7433429408832728</v>
      </c>
    </row>
    <row r="430" spans="1:20" x14ac:dyDescent="0.25">
      <c r="A430" s="5">
        <v>44163</v>
      </c>
      <c r="B430">
        <v>6.8199999999999997E-3</v>
      </c>
      <c r="C430">
        <v>7.1000000000000004E-3</v>
      </c>
      <c r="D430">
        <v>6.6400000000000001E-3</v>
      </c>
      <c r="E430">
        <v>6.9300000000000004E-3</v>
      </c>
      <c r="F430">
        <v>11772194.4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0.2608695652173918</v>
      </c>
      <c r="Q430">
        <f t="shared" si="975"/>
        <v>3071007.2347826147</v>
      </c>
      <c r="R430">
        <f t="shared" si="976"/>
        <v>-469255801.39601952</v>
      </c>
      <c r="S430">
        <f t="shared" si="977"/>
        <v>-4692.5580139601952</v>
      </c>
      <c r="T430">
        <f t="shared" si="978"/>
        <v>-4.6925580139601957</v>
      </c>
    </row>
    <row r="431" spans="1:20" x14ac:dyDescent="0.25">
      <c r="A431" s="5">
        <v>44162</v>
      </c>
      <c r="B431">
        <v>6.6100000000000004E-3</v>
      </c>
      <c r="C431">
        <v>6.8999999999999999E-3</v>
      </c>
      <c r="D431">
        <v>6.2599999999999999E-3</v>
      </c>
      <c r="E431">
        <v>6.7999999999999996E-3</v>
      </c>
      <c r="F431">
        <v>23512592.600000001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0.68749999999999911</v>
      </c>
      <c r="Q431">
        <f t="shared" si="975"/>
        <v>16164907.412499981</v>
      </c>
      <c r="R431">
        <f t="shared" si="976"/>
        <v>-472326808.63080215</v>
      </c>
      <c r="S431">
        <f t="shared" si="977"/>
        <v>-4723.2680863080213</v>
      </c>
      <c r="T431">
        <f t="shared" si="978"/>
        <v>-4.7232680863080212</v>
      </c>
    </row>
    <row r="432" spans="1:20" x14ac:dyDescent="0.25">
      <c r="A432" s="5">
        <v>44161</v>
      </c>
      <c r="B432">
        <v>7.8700000000000003E-3</v>
      </c>
      <c r="C432">
        <v>8.2000000000000007E-3</v>
      </c>
      <c r="D432">
        <v>6.1999999999999998E-3</v>
      </c>
      <c r="E432">
        <v>6.5799999999999999E-3</v>
      </c>
      <c r="F432">
        <v>34961267.200000003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-0.62</v>
      </c>
      <c r="Q432">
        <f t="shared" si="975"/>
        <v>-21675985.664000001</v>
      </c>
      <c r="R432">
        <f t="shared" si="976"/>
        <v>-488491716.04330212</v>
      </c>
      <c r="S432">
        <f t="shared" si="977"/>
        <v>-4884.9171604330213</v>
      </c>
      <c r="T432">
        <f t="shared" si="978"/>
        <v>-4.8849171604330213</v>
      </c>
    </row>
    <row r="433" spans="1:20" x14ac:dyDescent="0.25">
      <c r="A433" s="5">
        <v>44160</v>
      </c>
      <c r="B433">
        <v>8.09E-3</v>
      </c>
      <c r="C433">
        <v>8.7899999999999992E-3</v>
      </c>
      <c r="D433">
        <v>7.3800000000000003E-3</v>
      </c>
      <c r="E433">
        <v>7.8200000000000006E-3</v>
      </c>
      <c r="F433">
        <v>39943511.700000003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-0.37588652482269413</v>
      </c>
      <c r="Q433">
        <f t="shared" si="975"/>
        <v>-15014227.802127624</v>
      </c>
      <c r="R433">
        <f t="shared" si="976"/>
        <v>-466815730.37930214</v>
      </c>
      <c r="S433">
        <f t="shared" si="977"/>
        <v>-4668.1573037930211</v>
      </c>
      <c r="T433">
        <f t="shared" si="978"/>
        <v>-4.6681573037930209</v>
      </c>
    </row>
    <row r="434" spans="1:20" x14ac:dyDescent="0.25">
      <c r="A434" s="5">
        <v>44159</v>
      </c>
      <c r="B434">
        <v>7.5599999999999999E-3</v>
      </c>
      <c r="C434">
        <v>8.2900000000000005E-3</v>
      </c>
      <c r="D434">
        <v>7.2399999999999999E-3</v>
      </c>
      <c r="E434">
        <v>8.0499999999999999E-3</v>
      </c>
      <c r="F434">
        <v>32826015.100000001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0.54285714285714193</v>
      </c>
      <c r="Q434">
        <f t="shared" si="975"/>
        <v>17819836.768571399</v>
      </c>
      <c r="R434">
        <f t="shared" si="976"/>
        <v>-451801502.57717454</v>
      </c>
      <c r="S434">
        <f t="shared" si="977"/>
        <v>-4518.0150257717451</v>
      </c>
      <c r="T434">
        <f t="shared" si="978"/>
        <v>-4.5180150257717449</v>
      </c>
    </row>
    <row r="435" spans="1:20" x14ac:dyDescent="0.25">
      <c r="A435" s="5">
        <v>44158</v>
      </c>
      <c r="B435">
        <v>7.3800000000000003E-3</v>
      </c>
      <c r="C435">
        <v>7.9100000000000004E-3</v>
      </c>
      <c r="D435">
        <v>7.1700000000000002E-3</v>
      </c>
      <c r="E435">
        <v>7.6E-3</v>
      </c>
      <c r="F435">
        <v>21204682.199999999</v>
      </c>
      <c r="G435">
        <v>0</v>
      </c>
      <c r="L435" t="s">
        <v>7</v>
      </c>
      <c r="M435" t="s">
        <v>8</v>
      </c>
      <c r="N435" t="s">
        <v>8</v>
      </c>
      <c r="P435">
        <f t="shared" si="974"/>
        <v>0.16216216216216137</v>
      </c>
      <c r="Q435">
        <f t="shared" si="975"/>
        <v>3438597.1135134967</v>
      </c>
      <c r="R435">
        <f t="shared" si="976"/>
        <v>-469621339.34574592</v>
      </c>
      <c r="S435">
        <f t="shared" si="977"/>
        <v>-4696.2133934574595</v>
      </c>
      <c r="T435">
        <f t="shared" si="978"/>
        <v>-4.6962133934574597</v>
      </c>
    </row>
    <row r="436" spans="1:20" x14ac:dyDescent="0.25">
      <c r="A436" s="5">
        <v>44157</v>
      </c>
      <c r="B436">
        <v>7.3299999999999997E-3</v>
      </c>
      <c r="C436">
        <v>8.1499999999999993E-3</v>
      </c>
      <c r="D436">
        <v>7.1199999999999996E-3</v>
      </c>
      <c r="E436">
        <v>7.3699999999999998E-3</v>
      </c>
      <c r="F436">
        <v>41169068.600000001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-0.51456310679611594</v>
      </c>
      <c r="Q436">
        <f t="shared" si="975"/>
        <v>-21184083.842718422</v>
      </c>
      <c r="R436">
        <f t="shared" si="976"/>
        <v>-473059936.45925939</v>
      </c>
      <c r="S436">
        <f t="shared" si="977"/>
        <v>-4730.5993645925937</v>
      </c>
      <c r="T436">
        <f t="shared" si="978"/>
        <v>-4.7305993645925941</v>
      </c>
    </row>
    <row r="437" spans="1:20" x14ac:dyDescent="0.25">
      <c r="A437" s="5">
        <v>44156</v>
      </c>
      <c r="B437">
        <v>6.8399999999999997E-3</v>
      </c>
      <c r="C437">
        <v>7.3099999999999997E-3</v>
      </c>
      <c r="D437">
        <v>6.6699999999999997E-3</v>
      </c>
      <c r="E437">
        <v>7.2700000000000004E-3</v>
      </c>
      <c r="F437">
        <v>13096929.699999999</v>
      </c>
      <c r="G437">
        <v>0</v>
      </c>
      <c r="L437" t="s">
        <v>7</v>
      </c>
      <c r="M437" t="s">
        <v>7</v>
      </c>
      <c r="N437" t="s">
        <v>8</v>
      </c>
      <c r="P437">
        <f t="shared" si="974"/>
        <v>0.87500000000000233</v>
      </c>
      <c r="Q437">
        <f t="shared" si="975"/>
        <v>11459813.487500031</v>
      </c>
      <c r="R437">
        <f t="shared" si="976"/>
        <v>-451875852.61654097</v>
      </c>
      <c r="S437">
        <f t="shared" si="977"/>
        <v>-4518.7585261654094</v>
      </c>
      <c r="T437">
        <f t="shared" si="978"/>
        <v>-4.5187585261654091</v>
      </c>
    </row>
    <row r="438" spans="1:20" x14ac:dyDescent="0.25">
      <c r="A438" s="5">
        <v>44155</v>
      </c>
      <c r="B438">
        <v>7.0000000000000001E-3</v>
      </c>
      <c r="C438">
        <v>7.0499999999999998E-3</v>
      </c>
      <c r="D438">
        <v>6.77E-3</v>
      </c>
      <c r="E438">
        <v>6.7799999999999996E-3</v>
      </c>
      <c r="F438">
        <v>7597890.7999999998</v>
      </c>
      <c r="G438">
        <v>0</v>
      </c>
      <c r="L438" t="s">
        <v>7</v>
      </c>
      <c r="M438" t="s">
        <v>7</v>
      </c>
      <c r="N438" t="s">
        <v>8</v>
      </c>
      <c r="P438">
        <f t="shared" si="974"/>
        <v>-0.92857142857143149</v>
      </c>
      <c r="Q438">
        <f t="shared" si="975"/>
        <v>-7055184.3142857365</v>
      </c>
      <c r="R438">
        <f t="shared" si="976"/>
        <v>-463335666.10404098</v>
      </c>
      <c r="S438">
        <f t="shared" si="977"/>
        <v>-4633.3566610404096</v>
      </c>
      <c r="T438">
        <f t="shared" si="978"/>
        <v>-4.63335666104041</v>
      </c>
    </row>
    <row r="439" spans="1:20" x14ac:dyDescent="0.25">
      <c r="A439" s="5">
        <v>44154</v>
      </c>
      <c r="B439">
        <v>6.7099999999999998E-3</v>
      </c>
      <c r="C439">
        <v>7.28E-3</v>
      </c>
      <c r="D439">
        <v>6.3499999999999997E-3</v>
      </c>
      <c r="E439">
        <v>6.96E-3</v>
      </c>
      <c r="F439">
        <v>18948777.600000001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0.31182795698924759</v>
      </c>
      <c r="Q439">
        <f t="shared" si="975"/>
        <v>5908758.6064516185</v>
      </c>
      <c r="R439">
        <f t="shared" si="976"/>
        <v>-456280481.78975523</v>
      </c>
      <c r="S439">
        <f t="shared" si="977"/>
        <v>-4562.8048178975523</v>
      </c>
      <c r="T439">
        <f t="shared" si="978"/>
        <v>-4.5628048178975522</v>
      </c>
    </row>
    <row r="440" spans="1:20" x14ac:dyDescent="0.25">
      <c r="A440" s="5">
        <v>44153</v>
      </c>
      <c r="B440">
        <v>6.5900000000000004E-3</v>
      </c>
      <c r="C440">
        <v>7.6499999999999997E-3</v>
      </c>
      <c r="D440">
        <v>6.0899999999999999E-3</v>
      </c>
      <c r="E440">
        <v>6.6400000000000001E-3</v>
      </c>
      <c r="F440">
        <v>74456189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-0.2948717948717946</v>
      </c>
      <c r="Q440">
        <f t="shared" si="975"/>
        <v>-21955030.089743569</v>
      </c>
      <c r="R440">
        <f t="shared" si="976"/>
        <v>-462189240.39620686</v>
      </c>
      <c r="S440">
        <f t="shared" si="977"/>
        <v>-4621.8924039620688</v>
      </c>
      <c r="T440">
        <f t="shared" si="978"/>
        <v>-4.621892403962069</v>
      </c>
    </row>
    <row r="441" spans="1:20" x14ac:dyDescent="0.25">
      <c r="A441" s="5">
        <v>44152</v>
      </c>
      <c r="B441">
        <v>6.5399999999999998E-3</v>
      </c>
      <c r="C441">
        <v>6.9800000000000001E-3</v>
      </c>
      <c r="D441">
        <v>6.3600000000000002E-3</v>
      </c>
      <c r="E441">
        <v>6.5500000000000003E-3</v>
      </c>
      <c r="F441">
        <v>22766363.699999999</v>
      </c>
      <c r="G441">
        <v>0</v>
      </c>
      <c r="L441" t="s">
        <v>7</v>
      </c>
      <c r="M441" t="s">
        <v>8</v>
      </c>
      <c r="N441" t="s">
        <v>8</v>
      </c>
      <c r="P441">
        <f t="shared" si="974"/>
        <v>-0.3870967741935481</v>
      </c>
      <c r="Q441">
        <f t="shared" si="975"/>
        <v>-8812785.9483870901</v>
      </c>
      <c r="R441">
        <f t="shared" si="976"/>
        <v>-440234210.3064633</v>
      </c>
      <c r="S441">
        <f t="shared" si="977"/>
        <v>-4402.3421030646332</v>
      </c>
      <c r="T441">
        <f t="shared" si="978"/>
        <v>-4.4023421030646332</v>
      </c>
    </row>
    <row r="442" spans="1:20" x14ac:dyDescent="0.25">
      <c r="A442" s="5">
        <v>44151</v>
      </c>
      <c r="B442">
        <v>6.4400000000000004E-3</v>
      </c>
      <c r="C442">
        <v>6.96E-3</v>
      </c>
      <c r="D442">
        <v>6.3600000000000002E-3</v>
      </c>
      <c r="E442">
        <v>6.6E-3</v>
      </c>
      <c r="F442">
        <v>30111354.5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-0.20000000000000057</v>
      </c>
      <c r="Q442">
        <f t="shared" si="975"/>
        <v>-6022270.9000000171</v>
      </c>
      <c r="R442">
        <f t="shared" si="976"/>
        <v>-431421424.35807621</v>
      </c>
      <c r="S442">
        <f t="shared" si="977"/>
        <v>-4314.2142435807618</v>
      </c>
      <c r="T442">
        <f t="shared" si="978"/>
        <v>-4.3142142435807616</v>
      </c>
    </row>
    <row r="443" spans="1:20" x14ac:dyDescent="0.25">
      <c r="A443" s="5">
        <v>44150</v>
      </c>
      <c r="B443">
        <v>6.5799999999999999E-3</v>
      </c>
      <c r="C443">
        <v>7.1999999999999998E-3</v>
      </c>
      <c r="D443">
        <v>6.3E-3</v>
      </c>
      <c r="E443">
        <v>6.4700000000000001E-3</v>
      </c>
      <c r="F443">
        <v>86453799.200000003</v>
      </c>
      <c r="G443">
        <v>0</v>
      </c>
      <c r="L443" t="s">
        <v>7</v>
      </c>
      <c r="M443" t="s">
        <v>8</v>
      </c>
      <c r="N443" t="s">
        <v>8</v>
      </c>
      <c r="P443">
        <f t="shared" si="974"/>
        <v>-0.62222222222222212</v>
      </c>
      <c r="Q443">
        <f t="shared" si="975"/>
        <v>-53793475.05777777</v>
      </c>
      <c r="R443">
        <f t="shared" si="976"/>
        <v>-425399153.45807618</v>
      </c>
      <c r="S443">
        <f t="shared" si="977"/>
        <v>-4253.9915345807622</v>
      </c>
      <c r="T443">
        <f t="shared" si="978"/>
        <v>-4.253991534580762</v>
      </c>
    </row>
    <row r="444" spans="1:20" x14ac:dyDescent="0.25">
      <c r="A444" s="5">
        <v>44149</v>
      </c>
      <c r="B444">
        <v>7.0099999999999997E-3</v>
      </c>
      <c r="C444">
        <v>7.2500000000000004E-3</v>
      </c>
      <c r="D444">
        <v>6.45E-3</v>
      </c>
      <c r="E444">
        <v>6.5399999999999998E-3</v>
      </c>
      <c r="F444">
        <v>32074201.800000001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-0.77500000000000058</v>
      </c>
      <c r="Q444">
        <f t="shared" si="975"/>
        <v>-24857506.395000018</v>
      </c>
      <c r="R444">
        <f t="shared" si="976"/>
        <v>-371605678.40029842</v>
      </c>
      <c r="S444">
        <f t="shared" si="977"/>
        <v>-3716.0567840029844</v>
      </c>
      <c r="T444">
        <f t="shared" si="978"/>
        <v>-3.7160567840029843</v>
      </c>
    </row>
    <row r="445" spans="1:20" x14ac:dyDescent="0.25">
      <c r="A445" s="5">
        <v>44148</v>
      </c>
      <c r="B445">
        <v>6.8900000000000003E-3</v>
      </c>
      <c r="C445">
        <v>7.43E-3</v>
      </c>
      <c r="D445">
        <v>6.8700000000000002E-3</v>
      </c>
      <c r="E445">
        <v>7.0400000000000003E-3</v>
      </c>
      <c r="F445">
        <v>14522300.6</v>
      </c>
      <c r="G445">
        <v>0</v>
      </c>
      <c r="L445" t="s">
        <v>7</v>
      </c>
      <c r="M445" t="s">
        <v>8</v>
      </c>
      <c r="N445" t="s">
        <v>8</v>
      </c>
      <c r="P445">
        <f t="shared" si="974"/>
        <v>-0.39285714285714252</v>
      </c>
      <c r="Q445">
        <f t="shared" si="975"/>
        <v>-5705189.5214285664</v>
      </c>
      <c r="R445">
        <f t="shared" si="976"/>
        <v>-346748172.00529838</v>
      </c>
      <c r="S445">
        <f t="shared" si="977"/>
        <v>-3467.4817200529837</v>
      </c>
      <c r="T445">
        <f t="shared" si="978"/>
        <v>-3.4674817200529837</v>
      </c>
    </row>
    <row r="446" spans="1:20" x14ac:dyDescent="0.25">
      <c r="A446" s="5">
        <v>44147</v>
      </c>
      <c r="B446">
        <v>7.45E-3</v>
      </c>
      <c r="C446">
        <v>7.5500000000000003E-3</v>
      </c>
      <c r="D446">
        <v>6.6499999999999997E-3</v>
      </c>
      <c r="E446">
        <v>6.8700000000000002E-3</v>
      </c>
      <c r="F446">
        <v>12521895.800000001</v>
      </c>
      <c r="G446">
        <v>0</v>
      </c>
      <c r="L446" t="s">
        <v>8</v>
      </c>
      <c r="M446" t="s">
        <v>8</v>
      </c>
      <c r="N446" t="s">
        <v>8</v>
      </c>
      <c r="P446">
        <f t="shared" si="974"/>
        <v>-0.51111111111111018</v>
      </c>
      <c r="Q446">
        <f t="shared" si="975"/>
        <v>-6400080.0755555443</v>
      </c>
      <c r="R446">
        <f t="shared" si="976"/>
        <v>-341042982.48386979</v>
      </c>
      <c r="S446">
        <f t="shared" si="977"/>
        <v>-3410.4298248386981</v>
      </c>
      <c r="T446">
        <f t="shared" si="978"/>
        <v>-3.4104298248386979</v>
      </c>
    </row>
    <row r="447" spans="1:20" x14ac:dyDescent="0.25">
      <c r="A447" s="5">
        <v>44146</v>
      </c>
      <c r="B447">
        <v>6.8999999999999999E-3</v>
      </c>
      <c r="C447">
        <v>7.45E-3</v>
      </c>
      <c r="D447">
        <v>6.5500000000000003E-3</v>
      </c>
      <c r="E447">
        <v>7.4400000000000004E-3</v>
      </c>
      <c r="F447">
        <v>17144547.800000001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0.97777777777777863</v>
      </c>
      <c r="Q447">
        <f t="shared" si="975"/>
        <v>16763557.848888904</v>
      </c>
      <c r="R447">
        <f t="shared" si="976"/>
        <v>-334642902.40831423</v>
      </c>
      <c r="S447">
        <f t="shared" si="977"/>
        <v>-3346.4290240831424</v>
      </c>
      <c r="T447">
        <f t="shared" si="978"/>
        <v>-3.3464290240831422</v>
      </c>
    </row>
    <row r="448" spans="1:20" x14ac:dyDescent="0.25">
      <c r="A448" s="5">
        <v>44145</v>
      </c>
      <c r="B448">
        <v>6.5100000000000002E-3</v>
      </c>
      <c r="C448">
        <v>6.94E-3</v>
      </c>
      <c r="D448">
        <v>6.3699999999999998E-3</v>
      </c>
      <c r="E448">
        <v>6.8599999999999998E-3</v>
      </c>
      <c r="F448">
        <v>9875016.1999999993</v>
      </c>
      <c r="G448">
        <v>0</v>
      </c>
      <c r="L448" t="s">
        <v>8</v>
      </c>
      <c r="M448" t="s">
        <v>7</v>
      </c>
      <c r="N448" t="s">
        <v>8</v>
      </c>
      <c r="P448">
        <f t="shared" si="974"/>
        <v>0.71929824561403444</v>
      </c>
      <c r="Q448">
        <f t="shared" si="975"/>
        <v>7103081.8280701684</v>
      </c>
      <c r="R448">
        <f t="shared" si="976"/>
        <v>-351406460.25720316</v>
      </c>
      <c r="S448">
        <f t="shared" si="977"/>
        <v>-3514.0646025720316</v>
      </c>
      <c r="T448">
        <f t="shared" si="978"/>
        <v>-3.5140646025720317</v>
      </c>
    </row>
    <row r="449" spans="1:20" x14ac:dyDescent="0.25">
      <c r="A449" s="5">
        <v>44144</v>
      </c>
      <c r="B449">
        <v>6.3899999999999998E-3</v>
      </c>
      <c r="C449">
        <v>6.6600000000000001E-3</v>
      </c>
      <c r="D449">
        <v>6.0699999999999999E-3</v>
      </c>
      <c r="E449">
        <v>6.5100000000000002E-3</v>
      </c>
      <c r="F449">
        <v>11505229.699999999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0.49152542372881391</v>
      </c>
      <c r="Q449">
        <f t="shared" si="975"/>
        <v>5655112.9033898339</v>
      </c>
      <c r="R449">
        <f t="shared" si="976"/>
        <v>-358509542.08527333</v>
      </c>
      <c r="S449">
        <f t="shared" si="977"/>
        <v>-3585.0954208527332</v>
      </c>
      <c r="T449">
        <f t="shared" si="978"/>
        <v>-3.585095420852733</v>
      </c>
    </row>
    <row r="450" spans="1:20" x14ac:dyDescent="0.25">
      <c r="A450" s="5">
        <v>44143</v>
      </c>
      <c r="B450">
        <v>5.8900000000000003E-3</v>
      </c>
      <c r="C450">
        <v>7.2700000000000004E-3</v>
      </c>
      <c r="D450">
        <v>5.8599999999999998E-3</v>
      </c>
      <c r="E450">
        <v>6.4099999999999999E-3</v>
      </c>
      <c r="F450">
        <v>17752128.899999999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-0.21985815602836897</v>
      </c>
      <c r="Q450">
        <f t="shared" si="975"/>
        <v>-3902950.3255319176</v>
      </c>
      <c r="R450">
        <f t="shared" si="976"/>
        <v>-364164654.98866314</v>
      </c>
      <c r="S450">
        <f t="shared" si="977"/>
        <v>-3641.6465498866314</v>
      </c>
      <c r="T450">
        <f t="shared" si="978"/>
        <v>-3.6416465498866315</v>
      </c>
    </row>
    <row r="451" spans="1:20" x14ac:dyDescent="0.25">
      <c r="A451" s="5">
        <v>44142</v>
      </c>
      <c r="B451">
        <v>6.7200000000000003E-3</v>
      </c>
      <c r="C451">
        <v>6.9499999999999996E-3</v>
      </c>
      <c r="D451">
        <v>5.5999999999999999E-3</v>
      </c>
      <c r="E451">
        <v>5.8999999999999999E-3</v>
      </c>
      <c r="F451">
        <v>15654680.800000001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-0.55555555555555558</v>
      </c>
      <c r="Q451">
        <f t="shared" si="975"/>
        <v>-8697044.8888888899</v>
      </c>
      <c r="R451">
        <f t="shared" si="976"/>
        <v>-360261704.66313124</v>
      </c>
      <c r="S451">
        <f t="shared" si="977"/>
        <v>-3602.6170466313124</v>
      </c>
      <c r="T451">
        <f t="shared" si="978"/>
        <v>-3.6026170466313125</v>
      </c>
    </row>
    <row r="452" spans="1:20" x14ac:dyDescent="0.25">
      <c r="A452" s="5">
        <v>44141</v>
      </c>
      <c r="B452">
        <v>5.5300000000000002E-3</v>
      </c>
      <c r="C452">
        <v>6.8900000000000003E-3</v>
      </c>
      <c r="D452">
        <v>5.5300000000000002E-3</v>
      </c>
      <c r="E452">
        <v>6.8500000000000002E-3</v>
      </c>
      <c r="F452">
        <v>17193640.199999999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0.94117647058823517</v>
      </c>
      <c r="Q452">
        <f t="shared" si="975"/>
        <v>16182249.599999998</v>
      </c>
      <c r="R452">
        <f t="shared" si="976"/>
        <v>-351564659.77424234</v>
      </c>
      <c r="S452">
        <f t="shared" si="977"/>
        <v>-3515.6465977424236</v>
      </c>
      <c r="T452">
        <f t="shared" si="978"/>
        <v>-3.5156465977424238</v>
      </c>
    </row>
    <row r="453" spans="1:20" x14ac:dyDescent="0.25">
      <c r="A453" s="5">
        <v>44140</v>
      </c>
      <c r="B453">
        <v>5.1500000000000001E-3</v>
      </c>
      <c r="C453">
        <v>5.7600000000000004E-3</v>
      </c>
      <c r="D453">
        <v>4.9699999999999996E-3</v>
      </c>
      <c r="E453">
        <v>5.4999999999999997E-3</v>
      </c>
      <c r="F453">
        <v>14133790.300000001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0.34177215189873311</v>
      </c>
      <c r="Q453">
        <f t="shared" si="975"/>
        <v>4830535.9253164409</v>
      </c>
      <c r="R453">
        <f t="shared" si="976"/>
        <v>-367746909.37424237</v>
      </c>
      <c r="S453">
        <f t="shared" si="977"/>
        <v>-3677.4690937424239</v>
      </c>
      <c r="T453">
        <f t="shared" si="978"/>
        <v>-3.6774690937424239</v>
      </c>
    </row>
    <row r="454" spans="1:20" x14ac:dyDescent="0.25">
      <c r="A454" s="5">
        <v>44139</v>
      </c>
      <c r="B454">
        <v>5.0699999999999999E-3</v>
      </c>
      <c r="C454">
        <v>5.7999999999999996E-3</v>
      </c>
      <c r="D454">
        <v>4.9300000000000004E-3</v>
      </c>
      <c r="E454">
        <v>5.2100000000000002E-3</v>
      </c>
      <c r="F454">
        <v>18566886.300000001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-0.3563218390804595</v>
      </c>
      <c r="Q454">
        <f t="shared" ref="Q454:Q517" si="980">F454*P454</f>
        <v>-6615787.0724137882</v>
      </c>
      <c r="R454">
        <f t="shared" ref="R454:R517" si="981">R455+Q454</f>
        <v>-372577445.29955882</v>
      </c>
      <c r="S454">
        <f t="shared" ref="S454:S517" si="982">R454/100000</f>
        <v>-3725.774452995588</v>
      </c>
      <c r="T454">
        <f t="shared" ref="T454:T517" si="983">S454/1000</f>
        <v>-3.7257744529955881</v>
      </c>
    </row>
    <row r="455" spans="1:20" x14ac:dyDescent="0.25">
      <c r="A455" s="5">
        <v>44138</v>
      </c>
      <c r="B455">
        <v>5.4799999999999996E-3</v>
      </c>
      <c r="C455">
        <v>5.7800000000000004E-3</v>
      </c>
      <c r="D455">
        <v>4.9300000000000004E-3</v>
      </c>
      <c r="E455">
        <v>5.0499999999999998E-3</v>
      </c>
      <c r="F455">
        <v>26728297.399999999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-0.71764705882353075</v>
      </c>
      <c r="Q455">
        <f t="shared" si="980"/>
        <v>-19181484.016470622</v>
      </c>
      <c r="R455">
        <f t="shared" si="981"/>
        <v>-365961658.22714502</v>
      </c>
      <c r="S455">
        <f t="shared" si="982"/>
        <v>-3659.6165822714502</v>
      </c>
      <c r="T455">
        <f t="shared" si="983"/>
        <v>-3.6596165822714504</v>
      </c>
    </row>
    <row r="456" spans="1:20" x14ac:dyDescent="0.25">
      <c r="A456" s="5">
        <v>44137</v>
      </c>
      <c r="B456">
        <v>5.5199999999999997E-3</v>
      </c>
      <c r="C456">
        <v>5.79E-3</v>
      </c>
      <c r="D456">
        <v>5.4000000000000003E-3</v>
      </c>
      <c r="E456">
        <v>5.5199999999999997E-3</v>
      </c>
      <c r="F456">
        <v>5074314.5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-0.38461538461538702</v>
      </c>
      <c r="Q456">
        <f t="shared" si="980"/>
        <v>-1951659.4230769353</v>
      </c>
      <c r="R456">
        <f t="shared" si="981"/>
        <v>-346780174.21067441</v>
      </c>
      <c r="S456">
        <f t="shared" si="982"/>
        <v>-3467.8017421067439</v>
      </c>
      <c r="T456">
        <f t="shared" si="983"/>
        <v>-3.4678017421067437</v>
      </c>
    </row>
    <row r="457" spans="1:20" x14ac:dyDescent="0.25">
      <c r="A457" s="5">
        <v>44136</v>
      </c>
      <c r="B457">
        <v>5.2599999999999999E-3</v>
      </c>
      <c r="C457">
        <v>5.9199999999999999E-3</v>
      </c>
      <c r="D457">
        <v>5.1999999999999998E-3</v>
      </c>
      <c r="E457">
        <v>5.5199999999999997E-3</v>
      </c>
      <c r="F457">
        <v>7041409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-0.11111111111111138</v>
      </c>
      <c r="Q457">
        <f t="shared" si="980"/>
        <v>-782378.77777777973</v>
      </c>
      <c r="R457">
        <f t="shared" si="981"/>
        <v>-344828514.78759748</v>
      </c>
      <c r="S457">
        <f t="shared" si="982"/>
        <v>-3448.2851478759749</v>
      </c>
      <c r="T457">
        <f t="shared" si="983"/>
        <v>-3.4482851478759748</v>
      </c>
    </row>
    <row r="458" spans="1:20" x14ac:dyDescent="0.25">
      <c r="A458" s="5">
        <v>44135</v>
      </c>
      <c r="B458">
        <v>5.3299999999999997E-3</v>
      </c>
      <c r="C458">
        <v>5.4099999999999999E-3</v>
      </c>
      <c r="D458">
        <v>5.1999999999999998E-3</v>
      </c>
      <c r="E458">
        <v>5.2199999999999998E-3</v>
      </c>
      <c r="F458">
        <v>3380020.8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-0.80952380952380909</v>
      </c>
      <c r="Q458">
        <f t="shared" si="980"/>
        <v>-2736207.3142857128</v>
      </c>
      <c r="R458">
        <f t="shared" si="981"/>
        <v>-344046136.00981969</v>
      </c>
      <c r="S458">
        <f t="shared" si="982"/>
        <v>-3440.461360098197</v>
      </c>
      <c r="T458">
        <f t="shared" si="983"/>
        <v>-3.440461360098197</v>
      </c>
    </row>
    <row r="459" spans="1:20" x14ac:dyDescent="0.25">
      <c r="A459" s="5">
        <v>44134</v>
      </c>
      <c r="B459">
        <v>5.5100000000000001E-3</v>
      </c>
      <c r="C459">
        <v>5.5799999999999999E-3</v>
      </c>
      <c r="D459">
        <v>5.0200000000000002E-3</v>
      </c>
      <c r="E459">
        <v>5.3800000000000002E-3</v>
      </c>
      <c r="F459">
        <v>4982010.4000000004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0.28571428571428659</v>
      </c>
      <c r="Q459">
        <f t="shared" si="980"/>
        <v>1423431.5428571473</v>
      </c>
      <c r="R459">
        <f t="shared" si="981"/>
        <v>-341309928.69553399</v>
      </c>
      <c r="S459">
        <f t="shared" si="982"/>
        <v>-3413.0992869553397</v>
      </c>
      <c r="T459">
        <f t="shared" si="983"/>
        <v>-3.4130992869553398</v>
      </c>
    </row>
    <row r="460" spans="1:20" x14ac:dyDescent="0.25">
      <c r="A460" s="5">
        <v>44133</v>
      </c>
      <c r="B460">
        <v>5.9899999999999997E-3</v>
      </c>
      <c r="C460">
        <v>6.0000000000000001E-3</v>
      </c>
      <c r="D460">
        <v>5.4999999999999997E-3</v>
      </c>
      <c r="E460">
        <v>5.5599999999999998E-3</v>
      </c>
      <c r="F460">
        <v>4238812.0999999996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-0.75999999999999956</v>
      </c>
      <c r="Q460">
        <f t="shared" si="980"/>
        <v>-3221497.1959999977</v>
      </c>
      <c r="R460">
        <f t="shared" si="981"/>
        <v>-342733360.23839116</v>
      </c>
      <c r="S460">
        <f t="shared" si="982"/>
        <v>-3427.3336023839115</v>
      </c>
      <c r="T460">
        <f t="shared" si="983"/>
        <v>-3.4273336023839116</v>
      </c>
    </row>
    <row r="461" spans="1:20" x14ac:dyDescent="0.25">
      <c r="A461" s="5">
        <v>44132</v>
      </c>
      <c r="B461">
        <v>6.0000000000000001E-3</v>
      </c>
      <c r="C461">
        <v>6.0499999999999998E-3</v>
      </c>
      <c r="D461">
        <v>5.8199999999999997E-3</v>
      </c>
      <c r="E461">
        <v>5.8999999999999999E-3</v>
      </c>
      <c r="F461">
        <v>3445316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-0.30434782608695521</v>
      </c>
      <c r="Q461">
        <f t="shared" si="980"/>
        <v>-1048574.4347826042</v>
      </c>
      <c r="R461">
        <f t="shared" si="981"/>
        <v>-339511863.04239118</v>
      </c>
      <c r="S461">
        <f t="shared" si="982"/>
        <v>-3395.1186304239118</v>
      </c>
      <c r="T461">
        <f t="shared" si="983"/>
        <v>-3.3951186304239118</v>
      </c>
    </row>
    <row r="462" spans="1:20" x14ac:dyDescent="0.25">
      <c r="A462" s="5">
        <v>44131</v>
      </c>
      <c r="B462">
        <v>6.1500000000000001E-3</v>
      </c>
      <c r="C462">
        <v>6.1700000000000001E-3</v>
      </c>
      <c r="D462">
        <v>5.8399999999999997E-3</v>
      </c>
      <c r="E462">
        <v>6.0000000000000001E-3</v>
      </c>
      <c r="F462">
        <v>6042260.9000000004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-3.0303030303029027E-2</v>
      </c>
      <c r="Q462">
        <f t="shared" si="980"/>
        <v>-183098.81515150744</v>
      </c>
      <c r="R462">
        <f t="shared" si="981"/>
        <v>-338463288.60760856</v>
      </c>
      <c r="S462">
        <f t="shared" si="982"/>
        <v>-3384.6328860760855</v>
      </c>
      <c r="T462">
        <f t="shared" si="983"/>
        <v>-3.3846328860760853</v>
      </c>
    </row>
    <row r="463" spans="1:20" x14ac:dyDescent="0.25">
      <c r="A463" s="5">
        <v>44130</v>
      </c>
      <c r="B463">
        <v>6.4000000000000003E-3</v>
      </c>
      <c r="C463">
        <v>6.4700000000000001E-3</v>
      </c>
      <c r="D463">
        <v>6.0000000000000001E-3</v>
      </c>
      <c r="E463">
        <v>6.1700000000000001E-3</v>
      </c>
      <c r="F463">
        <v>5636439.7999999998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-0.27659574468085091</v>
      </c>
      <c r="Q463">
        <f t="shared" si="980"/>
        <v>-1559015.2638297863</v>
      </c>
      <c r="R463">
        <f t="shared" si="981"/>
        <v>-338280189.79245704</v>
      </c>
      <c r="S463">
        <f t="shared" si="982"/>
        <v>-3382.8018979245703</v>
      </c>
      <c r="T463">
        <f t="shared" si="983"/>
        <v>-3.3828018979245704</v>
      </c>
    </row>
    <row r="464" spans="1:20" x14ac:dyDescent="0.25">
      <c r="A464" s="5">
        <v>44129</v>
      </c>
      <c r="B464">
        <v>6.4599999999999996E-3</v>
      </c>
      <c r="C464">
        <v>6.6499999999999997E-3</v>
      </c>
      <c r="D464">
        <v>6.1900000000000002E-3</v>
      </c>
      <c r="E464">
        <v>6.4200000000000004E-3</v>
      </c>
      <c r="F464">
        <v>11601032.300000001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1.8855689956269663E-15</v>
      </c>
      <c r="Q464">
        <f t="shared" si="980"/>
        <v>2.1874546822146997E-8</v>
      </c>
      <c r="R464">
        <f t="shared" si="981"/>
        <v>-336721174.52862728</v>
      </c>
      <c r="S464">
        <f t="shared" si="982"/>
        <v>-3367.2117452862726</v>
      </c>
      <c r="T464">
        <f t="shared" si="983"/>
        <v>-3.3672117452862724</v>
      </c>
    </row>
    <row r="465" spans="1:20" x14ac:dyDescent="0.25">
      <c r="A465" s="5">
        <v>44128</v>
      </c>
      <c r="B465">
        <v>6.6499999999999997E-3</v>
      </c>
      <c r="C465">
        <v>6.6499999999999997E-3</v>
      </c>
      <c r="D465">
        <v>6.3899999999999998E-3</v>
      </c>
      <c r="E465">
        <v>6.4599999999999996E-3</v>
      </c>
      <c r="F465">
        <v>9576169.9000000004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-0.46153846153846306</v>
      </c>
      <c r="Q465">
        <f t="shared" si="980"/>
        <v>-4419770.7230769377</v>
      </c>
      <c r="R465">
        <f t="shared" si="981"/>
        <v>-336721174.52862728</v>
      </c>
      <c r="S465">
        <f t="shared" si="982"/>
        <v>-3367.2117452862726</v>
      </c>
      <c r="T465">
        <f t="shared" si="983"/>
        <v>-3.3672117452862724</v>
      </c>
    </row>
    <row r="466" spans="1:20" x14ac:dyDescent="0.25">
      <c r="A466" s="5">
        <v>44127</v>
      </c>
      <c r="B466">
        <v>6.7099999999999998E-3</v>
      </c>
      <c r="C466">
        <v>6.8900000000000003E-3</v>
      </c>
      <c r="D466">
        <v>6.5100000000000002E-3</v>
      </c>
      <c r="E466">
        <v>6.6499999999999997E-3</v>
      </c>
      <c r="F466">
        <v>4167850.2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-0.26315789473684498</v>
      </c>
      <c r="Q466">
        <f t="shared" si="980"/>
        <v>-1096802.6842105384</v>
      </c>
      <c r="R466">
        <f t="shared" si="981"/>
        <v>-332301403.80555034</v>
      </c>
      <c r="S466">
        <f t="shared" si="982"/>
        <v>-3323.0140380555035</v>
      </c>
      <c r="T466">
        <f t="shared" si="983"/>
        <v>-3.3230140380555033</v>
      </c>
    </row>
    <row r="467" spans="1:20" x14ac:dyDescent="0.25">
      <c r="A467" s="5">
        <v>44126</v>
      </c>
      <c r="B467">
        <v>6.6600000000000001E-3</v>
      </c>
      <c r="C467">
        <v>7.2899999999999996E-3</v>
      </c>
      <c r="D467">
        <v>6.4900000000000001E-3</v>
      </c>
      <c r="E467">
        <v>6.6800000000000002E-3</v>
      </c>
      <c r="F467">
        <v>9123748.1999999993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-0.52499999999999958</v>
      </c>
      <c r="Q467">
        <f t="shared" si="980"/>
        <v>-4789967.804999996</v>
      </c>
      <c r="R467">
        <f t="shared" si="981"/>
        <v>-331204601.1213398</v>
      </c>
      <c r="S467">
        <f t="shared" si="982"/>
        <v>-3312.0460112133978</v>
      </c>
      <c r="T467">
        <f t="shared" si="983"/>
        <v>-3.3120460112133978</v>
      </c>
    </row>
    <row r="468" spans="1:20" x14ac:dyDescent="0.25">
      <c r="A468" s="5">
        <v>44125</v>
      </c>
      <c r="B468">
        <v>6.3099999999999996E-3</v>
      </c>
      <c r="C468">
        <v>7.0200000000000002E-3</v>
      </c>
      <c r="D468">
        <v>6.2599999999999999E-3</v>
      </c>
      <c r="E468">
        <v>6.5500000000000003E-3</v>
      </c>
      <c r="F468">
        <v>10260976.300000001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-0.2368421052631573</v>
      </c>
      <c r="Q468">
        <f t="shared" si="980"/>
        <v>-2430231.2289473624</v>
      </c>
      <c r="R468">
        <f t="shared" si="981"/>
        <v>-326414633.31633979</v>
      </c>
      <c r="S468">
        <f t="shared" si="982"/>
        <v>-3264.1463331633977</v>
      </c>
      <c r="T468">
        <f t="shared" si="983"/>
        <v>-3.2641463331633975</v>
      </c>
    </row>
    <row r="469" spans="1:20" x14ac:dyDescent="0.25">
      <c r="A469" s="5">
        <v>44124</v>
      </c>
      <c r="B469">
        <v>6.7000000000000002E-3</v>
      </c>
      <c r="C469">
        <v>6.7200000000000003E-3</v>
      </c>
      <c r="D469">
        <v>6.0099999999999997E-3</v>
      </c>
      <c r="E469">
        <v>6.3099999999999996E-3</v>
      </c>
      <c r="F469">
        <v>10006449.5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-0.15492957746478964</v>
      </c>
      <c r="Q469">
        <f t="shared" si="980"/>
        <v>-1550294.9929577555</v>
      </c>
      <c r="R469">
        <f t="shared" si="981"/>
        <v>-323984402.08739245</v>
      </c>
      <c r="S469">
        <f t="shared" si="982"/>
        <v>-3239.8440208739244</v>
      </c>
      <c r="T469">
        <f t="shared" si="983"/>
        <v>-3.2398440208739245</v>
      </c>
    </row>
    <row r="470" spans="1:20" x14ac:dyDescent="0.25">
      <c r="A470" s="5">
        <v>44123</v>
      </c>
      <c r="B470">
        <v>6.9699999999999996E-3</v>
      </c>
      <c r="C470">
        <v>6.9699999999999996E-3</v>
      </c>
      <c r="D470">
        <v>6.6100000000000004E-3</v>
      </c>
      <c r="E470">
        <v>6.7000000000000002E-3</v>
      </c>
      <c r="F470">
        <v>10773546.699999999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-0.5</v>
      </c>
      <c r="Q470">
        <f t="shared" si="980"/>
        <v>-5386773.3499999996</v>
      </c>
      <c r="R470">
        <f t="shared" si="981"/>
        <v>-322434107.09443468</v>
      </c>
      <c r="S470">
        <f t="shared" si="982"/>
        <v>-3224.3410709443469</v>
      </c>
      <c r="T470">
        <f t="shared" si="983"/>
        <v>-3.2243410709443467</v>
      </c>
    </row>
    <row r="471" spans="1:20" x14ac:dyDescent="0.25">
      <c r="A471" s="5">
        <v>44122</v>
      </c>
      <c r="B471">
        <v>6.7799999999999996E-3</v>
      </c>
      <c r="C471">
        <v>7.9799999999999992E-3</v>
      </c>
      <c r="D471">
        <v>6.7000000000000002E-3</v>
      </c>
      <c r="E471">
        <v>6.94E-3</v>
      </c>
      <c r="F471">
        <v>15871165.9</v>
      </c>
      <c r="G471">
        <v>0</v>
      </c>
      <c r="L471" t="s">
        <v>8</v>
      </c>
      <c r="M471" t="s">
        <v>8</v>
      </c>
      <c r="N471" t="s">
        <v>7</v>
      </c>
      <c r="P471">
        <f t="shared" si="979"/>
        <v>-0.62500000000000011</v>
      </c>
      <c r="Q471">
        <f t="shared" si="980"/>
        <v>-9919478.6875000019</v>
      </c>
      <c r="R471">
        <f t="shared" si="981"/>
        <v>-317047333.74443465</v>
      </c>
      <c r="S471">
        <f t="shared" si="982"/>
        <v>-3170.4733374443467</v>
      </c>
      <c r="T471">
        <f t="shared" si="983"/>
        <v>-3.1704733374443466</v>
      </c>
    </row>
    <row r="472" spans="1:20" x14ac:dyDescent="0.25">
      <c r="A472" s="5">
        <v>44121</v>
      </c>
      <c r="B472">
        <v>6.5100000000000002E-3</v>
      </c>
      <c r="C472">
        <v>7.0800000000000004E-3</v>
      </c>
      <c r="D472">
        <v>6.5100000000000002E-3</v>
      </c>
      <c r="E472">
        <v>6.7200000000000003E-3</v>
      </c>
      <c r="F472">
        <v>10737677.6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-0.26315789473684192</v>
      </c>
      <c r="Q472">
        <f t="shared" si="980"/>
        <v>-2825704.6315789456</v>
      </c>
      <c r="R472">
        <f t="shared" si="981"/>
        <v>-307127855.05693465</v>
      </c>
      <c r="S472">
        <f t="shared" si="982"/>
        <v>-3071.2785505693464</v>
      </c>
      <c r="T472">
        <f t="shared" si="983"/>
        <v>-3.0712785505693465</v>
      </c>
    </row>
    <row r="473" spans="1:20" x14ac:dyDescent="0.25">
      <c r="A473" s="5">
        <v>44120</v>
      </c>
      <c r="B473">
        <v>6.8300000000000001E-3</v>
      </c>
      <c r="C473">
        <v>6.8700000000000002E-3</v>
      </c>
      <c r="D473">
        <v>6.3499999999999997E-3</v>
      </c>
      <c r="E473">
        <v>6.4700000000000001E-3</v>
      </c>
      <c r="F473">
        <v>6603344.9000000004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-0.53846153846153766</v>
      </c>
      <c r="Q473">
        <f t="shared" si="980"/>
        <v>-3555647.253846149</v>
      </c>
      <c r="R473">
        <f t="shared" si="981"/>
        <v>-304302150.42535573</v>
      </c>
      <c r="S473">
        <f t="shared" si="982"/>
        <v>-3043.0215042535574</v>
      </c>
      <c r="T473">
        <f t="shared" si="983"/>
        <v>-3.0430215042535576</v>
      </c>
    </row>
    <row r="474" spans="1:20" x14ac:dyDescent="0.25">
      <c r="A474" s="5">
        <v>44119</v>
      </c>
      <c r="B474">
        <v>7.1399999999999996E-3</v>
      </c>
      <c r="C474">
        <v>7.3000000000000001E-3</v>
      </c>
      <c r="D474">
        <v>6.6600000000000001E-3</v>
      </c>
      <c r="E474">
        <v>6.8100000000000001E-3</v>
      </c>
      <c r="F474">
        <v>7390886.5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-0.53125000000000011</v>
      </c>
      <c r="Q474">
        <f t="shared" si="980"/>
        <v>-3926408.4531250009</v>
      </c>
      <c r="R474">
        <f t="shared" si="981"/>
        <v>-300746503.17150956</v>
      </c>
      <c r="S474">
        <f t="shared" si="982"/>
        <v>-3007.4650317150958</v>
      </c>
      <c r="T474">
        <f t="shared" si="983"/>
        <v>-3.0074650317150957</v>
      </c>
    </row>
    <row r="475" spans="1:20" x14ac:dyDescent="0.25">
      <c r="A475" s="5">
        <v>44118</v>
      </c>
      <c r="B475">
        <v>7.4700000000000001E-3</v>
      </c>
      <c r="C475">
        <v>7.5500000000000003E-3</v>
      </c>
      <c r="D475">
        <v>7.0200000000000002E-3</v>
      </c>
      <c r="E475">
        <v>7.1300000000000001E-3</v>
      </c>
      <c r="F475">
        <v>9870374.5999999996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-0.58490566037735914</v>
      </c>
      <c r="Q475">
        <f t="shared" si="980"/>
        <v>-5773237.9735849118</v>
      </c>
      <c r="R475">
        <f t="shared" si="981"/>
        <v>-296820094.71838456</v>
      </c>
      <c r="S475">
        <f t="shared" si="982"/>
        <v>-2968.2009471838455</v>
      </c>
      <c r="T475">
        <f t="shared" si="983"/>
        <v>-2.9682009471838455</v>
      </c>
    </row>
    <row r="476" spans="1:20" x14ac:dyDescent="0.25">
      <c r="A476" s="5">
        <v>44117</v>
      </c>
      <c r="B476">
        <v>7.3200000000000001E-3</v>
      </c>
      <c r="C476">
        <v>7.6099999999999996E-3</v>
      </c>
      <c r="D476">
        <v>7.2500000000000004E-3</v>
      </c>
      <c r="E476">
        <v>7.4700000000000001E-3</v>
      </c>
      <c r="F476">
        <v>5474062.4000000004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0.22222222222222329</v>
      </c>
      <c r="Q476">
        <f t="shared" si="980"/>
        <v>1216458.311111117</v>
      </c>
      <c r="R476">
        <f t="shared" si="981"/>
        <v>-291046856.74479967</v>
      </c>
      <c r="S476">
        <f t="shared" si="982"/>
        <v>-2910.4685674479965</v>
      </c>
      <c r="T476">
        <f t="shared" si="983"/>
        <v>-2.9104685674479964</v>
      </c>
    </row>
    <row r="477" spans="1:20" x14ac:dyDescent="0.25">
      <c r="A477" s="5">
        <v>44116</v>
      </c>
      <c r="B477">
        <v>7.6099999999999996E-3</v>
      </c>
      <c r="C477">
        <v>7.77E-3</v>
      </c>
      <c r="D477">
        <v>7.1500000000000001E-3</v>
      </c>
      <c r="E477">
        <v>7.3200000000000001E-3</v>
      </c>
      <c r="F477">
        <v>13543768.300000001</v>
      </c>
      <c r="G477">
        <v>0</v>
      </c>
      <c r="L477" t="s">
        <v>7</v>
      </c>
      <c r="M477" t="s">
        <v>7</v>
      </c>
      <c r="N477" t="s">
        <v>8</v>
      </c>
      <c r="P477">
        <f t="shared" si="979"/>
        <v>-0.45161290322580633</v>
      </c>
      <c r="Q477">
        <f t="shared" si="980"/>
        <v>-6116540.5225806441</v>
      </c>
      <c r="R477">
        <f t="shared" si="981"/>
        <v>-292263315.05591077</v>
      </c>
      <c r="S477">
        <f t="shared" si="982"/>
        <v>-2922.6331505591074</v>
      </c>
      <c r="T477">
        <f t="shared" si="983"/>
        <v>-2.9226331505591072</v>
      </c>
    </row>
    <row r="478" spans="1:20" x14ac:dyDescent="0.25">
      <c r="A478" s="5">
        <v>44115</v>
      </c>
      <c r="B478">
        <v>7.5399999999999998E-3</v>
      </c>
      <c r="C478">
        <v>8.5800000000000008E-3</v>
      </c>
      <c r="D478">
        <v>7.3299999999999997E-3</v>
      </c>
      <c r="E478">
        <v>7.62E-3</v>
      </c>
      <c r="F478">
        <v>23240352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-0.53599999999999992</v>
      </c>
      <c r="Q478">
        <f t="shared" si="980"/>
        <v>-12456828.671999998</v>
      </c>
      <c r="R478">
        <f t="shared" si="981"/>
        <v>-286146774.53333014</v>
      </c>
      <c r="S478">
        <f t="shared" si="982"/>
        <v>-2861.4677453333015</v>
      </c>
      <c r="T478">
        <f t="shared" si="983"/>
        <v>-2.8614677453333015</v>
      </c>
    </row>
    <row r="479" spans="1:20" x14ac:dyDescent="0.25">
      <c r="A479" s="5">
        <v>44114</v>
      </c>
      <c r="B479">
        <v>7.4599999999999996E-3</v>
      </c>
      <c r="C479">
        <v>8.0999999999999996E-3</v>
      </c>
      <c r="D479">
        <v>7.1000000000000004E-3</v>
      </c>
      <c r="E479">
        <v>7.4200000000000004E-3</v>
      </c>
      <c r="F479">
        <v>26791563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-0.35999999999999949</v>
      </c>
      <c r="Q479">
        <f t="shared" si="980"/>
        <v>-9644962.6799999867</v>
      </c>
      <c r="R479">
        <f t="shared" si="981"/>
        <v>-273689945.86133015</v>
      </c>
      <c r="S479">
        <f t="shared" si="982"/>
        <v>-2736.8994586133017</v>
      </c>
      <c r="T479">
        <f t="shared" si="983"/>
        <v>-2.7368994586133017</v>
      </c>
    </row>
    <row r="480" spans="1:20" x14ac:dyDescent="0.25">
      <c r="A480" s="5">
        <v>44113</v>
      </c>
      <c r="B480">
        <v>6.79E-3</v>
      </c>
      <c r="C480">
        <v>7.9000000000000008E-3</v>
      </c>
      <c r="D480">
        <v>6.6499999999999997E-3</v>
      </c>
      <c r="E480">
        <v>7.4700000000000001E-3</v>
      </c>
      <c r="F480">
        <v>26788612.199999999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0.3119999999999995</v>
      </c>
      <c r="Q480">
        <f t="shared" si="980"/>
        <v>8358047.0063999863</v>
      </c>
      <c r="R480">
        <f t="shared" si="981"/>
        <v>-264044983.18133014</v>
      </c>
      <c r="S480">
        <f t="shared" si="982"/>
        <v>-2640.4498318133014</v>
      </c>
      <c r="T480">
        <f t="shared" si="983"/>
        <v>-2.6404498318133016</v>
      </c>
    </row>
    <row r="481" spans="1:20" x14ac:dyDescent="0.25">
      <c r="A481" s="5">
        <v>44112</v>
      </c>
      <c r="B481">
        <v>6.5100000000000002E-3</v>
      </c>
      <c r="C481">
        <v>6.8500000000000002E-3</v>
      </c>
      <c r="D481">
        <v>6.1599999999999997E-3</v>
      </c>
      <c r="E481">
        <v>6.7499999999999999E-3</v>
      </c>
      <c r="F481">
        <v>3242054.8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0.71014492753623137</v>
      </c>
      <c r="Q481">
        <f t="shared" si="980"/>
        <v>2302328.7710144911</v>
      </c>
      <c r="R481">
        <f t="shared" si="981"/>
        <v>-272403030.18773013</v>
      </c>
      <c r="S481">
        <f t="shared" si="982"/>
        <v>-2724.0303018773016</v>
      </c>
      <c r="T481">
        <f t="shared" si="983"/>
        <v>-2.7240303018773018</v>
      </c>
    </row>
    <row r="482" spans="1:20" x14ac:dyDescent="0.25">
      <c r="A482" s="5">
        <v>44111</v>
      </c>
      <c r="B482">
        <v>6.45E-3</v>
      </c>
      <c r="C482">
        <v>6.6699999999999997E-3</v>
      </c>
      <c r="D482">
        <v>6.13E-3</v>
      </c>
      <c r="E482">
        <v>6.5900000000000004E-3</v>
      </c>
      <c r="F482">
        <v>3811970.5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0.70370370370370594</v>
      </c>
      <c r="Q482">
        <f t="shared" si="980"/>
        <v>2682497.7592592677</v>
      </c>
      <c r="R482">
        <f t="shared" si="981"/>
        <v>-274705358.95874465</v>
      </c>
      <c r="S482">
        <f t="shared" si="982"/>
        <v>-2747.0535895874464</v>
      </c>
      <c r="T482">
        <f t="shared" si="983"/>
        <v>-2.7470535895874462</v>
      </c>
    </row>
    <row r="483" spans="1:20" x14ac:dyDescent="0.25">
      <c r="A483" s="5">
        <v>44110</v>
      </c>
      <c r="B483">
        <v>7.3400000000000002E-3</v>
      </c>
      <c r="C483">
        <v>7.3699999999999998E-3</v>
      </c>
      <c r="D483">
        <v>6.3800000000000003E-3</v>
      </c>
      <c r="E483">
        <v>6.4400000000000004E-3</v>
      </c>
      <c r="F483">
        <v>11030913.4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-0.87878787878787845</v>
      </c>
      <c r="Q483">
        <f t="shared" si="980"/>
        <v>-9693832.9878787845</v>
      </c>
      <c r="R483">
        <f t="shared" si="981"/>
        <v>-277387856.71800393</v>
      </c>
      <c r="S483">
        <f t="shared" si="982"/>
        <v>-2773.8785671800392</v>
      </c>
      <c r="T483">
        <f t="shared" si="983"/>
        <v>-2.7738785671800392</v>
      </c>
    </row>
    <row r="484" spans="1:20" x14ac:dyDescent="0.25">
      <c r="A484" s="5">
        <v>44109</v>
      </c>
      <c r="B484">
        <v>7.1999999999999998E-3</v>
      </c>
      <c r="C484">
        <v>7.4999999999999997E-3</v>
      </c>
      <c r="D484">
        <v>7.0600000000000003E-3</v>
      </c>
      <c r="E484">
        <v>7.3400000000000002E-3</v>
      </c>
      <c r="F484">
        <v>11093286</v>
      </c>
      <c r="G484">
        <v>0</v>
      </c>
      <c r="L484" t="s">
        <v>7</v>
      </c>
      <c r="M484" t="s">
        <v>8</v>
      </c>
      <c r="N484" t="s">
        <v>7</v>
      </c>
      <c r="P484">
        <f t="shared" si="979"/>
        <v>0.27272727272727382</v>
      </c>
      <c r="Q484">
        <f t="shared" si="980"/>
        <v>3025441.6363636483</v>
      </c>
      <c r="R484">
        <f t="shared" si="981"/>
        <v>-267694023.73012516</v>
      </c>
      <c r="S484">
        <f t="shared" si="982"/>
        <v>-2676.9402373012517</v>
      </c>
      <c r="T484">
        <f t="shared" si="983"/>
        <v>-2.6769402373012516</v>
      </c>
    </row>
    <row r="485" spans="1:20" x14ac:dyDescent="0.25">
      <c r="A485" s="5">
        <v>44108</v>
      </c>
      <c r="B485">
        <v>7.3400000000000002E-3</v>
      </c>
      <c r="C485">
        <v>8.3400000000000002E-3</v>
      </c>
      <c r="D485">
        <v>6.96E-3</v>
      </c>
      <c r="E485">
        <v>7.1399999999999996E-3</v>
      </c>
      <c r="F485">
        <v>73847321.799999997</v>
      </c>
      <c r="G485">
        <v>0</v>
      </c>
      <c r="L485" t="s">
        <v>8</v>
      </c>
      <c r="M485" t="s">
        <v>8</v>
      </c>
      <c r="N485" t="s">
        <v>7</v>
      </c>
      <c r="P485">
        <f t="shared" si="979"/>
        <v>-0.73913043478260931</v>
      </c>
      <c r="Q485">
        <f t="shared" si="980"/>
        <v>-54582803.069565259</v>
      </c>
      <c r="R485">
        <f t="shared" si="981"/>
        <v>-270719465.36648881</v>
      </c>
      <c r="S485">
        <f t="shared" si="982"/>
        <v>-2707.1946536648879</v>
      </c>
      <c r="T485">
        <f t="shared" si="983"/>
        <v>-2.7071946536648879</v>
      </c>
    </row>
    <row r="486" spans="1:20" x14ac:dyDescent="0.25">
      <c r="A486" s="5">
        <v>44107</v>
      </c>
      <c r="B486">
        <v>7.0800000000000004E-3</v>
      </c>
      <c r="C486">
        <v>7.4000000000000003E-3</v>
      </c>
      <c r="D486">
        <v>7.0099999999999997E-3</v>
      </c>
      <c r="E486">
        <v>7.3699999999999998E-3</v>
      </c>
      <c r="F486">
        <v>4141364.1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0.84615384615384381</v>
      </c>
      <c r="Q486">
        <f t="shared" si="980"/>
        <v>3504231.1615384519</v>
      </c>
      <c r="R486">
        <f t="shared" si="981"/>
        <v>-216136662.29692358</v>
      </c>
      <c r="S486">
        <f t="shared" si="982"/>
        <v>-2161.3666229692358</v>
      </c>
      <c r="T486">
        <f t="shared" si="983"/>
        <v>-2.1613666229692359</v>
      </c>
    </row>
    <row r="487" spans="1:20" x14ac:dyDescent="0.25">
      <c r="A487" s="5">
        <v>44106</v>
      </c>
      <c r="B487">
        <v>7.3299999999999997E-3</v>
      </c>
      <c r="C487">
        <v>7.4599999999999996E-3</v>
      </c>
      <c r="D487">
        <v>6.6899999999999998E-3</v>
      </c>
      <c r="E487">
        <v>7.0800000000000004E-3</v>
      </c>
      <c r="F487">
        <v>11285941.6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1.2987012987014714E-2</v>
      </c>
      <c r="Q487">
        <f t="shared" si="980"/>
        <v>146570.67012988962</v>
      </c>
      <c r="R487">
        <f t="shared" si="981"/>
        <v>-219640893.45846203</v>
      </c>
      <c r="S487">
        <f t="shared" si="982"/>
        <v>-2196.4089345846205</v>
      </c>
      <c r="T487">
        <f t="shared" si="983"/>
        <v>-2.1964089345846207</v>
      </c>
    </row>
    <row r="488" spans="1:20" x14ac:dyDescent="0.25">
      <c r="A488" s="5">
        <v>44105</v>
      </c>
      <c r="B488">
        <v>7.8700000000000003E-3</v>
      </c>
      <c r="C488">
        <v>8.2000000000000007E-3</v>
      </c>
      <c r="D488">
        <v>7.0200000000000002E-3</v>
      </c>
      <c r="E488">
        <v>7.43E-3</v>
      </c>
      <c r="F488">
        <v>14902812.199999999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-0.30508474576271255</v>
      </c>
      <c r="Q488">
        <f t="shared" si="980"/>
        <v>-4546620.6711864509</v>
      </c>
      <c r="R488">
        <f t="shared" si="981"/>
        <v>-219787464.12859192</v>
      </c>
      <c r="S488">
        <f t="shared" si="982"/>
        <v>-2197.8746412859191</v>
      </c>
      <c r="T488">
        <f t="shared" si="983"/>
        <v>-2.1978746412859191</v>
      </c>
    </row>
    <row r="489" spans="1:20" x14ac:dyDescent="0.25">
      <c r="A489" s="5">
        <v>44104</v>
      </c>
      <c r="B489">
        <v>7.92E-3</v>
      </c>
      <c r="C489">
        <v>8.0000000000000002E-3</v>
      </c>
      <c r="D489">
        <v>7.7600000000000004E-3</v>
      </c>
      <c r="E489">
        <v>7.8399999999999997E-3</v>
      </c>
      <c r="F489">
        <v>3850192.3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-0.33333333333333814</v>
      </c>
      <c r="Q489">
        <f t="shared" si="980"/>
        <v>-1283397.4333333517</v>
      </c>
      <c r="R489">
        <f t="shared" si="981"/>
        <v>-215240843.45740548</v>
      </c>
      <c r="S489">
        <f t="shared" si="982"/>
        <v>-2152.4084345740548</v>
      </c>
      <c r="T489">
        <f t="shared" si="983"/>
        <v>-2.1524084345740548</v>
      </c>
    </row>
    <row r="490" spans="1:20" x14ac:dyDescent="0.25">
      <c r="A490" s="5">
        <v>44103</v>
      </c>
      <c r="B490">
        <v>7.8300000000000002E-3</v>
      </c>
      <c r="C490">
        <v>8.4899999999999993E-3</v>
      </c>
      <c r="D490">
        <v>7.6099999999999996E-3</v>
      </c>
      <c r="E490">
        <v>7.9799999999999992E-3</v>
      </c>
      <c r="F490">
        <v>12437626.6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-0.15909090909090956</v>
      </c>
      <c r="Q490">
        <f t="shared" si="980"/>
        <v>-1978713.3227272786</v>
      </c>
      <c r="R490">
        <f t="shared" si="981"/>
        <v>-213957446.02407214</v>
      </c>
      <c r="S490">
        <f t="shared" si="982"/>
        <v>-2139.5744602407212</v>
      </c>
      <c r="T490">
        <f t="shared" si="983"/>
        <v>-2.1395744602407212</v>
      </c>
    </row>
    <row r="491" spans="1:20" x14ac:dyDescent="0.25">
      <c r="A491" s="5">
        <v>44102</v>
      </c>
      <c r="B491">
        <v>8.0700000000000008E-3</v>
      </c>
      <c r="C491">
        <v>8.2000000000000007E-3</v>
      </c>
      <c r="D491">
        <v>7.79E-3</v>
      </c>
      <c r="E491">
        <v>7.8100000000000001E-3</v>
      </c>
      <c r="F491">
        <v>8353245.7999999998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-0.90243902439024382</v>
      </c>
      <c r="Q491">
        <f t="shared" si="980"/>
        <v>-7538294.9902439015</v>
      </c>
      <c r="R491">
        <f t="shared" si="981"/>
        <v>-211978732.70134485</v>
      </c>
      <c r="S491">
        <f t="shared" si="982"/>
        <v>-2119.7873270134487</v>
      </c>
      <c r="T491">
        <f t="shared" si="983"/>
        <v>-2.1197873270134489</v>
      </c>
    </row>
    <row r="492" spans="1:20" x14ac:dyDescent="0.25">
      <c r="A492" s="5">
        <v>44101</v>
      </c>
      <c r="B492">
        <v>8.2900000000000005E-3</v>
      </c>
      <c r="C492">
        <v>9.1000000000000004E-3</v>
      </c>
      <c r="D492">
        <v>7.8499999999999993E-3</v>
      </c>
      <c r="E492">
        <v>8.0599999999999995E-3</v>
      </c>
      <c r="F492">
        <v>33763648.100000001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-0.66400000000000015</v>
      </c>
      <c r="Q492">
        <f t="shared" si="980"/>
        <v>-22419062.338400006</v>
      </c>
      <c r="R492">
        <f t="shared" si="981"/>
        <v>-204440437.71110094</v>
      </c>
      <c r="S492">
        <f t="shared" si="982"/>
        <v>-2044.4043771110094</v>
      </c>
      <c r="T492">
        <f t="shared" si="983"/>
        <v>-2.0444043771110092</v>
      </c>
    </row>
    <row r="493" spans="1:20" x14ac:dyDescent="0.25">
      <c r="A493" s="5">
        <v>44100</v>
      </c>
      <c r="B493">
        <v>8.1200000000000005E-3</v>
      </c>
      <c r="C493">
        <v>8.43E-3</v>
      </c>
      <c r="D493">
        <v>8.0499999999999999E-3</v>
      </c>
      <c r="E493">
        <v>8.2799999999999992E-3</v>
      </c>
      <c r="F493">
        <v>4130270.8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0.21052631578946959</v>
      </c>
      <c r="Q493">
        <f t="shared" si="980"/>
        <v>869530.69473682519</v>
      </c>
      <c r="R493">
        <f t="shared" si="981"/>
        <v>-182021375.37270093</v>
      </c>
      <c r="S493">
        <f t="shared" si="982"/>
        <v>-1820.2137537270094</v>
      </c>
      <c r="T493">
        <f t="shared" si="983"/>
        <v>-1.8202137537270093</v>
      </c>
    </row>
    <row r="494" spans="1:20" x14ac:dyDescent="0.25">
      <c r="A494" s="5">
        <v>44099</v>
      </c>
      <c r="B494">
        <v>7.9799999999999992E-3</v>
      </c>
      <c r="C494">
        <v>8.2199999999999999E-3</v>
      </c>
      <c r="D494">
        <v>7.7299999999999999E-3</v>
      </c>
      <c r="E494">
        <v>8.1300000000000001E-3</v>
      </c>
      <c r="F494">
        <v>10100818.199999999</v>
      </c>
      <c r="G494">
        <v>0</v>
      </c>
      <c r="L494" t="s">
        <v>7</v>
      </c>
      <c r="M494" t="s">
        <v>8</v>
      </c>
      <c r="N494" t="s">
        <v>7</v>
      </c>
      <c r="P494">
        <f t="shared" si="979"/>
        <v>0.63265306122449061</v>
      </c>
      <c r="Q494">
        <f t="shared" si="980"/>
        <v>6390313.5551020484</v>
      </c>
      <c r="R494">
        <f t="shared" si="981"/>
        <v>-182890906.06743777</v>
      </c>
      <c r="S494">
        <f t="shared" si="982"/>
        <v>-1828.9090606743778</v>
      </c>
      <c r="T494">
        <f t="shared" si="983"/>
        <v>-1.8289090606743779</v>
      </c>
    </row>
    <row r="495" spans="1:20" x14ac:dyDescent="0.25">
      <c r="A495" s="5">
        <v>44098</v>
      </c>
      <c r="B495">
        <v>7.26E-3</v>
      </c>
      <c r="C495">
        <v>8.4899999999999993E-3</v>
      </c>
      <c r="D495">
        <v>7.2300000000000003E-3</v>
      </c>
      <c r="E495">
        <v>7.9799999999999992E-3</v>
      </c>
      <c r="F495">
        <v>15783198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0.19047619047618974</v>
      </c>
      <c r="Q495">
        <f t="shared" si="980"/>
        <v>3006323.428571417</v>
      </c>
      <c r="R495">
        <f t="shared" si="981"/>
        <v>-189281219.62253982</v>
      </c>
      <c r="S495">
        <f t="shared" si="982"/>
        <v>-1892.8121962253981</v>
      </c>
      <c r="T495">
        <f t="shared" si="983"/>
        <v>-1.8928121962253981</v>
      </c>
    </row>
    <row r="496" spans="1:20" x14ac:dyDescent="0.25">
      <c r="A496" s="5">
        <v>44097</v>
      </c>
      <c r="B496">
        <v>8.0599999999999995E-3</v>
      </c>
      <c r="C496">
        <v>8.1600000000000006E-3</v>
      </c>
      <c r="D496">
        <v>7.11E-3</v>
      </c>
      <c r="E496">
        <v>7.2500000000000004E-3</v>
      </c>
      <c r="F496">
        <v>7561282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-0.73333333333333284</v>
      </c>
      <c r="Q496">
        <f t="shared" si="980"/>
        <v>-5544940.13333333</v>
      </c>
      <c r="R496">
        <f t="shared" si="981"/>
        <v>-192287543.05111122</v>
      </c>
      <c r="S496">
        <f t="shared" si="982"/>
        <v>-1922.8754305111122</v>
      </c>
      <c r="T496">
        <f t="shared" si="983"/>
        <v>-1.9228754305111122</v>
      </c>
    </row>
    <row r="497" spans="1:20" x14ac:dyDescent="0.25">
      <c r="A497" s="5">
        <v>44096</v>
      </c>
      <c r="B497">
        <v>7.9500000000000005E-3</v>
      </c>
      <c r="C497">
        <v>9.1999999999999998E-3</v>
      </c>
      <c r="D497">
        <v>7.7499999999999999E-3</v>
      </c>
      <c r="E497">
        <v>8.0599999999999995E-3</v>
      </c>
      <c r="F497">
        <v>27938286.899999999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-0.57241379310344886</v>
      </c>
      <c r="Q497">
        <f t="shared" si="980"/>
        <v>-15992260.777241396</v>
      </c>
      <c r="R497">
        <f t="shared" si="981"/>
        <v>-186742602.9177779</v>
      </c>
      <c r="S497">
        <f t="shared" si="982"/>
        <v>-1867.4260291777789</v>
      </c>
      <c r="T497">
        <f t="shared" si="983"/>
        <v>-1.8674260291777789</v>
      </c>
    </row>
    <row r="498" spans="1:20" x14ac:dyDescent="0.25">
      <c r="A498" s="5">
        <v>44095</v>
      </c>
      <c r="B498">
        <v>8.8900000000000003E-3</v>
      </c>
      <c r="C498">
        <v>9.11E-3</v>
      </c>
      <c r="D498">
        <v>7.77E-3</v>
      </c>
      <c r="E498">
        <v>7.9900000000000006E-3</v>
      </c>
      <c r="F498">
        <v>16195404.300000001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-0.67164179104477528</v>
      </c>
      <c r="Q498">
        <f t="shared" si="980"/>
        <v>-10877510.350746255</v>
      </c>
      <c r="R498">
        <f t="shared" si="981"/>
        <v>-170750342.14053649</v>
      </c>
      <c r="S498">
        <f t="shared" si="982"/>
        <v>-1707.5034214053649</v>
      </c>
      <c r="T498">
        <f t="shared" si="983"/>
        <v>-1.7075034214053648</v>
      </c>
    </row>
    <row r="499" spans="1:20" x14ac:dyDescent="0.25">
      <c r="A499" s="5">
        <v>44094</v>
      </c>
      <c r="B499">
        <v>9.0600000000000003E-3</v>
      </c>
      <c r="C499">
        <v>1.0279999999999999E-2</v>
      </c>
      <c r="D499">
        <v>8.7100000000000007E-3</v>
      </c>
      <c r="E499">
        <v>8.8500000000000002E-3</v>
      </c>
      <c r="F499">
        <v>21154923.100000001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-0.8216560509554145</v>
      </c>
      <c r="Q499">
        <f t="shared" si="980"/>
        <v>-17382070.572611477</v>
      </c>
      <c r="R499">
        <f t="shared" si="981"/>
        <v>-159872831.78979024</v>
      </c>
      <c r="S499">
        <f t="shared" si="982"/>
        <v>-1598.7283178979023</v>
      </c>
      <c r="T499">
        <f t="shared" si="983"/>
        <v>-1.5987283178979024</v>
      </c>
    </row>
    <row r="500" spans="1:20" x14ac:dyDescent="0.25">
      <c r="A500" s="5">
        <v>44093</v>
      </c>
      <c r="B500">
        <v>8.8199999999999997E-3</v>
      </c>
      <c r="C500">
        <v>1.0699999999999999E-2</v>
      </c>
      <c r="D500">
        <v>8.6899999999999998E-3</v>
      </c>
      <c r="E500">
        <v>9.0600000000000003E-3</v>
      </c>
      <c r="F500">
        <v>40888863.5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-0.63184079601989984</v>
      </c>
      <c r="Q500">
        <f t="shared" si="980"/>
        <v>-25835252.062189028</v>
      </c>
      <c r="R500">
        <f t="shared" si="981"/>
        <v>-142490761.21717876</v>
      </c>
      <c r="S500">
        <f t="shared" si="982"/>
        <v>-1424.9076121717876</v>
      </c>
      <c r="T500">
        <f t="shared" si="983"/>
        <v>-1.4249076121717876</v>
      </c>
    </row>
    <row r="501" spans="1:20" x14ac:dyDescent="0.25">
      <c r="A501" s="5">
        <v>44092</v>
      </c>
      <c r="B501">
        <v>9.0200000000000002E-3</v>
      </c>
      <c r="C501">
        <v>9.1599999999999997E-3</v>
      </c>
      <c r="D501">
        <v>8.6999999999999994E-3</v>
      </c>
      <c r="E501">
        <v>8.7899999999999992E-3</v>
      </c>
      <c r="F501">
        <v>2995131.7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-0.60869565217391419</v>
      </c>
      <c r="Q501">
        <f t="shared" si="980"/>
        <v>-1823123.6434782643</v>
      </c>
      <c r="R501">
        <f t="shared" si="981"/>
        <v>-116655509.15498973</v>
      </c>
      <c r="S501">
        <f t="shared" si="982"/>
        <v>-1166.5550915498973</v>
      </c>
      <c r="T501">
        <f t="shared" si="983"/>
        <v>-1.1665550915498972</v>
      </c>
    </row>
    <row r="502" spans="1:20" x14ac:dyDescent="0.25">
      <c r="A502" s="5">
        <v>44091</v>
      </c>
      <c r="B502">
        <v>9.0200000000000002E-3</v>
      </c>
      <c r="C502">
        <v>9.3900000000000008E-3</v>
      </c>
      <c r="D502">
        <v>8.6199999999999992E-3</v>
      </c>
      <c r="E502">
        <v>8.9700000000000005E-3</v>
      </c>
      <c r="F502">
        <v>4824823.4000000004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-9.0909090909089274E-2</v>
      </c>
      <c r="Q502">
        <f t="shared" si="980"/>
        <v>-438620.30909090122</v>
      </c>
      <c r="R502">
        <f t="shared" si="981"/>
        <v>-114832385.51151147</v>
      </c>
      <c r="S502">
        <f t="shared" si="982"/>
        <v>-1148.3238551151148</v>
      </c>
      <c r="T502">
        <f t="shared" si="983"/>
        <v>-1.1483238551151149</v>
      </c>
    </row>
    <row r="503" spans="1:20" x14ac:dyDescent="0.25">
      <c r="A503" s="5">
        <v>44090</v>
      </c>
      <c r="B503">
        <v>8.5299999999999994E-3</v>
      </c>
      <c r="C503">
        <v>9.9500000000000005E-3</v>
      </c>
      <c r="D503">
        <v>8.3999999999999995E-3</v>
      </c>
      <c r="E503">
        <v>9.0100000000000006E-3</v>
      </c>
      <c r="F503">
        <v>19898998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-0.21290322580645063</v>
      </c>
      <c r="Q503">
        <f t="shared" si="980"/>
        <v>-4236560.8645161092</v>
      </c>
      <c r="R503">
        <f t="shared" si="981"/>
        <v>-114393765.20242058</v>
      </c>
      <c r="S503">
        <f t="shared" si="982"/>
        <v>-1143.9376520242058</v>
      </c>
      <c r="T503">
        <f t="shared" si="983"/>
        <v>-1.1439376520242057</v>
      </c>
    </row>
    <row r="504" spans="1:20" x14ac:dyDescent="0.25">
      <c r="A504" s="5">
        <v>44089</v>
      </c>
      <c r="B504">
        <v>8.9499999999999996E-3</v>
      </c>
      <c r="C504">
        <v>9.0299999999999998E-3</v>
      </c>
      <c r="D504">
        <v>8.4700000000000001E-3</v>
      </c>
      <c r="E504">
        <v>8.5699999999999995E-3</v>
      </c>
      <c r="F504">
        <v>5293448.8</v>
      </c>
      <c r="G504">
        <v>0</v>
      </c>
      <c r="L504" t="s">
        <v>7</v>
      </c>
      <c r="M504" t="s">
        <v>8</v>
      </c>
      <c r="N504" t="s">
        <v>7</v>
      </c>
      <c r="P504">
        <f t="shared" si="979"/>
        <v>-0.6428571428571449</v>
      </c>
      <c r="Q504">
        <f t="shared" si="980"/>
        <v>-3402931.3714285824</v>
      </c>
      <c r="R504">
        <f t="shared" si="981"/>
        <v>-110157204.33790447</v>
      </c>
      <c r="S504">
        <f t="shared" si="982"/>
        <v>-1101.5720433790448</v>
      </c>
      <c r="T504">
        <f t="shared" si="983"/>
        <v>-1.1015720433790448</v>
      </c>
    </row>
    <row r="505" spans="1:20" x14ac:dyDescent="0.25">
      <c r="A505" s="5">
        <v>44088</v>
      </c>
      <c r="B505">
        <v>8.9200000000000008E-3</v>
      </c>
      <c r="C505">
        <v>9.2599999999999991E-3</v>
      </c>
      <c r="D505">
        <v>8.7399999999999995E-3</v>
      </c>
      <c r="E505">
        <v>8.9499999999999996E-3</v>
      </c>
      <c r="F505">
        <v>5260542.8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-0.19230769230769129</v>
      </c>
      <c r="Q505">
        <f t="shared" si="980"/>
        <v>-1011642.8461538408</v>
      </c>
      <c r="R505">
        <f t="shared" si="981"/>
        <v>-106754272.96647589</v>
      </c>
      <c r="S505">
        <f t="shared" si="982"/>
        <v>-1067.5427296647588</v>
      </c>
      <c r="T505">
        <f t="shared" si="983"/>
        <v>-1.0675427296647588</v>
      </c>
    </row>
    <row r="506" spans="1:20" x14ac:dyDescent="0.25">
      <c r="A506" s="5">
        <v>44087</v>
      </c>
      <c r="B506">
        <v>9.7699999999999992E-3</v>
      </c>
      <c r="C506">
        <v>9.8399999999999998E-3</v>
      </c>
      <c r="D506">
        <v>8.4499999999999992E-3</v>
      </c>
      <c r="E506">
        <v>8.9099999999999995E-3</v>
      </c>
      <c r="F506">
        <v>9151503.5999999996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-0.33812949640287748</v>
      </c>
      <c r="Q506">
        <f t="shared" si="980"/>
        <v>-3094393.3035971201</v>
      </c>
      <c r="R506">
        <f t="shared" si="981"/>
        <v>-105742630.12032205</v>
      </c>
      <c r="S506">
        <f t="shared" si="982"/>
        <v>-1057.4263012032204</v>
      </c>
      <c r="T506">
        <f t="shared" si="983"/>
        <v>-1.0574263012032203</v>
      </c>
    </row>
    <row r="507" spans="1:20" x14ac:dyDescent="0.25">
      <c r="A507" s="5">
        <v>44086</v>
      </c>
      <c r="B507">
        <v>9.6600000000000002E-3</v>
      </c>
      <c r="C507">
        <v>0.01</v>
      </c>
      <c r="D507">
        <v>9.41E-3</v>
      </c>
      <c r="E507">
        <v>9.7800000000000005E-3</v>
      </c>
      <c r="F507">
        <v>9160633.1999999993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0.25423728813559454</v>
      </c>
      <c r="Q507">
        <f t="shared" si="980"/>
        <v>2328974.5423728931</v>
      </c>
      <c r="R507">
        <f t="shared" si="981"/>
        <v>-102648236.81672493</v>
      </c>
      <c r="S507">
        <f t="shared" si="982"/>
        <v>-1026.4823681672492</v>
      </c>
      <c r="T507">
        <f t="shared" si="983"/>
        <v>-1.0264823681672492</v>
      </c>
    </row>
    <row r="508" spans="1:20" x14ac:dyDescent="0.25">
      <c r="A508" s="5">
        <v>44085</v>
      </c>
      <c r="B508">
        <v>9.8300000000000002E-3</v>
      </c>
      <c r="C508">
        <v>9.9399999999999992E-3</v>
      </c>
      <c r="D508">
        <v>9.3100000000000006E-3</v>
      </c>
      <c r="E508">
        <v>9.6600000000000002E-3</v>
      </c>
      <c r="F508">
        <v>4852513.9000000004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0.11111111111111234</v>
      </c>
      <c r="Q508">
        <f t="shared" si="980"/>
        <v>539168.21111111715</v>
      </c>
      <c r="R508">
        <f t="shared" si="981"/>
        <v>-104977211.35909782</v>
      </c>
      <c r="S508">
        <f t="shared" si="982"/>
        <v>-1049.7721135909783</v>
      </c>
      <c r="T508">
        <f t="shared" si="983"/>
        <v>-1.0497721135909783</v>
      </c>
    </row>
    <row r="509" spans="1:20" x14ac:dyDescent="0.25">
      <c r="A509" s="5">
        <v>44084</v>
      </c>
      <c r="B509">
        <v>9.2200000000000008E-3</v>
      </c>
      <c r="C509">
        <v>9.8700000000000003E-3</v>
      </c>
      <c r="D509">
        <v>9.1599999999999997E-3</v>
      </c>
      <c r="E509">
        <v>9.7099999999999999E-3</v>
      </c>
      <c r="F509">
        <v>9045635.0999999996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0.54929577464788648</v>
      </c>
      <c r="Q509">
        <f t="shared" si="980"/>
        <v>4968729.1394366119</v>
      </c>
      <c r="R509">
        <f t="shared" si="981"/>
        <v>-105516379.57020894</v>
      </c>
      <c r="S509">
        <f t="shared" si="982"/>
        <v>-1055.1637957020894</v>
      </c>
      <c r="T509">
        <f t="shared" si="983"/>
        <v>-1.0551637957020894</v>
      </c>
    </row>
    <row r="510" spans="1:20" x14ac:dyDescent="0.25">
      <c r="A510" s="5">
        <v>44083</v>
      </c>
      <c r="B510">
        <v>8.8900000000000003E-3</v>
      </c>
      <c r="C510">
        <v>9.6900000000000007E-3</v>
      </c>
      <c r="D510">
        <v>8.6700000000000006E-3</v>
      </c>
      <c r="E510">
        <v>9.1699999999999993E-3</v>
      </c>
      <c r="F510">
        <v>6560488.5999999996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-1.9607843137257504E-2</v>
      </c>
      <c r="Q510">
        <f t="shared" si="980"/>
        <v>-128637.03137256608</v>
      </c>
      <c r="R510">
        <f t="shared" si="981"/>
        <v>-110485108.70964555</v>
      </c>
      <c r="S510">
        <f t="shared" si="982"/>
        <v>-1104.8510870964556</v>
      </c>
      <c r="T510">
        <f t="shared" si="983"/>
        <v>-1.1048510870964556</v>
      </c>
    </row>
    <row r="511" spans="1:20" x14ac:dyDescent="0.25">
      <c r="A511" s="5">
        <v>44082</v>
      </c>
      <c r="B511">
        <v>9.0299999999999998E-3</v>
      </c>
      <c r="C511">
        <v>9.2499999999999995E-3</v>
      </c>
      <c r="D511">
        <v>8.5500000000000003E-3</v>
      </c>
      <c r="E511">
        <v>8.8800000000000007E-3</v>
      </c>
      <c r="F511">
        <v>8582449.3000000007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-5.7142857142854879E-2</v>
      </c>
      <c r="Q511">
        <f t="shared" si="980"/>
        <v>-490425.6742856949</v>
      </c>
      <c r="R511">
        <f t="shared" si="981"/>
        <v>-110356471.67827299</v>
      </c>
      <c r="S511">
        <f t="shared" si="982"/>
        <v>-1103.5647167827299</v>
      </c>
      <c r="T511">
        <f t="shared" si="983"/>
        <v>-1.1035647167827298</v>
      </c>
    </row>
    <row r="512" spans="1:20" x14ac:dyDescent="0.25">
      <c r="A512" s="5">
        <v>44081</v>
      </c>
      <c r="B512">
        <v>9.5499999999999995E-3</v>
      </c>
      <c r="C512">
        <v>9.6600000000000002E-3</v>
      </c>
      <c r="D512">
        <v>8.2000000000000007E-3</v>
      </c>
      <c r="E512">
        <v>9.1000000000000004E-3</v>
      </c>
      <c r="F512">
        <v>16381250.800000001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0.23287671232876722</v>
      </c>
      <c r="Q512">
        <f t="shared" si="980"/>
        <v>3814811.8301369883</v>
      </c>
      <c r="R512">
        <f t="shared" si="981"/>
        <v>-109866046.0039873</v>
      </c>
      <c r="S512">
        <f t="shared" si="982"/>
        <v>-1098.660460039873</v>
      </c>
      <c r="T512">
        <f t="shared" si="983"/>
        <v>-1.0986604600398731</v>
      </c>
    </row>
    <row r="513" spans="1:20" x14ac:dyDescent="0.25">
      <c r="A513" s="5">
        <v>44080</v>
      </c>
      <c r="B513">
        <v>9.1500000000000001E-3</v>
      </c>
      <c r="C513">
        <v>9.8700000000000003E-3</v>
      </c>
      <c r="D513">
        <v>8.9499999999999996E-3</v>
      </c>
      <c r="E513">
        <v>9.6500000000000006E-3</v>
      </c>
      <c r="F513">
        <v>19584473.100000001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0.52173913043478359</v>
      </c>
      <c r="Q513">
        <f t="shared" si="980"/>
        <v>10217985.965217412</v>
      </c>
      <c r="R513">
        <f t="shared" si="981"/>
        <v>-113680857.83412428</v>
      </c>
      <c r="S513">
        <f t="shared" si="982"/>
        <v>-1136.8085783412428</v>
      </c>
      <c r="T513">
        <f t="shared" si="983"/>
        <v>-1.1368085783412427</v>
      </c>
    </row>
    <row r="514" spans="1:20" x14ac:dyDescent="0.25">
      <c r="A514" s="5">
        <v>44079</v>
      </c>
      <c r="B514">
        <v>1.064E-2</v>
      </c>
      <c r="C514">
        <v>1.0800000000000001E-2</v>
      </c>
      <c r="D514">
        <v>8.2199999999999999E-3</v>
      </c>
      <c r="E514">
        <v>9.1500000000000001E-3</v>
      </c>
      <c r="F514">
        <v>27358939.399999999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-0.27906976744186046</v>
      </c>
      <c r="Q514">
        <f t="shared" si="980"/>
        <v>-7635052.8558139531</v>
      </c>
      <c r="R514">
        <f t="shared" si="981"/>
        <v>-123898843.79934169</v>
      </c>
      <c r="S514">
        <f t="shared" si="982"/>
        <v>-1238.9884379934169</v>
      </c>
      <c r="T514">
        <f t="shared" si="983"/>
        <v>-1.2389884379934168</v>
      </c>
    </row>
    <row r="515" spans="1:20" x14ac:dyDescent="0.25">
      <c r="A515" s="5">
        <v>44078</v>
      </c>
      <c r="B515">
        <v>8.8299999999999993E-3</v>
      </c>
      <c r="C515">
        <v>1.272E-2</v>
      </c>
      <c r="D515">
        <v>8.6E-3</v>
      </c>
      <c r="E515">
        <v>1.057E-2</v>
      </c>
      <c r="F515">
        <v>101840827.40000001</v>
      </c>
      <c r="G515">
        <v>0</v>
      </c>
      <c r="L515" t="s">
        <v>7</v>
      </c>
      <c r="M515" t="s">
        <v>8</v>
      </c>
      <c r="N515" t="s">
        <v>8</v>
      </c>
      <c r="P515">
        <f t="shared" si="979"/>
        <v>-4.3689320388349835E-2</v>
      </c>
      <c r="Q515">
        <f t="shared" si="980"/>
        <v>-4449356.5368932365</v>
      </c>
      <c r="R515">
        <f t="shared" si="981"/>
        <v>-116263790.94352774</v>
      </c>
      <c r="S515">
        <f t="shared" si="982"/>
        <v>-1162.6379094352774</v>
      </c>
      <c r="T515">
        <f t="shared" si="983"/>
        <v>-1.1626379094352775</v>
      </c>
    </row>
    <row r="516" spans="1:20" x14ac:dyDescent="0.25">
      <c r="A516" s="5">
        <v>44077</v>
      </c>
      <c r="B516">
        <v>1.1560000000000001E-2</v>
      </c>
      <c r="C516">
        <v>1.174E-2</v>
      </c>
      <c r="D516">
        <v>8.7500000000000008E-3</v>
      </c>
      <c r="E516">
        <v>8.8100000000000001E-3</v>
      </c>
      <c r="F516">
        <v>45212332.200000003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-0.95986622073578642</v>
      </c>
      <c r="Q516">
        <f t="shared" si="980"/>
        <v>-43397790.439464904</v>
      </c>
      <c r="R516">
        <f t="shared" si="981"/>
        <v>-111814434.40663451</v>
      </c>
      <c r="S516">
        <f t="shared" si="982"/>
        <v>-1118.1443440663452</v>
      </c>
      <c r="T516">
        <f t="shared" si="983"/>
        <v>-1.1181443440663452</v>
      </c>
    </row>
    <row r="517" spans="1:20" x14ac:dyDescent="0.25">
      <c r="A517" s="5">
        <v>44076</v>
      </c>
      <c r="B517">
        <v>1.4069999999999999E-2</v>
      </c>
      <c r="C517">
        <v>1.519E-2</v>
      </c>
      <c r="D517">
        <v>1.1310000000000001E-2</v>
      </c>
      <c r="E517">
        <v>1.1560000000000001E-2</v>
      </c>
      <c r="F517">
        <v>77899584.5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-0.8711340206185566</v>
      </c>
      <c r="Q517">
        <f t="shared" si="980"/>
        <v>-67860978.249999985</v>
      </c>
      <c r="R517">
        <f t="shared" si="981"/>
        <v>-68416643.967169598</v>
      </c>
      <c r="S517">
        <f t="shared" si="982"/>
        <v>-684.16643967169603</v>
      </c>
      <c r="T517">
        <f t="shared" si="983"/>
        <v>-0.68416643967169599</v>
      </c>
    </row>
    <row r="518" spans="1:20" x14ac:dyDescent="0.25">
      <c r="A518" s="5">
        <v>44075</v>
      </c>
      <c r="B518">
        <v>1.171E-2</v>
      </c>
      <c r="C518">
        <v>1.575E-2</v>
      </c>
      <c r="D518">
        <v>1.1560000000000001E-2</v>
      </c>
      <c r="E518">
        <v>1.406E-2</v>
      </c>
      <c r="F518">
        <v>94318135.700000003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0.19331742243436714</v>
      </c>
      <c r="Q518">
        <f t="shared" ref="Q518:Q581" si="985">F518*P518</f>
        <v>18233338.882338867</v>
      </c>
      <c r="R518">
        <f t="shared" ref="R518:R581" si="986">R519+Q518</f>
        <v>-555665.71716960892</v>
      </c>
      <c r="S518">
        <f t="shared" ref="S518:S581" si="987">R518/100000</f>
        <v>-5.5566571716960889</v>
      </c>
      <c r="T518">
        <f t="shared" ref="T518:T581" si="988">S518/1000</f>
        <v>-5.5566571716960892E-3</v>
      </c>
    </row>
    <row r="519" spans="1:20" x14ac:dyDescent="0.25">
      <c r="A519" s="5">
        <v>44074</v>
      </c>
      <c r="B519">
        <v>1.1390000000000001E-2</v>
      </c>
      <c r="C519">
        <v>1.2E-2</v>
      </c>
      <c r="D519">
        <v>1.0970000000000001E-2</v>
      </c>
      <c r="E519">
        <v>1.172E-2</v>
      </c>
      <c r="F519">
        <v>14728486.300000001</v>
      </c>
      <c r="G519">
        <v>0</v>
      </c>
      <c r="L519" t="s">
        <v>7</v>
      </c>
      <c r="M519" t="s">
        <v>8</v>
      </c>
      <c r="N519" t="s">
        <v>8</v>
      </c>
      <c r="P519">
        <f t="shared" si="984"/>
        <v>0.4563106796116489</v>
      </c>
      <c r="Q519">
        <f t="shared" si="985"/>
        <v>6720765.5932038603</v>
      </c>
      <c r="R519">
        <f t="shared" si="986"/>
        <v>-18789004.599508476</v>
      </c>
      <c r="S519">
        <f t="shared" si="987"/>
        <v>-187.89004599508476</v>
      </c>
      <c r="T519">
        <f t="shared" si="988"/>
        <v>-0.18789004599508477</v>
      </c>
    </row>
    <row r="520" spans="1:20" x14ac:dyDescent="0.25">
      <c r="A520" s="5">
        <v>44073</v>
      </c>
      <c r="B520">
        <v>1.196E-2</v>
      </c>
      <c r="C520">
        <v>1.201E-2</v>
      </c>
      <c r="D520">
        <v>1.1270000000000001E-2</v>
      </c>
      <c r="E520">
        <v>1.137E-2</v>
      </c>
      <c r="F520">
        <v>13426850.800000001</v>
      </c>
      <c r="G520">
        <v>0</v>
      </c>
      <c r="L520" t="s">
        <v>7</v>
      </c>
      <c r="M520" t="s">
        <v>8</v>
      </c>
      <c r="N520" t="s">
        <v>8</v>
      </c>
      <c r="P520">
        <f t="shared" si="984"/>
        <v>-0.72972972972973116</v>
      </c>
      <c r="Q520">
        <f t="shared" si="985"/>
        <v>-9797972.2054054253</v>
      </c>
      <c r="R520">
        <f t="shared" si="986"/>
        <v>-25509770.192712337</v>
      </c>
      <c r="S520">
        <f t="shared" si="987"/>
        <v>-255.09770192712338</v>
      </c>
      <c r="T520">
        <f t="shared" si="988"/>
        <v>-0.25509770192712339</v>
      </c>
    </row>
    <row r="521" spans="1:20" x14ac:dyDescent="0.25">
      <c r="A521" s="5">
        <v>44072</v>
      </c>
      <c r="B521">
        <v>1.154E-2</v>
      </c>
      <c r="C521">
        <v>1.222E-2</v>
      </c>
      <c r="D521">
        <v>1.1440000000000001E-2</v>
      </c>
      <c r="E521">
        <v>1.196E-2</v>
      </c>
      <c r="F521">
        <v>26920495.399999999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0.33333333333333331</v>
      </c>
      <c r="Q521">
        <f t="shared" si="985"/>
        <v>8973498.4666666649</v>
      </c>
      <c r="R521">
        <f t="shared" si="986"/>
        <v>-15711797.987306911</v>
      </c>
      <c r="S521">
        <f t="shared" si="987"/>
        <v>-157.11797987306912</v>
      </c>
      <c r="T521">
        <f t="shared" si="988"/>
        <v>-0.15711797987306911</v>
      </c>
    </row>
    <row r="522" spans="1:20" x14ac:dyDescent="0.25">
      <c r="A522" s="5">
        <v>44071</v>
      </c>
      <c r="B522">
        <v>1.047E-2</v>
      </c>
      <c r="C522">
        <v>1.1900000000000001E-2</v>
      </c>
      <c r="D522">
        <v>1.0370000000000001E-2</v>
      </c>
      <c r="E522">
        <v>1.149E-2</v>
      </c>
      <c r="F522">
        <v>25766068.600000001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0.46405228758169853</v>
      </c>
      <c r="Q522">
        <f t="shared" si="985"/>
        <v>11956803.075816974</v>
      </c>
      <c r="R522">
        <f t="shared" si="986"/>
        <v>-24685296.453973576</v>
      </c>
      <c r="S522">
        <f t="shared" si="987"/>
        <v>-246.85296453973575</v>
      </c>
      <c r="T522">
        <f t="shared" si="988"/>
        <v>-0.24685296453973576</v>
      </c>
    </row>
    <row r="523" spans="1:20" x14ac:dyDescent="0.25">
      <c r="A523" s="5">
        <v>44070</v>
      </c>
      <c r="B523">
        <v>1.077E-2</v>
      </c>
      <c r="C523">
        <v>1.0800000000000001E-2</v>
      </c>
      <c r="D523">
        <v>9.6799999999999994E-3</v>
      </c>
      <c r="E523">
        <v>1.0529999999999999E-2</v>
      </c>
      <c r="F523">
        <v>21014636</v>
      </c>
      <c r="G523">
        <v>0</v>
      </c>
      <c r="L523" t="s">
        <v>7</v>
      </c>
      <c r="M523" t="s">
        <v>8</v>
      </c>
      <c r="N523" t="s">
        <v>8</v>
      </c>
      <c r="P523">
        <f t="shared" si="984"/>
        <v>0.51785714285714135</v>
      </c>
      <c r="Q523">
        <f t="shared" si="985"/>
        <v>10882579.357142825</v>
      </c>
      <c r="R523">
        <f t="shared" si="986"/>
        <v>-36642099.52979055</v>
      </c>
      <c r="S523">
        <f t="shared" si="987"/>
        <v>-366.42099529790551</v>
      </c>
      <c r="T523">
        <f t="shared" si="988"/>
        <v>-0.36642099529790551</v>
      </c>
    </row>
    <row r="524" spans="1:20" x14ac:dyDescent="0.25">
      <c r="A524" s="5">
        <v>44069</v>
      </c>
      <c r="B524">
        <v>9.58E-3</v>
      </c>
      <c r="C524">
        <v>1.0970000000000001E-2</v>
      </c>
      <c r="D524">
        <v>9.2700000000000005E-3</v>
      </c>
      <c r="E524">
        <v>1.0789999999999999E-2</v>
      </c>
      <c r="F524">
        <v>19785572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0.78823529411764548</v>
      </c>
      <c r="Q524">
        <f t="shared" si="985"/>
        <v>15595686.16470585</v>
      </c>
      <c r="R524">
        <f t="shared" si="986"/>
        <v>-47524678.886933379</v>
      </c>
      <c r="S524">
        <f t="shared" si="987"/>
        <v>-475.24678886933378</v>
      </c>
      <c r="T524">
        <f t="shared" si="988"/>
        <v>-0.4752467888693338</v>
      </c>
    </row>
    <row r="525" spans="1:20" x14ac:dyDescent="0.25">
      <c r="A525" s="5">
        <v>44068</v>
      </c>
      <c r="B525">
        <v>1.014E-2</v>
      </c>
      <c r="C525">
        <v>1.0200000000000001E-2</v>
      </c>
      <c r="D525">
        <v>9.2099999999999994E-3</v>
      </c>
      <c r="E525">
        <v>9.5899999999999996E-3</v>
      </c>
      <c r="F525">
        <v>11019157.9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-0.23232323232323307</v>
      </c>
      <c r="Q525">
        <f t="shared" si="985"/>
        <v>-2560006.3808080889</v>
      </c>
      <c r="R525">
        <f t="shared" si="986"/>
        <v>-63120365.051639229</v>
      </c>
      <c r="S525">
        <f t="shared" si="987"/>
        <v>-631.20365051639226</v>
      </c>
      <c r="T525">
        <f t="shared" si="988"/>
        <v>-0.63120365051639227</v>
      </c>
    </row>
    <row r="526" spans="1:20" x14ac:dyDescent="0.25">
      <c r="A526" s="5">
        <v>44067</v>
      </c>
      <c r="B526">
        <v>9.5999999999999992E-3</v>
      </c>
      <c r="C526">
        <v>1.0200000000000001E-2</v>
      </c>
      <c r="D526">
        <v>9.41E-3</v>
      </c>
      <c r="E526">
        <v>1.01E-2</v>
      </c>
      <c r="F526">
        <v>9981434.5999999996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0.74683544303797211</v>
      </c>
      <c r="Q526">
        <f t="shared" si="985"/>
        <v>7454489.1316455435</v>
      </c>
      <c r="R526">
        <f t="shared" si="986"/>
        <v>-60560358.670831144</v>
      </c>
      <c r="S526">
        <f t="shared" si="987"/>
        <v>-605.60358670831147</v>
      </c>
      <c r="T526">
        <f t="shared" si="988"/>
        <v>-0.60560358670831149</v>
      </c>
    </row>
    <row r="527" spans="1:20" x14ac:dyDescent="0.25">
      <c r="A527" s="5">
        <v>44066</v>
      </c>
      <c r="B527">
        <v>9.7000000000000003E-3</v>
      </c>
      <c r="C527">
        <v>9.8600000000000007E-3</v>
      </c>
      <c r="D527">
        <v>9.3600000000000003E-3</v>
      </c>
      <c r="E527">
        <v>9.5600000000000008E-3</v>
      </c>
      <c r="F527">
        <v>7645535.9000000004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-0.19999999999999862</v>
      </c>
      <c r="Q527">
        <f t="shared" si="985"/>
        <v>-1529107.1799999895</v>
      </c>
      <c r="R527">
        <f t="shared" si="986"/>
        <v>-68014847.802476689</v>
      </c>
      <c r="S527">
        <f t="shared" si="987"/>
        <v>-680.14847802476686</v>
      </c>
      <c r="T527">
        <f t="shared" si="988"/>
        <v>-0.68014847802476686</v>
      </c>
    </row>
    <row r="528" spans="1:20" x14ac:dyDescent="0.25">
      <c r="A528" s="5">
        <v>44065</v>
      </c>
      <c r="B528">
        <v>9.4500000000000001E-3</v>
      </c>
      <c r="C528">
        <v>9.8099999999999993E-3</v>
      </c>
      <c r="D528">
        <v>9.11E-3</v>
      </c>
      <c r="E528">
        <v>9.7199999999999995E-3</v>
      </c>
      <c r="F528">
        <v>14855283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0.7428571428571431</v>
      </c>
      <c r="Q528">
        <f t="shared" si="985"/>
        <v>11035353.08571429</v>
      </c>
      <c r="R528">
        <f t="shared" si="986"/>
        <v>-66485740.622476704</v>
      </c>
      <c r="S528">
        <f t="shared" si="987"/>
        <v>-664.85740622476703</v>
      </c>
      <c r="T528">
        <f t="shared" si="988"/>
        <v>-0.66485740622476708</v>
      </c>
    </row>
    <row r="529" spans="1:20" x14ac:dyDescent="0.25">
      <c r="A529" s="5">
        <v>44064</v>
      </c>
      <c r="B529">
        <v>1.027E-2</v>
      </c>
      <c r="C529">
        <v>1.059E-2</v>
      </c>
      <c r="D529">
        <v>9.4199999999999996E-3</v>
      </c>
      <c r="E529">
        <v>9.4500000000000001E-3</v>
      </c>
      <c r="F529">
        <v>21600241.300000001</v>
      </c>
      <c r="G529">
        <v>0</v>
      </c>
      <c r="L529" t="s">
        <v>8</v>
      </c>
      <c r="M529" t="s">
        <v>7</v>
      </c>
      <c r="N529" t="s">
        <v>8</v>
      </c>
      <c r="P529">
        <f t="shared" si="984"/>
        <v>-0.9487179487179479</v>
      </c>
      <c r="Q529">
        <f t="shared" si="985"/>
        <v>-20492536.6179487</v>
      </c>
      <c r="R529">
        <f t="shared" si="986"/>
        <v>-77521093.708190992</v>
      </c>
      <c r="S529">
        <f t="shared" si="987"/>
        <v>-775.21093708190995</v>
      </c>
      <c r="T529">
        <f t="shared" si="988"/>
        <v>-0.77521093708190991</v>
      </c>
    </row>
    <row r="530" spans="1:20" x14ac:dyDescent="0.25">
      <c r="A530" s="5">
        <v>44063</v>
      </c>
      <c r="B530">
        <v>9.5399999999999999E-3</v>
      </c>
      <c r="C530">
        <v>1.0460000000000001E-2</v>
      </c>
      <c r="D530">
        <v>9.4000000000000004E-3</v>
      </c>
      <c r="E530">
        <v>1.027E-2</v>
      </c>
      <c r="F530">
        <v>16111802.6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0.64150943396226245</v>
      </c>
      <c r="Q530">
        <f t="shared" si="985"/>
        <v>10335873.366037708</v>
      </c>
      <c r="R530">
        <f t="shared" si="986"/>
        <v>-57028557.090242296</v>
      </c>
      <c r="S530">
        <f t="shared" si="987"/>
        <v>-570.28557090242293</v>
      </c>
      <c r="T530">
        <f t="shared" si="988"/>
        <v>-0.57028557090242293</v>
      </c>
    </row>
    <row r="531" spans="1:20" x14ac:dyDescent="0.25">
      <c r="A531" s="5">
        <v>44062</v>
      </c>
      <c r="B531">
        <v>1.072E-2</v>
      </c>
      <c r="C531">
        <v>1.082E-2</v>
      </c>
      <c r="D531">
        <v>9.1999999999999998E-3</v>
      </c>
      <c r="E531">
        <v>9.58E-3</v>
      </c>
      <c r="F531">
        <v>20088347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-0.530864197530864</v>
      </c>
      <c r="Q531">
        <f t="shared" si="985"/>
        <v>-10664184.209876539</v>
      </c>
      <c r="R531">
        <f t="shared" si="986"/>
        <v>-67364430.456280008</v>
      </c>
      <c r="S531">
        <f t="shared" si="987"/>
        <v>-673.64430456280013</v>
      </c>
      <c r="T531">
        <f t="shared" si="988"/>
        <v>-0.67364430456280011</v>
      </c>
    </row>
    <row r="532" spans="1:20" x14ac:dyDescent="0.25">
      <c r="A532" s="5">
        <v>44061</v>
      </c>
      <c r="B532">
        <v>1.102E-2</v>
      </c>
      <c r="C532">
        <v>1.155E-2</v>
      </c>
      <c r="D532">
        <v>1.0619999999999999E-2</v>
      </c>
      <c r="E532">
        <v>1.072E-2</v>
      </c>
      <c r="F532">
        <v>19473886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-0.78494623655913742</v>
      </c>
      <c r="Q532">
        <f t="shared" si="985"/>
        <v>-15285953.526881674</v>
      </c>
      <c r="R532">
        <f t="shared" si="986"/>
        <v>-56700246.246403471</v>
      </c>
      <c r="S532">
        <f t="shared" si="987"/>
        <v>-567.00246246403469</v>
      </c>
      <c r="T532">
        <f t="shared" si="988"/>
        <v>-0.56700246246403474</v>
      </c>
    </row>
    <row r="533" spans="1:20" x14ac:dyDescent="0.25">
      <c r="A533" s="5">
        <v>44060</v>
      </c>
      <c r="B533">
        <v>1.115E-2</v>
      </c>
      <c r="C533">
        <v>1.1379999999999999E-2</v>
      </c>
      <c r="D533">
        <v>1.073E-2</v>
      </c>
      <c r="E533">
        <v>1.102E-2</v>
      </c>
      <c r="F533">
        <v>25200526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-0.10769230769230605</v>
      </c>
      <c r="Q533">
        <f t="shared" si="985"/>
        <v>-2713902.7999999584</v>
      </c>
      <c r="R533">
        <f t="shared" si="986"/>
        <v>-41414292.719521798</v>
      </c>
      <c r="S533">
        <f t="shared" si="987"/>
        <v>-414.14292719521796</v>
      </c>
      <c r="T533">
        <f t="shared" si="988"/>
        <v>-0.41414292719521795</v>
      </c>
    </row>
    <row r="534" spans="1:20" x14ac:dyDescent="0.25">
      <c r="A534" s="5">
        <v>44059</v>
      </c>
      <c r="B534">
        <v>1.0659999999999999E-2</v>
      </c>
      <c r="C534">
        <v>1.115E-2</v>
      </c>
      <c r="D534">
        <v>1.0460000000000001E-2</v>
      </c>
      <c r="E534">
        <v>1.115E-2</v>
      </c>
      <c r="F534">
        <v>16948972.699999999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1</v>
      </c>
      <c r="Q534">
        <f t="shared" si="985"/>
        <v>16948972.699999999</v>
      </c>
      <c r="R534">
        <f t="shared" si="986"/>
        <v>-38700389.919521838</v>
      </c>
      <c r="S534">
        <f t="shared" si="987"/>
        <v>-387.00389919521837</v>
      </c>
      <c r="T534">
        <f t="shared" si="988"/>
        <v>-0.38700389919521838</v>
      </c>
    </row>
    <row r="535" spans="1:20" x14ac:dyDescent="0.25">
      <c r="A535" s="5">
        <v>44058</v>
      </c>
      <c r="B535">
        <v>1.1339999999999999E-2</v>
      </c>
      <c r="C535">
        <v>1.145E-2</v>
      </c>
      <c r="D535">
        <v>1.055E-2</v>
      </c>
      <c r="E535">
        <v>1.0659999999999999E-2</v>
      </c>
      <c r="F535">
        <v>22765151.100000001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-0.75555555555555776</v>
      </c>
      <c r="Q535">
        <f t="shared" si="985"/>
        <v>-17200336.386666719</v>
      </c>
      <c r="R535">
        <f t="shared" si="986"/>
        <v>-55649362.619521841</v>
      </c>
      <c r="S535">
        <f t="shared" si="987"/>
        <v>-556.49362619521844</v>
      </c>
      <c r="T535">
        <f t="shared" si="988"/>
        <v>-0.55649362619521847</v>
      </c>
    </row>
    <row r="536" spans="1:20" x14ac:dyDescent="0.25">
      <c r="A536" s="5">
        <v>44057</v>
      </c>
      <c r="B536">
        <v>1.055E-2</v>
      </c>
      <c r="C536">
        <v>1.1610000000000001E-2</v>
      </c>
      <c r="D536">
        <v>1.04E-2</v>
      </c>
      <c r="E536">
        <v>1.133E-2</v>
      </c>
      <c r="F536">
        <v>20150682.300000001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0.53719008264462731</v>
      </c>
      <c r="Q536">
        <f t="shared" si="985"/>
        <v>10824746.690082628</v>
      </c>
      <c r="R536">
        <f t="shared" si="986"/>
        <v>-38449026.232855126</v>
      </c>
      <c r="S536">
        <f t="shared" si="987"/>
        <v>-384.49026232855124</v>
      </c>
      <c r="T536">
        <f t="shared" si="988"/>
        <v>-0.38449026232855121</v>
      </c>
    </row>
    <row r="537" spans="1:20" x14ac:dyDescent="0.25">
      <c r="A537" s="5">
        <v>44056</v>
      </c>
      <c r="B537">
        <v>1.065E-2</v>
      </c>
      <c r="C537">
        <v>1.085E-2</v>
      </c>
      <c r="D537">
        <v>1.0059999999999999E-2</v>
      </c>
      <c r="E537">
        <v>1.055E-2</v>
      </c>
      <c r="F537">
        <v>25995579.600000001</v>
      </c>
      <c r="G537">
        <v>0</v>
      </c>
      <c r="L537" t="s">
        <v>7</v>
      </c>
      <c r="M537" t="s">
        <v>8</v>
      </c>
      <c r="N537" t="s">
        <v>8</v>
      </c>
      <c r="P537">
        <f t="shared" si="984"/>
        <v>0.240506329113925</v>
      </c>
      <c r="Q537">
        <f t="shared" si="985"/>
        <v>6252101.4227848351</v>
      </c>
      <c r="R537">
        <f t="shared" si="986"/>
        <v>-49273772.922937751</v>
      </c>
      <c r="S537">
        <f t="shared" si="987"/>
        <v>-492.73772922937752</v>
      </c>
      <c r="T537">
        <f t="shared" si="988"/>
        <v>-0.49273772922937753</v>
      </c>
    </row>
    <row r="538" spans="1:20" x14ac:dyDescent="0.25">
      <c r="A538" s="5">
        <v>44055</v>
      </c>
      <c r="B538">
        <v>1.022E-2</v>
      </c>
      <c r="C538">
        <v>1.0919999999999999E-2</v>
      </c>
      <c r="D538">
        <v>9.6600000000000002E-3</v>
      </c>
      <c r="E538">
        <v>1.064E-2</v>
      </c>
      <c r="F538">
        <v>29311858.699999999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0.5555555555555568</v>
      </c>
      <c r="Q538">
        <f t="shared" si="985"/>
        <v>16284365.944444481</v>
      </c>
      <c r="R538">
        <f t="shared" si="986"/>
        <v>-55525874.345722586</v>
      </c>
      <c r="S538">
        <f t="shared" si="987"/>
        <v>-555.25874345722582</v>
      </c>
      <c r="T538">
        <f t="shared" si="988"/>
        <v>-0.55525874345722581</v>
      </c>
    </row>
    <row r="539" spans="1:20" x14ac:dyDescent="0.25">
      <c r="A539" s="5">
        <v>44054</v>
      </c>
      <c r="B539">
        <v>1.0279999999999999E-2</v>
      </c>
      <c r="C539">
        <v>1.065E-2</v>
      </c>
      <c r="D539">
        <v>9.6500000000000006E-3</v>
      </c>
      <c r="E539">
        <v>1.0149999999999999E-2</v>
      </c>
      <c r="F539">
        <v>28510482.300000001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-1.7347234759768085E-15</v>
      </c>
      <c r="Q539">
        <f t="shared" si="985"/>
        <v>-4.9457802957231274E-8</v>
      </c>
      <c r="R539">
        <f t="shared" si="986"/>
        <v>-71810240.290167063</v>
      </c>
      <c r="S539">
        <f t="shared" si="987"/>
        <v>-718.10240290167064</v>
      </c>
      <c r="T539">
        <f t="shared" si="988"/>
        <v>-0.7181024029016706</v>
      </c>
    </row>
    <row r="540" spans="1:20" x14ac:dyDescent="0.25">
      <c r="A540" s="5">
        <v>44053</v>
      </c>
      <c r="B540">
        <v>9.8899999999999995E-3</v>
      </c>
      <c r="C540">
        <v>1.04E-2</v>
      </c>
      <c r="D540">
        <v>9.4500000000000001E-3</v>
      </c>
      <c r="E540">
        <v>1.0279999999999999E-2</v>
      </c>
      <c r="F540">
        <v>22247291.199999999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0.74736842105263079</v>
      </c>
      <c r="Q540">
        <f t="shared" si="985"/>
        <v>16626922.896842087</v>
      </c>
      <c r="R540">
        <f t="shared" si="986"/>
        <v>-71810240.290167019</v>
      </c>
      <c r="S540">
        <f t="shared" si="987"/>
        <v>-718.10240290167019</v>
      </c>
      <c r="T540">
        <f t="shared" si="988"/>
        <v>-0.71810240290167016</v>
      </c>
    </row>
    <row r="541" spans="1:20" x14ac:dyDescent="0.25">
      <c r="A541" s="5">
        <v>44052</v>
      </c>
      <c r="B541">
        <v>1.005E-2</v>
      </c>
      <c r="C541">
        <v>1.009E-2</v>
      </c>
      <c r="D541">
        <v>9.3399999999999993E-3</v>
      </c>
      <c r="E541">
        <v>9.8700000000000003E-3</v>
      </c>
      <c r="F541">
        <v>18932033.300000001</v>
      </c>
      <c r="G541">
        <v>0</v>
      </c>
      <c r="L541" t="s">
        <v>7</v>
      </c>
      <c r="M541" t="s">
        <v>8</v>
      </c>
      <c r="N541" t="s">
        <v>7</v>
      </c>
      <c r="P541">
        <f t="shared" si="984"/>
        <v>0.41333333333333461</v>
      </c>
      <c r="Q541">
        <f t="shared" si="985"/>
        <v>7825240.4306666907</v>
      </c>
      <c r="R541">
        <f t="shared" si="986"/>
        <v>-88437163.187009111</v>
      </c>
      <c r="S541">
        <f t="shared" si="987"/>
        <v>-884.37163187009116</v>
      </c>
      <c r="T541">
        <f t="shared" si="988"/>
        <v>-0.88437163187009116</v>
      </c>
    </row>
    <row r="542" spans="1:20" x14ac:dyDescent="0.25">
      <c r="A542" s="5">
        <v>44051</v>
      </c>
      <c r="B542">
        <v>9.1599999999999997E-3</v>
      </c>
      <c r="C542">
        <v>1.025E-2</v>
      </c>
      <c r="D542">
        <v>9.1500000000000001E-3</v>
      </c>
      <c r="E542">
        <v>1.0059999999999999E-2</v>
      </c>
      <c r="F542">
        <v>17649275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0.65454545454545299</v>
      </c>
      <c r="Q542">
        <f t="shared" si="985"/>
        <v>11552252.727272701</v>
      </c>
      <c r="R542">
        <f t="shared" si="986"/>
        <v>-96262403.617675796</v>
      </c>
      <c r="S542">
        <f t="shared" si="987"/>
        <v>-962.62403617675795</v>
      </c>
      <c r="T542">
        <f t="shared" si="988"/>
        <v>-0.96262403617675796</v>
      </c>
    </row>
    <row r="543" spans="1:20" x14ac:dyDescent="0.25">
      <c r="A543" s="5">
        <v>44050</v>
      </c>
      <c r="B543">
        <v>9.4699999999999993E-3</v>
      </c>
      <c r="C543">
        <v>9.75E-3</v>
      </c>
      <c r="D543">
        <v>8.7399999999999995E-3</v>
      </c>
      <c r="E543">
        <v>9.0799999999999995E-3</v>
      </c>
      <c r="F543">
        <v>23457586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-0.32673267326732702</v>
      </c>
      <c r="Q543">
        <f t="shared" si="985"/>
        <v>-7664359.782178225</v>
      </c>
      <c r="R543">
        <f t="shared" si="986"/>
        <v>-107814656.3449485</v>
      </c>
      <c r="S543">
        <f t="shared" si="987"/>
        <v>-1078.146563449485</v>
      </c>
      <c r="T543">
        <f t="shared" si="988"/>
        <v>-1.0781465634494851</v>
      </c>
    </row>
    <row r="544" spans="1:20" x14ac:dyDescent="0.25">
      <c r="A544" s="5">
        <v>44049</v>
      </c>
      <c r="B544">
        <v>8.6999999999999994E-3</v>
      </c>
      <c r="C544">
        <v>9.5899999999999996E-3</v>
      </c>
      <c r="D544">
        <v>8.6099999999999996E-3</v>
      </c>
      <c r="E544">
        <v>9.4699999999999993E-3</v>
      </c>
      <c r="F544">
        <v>14687683.300000001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0.75510204081632593</v>
      </c>
      <c r="Q544">
        <f t="shared" si="985"/>
        <v>11090699.634693868</v>
      </c>
      <c r="R544">
        <f t="shared" si="986"/>
        <v>-100150296.56277028</v>
      </c>
      <c r="S544">
        <f t="shared" si="987"/>
        <v>-1001.5029656277028</v>
      </c>
      <c r="T544">
        <f t="shared" si="988"/>
        <v>-1.0015029656277028</v>
      </c>
    </row>
    <row r="545" spans="1:20" x14ac:dyDescent="0.25">
      <c r="A545" s="5">
        <v>44048</v>
      </c>
      <c r="B545">
        <v>8.6300000000000005E-3</v>
      </c>
      <c r="C545">
        <v>8.9499999999999996E-3</v>
      </c>
      <c r="D545">
        <v>8.5100000000000002E-3</v>
      </c>
      <c r="E545">
        <v>8.6700000000000006E-3</v>
      </c>
      <c r="F545">
        <v>9304493.5999999996</v>
      </c>
      <c r="G545">
        <v>0</v>
      </c>
      <c r="L545" t="s">
        <v>8</v>
      </c>
      <c r="M545" t="s">
        <v>7</v>
      </c>
      <c r="N545" t="s">
        <v>7</v>
      </c>
      <c r="P545">
        <f t="shared" si="984"/>
        <v>-0.27272727272726988</v>
      </c>
      <c r="Q545">
        <f t="shared" si="985"/>
        <v>-2537589.163636337</v>
      </c>
      <c r="R545">
        <f t="shared" si="986"/>
        <v>-111240996.19746414</v>
      </c>
      <c r="S545">
        <f t="shared" si="987"/>
        <v>-1112.4099619746414</v>
      </c>
      <c r="T545">
        <f t="shared" si="988"/>
        <v>-1.1124099619746415</v>
      </c>
    </row>
    <row r="546" spans="1:20" x14ac:dyDescent="0.25">
      <c r="A546" s="5">
        <v>44047</v>
      </c>
      <c r="B546">
        <v>8.7399999999999995E-3</v>
      </c>
      <c r="C546">
        <v>8.77E-3</v>
      </c>
      <c r="D546">
        <v>8.2100000000000003E-3</v>
      </c>
      <c r="E546">
        <v>8.6199999999999992E-3</v>
      </c>
      <c r="F546">
        <v>10580105.1</v>
      </c>
      <c r="G546">
        <v>0</v>
      </c>
      <c r="L546" t="s">
        <v>7</v>
      </c>
      <c r="M546" t="s">
        <v>7</v>
      </c>
      <c r="N546" t="s">
        <v>7</v>
      </c>
      <c r="P546">
        <f t="shared" si="984"/>
        <v>0.46428571428571108</v>
      </c>
      <c r="Q546">
        <f t="shared" si="985"/>
        <v>4912191.6535713943</v>
      </c>
      <c r="R546">
        <f t="shared" si="986"/>
        <v>-108703407.0338278</v>
      </c>
      <c r="S546">
        <f t="shared" si="987"/>
        <v>-1087.0340703382781</v>
      </c>
      <c r="T546">
        <f t="shared" si="988"/>
        <v>-1.0870340703382781</v>
      </c>
    </row>
    <row r="547" spans="1:20" x14ac:dyDescent="0.25">
      <c r="A547" s="5">
        <v>44046</v>
      </c>
      <c r="B547">
        <v>8.2500000000000004E-3</v>
      </c>
      <c r="C547">
        <v>9.0900000000000009E-3</v>
      </c>
      <c r="D547">
        <v>8.2199999999999999E-3</v>
      </c>
      <c r="E547">
        <v>8.6700000000000006E-3</v>
      </c>
      <c r="F547">
        <v>11562001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3.4482758620690203E-2</v>
      </c>
      <c r="Q547">
        <f t="shared" si="985"/>
        <v>398689.68965517875</v>
      </c>
      <c r="R547">
        <f t="shared" si="986"/>
        <v>-113615598.68739919</v>
      </c>
      <c r="S547">
        <f t="shared" si="987"/>
        <v>-1136.1559868739919</v>
      </c>
      <c r="T547">
        <f t="shared" si="988"/>
        <v>-1.1361559868739919</v>
      </c>
    </row>
    <row r="548" spans="1:20" x14ac:dyDescent="0.25">
      <c r="A548" s="5">
        <v>44045</v>
      </c>
      <c r="B548">
        <v>8.5299999999999994E-3</v>
      </c>
      <c r="C548">
        <v>8.6E-3</v>
      </c>
      <c r="D548">
        <v>7.77E-3</v>
      </c>
      <c r="E548">
        <v>8.2699999999999996E-3</v>
      </c>
      <c r="F548">
        <v>15385301.6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0.2048192771084327</v>
      </c>
      <c r="Q548">
        <f t="shared" si="985"/>
        <v>3151206.3518072129</v>
      </c>
      <c r="R548">
        <f t="shared" si="986"/>
        <v>-114014288.37705438</v>
      </c>
      <c r="S548">
        <f t="shared" si="987"/>
        <v>-1140.1428837705437</v>
      </c>
      <c r="T548">
        <f t="shared" si="988"/>
        <v>-1.1401428837705436</v>
      </c>
    </row>
    <row r="549" spans="1:20" x14ac:dyDescent="0.25">
      <c r="A549" s="5">
        <v>44044</v>
      </c>
      <c r="B549">
        <v>8.6300000000000005E-3</v>
      </c>
      <c r="C549">
        <v>8.6899999999999998E-3</v>
      </c>
      <c r="D549">
        <v>8.1700000000000002E-3</v>
      </c>
      <c r="E549">
        <v>8.5500000000000003E-3</v>
      </c>
      <c r="F549">
        <v>12622483.4</v>
      </c>
      <c r="G549">
        <v>0</v>
      </c>
      <c r="L549" t="s">
        <v>7</v>
      </c>
      <c r="M549" t="s">
        <v>8</v>
      </c>
      <c r="N549" t="s">
        <v>7</v>
      </c>
      <c r="P549">
        <f t="shared" si="984"/>
        <v>0.46153846153846306</v>
      </c>
      <c r="Q549">
        <f t="shared" si="985"/>
        <v>5825761.5692307884</v>
      </c>
      <c r="R549">
        <f t="shared" si="986"/>
        <v>-117165494.72886159</v>
      </c>
      <c r="S549">
        <f t="shared" si="987"/>
        <v>-1171.6549472886159</v>
      </c>
      <c r="T549">
        <f t="shared" si="988"/>
        <v>-1.171654947288616</v>
      </c>
    </row>
    <row r="550" spans="1:20" x14ac:dyDescent="0.25">
      <c r="A550" s="5">
        <v>44043</v>
      </c>
      <c r="B550">
        <v>8.9899999999999997E-3</v>
      </c>
      <c r="C550">
        <v>9.2599999999999991E-3</v>
      </c>
      <c r="D550">
        <v>8.5500000000000003E-3</v>
      </c>
      <c r="E550">
        <v>8.6300000000000005E-3</v>
      </c>
      <c r="F550">
        <v>7395121.2999999998</v>
      </c>
      <c r="G550">
        <v>0</v>
      </c>
      <c r="L550" t="s">
        <v>8</v>
      </c>
      <c r="M550" t="s">
        <v>8</v>
      </c>
      <c r="N550" t="s">
        <v>7</v>
      </c>
      <c r="P550">
        <f t="shared" si="984"/>
        <v>-0.77464788732394274</v>
      </c>
      <c r="Q550">
        <f t="shared" si="985"/>
        <v>-5728615.0915492885</v>
      </c>
      <c r="R550">
        <f t="shared" si="986"/>
        <v>-122991256.29809238</v>
      </c>
      <c r="S550">
        <f t="shared" si="987"/>
        <v>-1229.9125629809239</v>
      </c>
      <c r="T550">
        <f t="shared" si="988"/>
        <v>-1.229912562980924</v>
      </c>
    </row>
    <row r="551" spans="1:20" x14ac:dyDescent="0.25">
      <c r="A551" s="5">
        <v>44042</v>
      </c>
      <c r="B551">
        <v>9.1999999999999998E-3</v>
      </c>
      <c r="C551">
        <v>9.4199999999999996E-3</v>
      </c>
      <c r="D551">
        <v>8.6199999999999992E-3</v>
      </c>
      <c r="E551">
        <v>9.0500000000000008E-3</v>
      </c>
      <c r="F551">
        <v>13945985.199999999</v>
      </c>
      <c r="G551">
        <v>0</v>
      </c>
      <c r="L551" t="s">
        <v>7</v>
      </c>
      <c r="M551" t="s">
        <v>8</v>
      </c>
      <c r="N551" t="s">
        <v>7</v>
      </c>
      <c r="P551">
        <f t="shared" si="984"/>
        <v>7.5000000000003411E-2</v>
      </c>
      <c r="Q551">
        <f t="shared" si="985"/>
        <v>1045948.8900000475</v>
      </c>
      <c r="R551">
        <f t="shared" si="986"/>
        <v>-117262641.20654309</v>
      </c>
      <c r="S551">
        <f t="shared" si="987"/>
        <v>-1172.6264120654309</v>
      </c>
      <c r="T551">
        <f t="shared" si="988"/>
        <v>-1.1726264120654308</v>
      </c>
    </row>
    <row r="552" spans="1:20" x14ac:dyDescent="0.25">
      <c r="A552" s="5">
        <v>44041</v>
      </c>
      <c r="B552">
        <v>8.6599999999999993E-3</v>
      </c>
      <c r="C552">
        <v>9.3500000000000007E-3</v>
      </c>
      <c r="D552">
        <v>8.5299999999999994E-3</v>
      </c>
      <c r="E552">
        <v>9.2399999999999999E-3</v>
      </c>
      <c r="F552">
        <v>14546179.4</v>
      </c>
      <c r="G552">
        <v>0</v>
      </c>
      <c r="L552" t="s">
        <v>8</v>
      </c>
      <c r="M552" t="s">
        <v>8</v>
      </c>
      <c r="N552" t="s">
        <v>7</v>
      </c>
      <c r="P552">
        <f t="shared" si="984"/>
        <v>0.73170731707316938</v>
      </c>
      <c r="Q552">
        <f t="shared" si="985"/>
        <v>10643545.902439006</v>
      </c>
      <c r="R552">
        <f t="shared" si="986"/>
        <v>-118308590.09654313</v>
      </c>
      <c r="S552">
        <f t="shared" si="987"/>
        <v>-1183.0859009654314</v>
      </c>
      <c r="T552">
        <f t="shared" si="988"/>
        <v>-1.1830859009654313</v>
      </c>
    </row>
    <row r="553" spans="1:20" x14ac:dyDescent="0.25">
      <c r="A553" s="5">
        <v>44040</v>
      </c>
      <c r="B553">
        <v>8.1799999999999998E-3</v>
      </c>
      <c r="C553">
        <v>9.0600000000000003E-3</v>
      </c>
      <c r="D553">
        <v>8.1399999999999997E-3</v>
      </c>
      <c r="E553">
        <v>8.6199999999999992E-3</v>
      </c>
      <c r="F553">
        <v>20530170.100000001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4.3478260869563412E-2</v>
      </c>
      <c r="Q553">
        <f t="shared" si="985"/>
        <v>892616.09130431083</v>
      </c>
      <c r="R553">
        <f t="shared" si="986"/>
        <v>-128952135.99898215</v>
      </c>
      <c r="S553">
        <f t="shared" si="987"/>
        <v>-1289.5213599898216</v>
      </c>
      <c r="T553">
        <f t="shared" si="988"/>
        <v>-1.2895213599898216</v>
      </c>
    </row>
    <row r="554" spans="1:20" x14ac:dyDescent="0.25">
      <c r="A554" s="5">
        <v>44039</v>
      </c>
      <c r="B554">
        <v>9.4199999999999996E-3</v>
      </c>
      <c r="C554">
        <v>9.4199999999999996E-3</v>
      </c>
      <c r="D554">
        <v>7.4900000000000001E-3</v>
      </c>
      <c r="E554">
        <v>8.1499999999999993E-3</v>
      </c>
      <c r="F554">
        <v>41977332.399999999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-0.31606217616580379</v>
      </c>
      <c r="Q554">
        <f t="shared" si="985"/>
        <v>-13267447.027979303</v>
      </c>
      <c r="R554">
        <f t="shared" si="986"/>
        <v>-129844752.09028646</v>
      </c>
      <c r="S554">
        <f t="shared" si="987"/>
        <v>-1298.4475209028647</v>
      </c>
      <c r="T554">
        <f t="shared" si="988"/>
        <v>-1.2984475209028647</v>
      </c>
    </row>
    <row r="555" spans="1:20" x14ac:dyDescent="0.25">
      <c r="A555" s="5">
        <v>44038</v>
      </c>
      <c r="B555">
        <v>1.013E-2</v>
      </c>
      <c r="C555">
        <v>1.027E-2</v>
      </c>
      <c r="D555">
        <v>8.8599999999999998E-3</v>
      </c>
      <c r="E555">
        <v>9.4299999999999991E-3</v>
      </c>
      <c r="F555">
        <v>14556143.199999999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-0.19148936170212849</v>
      </c>
      <c r="Q555">
        <f t="shared" si="985"/>
        <v>-2787346.5702127777</v>
      </c>
      <c r="R555">
        <f t="shared" si="986"/>
        <v>-116577305.06230716</v>
      </c>
      <c r="S555">
        <f t="shared" si="987"/>
        <v>-1165.7730506230716</v>
      </c>
      <c r="T555">
        <f t="shared" si="988"/>
        <v>-1.1657730506230717</v>
      </c>
    </row>
    <row r="556" spans="1:20" x14ac:dyDescent="0.25">
      <c r="A556" s="5">
        <v>44037</v>
      </c>
      <c r="B556">
        <v>1.014E-2</v>
      </c>
      <c r="C556">
        <v>1.076E-2</v>
      </c>
      <c r="D556">
        <v>1.001E-2</v>
      </c>
      <c r="E556">
        <v>1.0109999999999999E-2</v>
      </c>
      <c r="F556">
        <v>16689224.1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-0.73333333333333517</v>
      </c>
      <c r="Q556">
        <f t="shared" si="985"/>
        <v>-12238764.34000003</v>
      </c>
      <c r="R556">
        <f t="shared" si="986"/>
        <v>-113789958.49209438</v>
      </c>
      <c r="S556">
        <f t="shared" si="987"/>
        <v>-1137.8995849209439</v>
      </c>
      <c r="T556">
        <f t="shared" si="988"/>
        <v>-1.1378995849209439</v>
      </c>
    </row>
    <row r="557" spans="1:20" x14ac:dyDescent="0.25">
      <c r="A557" s="5">
        <v>44036</v>
      </c>
      <c r="B557">
        <v>1.095E-2</v>
      </c>
      <c r="C557">
        <v>1.157E-2</v>
      </c>
      <c r="D557">
        <v>1.0070000000000001E-2</v>
      </c>
      <c r="E557">
        <v>1.0189999999999999E-2</v>
      </c>
      <c r="F557">
        <v>35630073.200000003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-0.84000000000000186</v>
      </c>
      <c r="Q557">
        <f t="shared" si="985"/>
        <v>-29929261.488000069</v>
      </c>
      <c r="R557">
        <f t="shared" si="986"/>
        <v>-101551194.15209435</v>
      </c>
      <c r="S557">
        <f t="shared" si="987"/>
        <v>-1015.5119415209435</v>
      </c>
      <c r="T557">
        <f t="shared" si="988"/>
        <v>-1.0155119415209435</v>
      </c>
    </row>
    <row r="558" spans="1:20" x14ac:dyDescent="0.25">
      <c r="A558" s="5">
        <v>44035</v>
      </c>
      <c r="B558">
        <v>9.7999999999999997E-3</v>
      </c>
      <c r="C558">
        <v>1.158E-2</v>
      </c>
      <c r="D558">
        <v>9.7599999999999996E-3</v>
      </c>
      <c r="E558">
        <v>1.095E-2</v>
      </c>
      <c r="F558">
        <v>41959526.5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0.30769230769230749</v>
      </c>
      <c r="Q558">
        <f t="shared" si="985"/>
        <v>12910623.538461531</v>
      </c>
      <c r="R558">
        <f t="shared" si="986"/>
        <v>-71621932.664094284</v>
      </c>
      <c r="S558">
        <f t="shared" si="987"/>
        <v>-716.21932664094288</v>
      </c>
      <c r="T558">
        <f t="shared" si="988"/>
        <v>-0.7162193266409429</v>
      </c>
    </row>
    <row r="559" spans="1:20" x14ac:dyDescent="0.25">
      <c r="A559" s="5">
        <v>44034</v>
      </c>
      <c r="B559">
        <v>8.8800000000000007E-3</v>
      </c>
      <c r="C559">
        <v>1.098E-2</v>
      </c>
      <c r="D559">
        <v>8.8299999999999993E-3</v>
      </c>
      <c r="E559">
        <v>9.8300000000000002E-3</v>
      </c>
      <c r="F559">
        <v>60256488.200000003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-6.9767441860464671E-2</v>
      </c>
      <c r="Q559">
        <f t="shared" si="985"/>
        <v>-4203941.0372092761</v>
      </c>
      <c r="R559">
        <f t="shared" si="986"/>
        <v>-84532556.20255582</v>
      </c>
      <c r="S559">
        <f t="shared" si="987"/>
        <v>-845.32556202555816</v>
      </c>
      <c r="T559">
        <f t="shared" si="988"/>
        <v>-0.8453255620255582</v>
      </c>
    </row>
    <row r="560" spans="1:20" x14ac:dyDescent="0.25">
      <c r="A560" s="5">
        <v>44033</v>
      </c>
      <c r="B560">
        <v>8.6700000000000006E-3</v>
      </c>
      <c r="C560">
        <v>9.1299999999999992E-3</v>
      </c>
      <c r="D560">
        <v>8.6099999999999996E-3</v>
      </c>
      <c r="E560">
        <v>8.8999999999999999E-3</v>
      </c>
      <c r="F560">
        <v>11128440.5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0.11538461538461743</v>
      </c>
      <c r="Q560">
        <f t="shared" si="985"/>
        <v>1284050.8269230998</v>
      </c>
      <c r="R560">
        <f t="shared" si="986"/>
        <v>-80328615.165346548</v>
      </c>
      <c r="S560">
        <f t="shared" si="987"/>
        <v>-803.28615165346548</v>
      </c>
      <c r="T560">
        <f t="shared" si="988"/>
        <v>-0.80328615165346551</v>
      </c>
    </row>
    <row r="561" spans="1:104" x14ac:dyDescent="0.25">
      <c r="A561" s="5">
        <v>44032</v>
      </c>
      <c r="B561">
        <v>8.6E-3</v>
      </c>
      <c r="C561">
        <v>9.0399999999999994E-3</v>
      </c>
      <c r="D561">
        <v>8.3499999999999998E-3</v>
      </c>
      <c r="E561">
        <v>8.6400000000000001E-3</v>
      </c>
      <c r="F561">
        <v>17708296.399999999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-0.15942028985507109</v>
      </c>
      <c r="Q561">
        <f t="shared" si="985"/>
        <v>-2823061.7449275116</v>
      </c>
      <c r="R561">
        <f t="shared" si="986"/>
        <v>-81612665.99226965</v>
      </c>
      <c r="S561">
        <f t="shared" si="987"/>
        <v>-816.12665992269649</v>
      </c>
      <c r="T561">
        <f t="shared" si="988"/>
        <v>-0.81612665992269651</v>
      </c>
      <c r="CZ561" t="s">
        <v>7</v>
      </c>
    </row>
    <row r="562" spans="1:104" x14ac:dyDescent="0.25">
      <c r="A562" s="5">
        <v>44031</v>
      </c>
      <c r="B562">
        <v>8.4200000000000004E-3</v>
      </c>
      <c r="C562">
        <v>8.6499999999999997E-3</v>
      </c>
      <c r="D562">
        <v>8.1899999999999994E-3</v>
      </c>
      <c r="E562">
        <v>8.5800000000000008E-3</v>
      </c>
      <c r="F562">
        <v>10552198.699999999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0.69565217391304857</v>
      </c>
      <c r="Q562">
        <f t="shared" si="985"/>
        <v>7340659.9652174441</v>
      </c>
      <c r="R562">
        <f t="shared" si="986"/>
        <v>-78789604.247342139</v>
      </c>
      <c r="S562">
        <f t="shared" si="987"/>
        <v>-787.8960424734214</v>
      </c>
      <c r="T562">
        <f t="shared" si="988"/>
        <v>-0.78789604247342138</v>
      </c>
      <c r="CZ562" t="s">
        <v>7</v>
      </c>
    </row>
    <row r="563" spans="1:104" x14ac:dyDescent="0.25">
      <c r="A563" s="5">
        <v>44030</v>
      </c>
      <c r="B563">
        <v>8.4799999999999997E-3</v>
      </c>
      <c r="C563">
        <v>8.8999999999999999E-3</v>
      </c>
      <c r="D563">
        <v>8.2900000000000005E-3</v>
      </c>
      <c r="E563">
        <v>8.4600000000000005E-3</v>
      </c>
      <c r="F563">
        <v>15901631.800000001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-0.44262295081967157</v>
      </c>
      <c r="Q563">
        <f t="shared" si="985"/>
        <v>-7038427.1901639262</v>
      </c>
      <c r="R563">
        <f t="shared" si="986"/>
        <v>-86130264.212559581</v>
      </c>
      <c r="S563">
        <f t="shared" si="987"/>
        <v>-861.30264212559575</v>
      </c>
      <c r="T563">
        <f t="shared" si="988"/>
        <v>-0.86130264212559571</v>
      </c>
      <c r="CZ563" t="s">
        <v>7</v>
      </c>
    </row>
    <row r="564" spans="1:104" x14ac:dyDescent="0.25">
      <c r="A564" s="5">
        <v>44029</v>
      </c>
      <c r="B564">
        <v>8.0700000000000008E-3</v>
      </c>
      <c r="C564">
        <v>8.7600000000000004E-3</v>
      </c>
      <c r="D564">
        <v>8.0199999999999994E-3</v>
      </c>
      <c r="E564">
        <v>8.4899999999999993E-3</v>
      </c>
      <c r="F564">
        <v>6961648.2000000002</v>
      </c>
      <c r="G564">
        <v>0</v>
      </c>
      <c r="L564" t="s">
        <v>8</v>
      </c>
      <c r="M564" t="s">
        <v>7</v>
      </c>
      <c r="N564" t="s">
        <v>8</v>
      </c>
      <c r="P564">
        <f t="shared" si="984"/>
        <v>0.27027027027026823</v>
      </c>
      <c r="Q564">
        <f t="shared" si="985"/>
        <v>1881526.5405405264</v>
      </c>
      <c r="R564">
        <f t="shared" si="986"/>
        <v>-79091837.022395656</v>
      </c>
      <c r="S564">
        <f t="shared" si="987"/>
        <v>-790.91837022395657</v>
      </c>
      <c r="T564">
        <f t="shared" si="988"/>
        <v>-0.79091837022395661</v>
      </c>
    </row>
    <row r="565" spans="1:104" x14ac:dyDescent="0.25">
      <c r="A565" s="5">
        <v>44028</v>
      </c>
      <c r="B565">
        <v>8.2100000000000003E-3</v>
      </c>
      <c r="C565">
        <v>8.3199999999999993E-3</v>
      </c>
      <c r="D565">
        <v>7.5900000000000004E-3</v>
      </c>
      <c r="E565">
        <v>8.0700000000000008E-3</v>
      </c>
      <c r="F565">
        <v>10368743.6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0.31506849315068802</v>
      </c>
      <c r="Q565">
        <f t="shared" si="985"/>
        <v>3266864.4219178404</v>
      </c>
      <c r="R565">
        <f t="shared" si="986"/>
        <v>-80973363.562936187</v>
      </c>
      <c r="S565">
        <f t="shared" si="987"/>
        <v>-809.73363562936186</v>
      </c>
      <c r="T565">
        <f t="shared" si="988"/>
        <v>-0.80973363562936185</v>
      </c>
    </row>
    <row r="566" spans="1:104" x14ac:dyDescent="0.25">
      <c r="A566" s="5">
        <v>44027</v>
      </c>
      <c r="B566">
        <v>8.4100000000000008E-3</v>
      </c>
      <c r="C566">
        <v>8.5100000000000002E-3</v>
      </c>
      <c r="D566">
        <v>8.1099999999999992E-3</v>
      </c>
      <c r="E566">
        <v>8.2000000000000007E-3</v>
      </c>
      <c r="F566">
        <v>7393850.5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-0.54999999999999349</v>
      </c>
      <c r="Q566">
        <f t="shared" si="985"/>
        <v>-4066617.7749999519</v>
      </c>
      <c r="R566">
        <f t="shared" si="986"/>
        <v>-84240227.984854028</v>
      </c>
      <c r="S566">
        <f t="shared" si="987"/>
        <v>-842.40227984854027</v>
      </c>
      <c r="T566">
        <f t="shared" si="988"/>
        <v>-0.84240227984854033</v>
      </c>
    </row>
    <row r="567" spans="1:104" x14ac:dyDescent="0.25">
      <c r="A567" s="5">
        <v>44026</v>
      </c>
      <c r="B567">
        <v>8.4499999999999992E-3</v>
      </c>
      <c r="C567">
        <v>9.1999999999999998E-3</v>
      </c>
      <c r="D567">
        <v>8.2400000000000008E-3</v>
      </c>
      <c r="E567">
        <v>8.4100000000000008E-3</v>
      </c>
      <c r="F567">
        <v>26204728.5</v>
      </c>
      <c r="G567">
        <v>0</v>
      </c>
      <c r="L567" t="s">
        <v>8</v>
      </c>
      <c r="M567" t="s">
        <v>8</v>
      </c>
      <c r="N567" t="s">
        <v>8</v>
      </c>
      <c r="P567">
        <f t="shared" si="984"/>
        <v>-0.64583333333333293</v>
      </c>
      <c r="Q567">
        <f t="shared" si="985"/>
        <v>-16923887.156249989</v>
      </c>
      <c r="R567">
        <f t="shared" si="986"/>
        <v>-80173610.209854081</v>
      </c>
      <c r="S567">
        <f t="shared" si="987"/>
        <v>-801.73610209854087</v>
      </c>
      <c r="T567">
        <f t="shared" si="988"/>
        <v>-0.80173610209854085</v>
      </c>
    </row>
    <row r="568" spans="1:104" x14ac:dyDescent="0.25">
      <c r="A568" s="5">
        <v>44025</v>
      </c>
      <c r="B568">
        <v>8.5599999999999999E-3</v>
      </c>
      <c r="C568">
        <v>8.5800000000000008E-3</v>
      </c>
      <c r="D568">
        <v>8.2799999999999992E-3</v>
      </c>
      <c r="E568">
        <v>8.4499999999999992E-3</v>
      </c>
      <c r="F568">
        <v>10046095.300000001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0.13333333333332717</v>
      </c>
      <c r="Q568">
        <f t="shared" si="985"/>
        <v>1339479.3733332716</v>
      </c>
      <c r="R568">
        <f t="shared" si="986"/>
        <v>-63249723.053604096</v>
      </c>
      <c r="S568">
        <f t="shared" si="987"/>
        <v>-632.497230536041</v>
      </c>
      <c r="T568">
        <f t="shared" si="988"/>
        <v>-0.63249723053604101</v>
      </c>
    </row>
    <row r="569" spans="1:104" x14ac:dyDescent="0.25">
      <c r="A569" s="5">
        <v>44024</v>
      </c>
      <c r="B569">
        <v>8.8699999999999994E-3</v>
      </c>
      <c r="C569">
        <v>9.0699999999999999E-3</v>
      </c>
      <c r="D569">
        <v>8.3800000000000003E-3</v>
      </c>
      <c r="E569">
        <v>8.5699999999999995E-3</v>
      </c>
      <c r="F569">
        <v>18672472.399999999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-0.44927536231884263</v>
      </c>
      <c r="Q569">
        <f t="shared" si="985"/>
        <v>-8389081.8028985877</v>
      </c>
      <c r="R569">
        <f t="shared" si="986"/>
        <v>-64589202.426937371</v>
      </c>
      <c r="S569">
        <f t="shared" si="987"/>
        <v>-645.89202426937368</v>
      </c>
      <c r="T569">
        <f t="shared" si="988"/>
        <v>-0.64589202426937364</v>
      </c>
    </row>
    <row r="570" spans="1:104" x14ac:dyDescent="0.25">
      <c r="A570" s="5">
        <v>44023</v>
      </c>
      <c r="B570">
        <v>8.5400000000000007E-3</v>
      </c>
      <c r="C570">
        <v>9.1199999999999996E-3</v>
      </c>
      <c r="D570">
        <v>8.4899999999999993E-3</v>
      </c>
      <c r="E570">
        <v>8.8800000000000007E-3</v>
      </c>
      <c r="F570">
        <v>23522991.899999999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0.23809523809524202</v>
      </c>
      <c r="Q570">
        <f t="shared" si="985"/>
        <v>5600712.3571429495</v>
      </c>
      <c r="R570">
        <f t="shared" si="986"/>
        <v>-56200120.624038786</v>
      </c>
      <c r="S570">
        <f t="shared" si="987"/>
        <v>-562.00120624038789</v>
      </c>
      <c r="T570">
        <f t="shared" si="988"/>
        <v>-0.56200120624038785</v>
      </c>
    </row>
    <row r="571" spans="1:104" x14ac:dyDescent="0.25">
      <c r="A571" s="5">
        <v>44022</v>
      </c>
      <c r="B571">
        <v>8.0300000000000007E-3</v>
      </c>
      <c r="C571">
        <v>9.1400000000000006E-3</v>
      </c>
      <c r="D571">
        <v>7.8700000000000003E-3</v>
      </c>
      <c r="E571">
        <v>8.4600000000000005E-3</v>
      </c>
      <c r="F571">
        <v>39660526.700000003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-7.0866141732283297E-2</v>
      </c>
      <c r="Q571">
        <f t="shared" si="985"/>
        <v>-2810588.5062992061</v>
      </c>
      <c r="R571">
        <f t="shared" si="986"/>
        <v>-61800832.981181733</v>
      </c>
      <c r="S571">
        <f t="shared" si="987"/>
        <v>-618.00832981181736</v>
      </c>
      <c r="T571">
        <f t="shared" si="988"/>
        <v>-0.61800832981181741</v>
      </c>
    </row>
    <row r="572" spans="1:104" x14ac:dyDescent="0.25">
      <c r="A572" s="5">
        <v>44021</v>
      </c>
      <c r="B572">
        <v>7.8300000000000002E-3</v>
      </c>
      <c r="C572">
        <v>8.0999999999999996E-3</v>
      </c>
      <c r="D572">
        <v>7.6800000000000002E-3</v>
      </c>
      <c r="E572">
        <v>8.0300000000000007E-3</v>
      </c>
      <c r="F572">
        <v>16281915.6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0.66666666666667151</v>
      </c>
      <c r="Q572">
        <f t="shared" si="985"/>
        <v>10854610.400000079</v>
      </c>
      <c r="R572">
        <f t="shared" si="986"/>
        <v>-58990244.474882528</v>
      </c>
      <c r="S572">
        <f t="shared" si="987"/>
        <v>-589.90244474882525</v>
      </c>
      <c r="T572">
        <f t="shared" si="988"/>
        <v>-0.58990244474882525</v>
      </c>
    </row>
    <row r="573" spans="1:104" x14ac:dyDescent="0.25">
      <c r="A573" s="5">
        <v>44020</v>
      </c>
      <c r="B573">
        <v>7.9299999999999995E-3</v>
      </c>
      <c r="C573">
        <v>8.0800000000000004E-3</v>
      </c>
      <c r="D573">
        <v>7.7999999999999996E-3</v>
      </c>
      <c r="E573">
        <v>7.8799999999999999E-3</v>
      </c>
      <c r="F573">
        <v>6825548.0999999996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-0.42857142857142855</v>
      </c>
      <c r="Q573">
        <f t="shared" si="985"/>
        <v>-2925234.9</v>
      </c>
      <c r="R573">
        <f t="shared" si="986"/>
        <v>-69844854.874882609</v>
      </c>
      <c r="S573">
        <f t="shared" si="987"/>
        <v>-698.44854874882606</v>
      </c>
      <c r="T573">
        <f t="shared" si="988"/>
        <v>-0.698448548748826</v>
      </c>
    </row>
    <row r="574" spans="1:104" x14ac:dyDescent="0.25">
      <c r="A574" s="5">
        <v>44019</v>
      </c>
      <c r="B574">
        <v>8.0099999999999998E-3</v>
      </c>
      <c r="C574">
        <v>8.2000000000000007E-3</v>
      </c>
      <c r="D574">
        <v>7.6699999999999997E-3</v>
      </c>
      <c r="E574">
        <v>7.9699999999999997E-3</v>
      </c>
      <c r="F574">
        <v>15918901.4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0.13207547169811087</v>
      </c>
      <c r="Q574">
        <f t="shared" si="985"/>
        <v>2102496.4113207175</v>
      </c>
      <c r="R574">
        <f t="shared" si="986"/>
        <v>-66919619.974882603</v>
      </c>
      <c r="S574">
        <f t="shared" si="987"/>
        <v>-669.19619974882607</v>
      </c>
      <c r="T574">
        <f t="shared" si="988"/>
        <v>-0.66919619974882605</v>
      </c>
    </row>
    <row r="575" spans="1:104" x14ac:dyDescent="0.25">
      <c r="A575" s="5">
        <v>44018</v>
      </c>
      <c r="B575">
        <v>7.5799999999999999E-3</v>
      </c>
      <c r="C575">
        <v>8.2000000000000007E-3</v>
      </c>
      <c r="D575">
        <v>7.5399999999999998E-3</v>
      </c>
      <c r="E575">
        <v>8.0099999999999998E-3</v>
      </c>
      <c r="F575">
        <v>17857828.800000001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0.42424242424242214</v>
      </c>
      <c r="Q575">
        <f t="shared" si="985"/>
        <v>7576048.5818181448</v>
      </c>
      <c r="R575">
        <f t="shared" si="986"/>
        <v>-69022116.386203319</v>
      </c>
      <c r="S575">
        <f t="shared" si="987"/>
        <v>-690.22116386203322</v>
      </c>
      <c r="T575">
        <f t="shared" si="988"/>
        <v>-0.69022116386203325</v>
      </c>
    </row>
    <row r="576" spans="1:104" x14ac:dyDescent="0.25">
      <c r="A576" s="5">
        <v>44017</v>
      </c>
      <c r="B576">
        <v>7.3400000000000002E-3</v>
      </c>
      <c r="C576">
        <v>7.8200000000000006E-3</v>
      </c>
      <c r="D576">
        <v>7.0699999999999999E-3</v>
      </c>
      <c r="E576">
        <v>7.62E-3</v>
      </c>
      <c r="F576">
        <v>15910610.199999999</v>
      </c>
      <c r="G576">
        <v>0</v>
      </c>
      <c r="L576" t="s">
        <v>8</v>
      </c>
      <c r="M576" t="s">
        <v>8</v>
      </c>
      <c r="N576" t="s">
        <v>8</v>
      </c>
      <c r="P576">
        <f t="shared" si="984"/>
        <v>0.46666666666666573</v>
      </c>
      <c r="Q576">
        <f t="shared" si="985"/>
        <v>7424951.4266666519</v>
      </c>
      <c r="R576">
        <f t="shared" si="986"/>
        <v>-76598164.968021467</v>
      </c>
      <c r="S576">
        <f t="shared" si="987"/>
        <v>-765.98164968021467</v>
      </c>
      <c r="T576">
        <f t="shared" si="988"/>
        <v>-0.76598164968021465</v>
      </c>
    </row>
    <row r="577" spans="1:20" x14ac:dyDescent="0.25">
      <c r="A577" s="5">
        <v>44016</v>
      </c>
      <c r="B577">
        <v>7.2500000000000004E-3</v>
      </c>
      <c r="C577">
        <v>7.4599999999999996E-3</v>
      </c>
      <c r="D577">
        <v>7.0200000000000002E-3</v>
      </c>
      <c r="E577">
        <v>7.3299999999999997E-3</v>
      </c>
      <c r="F577">
        <v>9054471.6999999993</v>
      </c>
      <c r="G577">
        <v>0</v>
      </c>
      <c r="L577" t="s">
        <v>8</v>
      </c>
      <c r="M577" t="s">
        <v>7</v>
      </c>
      <c r="N577" t="s">
        <v>8</v>
      </c>
      <c r="P577">
        <f t="shared" si="984"/>
        <v>0.40909090909090873</v>
      </c>
      <c r="Q577">
        <f t="shared" si="985"/>
        <v>3704102.0590909054</v>
      </c>
      <c r="R577">
        <f t="shared" si="986"/>
        <v>-84023116.394688115</v>
      </c>
      <c r="S577">
        <f t="shared" si="987"/>
        <v>-840.23116394688111</v>
      </c>
      <c r="T577">
        <f t="shared" si="988"/>
        <v>-0.84023116394688113</v>
      </c>
    </row>
    <row r="578" spans="1:20" x14ac:dyDescent="0.25">
      <c r="A578" s="5">
        <v>44015</v>
      </c>
      <c r="B578">
        <v>7.0499999999999998E-3</v>
      </c>
      <c r="C578">
        <v>7.45E-3</v>
      </c>
      <c r="D578">
        <v>7.0499999999999998E-3</v>
      </c>
      <c r="E578">
        <v>7.2399999999999999E-3</v>
      </c>
      <c r="F578">
        <v>7238310.5999999996</v>
      </c>
      <c r="G578">
        <v>0</v>
      </c>
      <c r="L578" t="s">
        <v>8</v>
      </c>
      <c r="M578" t="s">
        <v>7</v>
      </c>
      <c r="N578" t="s">
        <v>8</v>
      </c>
      <c r="P578">
        <f t="shared" si="984"/>
        <v>-5.0000000000000107E-2</v>
      </c>
      <c r="Q578">
        <f t="shared" si="985"/>
        <v>-361915.53000000073</v>
      </c>
      <c r="R578">
        <f t="shared" si="986"/>
        <v>-87727218.453779027</v>
      </c>
      <c r="S578">
        <f t="shared" si="987"/>
        <v>-877.27218453779028</v>
      </c>
      <c r="T578">
        <f t="shared" si="988"/>
        <v>-0.87727218453779032</v>
      </c>
    </row>
    <row r="579" spans="1:20" x14ac:dyDescent="0.25">
      <c r="A579" s="5">
        <v>44014</v>
      </c>
      <c r="B579">
        <v>6.94E-3</v>
      </c>
      <c r="C579">
        <v>7.2300000000000003E-3</v>
      </c>
      <c r="D579">
        <v>6.8199999999999997E-3</v>
      </c>
      <c r="E579">
        <v>7.11E-3</v>
      </c>
      <c r="F579">
        <v>11840498.6</v>
      </c>
      <c r="G579">
        <v>0</v>
      </c>
      <c r="L579" t="s">
        <v>8</v>
      </c>
      <c r="M579" t="s">
        <v>7</v>
      </c>
      <c r="N579" t="s">
        <v>8</v>
      </c>
      <c r="P579">
        <f t="shared" si="984"/>
        <v>0.41463414634146278</v>
      </c>
      <c r="Q579">
        <f t="shared" si="985"/>
        <v>4909475.0292682853</v>
      </c>
      <c r="R579">
        <f t="shared" si="986"/>
        <v>-87365302.923779026</v>
      </c>
      <c r="S579">
        <f t="shared" si="987"/>
        <v>-873.65302923779029</v>
      </c>
      <c r="T579">
        <f t="shared" si="988"/>
        <v>-0.87365302923779031</v>
      </c>
    </row>
    <row r="580" spans="1:20" x14ac:dyDescent="0.25">
      <c r="A580" s="5">
        <v>44013</v>
      </c>
      <c r="B580">
        <v>6.8799999999999998E-3</v>
      </c>
      <c r="C580">
        <v>7.0699999999999999E-3</v>
      </c>
      <c r="D580">
        <v>6.8500000000000002E-3</v>
      </c>
      <c r="E580">
        <v>6.94E-3</v>
      </c>
      <c r="F580">
        <v>2411799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-0.18181818181818254</v>
      </c>
      <c r="Q580">
        <f t="shared" si="985"/>
        <v>-438508.90909091086</v>
      </c>
      <c r="R580">
        <f t="shared" si="986"/>
        <v>-92274777.953047305</v>
      </c>
      <c r="S580">
        <f t="shared" si="987"/>
        <v>-922.74777953047305</v>
      </c>
      <c r="T580">
        <f t="shared" si="988"/>
        <v>-0.92274777953047304</v>
      </c>
    </row>
    <row r="581" spans="1:20" x14ac:dyDescent="0.25">
      <c r="A581" s="5">
        <v>44012</v>
      </c>
      <c r="B581">
        <v>6.8700000000000002E-3</v>
      </c>
      <c r="C581">
        <v>6.96E-3</v>
      </c>
      <c r="D581">
        <v>6.7499999999999999E-3</v>
      </c>
      <c r="E581">
        <v>6.9100000000000003E-3</v>
      </c>
      <c r="F581">
        <v>3297789.3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0.52380952380952694</v>
      </c>
      <c r="Q581">
        <f t="shared" si="985"/>
        <v>1727413.442857153</v>
      </c>
      <c r="R581">
        <f t="shared" si="986"/>
        <v>-91836269.043956399</v>
      </c>
      <c r="S581">
        <f t="shared" si="987"/>
        <v>-918.36269043956395</v>
      </c>
      <c r="T581">
        <f t="shared" si="988"/>
        <v>-0.91836269043956398</v>
      </c>
    </row>
    <row r="582" spans="1:20" x14ac:dyDescent="0.25">
      <c r="A582" s="5">
        <v>44011</v>
      </c>
      <c r="B582">
        <v>7.0299999999999998E-3</v>
      </c>
      <c r="C582">
        <v>7.1399999999999996E-3</v>
      </c>
      <c r="D582">
        <v>6.7200000000000003E-3</v>
      </c>
      <c r="E582">
        <v>6.9100000000000003E-3</v>
      </c>
      <c r="F582">
        <v>7517257.7999999998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-9.5238095238093567E-2</v>
      </c>
      <c r="Q582">
        <f t="shared" ref="Q582:Q645" si="990">F582*P582</f>
        <v>-715929.31428570172</v>
      </c>
      <c r="R582">
        <f t="shared" ref="R582:R645" si="991">R583+Q582</f>
        <v>-93563682.486813545</v>
      </c>
      <c r="S582">
        <f t="shared" ref="S582:S645" si="992">R582/100000</f>
        <v>-935.63682486813548</v>
      </c>
      <c r="T582">
        <f t="shared" ref="T582:T645" si="993">S582/1000</f>
        <v>-0.93563682486813549</v>
      </c>
    </row>
    <row r="583" spans="1:20" x14ac:dyDescent="0.25">
      <c r="A583" s="5">
        <v>44010</v>
      </c>
      <c r="B583">
        <v>6.6800000000000002E-3</v>
      </c>
      <c r="C583">
        <v>7.1300000000000001E-3</v>
      </c>
      <c r="D583">
        <v>6.6299999999999996E-3</v>
      </c>
      <c r="E583">
        <v>7.0400000000000003E-3</v>
      </c>
      <c r="F583">
        <v>9191221.3000000007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0.64000000000000112</v>
      </c>
      <c r="Q583">
        <f t="shared" si="990"/>
        <v>5882381.6320000105</v>
      </c>
      <c r="R583">
        <f t="shared" si="991"/>
        <v>-92847753.17252785</v>
      </c>
      <c r="S583">
        <f t="shared" si="992"/>
        <v>-928.47753172527848</v>
      </c>
      <c r="T583">
        <f t="shared" si="993"/>
        <v>-0.92847753172527847</v>
      </c>
    </row>
    <row r="584" spans="1:20" x14ac:dyDescent="0.25">
      <c r="A584" s="5">
        <v>44009</v>
      </c>
      <c r="B584">
        <v>7.5300000000000002E-3</v>
      </c>
      <c r="C584">
        <v>7.5399999999999998E-3</v>
      </c>
      <c r="D584">
        <v>6.5599999999999999E-3</v>
      </c>
      <c r="E584">
        <v>6.6800000000000002E-3</v>
      </c>
      <c r="F584">
        <v>18414788.100000001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-0.75510204081632593</v>
      </c>
      <c r="Q584">
        <f t="shared" si="990"/>
        <v>-13905044.075510195</v>
      </c>
      <c r="R584">
        <f t="shared" si="991"/>
        <v>-98730134.804527864</v>
      </c>
      <c r="S584">
        <f t="shared" si="992"/>
        <v>-987.30134804527859</v>
      </c>
      <c r="T584">
        <f t="shared" si="993"/>
        <v>-0.98730134804527858</v>
      </c>
    </row>
    <row r="585" spans="1:20" x14ac:dyDescent="0.25">
      <c r="A585" s="5">
        <v>44008</v>
      </c>
      <c r="B585">
        <v>7.9399999999999991E-3</v>
      </c>
      <c r="C585">
        <v>8.0099999999999998E-3</v>
      </c>
      <c r="D585">
        <v>7.43E-3</v>
      </c>
      <c r="E585">
        <v>7.6299999999999996E-3</v>
      </c>
      <c r="F585">
        <v>6040457.2000000002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-0.31034482758620785</v>
      </c>
      <c r="Q585">
        <f t="shared" si="990"/>
        <v>-1874624.6482758678</v>
      </c>
      <c r="R585">
        <f t="shared" si="991"/>
        <v>-84825090.729017675</v>
      </c>
      <c r="S585">
        <f t="shared" si="992"/>
        <v>-848.25090729017677</v>
      </c>
      <c r="T585">
        <f t="shared" si="993"/>
        <v>-0.84825090729017671</v>
      </c>
    </row>
    <row r="586" spans="1:20" x14ac:dyDescent="0.25">
      <c r="A586" s="5">
        <v>44007</v>
      </c>
      <c r="B586">
        <v>8.2299999999999995E-3</v>
      </c>
      <c r="C586">
        <v>8.2299999999999995E-3</v>
      </c>
      <c r="D586">
        <v>7.8200000000000006E-3</v>
      </c>
      <c r="E586">
        <v>8.0199999999999994E-3</v>
      </c>
      <c r="F586">
        <v>3884926.6</v>
      </c>
      <c r="G586">
        <v>0</v>
      </c>
      <c r="L586" t="s">
        <v>7</v>
      </c>
      <c r="M586" t="s">
        <v>8</v>
      </c>
      <c r="N586" t="s">
        <v>8</v>
      </c>
      <c r="P586">
        <f t="shared" si="989"/>
        <v>-2.4390243902442328E-2</v>
      </c>
      <c r="Q586">
        <f t="shared" si="990"/>
        <v>-94754.307317086001</v>
      </c>
      <c r="R586">
        <f t="shared" si="991"/>
        <v>-82950466.080741808</v>
      </c>
      <c r="S586">
        <f t="shared" si="992"/>
        <v>-829.50466080741808</v>
      </c>
      <c r="T586">
        <f t="shared" si="993"/>
        <v>-0.82950466080741803</v>
      </c>
    </row>
    <row r="587" spans="1:20" x14ac:dyDescent="0.25">
      <c r="A587" s="5">
        <v>44006</v>
      </c>
      <c r="B587">
        <v>8.6E-3</v>
      </c>
      <c r="C587">
        <v>8.6199999999999992E-3</v>
      </c>
      <c r="D587">
        <v>8.1600000000000006E-3</v>
      </c>
      <c r="E587">
        <v>8.2000000000000007E-3</v>
      </c>
      <c r="F587">
        <v>5930369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-0.82608695652173814</v>
      </c>
      <c r="Q587">
        <f t="shared" si="990"/>
        <v>-4899000.4782608636</v>
      </c>
      <c r="R587">
        <f t="shared" si="991"/>
        <v>-82855711.773424715</v>
      </c>
      <c r="S587">
        <f t="shared" si="992"/>
        <v>-828.55711773424719</v>
      </c>
      <c r="T587">
        <f t="shared" si="993"/>
        <v>-0.82855711773424723</v>
      </c>
    </row>
    <row r="588" spans="1:20" x14ac:dyDescent="0.25">
      <c r="A588" s="5">
        <v>44005</v>
      </c>
      <c r="B588">
        <v>8.5900000000000004E-3</v>
      </c>
      <c r="C588">
        <v>8.77E-3</v>
      </c>
      <c r="D588">
        <v>8.4200000000000004E-3</v>
      </c>
      <c r="E588">
        <v>8.5800000000000008E-3</v>
      </c>
      <c r="F588">
        <v>5044854.5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-8.5714285714282315E-2</v>
      </c>
      <c r="Q588">
        <f t="shared" si="990"/>
        <v>-432416.09999998286</v>
      </c>
      <c r="R588">
        <f t="shared" si="991"/>
        <v>-77956711.295163855</v>
      </c>
      <c r="S588">
        <f t="shared" si="992"/>
        <v>-779.56711295163859</v>
      </c>
      <c r="T588">
        <f t="shared" si="993"/>
        <v>-0.77956711295163861</v>
      </c>
    </row>
    <row r="589" spans="1:20" x14ac:dyDescent="0.25">
      <c r="A589" s="5">
        <v>44004</v>
      </c>
      <c r="B589">
        <v>8.5000000000000006E-3</v>
      </c>
      <c r="C589">
        <v>8.8199999999999997E-3</v>
      </c>
      <c r="D589">
        <v>8.4399999999999996E-3</v>
      </c>
      <c r="E589">
        <v>8.5800000000000008E-3</v>
      </c>
      <c r="F589">
        <v>6728821.4000000004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-0.26315789473683587</v>
      </c>
      <c r="Q589">
        <f t="shared" si="990"/>
        <v>-1770742.4736841687</v>
      </c>
      <c r="R589">
        <f t="shared" si="991"/>
        <v>-77524295.195163876</v>
      </c>
      <c r="S589">
        <f t="shared" si="992"/>
        <v>-775.2429519516387</v>
      </c>
      <c r="T589">
        <f t="shared" si="993"/>
        <v>-0.77524295195163873</v>
      </c>
    </row>
    <row r="590" spans="1:20" x14ac:dyDescent="0.25">
      <c r="A590" s="5">
        <v>44003</v>
      </c>
      <c r="B590">
        <v>8.3999999999999995E-3</v>
      </c>
      <c r="C590">
        <v>8.5400000000000007E-3</v>
      </c>
      <c r="D590">
        <v>8.3199999999999993E-3</v>
      </c>
      <c r="E590">
        <v>8.4499999999999992E-3</v>
      </c>
      <c r="F590">
        <v>2244954.2999999998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0.18181818181817322</v>
      </c>
      <c r="Q590">
        <f t="shared" si="990"/>
        <v>408173.50909088977</v>
      </c>
      <c r="R590">
        <f t="shared" si="991"/>
        <v>-75753552.721479714</v>
      </c>
      <c r="S590">
        <f t="shared" si="992"/>
        <v>-757.53552721479718</v>
      </c>
      <c r="T590">
        <f t="shared" si="993"/>
        <v>-0.75753552721479722</v>
      </c>
    </row>
    <row r="591" spans="1:20" x14ac:dyDescent="0.25">
      <c r="A591" s="5">
        <v>44002</v>
      </c>
      <c r="B591">
        <v>8.4600000000000005E-3</v>
      </c>
      <c r="C591">
        <v>8.5699999999999995E-3</v>
      </c>
      <c r="D591">
        <v>8.1200000000000005E-3</v>
      </c>
      <c r="E591">
        <v>8.3999999999999995E-3</v>
      </c>
      <c r="F591">
        <v>4666100.5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0.24444444444444274</v>
      </c>
      <c r="Q591">
        <f t="shared" si="990"/>
        <v>1140602.3444444365</v>
      </c>
      <c r="R591">
        <f t="shared" si="991"/>
        <v>-76161726.230570599</v>
      </c>
      <c r="S591">
        <f t="shared" si="992"/>
        <v>-761.61726230570605</v>
      </c>
      <c r="T591">
        <f t="shared" si="993"/>
        <v>-0.76161726230570603</v>
      </c>
    </row>
    <row r="592" spans="1:20" x14ac:dyDescent="0.25">
      <c r="A592" s="5">
        <v>44001</v>
      </c>
      <c r="B592">
        <v>8.5000000000000006E-3</v>
      </c>
      <c r="C592">
        <v>8.6099999999999996E-3</v>
      </c>
      <c r="D592">
        <v>7.9799999999999992E-3</v>
      </c>
      <c r="E592">
        <v>8.3899999999999999E-3</v>
      </c>
      <c r="F592">
        <v>6650315.0999999996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0.3015873015873029</v>
      </c>
      <c r="Q592">
        <f t="shared" si="990"/>
        <v>2005650.5857142943</v>
      </c>
      <c r="R592">
        <f t="shared" si="991"/>
        <v>-77302328.575015038</v>
      </c>
      <c r="S592">
        <f t="shared" si="992"/>
        <v>-773.02328575015042</v>
      </c>
      <c r="T592">
        <f t="shared" si="993"/>
        <v>-0.77302328575015045</v>
      </c>
    </row>
    <row r="593" spans="1:20" x14ac:dyDescent="0.25">
      <c r="A593" s="5">
        <v>44000</v>
      </c>
      <c r="B593">
        <v>8.6400000000000001E-3</v>
      </c>
      <c r="C593">
        <v>8.8299999999999993E-3</v>
      </c>
      <c r="D593">
        <v>8.3000000000000001E-3</v>
      </c>
      <c r="E593">
        <v>8.5000000000000006E-3</v>
      </c>
      <c r="F593">
        <v>8940034.6999999993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-0.24528301886792145</v>
      </c>
      <c r="Q593">
        <f t="shared" si="990"/>
        <v>-2192838.6999999722</v>
      </c>
      <c r="R593">
        <f t="shared" si="991"/>
        <v>-79307979.160729334</v>
      </c>
      <c r="S593">
        <f t="shared" si="992"/>
        <v>-793.07979160729337</v>
      </c>
      <c r="T593">
        <f t="shared" si="993"/>
        <v>-0.79307979160729336</v>
      </c>
    </row>
    <row r="594" spans="1:20" x14ac:dyDescent="0.25">
      <c r="A594" s="5">
        <v>43999</v>
      </c>
      <c r="B594">
        <v>8.09E-3</v>
      </c>
      <c r="C594">
        <v>8.7899999999999992E-3</v>
      </c>
      <c r="D594">
        <v>7.9600000000000001E-3</v>
      </c>
      <c r="E594">
        <v>8.6400000000000001E-3</v>
      </c>
      <c r="F594">
        <v>13865864.6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0.63855421686747171</v>
      </c>
      <c r="Q594">
        <f t="shared" si="990"/>
        <v>8854106.3108433988</v>
      </c>
      <c r="R594">
        <f t="shared" si="991"/>
        <v>-77115140.460729361</v>
      </c>
      <c r="S594">
        <f t="shared" si="992"/>
        <v>-771.15140460729356</v>
      </c>
      <c r="T594">
        <f t="shared" si="993"/>
        <v>-0.77115140460729359</v>
      </c>
    </row>
    <row r="595" spans="1:20" x14ac:dyDescent="0.25">
      <c r="A595" s="5">
        <v>43998</v>
      </c>
      <c r="B595">
        <v>7.9000000000000008E-3</v>
      </c>
      <c r="C595">
        <v>8.4899999999999993E-3</v>
      </c>
      <c r="D595">
        <v>7.8700000000000003E-3</v>
      </c>
      <c r="E595">
        <v>8.1300000000000001E-3</v>
      </c>
      <c r="F595">
        <v>8792290.5999999996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-0.16129032258064444</v>
      </c>
      <c r="Q595">
        <f t="shared" si="990"/>
        <v>-1418111.3870967678</v>
      </c>
      <c r="R595">
        <f t="shared" si="991"/>
        <v>-85969246.771572754</v>
      </c>
      <c r="S595">
        <f t="shared" si="992"/>
        <v>-859.6924677157275</v>
      </c>
      <c r="T595">
        <f t="shared" si="993"/>
        <v>-0.85969246771572749</v>
      </c>
    </row>
    <row r="596" spans="1:20" x14ac:dyDescent="0.25">
      <c r="A596" s="5">
        <v>43997</v>
      </c>
      <c r="B596">
        <v>7.77E-3</v>
      </c>
      <c r="C596">
        <v>8.0800000000000004E-3</v>
      </c>
      <c r="D596">
        <v>7.2100000000000003E-3</v>
      </c>
      <c r="E596">
        <v>7.9000000000000008E-3</v>
      </c>
      <c r="F596">
        <v>14786608.9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0.58620689655172509</v>
      </c>
      <c r="Q596">
        <f t="shared" si="990"/>
        <v>8668012.1137931179</v>
      </c>
      <c r="R596">
        <f t="shared" si="991"/>
        <v>-84551135.384475991</v>
      </c>
      <c r="S596">
        <f t="shared" si="992"/>
        <v>-845.51135384475992</v>
      </c>
      <c r="T596">
        <f t="shared" si="993"/>
        <v>-0.84551135384475995</v>
      </c>
    </row>
    <row r="597" spans="1:20" x14ac:dyDescent="0.25">
      <c r="A597" s="5">
        <v>43996</v>
      </c>
      <c r="B597">
        <v>8.1799999999999998E-3</v>
      </c>
      <c r="C597">
        <v>8.3400000000000002E-3</v>
      </c>
      <c r="D597">
        <v>7.6099999999999996E-3</v>
      </c>
      <c r="E597">
        <v>7.77E-3</v>
      </c>
      <c r="F597">
        <v>17039734.300000001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-0.5616438356164376</v>
      </c>
      <c r="Q597">
        <f t="shared" si="990"/>
        <v>-9570261.7301369738</v>
      </c>
      <c r="R597">
        <f t="shared" si="991"/>
        <v>-93219147.498269111</v>
      </c>
      <c r="S597">
        <f t="shared" si="992"/>
        <v>-932.19147498269115</v>
      </c>
      <c r="T597">
        <f t="shared" si="993"/>
        <v>-0.93219147498269117</v>
      </c>
    </row>
    <row r="598" spans="1:20" x14ac:dyDescent="0.25">
      <c r="A598" s="5">
        <v>43995</v>
      </c>
      <c r="B598">
        <v>7.4599999999999996E-3</v>
      </c>
      <c r="C598">
        <v>8.9800000000000001E-3</v>
      </c>
      <c r="D598">
        <v>7.3200000000000001E-3</v>
      </c>
      <c r="E598">
        <v>8.1799999999999998E-3</v>
      </c>
      <c r="F598">
        <v>51564382.299999997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3.6144578313252587E-2</v>
      </c>
      <c r="Q598">
        <f t="shared" si="990"/>
        <v>1863772.8542168455</v>
      </c>
      <c r="R598">
        <f t="shared" si="991"/>
        <v>-83648885.768132135</v>
      </c>
      <c r="S598">
        <f t="shared" si="992"/>
        <v>-836.48885768132141</v>
      </c>
      <c r="T598">
        <f t="shared" si="993"/>
        <v>-0.83648885768132142</v>
      </c>
    </row>
    <row r="599" spans="1:20" x14ac:dyDescent="0.25">
      <c r="A599" s="5">
        <v>43994</v>
      </c>
      <c r="B599">
        <v>6.9199999999999999E-3</v>
      </c>
      <c r="C599">
        <v>7.4700000000000001E-3</v>
      </c>
      <c r="D599">
        <v>6.8100000000000001E-3</v>
      </c>
      <c r="E599">
        <v>7.43E-3</v>
      </c>
      <c r="F599">
        <v>6638739.2999999998</v>
      </c>
      <c r="G599">
        <v>0</v>
      </c>
      <c r="L599" t="s">
        <v>8</v>
      </c>
      <c r="M599" t="s">
        <v>7</v>
      </c>
      <c r="N599" t="s">
        <v>7</v>
      </c>
      <c r="P599">
        <f t="shared" si="989"/>
        <v>0.87878787878787845</v>
      </c>
      <c r="Q599">
        <f t="shared" si="990"/>
        <v>5834043.6272727251</v>
      </c>
      <c r="R599">
        <f t="shared" si="991"/>
        <v>-85512658.622348979</v>
      </c>
      <c r="S599">
        <f t="shared" si="992"/>
        <v>-855.12658622348977</v>
      </c>
      <c r="T599">
        <f t="shared" si="993"/>
        <v>-0.8551265862234898</v>
      </c>
    </row>
    <row r="600" spans="1:20" x14ac:dyDescent="0.25">
      <c r="A600" s="5">
        <v>43993</v>
      </c>
      <c r="B600">
        <v>7.9699999999999997E-3</v>
      </c>
      <c r="C600">
        <v>8.09E-3</v>
      </c>
      <c r="D600">
        <v>6.9100000000000003E-3</v>
      </c>
      <c r="E600">
        <v>6.9800000000000001E-3</v>
      </c>
      <c r="F600">
        <v>13242450.9</v>
      </c>
      <c r="G600">
        <v>0</v>
      </c>
      <c r="L600" t="s">
        <v>7</v>
      </c>
      <c r="M600" t="s">
        <v>7</v>
      </c>
      <c r="N600" t="s">
        <v>7</v>
      </c>
      <c r="P600">
        <f t="shared" si="989"/>
        <v>-0.88135593220339026</v>
      </c>
      <c r="Q600">
        <f t="shared" si="990"/>
        <v>-11671312.657627124</v>
      </c>
      <c r="R600">
        <f t="shared" si="991"/>
        <v>-91346702.249621704</v>
      </c>
      <c r="S600">
        <f t="shared" si="992"/>
        <v>-913.46702249621706</v>
      </c>
      <c r="T600">
        <f t="shared" si="993"/>
        <v>-0.91346702249621703</v>
      </c>
    </row>
    <row r="601" spans="1:20" x14ac:dyDescent="0.25">
      <c r="A601" s="5">
        <v>43992</v>
      </c>
      <c r="B601">
        <v>8.2100000000000003E-3</v>
      </c>
      <c r="C601">
        <v>8.2299999999999995E-3</v>
      </c>
      <c r="D601">
        <v>7.77E-3</v>
      </c>
      <c r="E601">
        <v>7.9600000000000001E-3</v>
      </c>
      <c r="F601">
        <v>13276618.5</v>
      </c>
      <c r="G601">
        <v>0</v>
      </c>
      <c r="L601" t="s">
        <v>7</v>
      </c>
      <c r="M601" t="s">
        <v>8</v>
      </c>
      <c r="N601" t="s">
        <v>7</v>
      </c>
      <c r="P601">
        <f t="shared" si="989"/>
        <v>-0.17391304347825964</v>
      </c>
      <c r="Q601">
        <f t="shared" si="990"/>
        <v>-2308977.1304347664</v>
      </c>
      <c r="R601">
        <f t="shared" si="991"/>
        <v>-79675389.591994584</v>
      </c>
      <c r="S601">
        <f t="shared" si="992"/>
        <v>-796.75389591994588</v>
      </c>
      <c r="T601">
        <f t="shared" si="993"/>
        <v>-0.79675389591994583</v>
      </c>
    </row>
    <row r="602" spans="1:20" x14ac:dyDescent="0.25">
      <c r="A602" s="5">
        <v>43991</v>
      </c>
      <c r="B602">
        <v>7.8300000000000002E-3</v>
      </c>
      <c r="C602">
        <v>8.3999999999999995E-3</v>
      </c>
      <c r="D602">
        <v>7.5599999999999999E-3</v>
      </c>
      <c r="E602">
        <v>8.2299999999999995E-3</v>
      </c>
      <c r="F602">
        <v>15931019.699999999</v>
      </c>
      <c r="G602">
        <v>0</v>
      </c>
      <c r="L602" t="s">
        <v>8</v>
      </c>
      <c r="M602" t="s">
        <v>8</v>
      </c>
      <c r="N602" t="s">
        <v>7</v>
      </c>
      <c r="P602">
        <f t="shared" si="989"/>
        <v>0.59523809523809501</v>
      </c>
      <c r="Q602">
        <f t="shared" si="990"/>
        <v>9482749.8214285672</v>
      </c>
      <c r="R602">
        <f t="shared" si="991"/>
        <v>-77366412.461559817</v>
      </c>
      <c r="S602">
        <f t="shared" si="992"/>
        <v>-773.66412461559821</v>
      </c>
      <c r="T602">
        <f t="shared" si="993"/>
        <v>-0.77366412461559819</v>
      </c>
    </row>
    <row r="603" spans="1:20" x14ac:dyDescent="0.25">
      <c r="A603" s="5">
        <v>43990</v>
      </c>
      <c r="B603">
        <v>7.6299999999999996E-3</v>
      </c>
      <c r="C603">
        <v>7.8499999999999993E-3</v>
      </c>
      <c r="D603">
        <v>7.45E-3</v>
      </c>
      <c r="E603">
        <v>7.77E-3</v>
      </c>
      <c r="F603">
        <v>6015508.0999999996</v>
      </c>
      <c r="G603">
        <v>0</v>
      </c>
      <c r="L603" t="s">
        <v>8</v>
      </c>
      <c r="M603" t="s">
        <v>8</v>
      </c>
      <c r="N603" t="s">
        <v>7</v>
      </c>
      <c r="P603">
        <f t="shared" si="989"/>
        <v>0.60000000000000264</v>
      </c>
      <c r="Q603">
        <f t="shared" si="990"/>
        <v>3609304.8600000157</v>
      </c>
      <c r="R603">
        <f t="shared" si="991"/>
        <v>-86849162.282988384</v>
      </c>
      <c r="S603">
        <f t="shared" si="992"/>
        <v>-868.4916228298838</v>
      </c>
      <c r="T603">
        <f t="shared" si="993"/>
        <v>-0.86849162282988379</v>
      </c>
    </row>
    <row r="604" spans="1:20" x14ac:dyDescent="0.25">
      <c r="A604" s="5">
        <v>43989</v>
      </c>
      <c r="B604">
        <v>7.5799999999999999E-3</v>
      </c>
      <c r="C604">
        <v>7.7099999999999998E-3</v>
      </c>
      <c r="D604">
        <v>7.4200000000000004E-3</v>
      </c>
      <c r="E604">
        <v>7.62E-3</v>
      </c>
      <c r="F604">
        <v>6647928.7999999998</v>
      </c>
      <c r="G604">
        <v>0</v>
      </c>
      <c r="L604" t="s">
        <v>8</v>
      </c>
      <c r="M604" t="s">
        <v>8</v>
      </c>
      <c r="N604" t="s">
        <v>7</v>
      </c>
      <c r="P604">
        <f t="shared" si="989"/>
        <v>0.37931034482758641</v>
      </c>
      <c r="Q604">
        <f t="shared" si="990"/>
        <v>2521628.1655172426</v>
      </c>
      <c r="R604">
        <f t="shared" si="991"/>
        <v>-90458467.142988399</v>
      </c>
      <c r="S604">
        <f t="shared" si="992"/>
        <v>-904.584671429884</v>
      </c>
      <c r="T604">
        <f t="shared" si="993"/>
        <v>-0.90458467142988397</v>
      </c>
    </row>
    <row r="605" spans="1:20" x14ac:dyDescent="0.25">
      <c r="A605" s="5">
        <v>43988</v>
      </c>
      <c r="B605">
        <v>7.3499999999999998E-3</v>
      </c>
      <c r="C605">
        <v>7.7999999999999996E-3</v>
      </c>
      <c r="D605">
        <v>7.28E-3</v>
      </c>
      <c r="E605">
        <v>7.62E-3</v>
      </c>
      <c r="F605">
        <v>8193694.0999999996</v>
      </c>
      <c r="G605">
        <v>0</v>
      </c>
      <c r="L605" t="s">
        <v>8</v>
      </c>
      <c r="M605" t="s">
        <v>8</v>
      </c>
      <c r="N605" t="s">
        <v>7</v>
      </c>
      <c r="P605">
        <f t="shared" si="989"/>
        <v>0.30769230769230871</v>
      </c>
      <c r="Q605">
        <f t="shared" si="990"/>
        <v>2521136.6461538542</v>
      </c>
      <c r="R605">
        <f t="shared" si="991"/>
        <v>-92980095.308505639</v>
      </c>
      <c r="S605">
        <f t="shared" si="992"/>
        <v>-929.80095308505645</v>
      </c>
      <c r="T605">
        <f t="shared" si="993"/>
        <v>-0.9298009530850565</v>
      </c>
    </row>
    <row r="606" spans="1:20" x14ac:dyDescent="0.25">
      <c r="A606" s="5">
        <v>43987</v>
      </c>
      <c r="B606">
        <v>7.3899999999999999E-3</v>
      </c>
      <c r="C606">
        <v>7.6099999999999996E-3</v>
      </c>
      <c r="D606">
        <v>7.3299999999999997E-3</v>
      </c>
      <c r="E606">
        <v>7.3499999999999998E-3</v>
      </c>
      <c r="F606">
        <v>5615798.2999999998</v>
      </c>
      <c r="G606">
        <v>0</v>
      </c>
      <c r="L606" t="s">
        <v>8</v>
      </c>
      <c r="M606" t="s">
        <v>8</v>
      </c>
      <c r="N606" t="s">
        <v>7</v>
      </c>
      <c r="P606">
        <f t="shared" si="989"/>
        <v>-0.85714285714285665</v>
      </c>
      <c r="Q606">
        <f t="shared" si="990"/>
        <v>-4813541.3999999966</v>
      </c>
      <c r="R606">
        <f t="shared" si="991"/>
        <v>-95501231.954659492</v>
      </c>
      <c r="S606">
        <f t="shared" si="992"/>
        <v>-955.01231954659488</v>
      </c>
      <c r="T606">
        <f t="shared" si="993"/>
        <v>-0.95501231954659493</v>
      </c>
    </row>
    <row r="607" spans="1:20" x14ac:dyDescent="0.25">
      <c r="A607" s="5">
        <v>43986</v>
      </c>
      <c r="B607">
        <v>7.2700000000000004E-3</v>
      </c>
      <c r="C607">
        <v>7.4099999999999999E-3</v>
      </c>
      <c r="D607">
        <v>7.11E-3</v>
      </c>
      <c r="E607">
        <v>7.3699999999999998E-3</v>
      </c>
      <c r="F607">
        <v>9251090.5999999996</v>
      </c>
      <c r="G607">
        <v>0</v>
      </c>
      <c r="L607" t="s">
        <v>8</v>
      </c>
      <c r="M607" t="s">
        <v>8</v>
      </c>
      <c r="N607" t="s">
        <v>7</v>
      </c>
      <c r="P607">
        <f t="shared" si="989"/>
        <v>0.73333333333333262</v>
      </c>
      <c r="Q607">
        <f t="shared" si="990"/>
        <v>6784133.1066666599</v>
      </c>
      <c r="R607">
        <f t="shared" si="991"/>
        <v>-90687690.554659501</v>
      </c>
      <c r="S607">
        <f t="shared" si="992"/>
        <v>-906.87690554659503</v>
      </c>
      <c r="T607">
        <f t="shared" si="993"/>
        <v>-0.90687690554659506</v>
      </c>
    </row>
    <row r="608" spans="1:20" x14ac:dyDescent="0.25">
      <c r="A608" s="5">
        <v>43985</v>
      </c>
      <c r="B608">
        <v>7.11E-3</v>
      </c>
      <c r="C608">
        <v>7.4999999999999997E-3</v>
      </c>
      <c r="D608">
        <v>7.0600000000000003E-3</v>
      </c>
      <c r="E608">
        <v>7.2700000000000004E-3</v>
      </c>
      <c r="F608">
        <v>19871095.600000001</v>
      </c>
      <c r="G608">
        <v>0</v>
      </c>
      <c r="L608" t="s">
        <v>8</v>
      </c>
      <c r="M608" t="s">
        <v>8</v>
      </c>
      <c r="N608" t="s">
        <v>7</v>
      </c>
      <c r="P608">
        <f t="shared" si="989"/>
        <v>-4.5454545454543666E-2</v>
      </c>
      <c r="Q608">
        <f t="shared" si="990"/>
        <v>-903231.61818178266</v>
      </c>
      <c r="R608">
        <f t="shared" si="991"/>
        <v>-97471823.661326155</v>
      </c>
      <c r="S608">
        <f t="shared" si="992"/>
        <v>-974.71823661326152</v>
      </c>
      <c r="T608">
        <f t="shared" si="993"/>
        <v>-0.97471823661326151</v>
      </c>
    </row>
    <row r="609" spans="1:20" x14ac:dyDescent="0.25">
      <c r="A609" s="5">
        <v>43984</v>
      </c>
      <c r="B609">
        <v>7.0200000000000002E-3</v>
      </c>
      <c r="C609">
        <v>7.3499999999999998E-3</v>
      </c>
      <c r="D609">
        <v>6.6499999999999997E-3</v>
      </c>
      <c r="E609">
        <v>7.11E-3</v>
      </c>
      <c r="F609">
        <v>12830496.6</v>
      </c>
      <c r="G609">
        <v>0</v>
      </c>
      <c r="L609" t="s">
        <v>8</v>
      </c>
      <c r="M609" t="s">
        <v>8</v>
      </c>
      <c r="N609" t="s">
        <v>7</v>
      </c>
      <c r="P609">
        <f t="shared" si="989"/>
        <v>0.31428571428571506</v>
      </c>
      <c r="Q609">
        <f t="shared" si="990"/>
        <v>4032441.7885714383</v>
      </c>
      <c r="R609">
        <f t="shared" si="991"/>
        <v>-96568592.043144375</v>
      </c>
      <c r="S609">
        <f t="shared" si="992"/>
        <v>-965.68592043144372</v>
      </c>
      <c r="T609">
        <f t="shared" si="993"/>
        <v>-0.96568592043144375</v>
      </c>
    </row>
    <row r="610" spans="1:20" x14ac:dyDescent="0.25">
      <c r="A610" s="5">
        <v>43983</v>
      </c>
      <c r="B610">
        <v>6.8599999999999998E-3</v>
      </c>
      <c r="C610">
        <v>7.3899999999999999E-3</v>
      </c>
      <c r="D610">
        <v>5.8799999999999998E-3</v>
      </c>
      <c r="E610">
        <v>7.0699999999999999E-3</v>
      </c>
      <c r="F610">
        <v>18170965.100000001</v>
      </c>
      <c r="G610">
        <v>0</v>
      </c>
      <c r="L610" t="s">
        <v>7</v>
      </c>
      <c r="M610" t="s">
        <v>7</v>
      </c>
      <c r="N610" t="s">
        <v>7</v>
      </c>
      <c r="P610">
        <f t="shared" si="989"/>
        <v>0.57615894039735105</v>
      </c>
      <c r="Q610">
        <f t="shared" si="990"/>
        <v>10469363.998013247</v>
      </c>
      <c r="R610">
        <f t="shared" si="991"/>
        <v>-100601033.83171581</v>
      </c>
      <c r="S610">
        <f t="shared" si="992"/>
        <v>-1006.0103383171581</v>
      </c>
      <c r="T610">
        <f t="shared" si="993"/>
        <v>-1.0060103383171581</v>
      </c>
    </row>
    <row r="611" spans="1:20" x14ac:dyDescent="0.25">
      <c r="A611" s="5">
        <v>43982</v>
      </c>
      <c r="B611">
        <v>7.0099999999999997E-3</v>
      </c>
      <c r="C611">
        <v>1.0959999999999999E-2</v>
      </c>
      <c r="D611">
        <v>6.79E-3</v>
      </c>
      <c r="E611">
        <v>6.9100000000000003E-3</v>
      </c>
      <c r="F611">
        <v>55249062.899999999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-0.94244604316546743</v>
      </c>
      <c r="Q611">
        <f t="shared" si="990"/>
        <v>-52069260.718705021</v>
      </c>
      <c r="R611">
        <f t="shared" si="991"/>
        <v>-111070397.82972905</v>
      </c>
      <c r="S611">
        <f t="shared" si="992"/>
        <v>-1110.7039782972904</v>
      </c>
      <c r="T611">
        <f t="shared" si="993"/>
        <v>-1.1107039782972905</v>
      </c>
    </row>
    <row r="612" spans="1:20" x14ac:dyDescent="0.25">
      <c r="A612" s="5">
        <v>43981</v>
      </c>
      <c r="B612">
        <v>6.77E-3</v>
      </c>
      <c r="C612">
        <v>7.0499999999999998E-3</v>
      </c>
      <c r="D612">
        <v>6.6800000000000002E-3</v>
      </c>
      <c r="E612">
        <v>7.0099999999999997E-3</v>
      </c>
      <c r="F612">
        <v>11379348</v>
      </c>
      <c r="G612">
        <v>0</v>
      </c>
      <c r="L612" t="s">
        <v>8</v>
      </c>
      <c r="M612" t="s">
        <v>7</v>
      </c>
      <c r="N612" t="s">
        <v>7</v>
      </c>
      <c r="P612">
        <f t="shared" si="989"/>
        <v>0.78378378378378299</v>
      </c>
      <c r="Q612">
        <f t="shared" si="990"/>
        <v>8918948.4324324243</v>
      </c>
      <c r="R612">
        <f t="shared" si="991"/>
        <v>-59001137.111024022</v>
      </c>
      <c r="S612">
        <f t="shared" si="992"/>
        <v>-590.01137111024025</v>
      </c>
      <c r="T612">
        <f t="shared" si="993"/>
        <v>-0.59001137111024027</v>
      </c>
    </row>
    <row r="613" spans="1:20" x14ac:dyDescent="0.25">
      <c r="A613" s="5">
        <v>43980</v>
      </c>
      <c r="B613">
        <v>6.62E-3</v>
      </c>
      <c r="C613">
        <v>6.8999999999999999E-3</v>
      </c>
      <c r="D613">
        <v>6.5199999999999998E-3</v>
      </c>
      <c r="E613">
        <v>6.77E-3</v>
      </c>
      <c r="F613">
        <v>5976905</v>
      </c>
      <c r="G613">
        <v>0</v>
      </c>
      <c r="L613" t="s">
        <v>7</v>
      </c>
      <c r="M613" t="s">
        <v>7</v>
      </c>
      <c r="N613" t="s">
        <v>7</v>
      </c>
      <c r="P613">
        <f t="shared" si="989"/>
        <v>0.31578947368421123</v>
      </c>
      <c r="Q613">
        <f t="shared" si="990"/>
        <v>1887443.6842105305</v>
      </c>
      <c r="R613">
        <f t="shared" si="991"/>
        <v>-67920085.54345645</v>
      </c>
      <c r="S613">
        <f t="shared" si="992"/>
        <v>-679.20085543456446</v>
      </c>
      <c r="T613">
        <f t="shared" si="993"/>
        <v>-0.67920085543456443</v>
      </c>
    </row>
    <row r="614" spans="1:20" x14ac:dyDescent="0.25">
      <c r="A614" s="5">
        <v>43979</v>
      </c>
      <c r="B614">
        <v>6.8199999999999997E-3</v>
      </c>
      <c r="C614">
        <v>6.8500000000000002E-3</v>
      </c>
      <c r="D614">
        <v>6.5700000000000003E-3</v>
      </c>
      <c r="E614">
        <v>6.6E-3</v>
      </c>
      <c r="F614">
        <v>12144901</v>
      </c>
      <c r="G614">
        <v>0</v>
      </c>
      <c r="L614" t="s">
        <v>7</v>
      </c>
      <c r="M614" t="s">
        <v>7</v>
      </c>
      <c r="N614" t="s">
        <v>7</v>
      </c>
      <c r="P614">
        <f t="shared" si="989"/>
        <v>-0.78571428571428814</v>
      </c>
      <c r="Q614">
        <f t="shared" si="990"/>
        <v>-9542422.2142857444</v>
      </c>
      <c r="R614">
        <f t="shared" si="991"/>
        <v>-69807529.227666974</v>
      </c>
      <c r="S614">
        <f t="shared" si="992"/>
        <v>-698.07529227666976</v>
      </c>
      <c r="T614">
        <f t="shared" si="993"/>
        <v>-0.69807529227666976</v>
      </c>
    </row>
    <row r="615" spans="1:20" x14ac:dyDescent="0.25">
      <c r="A615" s="5">
        <v>43978</v>
      </c>
      <c r="B615">
        <v>6.94E-3</v>
      </c>
      <c r="C615">
        <v>7.2100000000000003E-3</v>
      </c>
      <c r="D615">
        <v>6.6699999999999997E-3</v>
      </c>
      <c r="E615">
        <v>6.8399999999999997E-3</v>
      </c>
      <c r="F615">
        <v>13979384.300000001</v>
      </c>
      <c r="G615">
        <v>0</v>
      </c>
      <c r="L615" t="s">
        <v>8</v>
      </c>
      <c r="M615" t="s">
        <v>7</v>
      </c>
      <c r="N615" t="s">
        <v>7</v>
      </c>
      <c r="P615">
        <f t="shared" si="989"/>
        <v>-0.37037037037037096</v>
      </c>
      <c r="Q615">
        <f t="shared" si="990"/>
        <v>-5177549.7407407491</v>
      </c>
      <c r="R615">
        <f t="shared" si="991"/>
        <v>-60265107.013381235</v>
      </c>
      <c r="S615">
        <f t="shared" si="992"/>
        <v>-602.65107013381237</v>
      </c>
      <c r="T615">
        <f t="shared" si="993"/>
        <v>-0.60265107013381236</v>
      </c>
    </row>
    <row r="616" spans="1:20" x14ac:dyDescent="0.25">
      <c r="A616" s="5">
        <v>43977</v>
      </c>
      <c r="B616">
        <v>7.1900000000000002E-3</v>
      </c>
      <c r="C616">
        <v>7.4400000000000004E-3</v>
      </c>
      <c r="D616">
        <v>6.5599999999999999E-3</v>
      </c>
      <c r="E616">
        <v>6.94E-3</v>
      </c>
      <c r="F616">
        <v>19669249.399999999</v>
      </c>
      <c r="G616">
        <v>0</v>
      </c>
      <c r="L616" t="s">
        <v>7</v>
      </c>
      <c r="M616" t="s">
        <v>7</v>
      </c>
      <c r="N616" t="s">
        <v>7</v>
      </c>
      <c r="P616">
        <f t="shared" si="989"/>
        <v>-0.13636363636363663</v>
      </c>
      <c r="Q616">
        <f t="shared" si="990"/>
        <v>-2682170.3727272777</v>
      </c>
      <c r="R616">
        <f t="shared" si="991"/>
        <v>-55087557.272640489</v>
      </c>
      <c r="S616">
        <f t="shared" si="992"/>
        <v>-550.87557272640493</v>
      </c>
      <c r="T616">
        <f t="shared" si="993"/>
        <v>-0.55087557272640497</v>
      </c>
    </row>
    <row r="617" spans="1:20" x14ac:dyDescent="0.25">
      <c r="A617" s="5">
        <v>43976</v>
      </c>
      <c r="B617">
        <v>6.6E-3</v>
      </c>
      <c r="C617">
        <v>7.6400000000000001E-3</v>
      </c>
      <c r="D617">
        <v>6.4999999999999997E-3</v>
      </c>
      <c r="E617">
        <v>7.28E-3</v>
      </c>
      <c r="F617">
        <v>20184562.800000001</v>
      </c>
      <c r="G617">
        <v>0</v>
      </c>
      <c r="L617" t="s">
        <v>8</v>
      </c>
      <c r="M617" t="s">
        <v>8</v>
      </c>
      <c r="N617" t="s">
        <v>7</v>
      </c>
      <c r="P617">
        <f t="shared" si="989"/>
        <v>0.36842105263157904</v>
      </c>
      <c r="Q617">
        <f t="shared" si="990"/>
        <v>7436417.8736842126</v>
      </c>
      <c r="R617">
        <f t="shared" si="991"/>
        <v>-52405386.899913214</v>
      </c>
      <c r="S617">
        <f t="shared" si="992"/>
        <v>-524.05386899913219</v>
      </c>
      <c r="T617">
        <f t="shared" si="993"/>
        <v>-0.5240538689991322</v>
      </c>
    </row>
    <row r="618" spans="1:20" x14ac:dyDescent="0.25">
      <c r="A618" s="5">
        <v>43975</v>
      </c>
      <c r="B618">
        <v>6.3200000000000001E-3</v>
      </c>
      <c r="C618">
        <v>7.4999999999999997E-3</v>
      </c>
      <c r="D618">
        <v>6.28E-3</v>
      </c>
      <c r="E618">
        <v>6.62E-3</v>
      </c>
      <c r="F618">
        <v>40188812</v>
      </c>
      <c r="G618">
        <v>0</v>
      </c>
      <c r="L618" t="s">
        <v>8</v>
      </c>
      <c r="M618" t="s">
        <v>8</v>
      </c>
      <c r="N618" t="s">
        <v>7</v>
      </c>
      <c r="P618">
        <f t="shared" si="989"/>
        <v>-0.44262295081967196</v>
      </c>
      <c r="Q618">
        <f t="shared" si="990"/>
        <v>-17788490.55737704</v>
      </c>
      <c r="R618">
        <f t="shared" si="991"/>
        <v>-59841804.773597427</v>
      </c>
      <c r="S618">
        <f t="shared" si="992"/>
        <v>-598.41804773597426</v>
      </c>
      <c r="T618">
        <f t="shared" si="993"/>
        <v>-0.59841804773597429</v>
      </c>
    </row>
    <row r="619" spans="1:20" x14ac:dyDescent="0.25">
      <c r="A619" s="5">
        <v>43974</v>
      </c>
      <c r="B619">
        <v>6.3499999999999997E-3</v>
      </c>
      <c r="C619">
        <v>6.4200000000000004E-3</v>
      </c>
      <c r="D619">
        <v>6.2100000000000002E-3</v>
      </c>
      <c r="E619">
        <v>6.3200000000000001E-3</v>
      </c>
      <c r="F619">
        <v>6526590.7999999998</v>
      </c>
      <c r="G619">
        <v>0</v>
      </c>
      <c r="L619" t="s">
        <v>8</v>
      </c>
      <c r="M619" t="s">
        <v>7</v>
      </c>
      <c r="N619" t="s">
        <v>7</v>
      </c>
      <c r="P619">
        <f t="shared" si="989"/>
        <v>4.7619047619045653E-2</v>
      </c>
      <c r="Q619">
        <f t="shared" si="990"/>
        <v>310790.03809522523</v>
      </c>
      <c r="R619">
        <f t="shared" si="991"/>
        <v>-42053314.216220386</v>
      </c>
      <c r="S619">
        <f t="shared" si="992"/>
        <v>-420.53314216220389</v>
      </c>
      <c r="T619">
        <f t="shared" si="993"/>
        <v>-0.42053314216220389</v>
      </c>
    </row>
    <row r="620" spans="1:20" x14ac:dyDescent="0.25">
      <c r="A620" s="5">
        <v>43973</v>
      </c>
      <c r="B620">
        <v>6.0499999999999998E-3</v>
      </c>
      <c r="C620">
        <v>6.4900000000000001E-3</v>
      </c>
      <c r="D620">
        <v>5.9699999999999996E-3</v>
      </c>
      <c r="E620">
        <v>6.3200000000000001E-3</v>
      </c>
      <c r="F620">
        <v>15554822.199999999</v>
      </c>
      <c r="G620">
        <v>0</v>
      </c>
      <c r="L620" t="s">
        <v>8</v>
      </c>
      <c r="M620" t="s">
        <v>7</v>
      </c>
      <c r="N620" t="s">
        <v>7</v>
      </c>
      <c r="P620">
        <f t="shared" si="989"/>
        <v>0.34615384615384676</v>
      </c>
      <c r="Q620">
        <f t="shared" si="990"/>
        <v>5384361.5307692401</v>
      </c>
      <c r="R620">
        <f t="shared" si="991"/>
        <v>-42364104.254315615</v>
      </c>
      <c r="S620">
        <f t="shared" si="992"/>
        <v>-423.64104254315617</v>
      </c>
      <c r="T620">
        <f t="shared" si="993"/>
        <v>-0.42364104254315615</v>
      </c>
    </row>
    <row r="621" spans="1:20" x14ac:dyDescent="0.25">
      <c r="A621" s="5">
        <v>43972</v>
      </c>
      <c r="B621">
        <v>6.4900000000000001E-3</v>
      </c>
      <c r="C621">
        <v>6.9100000000000003E-3</v>
      </c>
      <c r="D621">
        <v>5.7400000000000003E-3</v>
      </c>
      <c r="E621">
        <v>6.0699999999999999E-3</v>
      </c>
      <c r="F621">
        <v>34784469.899999999</v>
      </c>
      <c r="G621">
        <v>0</v>
      </c>
      <c r="L621" t="s">
        <v>7</v>
      </c>
      <c r="M621" t="s">
        <v>7</v>
      </c>
      <c r="N621" t="s">
        <v>7</v>
      </c>
      <c r="P621">
        <f t="shared" si="989"/>
        <v>-0.43589743589743668</v>
      </c>
      <c r="Q621">
        <f t="shared" si="990"/>
        <v>-15162461.238461565</v>
      </c>
      <c r="R621">
        <f t="shared" si="991"/>
        <v>-47748465.785084859</v>
      </c>
      <c r="S621">
        <f t="shared" si="992"/>
        <v>-477.48465785084858</v>
      </c>
      <c r="T621">
        <f t="shared" si="993"/>
        <v>-0.47748465785084859</v>
      </c>
    </row>
    <row r="622" spans="1:20" x14ac:dyDescent="0.25">
      <c r="A622" s="5">
        <v>43971</v>
      </c>
      <c r="B622">
        <v>7.1500000000000001E-3</v>
      </c>
      <c r="C622">
        <v>7.9500000000000005E-3</v>
      </c>
      <c r="D622">
        <v>6.2700000000000004E-3</v>
      </c>
      <c r="E622">
        <v>6.45E-3</v>
      </c>
      <c r="F622">
        <v>39248670.299999997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-0.78571428571428614</v>
      </c>
      <c r="Q622">
        <f t="shared" si="990"/>
        <v>-30838240.950000014</v>
      </c>
      <c r="R622">
        <f t="shared" si="991"/>
        <v>-32586004.54662329</v>
      </c>
      <c r="S622">
        <f t="shared" si="992"/>
        <v>-325.86004546623292</v>
      </c>
      <c r="T622">
        <f t="shared" si="993"/>
        <v>-0.32586004546623293</v>
      </c>
    </row>
    <row r="623" spans="1:20" x14ac:dyDescent="0.25">
      <c r="A623" s="5">
        <v>43970</v>
      </c>
      <c r="B623">
        <v>7.0699999999999999E-3</v>
      </c>
      <c r="C623">
        <v>7.2199999999999999E-3</v>
      </c>
      <c r="D623">
        <v>6.7499999999999999E-3</v>
      </c>
      <c r="E623">
        <v>7.1500000000000001E-3</v>
      </c>
      <c r="F623">
        <v>25280853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0.7021276595744691</v>
      </c>
      <c r="Q623">
        <f t="shared" si="990"/>
        <v>17750386.148936197</v>
      </c>
      <c r="R623">
        <f t="shared" si="991"/>
        <v>-1747763.5966232754</v>
      </c>
      <c r="S623">
        <f t="shared" si="992"/>
        <v>-17.477635966232754</v>
      </c>
      <c r="T623">
        <f t="shared" si="993"/>
        <v>-1.7477635966232755E-2</v>
      </c>
    </row>
    <row r="624" spans="1:20" x14ac:dyDescent="0.25">
      <c r="A624" s="5">
        <v>43969</v>
      </c>
      <c r="B624">
        <v>5.9300000000000004E-3</v>
      </c>
      <c r="C624">
        <v>7.3200000000000001E-3</v>
      </c>
      <c r="D624">
        <v>5.9300000000000004E-3</v>
      </c>
      <c r="E624">
        <v>7.1300000000000001E-3</v>
      </c>
      <c r="F624">
        <v>26457222.899999999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0.72661870503597104</v>
      </c>
      <c r="Q624">
        <f t="shared" si="990"/>
        <v>19224313.042446036</v>
      </c>
      <c r="R624">
        <f t="shared" si="991"/>
        <v>-19498149.745559473</v>
      </c>
      <c r="S624">
        <f t="shared" si="992"/>
        <v>-194.98149745559473</v>
      </c>
      <c r="T624">
        <f t="shared" si="993"/>
        <v>-0.19498149745559473</v>
      </c>
    </row>
    <row r="625" spans="1:20" x14ac:dyDescent="0.25">
      <c r="A625" s="5">
        <v>43968</v>
      </c>
      <c r="B625">
        <v>5.8399999999999997E-3</v>
      </c>
      <c r="C625">
        <v>6.1500000000000001E-3</v>
      </c>
      <c r="D625">
        <v>5.7400000000000003E-3</v>
      </c>
      <c r="E625">
        <v>5.9199999999999999E-3</v>
      </c>
      <c r="F625">
        <v>8704374.8000000007</v>
      </c>
      <c r="G625">
        <v>0</v>
      </c>
      <c r="L625" t="s">
        <v>8</v>
      </c>
      <c r="M625" t="s">
        <v>8</v>
      </c>
      <c r="N625" t="s">
        <v>7</v>
      </c>
      <c r="P625">
        <f t="shared" si="989"/>
        <v>-0.12195121951219656</v>
      </c>
      <c r="Q625">
        <f t="shared" si="990"/>
        <v>-1061509.1219512322</v>
      </c>
      <c r="R625">
        <f t="shared" si="991"/>
        <v>-38722462.788005508</v>
      </c>
      <c r="S625">
        <f t="shared" si="992"/>
        <v>-387.2246278800551</v>
      </c>
      <c r="T625">
        <f t="shared" si="993"/>
        <v>-0.38722462788005507</v>
      </c>
    </row>
    <row r="626" spans="1:20" x14ac:dyDescent="0.25">
      <c r="A626" s="5">
        <v>43967</v>
      </c>
      <c r="B626">
        <v>5.5500000000000002E-3</v>
      </c>
      <c r="C626">
        <v>5.8599999999999998E-3</v>
      </c>
      <c r="D626">
        <v>5.5100000000000001E-3</v>
      </c>
      <c r="E626">
        <v>5.7999999999999996E-3</v>
      </c>
      <c r="F626">
        <v>4558966.0999999996</v>
      </c>
      <c r="G626">
        <v>0</v>
      </c>
      <c r="L626" t="s">
        <v>7</v>
      </c>
      <c r="M626" t="s">
        <v>8</v>
      </c>
      <c r="N626" t="s">
        <v>7</v>
      </c>
      <c r="P626">
        <f t="shared" si="989"/>
        <v>0.65714285714285592</v>
      </c>
      <c r="Q626">
        <f t="shared" si="990"/>
        <v>2995892.0085714227</v>
      </c>
      <c r="R626">
        <f t="shared" si="991"/>
        <v>-37660953.666054279</v>
      </c>
      <c r="S626">
        <f t="shared" si="992"/>
        <v>-376.6095366605428</v>
      </c>
      <c r="T626">
        <f t="shared" si="993"/>
        <v>-0.37660953666054281</v>
      </c>
    </row>
    <row r="627" spans="1:20" x14ac:dyDescent="0.25">
      <c r="A627" s="5">
        <v>43966</v>
      </c>
      <c r="B627">
        <v>5.8100000000000001E-3</v>
      </c>
      <c r="C627">
        <v>5.8599999999999998E-3</v>
      </c>
      <c r="D627">
        <v>5.5199999999999997E-3</v>
      </c>
      <c r="E627">
        <v>5.5999999999999999E-3</v>
      </c>
      <c r="F627">
        <v>6034141.7000000002</v>
      </c>
      <c r="G627">
        <v>0</v>
      </c>
      <c r="L627" t="s">
        <v>7</v>
      </c>
      <c r="M627" t="s">
        <v>8</v>
      </c>
      <c r="N627" t="s">
        <v>7</v>
      </c>
      <c r="P627">
        <f t="shared" si="989"/>
        <v>-0.52941176470588114</v>
      </c>
      <c r="Q627">
        <f t="shared" si="990"/>
        <v>-3194545.6058823457</v>
      </c>
      <c r="R627">
        <f t="shared" si="991"/>
        <v>-40656845.674625702</v>
      </c>
      <c r="S627">
        <f t="shared" si="992"/>
        <v>-406.56845674625703</v>
      </c>
      <c r="T627">
        <f t="shared" si="993"/>
        <v>-0.40656845674625702</v>
      </c>
    </row>
    <row r="628" spans="1:20" x14ac:dyDescent="0.25">
      <c r="A628" s="5">
        <v>43965</v>
      </c>
      <c r="B628">
        <v>5.6499999999999996E-3</v>
      </c>
      <c r="C628">
        <v>6.0000000000000001E-3</v>
      </c>
      <c r="D628">
        <v>5.5999999999999999E-3</v>
      </c>
      <c r="E628">
        <v>5.8399999999999997E-3</v>
      </c>
      <c r="F628">
        <v>10354382.1</v>
      </c>
      <c r="G628">
        <v>0</v>
      </c>
      <c r="L628" t="s">
        <v>8</v>
      </c>
      <c r="M628" t="s">
        <v>8</v>
      </c>
      <c r="N628" t="s">
        <v>7</v>
      </c>
      <c r="P628">
        <f t="shared" si="989"/>
        <v>0.19999999999999826</v>
      </c>
      <c r="Q628">
        <f t="shared" si="990"/>
        <v>2070876.419999982</v>
      </c>
      <c r="R628">
        <f t="shared" si="991"/>
        <v>-37462300.068743356</v>
      </c>
      <c r="S628">
        <f t="shared" si="992"/>
        <v>-374.62300068743355</v>
      </c>
      <c r="T628">
        <f t="shared" si="993"/>
        <v>-0.37462300068743354</v>
      </c>
    </row>
    <row r="629" spans="1:20" x14ac:dyDescent="0.25">
      <c r="A629" s="5">
        <v>43964</v>
      </c>
      <c r="B629">
        <v>5.3400000000000001E-3</v>
      </c>
      <c r="C629">
        <v>5.6499999999999996E-3</v>
      </c>
      <c r="D629">
        <v>5.3400000000000001E-3</v>
      </c>
      <c r="E629">
        <v>5.6499999999999996E-3</v>
      </c>
      <c r="F629">
        <v>8129940.5999999996</v>
      </c>
      <c r="G629">
        <v>0</v>
      </c>
      <c r="L629" t="s">
        <v>8</v>
      </c>
      <c r="M629" t="s">
        <v>7</v>
      </c>
      <c r="N629" t="s">
        <v>7</v>
      </c>
      <c r="P629">
        <f t="shared" si="989"/>
        <v>1</v>
      </c>
      <c r="Q629">
        <f t="shared" si="990"/>
        <v>8129940.5999999996</v>
      </c>
      <c r="R629">
        <f t="shared" si="991"/>
        <v>-39533176.488743335</v>
      </c>
      <c r="S629">
        <f t="shared" si="992"/>
        <v>-395.33176488743334</v>
      </c>
      <c r="T629">
        <f t="shared" si="993"/>
        <v>-0.39533176488743332</v>
      </c>
    </row>
    <row r="630" spans="1:20" x14ac:dyDescent="0.25">
      <c r="A630" s="5">
        <v>43963</v>
      </c>
      <c r="B630">
        <v>5.11E-3</v>
      </c>
      <c r="C630">
        <v>5.4299999999999999E-3</v>
      </c>
      <c r="D630">
        <v>4.9800000000000001E-3</v>
      </c>
      <c r="E630">
        <v>5.2700000000000004E-3</v>
      </c>
      <c r="F630">
        <v>11097388.699999999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0.28888888888889069</v>
      </c>
      <c r="Q630">
        <f t="shared" si="990"/>
        <v>3205912.2911111307</v>
      </c>
      <c r="R630">
        <f t="shared" si="991"/>
        <v>-47663117.088743336</v>
      </c>
      <c r="S630">
        <f t="shared" si="992"/>
        <v>-476.63117088743337</v>
      </c>
      <c r="T630">
        <f t="shared" si="993"/>
        <v>-0.4766311708874334</v>
      </c>
    </row>
    <row r="631" spans="1:20" x14ac:dyDescent="0.25">
      <c r="A631" s="5">
        <v>43962</v>
      </c>
      <c r="B631">
        <v>5.0899999999999999E-3</v>
      </c>
      <c r="C631">
        <v>5.2300000000000003E-3</v>
      </c>
      <c r="D631">
        <v>4.8300000000000001E-3</v>
      </c>
      <c r="E631">
        <v>5.0299999999999997E-3</v>
      </c>
      <c r="F631">
        <v>14293329.5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-2.1684043449710081E-15</v>
      </c>
      <c r="Q631">
        <f t="shared" si="990"/>
        <v>-3.0993717791902284E-8</v>
      </c>
      <c r="R631">
        <f t="shared" si="991"/>
        <v>-50869029.37985447</v>
      </c>
      <c r="S631">
        <f t="shared" si="992"/>
        <v>-508.6902937985447</v>
      </c>
      <c r="T631">
        <f t="shared" si="993"/>
        <v>-0.50869029379854469</v>
      </c>
    </row>
    <row r="632" spans="1:20" x14ac:dyDescent="0.25">
      <c r="A632" s="5">
        <v>43961</v>
      </c>
      <c r="B632">
        <v>6.0299999999999998E-3</v>
      </c>
      <c r="C632">
        <v>6.0299999999999998E-3</v>
      </c>
      <c r="D632">
        <v>4.8399999999999997E-3</v>
      </c>
      <c r="E632">
        <v>5.0800000000000003E-3</v>
      </c>
      <c r="F632">
        <v>27224609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-0.59663865546218386</v>
      </c>
      <c r="Q632">
        <f t="shared" si="990"/>
        <v>-16243254.10924367</v>
      </c>
      <c r="R632">
        <f t="shared" si="991"/>
        <v>-50869029.379854441</v>
      </c>
      <c r="S632">
        <f t="shared" si="992"/>
        <v>-508.69029379854442</v>
      </c>
      <c r="T632">
        <f t="shared" si="993"/>
        <v>-0.50869029379854447</v>
      </c>
    </row>
    <row r="633" spans="1:20" x14ac:dyDescent="0.25">
      <c r="A633" s="5">
        <v>43960</v>
      </c>
      <c r="B633">
        <v>5.3099999999999996E-3</v>
      </c>
      <c r="C633">
        <v>6.3600000000000002E-3</v>
      </c>
      <c r="D633">
        <v>5.28E-3</v>
      </c>
      <c r="E633">
        <v>6.0400000000000002E-3</v>
      </c>
      <c r="F633">
        <v>42145341.700000003</v>
      </c>
      <c r="G633">
        <v>0</v>
      </c>
      <c r="L633" t="s">
        <v>8</v>
      </c>
      <c r="M633" t="s">
        <v>8</v>
      </c>
      <c r="N633" t="s">
        <v>7</v>
      </c>
      <c r="P633">
        <f t="shared" si="989"/>
        <v>0.40740740740740761</v>
      </c>
      <c r="Q633">
        <f t="shared" si="990"/>
        <v>17170324.396296307</v>
      </c>
      <c r="R633">
        <f t="shared" si="991"/>
        <v>-34625775.270610772</v>
      </c>
      <c r="S633">
        <f t="shared" si="992"/>
        <v>-346.25775270610774</v>
      </c>
      <c r="T633">
        <f t="shared" si="993"/>
        <v>-0.34625775270610776</v>
      </c>
    </row>
    <row r="634" spans="1:20" x14ac:dyDescent="0.25">
      <c r="A634" s="5">
        <v>43959</v>
      </c>
      <c r="B634">
        <v>5.2300000000000003E-3</v>
      </c>
      <c r="C634">
        <v>5.4799999999999996E-3</v>
      </c>
      <c r="D634">
        <v>5.1799999999999997E-3</v>
      </c>
      <c r="E634">
        <v>5.3E-3</v>
      </c>
      <c r="F634">
        <v>5025206.8</v>
      </c>
      <c r="G634">
        <v>0</v>
      </c>
      <c r="L634" t="s">
        <v>8</v>
      </c>
      <c r="M634" t="s">
        <v>7</v>
      </c>
      <c r="N634" t="s">
        <v>7</v>
      </c>
      <c r="P634">
        <f t="shared" si="989"/>
        <v>-0.19999999999999768</v>
      </c>
      <c r="Q634">
        <f t="shared" si="990"/>
        <v>-1005041.3599999883</v>
      </c>
      <c r="R634">
        <f t="shared" si="991"/>
        <v>-51796099.66690708</v>
      </c>
      <c r="S634">
        <f t="shared" si="992"/>
        <v>-517.96099666907082</v>
      </c>
      <c r="T634">
        <f t="shared" si="993"/>
        <v>-0.51796099666907081</v>
      </c>
    </row>
    <row r="635" spans="1:20" x14ac:dyDescent="0.25">
      <c r="A635" s="5">
        <v>43958</v>
      </c>
      <c r="B635">
        <v>5.1999999999999998E-3</v>
      </c>
      <c r="C635">
        <v>5.3800000000000002E-3</v>
      </c>
      <c r="D635">
        <v>5.0000000000000001E-3</v>
      </c>
      <c r="E635">
        <v>5.2199999999999998E-3</v>
      </c>
      <c r="F635">
        <v>8039896.2999999998</v>
      </c>
      <c r="G635">
        <v>0</v>
      </c>
      <c r="L635" t="s">
        <v>7</v>
      </c>
      <c r="M635" t="s">
        <v>7</v>
      </c>
      <c r="N635" t="s">
        <v>7</v>
      </c>
      <c r="P635">
        <f t="shared" si="989"/>
        <v>0.15789473684210334</v>
      </c>
      <c r="Q635">
        <f t="shared" si="990"/>
        <v>1269457.3105263002</v>
      </c>
      <c r="R635">
        <f t="shared" si="991"/>
        <v>-50791058.306907088</v>
      </c>
      <c r="S635">
        <f t="shared" si="992"/>
        <v>-507.91058306907087</v>
      </c>
      <c r="T635">
        <f t="shared" si="993"/>
        <v>-0.50791058306907089</v>
      </c>
    </row>
    <row r="636" spans="1:20" x14ac:dyDescent="0.25">
      <c r="A636" s="5">
        <v>43957</v>
      </c>
      <c r="B636">
        <v>5.5300000000000002E-3</v>
      </c>
      <c r="C636">
        <v>5.5999999999999999E-3</v>
      </c>
      <c r="D636">
        <v>5.1999999999999998E-3</v>
      </c>
      <c r="E636">
        <v>5.1999999999999998E-3</v>
      </c>
      <c r="F636">
        <v>6646422.4000000004</v>
      </c>
      <c r="G636">
        <v>0</v>
      </c>
      <c r="L636" t="s">
        <v>7</v>
      </c>
      <c r="M636" t="s">
        <v>7</v>
      </c>
      <c r="N636" t="s">
        <v>7</v>
      </c>
      <c r="P636">
        <f t="shared" si="989"/>
        <v>-1</v>
      </c>
      <c r="Q636">
        <f t="shared" si="990"/>
        <v>-6646422.4000000004</v>
      </c>
      <c r="R636">
        <f t="shared" si="991"/>
        <v>-52060515.617433392</v>
      </c>
      <c r="S636">
        <f t="shared" si="992"/>
        <v>-520.60515617433396</v>
      </c>
      <c r="T636">
        <f t="shared" si="993"/>
        <v>-0.52060515617433401</v>
      </c>
    </row>
    <row r="637" spans="1:20" x14ac:dyDescent="0.25">
      <c r="A637" s="5">
        <v>43956</v>
      </c>
      <c r="B637">
        <v>5.47E-3</v>
      </c>
      <c r="C637">
        <v>5.8900000000000003E-3</v>
      </c>
      <c r="D637">
        <v>5.3400000000000001E-3</v>
      </c>
      <c r="E637">
        <v>5.4999999999999997E-3</v>
      </c>
      <c r="F637">
        <v>6391165.5999999996</v>
      </c>
      <c r="G637">
        <v>0</v>
      </c>
      <c r="L637" t="s">
        <v>8</v>
      </c>
      <c r="M637" t="s">
        <v>7</v>
      </c>
      <c r="N637" t="s">
        <v>7</v>
      </c>
      <c r="P637">
        <f t="shared" si="989"/>
        <v>-0.41818181818181999</v>
      </c>
      <c r="Q637">
        <f t="shared" si="990"/>
        <v>-2672669.2509091021</v>
      </c>
      <c r="R637">
        <f t="shared" si="991"/>
        <v>-45414093.217433393</v>
      </c>
      <c r="S637">
        <f t="shared" si="992"/>
        <v>-454.14093217433395</v>
      </c>
      <c r="T637">
        <f t="shared" si="993"/>
        <v>-0.45414093217433393</v>
      </c>
    </row>
    <row r="638" spans="1:20" x14ac:dyDescent="0.25">
      <c r="A638" s="5">
        <v>43955</v>
      </c>
      <c r="B638">
        <v>5.5100000000000001E-3</v>
      </c>
      <c r="C638">
        <v>5.64E-3</v>
      </c>
      <c r="D638">
        <v>5.2599999999999999E-3</v>
      </c>
      <c r="E638">
        <v>5.47E-3</v>
      </c>
      <c r="F638">
        <v>7737112.2999999998</v>
      </c>
      <c r="G638">
        <v>0</v>
      </c>
      <c r="L638" t="s">
        <v>7</v>
      </c>
      <c r="M638" t="s">
        <v>7</v>
      </c>
      <c r="N638" t="s">
        <v>7</v>
      </c>
      <c r="P638">
        <f t="shared" si="989"/>
        <v>0.10526315789473709</v>
      </c>
      <c r="Q638">
        <f t="shared" si="990"/>
        <v>814432.87368421245</v>
      </c>
      <c r="R638">
        <f t="shared" si="991"/>
        <v>-42741423.966524288</v>
      </c>
      <c r="S638">
        <f t="shared" si="992"/>
        <v>-427.41423966524286</v>
      </c>
      <c r="T638">
        <f t="shared" si="993"/>
        <v>-0.42741423966524283</v>
      </c>
    </row>
    <row r="639" spans="1:20" x14ac:dyDescent="0.25">
      <c r="A639" s="5">
        <v>43954</v>
      </c>
      <c r="B639">
        <v>5.7200000000000003E-3</v>
      </c>
      <c r="C639">
        <v>5.77E-3</v>
      </c>
      <c r="D639">
        <v>5.4000000000000003E-3</v>
      </c>
      <c r="E639">
        <v>5.4799999999999996E-3</v>
      </c>
      <c r="F639">
        <v>6738956.7999999998</v>
      </c>
      <c r="G639">
        <v>0</v>
      </c>
      <c r="L639" t="s">
        <v>7</v>
      </c>
      <c r="M639" t="s">
        <v>7</v>
      </c>
      <c r="N639" t="s">
        <v>7</v>
      </c>
      <c r="P639">
        <f t="shared" si="989"/>
        <v>-0.56756756756757076</v>
      </c>
      <c r="Q639">
        <f t="shared" si="990"/>
        <v>-3824813.3189189401</v>
      </c>
      <c r="R639">
        <f t="shared" si="991"/>
        <v>-43555856.840208501</v>
      </c>
      <c r="S639">
        <f t="shared" si="992"/>
        <v>-435.55856840208503</v>
      </c>
      <c r="T639">
        <f t="shared" si="993"/>
        <v>-0.43555856840208501</v>
      </c>
    </row>
    <row r="640" spans="1:20" x14ac:dyDescent="0.25">
      <c r="A640" s="5">
        <v>43953</v>
      </c>
      <c r="B640">
        <v>5.6100000000000004E-3</v>
      </c>
      <c r="C640">
        <v>6.0000000000000001E-3</v>
      </c>
      <c r="D640">
        <v>5.6100000000000004E-3</v>
      </c>
      <c r="E640">
        <v>5.7000000000000002E-3</v>
      </c>
      <c r="F640">
        <v>15761911.300000001</v>
      </c>
      <c r="G640">
        <v>0</v>
      </c>
      <c r="L640" t="s">
        <v>7</v>
      </c>
      <c r="M640" t="s">
        <v>8</v>
      </c>
      <c r="N640" t="s">
        <v>7</v>
      </c>
      <c r="P640">
        <f t="shared" si="989"/>
        <v>-0.5384615384615391</v>
      </c>
      <c r="Q640">
        <f t="shared" si="990"/>
        <v>-8487183.0076923184</v>
      </c>
      <c r="R640">
        <f t="shared" si="991"/>
        <v>-39731043.521289557</v>
      </c>
      <c r="S640">
        <f t="shared" si="992"/>
        <v>-397.31043521289558</v>
      </c>
      <c r="T640">
        <f t="shared" si="993"/>
        <v>-0.39731043521289561</v>
      </c>
    </row>
    <row r="641" spans="1:20" x14ac:dyDescent="0.25">
      <c r="A641" s="5">
        <v>43952</v>
      </c>
      <c r="B641">
        <v>5.5700000000000003E-3</v>
      </c>
      <c r="C641">
        <v>6.3E-3</v>
      </c>
      <c r="D641">
        <v>5.5599999999999998E-3</v>
      </c>
      <c r="E641">
        <v>5.62E-3</v>
      </c>
      <c r="F641">
        <v>12409852.300000001</v>
      </c>
      <c r="G641">
        <v>0</v>
      </c>
      <c r="L641" t="s">
        <v>8</v>
      </c>
      <c r="M641" t="s">
        <v>8</v>
      </c>
      <c r="N641" t="s">
        <v>7</v>
      </c>
      <c r="P641">
        <f t="shared" si="989"/>
        <v>-0.8378378378378375</v>
      </c>
      <c r="Q641">
        <f t="shared" si="990"/>
        <v>-10397443.818918915</v>
      </c>
      <c r="R641">
        <f t="shared" si="991"/>
        <v>-31243860.513597243</v>
      </c>
      <c r="S641">
        <f t="shared" si="992"/>
        <v>-312.43860513597241</v>
      </c>
      <c r="T641">
        <f t="shared" si="993"/>
        <v>-0.31243860513597244</v>
      </c>
    </row>
    <row r="642" spans="1:20" x14ac:dyDescent="0.25">
      <c r="A642" s="5">
        <v>43951</v>
      </c>
      <c r="B642">
        <v>5.5500000000000002E-3</v>
      </c>
      <c r="C642">
        <v>5.8500000000000002E-3</v>
      </c>
      <c r="D642">
        <v>5.4000000000000003E-3</v>
      </c>
      <c r="E642">
        <v>5.5900000000000004E-3</v>
      </c>
      <c r="F642">
        <v>7308469.2999999998</v>
      </c>
      <c r="G642">
        <v>0</v>
      </c>
      <c r="L642" t="s">
        <v>8</v>
      </c>
      <c r="M642" t="s">
        <v>8</v>
      </c>
      <c r="N642" t="s">
        <v>7</v>
      </c>
      <c r="P642">
        <f t="shared" si="989"/>
        <v>-0.15555555555555503</v>
      </c>
      <c r="Q642">
        <f t="shared" si="990"/>
        <v>-1136873.0022222183</v>
      </c>
      <c r="R642">
        <f t="shared" si="991"/>
        <v>-20846416.694678329</v>
      </c>
      <c r="S642">
        <f t="shared" si="992"/>
        <v>-208.46416694678328</v>
      </c>
      <c r="T642">
        <f t="shared" si="993"/>
        <v>-0.20846416694678327</v>
      </c>
    </row>
    <row r="643" spans="1:20" x14ac:dyDescent="0.25">
      <c r="A643" s="5">
        <v>43950</v>
      </c>
      <c r="B643">
        <v>5.3E-3</v>
      </c>
      <c r="C643">
        <v>5.7499999999999999E-3</v>
      </c>
      <c r="D643">
        <v>5.2100000000000002E-3</v>
      </c>
      <c r="E643">
        <v>5.5799999999999999E-3</v>
      </c>
      <c r="F643">
        <v>17885085.800000001</v>
      </c>
      <c r="G643">
        <v>0</v>
      </c>
      <c r="L643" t="s">
        <v>8</v>
      </c>
      <c r="M643" t="s">
        <v>8</v>
      </c>
      <c r="N643" t="s">
        <v>7</v>
      </c>
      <c r="P643">
        <f t="shared" si="989"/>
        <v>0.37037037037036996</v>
      </c>
      <c r="Q643">
        <f t="shared" si="990"/>
        <v>6624105.8518518452</v>
      </c>
      <c r="R643">
        <f t="shared" si="991"/>
        <v>-19709543.692456111</v>
      </c>
      <c r="S643">
        <f t="shared" si="992"/>
        <v>-197.09543692456111</v>
      </c>
      <c r="T643">
        <f t="shared" si="993"/>
        <v>-0.19709543692456111</v>
      </c>
    </row>
    <row r="644" spans="1:20" x14ac:dyDescent="0.25">
      <c r="A644" s="5">
        <v>43949</v>
      </c>
      <c r="B644">
        <v>5.3099999999999996E-3</v>
      </c>
      <c r="C644">
        <v>5.4200000000000003E-3</v>
      </c>
      <c r="D644">
        <v>5.2300000000000003E-3</v>
      </c>
      <c r="E644">
        <v>5.3099999999999996E-3</v>
      </c>
      <c r="F644">
        <v>3254126.9</v>
      </c>
      <c r="G644">
        <v>0</v>
      </c>
      <c r="L644" t="s">
        <v>7</v>
      </c>
      <c r="M644" t="s">
        <v>8</v>
      </c>
      <c r="N644" t="s">
        <v>7</v>
      </c>
      <c r="P644">
        <f t="shared" si="989"/>
        <v>-0.15789473684211247</v>
      </c>
      <c r="Q644">
        <f t="shared" si="990"/>
        <v>-513809.51052633923</v>
      </c>
      <c r="R644">
        <f t="shared" si="991"/>
        <v>-26333649.544307958</v>
      </c>
      <c r="S644">
        <f t="shared" si="992"/>
        <v>-263.33649544307957</v>
      </c>
      <c r="T644">
        <f t="shared" si="993"/>
        <v>-0.26333649544307958</v>
      </c>
    </row>
    <row r="645" spans="1:20" x14ac:dyDescent="0.25">
      <c r="A645" s="5">
        <v>43948</v>
      </c>
      <c r="B645">
        <v>5.3400000000000001E-3</v>
      </c>
      <c r="C645">
        <v>5.4299999999999999E-3</v>
      </c>
      <c r="D645">
        <v>5.1799999999999997E-3</v>
      </c>
      <c r="E645">
        <v>5.3099999999999996E-3</v>
      </c>
      <c r="F645">
        <v>6887195</v>
      </c>
      <c r="G645">
        <v>0</v>
      </c>
      <c r="L645" t="s">
        <v>7</v>
      </c>
      <c r="M645" t="s">
        <v>8</v>
      </c>
      <c r="N645" t="s">
        <v>7</v>
      </c>
      <c r="P645">
        <f t="shared" si="989"/>
        <v>3.9999999999998335E-2</v>
      </c>
      <c r="Q645">
        <f t="shared" si="990"/>
        <v>275487.79999998852</v>
      </c>
      <c r="R645">
        <f t="shared" si="991"/>
        <v>-25819840.033781618</v>
      </c>
      <c r="S645">
        <f t="shared" si="992"/>
        <v>-258.19840033781617</v>
      </c>
      <c r="T645">
        <f t="shared" si="993"/>
        <v>-0.25819840033781616</v>
      </c>
    </row>
    <row r="646" spans="1:20" x14ac:dyDescent="0.25">
      <c r="A646" s="5">
        <v>43947</v>
      </c>
      <c r="B646">
        <v>5.28E-3</v>
      </c>
      <c r="C646">
        <v>5.79E-3</v>
      </c>
      <c r="D646">
        <v>5.2599999999999999E-3</v>
      </c>
      <c r="E646">
        <v>5.3200000000000001E-3</v>
      </c>
      <c r="F646">
        <v>13239246.9</v>
      </c>
      <c r="G646">
        <v>0</v>
      </c>
      <c r="L646" t="s">
        <v>8</v>
      </c>
      <c r="M646" t="s">
        <v>8</v>
      </c>
      <c r="N646" t="s">
        <v>7</v>
      </c>
      <c r="P646">
        <f t="shared" ref="P646:P709" si="994">IF(C646=D646,0,((E646-D646)-(C646-E646))/(C646-D646))</f>
        <v>-0.77358490566037685</v>
      </c>
      <c r="Q646">
        <f t="shared" ref="Q646:Q709" si="995">F646*P646</f>
        <v>-10241681.564150937</v>
      </c>
      <c r="R646">
        <f t="shared" ref="R646:R709" si="996">R647+Q646</f>
        <v>-26095327.833781607</v>
      </c>
      <c r="S646">
        <f t="shared" ref="S646:S709" si="997">R646/100000</f>
        <v>-260.95327833781607</v>
      </c>
      <c r="T646">
        <f t="shared" ref="T646:T709" si="998">S646/1000</f>
        <v>-0.26095327833781606</v>
      </c>
    </row>
    <row r="647" spans="1:20" x14ac:dyDescent="0.25">
      <c r="A647" s="5">
        <v>43946</v>
      </c>
      <c r="B647">
        <v>5.2100000000000002E-3</v>
      </c>
      <c r="C647">
        <v>5.4599999999999996E-3</v>
      </c>
      <c r="D647">
        <v>5.11E-3</v>
      </c>
      <c r="E647">
        <v>5.2900000000000004E-3</v>
      </c>
      <c r="F647">
        <v>8240426.2000000002</v>
      </c>
      <c r="G647">
        <v>0</v>
      </c>
      <c r="L647" t="s">
        <v>8</v>
      </c>
      <c r="M647" t="s">
        <v>8</v>
      </c>
      <c r="N647" t="s">
        <v>7</v>
      </c>
      <c r="P647">
        <f t="shared" si="994"/>
        <v>2.8571428571432394E-2</v>
      </c>
      <c r="Q647">
        <f t="shared" si="995"/>
        <v>235440.74857146008</v>
      </c>
      <c r="R647">
        <f t="shared" si="996"/>
        <v>-15853646.269630672</v>
      </c>
      <c r="S647">
        <f t="shared" si="997"/>
        <v>-158.53646269630673</v>
      </c>
      <c r="T647">
        <f t="shared" si="998"/>
        <v>-0.15853646269630672</v>
      </c>
    </row>
    <row r="648" spans="1:20" x14ac:dyDescent="0.25">
      <c r="A648" s="5">
        <v>43945</v>
      </c>
      <c r="B648">
        <v>5.0699999999999999E-3</v>
      </c>
      <c r="C648">
        <v>5.2900000000000004E-3</v>
      </c>
      <c r="D648">
        <v>5.0299999999999997E-3</v>
      </c>
      <c r="E648">
        <v>5.1700000000000001E-3</v>
      </c>
      <c r="F648">
        <v>5161320.2</v>
      </c>
      <c r="G648">
        <v>0</v>
      </c>
      <c r="L648" t="s">
        <v>8</v>
      </c>
      <c r="M648" t="s">
        <v>7</v>
      </c>
      <c r="N648" t="s">
        <v>7</v>
      </c>
      <c r="P648">
        <f t="shared" si="994"/>
        <v>7.6923076923076927E-2</v>
      </c>
      <c r="Q648">
        <f t="shared" si="995"/>
        <v>397024.63076923083</v>
      </c>
      <c r="R648">
        <f t="shared" si="996"/>
        <v>-16089087.018202132</v>
      </c>
      <c r="S648">
        <f t="shared" si="997"/>
        <v>-160.8908701820213</v>
      </c>
      <c r="T648">
        <f t="shared" si="998"/>
        <v>-0.16089087018202131</v>
      </c>
    </row>
    <row r="649" spans="1:20" x14ac:dyDescent="0.25">
      <c r="A649" s="5">
        <v>43944</v>
      </c>
      <c r="B649">
        <v>4.9500000000000004E-3</v>
      </c>
      <c r="C649">
        <v>5.2599999999999999E-3</v>
      </c>
      <c r="D649">
        <v>4.79E-3</v>
      </c>
      <c r="E649">
        <v>5.0899999999999999E-3</v>
      </c>
      <c r="F649">
        <v>6631772.0999999996</v>
      </c>
      <c r="G649">
        <v>0</v>
      </c>
      <c r="L649" t="s">
        <v>8</v>
      </c>
      <c r="M649" t="s">
        <v>7</v>
      </c>
      <c r="N649" t="s">
        <v>7</v>
      </c>
      <c r="P649">
        <f t="shared" si="994"/>
        <v>0.27659574468085091</v>
      </c>
      <c r="Q649">
        <f t="shared" si="995"/>
        <v>1834319.9425531903</v>
      </c>
      <c r="R649">
        <f t="shared" si="996"/>
        <v>-16486111.648971362</v>
      </c>
      <c r="S649">
        <f t="shared" si="997"/>
        <v>-164.86111648971362</v>
      </c>
      <c r="T649">
        <f t="shared" si="998"/>
        <v>-0.16486111648971363</v>
      </c>
    </row>
    <row r="650" spans="1:20" x14ac:dyDescent="0.25">
      <c r="A650" s="5">
        <v>43943</v>
      </c>
      <c r="B650">
        <v>4.7499999999999999E-3</v>
      </c>
      <c r="C650">
        <v>5.0099999999999997E-3</v>
      </c>
      <c r="D650">
        <v>4.6600000000000001E-3</v>
      </c>
      <c r="E650">
        <v>4.9500000000000004E-3</v>
      </c>
      <c r="F650">
        <v>3786913.5</v>
      </c>
      <c r="G650">
        <v>0</v>
      </c>
      <c r="L650" t="s">
        <v>8</v>
      </c>
      <c r="M650" t="s">
        <v>7</v>
      </c>
      <c r="N650" t="s">
        <v>7</v>
      </c>
      <c r="P650">
        <f t="shared" si="994"/>
        <v>0.6571428571428608</v>
      </c>
      <c r="Q650">
        <f t="shared" si="995"/>
        <v>2488543.1571428711</v>
      </c>
      <c r="R650">
        <f t="shared" si="996"/>
        <v>-18320431.591524553</v>
      </c>
      <c r="S650">
        <f t="shared" si="997"/>
        <v>-183.20431591524553</v>
      </c>
      <c r="T650">
        <f t="shared" si="998"/>
        <v>-0.18320431591524552</v>
      </c>
    </row>
    <row r="651" spans="1:20" x14ac:dyDescent="0.25">
      <c r="A651" s="5">
        <v>43942</v>
      </c>
      <c r="B651">
        <v>4.6899999999999997E-3</v>
      </c>
      <c r="C651">
        <v>4.8500000000000001E-3</v>
      </c>
      <c r="D651">
        <v>4.62E-3</v>
      </c>
      <c r="E651">
        <v>4.7699999999999999E-3</v>
      </c>
      <c r="F651">
        <v>7663132.9000000004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0.30434782608695521</v>
      </c>
      <c r="Q651">
        <f t="shared" si="995"/>
        <v>2332257.8391304249</v>
      </c>
      <c r="R651">
        <f t="shared" si="996"/>
        <v>-20808974.748667423</v>
      </c>
      <c r="S651">
        <f t="shared" si="997"/>
        <v>-208.08974748667421</v>
      </c>
      <c r="T651">
        <f t="shared" si="998"/>
        <v>-0.20808974748667422</v>
      </c>
    </row>
    <row r="652" spans="1:20" x14ac:dyDescent="0.25">
      <c r="A652" s="5">
        <v>43941</v>
      </c>
      <c r="B652">
        <v>5.1799999999999997E-3</v>
      </c>
      <c r="C652">
        <v>5.2500000000000003E-3</v>
      </c>
      <c r="D652">
        <v>4.5900000000000003E-3</v>
      </c>
      <c r="E652">
        <v>4.6800000000000001E-3</v>
      </c>
      <c r="F652">
        <v>19550898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-0.72727272727272785</v>
      </c>
      <c r="Q652">
        <f t="shared" si="995"/>
        <v>-14218834.909090919</v>
      </c>
      <c r="R652">
        <f t="shared" si="996"/>
        <v>-23141232.587797847</v>
      </c>
      <c r="S652">
        <f t="shared" si="997"/>
        <v>-231.41232587797847</v>
      </c>
      <c r="T652">
        <f t="shared" si="998"/>
        <v>-0.23141232587797847</v>
      </c>
    </row>
    <row r="653" spans="1:20" x14ac:dyDescent="0.25">
      <c r="A653" s="5">
        <v>43940</v>
      </c>
      <c r="B653">
        <v>5.4000000000000003E-3</v>
      </c>
      <c r="C653">
        <v>5.4599999999999996E-3</v>
      </c>
      <c r="D653">
        <v>5.0800000000000003E-3</v>
      </c>
      <c r="E653">
        <v>5.1399999999999996E-3</v>
      </c>
      <c r="F653">
        <v>12174218.300000001</v>
      </c>
      <c r="G653">
        <v>0</v>
      </c>
      <c r="L653" t="s">
        <v>7</v>
      </c>
      <c r="M653" t="s">
        <v>8</v>
      </c>
      <c r="N653" t="s">
        <v>7</v>
      </c>
      <c r="P653">
        <f t="shared" si="994"/>
        <v>-0.6842105263157926</v>
      </c>
      <c r="Q653">
        <f t="shared" si="995"/>
        <v>-8329728.3105263542</v>
      </c>
      <c r="R653">
        <f t="shared" si="996"/>
        <v>-8922397.6787069272</v>
      </c>
      <c r="S653">
        <f t="shared" si="997"/>
        <v>-89.223976787069276</v>
      </c>
      <c r="T653">
        <f t="shared" si="998"/>
        <v>-8.9223976787069281E-2</v>
      </c>
    </row>
    <row r="654" spans="1:20" x14ac:dyDescent="0.25">
      <c r="A654" s="5">
        <v>43939</v>
      </c>
      <c r="B654">
        <v>5.1200000000000004E-3</v>
      </c>
      <c r="C654">
        <v>5.7000000000000002E-3</v>
      </c>
      <c r="D654">
        <v>5.1000000000000004E-3</v>
      </c>
      <c r="E654">
        <v>5.3699999999999998E-3</v>
      </c>
      <c r="F654">
        <v>29367467</v>
      </c>
      <c r="G654">
        <v>0</v>
      </c>
      <c r="L654" t="s">
        <v>8</v>
      </c>
      <c r="M654" t="s">
        <v>8</v>
      </c>
      <c r="N654" t="s">
        <v>7</v>
      </c>
      <c r="P654">
        <f t="shared" si="994"/>
        <v>-0.10000000000000174</v>
      </c>
      <c r="Q654">
        <f t="shared" si="995"/>
        <v>-2936746.7000000509</v>
      </c>
      <c r="R654">
        <f t="shared" si="996"/>
        <v>-592669.36818057299</v>
      </c>
      <c r="S654">
        <f t="shared" si="997"/>
        <v>-5.9266936818057303</v>
      </c>
      <c r="T654">
        <f t="shared" si="998"/>
        <v>-5.9266936818057302E-3</v>
      </c>
    </row>
    <row r="655" spans="1:20" x14ac:dyDescent="0.25">
      <c r="A655" s="5">
        <v>43938</v>
      </c>
      <c r="B655">
        <v>4.9699999999999996E-3</v>
      </c>
      <c r="C655">
        <v>5.2500000000000003E-3</v>
      </c>
      <c r="D655">
        <v>4.8999999999999998E-3</v>
      </c>
      <c r="E655">
        <v>5.1200000000000004E-3</v>
      </c>
      <c r="F655">
        <v>13813520.6</v>
      </c>
      <c r="G655">
        <v>0</v>
      </c>
      <c r="L655" t="s">
        <v>8</v>
      </c>
      <c r="M655" t="s">
        <v>7</v>
      </c>
      <c r="N655" t="s">
        <v>7</v>
      </c>
      <c r="P655">
        <f t="shared" si="994"/>
        <v>0.25714285714285873</v>
      </c>
      <c r="Q655">
        <f t="shared" si="995"/>
        <v>3552048.1542857359</v>
      </c>
      <c r="R655">
        <f t="shared" si="996"/>
        <v>2344077.331819478</v>
      </c>
      <c r="S655">
        <f t="shared" si="997"/>
        <v>23.440773318194779</v>
      </c>
      <c r="T655">
        <f t="shared" si="998"/>
        <v>2.3440773318194778E-2</v>
      </c>
    </row>
    <row r="656" spans="1:20" x14ac:dyDescent="0.25">
      <c r="A656" s="5">
        <v>43937</v>
      </c>
      <c r="B656">
        <v>4.8199999999999996E-3</v>
      </c>
      <c r="C656">
        <v>5.0699999999999999E-3</v>
      </c>
      <c r="D656">
        <v>4.7200000000000002E-3</v>
      </c>
      <c r="E656">
        <v>4.96E-3</v>
      </c>
      <c r="F656">
        <v>13357025.199999999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0.37142857142857155</v>
      </c>
      <c r="Q656">
        <f t="shared" si="995"/>
        <v>4961180.7885714304</v>
      </c>
      <c r="R656">
        <f t="shared" si="996"/>
        <v>-1207970.822466258</v>
      </c>
      <c r="S656">
        <f t="shared" si="997"/>
        <v>-12.07970822466258</v>
      </c>
      <c r="T656">
        <f t="shared" si="998"/>
        <v>-1.207970822466258E-2</v>
      </c>
    </row>
    <row r="657" spans="1:20" x14ac:dyDescent="0.25">
      <c r="A657" s="5">
        <v>43936</v>
      </c>
      <c r="B657">
        <v>5.1399999999999996E-3</v>
      </c>
      <c r="C657">
        <v>5.2399999999999999E-3</v>
      </c>
      <c r="D657">
        <v>4.8300000000000001E-3</v>
      </c>
      <c r="E657">
        <v>4.8399999999999997E-3</v>
      </c>
      <c r="F657">
        <v>12472857.1</v>
      </c>
      <c r="G657">
        <v>0</v>
      </c>
      <c r="L657" t="s">
        <v>7</v>
      </c>
      <c r="M657" t="s">
        <v>7</v>
      </c>
      <c r="N657" t="s">
        <v>7</v>
      </c>
      <c r="P657">
        <f t="shared" si="994"/>
        <v>-0.95121951219512391</v>
      </c>
      <c r="Q657">
        <f t="shared" si="995"/>
        <v>-11864425.046341488</v>
      </c>
      <c r="R657">
        <f t="shared" si="996"/>
        <v>-6169151.6110376883</v>
      </c>
      <c r="S657">
        <f t="shared" si="997"/>
        <v>-61.691516110376881</v>
      </c>
      <c r="T657">
        <f t="shared" si="998"/>
        <v>-6.1691516110376883E-2</v>
      </c>
    </row>
    <row r="658" spans="1:20" x14ac:dyDescent="0.25">
      <c r="A658" s="5">
        <v>43935</v>
      </c>
      <c r="B658">
        <v>5.3699999999999998E-3</v>
      </c>
      <c r="C658">
        <v>5.4400000000000004E-3</v>
      </c>
      <c r="D658">
        <v>5.13E-3</v>
      </c>
      <c r="E658">
        <v>5.2100000000000002E-3</v>
      </c>
      <c r="F658">
        <v>29844393.800000001</v>
      </c>
      <c r="G658">
        <v>0</v>
      </c>
      <c r="L658" t="s">
        <v>7</v>
      </c>
      <c r="M658" t="s">
        <v>7</v>
      </c>
      <c r="N658" t="s">
        <v>7</v>
      </c>
      <c r="P658">
        <f t="shared" si="994"/>
        <v>-0.48387096774193478</v>
      </c>
      <c r="Q658">
        <f t="shared" si="995"/>
        <v>-14440835.709677398</v>
      </c>
      <c r="R658">
        <f t="shared" si="996"/>
        <v>5695273.4353037998</v>
      </c>
      <c r="S658">
        <f t="shared" si="997"/>
        <v>56.952734353037997</v>
      </c>
      <c r="T658">
        <f t="shared" si="998"/>
        <v>5.6952734353038E-2</v>
      </c>
    </row>
    <row r="659" spans="1:20" x14ac:dyDescent="0.25">
      <c r="A659" s="5">
        <v>43934</v>
      </c>
      <c r="B659">
        <v>6.0499999999999998E-3</v>
      </c>
      <c r="C659">
        <v>6.13E-3</v>
      </c>
      <c r="D659">
        <v>5.1000000000000004E-3</v>
      </c>
      <c r="E659">
        <v>5.3400000000000001E-3</v>
      </c>
      <c r="F659">
        <v>54087907.5</v>
      </c>
      <c r="G659">
        <v>0</v>
      </c>
      <c r="L659" t="s">
        <v>7</v>
      </c>
      <c r="M659" t="s">
        <v>7</v>
      </c>
      <c r="N659" t="s">
        <v>7</v>
      </c>
      <c r="P659">
        <f t="shared" si="994"/>
        <v>-0.53398058252427216</v>
      </c>
      <c r="Q659">
        <f t="shared" si="995"/>
        <v>-28881892.354368947</v>
      </c>
      <c r="R659">
        <f t="shared" si="996"/>
        <v>20136109.144981198</v>
      </c>
      <c r="S659">
        <f t="shared" si="997"/>
        <v>201.36109144981199</v>
      </c>
      <c r="T659">
        <f t="shared" si="998"/>
        <v>0.20136109144981199</v>
      </c>
    </row>
    <row r="660" spans="1:20" x14ac:dyDescent="0.25">
      <c r="A660" s="5">
        <v>43933</v>
      </c>
      <c r="B660">
        <v>4.5100000000000001E-3</v>
      </c>
      <c r="C660">
        <v>8.0599999999999995E-3</v>
      </c>
      <c r="D660">
        <v>4.4400000000000004E-3</v>
      </c>
      <c r="E660">
        <v>6.0499999999999998E-3</v>
      </c>
      <c r="F660">
        <v>119329500.7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-0.11049723756906085</v>
      </c>
      <c r="Q660">
        <f t="shared" si="995"/>
        <v>-13185580.187845314</v>
      </c>
      <c r="R660">
        <f t="shared" si="996"/>
        <v>49018001.499350145</v>
      </c>
      <c r="S660">
        <f t="shared" si="997"/>
        <v>490.18001499350146</v>
      </c>
      <c r="T660">
        <f t="shared" si="998"/>
        <v>0.49018001499350145</v>
      </c>
    </row>
    <row r="661" spans="1:20" x14ac:dyDescent="0.25">
      <c r="A661" s="5">
        <v>43932</v>
      </c>
      <c r="B661">
        <v>4.5199999999999997E-3</v>
      </c>
      <c r="C661">
        <v>4.6600000000000001E-3</v>
      </c>
      <c r="D661">
        <v>4.4600000000000004E-3</v>
      </c>
      <c r="E661">
        <v>4.4900000000000001E-3</v>
      </c>
      <c r="F661">
        <v>2928897.9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-0.70000000000000306</v>
      </c>
      <c r="Q661">
        <f t="shared" si="995"/>
        <v>-2050228.5300000089</v>
      </c>
      <c r="R661">
        <f t="shared" si="996"/>
        <v>62203581.687195458</v>
      </c>
      <c r="S661">
        <f t="shared" si="997"/>
        <v>622.03581687195458</v>
      </c>
      <c r="T661">
        <f t="shared" si="998"/>
        <v>0.62203581687195453</v>
      </c>
    </row>
    <row r="662" spans="1:20" x14ac:dyDescent="0.25">
      <c r="A662" s="5">
        <v>43931</v>
      </c>
      <c r="B662">
        <v>4.9100000000000003E-3</v>
      </c>
      <c r="C662">
        <v>5.0000000000000001E-3</v>
      </c>
      <c r="D662">
        <v>4.3200000000000001E-3</v>
      </c>
      <c r="E662">
        <v>4.5799999999999999E-3</v>
      </c>
      <c r="F662">
        <v>6552834.2000000002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-0.23529411764705943</v>
      </c>
      <c r="Q662">
        <f t="shared" si="995"/>
        <v>-1541843.3411764747</v>
      </c>
      <c r="R662">
        <f t="shared" si="996"/>
        <v>64253810.217195466</v>
      </c>
      <c r="S662">
        <f t="shared" si="997"/>
        <v>642.53810217195462</v>
      </c>
      <c r="T662">
        <f t="shared" si="998"/>
        <v>0.64253810217195462</v>
      </c>
    </row>
    <row r="663" spans="1:20" x14ac:dyDescent="0.25">
      <c r="A663" s="5">
        <v>43930</v>
      </c>
      <c r="B663">
        <v>4.9199999999999999E-3</v>
      </c>
      <c r="C663">
        <v>5.0600000000000003E-3</v>
      </c>
      <c r="D663">
        <v>4.8199999999999996E-3</v>
      </c>
      <c r="E663">
        <v>4.9100000000000003E-3</v>
      </c>
      <c r="F663">
        <v>3110993.1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-0.24999999999999639</v>
      </c>
      <c r="Q663">
        <f t="shared" si="995"/>
        <v>-777748.27499998885</v>
      </c>
      <c r="R663">
        <f t="shared" si="996"/>
        <v>65795653.558371939</v>
      </c>
      <c r="S663">
        <f t="shared" si="997"/>
        <v>657.95653558371941</v>
      </c>
      <c r="T663">
        <f t="shared" si="998"/>
        <v>0.65795653558371936</v>
      </c>
    </row>
    <row r="664" spans="1:20" x14ac:dyDescent="0.25">
      <c r="A664" s="5">
        <v>43929</v>
      </c>
      <c r="B664">
        <v>4.7699999999999999E-3</v>
      </c>
      <c r="C664">
        <v>4.9699999999999996E-3</v>
      </c>
      <c r="D664">
        <v>4.6299999999999996E-3</v>
      </c>
      <c r="E664">
        <v>4.8999999999999998E-3</v>
      </c>
      <c r="F664">
        <v>8889708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0.58823529411764852</v>
      </c>
      <c r="Q664">
        <f t="shared" si="995"/>
        <v>5229240.000000013</v>
      </c>
      <c r="R664">
        <f t="shared" si="996"/>
        <v>66573401.83337193</v>
      </c>
      <c r="S664">
        <f t="shared" si="997"/>
        <v>665.73401833371929</v>
      </c>
      <c r="T664">
        <f t="shared" si="998"/>
        <v>0.66573401833371926</v>
      </c>
    </row>
    <row r="665" spans="1:20" x14ac:dyDescent="0.25">
      <c r="A665" s="5">
        <v>43928</v>
      </c>
      <c r="B665">
        <v>4.96E-3</v>
      </c>
      <c r="C665">
        <v>5.3499999999999997E-3</v>
      </c>
      <c r="D665">
        <v>4.6600000000000001E-3</v>
      </c>
      <c r="E665">
        <v>4.7699999999999999E-3</v>
      </c>
      <c r="F665">
        <v>25655026.199999999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-0.68115942028985532</v>
      </c>
      <c r="Q665">
        <f t="shared" si="995"/>
        <v>-17475162.773913048</v>
      </c>
      <c r="R665">
        <f t="shared" si="996"/>
        <v>61344161.833371915</v>
      </c>
      <c r="S665">
        <f t="shared" si="997"/>
        <v>613.44161833371913</v>
      </c>
      <c r="T665">
        <f t="shared" si="998"/>
        <v>0.61344161833371913</v>
      </c>
    </row>
    <row r="666" spans="1:20" x14ac:dyDescent="0.25">
      <c r="A666" s="5">
        <v>43927</v>
      </c>
      <c r="B666">
        <v>4.6299999999999996E-3</v>
      </c>
      <c r="C666">
        <v>4.9699999999999996E-3</v>
      </c>
      <c r="D666">
        <v>4.5399999999999998E-3</v>
      </c>
      <c r="E666">
        <v>4.9199999999999999E-3</v>
      </c>
      <c r="F666">
        <v>14421284.300000001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0.76744186046511764</v>
      </c>
      <c r="Q666">
        <f t="shared" si="995"/>
        <v>11067497.253488392</v>
      </c>
      <c r="R666">
        <f t="shared" si="996"/>
        <v>78819324.607284963</v>
      </c>
      <c r="S666">
        <f t="shared" si="997"/>
        <v>788.19324607284966</v>
      </c>
      <c r="T666">
        <f t="shared" si="998"/>
        <v>0.78819324607284968</v>
      </c>
    </row>
    <row r="667" spans="1:20" x14ac:dyDescent="0.25">
      <c r="A667" s="5">
        <v>43926</v>
      </c>
      <c r="B667">
        <v>4.6699999999999997E-3</v>
      </c>
      <c r="C667">
        <v>4.79E-3</v>
      </c>
      <c r="D667">
        <v>4.5199999999999997E-3</v>
      </c>
      <c r="E667">
        <v>4.5700000000000003E-3</v>
      </c>
      <c r="F667">
        <v>5752810.7999999998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-0.62962962962962588</v>
      </c>
      <c r="Q667">
        <f t="shared" si="995"/>
        <v>-3622140.1333333114</v>
      </c>
      <c r="R667">
        <f t="shared" si="996"/>
        <v>67751827.353796571</v>
      </c>
      <c r="S667">
        <f t="shared" si="997"/>
        <v>677.51827353796568</v>
      </c>
      <c r="T667">
        <f t="shared" si="998"/>
        <v>0.67751827353796568</v>
      </c>
    </row>
    <row r="668" spans="1:20" x14ac:dyDescent="0.25">
      <c r="A668" s="5">
        <v>43925</v>
      </c>
      <c r="B668">
        <v>4.6299999999999996E-3</v>
      </c>
      <c r="C668">
        <v>4.7400000000000003E-3</v>
      </c>
      <c r="D668">
        <v>4.5399999999999998E-3</v>
      </c>
      <c r="E668">
        <v>4.6600000000000001E-3</v>
      </c>
      <c r="F668">
        <v>8395611.4000000004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0.2</v>
      </c>
      <c r="Q668">
        <f t="shared" si="995"/>
        <v>1679122.2800000003</v>
      </c>
      <c r="R668">
        <f t="shared" si="996"/>
        <v>71373967.487129882</v>
      </c>
      <c r="S668">
        <f t="shared" si="997"/>
        <v>713.7396748712988</v>
      </c>
      <c r="T668">
        <f t="shared" si="998"/>
        <v>0.71373967487129886</v>
      </c>
    </row>
    <row r="669" spans="1:20" x14ac:dyDescent="0.25">
      <c r="A669" s="5">
        <v>43924</v>
      </c>
      <c r="B669">
        <v>4.6899999999999997E-3</v>
      </c>
      <c r="C669">
        <v>4.9699999999999996E-3</v>
      </c>
      <c r="D669">
        <v>4.5799999999999999E-3</v>
      </c>
      <c r="E669">
        <v>4.6699999999999997E-3</v>
      </c>
      <c r="F669">
        <v>8323733.2000000002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-0.5384615384615391</v>
      </c>
      <c r="Q669">
        <f t="shared" si="995"/>
        <v>-4482010.1846153904</v>
      </c>
      <c r="R669">
        <f t="shared" si="996"/>
        <v>69694845.207129881</v>
      </c>
      <c r="S669">
        <f t="shared" si="997"/>
        <v>696.94845207129879</v>
      </c>
      <c r="T669">
        <f t="shared" si="998"/>
        <v>0.69694845207129874</v>
      </c>
    </row>
    <row r="670" spans="1:20" x14ac:dyDescent="0.25">
      <c r="A670" s="5">
        <v>43923</v>
      </c>
      <c r="B670">
        <v>4.7000000000000002E-3</v>
      </c>
      <c r="C670">
        <v>4.8900000000000002E-3</v>
      </c>
      <c r="D670">
        <v>4.5300000000000002E-3</v>
      </c>
      <c r="E670">
        <v>4.6899999999999997E-3</v>
      </c>
      <c r="F670">
        <v>17420034</v>
      </c>
      <c r="G670">
        <v>0</v>
      </c>
      <c r="L670" t="s">
        <v>8</v>
      </c>
      <c r="M670" t="s">
        <v>7</v>
      </c>
      <c r="N670" t="s">
        <v>8</v>
      </c>
      <c r="P670">
        <f t="shared" si="994"/>
        <v>-0.11111111111111378</v>
      </c>
      <c r="Q670">
        <f t="shared" si="995"/>
        <v>-1935559.3333333798</v>
      </c>
      <c r="R670">
        <f t="shared" si="996"/>
        <v>74176855.391745269</v>
      </c>
      <c r="S670">
        <f t="shared" si="997"/>
        <v>741.76855391745266</v>
      </c>
      <c r="T670">
        <f t="shared" si="998"/>
        <v>0.74176855391745267</v>
      </c>
    </row>
    <row r="671" spans="1:20" x14ac:dyDescent="0.25">
      <c r="A671" s="5">
        <v>43922</v>
      </c>
      <c r="B671">
        <v>4.47E-3</v>
      </c>
      <c r="C671">
        <v>4.7800000000000004E-3</v>
      </c>
      <c r="D671">
        <v>4.3E-3</v>
      </c>
      <c r="E671">
        <v>4.6699999999999997E-3</v>
      </c>
      <c r="F671">
        <v>8755622.8000000007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0.54166666666666408</v>
      </c>
      <c r="Q671">
        <f t="shared" si="995"/>
        <v>4742629.0166666443</v>
      </c>
      <c r="R671">
        <f t="shared" si="996"/>
        <v>76112414.725078642</v>
      </c>
      <c r="S671">
        <f t="shared" si="997"/>
        <v>761.12414725078645</v>
      </c>
      <c r="T671">
        <f t="shared" si="998"/>
        <v>0.76112414725078648</v>
      </c>
    </row>
    <row r="672" spans="1:20" x14ac:dyDescent="0.25">
      <c r="A672" s="5">
        <v>43921</v>
      </c>
      <c r="B672">
        <v>4.45E-3</v>
      </c>
      <c r="C672">
        <v>4.5599999999999998E-3</v>
      </c>
      <c r="D672">
        <v>4.4299999999999999E-3</v>
      </c>
      <c r="E672">
        <v>4.4900000000000001E-3</v>
      </c>
      <c r="F672">
        <v>2269179.2000000002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-7.6923076923073846E-2</v>
      </c>
      <c r="Q672">
        <f t="shared" si="995"/>
        <v>-174552.24615383919</v>
      </c>
      <c r="R672">
        <f t="shared" si="996"/>
        <v>71369785.708411992</v>
      </c>
      <c r="S672">
        <f t="shared" si="997"/>
        <v>713.69785708411996</v>
      </c>
      <c r="T672">
        <f t="shared" si="998"/>
        <v>0.71369785708411992</v>
      </c>
    </row>
    <row r="673" spans="1:20" x14ac:dyDescent="0.25">
      <c r="A673" s="5">
        <v>43920</v>
      </c>
      <c r="B673">
        <v>4.2399999999999998E-3</v>
      </c>
      <c r="C673">
        <v>4.5900000000000003E-3</v>
      </c>
      <c r="D673">
        <v>4.1900000000000001E-3</v>
      </c>
      <c r="E673">
        <v>4.47E-3</v>
      </c>
      <c r="F673">
        <v>13927367.199999999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0.39999999999999869</v>
      </c>
      <c r="Q673">
        <f t="shared" si="995"/>
        <v>5570946.8799999813</v>
      </c>
      <c r="R673">
        <f t="shared" si="996"/>
        <v>71544337.954565838</v>
      </c>
      <c r="S673">
        <f t="shared" si="997"/>
        <v>715.44337954565833</v>
      </c>
      <c r="T673">
        <f t="shared" si="998"/>
        <v>0.71544337954565829</v>
      </c>
    </row>
    <row r="674" spans="1:20" x14ac:dyDescent="0.25">
      <c r="A674" s="5">
        <v>43919</v>
      </c>
      <c r="B674">
        <v>4.5500000000000002E-3</v>
      </c>
      <c r="C674">
        <v>4.6100000000000004E-3</v>
      </c>
      <c r="D674">
        <v>4.1900000000000001E-3</v>
      </c>
      <c r="E674">
        <v>4.2100000000000002E-3</v>
      </c>
      <c r="F674">
        <v>2029871.3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-0.90476190476190455</v>
      </c>
      <c r="Q674">
        <f t="shared" si="995"/>
        <v>-1836550.2238095235</v>
      </c>
      <c r="R674">
        <f t="shared" si="996"/>
        <v>65973391.074565858</v>
      </c>
      <c r="S674">
        <f t="shared" si="997"/>
        <v>659.73391074565859</v>
      </c>
      <c r="T674">
        <f t="shared" si="998"/>
        <v>0.65973391074565857</v>
      </c>
    </row>
    <row r="675" spans="1:20" x14ac:dyDescent="0.25">
      <c r="A675" s="5">
        <v>43918</v>
      </c>
      <c r="B675">
        <v>4.5599999999999998E-3</v>
      </c>
      <c r="C675">
        <v>4.6899999999999997E-3</v>
      </c>
      <c r="D675">
        <v>4.2900000000000004E-3</v>
      </c>
      <c r="E675">
        <v>4.5999999999999999E-3</v>
      </c>
      <c r="F675">
        <v>9674729.8000000007</v>
      </c>
      <c r="G675">
        <v>0</v>
      </c>
      <c r="L675" t="s">
        <v>8</v>
      </c>
      <c r="M675" t="s">
        <v>7</v>
      </c>
      <c r="N675" t="s">
        <v>8</v>
      </c>
      <c r="P675">
        <f t="shared" si="994"/>
        <v>0.55000000000000027</v>
      </c>
      <c r="Q675">
        <f t="shared" si="995"/>
        <v>5321101.3900000034</v>
      </c>
      <c r="R675">
        <f t="shared" si="996"/>
        <v>67809941.298375383</v>
      </c>
      <c r="S675">
        <f t="shared" si="997"/>
        <v>678.09941298375384</v>
      </c>
      <c r="T675">
        <f t="shared" si="998"/>
        <v>0.67809941298375387</v>
      </c>
    </row>
    <row r="676" spans="1:20" x14ac:dyDescent="0.25">
      <c r="A676" s="5">
        <v>43917</v>
      </c>
      <c r="B676">
        <v>4.8700000000000002E-3</v>
      </c>
      <c r="C676">
        <v>5.1000000000000004E-3</v>
      </c>
      <c r="D676">
        <v>4.13E-3</v>
      </c>
      <c r="E676">
        <v>4.5399999999999998E-3</v>
      </c>
      <c r="F676">
        <v>20326847.699999999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-0.15463917525773274</v>
      </c>
      <c r="Q676">
        <f t="shared" si="995"/>
        <v>-3143326.9639175418</v>
      </c>
      <c r="R676">
        <f t="shared" si="996"/>
        <v>62488839.908375382</v>
      </c>
      <c r="S676">
        <f t="shared" si="997"/>
        <v>624.88839908375382</v>
      </c>
      <c r="T676">
        <f t="shared" si="998"/>
        <v>0.62488839908375382</v>
      </c>
    </row>
    <row r="677" spans="1:20" x14ac:dyDescent="0.25">
      <c r="A677" s="5">
        <v>43916</v>
      </c>
      <c r="B677">
        <v>4.7999999999999996E-3</v>
      </c>
      <c r="C677">
        <v>5.0699999999999999E-3</v>
      </c>
      <c r="D677">
        <v>4.5100000000000001E-3</v>
      </c>
      <c r="E677">
        <v>4.8399999999999997E-3</v>
      </c>
      <c r="F677">
        <v>7350439.2000000002</v>
      </c>
      <c r="G677">
        <v>0</v>
      </c>
      <c r="L677" t="s">
        <v>7</v>
      </c>
      <c r="M677" t="s">
        <v>7</v>
      </c>
      <c r="N677" t="s">
        <v>8</v>
      </c>
      <c r="P677">
        <f t="shared" si="994"/>
        <v>0.17857142857142758</v>
      </c>
      <c r="Q677">
        <f t="shared" si="995"/>
        <v>1312578.4285714212</v>
      </c>
      <c r="R677">
        <f t="shared" si="996"/>
        <v>65632166.872292921</v>
      </c>
      <c r="S677">
        <f t="shared" si="997"/>
        <v>656.32166872292919</v>
      </c>
      <c r="T677">
        <f t="shared" si="998"/>
        <v>0.65632166872292919</v>
      </c>
    </row>
    <row r="678" spans="1:20" x14ac:dyDescent="0.25">
      <c r="A678" s="5">
        <v>43915</v>
      </c>
      <c r="B678">
        <v>4.7400000000000003E-3</v>
      </c>
      <c r="C678">
        <v>5.4900000000000001E-3</v>
      </c>
      <c r="D678">
        <v>4.5399999999999998E-3</v>
      </c>
      <c r="E678">
        <v>4.81E-3</v>
      </c>
      <c r="F678">
        <v>11845854.6</v>
      </c>
      <c r="G678">
        <v>0</v>
      </c>
      <c r="L678" t="s">
        <v>8</v>
      </c>
      <c r="M678" t="s">
        <v>8</v>
      </c>
      <c r="N678" t="s">
        <v>8</v>
      </c>
      <c r="P678">
        <f t="shared" si="994"/>
        <v>-0.43157894736842067</v>
      </c>
      <c r="Q678">
        <f t="shared" si="995"/>
        <v>-5112421.4589473633</v>
      </c>
      <c r="R678">
        <f t="shared" si="996"/>
        <v>64319588.443721503</v>
      </c>
      <c r="S678">
        <f t="shared" si="997"/>
        <v>643.195884437215</v>
      </c>
      <c r="T678">
        <f t="shared" si="998"/>
        <v>0.64319588443721498</v>
      </c>
    </row>
    <row r="679" spans="1:20" x14ac:dyDescent="0.25">
      <c r="A679" s="5">
        <v>43914</v>
      </c>
      <c r="B679">
        <v>4.5500000000000002E-3</v>
      </c>
      <c r="C679">
        <v>4.81E-3</v>
      </c>
      <c r="D679">
        <v>4.4000000000000003E-3</v>
      </c>
      <c r="E679">
        <v>4.7400000000000003E-3</v>
      </c>
      <c r="F679">
        <v>8468661.5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0.65853658536585469</v>
      </c>
      <c r="Q679">
        <f t="shared" si="995"/>
        <v>5576923.4268292766</v>
      </c>
      <c r="R679">
        <f t="shared" si="996"/>
        <v>69432009.902668864</v>
      </c>
      <c r="S679">
        <f t="shared" si="997"/>
        <v>694.32009902668858</v>
      </c>
      <c r="T679">
        <f t="shared" si="998"/>
        <v>0.69432009902668856</v>
      </c>
    </row>
    <row r="680" spans="1:20" x14ac:dyDescent="0.25">
      <c r="A680" s="5">
        <v>43913</v>
      </c>
      <c r="B680">
        <v>4.3E-3</v>
      </c>
      <c r="C680">
        <v>4.8599999999999997E-3</v>
      </c>
      <c r="D680">
        <v>3.8999999999999998E-3</v>
      </c>
      <c r="E680">
        <v>4.47E-3</v>
      </c>
      <c r="F680">
        <v>17981663.899999999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0.1875000000000005</v>
      </c>
      <c r="Q680">
        <f t="shared" si="995"/>
        <v>3371561.9812500086</v>
      </c>
      <c r="R680">
        <f t="shared" si="996"/>
        <v>63855086.475839593</v>
      </c>
      <c r="S680">
        <f t="shared" si="997"/>
        <v>638.55086475839596</v>
      </c>
      <c r="T680">
        <f t="shared" si="998"/>
        <v>0.63855086475839595</v>
      </c>
    </row>
    <row r="681" spans="1:20" x14ac:dyDescent="0.25">
      <c r="A681" s="5">
        <v>43912</v>
      </c>
      <c r="B681">
        <v>4.6299999999999996E-3</v>
      </c>
      <c r="C681">
        <v>4.81E-3</v>
      </c>
      <c r="D681">
        <v>4.15E-3</v>
      </c>
      <c r="E681">
        <v>4.2900000000000004E-3</v>
      </c>
      <c r="F681">
        <v>7072058.7000000002</v>
      </c>
      <c r="G681">
        <v>0</v>
      </c>
      <c r="L681" t="s">
        <v>7</v>
      </c>
      <c r="M681" t="s">
        <v>8</v>
      </c>
      <c r="N681" t="s">
        <v>8</v>
      </c>
      <c r="P681">
        <f t="shared" si="994"/>
        <v>-0.57575757575757469</v>
      </c>
      <c r="Q681">
        <f t="shared" si="995"/>
        <v>-4071791.3727272651</v>
      </c>
      <c r="R681">
        <f t="shared" si="996"/>
        <v>60483524.494589582</v>
      </c>
      <c r="S681">
        <f t="shared" si="997"/>
        <v>604.83524494589585</v>
      </c>
      <c r="T681">
        <f t="shared" si="998"/>
        <v>0.6048352449458958</v>
      </c>
    </row>
    <row r="682" spans="1:20" x14ac:dyDescent="0.25">
      <c r="A682" s="5">
        <v>43911</v>
      </c>
      <c r="B682">
        <v>4.3899999999999998E-3</v>
      </c>
      <c r="C682">
        <v>4.8199999999999996E-3</v>
      </c>
      <c r="D682">
        <v>4.1399999999999996E-3</v>
      </c>
      <c r="E682">
        <v>4.64E-3</v>
      </c>
      <c r="F682">
        <v>8800648.3000000007</v>
      </c>
      <c r="G682">
        <v>0</v>
      </c>
      <c r="L682" t="s">
        <v>8</v>
      </c>
      <c r="M682" t="s">
        <v>8</v>
      </c>
      <c r="N682" t="s">
        <v>8</v>
      </c>
      <c r="P682">
        <f t="shared" si="994"/>
        <v>0.47058823529411886</v>
      </c>
      <c r="Q682">
        <f t="shared" si="995"/>
        <v>4141481.5529411873</v>
      </c>
      <c r="R682">
        <f t="shared" si="996"/>
        <v>64555315.86731685</v>
      </c>
      <c r="S682">
        <f t="shared" si="997"/>
        <v>645.55315867316847</v>
      </c>
      <c r="T682">
        <f t="shared" si="998"/>
        <v>0.64555315867316843</v>
      </c>
    </row>
    <row r="683" spans="1:20" x14ac:dyDescent="0.25">
      <c r="A683" s="5">
        <v>43910</v>
      </c>
      <c r="B683">
        <v>4.5999999999999999E-3</v>
      </c>
      <c r="C683">
        <v>4.8700000000000002E-3</v>
      </c>
      <c r="D683">
        <v>3.5999999999999999E-3</v>
      </c>
      <c r="E683">
        <v>4.3E-3</v>
      </c>
      <c r="F683">
        <v>17097246.300000001</v>
      </c>
      <c r="G683">
        <v>0</v>
      </c>
      <c r="L683" t="s">
        <v>7</v>
      </c>
      <c r="M683" t="s">
        <v>7</v>
      </c>
      <c r="N683" t="s">
        <v>7</v>
      </c>
      <c r="P683">
        <f t="shared" si="994"/>
        <v>0.10236220472440935</v>
      </c>
      <c r="Q683">
        <f t="shared" si="995"/>
        <v>1750111.8259842503</v>
      </c>
      <c r="R683">
        <f t="shared" si="996"/>
        <v>60413834.314375661</v>
      </c>
      <c r="S683">
        <f t="shared" si="997"/>
        <v>604.13834314375663</v>
      </c>
      <c r="T683">
        <f t="shared" si="998"/>
        <v>0.60413834314375658</v>
      </c>
    </row>
    <row r="684" spans="1:20" x14ac:dyDescent="0.25">
      <c r="A684" s="5">
        <v>43909</v>
      </c>
      <c r="B684">
        <v>4.0899999999999999E-3</v>
      </c>
      <c r="C684">
        <v>4.8700000000000002E-3</v>
      </c>
      <c r="D684">
        <v>3.8800000000000002E-3</v>
      </c>
      <c r="E684">
        <v>4.64E-3</v>
      </c>
      <c r="F684">
        <v>20781897.699999999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0.53535353535353503</v>
      </c>
      <c r="Q684">
        <f t="shared" si="995"/>
        <v>11125662.405050498</v>
      </c>
      <c r="R684">
        <f t="shared" si="996"/>
        <v>58663722.488391414</v>
      </c>
      <c r="S684">
        <f t="shared" si="997"/>
        <v>586.63722488391409</v>
      </c>
      <c r="T684">
        <f t="shared" si="998"/>
        <v>0.58663722488391412</v>
      </c>
    </row>
    <row r="685" spans="1:20" x14ac:dyDescent="0.25">
      <c r="A685" s="5">
        <v>43908</v>
      </c>
      <c r="B685">
        <v>3.8300000000000001E-3</v>
      </c>
      <c r="C685">
        <v>4.1999999999999997E-3</v>
      </c>
      <c r="D685">
        <v>3.5100000000000001E-3</v>
      </c>
      <c r="E685">
        <v>4.1200000000000004E-3</v>
      </c>
      <c r="F685">
        <v>8485625.5</v>
      </c>
      <c r="G685">
        <v>0</v>
      </c>
      <c r="L685" t="s">
        <v>8</v>
      </c>
      <c r="M685" t="s">
        <v>8</v>
      </c>
      <c r="N685" t="s">
        <v>7</v>
      </c>
      <c r="P685">
        <f t="shared" si="994"/>
        <v>0.76811594202898725</v>
      </c>
      <c r="Q685">
        <f t="shared" si="995"/>
        <v>6517944.2246376956</v>
      </c>
      <c r="R685">
        <f t="shared" si="996"/>
        <v>47538060.083340913</v>
      </c>
      <c r="S685">
        <f t="shared" si="997"/>
        <v>475.38060083340912</v>
      </c>
      <c r="T685">
        <f t="shared" si="998"/>
        <v>0.47538060083340911</v>
      </c>
    </row>
    <row r="686" spans="1:20" x14ac:dyDescent="0.25">
      <c r="A686" s="5">
        <v>43907</v>
      </c>
      <c r="B686">
        <v>3.7499999999999999E-3</v>
      </c>
      <c r="C686">
        <v>4.0200000000000001E-3</v>
      </c>
      <c r="D686">
        <v>3.64E-3</v>
      </c>
      <c r="E686">
        <v>3.8800000000000002E-3</v>
      </c>
      <c r="F686">
        <v>6010062.7999999998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0.2631578947368427</v>
      </c>
      <c r="Q686">
        <f t="shared" si="995"/>
        <v>1581595.4736842141</v>
      </c>
      <c r="R686">
        <f t="shared" si="996"/>
        <v>41020115.858703218</v>
      </c>
      <c r="S686">
        <f t="shared" si="997"/>
        <v>410.20115858703218</v>
      </c>
      <c r="T686">
        <f t="shared" si="998"/>
        <v>0.41020115858703216</v>
      </c>
    </row>
    <row r="687" spans="1:20" x14ac:dyDescent="0.25">
      <c r="A687" s="5">
        <v>43906</v>
      </c>
      <c r="B687">
        <v>4.5900000000000003E-3</v>
      </c>
      <c r="C687">
        <v>4.8599999999999997E-3</v>
      </c>
      <c r="D687">
        <v>3.2799999999999999E-3</v>
      </c>
      <c r="E687">
        <v>3.63E-3</v>
      </c>
      <c r="F687">
        <v>21968332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-0.55696202531645556</v>
      </c>
      <c r="Q687">
        <f t="shared" si="995"/>
        <v>-12235526.6835443</v>
      </c>
      <c r="R687">
        <f t="shared" si="996"/>
        <v>39438520.385019004</v>
      </c>
      <c r="S687">
        <f t="shared" si="997"/>
        <v>394.38520385019007</v>
      </c>
      <c r="T687">
        <f t="shared" si="998"/>
        <v>0.39438520385019005</v>
      </c>
    </row>
    <row r="688" spans="1:20" x14ac:dyDescent="0.25">
      <c r="A688" s="5">
        <v>43905</v>
      </c>
      <c r="B688">
        <v>3.96E-3</v>
      </c>
      <c r="C688">
        <v>5.1200000000000004E-3</v>
      </c>
      <c r="D688">
        <v>3.8E-3</v>
      </c>
      <c r="E688">
        <v>4.6100000000000004E-3</v>
      </c>
      <c r="F688">
        <v>63090034.299999997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0.22727272727272746</v>
      </c>
      <c r="Q688">
        <f t="shared" si="995"/>
        <v>14338644.159090919</v>
      </c>
      <c r="R688">
        <f t="shared" si="996"/>
        <v>51674047.068563305</v>
      </c>
      <c r="S688">
        <f t="shared" si="997"/>
        <v>516.740470685633</v>
      </c>
      <c r="T688">
        <f t="shared" si="998"/>
        <v>0.516740470685633</v>
      </c>
    </row>
    <row r="689" spans="1:20" x14ac:dyDescent="0.25">
      <c r="A689" s="5">
        <v>43904</v>
      </c>
      <c r="B689">
        <v>3.9699999999999996E-3</v>
      </c>
      <c r="C689">
        <v>4.3200000000000001E-3</v>
      </c>
      <c r="D689">
        <v>3.65E-3</v>
      </c>
      <c r="E689">
        <v>4.0000000000000001E-3</v>
      </c>
      <c r="F689">
        <v>28247224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4.477611940298519E-2</v>
      </c>
      <c r="Q689">
        <f t="shared" si="995"/>
        <v>1264801.0746268688</v>
      </c>
      <c r="R689">
        <f t="shared" si="996"/>
        <v>37335402.909472384</v>
      </c>
      <c r="S689">
        <f t="shared" si="997"/>
        <v>373.35402909472384</v>
      </c>
      <c r="T689">
        <f t="shared" si="998"/>
        <v>0.37335402909472382</v>
      </c>
    </row>
    <row r="690" spans="1:20" x14ac:dyDescent="0.25">
      <c r="A690" s="5">
        <v>43903</v>
      </c>
      <c r="B690">
        <v>3.5799999999999998E-3</v>
      </c>
      <c r="C690">
        <v>4.3800000000000002E-3</v>
      </c>
      <c r="D690">
        <v>2.5400000000000002E-3</v>
      </c>
      <c r="E690">
        <v>4.0000000000000001E-3</v>
      </c>
      <c r="F690">
        <v>5976621.5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0.58695652173913027</v>
      </c>
      <c r="Q690">
        <f t="shared" si="995"/>
        <v>3508016.9673913033</v>
      </c>
      <c r="R690">
        <f t="shared" si="996"/>
        <v>36070601.834845513</v>
      </c>
      <c r="S690">
        <f t="shared" si="997"/>
        <v>360.70601834845513</v>
      </c>
      <c r="T690">
        <f t="shared" si="998"/>
        <v>0.36070601834845512</v>
      </c>
    </row>
    <row r="691" spans="1:20" x14ac:dyDescent="0.25">
      <c r="A691" s="5">
        <v>43902</v>
      </c>
      <c r="B691">
        <v>7.0899999999999999E-3</v>
      </c>
      <c r="C691">
        <v>7.0899999999999999E-3</v>
      </c>
      <c r="D691">
        <v>3.29E-3</v>
      </c>
      <c r="E691">
        <v>3.5000000000000001E-3</v>
      </c>
      <c r="F691">
        <v>13392685.199999999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-0.88947368421052631</v>
      </c>
      <c r="Q691">
        <f t="shared" si="995"/>
        <v>-11912441.046315789</v>
      </c>
      <c r="R691">
        <f t="shared" si="996"/>
        <v>32562584.867454208</v>
      </c>
      <c r="S691">
        <f t="shared" si="997"/>
        <v>325.62584867454211</v>
      </c>
      <c r="T691">
        <f t="shared" si="998"/>
        <v>0.32562584867454214</v>
      </c>
    </row>
    <row r="692" spans="1:20" x14ac:dyDescent="0.25">
      <c r="A692" s="5">
        <v>43901</v>
      </c>
      <c r="B692">
        <v>7.4700000000000001E-3</v>
      </c>
      <c r="C692">
        <v>7.7499999999999999E-3</v>
      </c>
      <c r="D692">
        <v>6.5300000000000002E-3</v>
      </c>
      <c r="E692">
        <v>7.0899999999999999E-3</v>
      </c>
      <c r="F692">
        <v>13101643.5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-8.1967213114754328E-2</v>
      </c>
      <c r="Q692">
        <f t="shared" si="995"/>
        <v>-1073905.2049180358</v>
      </c>
      <c r="R692">
        <f t="shared" si="996"/>
        <v>44475025.913769998</v>
      </c>
      <c r="S692">
        <f t="shared" si="997"/>
        <v>444.75025913769997</v>
      </c>
      <c r="T692">
        <f t="shared" si="998"/>
        <v>0.44475025913769994</v>
      </c>
    </row>
    <row r="693" spans="1:20" x14ac:dyDescent="0.25">
      <c r="A693" s="5">
        <v>43900</v>
      </c>
      <c r="B693">
        <v>6.9800000000000001E-3</v>
      </c>
      <c r="C693">
        <v>7.6800000000000002E-3</v>
      </c>
      <c r="D693">
        <v>6.8199999999999997E-3</v>
      </c>
      <c r="E693">
        <v>7.3699999999999998E-3</v>
      </c>
      <c r="F693">
        <v>3643229.7</v>
      </c>
      <c r="G693">
        <v>0</v>
      </c>
      <c r="L693" t="s">
        <v>8</v>
      </c>
      <c r="M693" t="s">
        <v>8</v>
      </c>
      <c r="N693" t="s">
        <v>7</v>
      </c>
      <c r="P693">
        <f t="shared" si="994"/>
        <v>0.27906976744186002</v>
      </c>
      <c r="Q693">
        <f t="shared" si="995"/>
        <v>1016715.2651162775</v>
      </c>
      <c r="R693">
        <f t="shared" si="996"/>
        <v>45548931.118688032</v>
      </c>
      <c r="S693">
        <f t="shared" si="997"/>
        <v>455.48931118688034</v>
      </c>
      <c r="T693">
        <f t="shared" si="998"/>
        <v>0.45548931118688035</v>
      </c>
    </row>
    <row r="694" spans="1:20" x14ac:dyDescent="0.25">
      <c r="A694" s="5">
        <v>43899</v>
      </c>
      <c r="B694">
        <v>7.2700000000000004E-3</v>
      </c>
      <c r="C694">
        <v>7.4599999999999996E-3</v>
      </c>
      <c r="D694">
        <v>6.2300000000000003E-3</v>
      </c>
      <c r="E694">
        <v>6.96E-3</v>
      </c>
      <c r="F694">
        <v>4651710.5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0.18699186991869943</v>
      </c>
      <c r="Q694">
        <f t="shared" si="995"/>
        <v>869832.04471544828</v>
      </c>
      <c r="R694">
        <f t="shared" si="996"/>
        <v>44532215.853571758</v>
      </c>
      <c r="S694">
        <f t="shared" si="997"/>
        <v>445.32215853571756</v>
      </c>
      <c r="T694">
        <f t="shared" si="998"/>
        <v>0.44532215853571755</v>
      </c>
    </row>
    <row r="695" spans="1:20" x14ac:dyDescent="0.25">
      <c r="A695" s="5">
        <v>43898</v>
      </c>
      <c r="B695">
        <v>8.43E-3</v>
      </c>
      <c r="C695">
        <v>8.43E-3</v>
      </c>
      <c r="D695">
        <v>7.0400000000000003E-3</v>
      </c>
      <c r="E695">
        <v>7.1900000000000002E-3</v>
      </c>
      <c r="F695">
        <v>7962353.4000000004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-0.78417266187050361</v>
      </c>
      <c r="Q695">
        <f t="shared" si="995"/>
        <v>-6243859.8604316553</v>
      </c>
      <c r="R695">
        <f t="shared" si="996"/>
        <v>43662383.808856308</v>
      </c>
      <c r="S695">
        <f t="shared" si="997"/>
        <v>436.6238380885631</v>
      </c>
      <c r="T695">
        <f t="shared" si="998"/>
        <v>0.43662383808856309</v>
      </c>
    </row>
    <row r="696" spans="1:20" x14ac:dyDescent="0.25">
      <c r="A696" s="5">
        <v>43897</v>
      </c>
      <c r="B696">
        <v>9.2399999999999999E-3</v>
      </c>
      <c r="C696">
        <v>9.3600000000000003E-3</v>
      </c>
      <c r="D696">
        <v>8.2500000000000004E-3</v>
      </c>
      <c r="E696">
        <v>8.43E-3</v>
      </c>
      <c r="F696">
        <v>8472291.1999999993</v>
      </c>
      <c r="G696">
        <v>0</v>
      </c>
      <c r="L696" t="s">
        <v>7</v>
      </c>
      <c r="M696" t="s">
        <v>7</v>
      </c>
      <c r="N696" t="s">
        <v>8</v>
      </c>
      <c r="P696">
        <f t="shared" si="994"/>
        <v>-0.67567567567567632</v>
      </c>
      <c r="Q696">
        <f t="shared" si="995"/>
        <v>-5724521.0810810858</v>
      </c>
      <c r="R696">
        <f t="shared" si="996"/>
        <v>49906243.669287965</v>
      </c>
      <c r="S696">
        <f t="shared" si="997"/>
        <v>499.06243669287966</v>
      </c>
      <c r="T696">
        <f t="shared" si="998"/>
        <v>0.49906243669287964</v>
      </c>
    </row>
    <row r="697" spans="1:20" x14ac:dyDescent="0.25">
      <c r="A697" s="5">
        <v>43896</v>
      </c>
      <c r="B697">
        <v>8.3099999999999997E-3</v>
      </c>
      <c r="C697">
        <v>9.8499999999999994E-3</v>
      </c>
      <c r="D697">
        <v>8.1399999999999997E-3</v>
      </c>
      <c r="E697">
        <v>9.2399999999999999E-3</v>
      </c>
      <c r="F697">
        <v>15917098.9</v>
      </c>
      <c r="G697">
        <v>0</v>
      </c>
      <c r="L697" t="s">
        <v>8</v>
      </c>
      <c r="M697" t="s">
        <v>8</v>
      </c>
      <c r="N697" t="s">
        <v>8</v>
      </c>
      <c r="P697">
        <f t="shared" si="994"/>
        <v>0.28654970760233972</v>
      </c>
      <c r="Q697">
        <f t="shared" si="995"/>
        <v>4561040.0356725231</v>
      </c>
      <c r="R697">
        <f t="shared" si="996"/>
        <v>55630764.75036905</v>
      </c>
      <c r="S697">
        <f t="shared" si="997"/>
        <v>556.30764750369053</v>
      </c>
      <c r="T697">
        <f t="shared" si="998"/>
        <v>0.55630764750369055</v>
      </c>
    </row>
    <row r="698" spans="1:20" x14ac:dyDescent="0.25">
      <c r="A698" s="5">
        <v>43895</v>
      </c>
      <c r="B698">
        <v>7.77E-3</v>
      </c>
      <c r="C698">
        <v>8.6300000000000005E-3</v>
      </c>
      <c r="D698">
        <v>7.7600000000000004E-3</v>
      </c>
      <c r="E698">
        <v>8.4200000000000004E-3</v>
      </c>
      <c r="F698">
        <v>18412368.800000001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0.51724137931034464</v>
      </c>
      <c r="Q698">
        <f t="shared" si="995"/>
        <v>9523639.0344827548</v>
      </c>
      <c r="R698">
        <f t="shared" si="996"/>
        <v>51069724.714696527</v>
      </c>
      <c r="S698">
        <f t="shared" si="997"/>
        <v>510.69724714696525</v>
      </c>
      <c r="T698">
        <f t="shared" si="998"/>
        <v>0.51069724714696529</v>
      </c>
    </row>
    <row r="699" spans="1:20" x14ac:dyDescent="0.25">
      <c r="A699" s="5">
        <v>43894</v>
      </c>
      <c r="B699">
        <v>7.4999999999999997E-3</v>
      </c>
      <c r="C699">
        <v>7.9900000000000006E-3</v>
      </c>
      <c r="D699">
        <v>7.3400000000000002E-3</v>
      </c>
      <c r="E699">
        <v>7.77E-3</v>
      </c>
      <c r="F699">
        <v>10139819.5</v>
      </c>
      <c r="G699">
        <v>0</v>
      </c>
      <c r="L699" t="s">
        <v>8</v>
      </c>
      <c r="M699" t="s">
        <v>8</v>
      </c>
      <c r="N699" t="s">
        <v>7</v>
      </c>
      <c r="P699">
        <f t="shared" si="994"/>
        <v>0.32307692307692171</v>
      </c>
      <c r="Q699">
        <f t="shared" si="995"/>
        <v>3275941.6846153708</v>
      </c>
      <c r="R699">
        <f t="shared" si="996"/>
        <v>41546085.680213772</v>
      </c>
      <c r="S699">
        <f t="shared" si="997"/>
        <v>415.4608568021377</v>
      </c>
      <c r="T699">
        <f t="shared" si="998"/>
        <v>0.41546085680213768</v>
      </c>
    </row>
    <row r="700" spans="1:20" x14ac:dyDescent="0.25">
      <c r="A700" s="5">
        <v>43893</v>
      </c>
      <c r="B700">
        <v>7.4999999999999997E-3</v>
      </c>
      <c r="C700">
        <v>7.5900000000000004E-3</v>
      </c>
      <c r="D700">
        <v>7.2700000000000004E-3</v>
      </c>
      <c r="E700">
        <v>7.4999999999999997E-3</v>
      </c>
      <c r="F700">
        <v>4711315.7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0.43749999999999578</v>
      </c>
      <c r="Q700">
        <f t="shared" si="995"/>
        <v>2061200.6187499801</v>
      </c>
      <c r="R700">
        <f t="shared" si="996"/>
        <v>38270143.995598398</v>
      </c>
      <c r="S700">
        <f t="shared" si="997"/>
        <v>382.70143995598397</v>
      </c>
      <c r="T700">
        <f t="shared" si="998"/>
        <v>0.38270143995598399</v>
      </c>
    </row>
    <row r="701" spans="1:20" x14ac:dyDescent="0.25">
      <c r="A701" s="5">
        <v>43892</v>
      </c>
      <c r="B701">
        <v>7.0600000000000003E-3</v>
      </c>
      <c r="C701">
        <v>7.6800000000000002E-3</v>
      </c>
      <c r="D701">
        <v>6.9699999999999996E-3</v>
      </c>
      <c r="E701">
        <v>7.4999999999999997E-3</v>
      </c>
      <c r="F701">
        <v>7094954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0.49295774647887231</v>
      </c>
      <c r="Q701">
        <f t="shared" si="995"/>
        <v>3497512.5352112609</v>
      </c>
      <c r="R701">
        <f t="shared" si="996"/>
        <v>36208943.376848415</v>
      </c>
      <c r="S701">
        <f t="shared" si="997"/>
        <v>362.08943376848413</v>
      </c>
      <c r="T701">
        <f t="shared" si="998"/>
        <v>0.36208943376848413</v>
      </c>
    </row>
    <row r="702" spans="1:20" x14ac:dyDescent="0.25">
      <c r="A702" s="5">
        <v>43891</v>
      </c>
      <c r="B702">
        <v>7.0200000000000002E-3</v>
      </c>
      <c r="C702">
        <v>7.3099999999999997E-3</v>
      </c>
      <c r="D702">
        <v>6.8700000000000002E-3</v>
      </c>
      <c r="E702">
        <v>7.0699999999999999E-3</v>
      </c>
      <c r="F702">
        <v>3582662.4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-9.0909090909091272E-2</v>
      </c>
      <c r="Q702">
        <f t="shared" si="995"/>
        <v>-325696.58181818313</v>
      </c>
      <c r="R702">
        <f t="shared" si="996"/>
        <v>32711430.841637153</v>
      </c>
      <c r="S702">
        <f t="shared" si="997"/>
        <v>327.11430841637156</v>
      </c>
      <c r="T702">
        <f t="shared" si="998"/>
        <v>0.32711430841637157</v>
      </c>
    </row>
    <row r="703" spans="1:20" x14ac:dyDescent="0.25">
      <c r="A703" s="5">
        <v>43890</v>
      </c>
      <c r="B703">
        <v>7.3699999999999998E-3</v>
      </c>
      <c r="C703">
        <v>7.5500000000000003E-3</v>
      </c>
      <c r="D703">
        <v>7.0200000000000002E-3</v>
      </c>
      <c r="E703">
        <v>7.0200000000000002E-3</v>
      </c>
      <c r="F703">
        <v>2788108.9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-1</v>
      </c>
      <c r="Q703">
        <f t="shared" si="995"/>
        <v>-2788108.9</v>
      </c>
      <c r="R703">
        <f t="shared" si="996"/>
        <v>33037127.423455335</v>
      </c>
      <c r="S703">
        <f t="shared" si="997"/>
        <v>330.37127423455337</v>
      </c>
      <c r="T703">
        <f t="shared" si="998"/>
        <v>0.33037127423455337</v>
      </c>
    </row>
    <row r="704" spans="1:20" x14ac:dyDescent="0.25">
      <c r="A704" s="5">
        <v>43889</v>
      </c>
      <c r="B704">
        <v>7.5900000000000004E-3</v>
      </c>
      <c r="C704">
        <v>7.8300000000000002E-3</v>
      </c>
      <c r="D704">
        <v>6.94E-3</v>
      </c>
      <c r="E704">
        <v>7.43E-3</v>
      </c>
      <c r="F704">
        <v>4837537.8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0.10112359550561774</v>
      </c>
      <c r="Q704">
        <f t="shared" si="995"/>
        <v>489189.21573033591</v>
      </c>
      <c r="R704">
        <f t="shared" si="996"/>
        <v>35825236.323455334</v>
      </c>
      <c r="S704">
        <f t="shared" si="997"/>
        <v>358.25236323455334</v>
      </c>
      <c r="T704">
        <f t="shared" si="998"/>
        <v>0.35825236323455334</v>
      </c>
    </row>
    <row r="705" spans="1:20" x14ac:dyDescent="0.25">
      <c r="A705" s="5">
        <v>43888</v>
      </c>
      <c r="B705">
        <v>7.4200000000000004E-3</v>
      </c>
      <c r="C705">
        <v>8.1399999999999997E-3</v>
      </c>
      <c r="D705">
        <v>7.1000000000000004E-3</v>
      </c>
      <c r="E705">
        <v>7.5199999999999998E-3</v>
      </c>
      <c r="F705">
        <v>15814030.699999999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-0.19230769230769296</v>
      </c>
      <c r="Q705">
        <f t="shared" si="995"/>
        <v>-3041159.7500000102</v>
      </c>
      <c r="R705">
        <f t="shared" si="996"/>
        <v>35336047.107724994</v>
      </c>
      <c r="S705">
        <f t="shared" si="997"/>
        <v>353.36047107724994</v>
      </c>
      <c r="T705">
        <f t="shared" si="998"/>
        <v>0.35336047107724994</v>
      </c>
    </row>
    <row r="706" spans="1:20" x14ac:dyDescent="0.25">
      <c r="A706" s="5">
        <v>43887</v>
      </c>
      <c r="B706">
        <v>8.4799999999999997E-3</v>
      </c>
      <c r="C706">
        <v>8.5100000000000002E-3</v>
      </c>
      <c r="D706">
        <v>7.1799999999999998E-3</v>
      </c>
      <c r="E706">
        <v>7.4599999999999996E-3</v>
      </c>
      <c r="F706">
        <v>6682830.2999999998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-0.57894736842105299</v>
      </c>
      <c r="Q706">
        <f t="shared" si="995"/>
        <v>-3869007.0157894758</v>
      </c>
      <c r="R706">
        <f t="shared" si="996"/>
        <v>38377206.857725002</v>
      </c>
      <c r="S706">
        <f t="shared" si="997"/>
        <v>383.77206857725002</v>
      </c>
      <c r="T706">
        <f t="shared" si="998"/>
        <v>0.38377206857725005</v>
      </c>
    </row>
    <row r="707" spans="1:20" x14ac:dyDescent="0.25">
      <c r="A707" s="5">
        <v>43886</v>
      </c>
      <c r="B707">
        <v>9.3900000000000008E-3</v>
      </c>
      <c r="C707">
        <v>9.5300000000000003E-3</v>
      </c>
      <c r="D707">
        <v>8.3499999999999998E-3</v>
      </c>
      <c r="E707">
        <v>8.4499999999999992E-3</v>
      </c>
      <c r="F707">
        <v>3664946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-0.8305084745762723</v>
      </c>
      <c r="Q707">
        <f t="shared" si="995"/>
        <v>-3043768.7118644109</v>
      </c>
      <c r="R707">
        <f t="shared" si="996"/>
        <v>42246213.873514481</v>
      </c>
      <c r="S707">
        <f t="shared" si="997"/>
        <v>422.46213873514483</v>
      </c>
      <c r="T707">
        <f t="shared" si="998"/>
        <v>0.42246213873514482</v>
      </c>
    </row>
    <row r="708" spans="1:20" x14ac:dyDescent="0.25">
      <c r="A708" s="5">
        <v>43885</v>
      </c>
      <c r="B708">
        <v>1.035E-2</v>
      </c>
      <c r="C708">
        <v>1.047E-2</v>
      </c>
      <c r="D708">
        <v>9.1000000000000004E-3</v>
      </c>
      <c r="E708">
        <v>9.3900000000000008E-3</v>
      </c>
      <c r="F708">
        <v>7187285.2999999998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-0.57664233576642276</v>
      </c>
      <c r="Q708">
        <f t="shared" si="995"/>
        <v>-4144492.9832116743</v>
      </c>
      <c r="R708">
        <f t="shared" si="996"/>
        <v>45289982.585378893</v>
      </c>
      <c r="S708">
        <f t="shared" si="997"/>
        <v>452.89982585378891</v>
      </c>
      <c r="T708">
        <f t="shared" si="998"/>
        <v>0.45289982585378891</v>
      </c>
    </row>
    <row r="709" spans="1:20" x14ac:dyDescent="0.25">
      <c r="A709" s="5">
        <v>43884</v>
      </c>
      <c r="B709">
        <v>1.035E-2</v>
      </c>
      <c r="C709">
        <v>1.038E-2</v>
      </c>
      <c r="D709">
        <v>1.0019999999999999E-2</v>
      </c>
      <c r="E709">
        <v>1.035E-2</v>
      </c>
      <c r="F709">
        <v>4826116.4000000004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0.83333333333333093</v>
      </c>
      <c r="Q709">
        <f t="shared" si="995"/>
        <v>4021763.6666666553</v>
      </c>
      <c r="R709">
        <f t="shared" si="996"/>
        <v>49434475.568590567</v>
      </c>
      <c r="S709">
        <f t="shared" si="997"/>
        <v>494.34475568590568</v>
      </c>
      <c r="T709">
        <f t="shared" si="998"/>
        <v>0.49434475568590569</v>
      </c>
    </row>
    <row r="710" spans="1:20" x14ac:dyDescent="0.25">
      <c r="A710" s="5">
        <v>43883</v>
      </c>
      <c r="B710">
        <v>9.5999999999999992E-3</v>
      </c>
      <c r="C710">
        <v>1.0500000000000001E-2</v>
      </c>
      <c r="D710">
        <v>9.2599999999999991E-3</v>
      </c>
      <c r="E710">
        <v>1.035E-2</v>
      </c>
      <c r="F710">
        <v>6852395.5999999996</v>
      </c>
      <c r="G710">
        <v>0</v>
      </c>
      <c r="L710" t="s">
        <v>8</v>
      </c>
      <c r="M710" t="s">
        <v>7</v>
      </c>
      <c r="N710" t="s">
        <v>7</v>
      </c>
      <c r="P710">
        <f t="shared" ref="P710:P766" si="999">IF(C710=D710,0,((E710-D710)-(C710-E710))/(C710-D710))</f>
        <v>0.75806451612903125</v>
      </c>
      <c r="Q710">
        <f t="shared" ref="Q710:Q766" si="1000">F710*P710</f>
        <v>5194557.9548387025</v>
      </c>
      <c r="R710">
        <f t="shared" ref="R710:R766" si="1001">R711+Q710</f>
        <v>45412711.90192391</v>
      </c>
      <c r="S710">
        <f t="shared" ref="S710:S766" si="1002">R710/100000</f>
        <v>454.1271190192391</v>
      </c>
      <c r="T710">
        <f t="shared" ref="T710:T766" si="1003">S710/1000</f>
        <v>0.45412711901923908</v>
      </c>
    </row>
    <row r="711" spans="1:20" x14ac:dyDescent="0.25">
      <c r="A711" s="5">
        <v>43882</v>
      </c>
      <c r="B711">
        <v>9.5999999999999992E-3</v>
      </c>
      <c r="C711">
        <v>1.01E-2</v>
      </c>
      <c r="D711">
        <v>9.3299999999999998E-3</v>
      </c>
      <c r="E711">
        <v>9.6200000000000001E-3</v>
      </c>
      <c r="F711">
        <v>3689083.6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-0.24675324675324575</v>
      </c>
      <c r="Q711">
        <f t="shared" si="1000"/>
        <v>-910293.35584415216</v>
      </c>
      <c r="R711">
        <f t="shared" si="1001"/>
        <v>40218153.947085209</v>
      </c>
      <c r="S711">
        <f t="shared" si="1002"/>
        <v>402.1815394708521</v>
      </c>
      <c r="T711">
        <f t="shared" si="1003"/>
        <v>0.40218153947085211</v>
      </c>
    </row>
    <row r="712" spans="1:20" x14ac:dyDescent="0.25">
      <c r="A712" s="5">
        <v>43881</v>
      </c>
      <c r="B712">
        <v>9.9100000000000004E-3</v>
      </c>
      <c r="C712">
        <v>1.085E-2</v>
      </c>
      <c r="D712">
        <v>9.0500000000000008E-3</v>
      </c>
      <c r="E712">
        <v>9.6200000000000001E-3</v>
      </c>
      <c r="F712">
        <v>5939429.2000000002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-0.36666666666666725</v>
      </c>
      <c r="Q712">
        <f t="shared" si="1000"/>
        <v>-2177790.7066666703</v>
      </c>
      <c r="R712">
        <f t="shared" si="1001"/>
        <v>41128447.302929364</v>
      </c>
      <c r="S712">
        <f t="shared" si="1002"/>
        <v>411.28447302929362</v>
      </c>
      <c r="T712">
        <f t="shared" si="1003"/>
        <v>0.41128447302929361</v>
      </c>
    </row>
    <row r="713" spans="1:20" x14ac:dyDescent="0.25">
      <c r="A713" s="5">
        <v>43880</v>
      </c>
      <c r="B713">
        <v>1.091E-2</v>
      </c>
      <c r="C713">
        <v>1.163E-2</v>
      </c>
      <c r="D713">
        <v>9.5399999999999999E-3</v>
      </c>
      <c r="E713">
        <v>9.9000000000000008E-3</v>
      </c>
      <c r="F713">
        <v>5877996.7000000002</v>
      </c>
      <c r="G713">
        <v>0</v>
      </c>
      <c r="L713" t="s">
        <v>8</v>
      </c>
      <c r="M713" t="s">
        <v>7</v>
      </c>
      <c r="N713" t="s">
        <v>7</v>
      </c>
      <c r="P713">
        <f t="shared" si="999"/>
        <v>-0.6555023923444967</v>
      </c>
      <c r="Q713">
        <f t="shared" si="1000"/>
        <v>-3853040.8990430571</v>
      </c>
      <c r="R713">
        <f t="shared" si="1001"/>
        <v>43306238.009596035</v>
      </c>
      <c r="S713">
        <f t="shared" si="1002"/>
        <v>433.06238009596035</v>
      </c>
      <c r="T713">
        <f t="shared" si="1003"/>
        <v>0.43306238009596038</v>
      </c>
    </row>
    <row r="714" spans="1:20" x14ac:dyDescent="0.25">
      <c r="A714" s="5">
        <v>43879</v>
      </c>
      <c r="B714">
        <v>1.009E-2</v>
      </c>
      <c r="C714">
        <v>1.14E-2</v>
      </c>
      <c r="D714">
        <v>9.9500000000000005E-3</v>
      </c>
      <c r="E714">
        <v>1.093E-2</v>
      </c>
      <c r="F714">
        <v>13593226.1</v>
      </c>
      <c r="G714">
        <v>0</v>
      </c>
      <c r="L714" t="s">
        <v>8</v>
      </c>
      <c r="M714" t="s">
        <v>8</v>
      </c>
      <c r="N714" t="s">
        <v>7</v>
      </c>
      <c r="P714">
        <f t="shared" si="999"/>
        <v>0.35172413793103452</v>
      </c>
      <c r="Q714">
        <f t="shared" si="1000"/>
        <v>4781065.7317241384</v>
      </c>
      <c r="R714">
        <f t="shared" si="1001"/>
        <v>47159278.908639088</v>
      </c>
      <c r="S714">
        <f t="shared" si="1002"/>
        <v>471.59278908639089</v>
      </c>
      <c r="T714">
        <f t="shared" si="1003"/>
        <v>0.47159278908639091</v>
      </c>
    </row>
    <row r="715" spans="1:20" x14ac:dyDescent="0.25">
      <c r="A715" s="5">
        <v>43878</v>
      </c>
      <c r="B715">
        <v>1.09E-2</v>
      </c>
      <c r="C715">
        <v>1.09E-2</v>
      </c>
      <c r="D715">
        <v>9.1800000000000007E-3</v>
      </c>
      <c r="E715">
        <v>1.022E-2</v>
      </c>
      <c r="F715">
        <v>10519511.300000001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0.20930232558139497</v>
      </c>
      <c r="Q715">
        <f t="shared" si="1000"/>
        <v>2201758.1790697635</v>
      </c>
      <c r="R715">
        <f t="shared" si="1001"/>
        <v>42378213.176914953</v>
      </c>
      <c r="S715">
        <f t="shared" si="1002"/>
        <v>423.78213176914954</v>
      </c>
      <c r="T715">
        <f t="shared" si="1003"/>
        <v>0.42378213176914953</v>
      </c>
    </row>
    <row r="716" spans="1:20" x14ac:dyDescent="0.25">
      <c r="A716" s="5">
        <v>43877</v>
      </c>
      <c r="B716">
        <v>1.214E-2</v>
      </c>
      <c r="C716">
        <v>1.3310000000000001E-2</v>
      </c>
      <c r="D716">
        <v>9.5899999999999996E-3</v>
      </c>
      <c r="E716">
        <v>1.0919999999999999E-2</v>
      </c>
      <c r="F716">
        <v>26252960</v>
      </c>
      <c r="G716">
        <v>0</v>
      </c>
      <c r="L716" t="s">
        <v>7</v>
      </c>
      <c r="M716" t="s">
        <v>8</v>
      </c>
      <c r="N716" t="s">
        <v>8</v>
      </c>
      <c r="P716">
        <f t="shared" si="999"/>
        <v>-0.2849462365591402</v>
      </c>
      <c r="Q716">
        <f t="shared" si="1000"/>
        <v>-7480682.1505376454</v>
      </c>
      <c r="R716">
        <f t="shared" si="1001"/>
        <v>40176454.997845188</v>
      </c>
      <c r="S716">
        <f t="shared" si="1002"/>
        <v>401.7645499784519</v>
      </c>
      <c r="T716">
        <f t="shared" si="1003"/>
        <v>0.4017645499784519</v>
      </c>
    </row>
    <row r="717" spans="1:20" x14ac:dyDescent="0.25">
      <c r="A717" s="5">
        <v>43876</v>
      </c>
      <c r="B717">
        <v>1.1509999999999999E-2</v>
      </c>
      <c r="C717">
        <v>1.273E-2</v>
      </c>
      <c r="D717">
        <v>1.038E-2</v>
      </c>
      <c r="E717">
        <v>1.2160000000000001E-2</v>
      </c>
      <c r="F717">
        <v>24815759.699999999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0.51489361702127712</v>
      </c>
      <c r="Q717">
        <f t="shared" si="1000"/>
        <v>12777476.271063842</v>
      </c>
      <c r="R717">
        <f t="shared" si="1001"/>
        <v>47657137.148382835</v>
      </c>
      <c r="S717">
        <f t="shared" si="1002"/>
        <v>476.57137148382833</v>
      </c>
      <c r="T717">
        <f t="shared" si="1003"/>
        <v>0.47657137148382833</v>
      </c>
    </row>
    <row r="718" spans="1:20" x14ac:dyDescent="0.25">
      <c r="A718" s="5">
        <v>43875</v>
      </c>
      <c r="B718">
        <v>1.0999999999999999E-2</v>
      </c>
      <c r="C718">
        <v>1.269E-2</v>
      </c>
      <c r="D718">
        <v>1.065E-2</v>
      </c>
      <c r="E718">
        <v>1.1509999999999999E-2</v>
      </c>
      <c r="F718">
        <v>12259713.800000001</v>
      </c>
      <c r="G718">
        <v>0</v>
      </c>
      <c r="L718" t="s">
        <v>7</v>
      </c>
      <c r="M718" t="s">
        <v>7</v>
      </c>
      <c r="N718" t="s">
        <v>8</v>
      </c>
      <c r="P718">
        <f t="shared" si="999"/>
        <v>-0.1568627450980396</v>
      </c>
      <c r="Q718">
        <f t="shared" si="1000"/>
        <v>-1923092.3607843185</v>
      </c>
      <c r="R718">
        <f t="shared" si="1001"/>
        <v>34879660.877318993</v>
      </c>
      <c r="S718">
        <f t="shared" si="1002"/>
        <v>348.79660877318992</v>
      </c>
      <c r="T718">
        <f t="shared" si="1003"/>
        <v>0.34879660877318991</v>
      </c>
    </row>
    <row r="719" spans="1:20" x14ac:dyDescent="0.25">
      <c r="A719" s="5">
        <v>43874</v>
      </c>
      <c r="B719">
        <v>1.1350000000000001E-2</v>
      </c>
      <c r="C719">
        <v>1.2999999999999999E-2</v>
      </c>
      <c r="D719">
        <v>1.025E-2</v>
      </c>
      <c r="E719">
        <v>1.09E-2</v>
      </c>
      <c r="F719">
        <v>53793741.299999997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-0.52727272727272745</v>
      </c>
      <c r="Q719">
        <f t="shared" si="1000"/>
        <v>-28363972.685454555</v>
      </c>
      <c r="R719">
        <f t="shared" si="1001"/>
        <v>36802753.238103315</v>
      </c>
      <c r="S719">
        <f t="shared" si="1002"/>
        <v>368.02753238103315</v>
      </c>
      <c r="T719">
        <f t="shared" si="1003"/>
        <v>0.36802753238103314</v>
      </c>
    </row>
    <row r="720" spans="1:20" x14ac:dyDescent="0.25">
      <c r="A720" s="5">
        <v>43873</v>
      </c>
      <c r="B720">
        <v>9.75E-3</v>
      </c>
      <c r="C720">
        <v>1.1780000000000001E-2</v>
      </c>
      <c r="D720">
        <v>9.41E-3</v>
      </c>
      <c r="E720">
        <v>1.1310000000000001E-2</v>
      </c>
      <c r="F720">
        <v>38124144.600000001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0.60337552742616052</v>
      </c>
      <c r="Q720">
        <f t="shared" si="1000"/>
        <v>23003175.855696209</v>
      </c>
      <c r="R720">
        <f t="shared" si="1001"/>
        <v>65166725.92355787</v>
      </c>
      <c r="S720">
        <f t="shared" si="1002"/>
        <v>651.66725923557874</v>
      </c>
      <c r="T720">
        <f t="shared" si="1003"/>
        <v>0.65166725923557878</v>
      </c>
    </row>
    <row r="721" spans="1:20" x14ac:dyDescent="0.25">
      <c r="A721" s="5">
        <v>43872</v>
      </c>
      <c r="B721">
        <v>9.4999999999999998E-3</v>
      </c>
      <c r="C721">
        <v>9.75E-3</v>
      </c>
      <c r="D721">
        <v>8.9800000000000001E-3</v>
      </c>
      <c r="E721">
        <v>9.75E-3</v>
      </c>
      <c r="F721">
        <v>11798174.300000001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1</v>
      </c>
      <c r="Q721">
        <f t="shared" si="1000"/>
        <v>11798174.300000001</v>
      </c>
      <c r="R721">
        <f t="shared" si="1001"/>
        <v>42163550.067861661</v>
      </c>
      <c r="S721">
        <f t="shared" si="1002"/>
        <v>421.63550067861661</v>
      </c>
      <c r="T721">
        <f t="shared" si="1003"/>
        <v>0.4216355006786166</v>
      </c>
    </row>
    <row r="722" spans="1:20" x14ac:dyDescent="0.25">
      <c r="A722" s="5">
        <v>43871</v>
      </c>
      <c r="B722">
        <v>9.0699999999999999E-3</v>
      </c>
      <c r="C722">
        <v>9.4999999999999998E-3</v>
      </c>
      <c r="D722">
        <v>8.2000000000000007E-3</v>
      </c>
      <c r="E722">
        <v>9.4000000000000004E-3</v>
      </c>
      <c r="F722">
        <v>12279572</v>
      </c>
      <c r="G722">
        <v>0</v>
      </c>
      <c r="L722" t="s">
        <v>7</v>
      </c>
      <c r="M722" t="s">
        <v>7</v>
      </c>
      <c r="N722" t="s">
        <v>8</v>
      </c>
      <c r="P722">
        <f t="shared" si="999"/>
        <v>0.84615384615384692</v>
      </c>
      <c r="Q722">
        <f t="shared" si="1000"/>
        <v>10390407.076923087</v>
      </c>
      <c r="R722">
        <f t="shared" si="1001"/>
        <v>30365375.767861661</v>
      </c>
      <c r="S722">
        <f t="shared" si="1002"/>
        <v>303.65375767861661</v>
      </c>
      <c r="T722">
        <f t="shared" si="1003"/>
        <v>0.30365375767861663</v>
      </c>
    </row>
    <row r="723" spans="1:20" x14ac:dyDescent="0.25">
      <c r="A723" s="5">
        <v>43870</v>
      </c>
      <c r="B723">
        <v>8.7200000000000003E-3</v>
      </c>
      <c r="C723">
        <v>9.7999999999999997E-3</v>
      </c>
      <c r="D723">
        <v>8.3899999999999999E-3</v>
      </c>
      <c r="E723">
        <v>9.0200000000000002E-3</v>
      </c>
      <c r="F723">
        <v>20764366.600000001</v>
      </c>
      <c r="G723">
        <v>0</v>
      </c>
      <c r="L723" t="s">
        <v>7</v>
      </c>
      <c r="M723" t="s">
        <v>8</v>
      </c>
      <c r="N723" t="s">
        <v>8</v>
      </c>
      <c r="P723">
        <f t="shared" si="999"/>
        <v>-0.10638297872340363</v>
      </c>
      <c r="Q723">
        <f t="shared" si="1000"/>
        <v>-2208975.1702127531</v>
      </c>
      <c r="R723">
        <f t="shared" si="1001"/>
        <v>19974968.690938573</v>
      </c>
      <c r="S723">
        <f t="shared" si="1002"/>
        <v>199.74968690938573</v>
      </c>
      <c r="T723">
        <f t="shared" si="1003"/>
        <v>0.19974968690938574</v>
      </c>
    </row>
    <row r="724" spans="1:20" x14ac:dyDescent="0.25">
      <c r="A724" s="5">
        <v>43869</v>
      </c>
      <c r="B724">
        <v>9.3699999999999999E-3</v>
      </c>
      <c r="C724">
        <v>9.3799999999999994E-3</v>
      </c>
      <c r="D724">
        <v>8.6199999999999992E-3</v>
      </c>
      <c r="E724">
        <v>8.7899999999999992E-3</v>
      </c>
      <c r="F724">
        <v>6948907.5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-0.55263157894736858</v>
      </c>
      <c r="Q724">
        <f t="shared" si="1000"/>
        <v>-3840185.7236842117</v>
      </c>
      <c r="R724">
        <f t="shared" si="1001"/>
        <v>22183943.861151326</v>
      </c>
      <c r="S724">
        <f t="shared" si="1002"/>
        <v>221.83943861151326</v>
      </c>
      <c r="T724">
        <f t="shared" si="1003"/>
        <v>0.22183943861151326</v>
      </c>
    </row>
    <row r="725" spans="1:20" x14ac:dyDescent="0.25">
      <c r="A725" s="5">
        <v>43868</v>
      </c>
      <c r="B725">
        <v>9.0399999999999994E-3</v>
      </c>
      <c r="C725">
        <v>9.5499999999999995E-3</v>
      </c>
      <c r="D725">
        <v>8.9700000000000005E-3</v>
      </c>
      <c r="E725">
        <v>9.2999999999999992E-3</v>
      </c>
      <c r="F725">
        <v>9211820.8000000007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0.13793103448275626</v>
      </c>
      <c r="Q725">
        <f t="shared" si="1000"/>
        <v>1270595.9724137716</v>
      </c>
      <c r="R725">
        <f t="shared" si="1001"/>
        <v>26024129.584835537</v>
      </c>
      <c r="S725">
        <f t="shared" si="1002"/>
        <v>260.24129584835538</v>
      </c>
      <c r="T725">
        <f t="shared" si="1003"/>
        <v>0.26024129584835537</v>
      </c>
    </row>
    <row r="726" spans="1:20" x14ac:dyDescent="0.25">
      <c r="A726" s="5">
        <v>43867</v>
      </c>
      <c r="B726">
        <v>8.8699999999999994E-3</v>
      </c>
      <c r="C726">
        <v>9.1000000000000004E-3</v>
      </c>
      <c r="D726">
        <v>8.4200000000000004E-3</v>
      </c>
      <c r="E726">
        <v>9.0299999999999998E-3</v>
      </c>
      <c r="F726">
        <v>9089794.9000000004</v>
      </c>
      <c r="G726">
        <v>0</v>
      </c>
      <c r="L726" t="s">
        <v>8</v>
      </c>
      <c r="M726" t="s">
        <v>8</v>
      </c>
      <c r="N726" t="s">
        <v>7</v>
      </c>
      <c r="P726">
        <f t="shared" si="999"/>
        <v>0.79411764705882171</v>
      </c>
      <c r="Q726">
        <f t="shared" si="1000"/>
        <v>7218366.5382352779</v>
      </c>
      <c r="R726">
        <f t="shared" si="1001"/>
        <v>24753533.612421766</v>
      </c>
      <c r="S726">
        <f t="shared" si="1002"/>
        <v>247.53533612421765</v>
      </c>
      <c r="T726">
        <f t="shared" si="1003"/>
        <v>0.24753533612421766</v>
      </c>
    </row>
    <row r="727" spans="1:20" x14ac:dyDescent="0.25">
      <c r="A727" s="5">
        <v>43866</v>
      </c>
      <c r="B727">
        <v>8.3700000000000007E-3</v>
      </c>
      <c r="C727">
        <v>8.8599999999999998E-3</v>
      </c>
      <c r="D727">
        <v>8.0499999999999999E-3</v>
      </c>
      <c r="E727">
        <v>8.8299999999999993E-3</v>
      </c>
      <c r="F727">
        <v>15385515.199999999</v>
      </c>
      <c r="G727">
        <v>0</v>
      </c>
      <c r="L727" t="s">
        <v>8</v>
      </c>
      <c r="M727" t="s">
        <v>8</v>
      </c>
      <c r="N727" t="s">
        <v>7</v>
      </c>
      <c r="P727">
        <f t="shared" si="999"/>
        <v>0.92592592592592471</v>
      </c>
      <c r="Q727">
        <f t="shared" si="1000"/>
        <v>14245847.407407388</v>
      </c>
      <c r="R727">
        <f t="shared" si="1001"/>
        <v>17535167.074186489</v>
      </c>
      <c r="S727">
        <f t="shared" si="1002"/>
        <v>175.35167074186489</v>
      </c>
      <c r="T727">
        <f t="shared" si="1003"/>
        <v>0.17535167074186489</v>
      </c>
    </row>
    <row r="728" spans="1:20" x14ac:dyDescent="0.25">
      <c r="A728" s="5">
        <v>43865</v>
      </c>
      <c r="B728">
        <v>7.7400000000000004E-3</v>
      </c>
      <c r="C728">
        <v>8.4600000000000005E-3</v>
      </c>
      <c r="D728">
        <v>7.5599999999999999E-3</v>
      </c>
      <c r="E728">
        <v>8.3700000000000007E-3</v>
      </c>
      <c r="F728">
        <v>11857739.300000001</v>
      </c>
      <c r="G728">
        <v>0</v>
      </c>
      <c r="L728" t="s">
        <v>8</v>
      </c>
      <c r="M728" t="s">
        <v>8</v>
      </c>
      <c r="N728" t="s">
        <v>7</v>
      </c>
      <c r="P728">
        <f t="shared" si="999"/>
        <v>0.8000000000000006</v>
      </c>
      <c r="Q728">
        <f t="shared" si="1000"/>
        <v>9486191.4400000069</v>
      </c>
      <c r="R728">
        <f t="shared" si="1001"/>
        <v>3289319.666779099</v>
      </c>
      <c r="S728">
        <f t="shared" si="1002"/>
        <v>32.893196667790988</v>
      </c>
      <c r="T728">
        <f t="shared" si="1003"/>
        <v>3.2893196667790989E-2</v>
      </c>
    </row>
    <row r="729" spans="1:20" x14ac:dyDescent="0.25">
      <c r="A729" s="5">
        <v>43864</v>
      </c>
      <c r="B729">
        <v>7.7799999999999996E-3</v>
      </c>
      <c r="C729">
        <v>7.8499999999999993E-3</v>
      </c>
      <c r="D729">
        <v>7.3499999999999998E-3</v>
      </c>
      <c r="E729">
        <v>7.7400000000000004E-3</v>
      </c>
      <c r="F729">
        <v>4968533.4000000004</v>
      </c>
      <c r="G729">
        <v>0</v>
      </c>
      <c r="L729" t="s">
        <v>7</v>
      </c>
      <c r="M729" t="s">
        <v>7</v>
      </c>
      <c r="N729" t="s">
        <v>7</v>
      </c>
      <c r="P729">
        <f t="shared" si="999"/>
        <v>0.56000000000000372</v>
      </c>
      <c r="Q729">
        <f t="shared" si="1000"/>
        <v>2782378.7040000185</v>
      </c>
      <c r="R729">
        <f t="shared" si="1001"/>
        <v>-6196871.7732209079</v>
      </c>
      <c r="S729">
        <f t="shared" si="1002"/>
        <v>-61.968717732209079</v>
      </c>
      <c r="T729">
        <f t="shared" si="1003"/>
        <v>-6.1968717732209078E-2</v>
      </c>
    </row>
    <row r="730" spans="1:20" x14ac:dyDescent="0.25">
      <c r="A730" s="5">
        <v>43863</v>
      </c>
      <c r="B730">
        <v>7.5199999999999998E-3</v>
      </c>
      <c r="C730">
        <v>7.8700000000000003E-3</v>
      </c>
      <c r="D730">
        <v>7.2199999999999999E-3</v>
      </c>
      <c r="E730">
        <v>7.8100000000000001E-3</v>
      </c>
      <c r="F730">
        <v>11703865.6</v>
      </c>
      <c r="G730">
        <v>0</v>
      </c>
      <c r="L730" t="s">
        <v>8</v>
      </c>
      <c r="M730" t="s">
        <v>7</v>
      </c>
      <c r="N730" t="s">
        <v>7</v>
      </c>
      <c r="P730">
        <f t="shared" si="999"/>
        <v>0.81538461538461504</v>
      </c>
      <c r="Q730">
        <f t="shared" si="1000"/>
        <v>9543151.950769227</v>
      </c>
      <c r="R730">
        <f t="shared" si="1001"/>
        <v>-8979250.4772209264</v>
      </c>
      <c r="S730">
        <f t="shared" si="1002"/>
        <v>-89.79250477220927</v>
      </c>
      <c r="T730">
        <f t="shared" si="1003"/>
        <v>-8.9792504772209264E-2</v>
      </c>
    </row>
    <row r="731" spans="1:20" x14ac:dyDescent="0.25">
      <c r="A731" s="5">
        <v>43862</v>
      </c>
      <c r="B731">
        <v>7.1000000000000004E-3</v>
      </c>
      <c r="C731">
        <v>7.5500000000000003E-3</v>
      </c>
      <c r="D731">
        <v>7.0200000000000002E-3</v>
      </c>
      <c r="E731">
        <v>7.5100000000000002E-3</v>
      </c>
      <c r="F731">
        <v>11385900.9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0.8490566037735845</v>
      </c>
      <c r="Q731">
        <f t="shared" si="1000"/>
        <v>9667274.3490565997</v>
      </c>
      <c r="R731">
        <f t="shared" si="1001"/>
        <v>-18522402.427990153</v>
      </c>
      <c r="S731">
        <f t="shared" si="1002"/>
        <v>-185.22402427990153</v>
      </c>
      <c r="T731">
        <f t="shared" si="1003"/>
        <v>-0.18522402427990153</v>
      </c>
    </row>
    <row r="732" spans="1:20" x14ac:dyDescent="0.25">
      <c r="A732" s="5">
        <v>43861</v>
      </c>
      <c r="B732">
        <v>7.1300000000000001E-3</v>
      </c>
      <c r="C732">
        <v>7.43E-3</v>
      </c>
      <c r="D732">
        <v>7.0299999999999998E-3</v>
      </c>
      <c r="E732">
        <v>7.1000000000000004E-3</v>
      </c>
      <c r="F732">
        <v>8849039.3000000007</v>
      </c>
      <c r="G732">
        <v>0</v>
      </c>
      <c r="L732" t="s">
        <v>8</v>
      </c>
      <c r="M732" t="s">
        <v>7</v>
      </c>
      <c r="N732" t="s">
        <v>7</v>
      </c>
      <c r="P732">
        <f t="shared" si="999"/>
        <v>-0.64999999999999702</v>
      </c>
      <c r="Q732">
        <f t="shared" si="1000"/>
        <v>-5751875.5449999738</v>
      </c>
      <c r="R732">
        <f t="shared" si="1001"/>
        <v>-28189676.777046755</v>
      </c>
      <c r="S732">
        <f t="shared" si="1002"/>
        <v>-281.89676777046753</v>
      </c>
      <c r="T732">
        <f t="shared" si="1003"/>
        <v>-0.28189676777046752</v>
      </c>
    </row>
    <row r="733" spans="1:20" x14ac:dyDescent="0.25">
      <c r="A733" s="5">
        <v>43860</v>
      </c>
      <c r="B733">
        <v>7.0099999999999997E-3</v>
      </c>
      <c r="C733">
        <v>7.1900000000000002E-3</v>
      </c>
      <c r="D733">
        <v>6.9300000000000004E-3</v>
      </c>
      <c r="E733">
        <v>7.1900000000000002E-3</v>
      </c>
      <c r="F733">
        <v>6773949.7999999998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1</v>
      </c>
      <c r="Q733">
        <f t="shared" si="1000"/>
        <v>6773949.7999999998</v>
      </c>
      <c r="R733">
        <f t="shared" si="1001"/>
        <v>-22437801.232046779</v>
      </c>
      <c r="S733">
        <f t="shared" si="1002"/>
        <v>-224.3780123204678</v>
      </c>
      <c r="T733">
        <f t="shared" si="1003"/>
        <v>-0.22437801232046781</v>
      </c>
    </row>
    <row r="734" spans="1:20" x14ac:dyDescent="0.25">
      <c r="A734" s="5">
        <v>43859</v>
      </c>
      <c r="B734">
        <v>6.9300000000000004E-3</v>
      </c>
      <c r="C734">
        <v>7.2500000000000004E-3</v>
      </c>
      <c r="D734">
        <v>6.9199999999999999E-3</v>
      </c>
      <c r="E734">
        <v>7.0200000000000002E-3</v>
      </c>
      <c r="F734">
        <v>5295634.5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-0.39393939393939315</v>
      </c>
      <c r="Q734">
        <f t="shared" si="1000"/>
        <v>-2086159.0454545412</v>
      </c>
      <c r="R734">
        <f t="shared" si="1001"/>
        <v>-29211751.03204678</v>
      </c>
      <c r="S734">
        <f t="shared" si="1002"/>
        <v>-292.11751032046777</v>
      </c>
      <c r="T734">
        <f t="shared" si="1003"/>
        <v>-0.29211751032046779</v>
      </c>
    </row>
    <row r="735" spans="1:20" x14ac:dyDescent="0.25">
      <c r="A735" s="5">
        <v>43858</v>
      </c>
      <c r="B735">
        <v>7.1399999999999996E-3</v>
      </c>
      <c r="C735">
        <v>7.3000000000000001E-3</v>
      </c>
      <c r="D735">
        <v>6.8799999999999998E-3</v>
      </c>
      <c r="E735">
        <v>6.96E-3</v>
      </c>
      <c r="F735">
        <v>5500796.4000000004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-0.61904761904761829</v>
      </c>
      <c r="Q735">
        <f t="shared" si="1000"/>
        <v>-3405254.9142857105</v>
      </c>
      <c r="R735">
        <f t="shared" si="1001"/>
        <v>-27125591.986592241</v>
      </c>
      <c r="S735">
        <f t="shared" si="1002"/>
        <v>-271.25591986592241</v>
      </c>
      <c r="T735">
        <f t="shared" si="1003"/>
        <v>-0.2712559198659224</v>
      </c>
    </row>
    <row r="736" spans="1:20" x14ac:dyDescent="0.25">
      <c r="A736" s="5">
        <v>43857</v>
      </c>
      <c r="B736">
        <v>7.1300000000000001E-3</v>
      </c>
      <c r="C736">
        <v>7.3099999999999997E-3</v>
      </c>
      <c r="D736">
        <v>7.1000000000000004E-3</v>
      </c>
      <c r="E736">
        <v>7.2100000000000003E-3</v>
      </c>
      <c r="F736">
        <v>4559604.7</v>
      </c>
      <c r="G736">
        <v>0</v>
      </c>
      <c r="L736" t="s">
        <v>7</v>
      </c>
      <c r="M736" t="s">
        <v>7</v>
      </c>
      <c r="N736" t="s">
        <v>7</v>
      </c>
      <c r="P736">
        <f t="shared" si="999"/>
        <v>4.7619047619049983E-2</v>
      </c>
      <c r="Q736">
        <f t="shared" si="1000"/>
        <v>217124.03333334412</v>
      </c>
      <c r="R736">
        <f t="shared" si="1001"/>
        <v>-23720337.072306529</v>
      </c>
      <c r="S736">
        <f t="shared" si="1002"/>
        <v>-237.20337072306529</v>
      </c>
      <c r="T736">
        <f t="shared" si="1003"/>
        <v>-0.2372033707230653</v>
      </c>
    </row>
    <row r="737" spans="1:20" x14ac:dyDescent="0.25">
      <c r="A737" s="5">
        <v>43856</v>
      </c>
      <c r="B737">
        <v>7.1199999999999996E-3</v>
      </c>
      <c r="C737">
        <v>7.3099999999999997E-3</v>
      </c>
      <c r="D737">
        <v>7.1000000000000004E-3</v>
      </c>
      <c r="E737">
        <v>7.1300000000000001E-3</v>
      </c>
      <c r="F737">
        <v>3151682.1</v>
      </c>
      <c r="G737">
        <v>0</v>
      </c>
      <c r="L737" t="s">
        <v>7</v>
      </c>
      <c r="M737" t="s">
        <v>7</v>
      </c>
      <c r="N737" t="s">
        <v>7</v>
      </c>
      <c r="P737">
        <f t="shared" si="999"/>
        <v>-0.71428571428571663</v>
      </c>
      <c r="Q737">
        <f t="shared" si="1000"/>
        <v>-2251201.5000000075</v>
      </c>
      <c r="R737">
        <f t="shared" si="1001"/>
        <v>-23937461.105639871</v>
      </c>
      <c r="S737">
        <f t="shared" si="1002"/>
        <v>-239.37461105639872</v>
      </c>
      <c r="T737">
        <f t="shared" si="1003"/>
        <v>-0.23937461105639873</v>
      </c>
    </row>
    <row r="738" spans="1:20" x14ac:dyDescent="0.25">
      <c r="A738" s="5">
        <v>43855</v>
      </c>
      <c r="B738">
        <v>7.1599999999999997E-3</v>
      </c>
      <c r="C738">
        <v>7.1700000000000002E-3</v>
      </c>
      <c r="D738">
        <v>6.8700000000000002E-3</v>
      </c>
      <c r="E738">
        <v>7.0200000000000002E-3</v>
      </c>
      <c r="F738">
        <v>2689326.6</v>
      </c>
      <c r="G738">
        <v>0</v>
      </c>
      <c r="L738" t="s">
        <v>7</v>
      </c>
      <c r="M738" t="s">
        <v>7</v>
      </c>
      <c r="N738" t="s">
        <v>7</v>
      </c>
      <c r="P738">
        <f t="shared" si="999"/>
        <v>0</v>
      </c>
      <c r="Q738">
        <f t="shared" si="1000"/>
        <v>0</v>
      </c>
      <c r="R738">
        <f t="shared" si="1001"/>
        <v>-21686259.605639864</v>
      </c>
      <c r="S738">
        <f t="shared" si="1002"/>
        <v>-216.86259605639864</v>
      </c>
      <c r="T738">
        <f t="shared" si="1003"/>
        <v>-0.21686259605639865</v>
      </c>
    </row>
    <row r="739" spans="1:20" x14ac:dyDescent="0.25">
      <c r="A739" s="5">
        <v>43854</v>
      </c>
      <c r="B739">
        <v>6.9899999999999997E-3</v>
      </c>
      <c r="C739">
        <v>7.2399999999999999E-3</v>
      </c>
      <c r="D739">
        <v>6.9199999999999999E-3</v>
      </c>
      <c r="E739">
        <v>7.1599999999999997E-3</v>
      </c>
      <c r="F739">
        <v>4292383.0999999996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0.49999999999999867</v>
      </c>
      <c r="Q739">
        <f t="shared" si="1000"/>
        <v>2146191.5499999942</v>
      </c>
      <c r="R739">
        <f t="shared" si="1001"/>
        <v>-21686259.605639864</v>
      </c>
      <c r="S739">
        <f t="shared" si="1002"/>
        <v>-216.86259605639864</v>
      </c>
      <c r="T739">
        <f t="shared" si="1003"/>
        <v>-0.21686259605639865</v>
      </c>
    </row>
    <row r="740" spans="1:20" x14ac:dyDescent="0.25">
      <c r="A740" s="5">
        <v>43853</v>
      </c>
      <c r="B740">
        <v>7.3200000000000001E-3</v>
      </c>
      <c r="C740">
        <v>7.3499999999999998E-3</v>
      </c>
      <c r="D740">
        <v>6.8999999999999999E-3</v>
      </c>
      <c r="E740">
        <v>6.9499999999999996E-3</v>
      </c>
      <c r="F740">
        <v>6705675.7999999998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-0.77777777777777901</v>
      </c>
      <c r="Q740">
        <f t="shared" si="1000"/>
        <v>-5215525.6222222308</v>
      </c>
      <c r="R740">
        <f t="shared" si="1001"/>
        <v>-23832451.155639857</v>
      </c>
      <c r="S740">
        <f t="shared" si="1002"/>
        <v>-238.32451155639856</v>
      </c>
      <c r="T740">
        <f t="shared" si="1003"/>
        <v>-0.23832451155639856</v>
      </c>
    </row>
    <row r="741" spans="1:20" x14ac:dyDescent="0.25">
      <c r="A741" s="5">
        <v>43852</v>
      </c>
      <c r="B741">
        <v>7.3499999999999998E-3</v>
      </c>
      <c r="C741">
        <v>7.4200000000000004E-3</v>
      </c>
      <c r="D741">
        <v>7.2399999999999999E-3</v>
      </c>
      <c r="E741">
        <v>7.3499999999999998E-3</v>
      </c>
      <c r="F741">
        <v>4453455.3</v>
      </c>
      <c r="G741">
        <v>0</v>
      </c>
      <c r="L741" t="s">
        <v>7</v>
      </c>
      <c r="M741" t="s">
        <v>7</v>
      </c>
      <c r="N741" t="s">
        <v>7</v>
      </c>
      <c r="P741">
        <f t="shared" si="999"/>
        <v>0.22222222222221741</v>
      </c>
      <c r="Q741">
        <f t="shared" si="1000"/>
        <v>989656.73333331186</v>
      </c>
      <c r="R741">
        <f t="shared" si="1001"/>
        <v>-18616925.533417627</v>
      </c>
      <c r="S741">
        <f t="shared" si="1002"/>
        <v>-186.16925533417628</v>
      </c>
      <c r="T741">
        <f t="shared" si="1003"/>
        <v>-0.18616925533417628</v>
      </c>
    </row>
    <row r="742" spans="1:20" x14ac:dyDescent="0.25">
      <c r="A742" s="5">
        <v>43851</v>
      </c>
      <c r="B742">
        <v>7.3000000000000001E-3</v>
      </c>
      <c r="C742">
        <v>7.4000000000000003E-3</v>
      </c>
      <c r="D742">
        <v>7.1700000000000002E-3</v>
      </c>
      <c r="E742">
        <v>7.3499999999999998E-3</v>
      </c>
      <c r="F742">
        <v>5938215.7000000002</v>
      </c>
      <c r="G742">
        <v>0</v>
      </c>
      <c r="L742" t="s">
        <v>7</v>
      </c>
      <c r="M742" t="s">
        <v>7</v>
      </c>
      <c r="N742" t="s">
        <v>7</v>
      </c>
      <c r="P742">
        <f t="shared" si="999"/>
        <v>0.56521739130434323</v>
      </c>
      <c r="Q742">
        <f t="shared" si="1000"/>
        <v>3356382.7869564947</v>
      </c>
      <c r="R742">
        <f t="shared" si="1001"/>
        <v>-19606582.266750939</v>
      </c>
      <c r="S742">
        <f t="shared" si="1002"/>
        <v>-196.06582266750939</v>
      </c>
      <c r="T742">
        <f t="shared" si="1003"/>
        <v>-0.19606582266750938</v>
      </c>
    </row>
    <row r="743" spans="1:20" x14ac:dyDescent="0.25">
      <c r="A743" s="5">
        <v>43850</v>
      </c>
      <c r="B743">
        <v>7.6600000000000001E-3</v>
      </c>
      <c r="C743">
        <v>7.7000000000000002E-3</v>
      </c>
      <c r="D743">
        <v>7.11E-3</v>
      </c>
      <c r="E743">
        <v>7.3000000000000001E-3</v>
      </c>
      <c r="F743">
        <v>8313421.5</v>
      </c>
      <c r="G743">
        <v>0</v>
      </c>
      <c r="L743" t="s">
        <v>7</v>
      </c>
      <c r="M743" t="s">
        <v>7</v>
      </c>
      <c r="N743" t="s">
        <v>7</v>
      </c>
      <c r="P743">
        <f t="shared" si="999"/>
        <v>-0.35593220338983056</v>
      </c>
      <c r="Q743">
        <f t="shared" si="1000"/>
        <v>-2959014.4322033902</v>
      </c>
      <c r="R743">
        <f t="shared" si="1001"/>
        <v>-22962965.053707436</v>
      </c>
      <c r="S743">
        <f t="shared" si="1002"/>
        <v>-229.62965053707435</v>
      </c>
      <c r="T743">
        <f t="shared" si="1003"/>
        <v>-0.22962965053707435</v>
      </c>
    </row>
    <row r="744" spans="1:20" x14ac:dyDescent="0.25">
      <c r="A744" s="5">
        <v>43849</v>
      </c>
      <c r="B744">
        <v>7.8399999999999997E-3</v>
      </c>
      <c r="C744">
        <v>7.9500000000000005E-3</v>
      </c>
      <c r="D744">
        <v>7.4700000000000001E-3</v>
      </c>
      <c r="E744">
        <v>7.5900000000000004E-3</v>
      </c>
      <c r="F744">
        <v>10759314.300000001</v>
      </c>
      <c r="G744">
        <v>0</v>
      </c>
      <c r="L744" t="s">
        <v>7</v>
      </c>
      <c r="M744" t="s">
        <v>7</v>
      </c>
      <c r="N744" t="s">
        <v>7</v>
      </c>
      <c r="P744">
        <f t="shared" si="999"/>
        <v>-0.49999999999999911</v>
      </c>
      <c r="Q744">
        <f t="shared" si="1000"/>
        <v>-5379657.1499999911</v>
      </c>
      <c r="R744">
        <f t="shared" si="1001"/>
        <v>-20003950.621504046</v>
      </c>
      <c r="S744">
        <f t="shared" si="1002"/>
        <v>-200.03950621504046</v>
      </c>
      <c r="T744">
        <f t="shared" si="1003"/>
        <v>-0.20003950621504046</v>
      </c>
    </row>
    <row r="745" spans="1:20" x14ac:dyDescent="0.25">
      <c r="A745" s="5">
        <v>43848</v>
      </c>
      <c r="B745">
        <v>7.6400000000000001E-3</v>
      </c>
      <c r="C745">
        <v>8.0599999999999995E-3</v>
      </c>
      <c r="D745">
        <v>7.3800000000000003E-3</v>
      </c>
      <c r="E745">
        <v>7.8399999999999997E-3</v>
      </c>
      <c r="F745">
        <v>13913994.199999999</v>
      </c>
      <c r="G745">
        <v>0</v>
      </c>
      <c r="L745" t="s">
        <v>8</v>
      </c>
      <c r="M745" t="s">
        <v>7</v>
      </c>
      <c r="N745" t="s">
        <v>7</v>
      </c>
      <c r="P745">
        <f t="shared" si="999"/>
        <v>0.35294117647058831</v>
      </c>
      <c r="Q745">
        <f t="shared" si="1000"/>
        <v>4910821.4823529422</v>
      </c>
      <c r="R745">
        <f t="shared" si="1001"/>
        <v>-14624293.471504055</v>
      </c>
      <c r="S745">
        <f t="shared" si="1002"/>
        <v>-146.24293471504055</v>
      </c>
      <c r="T745">
        <f t="shared" si="1003"/>
        <v>-0.14624293471504055</v>
      </c>
    </row>
    <row r="746" spans="1:20" x14ac:dyDescent="0.25">
      <c r="A746" s="5">
        <v>43847</v>
      </c>
      <c r="B746">
        <v>7.5500000000000003E-3</v>
      </c>
      <c r="C746">
        <v>7.7499999999999999E-3</v>
      </c>
      <c r="D746">
        <v>7.3400000000000002E-3</v>
      </c>
      <c r="E746">
        <v>7.6600000000000001E-3</v>
      </c>
      <c r="F746">
        <v>23320587</v>
      </c>
      <c r="G746">
        <v>0</v>
      </c>
      <c r="L746" t="s">
        <v>7</v>
      </c>
      <c r="M746" t="s">
        <v>7</v>
      </c>
      <c r="N746" t="s">
        <v>7</v>
      </c>
      <c r="P746">
        <f t="shared" si="999"/>
        <v>0.56097560975609828</v>
      </c>
      <c r="Q746">
        <f t="shared" si="1000"/>
        <v>13082280.512195138</v>
      </c>
      <c r="R746">
        <f t="shared" si="1001"/>
        <v>-19535114.953856997</v>
      </c>
      <c r="S746">
        <f t="shared" si="1002"/>
        <v>-195.35114953856998</v>
      </c>
      <c r="T746">
        <f t="shared" si="1003"/>
        <v>-0.19535114953857</v>
      </c>
    </row>
    <row r="747" spans="1:20" x14ac:dyDescent="0.25">
      <c r="A747" s="5">
        <v>43846</v>
      </c>
      <c r="B747">
        <v>7.7799999999999996E-3</v>
      </c>
      <c r="C747">
        <v>7.8399999999999997E-3</v>
      </c>
      <c r="D747">
        <v>7.3600000000000002E-3</v>
      </c>
      <c r="E747">
        <v>7.5500000000000003E-3</v>
      </c>
      <c r="F747">
        <v>9646483.1999999993</v>
      </c>
      <c r="G747">
        <v>0</v>
      </c>
      <c r="L747" t="s">
        <v>7</v>
      </c>
      <c r="M747" t="s">
        <v>7</v>
      </c>
      <c r="N747" t="s">
        <v>7</v>
      </c>
      <c r="P747">
        <f t="shared" si="999"/>
        <v>-0.20833333333333229</v>
      </c>
      <c r="Q747">
        <f t="shared" si="1000"/>
        <v>-2009683.9999999898</v>
      </c>
      <c r="R747">
        <f t="shared" si="1001"/>
        <v>-32617395.466052137</v>
      </c>
      <c r="S747">
        <f t="shared" si="1002"/>
        <v>-326.17395466052136</v>
      </c>
      <c r="T747">
        <f t="shared" si="1003"/>
        <v>-0.32617395466052135</v>
      </c>
    </row>
    <row r="748" spans="1:20" x14ac:dyDescent="0.25">
      <c r="A748" s="5">
        <v>43845</v>
      </c>
      <c r="B748">
        <v>7.62E-3</v>
      </c>
      <c r="C748">
        <v>7.9600000000000001E-3</v>
      </c>
      <c r="D748">
        <v>7.45E-3</v>
      </c>
      <c r="E748">
        <v>7.7200000000000003E-3</v>
      </c>
      <c r="F748">
        <v>11786212.6</v>
      </c>
      <c r="G748">
        <v>0</v>
      </c>
      <c r="L748" t="s">
        <v>8</v>
      </c>
      <c r="M748" t="s">
        <v>7</v>
      </c>
      <c r="N748" t="s">
        <v>7</v>
      </c>
      <c r="P748">
        <f t="shared" si="999"/>
        <v>5.8823529411765704E-2</v>
      </c>
      <c r="Q748">
        <f t="shared" si="1000"/>
        <v>693306.62352942349</v>
      </c>
      <c r="R748">
        <f t="shared" si="1001"/>
        <v>-30607711.466052148</v>
      </c>
      <c r="S748">
        <f t="shared" si="1002"/>
        <v>-306.07711466052149</v>
      </c>
      <c r="T748">
        <f t="shared" si="1003"/>
        <v>-0.30607711466052151</v>
      </c>
    </row>
    <row r="749" spans="1:20" x14ac:dyDescent="0.25">
      <c r="A749" s="5">
        <v>43844</v>
      </c>
      <c r="B749">
        <v>7.8499999999999993E-3</v>
      </c>
      <c r="C749">
        <v>8.0099999999999998E-3</v>
      </c>
      <c r="D749">
        <v>7.3099999999999997E-3</v>
      </c>
      <c r="E749">
        <v>7.6299999999999996E-3</v>
      </c>
      <c r="F749">
        <v>27027356.699999999</v>
      </c>
      <c r="G749">
        <v>0</v>
      </c>
      <c r="L749" t="s">
        <v>7</v>
      </c>
      <c r="M749" t="s">
        <v>7</v>
      </c>
      <c r="N749" t="s">
        <v>7</v>
      </c>
      <c r="P749">
        <f t="shared" si="999"/>
        <v>-8.5714285714285923E-2</v>
      </c>
      <c r="Q749">
        <f t="shared" si="1000"/>
        <v>-2316630.57428572</v>
      </c>
      <c r="R749">
        <f t="shared" si="1001"/>
        <v>-31301018.089581572</v>
      </c>
      <c r="S749">
        <f t="shared" si="1002"/>
        <v>-313.01018089581572</v>
      </c>
      <c r="T749">
        <f t="shared" si="1003"/>
        <v>-0.31301018089581573</v>
      </c>
    </row>
    <row r="750" spans="1:20" x14ac:dyDescent="0.25">
      <c r="A750" s="5">
        <v>43843</v>
      </c>
      <c r="B750">
        <v>8.3999999999999995E-3</v>
      </c>
      <c r="C750">
        <v>8.3999999999999995E-3</v>
      </c>
      <c r="D750">
        <v>7.8200000000000006E-3</v>
      </c>
      <c r="E750">
        <v>7.8499999999999993E-3</v>
      </c>
      <c r="F750">
        <v>16432455.6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-0.89655172413793505</v>
      </c>
      <c r="Q750">
        <f t="shared" si="1000"/>
        <v>-14732546.400000066</v>
      </c>
      <c r="R750">
        <f t="shared" si="1001"/>
        <v>-28984387.515295852</v>
      </c>
      <c r="S750">
        <f t="shared" si="1002"/>
        <v>-289.8438751529585</v>
      </c>
      <c r="T750">
        <f t="shared" si="1003"/>
        <v>-0.28984387515295851</v>
      </c>
    </row>
    <row r="751" spans="1:20" x14ac:dyDescent="0.25">
      <c r="A751" s="5">
        <v>43842</v>
      </c>
      <c r="B751">
        <v>8.2400000000000008E-3</v>
      </c>
      <c r="C751">
        <v>8.4499999999999992E-3</v>
      </c>
      <c r="D751">
        <v>8.2100000000000003E-3</v>
      </c>
      <c r="E751">
        <v>8.4499999999999992E-3</v>
      </c>
      <c r="F751">
        <v>1412380.3</v>
      </c>
      <c r="G751">
        <v>0</v>
      </c>
      <c r="L751" t="s">
        <v>7</v>
      </c>
      <c r="M751" t="s">
        <v>7</v>
      </c>
      <c r="N751" t="s">
        <v>7</v>
      </c>
      <c r="P751">
        <f t="shared" si="999"/>
        <v>1</v>
      </c>
      <c r="Q751">
        <f t="shared" si="1000"/>
        <v>1412380.3</v>
      </c>
      <c r="R751">
        <f t="shared" si="1001"/>
        <v>-14251841.115295786</v>
      </c>
      <c r="S751">
        <f t="shared" si="1002"/>
        <v>-142.51841115295787</v>
      </c>
      <c r="T751">
        <f t="shared" si="1003"/>
        <v>-0.14251841115295788</v>
      </c>
    </row>
    <row r="752" spans="1:20" x14ac:dyDescent="0.25">
      <c r="A752" s="5">
        <v>43841</v>
      </c>
      <c r="B752">
        <v>8.3899999999999999E-3</v>
      </c>
      <c r="C752">
        <v>8.4799999999999997E-3</v>
      </c>
      <c r="D752">
        <v>8.1700000000000002E-3</v>
      </c>
      <c r="E752">
        <v>8.2500000000000004E-3</v>
      </c>
      <c r="F752">
        <v>2007990.7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-0.48387096774193333</v>
      </c>
      <c r="Q752">
        <f t="shared" si="1000"/>
        <v>-971608.40322580212</v>
      </c>
      <c r="R752">
        <f t="shared" si="1001"/>
        <v>-15664221.415295787</v>
      </c>
      <c r="S752">
        <f t="shared" si="1002"/>
        <v>-156.64221415295788</v>
      </c>
      <c r="T752">
        <f t="shared" si="1003"/>
        <v>-0.15664221415295787</v>
      </c>
    </row>
    <row r="753" spans="1:20" x14ac:dyDescent="0.25">
      <c r="A753" s="5">
        <v>43840</v>
      </c>
      <c r="B753">
        <v>8.3099999999999997E-3</v>
      </c>
      <c r="C753">
        <v>8.4499999999999992E-3</v>
      </c>
      <c r="D753">
        <v>8.1499999999999993E-3</v>
      </c>
      <c r="E753">
        <v>8.3599999999999994E-3</v>
      </c>
      <c r="F753">
        <v>2087554.8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0.40000000000000113</v>
      </c>
      <c r="Q753">
        <f t="shared" si="1000"/>
        <v>835021.92000000237</v>
      </c>
      <c r="R753">
        <f t="shared" si="1001"/>
        <v>-14692613.012069985</v>
      </c>
      <c r="S753">
        <f t="shared" si="1002"/>
        <v>-146.92613012069987</v>
      </c>
      <c r="T753">
        <f t="shared" si="1003"/>
        <v>-0.14692613012069985</v>
      </c>
    </row>
    <row r="754" spans="1:20" x14ac:dyDescent="0.25">
      <c r="A754" s="5">
        <v>43839</v>
      </c>
      <c r="B754">
        <v>8.5500000000000003E-3</v>
      </c>
      <c r="C754">
        <v>8.8299999999999993E-3</v>
      </c>
      <c r="D754">
        <v>8.1399999999999997E-3</v>
      </c>
      <c r="E754">
        <v>8.2799999999999992E-3</v>
      </c>
      <c r="F754">
        <v>2669887.6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-0.59420289855072583</v>
      </c>
      <c r="Q754">
        <f t="shared" si="1000"/>
        <v>-1586454.9507246409</v>
      </c>
      <c r="R754">
        <f t="shared" si="1001"/>
        <v>-15527634.932069987</v>
      </c>
      <c r="S754">
        <f t="shared" si="1002"/>
        <v>-155.27634932069986</v>
      </c>
      <c r="T754">
        <f t="shared" si="1003"/>
        <v>-0.15527634932069986</v>
      </c>
    </row>
    <row r="755" spans="1:20" x14ac:dyDescent="0.25">
      <c r="A755" s="5">
        <v>43838</v>
      </c>
      <c r="B755">
        <v>8.8199999999999997E-3</v>
      </c>
      <c r="C755">
        <v>8.8699999999999994E-3</v>
      </c>
      <c r="D755">
        <v>8.3300000000000006E-3</v>
      </c>
      <c r="E755">
        <v>8.6099999999999996E-3</v>
      </c>
      <c r="F755">
        <v>9494970.5999999996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3.7037037037035613E-2</v>
      </c>
      <c r="Q755">
        <f t="shared" si="1000"/>
        <v>351665.57777776424</v>
      </c>
      <c r="R755">
        <f t="shared" si="1001"/>
        <v>-13941179.981345346</v>
      </c>
      <c r="S755">
        <f t="shared" si="1002"/>
        <v>-139.41179981345346</v>
      </c>
      <c r="T755">
        <f t="shared" si="1003"/>
        <v>-0.13941179981345345</v>
      </c>
    </row>
    <row r="756" spans="1:20" x14ac:dyDescent="0.25">
      <c r="A756" s="5">
        <v>43837</v>
      </c>
      <c r="B756">
        <v>9.1699999999999993E-3</v>
      </c>
      <c r="C756">
        <v>9.8899999999999995E-3</v>
      </c>
      <c r="D756">
        <v>8.7200000000000003E-3</v>
      </c>
      <c r="E756">
        <v>8.7399999999999995E-3</v>
      </c>
      <c r="F756">
        <v>5331817.4000000004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-0.96581196581196715</v>
      </c>
      <c r="Q756">
        <f t="shared" si="1000"/>
        <v>-5149533.044444452</v>
      </c>
      <c r="R756">
        <f t="shared" si="1001"/>
        <v>-14292845.55912311</v>
      </c>
      <c r="S756">
        <f t="shared" si="1002"/>
        <v>-142.92845559123111</v>
      </c>
      <c r="T756">
        <f t="shared" si="1003"/>
        <v>-0.1429284555912311</v>
      </c>
    </row>
    <row r="757" spans="1:20" x14ac:dyDescent="0.25">
      <c r="A757" s="5">
        <v>43836</v>
      </c>
      <c r="B757">
        <v>8.9300000000000004E-3</v>
      </c>
      <c r="C757">
        <v>9.2999999999999992E-3</v>
      </c>
      <c r="D757">
        <v>8.8900000000000003E-3</v>
      </c>
      <c r="E757">
        <v>9.1699999999999993E-3</v>
      </c>
      <c r="F757">
        <v>2481469.7000000002</v>
      </c>
      <c r="G757">
        <v>0</v>
      </c>
      <c r="L757" t="s">
        <v>7</v>
      </c>
      <c r="M757" t="s">
        <v>7</v>
      </c>
      <c r="N757" t="s">
        <v>7</v>
      </c>
      <c r="P757">
        <f t="shared" si="999"/>
        <v>0.36585365853658414</v>
      </c>
      <c r="Q757">
        <f t="shared" si="1000"/>
        <v>907854.76829267992</v>
      </c>
      <c r="R757">
        <f t="shared" si="1001"/>
        <v>-9143312.5146786571</v>
      </c>
      <c r="S757">
        <f t="shared" si="1002"/>
        <v>-91.433125146786566</v>
      </c>
      <c r="T757">
        <f t="shared" si="1003"/>
        <v>-9.1433125146786559E-2</v>
      </c>
    </row>
    <row r="758" spans="1:20" x14ac:dyDescent="0.25">
      <c r="A758" s="5">
        <v>43835</v>
      </c>
      <c r="B758">
        <v>8.9200000000000008E-3</v>
      </c>
      <c r="C758">
        <v>9.6299999999999997E-3</v>
      </c>
      <c r="D758">
        <v>8.7100000000000007E-3</v>
      </c>
      <c r="E758">
        <v>8.8800000000000007E-3</v>
      </c>
      <c r="F758">
        <v>7042804.2000000002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-0.63043478260869523</v>
      </c>
      <c r="Q758">
        <f t="shared" si="1000"/>
        <v>-4440028.7347826054</v>
      </c>
      <c r="R758">
        <f t="shared" si="1001"/>
        <v>-10051167.282971337</v>
      </c>
      <c r="S758">
        <f t="shared" si="1002"/>
        <v>-100.51167282971338</v>
      </c>
      <c r="T758">
        <f t="shared" si="1003"/>
        <v>-0.10051167282971338</v>
      </c>
    </row>
    <row r="759" spans="1:20" x14ac:dyDescent="0.25">
      <c r="A759" s="5">
        <v>43834</v>
      </c>
      <c r="B759">
        <v>9.0399999999999994E-3</v>
      </c>
      <c r="C759">
        <v>9.1000000000000004E-3</v>
      </c>
      <c r="D759">
        <v>8.8999999999999999E-3</v>
      </c>
      <c r="E759">
        <v>8.94E-3</v>
      </c>
      <c r="F759">
        <v>1002904.8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-0.6</v>
      </c>
      <c r="Q759">
        <f t="shared" si="1000"/>
        <v>-601742.88</v>
      </c>
      <c r="R759">
        <f t="shared" si="1001"/>
        <v>-5611138.5481887329</v>
      </c>
      <c r="S759">
        <f t="shared" si="1002"/>
        <v>-56.111385481887332</v>
      </c>
      <c r="T759">
        <f t="shared" si="1003"/>
        <v>-5.6111385481887335E-2</v>
      </c>
    </row>
    <row r="760" spans="1:20" x14ac:dyDescent="0.25">
      <c r="A760" s="5">
        <v>43833</v>
      </c>
      <c r="B760">
        <v>8.7399999999999995E-3</v>
      </c>
      <c r="C760">
        <v>9.3900000000000008E-3</v>
      </c>
      <c r="D760">
        <v>8.6599999999999993E-3</v>
      </c>
      <c r="E760">
        <v>9.0399999999999994E-3</v>
      </c>
      <c r="F760">
        <v>1373171.6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4.1095890410957146E-2</v>
      </c>
      <c r="Q760">
        <f t="shared" si="1000"/>
        <v>56431.709589038684</v>
      </c>
      <c r="R760">
        <f t="shared" si="1001"/>
        <v>-5009395.668188733</v>
      </c>
      <c r="S760">
        <f t="shared" si="1002"/>
        <v>-50.093956681887327</v>
      </c>
      <c r="T760">
        <f t="shared" si="1003"/>
        <v>-5.0093956681887326E-2</v>
      </c>
    </row>
    <row r="761" spans="1:20" x14ac:dyDescent="0.25">
      <c r="A761" s="5">
        <v>43832</v>
      </c>
      <c r="B761">
        <v>8.8299999999999993E-3</v>
      </c>
      <c r="C761">
        <v>9.1999999999999998E-3</v>
      </c>
      <c r="D761">
        <v>8.5699999999999995E-3</v>
      </c>
      <c r="E761">
        <v>8.7299999999999999E-3</v>
      </c>
      <c r="F761">
        <v>5960395.7999999998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-0.49206349206349104</v>
      </c>
      <c r="Q761">
        <f t="shared" si="1000"/>
        <v>-2932893.1714285654</v>
      </c>
      <c r="R761">
        <f t="shared" si="1001"/>
        <v>-5065827.377777772</v>
      </c>
      <c r="S761">
        <f t="shared" si="1002"/>
        <v>-50.658273777777723</v>
      </c>
      <c r="T761">
        <f t="shared" si="1003"/>
        <v>-5.0658273777777721E-2</v>
      </c>
    </row>
    <row r="762" spans="1:20" x14ac:dyDescent="0.25">
      <c r="A762" s="5">
        <v>43831</v>
      </c>
      <c r="B762">
        <v>8.9800000000000001E-3</v>
      </c>
      <c r="C762">
        <v>9.7400000000000004E-3</v>
      </c>
      <c r="D762">
        <v>8.4799999999999997E-3</v>
      </c>
      <c r="E762">
        <v>8.8599999999999998E-3</v>
      </c>
      <c r="F762">
        <v>5374994.2000000002</v>
      </c>
      <c r="G762">
        <v>0</v>
      </c>
      <c r="P762">
        <f t="shared" si="999"/>
        <v>-0.39682539682539697</v>
      </c>
      <c r="Q762">
        <f t="shared" si="1000"/>
        <v>-2132934.2063492071</v>
      </c>
      <c r="R762">
        <f t="shared" si="1001"/>
        <v>-2132934.2063492071</v>
      </c>
      <c r="S762">
        <f t="shared" si="1002"/>
        <v>-21.329342063492071</v>
      </c>
      <c r="T762">
        <f t="shared" si="1003"/>
        <v>-2.132934206349207E-2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F764" sqref="OF76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$A$763</v>
      </c>
      <c r="D111" s="1" t="str">
        <f>ADDRESS(C121-1,D121,1,1)</f>
        <v>$OF$763</v>
      </c>
      <c r="E111"/>
    </row>
    <row r="112" spans="1:5" x14ac:dyDescent="0.25">
      <c r="A112" s="7">
        <v>12164.144957890772</v>
      </c>
      <c r="C112" s="1" t="str">
        <f>ADDRESS(C121,1,1,1)</f>
        <v>$A$764</v>
      </c>
      <c r="D112" s="1" t="str">
        <f>ADDRESS(C121,D121-1,1,1)</f>
        <v>$OE$764</v>
      </c>
      <c r="E112"/>
    </row>
    <row r="113" spans="1:5" x14ac:dyDescent="0.25">
      <c r="A113" s="7">
        <v>11925.63231165762</v>
      </c>
      <c r="C113" s="1" t="str">
        <f>ADDRESS(C121+1,1,1,1)</f>
        <v>$A$765</v>
      </c>
      <c r="D113" s="1" t="str">
        <f>ADDRESS(C121-1,D121+1,1,1)</f>
        <v>$OG$763</v>
      </c>
    </row>
    <row r="114" spans="1:5" x14ac:dyDescent="0.25">
      <c r="A114" s="7">
        <v>11691.796383978059</v>
      </c>
      <c r="C114" s="1" t="str">
        <f>ADDRESS(C121,D121,1,1)</f>
        <v>$OF$764</v>
      </c>
      <c r="D114" s="1" t="str">
        <f>ADDRESS(C121+1,D121+1,1,1)</f>
        <v>$OG$765</v>
      </c>
    </row>
    <row r="115" spans="1:5" x14ac:dyDescent="0.25">
      <c r="A115" s="7">
        <v>11462.545474488292</v>
      </c>
      <c r="C115" s="1" t="str">
        <f>ADDRESS(C121+1,D121,1,1)</f>
        <v>$OF$765</v>
      </c>
    </row>
    <row r="116" spans="1:5" x14ac:dyDescent="0.25">
      <c r="A116" s="7">
        <v>11237.789680870874</v>
      </c>
      <c r="C116" s="1">
        <f>C117-1</f>
        <v>763</v>
      </c>
    </row>
    <row r="117" spans="1:5" x14ac:dyDescent="0.25">
      <c r="A117" s="7">
        <v>11017.440863598895</v>
      </c>
      <c r="C117" s="1">
        <f>C121</f>
        <v>764</v>
      </c>
      <c r="D117" s="1">
        <f>D121</f>
        <v>396</v>
      </c>
    </row>
    <row r="118" spans="1:5" x14ac:dyDescent="0.25">
      <c r="A118" s="7">
        <v>10801.412611371465</v>
      </c>
      <c r="C118" s="1">
        <f>C117+1</f>
        <v>765</v>
      </c>
      <c r="D118" s="1">
        <f>D117+1</f>
        <v>397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764</v>
      </c>
      <c r="D121" s="19">
        <v>396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R764</v>
      </c>
      <c r="D123" s="1" t="str">
        <f>"C"&amp;D121</f>
        <v>C396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3.0044819423255549E-2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356" x14ac:dyDescent="0.25">
      <c r="A673" s="7">
        <v>0.18213156881997963</v>
      </c>
      <c r="B673"/>
      <c r="C673"/>
      <c r="D673"/>
      <c r="E673"/>
      <c r="F673" s="27" t="s">
        <v>7</v>
      </c>
    </row>
    <row r="674" spans="1:356" x14ac:dyDescent="0.25">
      <c r="A674" s="7">
        <v>0.17856036158821534</v>
      </c>
      <c r="B674"/>
      <c r="C674"/>
      <c r="D674"/>
      <c r="E674"/>
      <c r="F674" s="27" t="s">
        <v>7</v>
      </c>
    </row>
    <row r="675" spans="1:356" x14ac:dyDescent="0.25">
      <c r="A675" s="7">
        <v>0.17505917802766208</v>
      </c>
      <c r="B675"/>
      <c r="C675"/>
      <c r="D675"/>
      <c r="E675"/>
      <c r="F675" s="27" t="s">
        <v>7</v>
      </c>
    </row>
    <row r="676" spans="1:356" x14ac:dyDescent="0.25">
      <c r="A676" s="7">
        <v>0.17162664512515888</v>
      </c>
      <c r="B676"/>
      <c r="C676"/>
      <c r="D676"/>
      <c r="E676"/>
      <c r="F676" s="27" t="s">
        <v>7</v>
      </c>
    </row>
    <row r="677" spans="1:356" x14ac:dyDescent="0.25">
      <c r="A677" s="7">
        <v>0.16826141678937145</v>
      </c>
      <c r="B677"/>
      <c r="C677"/>
      <c r="D677"/>
      <c r="E677"/>
      <c r="F677" s="27" t="s">
        <v>7</v>
      </c>
    </row>
    <row r="678" spans="1:356" x14ac:dyDescent="0.25">
      <c r="A678" s="7">
        <v>0.16496217332291319</v>
      </c>
      <c r="B678"/>
      <c r="C678"/>
      <c r="D678"/>
      <c r="E678"/>
      <c r="F678" s="27" t="s">
        <v>7</v>
      </c>
    </row>
    <row r="679" spans="1:356" x14ac:dyDescent="0.25">
      <c r="A679" s="7">
        <v>0.16172762090481685</v>
      </c>
      <c r="B679"/>
      <c r="C679"/>
      <c r="D679"/>
      <c r="E679"/>
      <c r="F679" s="27" t="s">
        <v>7</v>
      </c>
    </row>
    <row r="680" spans="1:356" x14ac:dyDescent="0.25">
      <c r="A680" s="7">
        <v>0.15855649108315376</v>
      </c>
      <c r="B680"/>
      <c r="C680"/>
      <c r="D680"/>
      <c r="E680"/>
      <c r="F680" s="27" t="s">
        <v>7</v>
      </c>
    </row>
    <row r="681" spans="1:356" x14ac:dyDescent="0.25">
      <c r="A681" s="7">
        <v>0.15544754027760171</v>
      </c>
      <c r="B681"/>
      <c r="C681"/>
      <c r="D681"/>
      <c r="E681"/>
      <c r="F681" s="27" t="s">
        <v>7</v>
      </c>
      <c r="HU681" s="27" t="s">
        <v>8</v>
      </c>
    </row>
    <row r="682" spans="1:356" x14ac:dyDescent="0.25">
      <c r="A682" s="7">
        <v>0.15239954929176638</v>
      </c>
      <c r="B682"/>
      <c r="C682"/>
      <c r="D682"/>
      <c r="E682"/>
      <c r="F682" s="27" t="s">
        <v>7</v>
      </c>
      <c r="HU682" s="27" t="s">
        <v>8</v>
      </c>
      <c r="HV682" s="27" t="s">
        <v>7</v>
      </c>
    </row>
    <row r="683" spans="1:356" x14ac:dyDescent="0.25">
      <c r="A683" s="7">
        <v>0.14941132283506509</v>
      </c>
      <c r="B683"/>
      <c r="C683"/>
      <c r="D683"/>
      <c r="E683"/>
      <c r="F683" s="27" t="s">
        <v>7</v>
      </c>
      <c r="HU683" s="27" t="s">
        <v>8</v>
      </c>
      <c r="HV683" s="27" t="s">
        <v>7</v>
      </c>
    </row>
    <row r="684" spans="1:356" x14ac:dyDescent="0.25">
      <c r="A684" s="7">
        <v>0.14648168905398537</v>
      </c>
      <c r="B684"/>
      <c r="C684"/>
      <c r="D684"/>
      <c r="E684"/>
      <c r="F684" s="27" t="s">
        <v>7</v>
      </c>
      <c r="HU684" s="27" t="s">
        <v>8</v>
      </c>
      <c r="HV684" s="27" t="s">
        <v>7</v>
      </c>
    </row>
    <row r="685" spans="1:356" x14ac:dyDescent="0.25">
      <c r="A685" s="7">
        <v>0.14360949907253467</v>
      </c>
      <c r="B685"/>
      <c r="C685"/>
      <c r="D685"/>
      <c r="E685"/>
      <c r="F685" s="27" t="s">
        <v>7</v>
      </c>
      <c r="HU685" s="27" t="s">
        <v>8</v>
      </c>
      <c r="HV685" s="27" t="s">
        <v>7</v>
      </c>
    </row>
    <row r="686" spans="1:356" x14ac:dyDescent="0.25">
      <c r="A686" s="7">
        <v>0.14079362654170066</v>
      </c>
      <c r="B686"/>
      <c r="C686"/>
      <c r="D686"/>
      <c r="E686"/>
      <c r="F686" s="27" t="s">
        <v>7</v>
      </c>
      <c r="HU686" s="27" t="s">
        <v>8</v>
      </c>
      <c r="HV686" s="27" t="s">
        <v>7</v>
      </c>
    </row>
    <row r="687" spans="1:356" x14ac:dyDescent="0.25">
      <c r="A687" s="7">
        <v>0.13803296719774574</v>
      </c>
      <c r="B687"/>
      <c r="C687"/>
      <c r="D687"/>
      <c r="E687"/>
      <c r="F687" s="27" t="s">
        <v>7</v>
      </c>
      <c r="HU687" s="27" t="s">
        <v>8</v>
      </c>
      <c r="HV687" s="27" t="s">
        <v>7</v>
      </c>
      <c r="HY687" s="27" t="s">
        <v>8</v>
      </c>
      <c r="MQ687" s="27" t="s">
        <v>8</v>
      </c>
    </row>
    <row r="688" spans="1:356" x14ac:dyDescent="0.25">
      <c r="A688" s="7">
        <v>0.1353264384291625</v>
      </c>
      <c r="B688"/>
      <c r="C688"/>
      <c r="D688"/>
      <c r="E688"/>
      <c r="F688" s="27" t="s">
        <v>7</v>
      </c>
      <c r="HU688" s="27" t="s">
        <v>8</v>
      </c>
      <c r="HV688" s="27" t="s">
        <v>7</v>
      </c>
      <c r="HW688" s="27" t="s">
        <v>8</v>
      </c>
      <c r="HY688" s="27" t="s">
        <v>8</v>
      </c>
      <c r="HZ688" s="27" t="s">
        <v>7</v>
      </c>
      <c r="MQ688" s="27" t="s">
        <v>8</v>
      </c>
      <c r="MR688" s="27" t="s">
        <v>7</v>
      </c>
    </row>
    <row r="689" spans="1:366" x14ac:dyDescent="0.25">
      <c r="A689" s="7">
        <v>0.13267297885212009</v>
      </c>
      <c r="B689"/>
      <c r="C689"/>
      <c r="D689"/>
      <c r="E689"/>
      <c r="F689" s="27" t="s">
        <v>7</v>
      </c>
      <c r="HU689" s="27" t="s">
        <v>8</v>
      </c>
      <c r="HV689" s="27" t="s">
        <v>7</v>
      </c>
      <c r="HW689" s="27" t="s">
        <v>8</v>
      </c>
      <c r="HX689" s="27" t="s">
        <v>7</v>
      </c>
      <c r="HY689" s="27" t="s">
        <v>8</v>
      </c>
      <c r="HZ689" s="27" t="s">
        <v>7</v>
      </c>
      <c r="MQ689" s="27" t="s">
        <v>8</v>
      </c>
      <c r="MR689" s="27" t="s">
        <v>7</v>
      </c>
    </row>
    <row r="690" spans="1:366" x14ac:dyDescent="0.25">
      <c r="A690" s="7">
        <v>0.13007154789423539</v>
      </c>
      <c r="B690"/>
      <c r="C690"/>
      <c r="D690"/>
      <c r="E690"/>
      <c r="F690" s="27" t="s">
        <v>7</v>
      </c>
      <c r="HU690" s="27" t="s">
        <v>8</v>
      </c>
      <c r="HV690" s="27" t="s">
        <v>7</v>
      </c>
      <c r="HW690" s="27" t="s">
        <v>8</v>
      </c>
      <c r="HX690" s="27" t="s">
        <v>7</v>
      </c>
      <c r="HY690" s="27" t="s">
        <v>8</v>
      </c>
      <c r="HZ690" s="27" t="s">
        <v>7</v>
      </c>
      <c r="MQ690" s="27" t="s">
        <v>8</v>
      </c>
      <c r="MR690" s="27" t="s">
        <v>7</v>
      </c>
    </row>
    <row r="691" spans="1:366" x14ac:dyDescent="0.25">
      <c r="A691" s="7">
        <v>0.12752112538650529</v>
      </c>
      <c r="B691"/>
      <c r="C691"/>
      <c r="D691"/>
      <c r="E691"/>
      <c r="F691" s="27" t="s">
        <v>7</v>
      </c>
      <c r="HU691" s="27" t="s">
        <v>8</v>
      </c>
      <c r="HV691" s="27" t="s">
        <v>7</v>
      </c>
      <c r="HW691" s="27" t="s">
        <v>8</v>
      </c>
      <c r="HX691" s="27" t="s">
        <v>7</v>
      </c>
      <c r="HY691" s="27" t="s">
        <v>8</v>
      </c>
      <c r="HZ691" s="27" t="s">
        <v>7</v>
      </c>
      <c r="MQ691" s="27" t="s">
        <v>8</v>
      </c>
      <c r="MR691" s="27" t="s">
        <v>7</v>
      </c>
    </row>
    <row r="692" spans="1:366" x14ac:dyDescent="0.25">
      <c r="A692" s="7">
        <v>0.12502071116324048</v>
      </c>
      <c r="B692"/>
      <c r="C692"/>
      <c r="D692"/>
      <c r="E692"/>
      <c r="F692" s="27" t="s">
        <v>7</v>
      </c>
      <c r="HU692" s="27" t="s">
        <v>8</v>
      </c>
      <c r="HV692" s="27" t="s">
        <v>7</v>
      </c>
      <c r="HW692" s="27" t="s">
        <v>8</v>
      </c>
      <c r="HX692" s="27" t="s">
        <v>7</v>
      </c>
      <c r="HY692" s="27" t="s">
        <v>8</v>
      </c>
      <c r="HZ692" s="27" t="s">
        <v>7</v>
      </c>
      <c r="MQ692" s="27" t="s">
        <v>8</v>
      </c>
      <c r="MR692" s="27" t="s">
        <v>7</v>
      </c>
      <c r="NA692" s="27" t="s">
        <v>8</v>
      </c>
    </row>
    <row r="693" spans="1:366" x14ac:dyDescent="0.25">
      <c r="A693" s="7">
        <v>0.1225693246698436</v>
      </c>
      <c r="B693"/>
      <c r="C693"/>
      <c r="D693"/>
      <c r="E693"/>
      <c r="F693" s="27" t="s">
        <v>7</v>
      </c>
      <c r="HU693" s="27" t="s">
        <v>8</v>
      </c>
      <c r="HV693" s="27" t="s">
        <v>7</v>
      </c>
      <c r="HW693" s="27" t="s">
        <v>8</v>
      </c>
      <c r="HX693" s="27" t="s">
        <v>7</v>
      </c>
      <c r="HY693" s="27" t="s">
        <v>8</v>
      </c>
      <c r="HZ693" s="27" t="s">
        <v>7</v>
      </c>
      <c r="MQ693" s="27" t="s">
        <v>8</v>
      </c>
      <c r="MR693" s="27" t="s">
        <v>7</v>
      </c>
      <c r="NA693" s="27" t="s">
        <v>8</v>
      </c>
      <c r="NB693" s="27" t="s">
        <v>7</v>
      </c>
    </row>
    <row r="694" spans="1:366" x14ac:dyDescent="0.25">
      <c r="A694" s="7">
        <v>0.12016600457827803</v>
      </c>
      <c r="B694"/>
      <c r="C694"/>
      <c r="D694"/>
      <c r="E694"/>
      <c r="F694" s="27" t="s">
        <v>7</v>
      </c>
      <c r="HU694" s="27" t="s">
        <v>8</v>
      </c>
      <c r="HV694" s="27" t="s">
        <v>7</v>
      </c>
      <c r="HW694" s="27" t="s">
        <v>8</v>
      </c>
      <c r="HX694" s="27" t="s">
        <v>7</v>
      </c>
      <c r="HY694" s="27" t="s">
        <v>8</v>
      </c>
      <c r="HZ694" s="27" t="s">
        <v>7</v>
      </c>
      <c r="MQ694" s="27" t="s">
        <v>8</v>
      </c>
      <c r="MR694" s="27" t="s">
        <v>7</v>
      </c>
      <c r="NA694" s="27" t="s">
        <v>8</v>
      </c>
      <c r="NB694" s="27" t="s">
        <v>7</v>
      </c>
    </row>
    <row r="695" spans="1:366" x14ac:dyDescent="0.25">
      <c r="A695" s="7">
        <v>0.1178098084100765</v>
      </c>
      <c r="B695"/>
      <c r="C695"/>
      <c r="D695"/>
      <c r="E695"/>
      <c r="F695" s="27" t="s">
        <v>7</v>
      </c>
      <c r="HU695" s="27" t="s">
        <v>8</v>
      </c>
      <c r="HV695" s="27" t="s">
        <v>7</v>
      </c>
      <c r="HW695" s="27" t="s">
        <v>8</v>
      </c>
      <c r="HX695" s="27" t="s">
        <v>7</v>
      </c>
      <c r="HY695" s="27" t="s">
        <v>8</v>
      </c>
      <c r="HZ695" s="27" t="s">
        <v>7</v>
      </c>
      <c r="MQ695" s="27" t="s">
        <v>8</v>
      </c>
      <c r="MR695" s="27" t="s">
        <v>7</v>
      </c>
      <c r="NA695" s="27" t="s">
        <v>8</v>
      </c>
      <c r="NB695" s="27" t="s">
        <v>7</v>
      </c>
    </row>
    <row r="696" spans="1:366" x14ac:dyDescent="0.25">
      <c r="A696" s="7">
        <v>0.11549981216674166</v>
      </c>
      <c r="B696"/>
      <c r="C696"/>
      <c r="D696"/>
      <c r="E696"/>
      <c r="F696" s="27" t="s">
        <v>7</v>
      </c>
      <c r="HU696" s="27" t="s">
        <v>8</v>
      </c>
      <c r="HV696" s="27" t="s">
        <v>7</v>
      </c>
      <c r="HW696" s="27" t="s">
        <v>8</v>
      </c>
      <c r="HX696" s="27" t="s">
        <v>7</v>
      </c>
      <c r="HY696" s="27" t="s">
        <v>8</v>
      </c>
      <c r="HZ696" s="27" t="s">
        <v>7</v>
      </c>
      <c r="MQ696" s="27" t="s">
        <v>8</v>
      </c>
      <c r="MR696" s="27" t="s">
        <v>7</v>
      </c>
      <c r="NA696" s="27" t="s">
        <v>8</v>
      </c>
      <c r="NB696" s="27" t="s">
        <v>7</v>
      </c>
    </row>
    <row r="697" spans="1:366" x14ac:dyDescent="0.25">
      <c r="A697" s="7">
        <v>0.11323510996739378</v>
      </c>
      <c r="B697"/>
      <c r="C697"/>
      <c r="D697"/>
      <c r="E697"/>
      <c r="F697" s="27" t="s">
        <v>7</v>
      </c>
      <c r="HU697" s="27" t="s">
        <v>8</v>
      </c>
      <c r="HV697" s="27" t="s">
        <v>7</v>
      </c>
      <c r="HW697" s="27" t="s">
        <v>8</v>
      </c>
      <c r="HX697" s="27" t="s">
        <v>7</v>
      </c>
      <c r="HY697" s="27" t="s">
        <v>8</v>
      </c>
      <c r="HZ697" s="27" t="s">
        <v>7</v>
      </c>
      <c r="MQ697" s="27" t="s">
        <v>8</v>
      </c>
      <c r="MR697" s="27" t="s">
        <v>7</v>
      </c>
      <c r="NA697" s="27" t="s">
        <v>8</v>
      </c>
      <c r="NB697" s="27" t="s">
        <v>7</v>
      </c>
    </row>
    <row r="698" spans="1:366" x14ac:dyDescent="0.25">
      <c r="A698" s="7">
        <v>0.11101481369352331</v>
      </c>
      <c r="B698"/>
      <c r="C698"/>
      <c r="D698"/>
      <c r="E698"/>
      <c r="F698" s="27" t="s">
        <v>7</v>
      </c>
      <c r="HU698" s="27" t="s">
        <v>8</v>
      </c>
      <c r="HV698" s="27" t="s">
        <v>7</v>
      </c>
      <c r="HW698" s="27" t="s">
        <v>8</v>
      </c>
      <c r="HX698" s="27" t="s">
        <v>7</v>
      </c>
      <c r="HY698" s="27" t="s">
        <v>8</v>
      </c>
      <c r="HZ698" s="27" t="s">
        <v>7</v>
      </c>
      <c r="IA698" s="27" t="s">
        <v>8</v>
      </c>
      <c r="MQ698" s="27" t="s">
        <v>8</v>
      </c>
      <c r="MR698" s="27" t="s">
        <v>7</v>
      </c>
      <c r="NA698" s="27" t="s">
        <v>8</v>
      </c>
      <c r="NB698" s="27" t="s">
        <v>7</v>
      </c>
    </row>
    <row r="699" spans="1:366" x14ac:dyDescent="0.25">
      <c r="A699" s="7">
        <v>0.10883805264070913</v>
      </c>
      <c r="B699"/>
      <c r="C699"/>
      <c r="D699"/>
      <c r="E699"/>
      <c r="F699" s="27" t="s">
        <v>7</v>
      </c>
      <c r="HU699" s="27" t="s">
        <v>8</v>
      </c>
      <c r="HV699" s="27" t="s">
        <v>7</v>
      </c>
      <c r="HW699" s="27" t="s">
        <v>8</v>
      </c>
      <c r="HX699" s="27" t="s">
        <v>7</v>
      </c>
      <c r="HY699" s="27" t="s">
        <v>8</v>
      </c>
      <c r="HZ699" s="27" t="s">
        <v>7</v>
      </c>
      <c r="IA699" s="27" t="s">
        <v>8</v>
      </c>
      <c r="IB699" s="27" t="s">
        <v>7</v>
      </c>
      <c r="IC699" s="27" t="s">
        <v>8</v>
      </c>
      <c r="MQ699" s="27" t="s">
        <v>8</v>
      </c>
      <c r="MR699" s="27" t="s">
        <v>7</v>
      </c>
      <c r="NA699" s="27" t="s">
        <v>8</v>
      </c>
      <c r="NB699" s="27" t="s">
        <v>7</v>
      </c>
    </row>
    <row r="700" spans="1:366" x14ac:dyDescent="0.25">
      <c r="A700" s="7">
        <v>0.10670397317716582</v>
      </c>
      <c r="B700"/>
      <c r="C700"/>
      <c r="D700"/>
      <c r="E700"/>
      <c r="F700" s="27" t="s">
        <v>7</v>
      </c>
      <c r="HU700" s="27" t="s">
        <v>8</v>
      </c>
      <c r="HV700" s="27" t="s">
        <v>7</v>
      </c>
      <c r="HW700" s="27" t="s">
        <v>8</v>
      </c>
      <c r="HX700" s="27" t="s">
        <v>7</v>
      </c>
      <c r="HY700" s="27" t="s">
        <v>8</v>
      </c>
      <c r="HZ700" s="27" t="s">
        <v>7</v>
      </c>
      <c r="IA700" s="27" t="s">
        <v>8</v>
      </c>
      <c r="IB700" s="27" t="s">
        <v>7</v>
      </c>
      <c r="IC700" s="27" t="s">
        <v>8</v>
      </c>
      <c r="ID700" s="27" t="s">
        <v>7</v>
      </c>
      <c r="MQ700" s="27" t="s">
        <v>8</v>
      </c>
      <c r="MR700" s="27" t="s">
        <v>7</v>
      </c>
      <c r="NA700" s="27" t="s">
        <v>8</v>
      </c>
      <c r="NB700" s="27" t="s">
        <v>7</v>
      </c>
    </row>
    <row r="701" spans="1:366" x14ac:dyDescent="0.25">
      <c r="A701" s="7">
        <v>0.1046117384089861</v>
      </c>
      <c r="B701"/>
      <c r="C701"/>
      <c r="D701"/>
      <c r="E701"/>
      <c r="F701" s="27" t="s">
        <v>7</v>
      </c>
      <c r="HU701" s="27" t="s">
        <v>8</v>
      </c>
      <c r="HV701" s="27" t="s">
        <v>7</v>
      </c>
      <c r="HW701" s="27" t="s">
        <v>8</v>
      </c>
      <c r="HX701" s="27" t="s">
        <v>7</v>
      </c>
      <c r="HY701" s="27" t="s">
        <v>8</v>
      </c>
      <c r="HZ701" s="27" t="s">
        <v>7</v>
      </c>
      <c r="IA701" s="27" t="s">
        <v>8</v>
      </c>
      <c r="IB701" s="27" t="s">
        <v>7</v>
      </c>
      <c r="IC701" s="27" t="s">
        <v>8</v>
      </c>
      <c r="ID701" s="27" t="s">
        <v>7</v>
      </c>
      <c r="IE701" s="27" t="s">
        <v>8</v>
      </c>
      <c r="MQ701" s="27" t="s">
        <v>8</v>
      </c>
      <c r="MR701" s="27" t="s">
        <v>7</v>
      </c>
      <c r="NA701" s="27" t="s">
        <v>8</v>
      </c>
      <c r="NB701" s="27" t="s">
        <v>7</v>
      </c>
    </row>
    <row r="702" spans="1:366" x14ac:dyDescent="0.25">
      <c r="A702" s="7">
        <v>0.10256052785194716</v>
      </c>
      <c r="B702"/>
      <c r="C702"/>
      <c r="D702"/>
      <c r="E702"/>
      <c r="F702" s="27" t="s">
        <v>7</v>
      </c>
      <c r="HU702" s="27" t="s">
        <v>8</v>
      </c>
      <c r="HV702" s="27" t="s">
        <v>7</v>
      </c>
      <c r="HW702" s="27" t="s">
        <v>8</v>
      </c>
      <c r="HX702" s="27" t="s">
        <v>7</v>
      </c>
      <c r="HY702" s="27" t="s">
        <v>8</v>
      </c>
      <c r="HZ702" s="27" t="s">
        <v>7</v>
      </c>
      <c r="IA702" s="27" t="s">
        <v>8</v>
      </c>
      <c r="IB702" s="27" t="s">
        <v>7</v>
      </c>
      <c r="IC702" s="27" t="s">
        <v>8</v>
      </c>
      <c r="ID702" s="27" t="s">
        <v>7</v>
      </c>
      <c r="IE702" s="27" t="s">
        <v>8</v>
      </c>
      <c r="IF702" s="27" t="s">
        <v>7</v>
      </c>
      <c r="MQ702" s="27" t="s">
        <v>8</v>
      </c>
      <c r="MR702" s="27" t="s">
        <v>7</v>
      </c>
      <c r="NA702" s="27" t="s">
        <v>8</v>
      </c>
      <c r="NB702" s="27" t="s">
        <v>7</v>
      </c>
    </row>
    <row r="703" spans="1:366" x14ac:dyDescent="0.25">
      <c r="A703" s="7">
        <v>0.10054953710975212</v>
      </c>
      <c r="B703"/>
      <c r="C703"/>
      <c r="D703"/>
      <c r="E703"/>
      <c r="F703" s="27" t="s">
        <v>7</v>
      </c>
      <c r="HU703" s="27" t="s">
        <v>8</v>
      </c>
      <c r="HV703" s="27" t="s">
        <v>7</v>
      </c>
      <c r="HW703" s="27" t="s">
        <v>8</v>
      </c>
      <c r="HX703" s="27" t="s">
        <v>7</v>
      </c>
      <c r="HZ703" s="27" t="s">
        <v>7</v>
      </c>
      <c r="IA703" s="27" t="s">
        <v>8</v>
      </c>
      <c r="IB703" s="27" t="s">
        <v>7</v>
      </c>
      <c r="IC703" s="27" t="s">
        <v>8</v>
      </c>
      <c r="ID703" s="27" t="s">
        <v>7</v>
      </c>
      <c r="IE703" s="27" t="s">
        <v>8</v>
      </c>
      <c r="IF703" s="27" t="s">
        <v>7</v>
      </c>
      <c r="IK703" s="27" t="s">
        <v>8</v>
      </c>
      <c r="MQ703" s="27" t="s">
        <v>8</v>
      </c>
      <c r="MR703" s="27" t="s">
        <v>7</v>
      </c>
      <c r="NA703" s="27" t="s">
        <v>8</v>
      </c>
      <c r="NB703" s="27" t="s">
        <v>7</v>
      </c>
    </row>
    <row r="704" spans="1:366" x14ac:dyDescent="0.25">
      <c r="A704" s="7">
        <v>9.8577977558580512E-2</v>
      </c>
      <c r="B704"/>
      <c r="C704"/>
      <c r="D704"/>
      <c r="E704"/>
      <c r="F704" s="27" t="s">
        <v>7</v>
      </c>
      <c r="HU704" s="27" t="s">
        <v>8</v>
      </c>
      <c r="HV704" s="27" t="s">
        <v>7</v>
      </c>
      <c r="HW704" s="27" t="s">
        <v>8</v>
      </c>
      <c r="HZ704" s="27" t="s">
        <v>7</v>
      </c>
      <c r="IA704" s="27" t="s">
        <v>8</v>
      </c>
      <c r="IB704" s="27" t="s">
        <v>7</v>
      </c>
      <c r="IC704" s="27" t="s">
        <v>8</v>
      </c>
      <c r="ID704" s="27" t="s">
        <v>7</v>
      </c>
      <c r="IE704" s="27" t="s">
        <v>8</v>
      </c>
      <c r="IF704" s="27" t="s">
        <v>7</v>
      </c>
      <c r="II704" s="27" t="s">
        <v>8</v>
      </c>
      <c r="IK704" s="27" t="s">
        <v>8</v>
      </c>
      <c r="IL704" s="27" t="s">
        <v>7</v>
      </c>
      <c r="MQ704" s="27" t="s">
        <v>8</v>
      </c>
      <c r="MR704" s="27" t="s">
        <v>7</v>
      </c>
      <c r="NA704" s="27" t="s">
        <v>8</v>
      </c>
      <c r="NB704" s="27" t="s">
        <v>7</v>
      </c>
    </row>
    <row r="705" spans="1:380" x14ac:dyDescent="0.25">
      <c r="A705" s="7">
        <v>9.6645076037824032E-2</v>
      </c>
      <c r="B705"/>
      <c r="C705"/>
      <c r="D705"/>
      <c r="E705"/>
      <c r="F705" s="27" t="s">
        <v>7</v>
      </c>
      <c r="HU705" s="27" t="s">
        <v>8</v>
      </c>
      <c r="HV705" s="27" t="s">
        <v>7</v>
      </c>
      <c r="HW705" s="27" t="s">
        <v>8</v>
      </c>
      <c r="HZ705" s="27" t="s">
        <v>7</v>
      </c>
      <c r="IA705" s="27" t="s">
        <v>8</v>
      </c>
      <c r="IB705" s="27" t="s">
        <v>7</v>
      </c>
      <c r="IC705" s="27" t="s">
        <v>8</v>
      </c>
      <c r="ID705" s="27" t="s">
        <v>7</v>
      </c>
      <c r="IE705" s="27" t="s">
        <v>8</v>
      </c>
      <c r="IF705" s="27" t="s">
        <v>7</v>
      </c>
      <c r="II705" s="27" t="s">
        <v>8</v>
      </c>
      <c r="IJ705" s="27" t="s">
        <v>7</v>
      </c>
      <c r="IK705" s="27" t="s">
        <v>8</v>
      </c>
      <c r="IL705" s="27" t="s">
        <v>7</v>
      </c>
      <c r="MQ705" s="27" t="s">
        <v>8</v>
      </c>
      <c r="MR705" s="27" t="s">
        <v>7</v>
      </c>
      <c r="NA705" s="27" t="s">
        <v>8</v>
      </c>
      <c r="NB705" s="27" t="s">
        <v>7</v>
      </c>
    </row>
    <row r="706" spans="1:380" x14ac:dyDescent="0.25">
      <c r="A706" s="7">
        <v>9.4750074546886304E-2</v>
      </c>
      <c r="B706"/>
      <c r="C706"/>
      <c r="D706"/>
      <c r="E706"/>
      <c r="F706" s="27" t="s">
        <v>7</v>
      </c>
      <c r="HU706" s="27" t="s">
        <v>8</v>
      </c>
      <c r="HV706" s="27" t="s">
        <v>7</v>
      </c>
      <c r="HW706" s="27" t="s">
        <v>8</v>
      </c>
      <c r="HZ706" s="27" t="s">
        <v>7</v>
      </c>
      <c r="IB706" s="27" t="s">
        <v>7</v>
      </c>
      <c r="IC706" s="27" t="s">
        <v>8</v>
      </c>
      <c r="ID706" s="27" t="s">
        <v>7</v>
      </c>
      <c r="IE706" s="27" t="s">
        <v>8</v>
      </c>
      <c r="IF706" s="27" t="s">
        <v>7</v>
      </c>
      <c r="II706" s="27" t="s">
        <v>8</v>
      </c>
      <c r="IJ706" s="27" t="s">
        <v>7</v>
      </c>
      <c r="IK706" s="27" t="s">
        <v>8</v>
      </c>
      <c r="IL706" s="27" t="s">
        <v>7</v>
      </c>
      <c r="MQ706" s="27" t="s">
        <v>8</v>
      </c>
      <c r="MR706" s="27" t="s">
        <v>7</v>
      </c>
      <c r="NA706" s="27" t="s">
        <v>8</v>
      </c>
      <c r="NB706" s="27" t="s">
        <v>7</v>
      </c>
    </row>
    <row r="707" spans="1:380" x14ac:dyDescent="0.25">
      <c r="A707" s="7">
        <v>9.2892229947927743E-2</v>
      </c>
      <c r="B707"/>
      <c r="C707"/>
      <c r="D707"/>
      <c r="E707"/>
      <c r="F707" s="27" t="s">
        <v>7</v>
      </c>
      <c r="HU707" s="27" t="s">
        <v>8</v>
      </c>
      <c r="HV707" s="27" t="s">
        <v>7</v>
      </c>
      <c r="HW707" s="27" t="s">
        <v>8</v>
      </c>
      <c r="IB707" s="27" t="s">
        <v>7</v>
      </c>
      <c r="IC707" s="27" t="s">
        <v>8</v>
      </c>
      <c r="ID707" s="27" t="s">
        <v>7</v>
      </c>
      <c r="IE707" s="27" t="s">
        <v>8</v>
      </c>
      <c r="IF707" s="27" t="s">
        <v>7</v>
      </c>
      <c r="II707" s="27" t="s">
        <v>8</v>
      </c>
      <c r="IJ707" s="27" t="s">
        <v>7</v>
      </c>
      <c r="IK707" s="27" t="s">
        <v>8</v>
      </c>
      <c r="IL707" s="27" t="s">
        <v>7</v>
      </c>
      <c r="JI707" s="27" t="s">
        <v>8</v>
      </c>
      <c r="MQ707" s="27" t="s">
        <v>8</v>
      </c>
      <c r="MR707" s="27" t="s">
        <v>7</v>
      </c>
      <c r="NA707" s="27" t="s">
        <v>8</v>
      </c>
      <c r="NB707" s="27" t="s">
        <v>7</v>
      </c>
    </row>
    <row r="708" spans="1:380" x14ac:dyDescent="0.25">
      <c r="A708" s="7">
        <v>9.1070813674438963E-2</v>
      </c>
      <c r="B708"/>
      <c r="C708"/>
      <c r="D708"/>
      <c r="E708"/>
      <c r="F708" s="27" t="s">
        <v>7</v>
      </c>
      <c r="HQ708" s="27" t="s">
        <v>8</v>
      </c>
      <c r="HU708" s="27" t="s">
        <v>8</v>
      </c>
      <c r="HV708" s="27" t="s">
        <v>7</v>
      </c>
      <c r="HW708" s="27" t="s">
        <v>8</v>
      </c>
      <c r="IB708" s="27" t="s">
        <v>7</v>
      </c>
      <c r="IC708" s="27" t="s">
        <v>8</v>
      </c>
      <c r="ID708" s="27" t="s">
        <v>7</v>
      </c>
      <c r="IE708" s="27" t="s">
        <v>8</v>
      </c>
      <c r="IF708" s="27" t="s">
        <v>7</v>
      </c>
      <c r="II708" s="27" t="s">
        <v>8</v>
      </c>
      <c r="IJ708" s="27" t="s">
        <v>7</v>
      </c>
      <c r="IK708" s="27" t="s">
        <v>8</v>
      </c>
      <c r="IL708" s="27" t="s">
        <v>7</v>
      </c>
      <c r="JI708" s="27" t="s">
        <v>8</v>
      </c>
      <c r="JJ708" s="27" t="s">
        <v>7</v>
      </c>
      <c r="MQ708" s="27" t="s">
        <v>8</v>
      </c>
      <c r="MR708" s="27" t="s">
        <v>7</v>
      </c>
      <c r="NA708" s="27" t="s">
        <v>8</v>
      </c>
      <c r="NB708" s="27" t="s">
        <v>7</v>
      </c>
    </row>
    <row r="709" spans="1:380" x14ac:dyDescent="0.25">
      <c r="A709" s="7">
        <v>8.9285111445528392E-2</v>
      </c>
      <c r="B709"/>
      <c r="C709"/>
      <c r="D709"/>
      <c r="E709"/>
      <c r="F709" s="27" t="s">
        <v>7</v>
      </c>
      <c r="HQ709" s="27" t="s">
        <v>8</v>
      </c>
      <c r="HR709" s="27" t="s">
        <v>7</v>
      </c>
      <c r="HU709" s="27" t="s">
        <v>8</v>
      </c>
      <c r="HV709" s="27" t="s">
        <v>7</v>
      </c>
      <c r="HW709" s="27" t="s">
        <v>8</v>
      </c>
      <c r="IB709" s="27" t="s">
        <v>7</v>
      </c>
      <c r="ID709" s="27" t="s">
        <v>7</v>
      </c>
      <c r="IE709" s="27" t="s">
        <v>8</v>
      </c>
      <c r="IF709" s="27" t="s">
        <v>7</v>
      </c>
      <c r="II709" s="27" t="s">
        <v>8</v>
      </c>
      <c r="IJ709" s="27" t="s">
        <v>7</v>
      </c>
      <c r="IK709" s="27" t="s">
        <v>8</v>
      </c>
      <c r="IL709" s="27" t="s">
        <v>7</v>
      </c>
      <c r="JI709" s="27" t="s">
        <v>8</v>
      </c>
      <c r="JJ709" s="27" t="s">
        <v>7</v>
      </c>
      <c r="MQ709" s="27" t="s">
        <v>8</v>
      </c>
      <c r="MR709" s="27" t="s">
        <v>7</v>
      </c>
      <c r="NA709" s="27" t="s">
        <v>8</v>
      </c>
      <c r="NB709" s="27" t="s">
        <v>7</v>
      </c>
    </row>
    <row r="710" spans="1:380" x14ac:dyDescent="0.25">
      <c r="A710" s="7">
        <v>8.7534422985812155E-2</v>
      </c>
      <c r="B710"/>
      <c r="C710"/>
      <c r="D710"/>
      <c r="E710"/>
      <c r="F710" s="27" t="s">
        <v>7</v>
      </c>
      <c r="HQ710" s="27" t="s">
        <v>8</v>
      </c>
      <c r="HR710" s="27" t="s">
        <v>7</v>
      </c>
      <c r="HU710" s="27" t="s">
        <v>8</v>
      </c>
      <c r="HV710" s="27" t="s">
        <v>7</v>
      </c>
      <c r="HW710" s="27" t="s">
        <v>8</v>
      </c>
      <c r="ID710" s="27" t="s">
        <v>7</v>
      </c>
      <c r="IE710" s="27" t="s">
        <v>8</v>
      </c>
      <c r="IF710" s="27" t="s">
        <v>7</v>
      </c>
      <c r="II710" s="27" t="s">
        <v>8</v>
      </c>
      <c r="IJ710" s="27" t="s">
        <v>7</v>
      </c>
      <c r="IK710" s="27" t="s">
        <v>8</v>
      </c>
      <c r="IL710" s="27" t="s">
        <v>7</v>
      </c>
      <c r="JI710" s="27" t="s">
        <v>8</v>
      </c>
      <c r="JJ710" s="27" t="s">
        <v>7</v>
      </c>
      <c r="MQ710" s="27" t="s">
        <v>8</v>
      </c>
      <c r="MR710" s="27" t="s">
        <v>7</v>
      </c>
      <c r="NA710" s="27" t="s">
        <v>8</v>
      </c>
      <c r="NB710" s="27" t="s">
        <v>7</v>
      </c>
    </row>
    <row r="711" spans="1:380" x14ac:dyDescent="0.25">
      <c r="A711" s="7">
        <v>8.5818061750796232E-2</v>
      </c>
      <c r="B711"/>
      <c r="C711"/>
      <c r="D711"/>
      <c r="E711"/>
      <c r="F711" s="27" t="s">
        <v>7</v>
      </c>
      <c r="HQ711" s="27" t="s">
        <v>8</v>
      </c>
      <c r="HR711" s="27" t="s">
        <v>7</v>
      </c>
      <c r="HU711" s="27" t="s">
        <v>8</v>
      </c>
      <c r="HV711" s="27" t="s">
        <v>7</v>
      </c>
      <c r="HW711" s="27" t="s">
        <v>8</v>
      </c>
      <c r="ID711" s="27" t="s">
        <v>7</v>
      </c>
      <c r="IE711" s="27" t="s">
        <v>8</v>
      </c>
      <c r="IF711" s="27" t="s">
        <v>7</v>
      </c>
      <c r="IG711" s="27" t="s">
        <v>8</v>
      </c>
      <c r="II711" s="27" t="s">
        <v>8</v>
      </c>
      <c r="IJ711" s="27" t="s">
        <v>7</v>
      </c>
      <c r="IL711" s="27" t="s">
        <v>7</v>
      </c>
      <c r="IM711" s="27" t="s">
        <v>8</v>
      </c>
      <c r="JI711" s="27" t="s">
        <v>8</v>
      </c>
      <c r="JJ711" s="27" t="s">
        <v>7</v>
      </c>
      <c r="MQ711" s="27" t="s">
        <v>8</v>
      </c>
      <c r="MR711" s="27" t="s">
        <v>7</v>
      </c>
      <c r="NA711" s="27" t="s">
        <v>8</v>
      </c>
      <c r="NB711" s="27" t="s">
        <v>7</v>
      </c>
    </row>
    <row r="712" spans="1:380" x14ac:dyDescent="0.25">
      <c r="A712" s="7">
        <v>8.4135354657643366E-2</v>
      </c>
      <c r="B712"/>
      <c r="C712"/>
      <c r="D712"/>
      <c r="E712"/>
      <c r="F712" s="27" t="s">
        <v>7</v>
      </c>
      <c r="HQ712" s="27" t="s">
        <v>8</v>
      </c>
      <c r="HR712" s="27" t="s">
        <v>7</v>
      </c>
      <c r="HU712" s="27" t="s">
        <v>8</v>
      </c>
      <c r="HV712" s="27" t="s">
        <v>7</v>
      </c>
      <c r="HW712" s="27" t="s">
        <v>8</v>
      </c>
      <c r="ID712" s="27" t="s">
        <v>7</v>
      </c>
      <c r="IE712" s="27" t="s">
        <v>8</v>
      </c>
      <c r="IF712" s="27" t="s">
        <v>7</v>
      </c>
      <c r="IG712" s="27" t="s">
        <v>8</v>
      </c>
      <c r="IH712" s="27" t="s">
        <v>7</v>
      </c>
      <c r="II712" s="27" t="s">
        <v>8</v>
      </c>
      <c r="IL712" s="27" t="s">
        <v>7</v>
      </c>
      <c r="IM712" s="27" t="s">
        <v>8</v>
      </c>
      <c r="IN712" s="27" t="s">
        <v>7</v>
      </c>
      <c r="IO712" s="27" t="s">
        <v>8</v>
      </c>
      <c r="JI712" s="27" t="s">
        <v>8</v>
      </c>
      <c r="JJ712" s="27" t="s">
        <v>7</v>
      </c>
      <c r="MQ712" s="27" t="s">
        <v>8</v>
      </c>
      <c r="MR712" s="27" t="s">
        <v>7</v>
      </c>
      <c r="NA712" s="27" t="s">
        <v>8</v>
      </c>
      <c r="NB712" s="27" t="s">
        <v>7</v>
      </c>
    </row>
    <row r="713" spans="1:380" x14ac:dyDescent="0.25">
      <c r="A713" s="7">
        <v>8.248564182121898E-2</v>
      </c>
      <c r="B713"/>
      <c r="C713"/>
      <c r="D713"/>
      <c r="E713"/>
      <c r="F713" s="27" t="s">
        <v>7</v>
      </c>
      <c r="HQ713" s="27" t="s">
        <v>8</v>
      </c>
      <c r="HR713" s="27" t="s">
        <v>7</v>
      </c>
      <c r="HU713" s="27" t="s">
        <v>8</v>
      </c>
      <c r="HV713" s="27" t="s">
        <v>7</v>
      </c>
      <c r="ID713" s="27" t="s">
        <v>7</v>
      </c>
      <c r="IE713" s="27" t="s">
        <v>8</v>
      </c>
      <c r="IF713" s="27" t="s">
        <v>7</v>
      </c>
      <c r="IG713" s="27" t="s">
        <v>8</v>
      </c>
      <c r="IH713" s="27" t="s">
        <v>7</v>
      </c>
      <c r="II713" s="27" t="s">
        <v>8</v>
      </c>
      <c r="IL713" s="27" t="s">
        <v>7</v>
      </c>
      <c r="IM713" s="27" t="s">
        <v>8</v>
      </c>
      <c r="IN713" s="27" t="s">
        <v>7</v>
      </c>
      <c r="IO713" s="27" t="s">
        <v>8</v>
      </c>
      <c r="IP713" s="27" t="s">
        <v>7</v>
      </c>
      <c r="JI713" s="27" t="s">
        <v>8</v>
      </c>
      <c r="JJ713" s="27" t="s">
        <v>7</v>
      </c>
      <c r="MQ713" s="27" t="s">
        <v>8</v>
      </c>
      <c r="MR713" s="27" t="s">
        <v>7</v>
      </c>
      <c r="NA713" s="27" t="s">
        <v>8</v>
      </c>
      <c r="NB713" s="27" t="s">
        <v>7</v>
      </c>
    </row>
    <row r="714" spans="1:380" x14ac:dyDescent="0.25">
      <c r="A714" s="7">
        <v>8.0868276295312735E-2</v>
      </c>
      <c r="B714"/>
      <c r="C714"/>
      <c r="D714"/>
      <c r="E714"/>
      <c r="F714" s="27" t="s">
        <v>7</v>
      </c>
      <c r="HQ714" s="27" t="s">
        <v>8</v>
      </c>
      <c r="HR714" s="27" t="s">
        <v>7</v>
      </c>
      <c r="HU714" s="27" t="s">
        <v>8</v>
      </c>
      <c r="ID714" s="27" t="s">
        <v>7</v>
      </c>
      <c r="IE714" s="27" t="s">
        <v>8</v>
      </c>
      <c r="IF714" s="27" t="s">
        <v>7</v>
      </c>
      <c r="IG714" s="27" t="s">
        <v>8</v>
      </c>
      <c r="IH714" s="27" t="s">
        <v>7</v>
      </c>
      <c r="II714" s="27" t="s">
        <v>8</v>
      </c>
      <c r="IL714" s="27" t="s">
        <v>7</v>
      </c>
      <c r="IM714" s="27" t="s">
        <v>8</v>
      </c>
      <c r="IN714" s="27" t="s">
        <v>7</v>
      </c>
      <c r="IO714" s="27" t="s">
        <v>8</v>
      </c>
      <c r="IP714" s="27" t="s">
        <v>7</v>
      </c>
      <c r="JI714" s="27" t="s">
        <v>8</v>
      </c>
      <c r="JJ714" s="27" t="s">
        <v>7</v>
      </c>
      <c r="MQ714" s="27" t="s">
        <v>8</v>
      </c>
      <c r="MR714" s="27" t="s">
        <v>7</v>
      </c>
      <c r="NA714" s="27" t="s">
        <v>8</v>
      </c>
      <c r="NB714" s="27" t="s">
        <v>7</v>
      </c>
    </row>
    <row r="715" spans="1:380" x14ac:dyDescent="0.25">
      <c r="A715" s="7">
        <v>7.9282623818934056E-2</v>
      </c>
      <c r="B715"/>
      <c r="C715"/>
      <c r="D715"/>
      <c r="E715"/>
      <c r="F715" s="27" t="s">
        <v>7</v>
      </c>
      <c r="HQ715" s="27" t="s">
        <v>8</v>
      </c>
      <c r="HR715" s="27" t="s">
        <v>7</v>
      </c>
      <c r="HU715" s="27" t="s">
        <v>8</v>
      </c>
      <c r="ID715" s="27" t="s">
        <v>7</v>
      </c>
      <c r="IE715" s="27" t="s">
        <v>8</v>
      </c>
      <c r="IF715" s="27" t="s">
        <v>7</v>
      </c>
      <c r="IG715" s="27" t="s">
        <v>8</v>
      </c>
      <c r="IH715" s="27" t="s">
        <v>7</v>
      </c>
      <c r="II715" s="27" t="s">
        <v>8</v>
      </c>
      <c r="IL715" s="27" t="s">
        <v>7</v>
      </c>
      <c r="IM715" s="27" t="s">
        <v>8</v>
      </c>
      <c r="IN715" s="27" t="s">
        <v>7</v>
      </c>
      <c r="IO715" s="27" t="s">
        <v>8</v>
      </c>
      <c r="IP715" s="27" t="s">
        <v>7</v>
      </c>
      <c r="IU715" s="27" t="s">
        <v>8</v>
      </c>
      <c r="JI715" s="27" t="s">
        <v>8</v>
      </c>
      <c r="JJ715" s="27" t="s">
        <v>7</v>
      </c>
      <c r="MQ715" s="27" t="s">
        <v>8</v>
      </c>
      <c r="MR715" s="27" t="s">
        <v>7</v>
      </c>
      <c r="NA715" s="27" t="s">
        <v>8</v>
      </c>
      <c r="NB715" s="27" t="s">
        <v>7</v>
      </c>
      <c r="NC715" s="27" t="s">
        <v>8</v>
      </c>
    </row>
    <row r="716" spans="1:380" x14ac:dyDescent="0.25">
      <c r="A716" s="7">
        <v>7.7728062567582412E-2</v>
      </c>
      <c r="B716"/>
      <c r="C716"/>
      <c r="D716"/>
      <c r="E716"/>
      <c r="F716" s="27" t="s">
        <v>7</v>
      </c>
      <c r="HQ716" s="27" t="s">
        <v>8</v>
      </c>
      <c r="HR716" s="27" t="s">
        <v>7</v>
      </c>
      <c r="HS716" s="27" t="s">
        <v>8</v>
      </c>
      <c r="HU716" s="27" t="s">
        <v>8</v>
      </c>
      <c r="ID716" s="27" t="s">
        <v>7</v>
      </c>
      <c r="IE716" s="27" t="s">
        <v>8</v>
      </c>
      <c r="IF716" s="27" t="s">
        <v>7</v>
      </c>
      <c r="IG716" s="27" t="s">
        <v>8</v>
      </c>
      <c r="IH716" s="27" t="s">
        <v>7</v>
      </c>
      <c r="II716" s="27" t="s">
        <v>8</v>
      </c>
      <c r="IL716" s="27" t="s">
        <v>7</v>
      </c>
      <c r="IM716" s="27" t="s">
        <v>8</v>
      </c>
      <c r="IN716" s="27" t="s">
        <v>7</v>
      </c>
      <c r="IO716" s="27" t="s">
        <v>8</v>
      </c>
      <c r="IP716" s="27" t="s">
        <v>7</v>
      </c>
      <c r="IU716" s="27" t="s">
        <v>8</v>
      </c>
      <c r="IV716" s="27" t="s">
        <v>7</v>
      </c>
      <c r="JI716" s="27" t="s">
        <v>8</v>
      </c>
      <c r="JJ716" s="27" t="s">
        <v>7</v>
      </c>
      <c r="MQ716" s="27" t="s">
        <v>8</v>
      </c>
      <c r="MR716" s="27" t="s">
        <v>7</v>
      </c>
      <c r="NA716" s="27" t="s">
        <v>8</v>
      </c>
      <c r="NB716" s="27" t="s">
        <v>7</v>
      </c>
      <c r="NC716" s="27" t="s">
        <v>8</v>
      </c>
      <c r="ND716" s="27" t="s">
        <v>7</v>
      </c>
    </row>
    <row r="717" spans="1:380" x14ac:dyDescent="0.25">
      <c r="A717" s="7">
        <v>7.6203982909394521E-2</v>
      </c>
      <c r="B717"/>
      <c r="C717"/>
      <c r="D717"/>
      <c r="E717"/>
      <c r="F717" s="27" t="s">
        <v>7</v>
      </c>
      <c r="HQ717" s="27" t="s">
        <v>8</v>
      </c>
      <c r="HR717" s="27" t="s">
        <v>7</v>
      </c>
      <c r="HS717" s="27" t="s">
        <v>8</v>
      </c>
      <c r="HT717" s="27" t="s">
        <v>7</v>
      </c>
      <c r="HU717" s="27" t="s">
        <v>8</v>
      </c>
      <c r="ID717" s="27" t="s">
        <v>7</v>
      </c>
      <c r="IE717" s="27" t="s">
        <v>8</v>
      </c>
      <c r="IF717" s="27" t="s">
        <v>7</v>
      </c>
      <c r="IG717" s="27" t="s">
        <v>8</v>
      </c>
      <c r="IH717" s="27" t="s">
        <v>7</v>
      </c>
      <c r="II717" s="27" t="s">
        <v>8</v>
      </c>
      <c r="IL717" s="27" t="s">
        <v>7</v>
      </c>
      <c r="IN717" s="27" t="s">
        <v>7</v>
      </c>
      <c r="IP717" s="27" t="s">
        <v>7</v>
      </c>
      <c r="IU717" s="27" t="s">
        <v>8</v>
      </c>
      <c r="IV717" s="27" t="s">
        <v>7</v>
      </c>
      <c r="JI717" s="27" t="s">
        <v>8</v>
      </c>
      <c r="JJ717" s="27" t="s">
        <v>7</v>
      </c>
      <c r="JK717" s="27" t="s">
        <v>8</v>
      </c>
      <c r="MQ717" s="27" t="s">
        <v>8</v>
      </c>
      <c r="MR717" s="27" t="s">
        <v>7</v>
      </c>
      <c r="MS717" s="27" t="s">
        <v>8</v>
      </c>
      <c r="NA717" s="27" t="s">
        <v>8</v>
      </c>
      <c r="NB717" s="27" t="s">
        <v>7</v>
      </c>
      <c r="NC717" s="27" t="s">
        <v>8</v>
      </c>
      <c r="ND717" s="27" t="s">
        <v>7</v>
      </c>
      <c r="NO717" s="27" t="s">
        <v>8</v>
      </c>
    </row>
    <row r="718" spans="1:380" x14ac:dyDescent="0.25">
      <c r="A718" s="7">
        <v>7.4709787166073058E-2</v>
      </c>
      <c r="B718"/>
      <c r="C718"/>
      <c r="D718"/>
      <c r="E718"/>
      <c r="F718" s="27" t="s">
        <v>7</v>
      </c>
      <c r="HQ718" s="27" t="s">
        <v>8</v>
      </c>
      <c r="HR718" s="27" t="s">
        <v>7</v>
      </c>
      <c r="HS718" s="27" t="s">
        <v>8</v>
      </c>
      <c r="HT718" s="27" t="s">
        <v>7</v>
      </c>
      <c r="HU718" s="27" t="s">
        <v>8</v>
      </c>
      <c r="ID718" s="27" t="s">
        <v>7</v>
      </c>
      <c r="IE718" s="27" t="s">
        <v>8</v>
      </c>
      <c r="IF718" s="27" t="s">
        <v>7</v>
      </c>
      <c r="IG718" s="27" t="s">
        <v>8</v>
      </c>
      <c r="IH718" s="27" t="s">
        <v>7</v>
      </c>
      <c r="IP718" s="27" t="s">
        <v>7</v>
      </c>
      <c r="IU718" s="27" t="s">
        <v>8</v>
      </c>
      <c r="IV718" s="27" t="s">
        <v>7</v>
      </c>
      <c r="JI718" s="27" t="s">
        <v>8</v>
      </c>
      <c r="JJ718" s="27" t="s">
        <v>7</v>
      </c>
      <c r="JK718" s="27" t="s">
        <v>8</v>
      </c>
      <c r="JL718" s="27" t="s">
        <v>7</v>
      </c>
      <c r="MG718" s="27" t="s">
        <v>8</v>
      </c>
      <c r="MQ718" s="27" t="s">
        <v>8</v>
      </c>
      <c r="MR718" s="27" t="s">
        <v>7</v>
      </c>
      <c r="MS718" s="27" t="s">
        <v>8</v>
      </c>
      <c r="MT718" s="27" t="s">
        <v>7</v>
      </c>
      <c r="NA718" s="27" t="s">
        <v>8</v>
      </c>
      <c r="NB718" s="27" t="s">
        <v>7</v>
      </c>
      <c r="NC718" s="27" t="s">
        <v>8</v>
      </c>
      <c r="ND718" s="27" t="s">
        <v>7</v>
      </c>
      <c r="NO718" s="27" t="s">
        <v>8</v>
      </c>
      <c r="NP718" s="27" t="s">
        <v>7</v>
      </c>
    </row>
    <row r="719" spans="1:380" x14ac:dyDescent="0.25">
      <c r="A719" s="7">
        <v>7.3244889378503E-2</v>
      </c>
      <c r="B719"/>
      <c r="C719"/>
      <c r="D719"/>
      <c r="E719"/>
      <c r="F719" s="27" t="s">
        <v>7</v>
      </c>
      <c r="HQ719" s="27" t="s">
        <v>8</v>
      </c>
      <c r="HR719" s="27" t="s">
        <v>7</v>
      </c>
      <c r="HS719" s="27" t="s">
        <v>8</v>
      </c>
      <c r="HT719" s="27" t="s">
        <v>7</v>
      </c>
      <c r="HU719" s="27" t="s">
        <v>8</v>
      </c>
      <c r="ID719" s="27" t="s">
        <v>7</v>
      </c>
      <c r="IE719" s="27" t="s">
        <v>8</v>
      </c>
      <c r="IF719" s="27" t="s">
        <v>7</v>
      </c>
      <c r="IG719" s="27" t="s">
        <v>8</v>
      </c>
      <c r="IP719" s="27" t="s">
        <v>7</v>
      </c>
      <c r="IU719" s="27" t="s">
        <v>8</v>
      </c>
      <c r="IV719" s="27" t="s">
        <v>7</v>
      </c>
      <c r="JI719" s="27" t="s">
        <v>8</v>
      </c>
      <c r="JJ719" s="27" t="s">
        <v>7</v>
      </c>
      <c r="JK719" s="27" t="s">
        <v>8</v>
      </c>
      <c r="JL719" s="27" t="s">
        <v>7</v>
      </c>
      <c r="MG719" s="27" t="s">
        <v>8</v>
      </c>
      <c r="MH719" s="27" t="s">
        <v>7</v>
      </c>
      <c r="MQ719" s="27" t="s">
        <v>8</v>
      </c>
      <c r="MR719" s="27" t="s">
        <v>7</v>
      </c>
      <c r="MS719" s="27" t="s">
        <v>8</v>
      </c>
      <c r="MT719" s="27" t="s">
        <v>7</v>
      </c>
      <c r="NA719" s="27" t="s">
        <v>8</v>
      </c>
      <c r="NB719" s="27" t="s">
        <v>7</v>
      </c>
      <c r="NC719" s="27" t="s">
        <v>8</v>
      </c>
      <c r="ND719" s="27" t="s">
        <v>7</v>
      </c>
      <c r="NE719" s="27" t="s">
        <v>8</v>
      </c>
      <c r="NO719" s="27" t="s">
        <v>8</v>
      </c>
      <c r="NP719" s="27" t="s">
        <v>7</v>
      </c>
    </row>
    <row r="720" spans="1:380" x14ac:dyDescent="0.25">
      <c r="A720" s="7">
        <v>7.1808715076963722E-2</v>
      </c>
      <c r="B720"/>
      <c r="C720"/>
      <c r="D720"/>
      <c r="E720"/>
      <c r="F720" s="27" t="s">
        <v>7</v>
      </c>
      <c r="HQ720" s="27" t="s">
        <v>8</v>
      </c>
      <c r="HR720" s="27" t="s">
        <v>7</v>
      </c>
      <c r="HS720" s="27" t="s">
        <v>8</v>
      </c>
      <c r="HT720" s="27" t="s">
        <v>7</v>
      </c>
      <c r="HU720" s="27" t="s">
        <v>8</v>
      </c>
      <c r="ID720" s="27" t="s">
        <v>7</v>
      </c>
      <c r="IE720" s="27" t="s">
        <v>8</v>
      </c>
      <c r="IF720" s="27" t="s">
        <v>7</v>
      </c>
      <c r="IG720" s="27" t="s">
        <v>8</v>
      </c>
      <c r="IP720" s="27" t="s">
        <v>7</v>
      </c>
      <c r="IQ720" s="27" t="s">
        <v>8</v>
      </c>
      <c r="IU720" s="27" t="s">
        <v>8</v>
      </c>
      <c r="IV720" s="27" t="s">
        <v>7</v>
      </c>
      <c r="JI720" s="27" t="s">
        <v>8</v>
      </c>
      <c r="JJ720" s="27" t="s">
        <v>7</v>
      </c>
      <c r="JK720" s="27" t="s">
        <v>8</v>
      </c>
      <c r="JL720" s="27" t="s">
        <v>7</v>
      </c>
      <c r="MG720" s="27" t="s">
        <v>8</v>
      </c>
      <c r="MH720" s="27" t="s">
        <v>7</v>
      </c>
      <c r="MQ720" s="27" t="s">
        <v>8</v>
      </c>
      <c r="MR720" s="27" t="s">
        <v>7</v>
      </c>
      <c r="MS720" s="27" t="s">
        <v>8</v>
      </c>
      <c r="MT720" s="27" t="s">
        <v>7</v>
      </c>
      <c r="NA720" s="27" t="s">
        <v>8</v>
      </c>
      <c r="NB720" s="27" t="s">
        <v>7</v>
      </c>
      <c r="NC720" s="27" t="s">
        <v>8</v>
      </c>
      <c r="ND720" s="27" t="s">
        <v>7</v>
      </c>
      <c r="NE720" s="27" t="s">
        <v>8</v>
      </c>
      <c r="NF720" s="27" t="s">
        <v>7</v>
      </c>
      <c r="NO720" s="27" t="s">
        <v>8</v>
      </c>
      <c r="NP720" s="27" t="s">
        <v>7</v>
      </c>
    </row>
    <row r="721" spans="1:386" x14ac:dyDescent="0.25">
      <c r="A721" s="7">
        <v>7.0400701055846782E-2</v>
      </c>
      <c r="B721"/>
      <c r="C721"/>
      <c r="D721"/>
      <c r="E721"/>
      <c r="F721" s="27" t="s">
        <v>7</v>
      </c>
      <c r="HQ721" s="27" t="s">
        <v>8</v>
      </c>
      <c r="HR721" s="27" t="s">
        <v>7</v>
      </c>
      <c r="HS721" s="27" t="s">
        <v>8</v>
      </c>
      <c r="HT721" s="27" t="s">
        <v>7</v>
      </c>
      <c r="HU721" s="27" t="s">
        <v>8</v>
      </c>
      <c r="ID721" s="27" t="s">
        <v>7</v>
      </c>
      <c r="IE721" s="27" t="s">
        <v>8</v>
      </c>
      <c r="IF721" s="27" t="s">
        <v>7</v>
      </c>
      <c r="IG721" s="27" t="s">
        <v>8</v>
      </c>
      <c r="IP721" s="27" t="s">
        <v>7</v>
      </c>
      <c r="IQ721" s="27" t="s">
        <v>8</v>
      </c>
      <c r="IR721" s="27" t="s">
        <v>7</v>
      </c>
      <c r="IU721" s="27" t="s">
        <v>8</v>
      </c>
      <c r="IV721" s="27" t="s">
        <v>7</v>
      </c>
      <c r="JI721" s="27" t="s">
        <v>8</v>
      </c>
      <c r="JJ721" s="27" t="s">
        <v>7</v>
      </c>
      <c r="JK721" s="27" t="s">
        <v>8</v>
      </c>
      <c r="JL721" s="27" t="s">
        <v>7</v>
      </c>
      <c r="MG721" s="27" t="s">
        <v>8</v>
      </c>
      <c r="MH721" s="27" t="s">
        <v>7</v>
      </c>
      <c r="MQ721" s="27" t="s">
        <v>8</v>
      </c>
      <c r="MR721" s="27" t="s">
        <v>7</v>
      </c>
      <c r="MS721" s="27" t="s">
        <v>8</v>
      </c>
      <c r="MT721" s="27" t="s">
        <v>7</v>
      </c>
      <c r="NA721" s="27" t="s">
        <v>8</v>
      </c>
      <c r="NB721" s="27" t="s">
        <v>7</v>
      </c>
      <c r="NC721" s="27" t="s">
        <v>8</v>
      </c>
      <c r="ND721" s="27" t="s">
        <v>7</v>
      </c>
      <c r="NE721" s="27" t="s">
        <v>8</v>
      </c>
      <c r="NF721" s="27" t="s">
        <v>7</v>
      </c>
      <c r="NI721" s="27" t="s">
        <v>8</v>
      </c>
      <c r="NO721" s="27" t="s">
        <v>8</v>
      </c>
      <c r="NP721" s="27" t="s">
        <v>7</v>
      </c>
    </row>
    <row r="722" spans="1:386" x14ac:dyDescent="0.25">
      <c r="A722" s="7">
        <v>6.9020295152790956E-2</v>
      </c>
      <c r="B722"/>
      <c r="C722"/>
      <c r="D722"/>
      <c r="E722"/>
      <c r="F722" s="27" t="s">
        <v>7</v>
      </c>
      <c r="HQ722" s="27" t="s">
        <v>8</v>
      </c>
      <c r="HR722" s="27" t="s">
        <v>7</v>
      </c>
      <c r="HS722" s="27" t="s">
        <v>8</v>
      </c>
      <c r="HT722" s="27" t="s">
        <v>7</v>
      </c>
      <c r="HU722" s="27" t="s">
        <v>8</v>
      </c>
      <c r="ID722" s="27" t="s">
        <v>7</v>
      </c>
      <c r="IE722" s="27" t="s">
        <v>8</v>
      </c>
      <c r="IF722" s="27" t="s">
        <v>7</v>
      </c>
      <c r="IG722" s="27" t="s">
        <v>8</v>
      </c>
      <c r="IP722" s="27" t="s">
        <v>7</v>
      </c>
      <c r="IQ722" s="27" t="s">
        <v>8</v>
      </c>
      <c r="IR722" s="27" t="s">
        <v>7</v>
      </c>
      <c r="IU722" s="27" t="s">
        <v>8</v>
      </c>
      <c r="IV722" s="27" t="s">
        <v>7</v>
      </c>
      <c r="JI722" s="27" t="s">
        <v>8</v>
      </c>
      <c r="JJ722" s="27" t="s">
        <v>7</v>
      </c>
      <c r="JK722" s="27" t="s">
        <v>8</v>
      </c>
      <c r="JL722" s="27" t="s">
        <v>7</v>
      </c>
      <c r="MG722" s="27" t="s">
        <v>8</v>
      </c>
      <c r="MH722" s="27" t="s">
        <v>7</v>
      </c>
      <c r="MQ722" s="27" t="s">
        <v>8</v>
      </c>
      <c r="MR722" s="27" t="s">
        <v>7</v>
      </c>
      <c r="MS722" s="27" t="s">
        <v>8</v>
      </c>
      <c r="MT722" s="27" t="s">
        <v>7</v>
      </c>
      <c r="NA722" s="27" t="s">
        <v>8</v>
      </c>
      <c r="NB722" s="27" t="s">
        <v>7</v>
      </c>
      <c r="NC722" s="27" t="s">
        <v>8</v>
      </c>
      <c r="ND722" s="27" t="s">
        <v>7</v>
      </c>
      <c r="NE722" s="27" t="s">
        <v>8</v>
      </c>
      <c r="NF722" s="27" t="s">
        <v>7</v>
      </c>
      <c r="NI722" s="27" t="s">
        <v>8</v>
      </c>
      <c r="NJ722" s="27" t="s">
        <v>7</v>
      </c>
      <c r="NO722" s="27" t="s">
        <v>8</v>
      </c>
      <c r="NP722" s="27" t="s">
        <v>7</v>
      </c>
    </row>
    <row r="723" spans="1:386" x14ac:dyDescent="0.25">
      <c r="A723" s="7">
        <v>6.7666956032147993E-2</v>
      </c>
      <c r="B723"/>
      <c r="C723"/>
      <c r="D723"/>
      <c r="E723"/>
      <c r="F723" s="27" t="s">
        <v>7</v>
      </c>
      <c r="HQ723" s="27" t="s">
        <v>8</v>
      </c>
      <c r="HR723" s="27" t="s">
        <v>7</v>
      </c>
      <c r="HS723" s="27" t="s">
        <v>8</v>
      </c>
      <c r="HT723" s="27" t="s">
        <v>7</v>
      </c>
      <c r="HU723" s="27" t="s">
        <v>8</v>
      </c>
      <c r="ID723" s="27" t="s">
        <v>7</v>
      </c>
      <c r="IE723" s="27" t="s">
        <v>8</v>
      </c>
      <c r="IF723" s="27" t="s">
        <v>7</v>
      </c>
      <c r="IG723" s="27" t="s">
        <v>8</v>
      </c>
      <c r="IP723" s="27" t="s">
        <v>7</v>
      </c>
      <c r="IQ723" s="27" t="s">
        <v>8</v>
      </c>
      <c r="IR723" s="27" t="s">
        <v>7</v>
      </c>
      <c r="IU723" s="27" t="s">
        <v>8</v>
      </c>
      <c r="IV723" s="27" t="s">
        <v>7</v>
      </c>
      <c r="JI723" s="27" t="s">
        <v>8</v>
      </c>
      <c r="JJ723" s="27" t="s">
        <v>7</v>
      </c>
      <c r="JK723" s="27" t="s">
        <v>8</v>
      </c>
      <c r="JL723" s="27" t="s">
        <v>7</v>
      </c>
      <c r="KO723" s="27" t="s">
        <v>8</v>
      </c>
      <c r="MG723" s="27" t="s">
        <v>8</v>
      </c>
      <c r="MH723" s="27" t="s">
        <v>7</v>
      </c>
      <c r="MQ723" s="27" t="s">
        <v>8</v>
      </c>
      <c r="MR723" s="27" t="s">
        <v>7</v>
      </c>
      <c r="MS723" s="27" t="s">
        <v>8</v>
      </c>
      <c r="MT723" s="27" t="s">
        <v>7</v>
      </c>
      <c r="NA723" s="27" t="s">
        <v>8</v>
      </c>
      <c r="NB723" s="27" t="s">
        <v>7</v>
      </c>
      <c r="NC723" s="27" t="s">
        <v>8</v>
      </c>
      <c r="ND723" s="27" t="s">
        <v>7</v>
      </c>
      <c r="NE723" s="27" t="s">
        <v>8</v>
      </c>
      <c r="NF723" s="27" t="s">
        <v>7</v>
      </c>
      <c r="NI723" s="27" t="s">
        <v>8</v>
      </c>
      <c r="NJ723" s="27" t="s">
        <v>7</v>
      </c>
      <c r="NO723" s="27" t="s">
        <v>8</v>
      </c>
      <c r="NP723" s="27" t="s">
        <v>7</v>
      </c>
    </row>
    <row r="724" spans="1:386" x14ac:dyDescent="0.25">
      <c r="A724" s="7">
        <v>6.6340152972694105E-2</v>
      </c>
      <c r="B724"/>
      <c r="C724"/>
      <c r="D724"/>
      <c r="E724"/>
      <c r="F724" s="27" t="s">
        <v>7</v>
      </c>
      <c r="HQ724" s="27" t="s">
        <v>8</v>
      </c>
      <c r="HR724" s="27" t="s">
        <v>7</v>
      </c>
      <c r="HS724" s="27" t="s">
        <v>8</v>
      </c>
      <c r="HT724" s="27" t="s">
        <v>7</v>
      </c>
      <c r="HU724" s="27" t="s">
        <v>8</v>
      </c>
      <c r="ID724" s="27" t="s">
        <v>7</v>
      </c>
      <c r="IF724" s="27" t="s">
        <v>7</v>
      </c>
      <c r="IG724" s="27" t="s">
        <v>8</v>
      </c>
      <c r="IP724" s="27" t="s">
        <v>7</v>
      </c>
      <c r="IQ724" s="27" t="s">
        <v>8</v>
      </c>
      <c r="IR724" s="27" t="s">
        <v>7</v>
      </c>
      <c r="IU724" s="27" t="s">
        <v>8</v>
      </c>
      <c r="IV724" s="27" t="s">
        <v>7</v>
      </c>
      <c r="JI724" s="27" t="s">
        <v>8</v>
      </c>
      <c r="JJ724" s="27" t="s">
        <v>7</v>
      </c>
      <c r="JK724" s="27" t="s">
        <v>8</v>
      </c>
      <c r="JL724" s="27" t="s">
        <v>7</v>
      </c>
      <c r="KO724" s="27" t="s">
        <v>8</v>
      </c>
      <c r="KP724" s="27" t="s">
        <v>7</v>
      </c>
      <c r="MG724" s="27" t="s">
        <v>8</v>
      </c>
      <c r="MH724" s="27" t="s">
        <v>7</v>
      </c>
      <c r="MQ724" s="27" t="s">
        <v>8</v>
      </c>
      <c r="MR724" s="27" t="s">
        <v>7</v>
      </c>
      <c r="MS724" s="27" t="s">
        <v>8</v>
      </c>
      <c r="MT724" s="27" t="s">
        <v>7</v>
      </c>
      <c r="NA724" s="27" t="s">
        <v>8</v>
      </c>
      <c r="NB724" s="27" t="s">
        <v>7</v>
      </c>
      <c r="NC724" s="27" t="s">
        <v>8</v>
      </c>
      <c r="ND724" s="27" t="s">
        <v>7</v>
      </c>
      <c r="NE724" s="27" t="s">
        <v>8</v>
      </c>
      <c r="NF724" s="27" t="s">
        <v>7</v>
      </c>
      <c r="NI724" s="27" t="s">
        <v>8</v>
      </c>
      <c r="NJ724" s="27" t="s">
        <v>7</v>
      </c>
      <c r="NO724" s="27" t="s">
        <v>8</v>
      </c>
      <c r="NP724" s="27" t="s">
        <v>7</v>
      </c>
    </row>
    <row r="725" spans="1:386" x14ac:dyDescent="0.25">
      <c r="A725" s="7">
        <v>6.5039365659504023E-2</v>
      </c>
      <c r="B725"/>
      <c r="C725"/>
      <c r="D725"/>
      <c r="E725"/>
      <c r="F725" s="27" t="s">
        <v>7</v>
      </c>
      <c r="HQ725" s="27" t="s">
        <v>8</v>
      </c>
      <c r="HR725" s="27" t="s">
        <v>7</v>
      </c>
      <c r="HS725" s="27" t="s">
        <v>8</v>
      </c>
      <c r="HT725" s="27" t="s">
        <v>7</v>
      </c>
      <c r="HU725" s="27" t="s">
        <v>8</v>
      </c>
      <c r="IF725" s="27" t="s">
        <v>7</v>
      </c>
      <c r="IG725" s="27" t="s">
        <v>8</v>
      </c>
      <c r="IP725" s="27" t="s">
        <v>7</v>
      </c>
      <c r="IR725" s="27" t="s">
        <v>7</v>
      </c>
      <c r="IS725" s="27" t="s">
        <v>8</v>
      </c>
      <c r="IU725" s="27" t="s">
        <v>8</v>
      </c>
      <c r="IV725" s="27" t="s">
        <v>7</v>
      </c>
      <c r="JI725" s="27" t="s">
        <v>8</v>
      </c>
      <c r="JJ725" s="27" t="s">
        <v>7</v>
      </c>
      <c r="JK725" s="27" t="s">
        <v>8</v>
      </c>
      <c r="JL725" s="27" t="s">
        <v>7</v>
      </c>
      <c r="KO725" s="27" t="s">
        <v>8</v>
      </c>
      <c r="KP725" s="27" t="s">
        <v>7</v>
      </c>
      <c r="MG725" s="27" t="s">
        <v>8</v>
      </c>
      <c r="MH725" s="27" t="s">
        <v>7</v>
      </c>
      <c r="MQ725" s="27" t="s">
        <v>8</v>
      </c>
      <c r="MR725" s="27" t="s">
        <v>7</v>
      </c>
      <c r="MS725" s="27" t="s">
        <v>8</v>
      </c>
      <c r="MT725" s="27" t="s">
        <v>7</v>
      </c>
      <c r="MU725" s="27" t="s">
        <v>8</v>
      </c>
      <c r="NA725" s="27" t="s">
        <v>8</v>
      </c>
      <c r="NB725" s="27" t="s">
        <v>7</v>
      </c>
      <c r="NC725" s="27" t="s">
        <v>8</v>
      </c>
      <c r="ND725" s="27" t="s">
        <v>7</v>
      </c>
      <c r="NE725" s="27" t="s">
        <v>8</v>
      </c>
      <c r="NF725" s="27" t="s">
        <v>7</v>
      </c>
      <c r="NG725" s="27" t="s">
        <v>8</v>
      </c>
      <c r="NI725" s="27" t="s">
        <v>8</v>
      </c>
      <c r="NJ725" s="27" t="s">
        <v>7</v>
      </c>
      <c r="NO725" s="27" t="s">
        <v>8</v>
      </c>
      <c r="NP725" s="27" t="s">
        <v>7</v>
      </c>
    </row>
    <row r="726" spans="1:386" x14ac:dyDescent="0.25">
      <c r="A726" s="7">
        <v>6.3764083979905906E-2</v>
      </c>
      <c r="B726"/>
      <c r="C726"/>
      <c r="D726"/>
      <c r="E726"/>
      <c r="F726" s="27" t="s">
        <v>7</v>
      </c>
      <c r="HQ726" s="27" t="s">
        <v>8</v>
      </c>
      <c r="HR726" s="27" t="s">
        <v>7</v>
      </c>
      <c r="HS726" s="27" t="s">
        <v>8</v>
      </c>
      <c r="HT726" s="27" t="s">
        <v>7</v>
      </c>
      <c r="HU726" s="27" t="s">
        <v>8</v>
      </c>
      <c r="IF726" s="27" t="s">
        <v>7</v>
      </c>
      <c r="IG726" s="27" t="s">
        <v>8</v>
      </c>
      <c r="IR726" s="27" t="s">
        <v>7</v>
      </c>
      <c r="IS726" s="27" t="s">
        <v>8</v>
      </c>
      <c r="IT726" s="27" t="s">
        <v>7</v>
      </c>
      <c r="IU726" s="27" t="s">
        <v>8</v>
      </c>
      <c r="IV726" s="27" t="s">
        <v>7</v>
      </c>
      <c r="JI726" s="27" t="s">
        <v>8</v>
      </c>
      <c r="JJ726" s="27" t="s">
        <v>7</v>
      </c>
      <c r="JK726" s="27" t="s">
        <v>8</v>
      </c>
      <c r="JL726" s="27" t="s">
        <v>7</v>
      </c>
      <c r="KO726" s="27" t="s">
        <v>8</v>
      </c>
      <c r="KP726" s="27" t="s">
        <v>7</v>
      </c>
      <c r="MG726" s="27" t="s">
        <v>8</v>
      </c>
      <c r="MH726" s="27" t="s">
        <v>7</v>
      </c>
      <c r="MQ726" s="27" t="s">
        <v>8</v>
      </c>
      <c r="MR726" s="27" t="s">
        <v>7</v>
      </c>
      <c r="MS726" s="27" t="s">
        <v>8</v>
      </c>
      <c r="MT726" s="27" t="s">
        <v>7</v>
      </c>
      <c r="MU726" s="27" t="s">
        <v>8</v>
      </c>
      <c r="MV726" s="27" t="s">
        <v>7</v>
      </c>
      <c r="NA726" s="27" t="s">
        <v>8</v>
      </c>
      <c r="NB726" s="27" t="s">
        <v>7</v>
      </c>
      <c r="NC726" s="27" t="s">
        <v>8</v>
      </c>
      <c r="ND726" s="27" t="s">
        <v>7</v>
      </c>
      <c r="NE726" s="27" t="s">
        <v>8</v>
      </c>
      <c r="NF726" s="27" t="s">
        <v>7</v>
      </c>
      <c r="NG726" s="27" t="s">
        <v>8</v>
      </c>
      <c r="NH726" s="27" t="s">
        <v>7</v>
      </c>
      <c r="NI726" s="27" t="s">
        <v>8</v>
      </c>
      <c r="NJ726" s="27" t="s">
        <v>7</v>
      </c>
      <c r="NM726" s="27" t="s">
        <v>8</v>
      </c>
      <c r="NO726" s="27" t="s">
        <v>8</v>
      </c>
      <c r="NP726" s="27" t="s">
        <v>7</v>
      </c>
      <c r="NQ726" s="27" t="s">
        <v>8</v>
      </c>
      <c r="NS726" s="27" t="s">
        <v>8</v>
      </c>
      <c r="NU726" s="27" t="s">
        <v>8</v>
      </c>
    </row>
    <row r="727" spans="1:386" x14ac:dyDescent="0.25">
      <c r="A727" s="7">
        <v>6.251380782343717E-2</v>
      </c>
      <c r="B727"/>
      <c r="C727"/>
      <c r="D727"/>
      <c r="E727"/>
      <c r="F727" s="27" t="s">
        <v>7</v>
      </c>
      <c r="HQ727" s="27" t="s">
        <v>8</v>
      </c>
      <c r="HR727" s="27" t="s">
        <v>7</v>
      </c>
      <c r="HT727" s="27" t="s">
        <v>7</v>
      </c>
      <c r="HU727" s="27" t="s">
        <v>8</v>
      </c>
      <c r="IF727" s="27" t="s">
        <v>7</v>
      </c>
      <c r="IG727" s="27" t="s">
        <v>8</v>
      </c>
      <c r="IR727" s="27" t="s">
        <v>7</v>
      </c>
      <c r="IS727" s="27" t="s">
        <v>8</v>
      </c>
      <c r="IT727" s="27" t="s">
        <v>7</v>
      </c>
      <c r="IU727" s="27" t="s">
        <v>8</v>
      </c>
      <c r="IV727" s="27" t="s">
        <v>7</v>
      </c>
      <c r="JI727" s="27" t="s">
        <v>8</v>
      </c>
      <c r="JJ727" s="27" t="s">
        <v>7</v>
      </c>
      <c r="JK727" s="27" t="s">
        <v>8</v>
      </c>
      <c r="JL727" s="27" t="s">
        <v>7</v>
      </c>
      <c r="KO727" s="27" t="s">
        <v>8</v>
      </c>
      <c r="KP727" s="27" t="s">
        <v>7</v>
      </c>
      <c r="MG727" s="27" t="s">
        <v>8</v>
      </c>
      <c r="MH727" s="27" t="s">
        <v>7</v>
      </c>
      <c r="MQ727" s="27" t="s">
        <v>8</v>
      </c>
      <c r="MR727" s="27" t="s">
        <v>7</v>
      </c>
      <c r="MS727" s="27" t="s">
        <v>8</v>
      </c>
      <c r="MT727" s="27" t="s">
        <v>7</v>
      </c>
      <c r="MU727" s="27" t="s">
        <v>8</v>
      </c>
      <c r="MV727" s="27" t="s">
        <v>7</v>
      </c>
      <c r="NA727" s="27" t="s">
        <v>8</v>
      </c>
      <c r="NB727" s="27" t="s">
        <v>7</v>
      </c>
      <c r="NC727" s="27" t="s">
        <v>8</v>
      </c>
      <c r="ND727" s="27" t="s">
        <v>7</v>
      </c>
      <c r="NE727" s="27" t="s">
        <v>8</v>
      </c>
      <c r="NF727" s="27" t="s">
        <v>7</v>
      </c>
      <c r="NG727" s="27" t="s">
        <v>8</v>
      </c>
      <c r="NH727" s="27" t="s">
        <v>7</v>
      </c>
      <c r="NI727" s="27" t="s">
        <v>8</v>
      </c>
      <c r="NJ727" s="27" t="s">
        <v>7</v>
      </c>
      <c r="NK727" s="27" t="s">
        <v>8</v>
      </c>
      <c r="NM727" s="27" t="s">
        <v>8</v>
      </c>
      <c r="NN727" s="27" t="s">
        <v>7</v>
      </c>
      <c r="NO727" s="27" t="s">
        <v>8</v>
      </c>
      <c r="NP727" s="27" t="s">
        <v>7</v>
      </c>
      <c r="NQ727" s="27" t="s">
        <v>8</v>
      </c>
      <c r="NR727" s="27" t="s">
        <v>7</v>
      </c>
      <c r="NS727" s="27" t="s">
        <v>8</v>
      </c>
      <c r="NT727" s="27" t="s">
        <v>7</v>
      </c>
      <c r="NU727" s="27" t="s">
        <v>8</v>
      </c>
      <c r="NV727" s="27" t="s">
        <v>7</v>
      </c>
    </row>
    <row r="728" spans="1:386" x14ac:dyDescent="0.25">
      <c r="A728" s="7">
        <v>6.1288046885722716E-2</v>
      </c>
      <c r="B728"/>
      <c r="C728"/>
      <c r="D728"/>
      <c r="E728"/>
      <c r="F728" s="27" t="s">
        <v>7</v>
      </c>
      <c r="HQ728" s="27" t="s">
        <v>8</v>
      </c>
      <c r="HT728" s="27" t="s">
        <v>7</v>
      </c>
      <c r="HU728" s="27" t="s">
        <v>8</v>
      </c>
      <c r="IF728" s="27" t="s">
        <v>7</v>
      </c>
      <c r="IG728" s="27" t="s">
        <v>8</v>
      </c>
      <c r="IR728" s="27" t="s">
        <v>7</v>
      </c>
      <c r="IS728" s="27" t="s">
        <v>8</v>
      </c>
      <c r="IT728" s="27" t="s">
        <v>7</v>
      </c>
      <c r="IU728" s="27" t="s">
        <v>8</v>
      </c>
      <c r="IV728" s="27" t="s">
        <v>7</v>
      </c>
      <c r="JI728" s="27" t="s">
        <v>8</v>
      </c>
      <c r="JJ728" s="27" t="s">
        <v>7</v>
      </c>
      <c r="JK728" s="27" t="s">
        <v>8</v>
      </c>
      <c r="JL728" s="27" t="s">
        <v>7</v>
      </c>
      <c r="KO728" s="27" t="s">
        <v>8</v>
      </c>
      <c r="KP728" s="27" t="s">
        <v>7</v>
      </c>
      <c r="MG728" s="27" t="s">
        <v>8</v>
      </c>
      <c r="MH728" s="27" t="s">
        <v>7</v>
      </c>
      <c r="MQ728" s="27" t="s">
        <v>8</v>
      </c>
      <c r="MR728" s="27" t="s">
        <v>7</v>
      </c>
      <c r="MS728" s="27" t="s">
        <v>8</v>
      </c>
      <c r="MT728" s="27" t="s">
        <v>7</v>
      </c>
      <c r="MU728" s="27" t="s">
        <v>8</v>
      </c>
      <c r="MV728" s="27" t="s">
        <v>7</v>
      </c>
      <c r="NA728" s="27" t="s">
        <v>8</v>
      </c>
      <c r="NB728" s="27" t="s">
        <v>7</v>
      </c>
      <c r="NC728" s="27" t="s">
        <v>8</v>
      </c>
      <c r="ND728" s="27" t="s">
        <v>7</v>
      </c>
      <c r="NF728" s="27" t="s">
        <v>7</v>
      </c>
      <c r="NH728" s="27" t="s">
        <v>7</v>
      </c>
      <c r="NI728" s="27" t="s">
        <v>8</v>
      </c>
      <c r="NJ728" s="27" t="s">
        <v>7</v>
      </c>
      <c r="NK728" s="27" t="s">
        <v>8</v>
      </c>
      <c r="NL728" s="27" t="s">
        <v>7</v>
      </c>
      <c r="NM728" s="27" t="s">
        <v>8</v>
      </c>
      <c r="NN728" s="27" t="s">
        <v>7</v>
      </c>
      <c r="NO728" s="27" t="s">
        <v>8</v>
      </c>
      <c r="NP728" s="27" t="s">
        <v>7</v>
      </c>
      <c r="NQ728" s="27" t="s">
        <v>8</v>
      </c>
      <c r="NR728" s="27" t="s">
        <v>7</v>
      </c>
      <c r="NS728" s="27" t="s">
        <v>8</v>
      </c>
      <c r="NT728" s="27" t="s">
        <v>7</v>
      </c>
      <c r="NU728" s="27" t="s">
        <v>8</v>
      </c>
      <c r="NV728" s="27" t="s">
        <v>7</v>
      </c>
    </row>
    <row r="729" spans="1:386" x14ac:dyDescent="0.25">
      <c r="A729" s="7">
        <v>6.0086320476198739E-2</v>
      </c>
      <c r="B729"/>
      <c r="C729"/>
      <c r="D729"/>
      <c r="E729"/>
      <c r="F729" s="27" t="s">
        <v>7</v>
      </c>
      <c r="HQ729" s="27" t="s">
        <v>8</v>
      </c>
      <c r="HT729" s="27" t="s">
        <v>7</v>
      </c>
      <c r="HU729" s="27" t="s">
        <v>8</v>
      </c>
      <c r="IF729" s="27" t="s">
        <v>7</v>
      </c>
      <c r="IG729" s="27" t="s">
        <v>8</v>
      </c>
      <c r="IR729" s="27" t="s">
        <v>7</v>
      </c>
      <c r="IS729" s="27" t="s">
        <v>8</v>
      </c>
      <c r="IT729" s="27" t="s">
        <v>7</v>
      </c>
      <c r="IU729" s="27" t="s">
        <v>8</v>
      </c>
      <c r="IV729" s="27" t="s">
        <v>7</v>
      </c>
      <c r="JI729" s="27" t="s">
        <v>8</v>
      </c>
      <c r="JJ729" s="27" t="s">
        <v>7</v>
      </c>
      <c r="JK729" s="27" t="s">
        <v>8</v>
      </c>
      <c r="JL729" s="27" t="s">
        <v>7</v>
      </c>
      <c r="KO729" s="27" t="s">
        <v>8</v>
      </c>
      <c r="KP729" s="27" t="s">
        <v>7</v>
      </c>
      <c r="MG729" s="27" t="s">
        <v>8</v>
      </c>
      <c r="MH729" s="27" t="s">
        <v>7</v>
      </c>
      <c r="MQ729" s="27" t="s">
        <v>8</v>
      </c>
      <c r="MR729" s="27" t="s">
        <v>7</v>
      </c>
      <c r="MT729" s="27" t="s">
        <v>7</v>
      </c>
      <c r="MU729" s="27" t="s">
        <v>8</v>
      </c>
      <c r="MV729" s="27" t="s">
        <v>7</v>
      </c>
      <c r="MW729" s="27" t="s">
        <v>8</v>
      </c>
      <c r="NA729" s="27" t="s">
        <v>8</v>
      </c>
      <c r="NB729" s="27" t="s">
        <v>7</v>
      </c>
      <c r="NC729" s="27" t="s">
        <v>8</v>
      </c>
      <c r="NH729" s="27" t="s">
        <v>7</v>
      </c>
      <c r="NI729" s="27" t="s">
        <v>8</v>
      </c>
      <c r="NJ729" s="27" t="s">
        <v>7</v>
      </c>
      <c r="NK729" s="27" t="s">
        <v>8</v>
      </c>
      <c r="NL729" s="27" t="s">
        <v>7</v>
      </c>
      <c r="NM729" s="27" t="s">
        <v>8</v>
      </c>
      <c r="NN729" s="27" t="s">
        <v>7</v>
      </c>
      <c r="NO729" s="27" t="s">
        <v>8</v>
      </c>
      <c r="NP729" s="27" t="s">
        <v>7</v>
      </c>
      <c r="NQ729" s="27" t="s">
        <v>8</v>
      </c>
      <c r="NR729" s="27" t="s">
        <v>7</v>
      </c>
      <c r="NS729" s="27" t="s">
        <v>8</v>
      </c>
      <c r="NT729" s="27" t="s">
        <v>7</v>
      </c>
      <c r="NV729" s="27" t="s">
        <v>7</v>
      </c>
    </row>
    <row r="730" spans="1:386" x14ac:dyDescent="0.25">
      <c r="A730" s="7">
        <v>5.8908157329606609E-2</v>
      </c>
      <c r="B730"/>
      <c r="C730"/>
      <c r="D730"/>
      <c r="E730"/>
      <c r="F730" s="27" t="s">
        <v>7</v>
      </c>
      <c r="HQ730" s="27" t="s">
        <v>8</v>
      </c>
      <c r="HT730" s="27" t="s">
        <v>7</v>
      </c>
      <c r="HU730" s="27" t="s">
        <v>8</v>
      </c>
      <c r="IF730" s="27" t="s">
        <v>7</v>
      </c>
      <c r="IG730" s="27" t="s">
        <v>8</v>
      </c>
      <c r="IR730" s="27" t="s">
        <v>7</v>
      </c>
      <c r="IS730" s="27" t="s">
        <v>8</v>
      </c>
      <c r="IT730" s="27" t="s">
        <v>7</v>
      </c>
      <c r="IU730" s="27" t="s">
        <v>8</v>
      </c>
      <c r="IV730" s="27" t="s">
        <v>7</v>
      </c>
      <c r="JI730" s="27" t="s">
        <v>8</v>
      </c>
      <c r="JJ730" s="27" t="s">
        <v>7</v>
      </c>
      <c r="JK730" s="27" t="s">
        <v>8</v>
      </c>
      <c r="JL730" s="27" t="s">
        <v>7</v>
      </c>
      <c r="KO730" s="27" t="s">
        <v>8</v>
      </c>
      <c r="KP730" s="27" t="s">
        <v>7</v>
      </c>
      <c r="MG730" s="27" t="s">
        <v>8</v>
      </c>
      <c r="MH730" s="27" t="s">
        <v>7</v>
      </c>
      <c r="MQ730" s="27" t="s">
        <v>8</v>
      </c>
      <c r="MT730" s="27" t="s">
        <v>7</v>
      </c>
      <c r="MU730" s="27" t="s">
        <v>8</v>
      </c>
      <c r="MV730" s="27" t="s">
        <v>7</v>
      </c>
      <c r="MW730" s="27" t="s">
        <v>8</v>
      </c>
      <c r="MX730" s="27" t="s">
        <v>7</v>
      </c>
      <c r="MY730" s="27" t="s">
        <v>8</v>
      </c>
      <c r="NA730" s="27" t="s">
        <v>8</v>
      </c>
      <c r="NB730" s="27" t="s">
        <v>7</v>
      </c>
      <c r="NC730" s="27" t="s">
        <v>8</v>
      </c>
      <c r="NH730" s="27" t="s">
        <v>7</v>
      </c>
      <c r="NI730" s="27" t="s">
        <v>8</v>
      </c>
      <c r="NJ730" s="27" t="s">
        <v>7</v>
      </c>
      <c r="NK730" s="27" t="s">
        <v>8</v>
      </c>
      <c r="NL730" s="27" t="s">
        <v>7</v>
      </c>
      <c r="NM730" s="27" t="s">
        <v>8</v>
      </c>
      <c r="NN730" s="27" t="s">
        <v>7</v>
      </c>
      <c r="NP730" s="27" t="s">
        <v>7</v>
      </c>
      <c r="NR730" s="27" t="s">
        <v>7</v>
      </c>
      <c r="NV730" s="27" t="s">
        <v>7</v>
      </c>
    </row>
    <row r="731" spans="1:386" x14ac:dyDescent="0.25">
      <c r="A731" s="7">
        <v>5.7753095421182947E-2</v>
      </c>
      <c r="B731"/>
      <c r="C731"/>
      <c r="D731"/>
      <c r="E731"/>
      <c r="F731" s="27" t="s">
        <v>7</v>
      </c>
      <c r="HQ731" s="27" t="s">
        <v>8</v>
      </c>
      <c r="HT731" s="27" t="s">
        <v>7</v>
      </c>
      <c r="HU731" s="27" t="s">
        <v>8</v>
      </c>
      <c r="IF731" s="27" t="s">
        <v>7</v>
      </c>
      <c r="IG731" s="27" t="s">
        <v>8</v>
      </c>
      <c r="IR731" s="27" t="s">
        <v>7</v>
      </c>
      <c r="IS731" s="27" t="s">
        <v>8</v>
      </c>
      <c r="IT731" s="27" t="s">
        <v>7</v>
      </c>
      <c r="IU731" s="27" t="s">
        <v>8</v>
      </c>
      <c r="IV731" s="27" t="s">
        <v>7</v>
      </c>
      <c r="JI731" s="27" t="s">
        <v>8</v>
      </c>
      <c r="JJ731" s="27" t="s">
        <v>7</v>
      </c>
      <c r="JK731" s="27" t="s">
        <v>8</v>
      </c>
      <c r="JL731" s="27" t="s">
        <v>7</v>
      </c>
      <c r="KO731" s="27" t="s">
        <v>8</v>
      </c>
      <c r="KP731" s="27" t="s">
        <v>7</v>
      </c>
      <c r="KU731" s="27" t="s">
        <v>8</v>
      </c>
      <c r="LA731" s="27" t="s">
        <v>8</v>
      </c>
      <c r="MG731" s="27" t="s">
        <v>8</v>
      </c>
      <c r="MH731" s="27" t="s">
        <v>7</v>
      </c>
      <c r="MQ731" s="27" t="s">
        <v>8</v>
      </c>
      <c r="MT731" s="27" t="s">
        <v>7</v>
      </c>
      <c r="MU731" s="27" t="s">
        <v>8</v>
      </c>
      <c r="MV731" s="27" t="s">
        <v>7</v>
      </c>
      <c r="MW731" s="27" t="s">
        <v>8</v>
      </c>
      <c r="MX731" s="27" t="s">
        <v>7</v>
      </c>
      <c r="MY731" s="27" t="s">
        <v>8</v>
      </c>
      <c r="MZ731" s="27" t="s">
        <v>7</v>
      </c>
      <c r="NA731" s="27" t="s">
        <v>8</v>
      </c>
      <c r="NB731" s="27" t="s">
        <v>7</v>
      </c>
      <c r="NC731" s="27" t="s">
        <v>8</v>
      </c>
      <c r="NH731" s="27" t="s">
        <v>7</v>
      </c>
      <c r="NI731" s="27" t="s">
        <v>8</v>
      </c>
      <c r="NJ731" s="27" t="s">
        <v>7</v>
      </c>
      <c r="NK731" s="27" t="s">
        <v>8</v>
      </c>
      <c r="NL731" s="27" t="s">
        <v>7</v>
      </c>
      <c r="NV731" s="27" t="s">
        <v>7</v>
      </c>
    </row>
    <row r="732" spans="1:386" x14ac:dyDescent="0.25">
      <c r="A732" s="7">
        <v>5.6620681785473484E-2</v>
      </c>
      <c r="B732"/>
      <c r="C732"/>
      <c r="D732"/>
      <c r="E732"/>
      <c r="F732" s="27" t="s">
        <v>7</v>
      </c>
      <c r="HQ732" s="27" t="s">
        <v>8</v>
      </c>
      <c r="HT732" s="27" t="s">
        <v>7</v>
      </c>
      <c r="IF732" s="27" t="s">
        <v>7</v>
      </c>
      <c r="IR732" s="27" t="s">
        <v>7</v>
      </c>
      <c r="IS732" s="27" t="s">
        <v>8</v>
      </c>
      <c r="IT732" s="27" t="s">
        <v>7</v>
      </c>
      <c r="IU732" s="27" t="s">
        <v>8</v>
      </c>
      <c r="IV732" s="27" t="s">
        <v>7</v>
      </c>
      <c r="JI732" s="27" t="s">
        <v>8</v>
      </c>
      <c r="JJ732" s="27" t="s">
        <v>7</v>
      </c>
      <c r="JK732" s="27" t="s">
        <v>8</v>
      </c>
      <c r="JL732" s="27" t="s">
        <v>7</v>
      </c>
      <c r="KO732" s="27" t="s">
        <v>8</v>
      </c>
      <c r="KP732" s="27" t="s">
        <v>7</v>
      </c>
      <c r="KQ732" s="27" t="s">
        <v>8</v>
      </c>
      <c r="KU732" s="27" t="s">
        <v>8</v>
      </c>
      <c r="KV732" s="27" t="s">
        <v>7</v>
      </c>
      <c r="LA732" s="27" t="s">
        <v>8</v>
      </c>
      <c r="LB732" s="27" t="s">
        <v>7</v>
      </c>
      <c r="MG732" s="27" t="s">
        <v>8</v>
      </c>
      <c r="MH732" s="27" t="s">
        <v>7</v>
      </c>
      <c r="MI732" s="27" t="s">
        <v>8</v>
      </c>
      <c r="MM732" s="27" t="s">
        <v>8</v>
      </c>
      <c r="MQ732" s="27" t="s">
        <v>8</v>
      </c>
      <c r="MT732" s="27" t="s">
        <v>7</v>
      </c>
      <c r="MU732" s="27" t="s">
        <v>8</v>
      </c>
      <c r="MV732" s="27" t="s">
        <v>7</v>
      </c>
      <c r="MW732" s="27" t="s">
        <v>8</v>
      </c>
      <c r="MX732" s="27" t="s">
        <v>7</v>
      </c>
      <c r="MY732" s="27" t="s">
        <v>8</v>
      </c>
      <c r="MZ732" s="27" t="s">
        <v>7</v>
      </c>
      <c r="NA732" s="27" t="s">
        <v>8</v>
      </c>
      <c r="NB732" s="27" t="s">
        <v>7</v>
      </c>
      <c r="NH732" s="27" t="s">
        <v>7</v>
      </c>
      <c r="NI732" s="27" t="s">
        <v>8</v>
      </c>
      <c r="NJ732" s="27" t="s">
        <v>7</v>
      </c>
      <c r="NK732" s="27" t="s">
        <v>8</v>
      </c>
      <c r="NV732" s="27" t="s">
        <v>7</v>
      </c>
    </row>
    <row r="733" spans="1:386" x14ac:dyDescent="0.25">
      <c r="A733" s="7">
        <v>5.5510472338699497E-2</v>
      </c>
      <c r="B733"/>
      <c r="C733"/>
      <c r="D733"/>
      <c r="E733"/>
      <c r="F733" s="27" t="s">
        <v>7</v>
      </c>
      <c r="HQ733" s="27" t="s">
        <v>8</v>
      </c>
      <c r="IR733" s="27" t="s">
        <v>7</v>
      </c>
      <c r="IS733" s="27" t="s">
        <v>8</v>
      </c>
      <c r="IT733" s="27" t="s">
        <v>7</v>
      </c>
      <c r="IV733" s="27" t="s">
        <v>7</v>
      </c>
      <c r="JI733" s="27" t="s">
        <v>8</v>
      </c>
      <c r="JJ733" s="27" t="s">
        <v>7</v>
      </c>
      <c r="JK733" s="27" t="s">
        <v>8</v>
      </c>
      <c r="JL733" s="27" t="s">
        <v>7</v>
      </c>
      <c r="KO733" s="27" t="s">
        <v>8</v>
      </c>
      <c r="KP733" s="27" t="s">
        <v>7</v>
      </c>
      <c r="KQ733" s="27" t="s">
        <v>8</v>
      </c>
      <c r="KR733" s="27" t="s">
        <v>7</v>
      </c>
      <c r="KS733" s="27" t="s">
        <v>8</v>
      </c>
      <c r="KU733" s="27" t="s">
        <v>8</v>
      </c>
      <c r="KV733" s="27" t="s">
        <v>7</v>
      </c>
      <c r="LA733" s="27" t="s">
        <v>8</v>
      </c>
      <c r="LB733" s="27" t="s">
        <v>7</v>
      </c>
      <c r="MG733" s="27" t="s">
        <v>8</v>
      </c>
      <c r="MH733" s="27" t="s">
        <v>7</v>
      </c>
      <c r="MI733" s="27" t="s">
        <v>8</v>
      </c>
      <c r="MJ733" s="27" t="s">
        <v>7</v>
      </c>
      <c r="MM733" s="27" t="s">
        <v>8</v>
      </c>
      <c r="MN733" s="27" t="s">
        <v>7</v>
      </c>
      <c r="MQ733" s="27" t="s">
        <v>8</v>
      </c>
      <c r="MT733" s="27" t="s">
        <v>7</v>
      </c>
      <c r="MU733" s="27" t="s">
        <v>8</v>
      </c>
      <c r="MV733" s="27" t="s">
        <v>7</v>
      </c>
      <c r="MX733" s="27" t="s">
        <v>7</v>
      </c>
      <c r="MY733" s="27" t="s">
        <v>8</v>
      </c>
      <c r="MZ733" s="27" t="s">
        <v>7</v>
      </c>
      <c r="NA733" s="27" t="s">
        <v>8</v>
      </c>
      <c r="NH733" s="27" t="s">
        <v>7</v>
      </c>
      <c r="NI733" s="27" t="s">
        <v>8</v>
      </c>
      <c r="NJ733" s="27" t="s">
        <v>7</v>
      </c>
      <c r="NK733" s="27" t="s">
        <v>8</v>
      </c>
      <c r="NV733" s="27" t="s">
        <v>7</v>
      </c>
    </row>
    <row r="734" spans="1:386" x14ac:dyDescent="0.25">
      <c r="A734" s="7">
        <v>5.4422031704607354E-2</v>
      </c>
      <c r="B734"/>
      <c r="C734"/>
      <c r="D734"/>
      <c r="E734"/>
      <c r="F734" s="27" t="s">
        <v>7</v>
      </c>
      <c r="HQ734" s="27" t="s">
        <v>8</v>
      </c>
      <c r="IR734" s="27" t="s">
        <v>7</v>
      </c>
      <c r="IS734" s="27" t="s">
        <v>8</v>
      </c>
      <c r="IV734" s="27" t="s">
        <v>7</v>
      </c>
      <c r="JI734" s="27" t="s">
        <v>8</v>
      </c>
      <c r="JJ734" s="27" t="s">
        <v>7</v>
      </c>
      <c r="JK734" s="27" t="s">
        <v>8</v>
      </c>
      <c r="JL734" s="27" t="s">
        <v>7</v>
      </c>
      <c r="KO734" s="27" t="s">
        <v>8</v>
      </c>
      <c r="KP734" s="27" t="s">
        <v>7</v>
      </c>
      <c r="KQ734" s="27" t="s">
        <v>8</v>
      </c>
      <c r="KR734" s="27" t="s">
        <v>7</v>
      </c>
      <c r="KS734" s="27" t="s">
        <v>8</v>
      </c>
      <c r="KT734" s="27" t="s">
        <v>7</v>
      </c>
      <c r="KU734" s="27" t="s">
        <v>8</v>
      </c>
      <c r="KV734" s="27" t="s">
        <v>7</v>
      </c>
      <c r="KY734" s="27" t="s">
        <v>8</v>
      </c>
      <c r="LA734" s="27" t="s">
        <v>8</v>
      </c>
      <c r="LB734" s="27" t="s">
        <v>7</v>
      </c>
      <c r="MG734" s="27" t="s">
        <v>8</v>
      </c>
      <c r="MH734" s="27" t="s">
        <v>7</v>
      </c>
      <c r="MI734" s="27" t="s">
        <v>8</v>
      </c>
      <c r="MJ734" s="27" t="s">
        <v>7</v>
      </c>
      <c r="MM734" s="27" t="s">
        <v>8</v>
      </c>
      <c r="MN734" s="27" t="s">
        <v>7</v>
      </c>
      <c r="MO734" s="27" t="s">
        <v>8</v>
      </c>
      <c r="MQ734" s="27" t="s">
        <v>8</v>
      </c>
      <c r="MT734" s="27" t="s">
        <v>7</v>
      </c>
      <c r="MU734" s="27" t="s">
        <v>8</v>
      </c>
      <c r="MX734" s="27" t="s">
        <v>7</v>
      </c>
      <c r="MZ734" s="27" t="s">
        <v>7</v>
      </c>
      <c r="NA734" s="27" t="s">
        <v>8</v>
      </c>
      <c r="NH734" s="27" t="s">
        <v>7</v>
      </c>
      <c r="NI734" s="27" t="s">
        <v>8</v>
      </c>
      <c r="NJ734" s="27" t="s">
        <v>7</v>
      </c>
      <c r="NV734" s="27" t="s">
        <v>7</v>
      </c>
    </row>
    <row r="735" spans="1:386" x14ac:dyDescent="0.25">
      <c r="A735" s="7">
        <v>5.3354933043732705E-2</v>
      </c>
      <c r="B735"/>
      <c r="C735"/>
      <c r="D735"/>
      <c r="E735"/>
      <c r="F735" s="27" t="s">
        <v>7</v>
      </c>
      <c r="HQ735" s="27" t="s">
        <v>8</v>
      </c>
      <c r="IR735" s="27" t="s">
        <v>7</v>
      </c>
      <c r="IV735" s="27" t="s">
        <v>7</v>
      </c>
      <c r="JI735" s="27" t="s">
        <v>8</v>
      </c>
      <c r="JJ735" s="27" t="s">
        <v>7</v>
      </c>
      <c r="JK735" s="27" t="s">
        <v>8</v>
      </c>
      <c r="JL735" s="27" t="s">
        <v>7</v>
      </c>
      <c r="KO735" s="27" t="s">
        <v>8</v>
      </c>
      <c r="KP735" s="27" t="s">
        <v>7</v>
      </c>
      <c r="KQ735" s="27" t="s">
        <v>8</v>
      </c>
      <c r="KR735" s="27" t="s">
        <v>7</v>
      </c>
      <c r="KS735" s="27" t="s">
        <v>8</v>
      </c>
      <c r="KT735" s="27" t="s">
        <v>7</v>
      </c>
      <c r="KU735" s="27" t="s">
        <v>8</v>
      </c>
      <c r="KV735" s="27" t="s">
        <v>7</v>
      </c>
      <c r="KY735" s="27" t="s">
        <v>8</v>
      </c>
      <c r="KZ735" s="27" t="s">
        <v>7</v>
      </c>
      <c r="LA735" s="27" t="s">
        <v>8</v>
      </c>
      <c r="LB735" s="27" t="s">
        <v>7</v>
      </c>
      <c r="MG735" s="27" t="s">
        <v>8</v>
      </c>
      <c r="MH735" s="27" t="s">
        <v>7</v>
      </c>
      <c r="MI735" s="27" t="s">
        <v>8</v>
      </c>
      <c r="MJ735" s="27" t="s">
        <v>7</v>
      </c>
      <c r="MM735" s="27" t="s">
        <v>8</v>
      </c>
      <c r="MN735" s="27" t="s">
        <v>7</v>
      </c>
      <c r="MO735" s="27" t="s">
        <v>8</v>
      </c>
      <c r="MP735" s="27" t="s">
        <v>7</v>
      </c>
      <c r="MQ735" s="27" t="s">
        <v>8</v>
      </c>
      <c r="MT735" s="27" t="s">
        <v>7</v>
      </c>
      <c r="MZ735" s="27" t="s">
        <v>7</v>
      </c>
      <c r="NH735" s="27" t="s">
        <v>7</v>
      </c>
      <c r="NI735" s="27" t="s">
        <v>8</v>
      </c>
      <c r="NV735" s="27" t="s">
        <v>7</v>
      </c>
    </row>
    <row r="736" spans="1:386" x14ac:dyDescent="0.25">
      <c r="A736" s="7">
        <v>5.2308757886012455E-2</v>
      </c>
      <c r="B736"/>
      <c r="C736"/>
      <c r="D736"/>
      <c r="E736"/>
      <c r="F736" s="27" t="s">
        <v>7</v>
      </c>
      <c r="HQ736" s="27" t="s">
        <v>8</v>
      </c>
      <c r="IV736" s="27" t="s">
        <v>7</v>
      </c>
      <c r="JI736" s="27" t="s">
        <v>8</v>
      </c>
      <c r="JJ736" s="27" t="s">
        <v>7</v>
      </c>
      <c r="JL736" s="27" t="s">
        <v>7</v>
      </c>
      <c r="KO736" s="27" t="s">
        <v>8</v>
      </c>
      <c r="KP736" s="27" t="s">
        <v>7</v>
      </c>
      <c r="KQ736" s="27" t="s">
        <v>8</v>
      </c>
      <c r="KR736" s="27" t="s">
        <v>7</v>
      </c>
      <c r="KS736" s="27" t="s">
        <v>8</v>
      </c>
      <c r="KT736" s="27" t="s">
        <v>7</v>
      </c>
      <c r="KU736" s="27" t="s">
        <v>8</v>
      </c>
      <c r="KV736" s="27" t="s">
        <v>7</v>
      </c>
      <c r="KY736" s="27" t="s">
        <v>8</v>
      </c>
      <c r="KZ736" s="27" t="s">
        <v>7</v>
      </c>
      <c r="LA736" s="27" t="s">
        <v>8</v>
      </c>
      <c r="LB736" s="27" t="s">
        <v>7</v>
      </c>
      <c r="LI736" s="27" t="s">
        <v>8</v>
      </c>
      <c r="MG736" s="27" t="s">
        <v>8</v>
      </c>
      <c r="MH736" s="27" t="s">
        <v>7</v>
      </c>
      <c r="MJ736" s="27" t="s">
        <v>7</v>
      </c>
      <c r="MK736" s="27" t="s">
        <v>8</v>
      </c>
      <c r="MM736" s="27" t="s">
        <v>8</v>
      </c>
      <c r="MN736" s="27" t="s">
        <v>7</v>
      </c>
      <c r="MO736" s="27" t="s">
        <v>8</v>
      </c>
      <c r="MP736" s="27" t="s">
        <v>7</v>
      </c>
      <c r="MQ736" s="27" t="s">
        <v>8</v>
      </c>
      <c r="NH736" s="27" t="s">
        <v>7</v>
      </c>
      <c r="NI736" s="27" t="s">
        <v>8</v>
      </c>
      <c r="NV736" s="27" t="s">
        <v>7</v>
      </c>
    </row>
    <row r="737" spans="1:392" x14ac:dyDescent="0.25">
      <c r="A737" s="7">
        <v>5.1283095966678877E-2</v>
      </c>
      <c r="B737"/>
      <c r="C737"/>
      <c r="D737"/>
      <c r="E737"/>
      <c r="F737" s="27" t="s">
        <v>7</v>
      </c>
      <c r="HQ737" s="27" t="s">
        <v>8</v>
      </c>
      <c r="IV737" s="27" t="s">
        <v>7</v>
      </c>
      <c r="JI737" s="27" t="s">
        <v>8</v>
      </c>
      <c r="JL737" s="27" t="s">
        <v>7</v>
      </c>
      <c r="JM737" s="27" t="s">
        <v>8</v>
      </c>
      <c r="KO737" s="27" t="s">
        <v>8</v>
      </c>
      <c r="KP737" s="27" t="s">
        <v>7</v>
      </c>
      <c r="KQ737" s="27" t="s">
        <v>8</v>
      </c>
      <c r="KR737" s="27" t="s">
        <v>7</v>
      </c>
      <c r="KS737" s="27" t="s">
        <v>8</v>
      </c>
      <c r="KT737" s="27" t="s">
        <v>7</v>
      </c>
      <c r="KV737" s="27" t="s">
        <v>7</v>
      </c>
      <c r="KW737" s="27" t="s">
        <v>8</v>
      </c>
      <c r="KY737" s="27" t="s">
        <v>8</v>
      </c>
      <c r="KZ737" s="27" t="s">
        <v>7</v>
      </c>
      <c r="LB737" s="27" t="s">
        <v>7</v>
      </c>
      <c r="LI737" s="27" t="s">
        <v>8</v>
      </c>
      <c r="LJ737" s="27" t="s">
        <v>7</v>
      </c>
      <c r="LY737" s="27" t="s">
        <v>8</v>
      </c>
      <c r="MA737" s="27" t="s">
        <v>8</v>
      </c>
      <c r="MG737" s="27" t="s">
        <v>8</v>
      </c>
      <c r="MJ737" s="27" t="s">
        <v>7</v>
      </c>
      <c r="MK737" s="27" t="s">
        <v>8</v>
      </c>
      <c r="ML737" s="27" t="s">
        <v>7</v>
      </c>
      <c r="MM737" s="27" t="s">
        <v>8</v>
      </c>
      <c r="MN737" s="27" t="s">
        <v>7</v>
      </c>
      <c r="MO737" s="27" t="s">
        <v>8</v>
      </c>
      <c r="MP737" s="27" t="s">
        <v>7</v>
      </c>
      <c r="MQ737" s="27" t="s">
        <v>8</v>
      </c>
      <c r="NH737" s="27" t="s">
        <v>7</v>
      </c>
      <c r="NI737" s="27" t="s">
        <v>8</v>
      </c>
      <c r="NV737" s="27" t="s">
        <v>7</v>
      </c>
      <c r="NW737" s="27" t="s">
        <v>8</v>
      </c>
      <c r="NY737" s="27" t="s">
        <v>8</v>
      </c>
    </row>
    <row r="738" spans="1:392" x14ac:dyDescent="0.25">
      <c r="A738" s="7">
        <v>5.0277545065371444E-2</v>
      </c>
      <c r="B738"/>
      <c r="C738"/>
      <c r="D738"/>
      <c r="E738"/>
      <c r="F738" s="27" t="s">
        <v>7</v>
      </c>
      <c r="HQ738" s="27" t="s">
        <v>8</v>
      </c>
      <c r="IV738" s="27" t="s">
        <v>7</v>
      </c>
      <c r="JI738" s="27" t="s">
        <v>8</v>
      </c>
      <c r="JL738" s="27" t="s">
        <v>7</v>
      </c>
      <c r="JM738" s="27" t="s">
        <v>8</v>
      </c>
      <c r="JN738" s="27" t="s">
        <v>7</v>
      </c>
      <c r="KO738" s="27" t="s">
        <v>8</v>
      </c>
      <c r="KP738" s="27" t="s">
        <v>7</v>
      </c>
      <c r="KR738" s="27" t="s">
        <v>7</v>
      </c>
      <c r="KS738" s="27" t="s">
        <v>8</v>
      </c>
      <c r="KV738" s="27" t="s">
        <v>7</v>
      </c>
      <c r="KW738" s="27" t="s">
        <v>8</v>
      </c>
      <c r="KX738" s="27" t="s">
        <v>7</v>
      </c>
      <c r="KY738" s="27" t="s">
        <v>8</v>
      </c>
      <c r="LB738" s="27" t="s">
        <v>7</v>
      </c>
      <c r="LI738" s="27" t="s">
        <v>8</v>
      </c>
      <c r="LJ738" s="27" t="s">
        <v>7</v>
      </c>
      <c r="LY738" s="27" t="s">
        <v>8</v>
      </c>
      <c r="LZ738" s="27" t="s">
        <v>7</v>
      </c>
      <c r="MA738" s="27" t="s">
        <v>8</v>
      </c>
      <c r="MB738" s="27" t="s">
        <v>7</v>
      </c>
      <c r="ME738" s="27" t="s">
        <v>8</v>
      </c>
      <c r="MG738" s="27" t="s">
        <v>8</v>
      </c>
      <c r="MJ738" s="27" t="s">
        <v>7</v>
      </c>
      <c r="MK738" s="27" t="s">
        <v>8</v>
      </c>
      <c r="ML738" s="27" t="s">
        <v>7</v>
      </c>
      <c r="MM738" s="27" t="s">
        <v>8</v>
      </c>
      <c r="MN738" s="27" t="s">
        <v>7</v>
      </c>
      <c r="MO738" s="27" t="s">
        <v>8</v>
      </c>
      <c r="MP738" s="27" t="s">
        <v>7</v>
      </c>
      <c r="MQ738" s="27" t="s">
        <v>8</v>
      </c>
      <c r="NH738" s="27" t="s">
        <v>7</v>
      </c>
      <c r="NV738" s="27" t="s">
        <v>7</v>
      </c>
      <c r="NW738" s="27" t="s">
        <v>8</v>
      </c>
      <c r="NX738" s="27" t="s">
        <v>7</v>
      </c>
      <c r="NY738" s="27" t="s">
        <v>8</v>
      </c>
      <c r="NZ738" s="27" t="s">
        <v>7</v>
      </c>
    </row>
    <row r="739" spans="1:392" x14ac:dyDescent="0.25">
      <c r="A739" s="7">
        <v>4.9291710848403378E-2</v>
      </c>
      <c r="B739"/>
      <c r="C739"/>
      <c r="D739"/>
      <c r="E739"/>
      <c r="F739" s="27" t="s">
        <v>7</v>
      </c>
      <c r="HQ739" s="27" t="s">
        <v>8</v>
      </c>
      <c r="IV739" s="27" t="s">
        <v>7</v>
      </c>
      <c r="JI739" s="27" t="s">
        <v>8</v>
      </c>
      <c r="JL739" s="27" t="s">
        <v>7</v>
      </c>
      <c r="JM739" s="27" t="s">
        <v>8</v>
      </c>
      <c r="JN739" s="27" t="s">
        <v>7</v>
      </c>
      <c r="KO739" s="27" t="s">
        <v>8</v>
      </c>
      <c r="KR739" s="27" t="s">
        <v>7</v>
      </c>
      <c r="KS739" s="27" t="s">
        <v>8</v>
      </c>
      <c r="KV739" s="27" t="s">
        <v>7</v>
      </c>
      <c r="KW739" s="27" t="s">
        <v>8</v>
      </c>
      <c r="KX739" s="27" t="s">
        <v>7</v>
      </c>
      <c r="KY739" s="27" t="s">
        <v>8</v>
      </c>
      <c r="LB739" s="27" t="s">
        <v>7</v>
      </c>
      <c r="LC739" s="27" t="s">
        <v>8</v>
      </c>
      <c r="LE739" s="27" t="s">
        <v>8</v>
      </c>
      <c r="LI739" s="27" t="s">
        <v>8</v>
      </c>
      <c r="LJ739" s="27" t="s">
        <v>7</v>
      </c>
      <c r="LY739" s="27" t="s">
        <v>8</v>
      </c>
      <c r="LZ739" s="27" t="s">
        <v>7</v>
      </c>
      <c r="MA739" s="27" t="s">
        <v>8</v>
      </c>
      <c r="MB739" s="27" t="s">
        <v>7</v>
      </c>
      <c r="ME739" s="27" t="s">
        <v>8</v>
      </c>
      <c r="MF739" s="27" t="s">
        <v>7</v>
      </c>
      <c r="MG739" s="27" t="s">
        <v>8</v>
      </c>
      <c r="MJ739" s="27" t="s">
        <v>7</v>
      </c>
      <c r="MK739" s="27" t="s">
        <v>8</v>
      </c>
      <c r="ML739" s="27" t="s">
        <v>7</v>
      </c>
      <c r="MN739" s="27" t="s">
        <v>7</v>
      </c>
      <c r="MO739" s="27" t="s">
        <v>8</v>
      </c>
      <c r="MP739" s="27" t="s">
        <v>7</v>
      </c>
      <c r="MQ739" s="27" t="s">
        <v>8</v>
      </c>
      <c r="NV739" s="27" t="s">
        <v>7</v>
      </c>
      <c r="NW739" s="27" t="s">
        <v>8</v>
      </c>
      <c r="NX739" s="27" t="s">
        <v>7</v>
      </c>
      <c r="NY739" s="27" t="s">
        <v>8</v>
      </c>
      <c r="NZ739" s="27" t="s">
        <v>7</v>
      </c>
      <c r="OA739" s="27" t="s">
        <v>8</v>
      </c>
    </row>
    <row r="740" spans="1:392" x14ac:dyDescent="0.25">
      <c r="A740" s="7">
        <v>4.8325206714120959E-2</v>
      </c>
      <c r="B740"/>
      <c r="C740"/>
      <c r="D740"/>
      <c r="E740"/>
      <c r="F740" s="27" t="s">
        <v>7</v>
      </c>
      <c r="HK740" s="27" t="s">
        <v>8</v>
      </c>
      <c r="HQ740" s="27" t="s">
        <v>8</v>
      </c>
      <c r="IV740" s="27" t="s">
        <v>7</v>
      </c>
      <c r="JI740" s="27" t="s">
        <v>8</v>
      </c>
      <c r="JL740" s="27" t="s">
        <v>7</v>
      </c>
      <c r="JM740" s="27" t="s">
        <v>8</v>
      </c>
      <c r="JN740" s="27" t="s">
        <v>7</v>
      </c>
      <c r="KM740" s="27" t="s">
        <v>8</v>
      </c>
      <c r="KO740" s="27" t="s">
        <v>8</v>
      </c>
      <c r="KR740" s="27" t="s">
        <v>7</v>
      </c>
      <c r="KS740" s="27" t="s">
        <v>8</v>
      </c>
      <c r="KV740" s="27" t="s">
        <v>7</v>
      </c>
      <c r="KW740" s="27" t="s">
        <v>8</v>
      </c>
      <c r="KX740" s="27" t="s">
        <v>7</v>
      </c>
      <c r="KY740" s="27" t="s">
        <v>8</v>
      </c>
      <c r="LB740" s="27" t="s">
        <v>7</v>
      </c>
      <c r="LC740" s="27" t="s">
        <v>8</v>
      </c>
      <c r="LD740" s="27" t="s">
        <v>7</v>
      </c>
      <c r="LE740" s="27" t="s">
        <v>8</v>
      </c>
      <c r="LF740" s="27" t="s">
        <v>7</v>
      </c>
      <c r="LI740" s="27" t="s">
        <v>8</v>
      </c>
      <c r="LJ740" s="27" t="s">
        <v>7</v>
      </c>
      <c r="LS740" s="27" t="s">
        <v>8</v>
      </c>
      <c r="LY740" s="27" t="s">
        <v>8</v>
      </c>
      <c r="LZ740" s="27" t="s">
        <v>7</v>
      </c>
      <c r="MA740" s="27" t="s">
        <v>8</v>
      </c>
      <c r="MB740" s="27" t="s">
        <v>7</v>
      </c>
      <c r="ME740" s="27" t="s">
        <v>8</v>
      </c>
      <c r="MF740" s="27" t="s">
        <v>7</v>
      </c>
      <c r="MG740" s="27" t="s">
        <v>8</v>
      </c>
      <c r="MJ740" s="27" t="s">
        <v>7</v>
      </c>
      <c r="MK740" s="27" t="s">
        <v>8</v>
      </c>
      <c r="MN740" s="27" t="s">
        <v>7</v>
      </c>
      <c r="MO740" s="27" t="s">
        <v>8</v>
      </c>
      <c r="MP740" s="27" t="s">
        <v>7</v>
      </c>
      <c r="MQ740" s="27" t="s">
        <v>8</v>
      </c>
      <c r="NV740" s="27" t="s">
        <v>7</v>
      </c>
      <c r="NX740" s="27" t="s">
        <v>7</v>
      </c>
      <c r="NY740" s="27" t="s">
        <v>8</v>
      </c>
      <c r="NZ740" s="27" t="s">
        <v>7</v>
      </c>
      <c r="OA740" s="27" t="s">
        <v>8</v>
      </c>
      <c r="OB740" s="27" t="s">
        <v>7</v>
      </c>
    </row>
    <row r="741" spans="1:392" x14ac:dyDescent="0.25">
      <c r="A741" s="7">
        <v>4.7377653641295057E-2</v>
      </c>
      <c r="B741"/>
      <c r="C741"/>
      <c r="D741"/>
      <c r="E741"/>
      <c r="F741" s="27" t="s">
        <v>7</v>
      </c>
      <c r="HK741" s="27" t="s">
        <v>8</v>
      </c>
      <c r="HL741" s="27" t="s">
        <v>7</v>
      </c>
      <c r="HO741" s="27" t="s">
        <v>8</v>
      </c>
      <c r="HQ741" s="27" t="s">
        <v>8</v>
      </c>
      <c r="IV741" s="27" t="s">
        <v>7</v>
      </c>
      <c r="JI741" s="27" t="s">
        <v>8</v>
      </c>
      <c r="JL741" s="27" t="s">
        <v>7</v>
      </c>
      <c r="JM741" s="27" t="s">
        <v>8</v>
      </c>
      <c r="JN741" s="27" t="s">
        <v>7</v>
      </c>
      <c r="KM741" s="27" t="s">
        <v>8</v>
      </c>
      <c r="KN741" s="27" t="s">
        <v>7</v>
      </c>
      <c r="KO741" s="27" t="s">
        <v>8</v>
      </c>
      <c r="KR741" s="27" t="s">
        <v>7</v>
      </c>
      <c r="KS741" s="27" t="s">
        <v>8</v>
      </c>
      <c r="KV741" s="27" t="s">
        <v>7</v>
      </c>
      <c r="KX741" s="27" t="s">
        <v>7</v>
      </c>
      <c r="KY741" s="27" t="s">
        <v>8</v>
      </c>
      <c r="LB741" s="27" t="s">
        <v>7</v>
      </c>
      <c r="LC741" s="27" t="s">
        <v>8</v>
      </c>
      <c r="LD741" s="27" t="s">
        <v>7</v>
      </c>
      <c r="LE741" s="27" t="s">
        <v>8</v>
      </c>
      <c r="LF741" s="27" t="s">
        <v>7</v>
      </c>
      <c r="LI741" s="27" t="s">
        <v>8</v>
      </c>
      <c r="LJ741" s="27" t="s">
        <v>7</v>
      </c>
      <c r="LS741" s="27" t="s">
        <v>8</v>
      </c>
      <c r="LT741" s="27" t="s">
        <v>7</v>
      </c>
      <c r="LY741" s="27" t="s">
        <v>8</v>
      </c>
      <c r="LZ741" s="27" t="s">
        <v>7</v>
      </c>
      <c r="MA741" s="27" t="s">
        <v>8</v>
      </c>
      <c r="MB741" s="27" t="s">
        <v>7</v>
      </c>
      <c r="MC741" s="27" t="s">
        <v>8</v>
      </c>
      <c r="ME741" s="27" t="s">
        <v>8</v>
      </c>
      <c r="MF741" s="27" t="s">
        <v>7</v>
      </c>
      <c r="MG741" s="27" t="s">
        <v>8</v>
      </c>
      <c r="MJ741" s="27" t="s">
        <v>7</v>
      </c>
      <c r="MN741" s="27" t="s">
        <v>7</v>
      </c>
      <c r="MP741" s="27" t="s">
        <v>7</v>
      </c>
      <c r="MQ741" s="27" t="s">
        <v>8</v>
      </c>
      <c r="NX741" s="27" t="s">
        <v>7</v>
      </c>
      <c r="NY741" s="27" t="s">
        <v>8</v>
      </c>
      <c r="NZ741" s="27" t="s">
        <v>7</v>
      </c>
      <c r="OA741" s="27" t="s">
        <v>8</v>
      </c>
      <c r="OB741" s="27" t="s">
        <v>7</v>
      </c>
    </row>
    <row r="742" spans="1:392" x14ac:dyDescent="0.25">
      <c r="A742" s="7">
        <v>4.644868004048535E-2</v>
      </c>
      <c r="B742"/>
      <c r="C742"/>
      <c r="D742"/>
      <c r="E742"/>
      <c r="F742" s="27" t="s">
        <v>7</v>
      </c>
      <c r="HK742" s="27" t="s">
        <v>8</v>
      </c>
      <c r="HL742" s="27" t="s">
        <v>7</v>
      </c>
      <c r="HO742" s="27" t="s">
        <v>8</v>
      </c>
      <c r="HP742" s="27" t="s">
        <v>7</v>
      </c>
      <c r="HQ742" s="27" t="s">
        <v>8</v>
      </c>
      <c r="IV742" s="27" t="s">
        <v>7</v>
      </c>
      <c r="JI742" s="27" t="s">
        <v>8</v>
      </c>
      <c r="JL742" s="27" t="s">
        <v>7</v>
      </c>
      <c r="JM742" s="27" t="s">
        <v>8</v>
      </c>
      <c r="JN742" s="27" t="s">
        <v>7</v>
      </c>
      <c r="KM742" s="27" t="s">
        <v>8</v>
      </c>
      <c r="KN742" s="27" t="s">
        <v>7</v>
      </c>
      <c r="KO742" s="27" t="s">
        <v>8</v>
      </c>
      <c r="KR742" s="27" t="s">
        <v>7</v>
      </c>
      <c r="KS742" s="27" t="s">
        <v>8</v>
      </c>
      <c r="KX742" s="27" t="s">
        <v>7</v>
      </c>
      <c r="LB742" s="27" t="s">
        <v>7</v>
      </c>
      <c r="LC742" s="27" t="s">
        <v>8</v>
      </c>
      <c r="LD742" s="27" t="s">
        <v>7</v>
      </c>
      <c r="LE742" s="27" t="s">
        <v>8</v>
      </c>
      <c r="LF742" s="27" t="s">
        <v>7</v>
      </c>
      <c r="LG742" s="27" t="s">
        <v>8</v>
      </c>
      <c r="LI742" s="27" t="s">
        <v>8</v>
      </c>
      <c r="LJ742" s="27" t="s">
        <v>7</v>
      </c>
      <c r="LS742" s="27" t="s">
        <v>8</v>
      </c>
      <c r="LT742" s="27" t="s">
        <v>7</v>
      </c>
      <c r="LY742" s="27" t="s">
        <v>8</v>
      </c>
      <c r="LZ742" s="27" t="s">
        <v>7</v>
      </c>
      <c r="MA742" s="27" t="s">
        <v>8</v>
      </c>
      <c r="MB742" s="27" t="s">
        <v>7</v>
      </c>
      <c r="MC742" s="27" t="s">
        <v>8</v>
      </c>
      <c r="MD742" s="27" t="s">
        <v>7</v>
      </c>
      <c r="ME742" s="27" t="s">
        <v>8</v>
      </c>
      <c r="MF742" s="27" t="s">
        <v>7</v>
      </c>
      <c r="MG742" s="27" t="s">
        <v>8</v>
      </c>
      <c r="MP742" s="27" t="s">
        <v>7</v>
      </c>
      <c r="MQ742" s="27" t="s">
        <v>8</v>
      </c>
      <c r="NX742" s="27" t="s">
        <v>7</v>
      </c>
      <c r="NY742" s="27" t="s">
        <v>8</v>
      </c>
      <c r="NZ742" s="27" t="s">
        <v>7</v>
      </c>
      <c r="OB742" s="27" t="s">
        <v>7</v>
      </c>
    </row>
    <row r="743" spans="1:392" x14ac:dyDescent="0.25">
      <c r="A743" s="7">
        <v>4.5537921608318974E-2</v>
      </c>
      <c r="B743"/>
      <c r="C743"/>
      <c r="D743"/>
      <c r="E743"/>
      <c r="F743" s="27" t="s">
        <v>7</v>
      </c>
      <c r="HK743" s="27" t="s">
        <v>8</v>
      </c>
      <c r="HL743" s="27" t="s">
        <v>7</v>
      </c>
      <c r="HM743" s="27" t="s">
        <v>8</v>
      </c>
      <c r="HO743" s="27" t="s">
        <v>8</v>
      </c>
      <c r="HP743" s="27" t="s">
        <v>7</v>
      </c>
      <c r="HQ743" s="27" t="s">
        <v>8</v>
      </c>
      <c r="IV743" s="27" t="s">
        <v>7</v>
      </c>
      <c r="JI743" s="27" t="s">
        <v>8</v>
      </c>
      <c r="JL743" s="27" t="s">
        <v>7</v>
      </c>
      <c r="JM743" s="27" t="s">
        <v>8</v>
      </c>
      <c r="JN743" s="27" t="s">
        <v>7</v>
      </c>
      <c r="KM743" s="27" t="s">
        <v>8</v>
      </c>
      <c r="KN743" s="27" t="s">
        <v>7</v>
      </c>
      <c r="KO743" s="27" t="s">
        <v>8</v>
      </c>
      <c r="KR743" s="27" t="s">
        <v>7</v>
      </c>
      <c r="KS743" s="27" t="s">
        <v>8</v>
      </c>
      <c r="LB743" s="27" t="s">
        <v>7</v>
      </c>
      <c r="LC743" s="27" t="s">
        <v>8</v>
      </c>
      <c r="LD743" s="27" t="s">
        <v>7</v>
      </c>
      <c r="LE743" s="27" t="s">
        <v>8</v>
      </c>
      <c r="LF743" s="27" t="s">
        <v>7</v>
      </c>
      <c r="LG743" s="27" t="s">
        <v>8</v>
      </c>
      <c r="LH743" s="27" t="s">
        <v>7</v>
      </c>
      <c r="LI743" s="27" t="s">
        <v>8</v>
      </c>
      <c r="LJ743" s="27" t="s">
        <v>7</v>
      </c>
      <c r="LS743" s="27" t="s">
        <v>8</v>
      </c>
      <c r="LT743" s="27" t="s">
        <v>7</v>
      </c>
      <c r="LY743" s="27" t="s">
        <v>8</v>
      </c>
      <c r="LZ743" s="27" t="s">
        <v>7</v>
      </c>
      <c r="MA743" s="27" t="s">
        <v>8</v>
      </c>
      <c r="MB743" s="27" t="s">
        <v>7</v>
      </c>
      <c r="MC743" s="27" t="s">
        <v>8</v>
      </c>
      <c r="MD743" s="27" t="s">
        <v>7</v>
      </c>
      <c r="ME743" s="27" t="s">
        <v>8</v>
      </c>
      <c r="MF743" s="27" t="s">
        <v>7</v>
      </c>
      <c r="MG743" s="27" t="s">
        <v>8</v>
      </c>
      <c r="MP743" s="27" t="s">
        <v>7</v>
      </c>
      <c r="NX743" s="27" t="s">
        <v>7</v>
      </c>
      <c r="NY743" s="27" t="s">
        <v>8</v>
      </c>
      <c r="OB743" s="27" t="s">
        <v>7</v>
      </c>
    </row>
    <row r="744" spans="1:392" x14ac:dyDescent="0.25">
      <c r="A744" s="7">
        <v>4.4645021184626446E-2</v>
      </c>
      <c r="B744"/>
      <c r="C744"/>
      <c r="D744"/>
      <c r="E744"/>
      <c r="F744" s="27" t="s">
        <v>7</v>
      </c>
      <c r="GI744" s="27" t="s">
        <v>8</v>
      </c>
      <c r="HG744" s="27" t="s">
        <v>8</v>
      </c>
      <c r="HK744" s="27" t="s">
        <v>8</v>
      </c>
      <c r="HL744" s="27" t="s">
        <v>7</v>
      </c>
      <c r="HM744" s="27" t="s">
        <v>8</v>
      </c>
      <c r="HN744" s="27" t="s">
        <v>7</v>
      </c>
      <c r="HO744" s="27" t="s">
        <v>8</v>
      </c>
      <c r="HP744" s="27" t="s">
        <v>7</v>
      </c>
      <c r="HQ744" s="27" t="s">
        <v>8</v>
      </c>
      <c r="IV744" s="27" t="s">
        <v>7</v>
      </c>
      <c r="JI744" s="27" t="s">
        <v>8</v>
      </c>
      <c r="JL744" s="27" t="s">
        <v>7</v>
      </c>
      <c r="JM744" s="27" t="s">
        <v>8</v>
      </c>
      <c r="JN744" s="27" t="s">
        <v>7</v>
      </c>
      <c r="JY744" s="27" t="s">
        <v>8</v>
      </c>
      <c r="KM744" s="27" t="s">
        <v>8</v>
      </c>
      <c r="KN744" s="27" t="s">
        <v>7</v>
      </c>
      <c r="KO744" s="27" t="s">
        <v>8</v>
      </c>
      <c r="KR744" s="27" t="s">
        <v>7</v>
      </c>
      <c r="LB744" s="27" t="s">
        <v>7</v>
      </c>
      <c r="LC744" s="27" t="s">
        <v>8</v>
      </c>
      <c r="LD744" s="27" t="s">
        <v>7</v>
      </c>
      <c r="LE744" s="27" t="s">
        <v>8</v>
      </c>
      <c r="LF744" s="27" t="s">
        <v>7</v>
      </c>
      <c r="LG744" s="27" t="s">
        <v>8</v>
      </c>
      <c r="LH744" s="27" t="s">
        <v>7</v>
      </c>
      <c r="LI744" s="27" t="s">
        <v>8</v>
      </c>
      <c r="LJ744" s="27" t="s">
        <v>7</v>
      </c>
      <c r="LS744" s="27" t="s">
        <v>8</v>
      </c>
      <c r="LT744" s="27" t="s">
        <v>7</v>
      </c>
      <c r="LU744" s="27" t="s">
        <v>8</v>
      </c>
      <c r="LW744" s="27" t="s">
        <v>8</v>
      </c>
      <c r="LY744" s="27" t="s">
        <v>8</v>
      </c>
      <c r="LZ744" s="27" t="s">
        <v>7</v>
      </c>
      <c r="MA744" s="27" t="s">
        <v>8</v>
      </c>
      <c r="MB744" s="27" t="s">
        <v>7</v>
      </c>
      <c r="MD744" s="27" t="s">
        <v>7</v>
      </c>
      <c r="MF744" s="27" t="s">
        <v>7</v>
      </c>
      <c r="MG744" s="27" t="s">
        <v>8</v>
      </c>
      <c r="NX744" s="27" t="s">
        <v>7</v>
      </c>
      <c r="OB744" s="27" t="s">
        <v>7</v>
      </c>
    </row>
    <row r="745" spans="1:392" x14ac:dyDescent="0.25">
      <c r="A745" s="7">
        <v>4.3769628612378868E-2</v>
      </c>
      <c r="B745"/>
      <c r="C745"/>
      <c r="D745"/>
      <c r="E745"/>
      <c r="F745" s="27" t="s">
        <v>7</v>
      </c>
      <c r="GI745" s="27" t="s">
        <v>8</v>
      </c>
      <c r="GJ745" s="27" t="s">
        <v>7</v>
      </c>
      <c r="HG745" s="27" t="s">
        <v>8</v>
      </c>
      <c r="HH745" s="27" t="s">
        <v>7</v>
      </c>
      <c r="HI745" s="27" t="s">
        <v>8</v>
      </c>
      <c r="HK745" s="27" t="s">
        <v>8</v>
      </c>
      <c r="HL745" s="27" t="s">
        <v>7</v>
      </c>
      <c r="HM745" s="27" t="s">
        <v>8</v>
      </c>
      <c r="HN745" s="27" t="s">
        <v>7</v>
      </c>
      <c r="HO745" s="27" t="s">
        <v>8</v>
      </c>
      <c r="HP745" s="27" t="s">
        <v>7</v>
      </c>
      <c r="HQ745" s="27" t="s">
        <v>8</v>
      </c>
      <c r="IV745" s="27" t="s">
        <v>7</v>
      </c>
      <c r="JI745" s="27" t="s">
        <v>8</v>
      </c>
      <c r="JL745" s="27" t="s">
        <v>7</v>
      </c>
      <c r="JM745" s="27" t="s">
        <v>8</v>
      </c>
      <c r="JN745" s="27" t="s">
        <v>7</v>
      </c>
      <c r="JY745" s="27" t="s">
        <v>8</v>
      </c>
      <c r="JZ745" s="27" t="s">
        <v>7</v>
      </c>
      <c r="KM745" s="27" t="s">
        <v>8</v>
      </c>
      <c r="KN745" s="27" t="s">
        <v>7</v>
      </c>
      <c r="KO745" s="27" t="s">
        <v>8</v>
      </c>
      <c r="LB745" s="27" t="s">
        <v>7</v>
      </c>
      <c r="LC745" s="27" t="s">
        <v>8</v>
      </c>
      <c r="LD745" s="27" t="s">
        <v>7</v>
      </c>
      <c r="LE745" s="27" t="s">
        <v>8</v>
      </c>
      <c r="LF745" s="27" t="s">
        <v>7</v>
      </c>
      <c r="LG745" s="27" t="s">
        <v>8</v>
      </c>
      <c r="LH745" s="27" t="s">
        <v>7</v>
      </c>
      <c r="LI745" s="27" t="s">
        <v>8</v>
      </c>
      <c r="LJ745" s="27" t="s">
        <v>7</v>
      </c>
      <c r="LS745" s="27" t="s">
        <v>8</v>
      </c>
      <c r="LT745" s="27" t="s">
        <v>7</v>
      </c>
      <c r="LU745" s="27" t="s">
        <v>8</v>
      </c>
      <c r="LV745" s="27" t="s">
        <v>7</v>
      </c>
      <c r="LW745" s="27" t="s">
        <v>8</v>
      </c>
      <c r="LX745" s="27" t="s">
        <v>7</v>
      </c>
      <c r="LY745" s="27" t="s">
        <v>8</v>
      </c>
      <c r="LZ745" s="27" t="s">
        <v>7</v>
      </c>
      <c r="MF745" s="27" t="s">
        <v>7</v>
      </c>
      <c r="MG745" s="27" t="s">
        <v>8</v>
      </c>
      <c r="OB745" s="27" t="s">
        <v>7</v>
      </c>
    </row>
    <row r="746" spans="1:392" x14ac:dyDescent="0.25">
      <c r="A746" s="7">
        <v>4.2911400600371442E-2</v>
      </c>
      <c r="B746"/>
      <c r="C746"/>
      <c r="D746"/>
      <c r="E746"/>
      <c r="F746" s="27" t="s">
        <v>7</v>
      </c>
      <c r="GI746" s="27" t="s">
        <v>8</v>
      </c>
      <c r="GJ746" s="27" t="s">
        <v>7</v>
      </c>
      <c r="HG746" s="27" t="s">
        <v>8</v>
      </c>
      <c r="HH746" s="27" t="s">
        <v>7</v>
      </c>
      <c r="HI746" s="27" t="s">
        <v>8</v>
      </c>
      <c r="HJ746" s="27" t="s">
        <v>7</v>
      </c>
      <c r="HK746" s="27" t="s">
        <v>8</v>
      </c>
      <c r="HL746" s="27" t="s">
        <v>7</v>
      </c>
      <c r="HM746" s="27" t="s">
        <v>8</v>
      </c>
      <c r="HN746" s="27" t="s">
        <v>7</v>
      </c>
      <c r="HO746" s="27" t="s">
        <v>8</v>
      </c>
      <c r="HP746" s="27" t="s">
        <v>7</v>
      </c>
      <c r="HQ746" s="27" t="s">
        <v>8</v>
      </c>
      <c r="IV746" s="27" t="s">
        <v>7</v>
      </c>
      <c r="JI746" s="27" t="s">
        <v>8</v>
      </c>
      <c r="JL746" s="27" t="s">
        <v>7</v>
      </c>
      <c r="JM746" s="27" t="s">
        <v>8</v>
      </c>
      <c r="JN746" s="27" t="s">
        <v>7</v>
      </c>
      <c r="JY746" s="27" t="s">
        <v>8</v>
      </c>
      <c r="JZ746" s="27" t="s">
        <v>7</v>
      </c>
      <c r="KM746" s="27" t="s">
        <v>8</v>
      </c>
      <c r="KN746" s="27" t="s">
        <v>7</v>
      </c>
      <c r="KO746" s="27" t="s">
        <v>8</v>
      </c>
      <c r="LB746" s="27" t="s">
        <v>7</v>
      </c>
      <c r="LC746" s="27" t="s">
        <v>8</v>
      </c>
      <c r="LD746" s="27" t="s">
        <v>7</v>
      </c>
      <c r="LF746" s="27" t="s">
        <v>7</v>
      </c>
      <c r="LG746" s="27" t="s">
        <v>8</v>
      </c>
      <c r="LH746" s="27" t="s">
        <v>7</v>
      </c>
      <c r="LI746" s="27" t="s">
        <v>8</v>
      </c>
      <c r="LJ746" s="27" t="s">
        <v>7</v>
      </c>
      <c r="LS746" s="27" t="s">
        <v>8</v>
      </c>
      <c r="LT746" s="27" t="s">
        <v>7</v>
      </c>
      <c r="LU746" s="27" t="s">
        <v>8</v>
      </c>
      <c r="LV746" s="27" t="s">
        <v>7</v>
      </c>
      <c r="LW746" s="27" t="s">
        <v>8</v>
      </c>
      <c r="LX746" s="27" t="s">
        <v>7</v>
      </c>
      <c r="LY746" s="27" t="s">
        <v>8</v>
      </c>
      <c r="MF746" s="27" t="s">
        <v>7</v>
      </c>
      <c r="MG746" s="27" t="s">
        <v>8</v>
      </c>
      <c r="OB746" s="27" t="s">
        <v>7</v>
      </c>
    </row>
    <row r="747" spans="1:392" x14ac:dyDescent="0.25">
      <c r="A747" s="7">
        <v>4.2070000588599457E-2</v>
      </c>
      <c r="B747"/>
      <c r="C747"/>
      <c r="D747"/>
      <c r="E747"/>
      <c r="F747" s="27" t="s">
        <v>7</v>
      </c>
      <c r="GI747" s="27" t="s">
        <v>8</v>
      </c>
      <c r="GJ747" s="27" t="s">
        <v>7</v>
      </c>
      <c r="HG747" s="27" t="s">
        <v>8</v>
      </c>
      <c r="HH747" s="27" t="s">
        <v>7</v>
      </c>
      <c r="HI747" s="27" t="s">
        <v>8</v>
      </c>
      <c r="HJ747" s="27" t="s">
        <v>7</v>
      </c>
      <c r="HK747" s="27" t="s">
        <v>8</v>
      </c>
      <c r="HL747" s="27" t="s">
        <v>7</v>
      </c>
      <c r="HM747" s="27" t="s">
        <v>8</v>
      </c>
      <c r="HN747" s="27" t="s">
        <v>7</v>
      </c>
      <c r="HO747" s="27" t="s">
        <v>8</v>
      </c>
      <c r="HP747" s="27" t="s">
        <v>7</v>
      </c>
      <c r="HQ747" s="27" t="s">
        <v>8</v>
      </c>
      <c r="IV747" s="27" t="s">
        <v>7</v>
      </c>
      <c r="JI747" s="27" t="s">
        <v>8</v>
      </c>
      <c r="JL747" s="27" t="s">
        <v>7</v>
      </c>
      <c r="JM747" s="27" t="s">
        <v>8</v>
      </c>
      <c r="JN747" s="27" t="s">
        <v>7</v>
      </c>
      <c r="JY747" s="27" t="s">
        <v>8</v>
      </c>
      <c r="JZ747" s="27" t="s">
        <v>7</v>
      </c>
      <c r="KM747" s="27" t="s">
        <v>8</v>
      </c>
      <c r="KN747" s="27" t="s">
        <v>7</v>
      </c>
      <c r="KO747" s="27" t="s">
        <v>8</v>
      </c>
      <c r="LB747" s="27" t="s">
        <v>7</v>
      </c>
      <c r="LC747" s="27" t="s">
        <v>8</v>
      </c>
      <c r="LF747" s="27" t="s">
        <v>7</v>
      </c>
      <c r="LH747" s="27" t="s">
        <v>7</v>
      </c>
      <c r="LJ747" s="27" t="s">
        <v>7</v>
      </c>
      <c r="LS747" s="27" t="s">
        <v>8</v>
      </c>
      <c r="LT747" s="27" t="s">
        <v>7</v>
      </c>
      <c r="LU747" s="27" t="s">
        <v>8</v>
      </c>
      <c r="LV747" s="27" t="s">
        <v>7</v>
      </c>
      <c r="LW747" s="27" t="s">
        <v>8</v>
      </c>
      <c r="LX747" s="27" t="s">
        <v>7</v>
      </c>
      <c r="LY747" s="27" t="s">
        <v>8</v>
      </c>
      <c r="MF747" s="27" t="s">
        <v>7</v>
      </c>
      <c r="MG747" s="27" t="s">
        <v>8</v>
      </c>
      <c r="OB747" s="27" t="s">
        <v>7</v>
      </c>
    </row>
    <row r="748" spans="1:392" x14ac:dyDescent="0.25">
      <c r="A748" s="7">
        <v>4.1245098616273977E-2</v>
      </c>
      <c r="B748"/>
      <c r="C748"/>
      <c r="D748"/>
      <c r="E748"/>
      <c r="F748" s="27" t="s">
        <v>7</v>
      </c>
      <c r="GI748" s="27" t="s">
        <v>8</v>
      </c>
      <c r="GJ748" s="27" t="s">
        <v>7</v>
      </c>
      <c r="HG748" s="27" t="s">
        <v>8</v>
      </c>
      <c r="HH748" s="27" t="s">
        <v>7</v>
      </c>
      <c r="HI748" s="27" t="s">
        <v>8</v>
      </c>
      <c r="HJ748" s="27" t="s">
        <v>7</v>
      </c>
      <c r="HK748" s="27" t="s">
        <v>8</v>
      </c>
      <c r="HL748" s="27" t="s">
        <v>7</v>
      </c>
      <c r="HM748" s="27" t="s">
        <v>8</v>
      </c>
      <c r="HN748" s="27" t="s">
        <v>7</v>
      </c>
      <c r="HO748" s="27" t="s">
        <v>8</v>
      </c>
      <c r="HP748" s="27" t="s">
        <v>7</v>
      </c>
      <c r="IV748" s="27" t="s">
        <v>7</v>
      </c>
      <c r="IW748" s="27" t="s">
        <v>8</v>
      </c>
      <c r="JC748" s="27" t="s">
        <v>8</v>
      </c>
      <c r="JI748" s="27" t="s">
        <v>8</v>
      </c>
      <c r="JL748" s="27" t="s">
        <v>7</v>
      </c>
      <c r="JN748" s="27" t="s">
        <v>7</v>
      </c>
      <c r="JY748" s="27" t="s">
        <v>8</v>
      </c>
      <c r="JZ748" s="27" t="s">
        <v>7</v>
      </c>
      <c r="KK748" s="27" t="s">
        <v>8</v>
      </c>
      <c r="KM748" s="27" t="s">
        <v>8</v>
      </c>
      <c r="KN748" s="27" t="s">
        <v>7</v>
      </c>
      <c r="KO748" s="27" t="s">
        <v>8</v>
      </c>
      <c r="LB748" s="27" t="s">
        <v>7</v>
      </c>
      <c r="LC748" s="27" t="s">
        <v>8</v>
      </c>
      <c r="LJ748" s="27" t="s">
        <v>7</v>
      </c>
      <c r="LS748" s="27" t="s">
        <v>8</v>
      </c>
      <c r="LT748" s="27" t="s">
        <v>7</v>
      </c>
      <c r="LU748" s="27" t="s">
        <v>8</v>
      </c>
      <c r="LV748" s="27" t="s">
        <v>7</v>
      </c>
      <c r="LW748" s="27" t="s">
        <v>8</v>
      </c>
      <c r="LX748" s="27" t="s">
        <v>7</v>
      </c>
      <c r="LY748" s="27" t="s">
        <v>8</v>
      </c>
      <c r="MF748" s="27" t="s">
        <v>7</v>
      </c>
      <c r="MG748" s="27" t="s">
        <v>8</v>
      </c>
      <c r="OB748" s="27" t="s">
        <v>7</v>
      </c>
    </row>
    <row r="749" spans="1:392" x14ac:dyDescent="0.25">
      <c r="A749" s="7">
        <v>4.043637119242547E-2</v>
      </c>
      <c r="B749"/>
      <c r="C749"/>
      <c r="D749"/>
      <c r="E749"/>
      <c r="F749" s="27" t="s">
        <v>7</v>
      </c>
      <c r="GI749" s="27" t="s">
        <v>8</v>
      </c>
      <c r="GJ749" s="27" t="s">
        <v>7</v>
      </c>
      <c r="HG749" s="27" t="s">
        <v>8</v>
      </c>
      <c r="HH749" s="27" t="s">
        <v>7</v>
      </c>
      <c r="HI749" s="27" t="s">
        <v>8</v>
      </c>
      <c r="HJ749" s="27" t="s">
        <v>7</v>
      </c>
      <c r="HK749" s="27" t="s">
        <v>8</v>
      </c>
      <c r="HL749" s="27" t="s">
        <v>7</v>
      </c>
      <c r="HM749" s="27" t="s">
        <v>8</v>
      </c>
      <c r="HN749" s="27" t="s">
        <v>7</v>
      </c>
      <c r="HO749" s="27" t="s">
        <v>8</v>
      </c>
      <c r="IV749" s="27" t="s">
        <v>7</v>
      </c>
      <c r="IW749" s="27" t="s">
        <v>8</v>
      </c>
      <c r="IX749" s="27" t="s">
        <v>7</v>
      </c>
      <c r="JC749" s="27" t="s">
        <v>8</v>
      </c>
      <c r="JD749" s="27" t="s">
        <v>7</v>
      </c>
      <c r="JI749" s="27" t="s">
        <v>8</v>
      </c>
      <c r="JN749" s="27" t="s">
        <v>7</v>
      </c>
      <c r="JY749" s="27" t="s">
        <v>8</v>
      </c>
      <c r="JZ749" s="27" t="s">
        <v>7</v>
      </c>
      <c r="KK749" s="27" t="s">
        <v>8</v>
      </c>
      <c r="KL749" s="27" t="s">
        <v>7</v>
      </c>
      <c r="KM749" s="27" t="s">
        <v>8</v>
      </c>
      <c r="KN749" s="27" t="s">
        <v>7</v>
      </c>
      <c r="KO749" s="27" t="s">
        <v>8</v>
      </c>
      <c r="LB749" s="27" t="s">
        <v>7</v>
      </c>
      <c r="LC749" s="27" t="s">
        <v>8</v>
      </c>
      <c r="LJ749" s="27" t="s">
        <v>7</v>
      </c>
      <c r="LS749" s="27" t="s">
        <v>8</v>
      </c>
      <c r="LT749" s="27" t="s">
        <v>7</v>
      </c>
      <c r="LU749" s="27" t="s">
        <v>8</v>
      </c>
      <c r="LV749" s="27" t="s">
        <v>7</v>
      </c>
      <c r="LW749" s="27" t="s">
        <v>8</v>
      </c>
      <c r="LX749" s="27" t="s">
        <v>7</v>
      </c>
      <c r="MF749" s="27" t="s">
        <v>7</v>
      </c>
      <c r="OB749" s="27" t="s">
        <v>7</v>
      </c>
    </row>
    <row r="750" spans="1:392" x14ac:dyDescent="0.25">
      <c r="A750" s="7">
        <v>3.9643501169044582E-2</v>
      </c>
      <c r="B750"/>
      <c r="C750"/>
      <c r="D750"/>
      <c r="E750"/>
      <c r="F750" s="27" t="s">
        <v>7</v>
      </c>
      <c r="GI750" s="27" t="s">
        <v>8</v>
      </c>
      <c r="GJ750" s="27" t="s">
        <v>7</v>
      </c>
      <c r="HE750" s="27" t="s">
        <v>8</v>
      </c>
      <c r="HG750" s="27" t="s">
        <v>8</v>
      </c>
      <c r="HH750" s="27" t="s">
        <v>7</v>
      </c>
      <c r="HI750" s="27" t="s">
        <v>8</v>
      </c>
      <c r="HJ750" s="27" t="s">
        <v>7</v>
      </c>
      <c r="HK750" s="27" t="s">
        <v>8</v>
      </c>
      <c r="HL750" s="27" t="s">
        <v>7</v>
      </c>
      <c r="HN750" s="27" t="s">
        <v>7</v>
      </c>
      <c r="HO750" s="27" t="s">
        <v>8</v>
      </c>
      <c r="IV750" s="27" t="s">
        <v>7</v>
      </c>
      <c r="IW750" s="27" t="s">
        <v>8</v>
      </c>
      <c r="IX750" s="27" t="s">
        <v>7</v>
      </c>
      <c r="JC750" s="27" t="s">
        <v>8</v>
      </c>
      <c r="JD750" s="27" t="s">
        <v>7</v>
      </c>
      <c r="JI750" s="27" t="s">
        <v>8</v>
      </c>
      <c r="JN750" s="27" t="s">
        <v>7</v>
      </c>
      <c r="JY750" s="27" t="s">
        <v>8</v>
      </c>
      <c r="JZ750" s="27" t="s">
        <v>7</v>
      </c>
      <c r="KK750" s="27" t="s">
        <v>8</v>
      </c>
      <c r="KL750" s="27" t="s">
        <v>7</v>
      </c>
      <c r="KM750" s="27" t="s">
        <v>8</v>
      </c>
      <c r="KN750" s="27" t="s">
        <v>7</v>
      </c>
      <c r="LB750" s="27" t="s">
        <v>7</v>
      </c>
      <c r="LC750" s="27" t="s">
        <v>8</v>
      </c>
      <c r="LJ750" s="27" t="s">
        <v>7</v>
      </c>
      <c r="LS750" s="27" t="s">
        <v>8</v>
      </c>
      <c r="LT750" s="27" t="s">
        <v>7</v>
      </c>
      <c r="LV750" s="27" t="s">
        <v>7</v>
      </c>
      <c r="LW750" s="27" t="s">
        <v>8</v>
      </c>
      <c r="OB750" s="27" t="s">
        <v>7</v>
      </c>
    </row>
    <row r="751" spans="1:392" x14ac:dyDescent="0.25">
      <c r="A751" s="7">
        <v>3.8866177616710372E-2</v>
      </c>
      <c r="B751"/>
      <c r="C751"/>
      <c r="D751"/>
      <c r="E751"/>
      <c r="F751" s="27" t="s">
        <v>7</v>
      </c>
      <c r="GI751" s="27" t="s">
        <v>8</v>
      </c>
      <c r="GJ751" s="27" t="s">
        <v>7</v>
      </c>
      <c r="HE751" s="27" t="s">
        <v>8</v>
      </c>
      <c r="HF751" s="27" t="s">
        <v>7</v>
      </c>
      <c r="HG751" s="27" t="s">
        <v>8</v>
      </c>
      <c r="HH751" s="27" t="s">
        <v>7</v>
      </c>
      <c r="HI751" s="27" t="s">
        <v>8</v>
      </c>
      <c r="HJ751" s="27" t="s">
        <v>7</v>
      </c>
      <c r="HN751" s="27" t="s">
        <v>7</v>
      </c>
      <c r="HO751" s="27" t="s">
        <v>8</v>
      </c>
      <c r="IV751" s="27" t="s">
        <v>7</v>
      </c>
      <c r="IW751" s="27" t="s">
        <v>8</v>
      </c>
      <c r="IX751" s="27" t="s">
        <v>7</v>
      </c>
      <c r="JC751" s="27" t="s">
        <v>8</v>
      </c>
      <c r="JD751" s="27" t="s">
        <v>7</v>
      </c>
      <c r="JI751" s="27" t="s">
        <v>8</v>
      </c>
      <c r="JN751" s="27" t="s">
        <v>7</v>
      </c>
      <c r="JW751" s="27" t="s">
        <v>8</v>
      </c>
      <c r="JY751" s="27" t="s">
        <v>8</v>
      </c>
      <c r="JZ751" s="27" t="s">
        <v>7</v>
      </c>
      <c r="KK751" s="27" t="s">
        <v>8</v>
      </c>
      <c r="KL751" s="27" t="s">
        <v>7</v>
      </c>
      <c r="KM751" s="27" t="s">
        <v>8</v>
      </c>
      <c r="LB751" s="27" t="s">
        <v>7</v>
      </c>
      <c r="LC751" s="27" t="s">
        <v>8</v>
      </c>
      <c r="LJ751" s="27" t="s">
        <v>7</v>
      </c>
      <c r="LQ751" s="27" t="s">
        <v>8</v>
      </c>
      <c r="LS751" s="27" t="s">
        <v>8</v>
      </c>
      <c r="LV751" s="27" t="s">
        <v>7</v>
      </c>
      <c r="LW751" s="27" t="s">
        <v>8</v>
      </c>
      <c r="OB751" s="27" t="s">
        <v>7</v>
      </c>
    </row>
    <row r="752" spans="1:392" x14ac:dyDescent="0.25">
      <c r="A752" s="7">
        <v>3.8104095702657229E-2</v>
      </c>
      <c r="B752"/>
      <c r="C752"/>
      <c r="D752"/>
      <c r="E752"/>
      <c r="F752" s="27" t="s">
        <v>7</v>
      </c>
      <c r="GI752" s="27" t="s">
        <v>8</v>
      </c>
      <c r="GJ752" s="27" t="s">
        <v>7</v>
      </c>
      <c r="HE752" s="27" t="s">
        <v>8</v>
      </c>
      <c r="HF752" s="27" t="s">
        <v>7</v>
      </c>
      <c r="HG752" s="27" t="s">
        <v>8</v>
      </c>
      <c r="HH752" s="27" t="s">
        <v>7</v>
      </c>
      <c r="HI752" s="27" t="s">
        <v>8</v>
      </c>
      <c r="HN752" s="27" t="s">
        <v>7</v>
      </c>
      <c r="HO752" s="27" t="s">
        <v>8</v>
      </c>
      <c r="IV752" s="27" t="s">
        <v>7</v>
      </c>
      <c r="IW752" s="27" t="s">
        <v>8</v>
      </c>
      <c r="IX752" s="27" t="s">
        <v>7</v>
      </c>
      <c r="JC752" s="27" t="s">
        <v>8</v>
      </c>
      <c r="JD752" s="27" t="s">
        <v>7</v>
      </c>
      <c r="JI752" s="27" t="s">
        <v>8</v>
      </c>
      <c r="JN752" s="27" t="s">
        <v>7</v>
      </c>
      <c r="JW752" s="27" t="s">
        <v>8</v>
      </c>
      <c r="JX752" s="27" t="s">
        <v>7</v>
      </c>
      <c r="JY752" s="27" t="s">
        <v>8</v>
      </c>
      <c r="JZ752" s="27" t="s">
        <v>7</v>
      </c>
      <c r="KK752" s="27" t="s">
        <v>8</v>
      </c>
      <c r="KL752" s="27" t="s">
        <v>7</v>
      </c>
      <c r="KM752" s="27" t="s">
        <v>8</v>
      </c>
      <c r="LB752" s="27" t="s">
        <v>7</v>
      </c>
      <c r="LJ752" s="27" t="s">
        <v>7</v>
      </c>
      <c r="LK752" s="27" t="s">
        <v>8</v>
      </c>
      <c r="LQ752" s="27" t="s">
        <v>8</v>
      </c>
      <c r="LR752" s="27" t="s">
        <v>7</v>
      </c>
      <c r="LS752" s="27" t="s">
        <v>8</v>
      </c>
      <c r="LV752" s="27" t="s">
        <v>7</v>
      </c>
      <c r="LW752" s="27" t="s">
        <v>8</v>
      </c>
      <c r="OB752" s="27" t="s">
        <v>7</v>
      </c>
    </row>
    <row r="753" spans="1:396" x14ac:dyDescent="0.25">
      <c r="A753" s="7">
        <v>3.7356956571232579E-2</v>
      </c>
      <c r="B753"/>
      <c r="C753"/>
      <c r="D753"/>
      <c r="E753"/>
      <c r="F753" s="27" t="s">
        <v>7</v>
      </c>
      <c r="GI753" s="27" t="s">
        <v>8</v>
      </c>
      <c r="GJ753" s="27" t="s">
        <v>7</v>
      </c>
      <c r="HE753" s="27" t="s">
        <v>8</v>
      </c>
      <c r="HF753" s="27" t="s">
        <v>7</v>
      </c>
      <c r="HG753" s="27" t="s">
        <v>8</v>
      </c>
      <c r="HH753" s="27" t="s">
        <v>7</v>
      </c>
      <c r="HI753" s="27" t="s">
        <v>8</v>
      </c>
      <c r="HN753" s="27" t="s">
        <v>7</v>
      </c>
      <c r="HO753" s="27" t="s">
        <v>8</v>
      </c>
      <c r="IV753" s="27" t="s">
        <v>7</v>
      </c>
      <c r="IW753" s="27" t="s">
        <v>8</v>
      </c>
      <c r="IX753" s="27" t="s">
        <v>7</v>
      </c>
      <c r="JC753" s="27" t="s">
        <v>8</v>
      </c>
      <c r="JD753" s="27" t="s">
        <v>7</v>
      </c>
      <c r="JE753" s="27" t="s">
        <v>8</v>
      </c>
      <c r="JI753" s="27" t="s">
        <v>8</v>
      </c>
      <c r="JN753" s="27" t="s">
        <v>7</v>
      </c>
      <c r="JW753" s="27" t="s">
        <v>8</v>
      </c>
      <c r="JX753" s="27" t="s">
        <v>7</v>
      </c>
      <c r="JY753" s="27" t="s">
        <v>8</v>
      </c>
      <c r="JZ753" s="27" t="s">
        <v>7</v>
      </c>
      <c r="KK753" s="27" t="s">
        <v>8</v>
      </c>
      <c r="KL753" s="27" t="s">
        <v>7</v>
      </c>
      <c r="KM753" s="27" t="s">
        <v>8</v>
      </c>
      <c r="LJ753" s="27" t="s">
        <v>7</v>
      </c>
      <c r="LK753" s="27" t="s">
        <v>8</v>
      </c>
      <c r="LL753" s="27" t="s">
        <v>7</v>
      </c>
      <c r="LQ753" s="27" t="s">
        <v>8</v>
      </c>
      <c r="LR753" s="27" t="s">
        <v>7</v>
      </c>
      <c r="LS753" s="27" t="s">
        <v>8</v>
      </c>
      <c r="LV753" s="27" t="s">
        <v>7</v>
      </c>
      <c r="LW753" s="27" t="s">
        <v>8</v>
      </c>
      <c r="OB753" s="27" t="s">
        <v>7</v>
      </c>
    </row>
    <row r="754" spans="1:396" x14ac:dyDescent="0.25">
      <c r="A754" s="7">
        <v>3.6624467226698605E-2</v>
      </c>
      <c r="B754"/>
      <c r="C754"/>
      <c r="D754"/>
      <c r="E754"/>
      <c r="F754" s="27" t="s">
        <v>7</v>
      </c>
      <c r="GI754" s="27" t="s">
        <v>8</v>
      </c>
      <c r="GJ754" s="27" t="s">
        <v>7</v>
      </c>
      <c r="HE754" s="27" t="s">
        <v>8</v>
      </c>
      <c r="HF754" s="27" t="s">
        <v>7</v>
      </c>
      <c r="HG754" s="27" t="s">
        <v>8</v>
      </c>
      <c r="HH754" s="27" t="s">
        <v>7</v>
      </c>
      <c r="HI754" s="27" t="s">
        <v>8</v>
      </c>
      <c r="HN754" s="27" t="s">
        <v>7</v>
      </c>
      <c r="HO754" s="27" t="s">
        <v>8</v>
      </c>
      <c r="IV754" s="27" t="s">
        <v>7</v>
      </c>
      <c r="IW754" s="27" t="s">
        <v>8</v>
      </c>
      <c r="IX754" s="27" t="s">
        <v>7</v>
      </c>
      <c r="JC754" s="27" t="s">
        <v>8</v>
      </c>
      <c r="JD754" s="27" t="s">
        <v>7</v>
      </c>
      <c r="JE754" s="27" t="s">
        <v>8</v>
      </c>
      <c r="JF754" s="27" t="s">
        <v>7</v>
      </c>
      <c r="JI754" s="27" t="s">
        <v>8</v>
      </c>
      <c r="JN754" s="27" t="s">
        <v>7</v>
      </c>
      <c r="JQ754" s="27" t="s">
        <v>8</v>
      </c>
      <c r="JW754" s="27" t="s">
        <v>8</v>
      </c>
      <c r="JX754" s="27" t="s">
        <v>7</v>
      </c>
      <c r="JY754" s="27" t="s">
        <v>8</v>
      </c>
      <c r="JZ754" s="27" t="s">
        <v>7</v>
      </c>
      <c r="KK754" s="27" t="s">
        <v>8</v>
      </c>
      <c r="KL754" s="27" t="s">
        <v>7</v>
      </c>
      <c r="KM754" s="27" t="s">
        <v>8</v>
      </c>
      <c r="LJ754" s="27" t="s">
        <v>7</v>
      </c>
      <c r="LK754" s="27" t="s">
        <v>8</v>
      </c>
      <c r="LL754" s="27" t="s">
        <v>7</v>
      </c>
      <c r="LM754" s="27" t="s">
        <v>8</v>
      </c>
      <c r="LQ754" s="27" t="s">
        <v>8</v>
      </c>
      <c r="LR754" s="27" t="s">
        <v>7</v>
      </c>
      <c r="LS754" s="27" t="s">
        <v>8</v>
      </c>
      <c r="LV754" s="27" t="s">
        <v>7</v>
      </c>
      <c r="LW754" s="27" t="s">
        <v>8</v>
      </c>
      <c r="OB754" s="27" t="s">
        <v>7</v>
      </c>
    </row>
    <row r="755" spans="1:396" x14ac:dyDescent="0.25">
      <c r="A755" s="7">
        <v>3.5906340418331961E-2</v>
      </c>
      <c r="B755"/>
      <c r="C755"/>
      <c r="D755"/>
      <c r="E755"/>
      <c r="F755" s="27" t="s">
        <v>7</v>
      </c>
      <c r="GI755" s="27" t="s">
        <v>8</v>
      </c>
      <c r="GJ755" s="27" t="s">
        <v>7</v>
      </c>
      <c r="HE755" s="27" t="s">
        <v>8</v>
      </c>
      <c r="HF755" s="27" t="s">
        <v>7</v>
      </c>
      <c r="HG755" s="27" t="s">
        <v>8</v>
      </c>
      <c r="HH755" s="27" t="s">
        <v>7</v>
      </c>
      <c r="HN755" s="27" t="s">
        <v>7</v>
      </c>
      <c r="HO755" s="27" t="s">
        <v>8</v>
      </c>
      <c r="IV755" s="27" t="s">
        <v>7</v>
      </c>
      <c r="IW755" s="27" t="s">
        <v>8</v>
      </c>
      <c r="IX755" s="27" t="s">
        <v>7</v>
      </c>
      <c r="JC755" s="27" t="s">
        <v>8</v>
      </c>
      <c r="JD755" s="27" t="s">
        <v>7</v>
      </c>
      <c r="JE755" s="27" t="s">
        <v>8</v>
      </c>
      <c r="JF755" s="27" t="s">
        <v>7</v>
      </c>
      <c r="JG755" s="27" t="s">
        <v>8</v>
      </c>
      <c r="JI755" s="27" t="s">
        <v>8</v>
      </c>
      <c r="JN755" s="27" t="s">
        <v>7</v>
      </c>
      <c r="JQ755" s="27" t="s">
        <v>8</v>
      </c>
      <c r="JR755" s="27" t="s">
        <v>7</v>
      </c>
      <c r="JS755" s="27" t="s">
        <v>8</v>
      </c>
      <c r="JW755" s="27" t="s">
        <v>8</v>
      </c>
      <c r="JX755" s="27" t="s">
        <v>7</v>
      </c>
      <c r="JY755" s="27" t="s">
        <v>8</v>
      </c>
      <c r="JZ755" s="27" t="s">
        <v>7</v>
      </c>
      <c r="KK755" s="27" t="s">
        <v>8</v>
      </c>
      <c r="KL755" s="27" t="s">
        <v>7</v>
      </c>
      <c r="KM755" s="27" t="s">
        <v>8</v>
      </c>
      <c r="LJ755" s="27" t="s">
        <v>7</v>
      </c>
      <c r="LK755" s="27" t="s">
        <v>8</v>
      </c>
      <c r="LL755" s="27" t="s">
        <v>7</v>
      </c>
      <c r="LM755" s="27" t="s">
        <v>8</v>
      </c>
      <c r="LN755" s="27" t="s">
        <v>7</v>
      </c>
      <c r="LQ755" s="27" t="s">
        <v>8</v>
      </c>
      <c r="LR755" s="27" t="s">
        <v>7</v>
      </c>
      <c r="LS755" s="27" t="s">
        <v>8</v>
      </c>
      <c r="LV755" s="27" t="s">
        <v>7</v>
      </c>
      <c r="OB755" s="27" t="s">
        <v>7</v>
      </c>
    </row>
    <row r="756" spans="1:396" x14ac:dyDescent="0.25">
      <c r="A756" s="7">
        <v>3.5202294527776436E-2</v>
      </c>
      <c r="B756"/>
      <c r="C756"/>
      <c r="D756"/>
      <c r="E756"/>
      <c r="F756" s="27" t="s">
        <v>7</v>
      </c>
      <c r="GI756" s="27" t="s">
        <v>8</v>
      </c>
      <c r="GJ756" s="27" t="s">
        <v>7</v>
      </c>
      <c r="HE756" s="27" t="s">
        <v>8</v>
      </c>
      <c r="HF756" s="27" t="s">
        <v>7</v>
      </c>
      <c r="HG756" s="27" t="s">
        <v>8</v>
      </c>
      <c r="HN756" s="27" t="s">
        <v>7</v>
      </c>
      <c r="HO756" s="27" t="s">
        <v>8</v>
      </c>
      <c r="IV756" s="27" t="s">
        <v>7</v>
      </c>
      <c r="IW756" s="27" t="s">
        <v>8</v>
      </c>
      <c r="IX756" s="27" t="s">
        <v>7</v>
      </c>
      <c r="JA756" s="27" t="s">
        <v>8</v>
      </c>
      <c r="JC756" s="27" t="s">
        <v>8</v>
      </c>
      <c r="JD756" s="27" t="s">
        <v>7</v>
      </c>
      <c r="JE756" s="27" t="s">
        <v>8</v>
      </c>
      <c r="JF756" s="27" t="s">
        <v>7</v>
      </c>
      <c r="JG756" s="27" t="s">
        <v>8</v>
      </c>
      <c r="JH756" s="27" t="s">
        <v>7</v>
      </c>
      <c r="JI756" s="27" t="s">
        <v>8</v>
      </c>
      <c r="JN756" s="27" t="s">
        <v>7</v>
      </c>
      <c r="JO756" s="27" t="s">
        <v>8</v>
      </c>
      <c r="JQ756" s="27" t="s">
        <v>8</v>
      </c>
      <c r="JR756" s="27" t="s">
        <v>7</v>
      </c>
      <c r="JS756" s="27" t="s">
        <v>8</v>
      </c>
      <c r="JT756" s="27" t="s">
        <v>7</v>
      </c>
      <c r="JW756" s="27" t="s">
        <v>8</v>
      </c>
      <c r="JX756" s="27" t="s">
        <v>7</v>
      </c>
      <c r="JY756" s="27" t="s">
        <v>8</v>
      </c>
      <c r="JZ756" s="27" t="s">
        <v>7</v>
      </c>
      <c r="KK756" s="27" t="s">
        <v>8</v>
      </c>
      <c r="KL756" s="27" t="s">
        <v>7</v>
      </c>
      <c r="LJ756" s="27" t="s">
        <v>7</v>
      </c>
      <c r="LK756" s="27" t="s">
        <v>8</v>
      </c>
      <c r="LL756" s="27" t="s">
        <v>7</v>
      </c>
      <c r="LM756" s="27" t="s">
        <v>8</v>
      </c>
      <c r="LN756" s="27" t="s">
        <v>7</v>
      </c>
      <c r="LQ756" s="27" t="s">
        <v>8</v>
      </c>
      <c r="LR756" s="27" t="s">
        <v>7</v>
      </c>
      <c r="OB756" s="27" t="s">
        <v>7</v>
      </c>
    </row>
    <row r="757" spans="1:396" x14ac:dyDescent="0.25">
      <c r="A757" s="7">
        <v>3.451205345860435E-2</v>
      </c>
      <c r="B757"/>
      <c r="C757"/>
      <c r="D757"/>
      <c r="E757"/>
      <c r="F757" s="27" t="s">
        <v>7</v>
      </c>
      <c r="GI757" s="27" t="s">
        <v>8</v>
      </c>
      <c r="GJ757" s="27" t="s">
        <v>7</v>
      </c>
      <c r="HC757" s="27" t="s">
        <v>8</v>
      </c>
      <c r="HE757" s="27" t="s">
        <v>8</v>
      </c>
      <c r="HF757" s="27" t="s">
        <v>7</v>
      </c>
      <c r="HG757" s="27" t="s">
        <v>8</v>
      </c>
      <c r="HN757" s="27" t="s">
        <v>7</v>
      </c>
      <c r="HO757" s="27" t="s">
        <v>8</v>
      </c>
      <c r="IV757" s="27" t="s">
        <v>7</v>
      </c>
      <c r="IW757" s="27" t="s">
        <v>8</v>
      </c>
      <c r="IX757" s="27" t="s">
        <v>7</v>
      </c>
      <c r="JA757" s="27" t="s">
        <v>8</v>
      </c>
      <c r="JB757" s="27" t="s">
        <v>7</v>
      </c>
      <c r="JC757" s="27" t="s">
        <v>8</v>
      </c>
      <c r="JD757" s="27" t="s">
        <v>7</v>
      </c>
      <c r="JE757" s="27" t="s">
        <v>8</v>
      </c>
      <c r="JF757" s="27" t="s">
        <v>7</v>
      </c>
      <c r="JG757" s="27" t="s">
        <v>8</v>
      </c>
      <c r="JH757" s="27" t="s">
        <v>7</v>
      </c>
      <c r="JI757" s="27" t="s">
        <v>8</v>
      </c>
      <c r="JN757" s="27" t="s">
        <v>7</v>
      </c>
      <c r="JO757" s="27" t="s">
        <v>8</v>
      </c>
      <c r="JP757" s="27" t="s">
        <v>7</v>
      </c>
      <c r="JQ757" s="27" t="s">
        <v>8</v>
      </c>
      <c r="JR757" s="27" t="s">
        <v>7</v>
      </c>
      <c r="JS757" s="27" t="s">
        <v>8</v>
      </c>
      <c r="JT757" s="27" t="s">
        <v>7</v>
      </c>
      <c r="JW757" s="27" t="s">
        <v>8</v>
      </c>
      <c r="JX757" s="27" t="s">
        <v>7</v>
      </c>
      <c r="JY757" s="27" t="s">
        <v>8</v>
      </c>
      <c r="JZ757" s="27" t="s">
        <v>7</v>
      </c>
      <c r="KE757" s="27" t="s">
        <v>8</v>
      </c>
      <c r="KI757" s="27" t="s">
        <v>8</v>
      </c>
      <c r="KK757" s="27" t="s">
        <v>8</v>
      </c>
      <c r="LJ757" s="27" t="s">
        <v>7</v>
      </c>
      <c r="LK757" s="27" t="s">
        <v>8</v>
      </c>
      <c r="LL757" s="27" t="s">
        <v>7</v>
      </c>
      <c r="LM757" s="27" t="s">
        <v>8</v>
      </c>
      <c r="LN757" s="27" t="s">
        <v>7</v>
      </c>
      <c r="LO757" s="27" t="s">
        <v>8</v>
      </c>
      <c r="LQ757" s="27" t="s">
        <v>8</v>
      </c>
      <c r="OB757" s="27" t="s">
        <v>7</v>
      </c>
    </row>
    <row r="758" spans="1:396" x14ac:dyDescent="0.25">
      <c r="A758" s="7">
        <v>3.3835346528043479E-2</v>
      </c>
      <c r="B758"/>
      <c r="C758"/>
      <c r="D758"/>
      <c r="E758"/>
      <c r="F758" s="27" t="s">
        <v>7</v>
      </c>
      <c r="GI758" s="27" t="s">
        <v>8</v>
      </c>
      <c r="GJ758" s="27" t="s">
        <v>7</v>
      </c>
      <c r="HC758" s="27" t="s">
        <v>8</v>
      </c>
      <c r="HD758" s="27" t="s">
        <v>7</v>
      </c>
      <c r="HE758" s="27" t="s">
        <v>8</v>
      </c>
      <c r="HF758" s="27" t="s">
        <v>7</v>
      </c>
      <c r="HG758" s="27" t="s">
        <v>8</v>
      </c>
      <c r="HN758" s="27" t="s">
        <v>7</v>
      </c>
      <c r="HO758" s="27" t="s">
        <v>8</v>
      </c>
      <c r="IV758" s="27" t="s">
        <v>7</v>
      </c>
      <c r="IW758" s="27" t="s">
        <v>8</v>
      </c>
      <c r="IX758" s="27" t="s">
        <v>7</v>
      </c>
      <c r="JA758" s="27" t="s">
        <v>8</v>
      </c>
      <c r="JB758" s="27" t="s">
        <v>7</v>
      </c>
      <c r="JC758" s="27" t="s">
        <v>8</v>
      </c>
      <c r="JD758" s="27" t="s">
        <v>7</v>
      </c>
      <c r="JE758" s="27" t="s">
        <v>8</v>
      </c>
      <c r="JF758" s="27" t="s">
        <v>7</v>
      </c>
      <c r="JG758" s="27" t="s">
        <v>8</v>
      </c>
      <c r="JH758" s="27" t="s">
        <v>7</v>
      </c>
      <c r="JI758" s="27" t="s">
        <v>8</v>
      </c>
      <c r="JN758" s="27" t="s">
        <v>7</v>
      </c>
      <c r="JO758" s="27" t="s">
        <v>8</v>
      </c>
      <c r="JP758" s="27" t="s">
        <v>7</v>
      </c>
      <c r="JQ758" s="27" t="s">
        <v>8</v>
      </c>
      <c r="JR758" s="27" t="s">
        <v>7</v>
      </c>
      <c r="JS758" s="27" t="s">
        <v>8</v>
      </c>
      <c r="JT758" s="27" t="s">
        <v>7</v>
      </c>
      <c r="JU758" s="27" t="s">
        <v>8</v>
      </c>
      <c r="JW758" s="27" t="s">
        <v>8</v>
      </c>
      <c r="JX758" s="27" t="s">
        <v>7</v>
      </c>
      <c r="JY758" s="27" t="s">
        <v>8</v>
      </c>
      <c r="JZ758" s="27" t="s">
        <v>7</v>
      </c>
      <c r="KE758" s="27" t="s">
        <v>8</v>
      </c>
      <c r="KF758" s="27" t="s">
        <v>7</v>
      </c>
      <c r="KG758" s="27" t="s">
        <v>8</v>
      </c>
      <c r="KI758" s="27" t="s">
        <v>8</v>
      </c>
      <c r="KJ758" s="27" t="s">
        <v>7</v>
      </c>
      <c r="KK758" s="27" t="s">
        <v>8</v>
      </c>
      <c r="LJ758" s="27" t="s">
        <v>7</v>
      </c>
      <c r="LK758" s="27" t="s">
        <v>8</v>
      </c>
      <c r="LL758" s="27" t="s">
        <v>7</v>
      </c>
      <c r="LM758" s="27" t="s">
        <v>8</v>
      </c>
      <c r="LN758" s="27" t="s">
        <v>7</v>
      </c>
      <c r="LO758" s="27" t="s">
        <v>8</v>
      </c>
      <c r="LP758" s="27" t="s">
        <v>7</v>
      </c>
      <c r="LQ758" s="27" t="s">
        <v>8</v>
      </c>
      <c r="OB758" s="27" t="s">
        <v>7</v>
      </c>
    </row>
    <row r="759" spans="1:396" x14ac:dyDescent="0.25">
      <c r="A759" s="7">
        <v>3.3171908360826938E-2</v>
      </c>
      <c r="B759"/>
      <c r="C759"/>
      <c r="D759"/>
      <c r="E759"/>
      <c r="F759" s="27" t="s">
        <v>7</v>
      </c>
      <c r="GI759" s="27" t="s">
        <v>8</v>
      </c>
      <c r="GJ759" s="27" t="s">
        <v>7</v>
      </c>
      <c r="HC759" s="27" t="s">
        <v>8</v>
      </c>
      <c r="HD759" s="27" t="s">
        <v>7</v>
      </c>
      <c r="HE759" s="27" t="s">
        <v>8</v>
      </c>
      <c r="HF759" s="27" t="s">
        <v>7</v>
      </c>
      <c r="HG759" s="27" t="s">
        <v>8</v>
      </c>
      <c r="HN759" s="27" t="s">
        <v>7</v>
      </c>
      <c r="IV759" s="27" t="s">
        <v>7</v>
      </c>
      <c r="IW759" s="27" t="s">
        <v>8</v>
      </c>
      <c r="IX759" s="27" t="s">
        <v>7</v>
      </c>
      <c r="JA759" s="27" t="s">
        <v>8</v>
      </c>
      <c r="JB759" s="27" t="s">
        <v>7</v>
      </c>
      <c r="JC759" s="27" t="s">
        <v>8</v>
      </c>
      <c r="JD759" s="27" t="s">
        <v>7</v>
      </c>
      <c r="JF759" s="27" t="s">
        <v>7</v>
      </c>
      <c r="JH759" s="27" t="s">
        <v>7</v>
      </c>
      <c r="JI759" s="27" t="s">
        <v>8</v>
      </c>
      <c r="JN759" s="27" t="s">
        <v>7</v>
      </c>
      <c r="JO759" s="27" t="s">
        <v>8</v>
      </c>
      <c r="JP759" s="27" t="s">
        <v>7</v>
      </c>
      <c r="JQ759" s="27" t="s">
        <v>8</v>
      </c>
      <c r="JR759" s="27" t="s">
        <v>7</v>
      </c>
      <c r="JS759" s="27" t="s">
        <v>8</v>
      </c>
      <c r="JT759" s="27" t="s">
        <v>7</v>
      </c>
      <c r="JU759" s="27" t="s">
        <v>8</v>
      </c>
      <c r="JV759" s="27" t="s">
        <v>7</v>
      </c>
      <c r="JW759" s="27" t="s">
        <v>8</v>
      </c>
      <c r="JX759" s="27" t="s">
        <v>7</v>
      </c>
      <c r="JZ759" s="27" t="s">
        <v>7</v>
      </c>
      <c r="KE759" s="27" t="s">
        <v>8</v>
      </c>
      <c r="KF759" s="27" t="s">
        <v>7</v>
      </c>
      <c r="KG759" s="27" t="s">
        <v>8</v>
      </c>
      <c r="KH759" s="27" t="s">
        <v>7</v>
      </c>
      <c r="KI759" s="27" t="s">
        <v>8</v>
      </c>
      <c r="KJ759" s="27" t="s">
        <v>7</v>
      </c>
      <c r="KK759" s="27" t="s">
        <v>8</v>
      </c>
      <c r="LJ759" s="27" t="s">
        <v>7</v>
      </c>
      <c r="LK759" s="27" t="s">
        <v>8</v>
      </c>
      <c r="LL759" s="27" t="s">
        <v>7</v>
      </c>
      <c r="LM759" s="27" t="s">
        <v>8</v>
      </c>
      <c r="LN759" s="27" t="s">
        <v>7</v>
      </c>
      <c r="LO759" s="27" t="s">
        <v>8</v>
      </c>
      <c r="LP759" s="27" t="s">
        <v>7</v>
      </c>
      <c r="LQ759" s="27" t="s">
        <v>8</v>
      </c>
      <c r="OB759" s="27" t="s">
        <v>7</v>
      </c>
      <c r="OC759" s="27" t="s">
        <v>8</v>
      </c>
      <c r="OE759" s="27" t="s">
        <v>8</v>
      </c>
    </row>
    <row r="760" spans="1:396" x14ac:dyDescent="0.25">
      <c r="A760" s="7">
        <v>3.2521478785124451E-2</v>
      </c>
      <c r="B760"/>
      <c r="C760"/>
      <c r="D760"/>
      <c r="E760"/>
      <c r="F760" s="27" t="s">
        <v>7</v>
      </c>
      <c r="GI760" s="27" t="s">
        <v>8</v>
      </c>
      <c r="GJ760" s="27" t="s">
        <v>7</v>
      </c>
      <c r="HC760" s="27" t="s">
        <v>8</v>
      </c>
      <c r="HD760" s="27" t="s">
        <v>7</v>
      </c>
      <c r="HE760" s="27" t="s">
        <v>8</v>
      </c>
      <c r="HF760" s="27" t="s">
        <v>7</v>
      </c>
      <c r="HG760" s="27" t="s">
        <v>8</v>
      </c>
      <c r="IV760" s="27" t="s">
        <v>7</v>
      </c>
      <c r="IW760" s="27" t="s">
        <v>8</v>
      </c>
      <c r="IX760" s="27" t="s">
        <v>7</v>
      </c>
      <c r="JA760" s="27" t="s">
        <v>8</v>
      </c>
      <c r="JB760" s="27" t="s">
        <v>7</v>
      </c>
      <c r="JC760" s="27" t="s">
        <v>8</v>
      </c>
      <c r="JH760" s="27" t="s">
        <v>7</v>
      </c>
      <c r="JI760" s="27" t="s">
        <v>8</v>
      </c>
      <c r="JN760" s="27" t="s">
        <v>7</v>
      </c>
      <c r="JO760" s="27" t="s">
        <v>8</v>
      </c>
      <c r="JP760" s="27" t="s">
        <v>7</v>
      </c>
      <c r="JQ760" s="27" t="s">
        <v>8</v>
      </c>
      <c r="JR760" s="27" t="s">
        <v>7</v>
      </c>
      <c r="JS760" s="27" t="s">
        <v>8</v>
      </c>
      <c r="JT760" s="27" t="s">
        <v>7</v>
      </c>
      <c r="JU760" s="27" t="s">
        <v>8</v>
      </c>
      <c r="JV760" s="27" t="s">
        <v>7</v>
      </c>
      <c r="JW760" s="27" t="s">
        <v>8</v>
      </c>
      <c r="JZ760" s="27" t="s">
        <v>7</v>
      </c>
      <c r="KA760" s="27" t="s">
        <v>8</v>
      </c>
      <c r="KE760" s="27" t="s">
        <v>8</v>
      </c>
      <c r="KF760" s="27" t="s">
        <v>7</v>
      </c>
      <c r="KG760" s="27" t="s">
        <v>8</v>
      </c>
      <c r="KH760" s="27" t="s">
        <v>7</v>
      </c>
      <c r="KI760" s="27" t="s">
        <v>8</v>
      </c>
      <c r="KJ760" s="27" t="s">
        <v>7</v>
      </c>
      <c r="KK760" s="27" t="s">
        <v>8</v>
      </c>
      <c r="LJ760" s="27" t="s">
        <v>7</v>
      </c>
      <c r="LK760" s="27" t="s">
        <v>8</v>
      </c>
      <c r="LL760" s="27" t="s">
        <v>7</v>
      </c>
      <c r="LM760" s="27" t="s">
        <v>8</v>
      </c>
      <c r="LN760" s="27" t="s">
        <v>7</v>
      </c>
      <c r="LO760" s="27" t="s">
        <v>8</v>
      </c>
      <c r="LP760" s="27" t="s">
        <v>7</v>
      </c>
      <c r="OB760" s="27" t="s">
        <v>7</v>
      </c>
      <c r="OC760" s="27" t="s">
        <v>8</v>
      </c>
      <c r="OD760" s="27" t="s">
        <v>7</v>
      </c>
      <c r="OE760" s="27" t="s">
        <v>8</v>
      </c>
      <c r="OF760" s="27" t="s">
        <v>7</v>
      </c>
    </row>
    <row r="761" spans="1:396" x14ac:dyDescent="0.25">
      <c r="A761" s="7">
        <v>3.1883802730514173E-2</v>
      </c>
      <c r="B761"/>
      <c r="C761"/>
      <c r="D761"/>
      <c r="E761"/>
      <c r="F761" s="27" t="s">
        <v>7</v>
      </c>
      <c r="GI761" s="27" t="s">
        <v>8</v>
      </c>
      <c r="GJ761" s="27" t="s">
        <v>7</v>
      </c>
      <c r="HC761" s="27" t="s">
        <v>8</v>
      </c>
      <c r="HD761" s="27" t="s">
        <v>7</v>
      </c>
      <c r="HE761" s="27" t="s">
        <v>8</v>
      </c>
      <c r="HF761" s="27" t="s">
        <v>7</v>
      </c>
      <c r="HG761" s="27" t="s">
        <v>8</v>
      </c>
      <c r="IV761" s="27" t="s">
        <v>7</v>
      </c>
      <c r="IW761" s="27" t="s">
        <v>8</v>
      </c>
      <c r="IX761" s="27" t="s">
        <v>7</v>
      </c>
      <c r="IY761" s="27" t="s">
        <v>8</v>
      </c>
      <c r="JA761" s="27" t="s">
        <v>8</v>
      </c>
      <c r="JB761" s="27" t="s">
        <v>7</v>
      </c>
      <c r="JC761" s="27" t="s">
        <v>8</v>
      </c>
      <c r="JH761" s="27" t="s">
        <v>7</v>
      </c>
      <c r="JI761" s="27" t="s">
        <v>8</v>
      </c>
      <c r="JN761" s="27" t="s">
        <v>7</v>
      </c>
      <c r="JO761" s="27" t="s">
        <v>8</v>
      </c>
      <c r="JP761" s="27" t="s">
        <v>7</v>
      </c>
      <c r="JQ761" s="27" t="s">
        <v>8</v>
      </c>
      <c r="JR761" s="27" t="s">
        <v>7</v>
      </c>
      <c r="JS761" s="27" t="s">
        <v>8</v>
      </c>
      <c r="JT761" s="27" t="s">
        <v>7</v>
      </c>
      <c r="JU761" s="27" t="s">
        <v>8</v>
      </c>
      <c r="JV761" s="27" t="s">
        <v>7</v>
      </c>
      <c r="JZ761" s="27" t="s">
        <v>7</v>
      </c>
      <c r="KA761" s="27" t="s">
        <v>8</v>
      </c>
      <c r="KB761" s="27" t="s">
        <v>7</v>
      </c>
      <c r="KE761" s="27" t="s">
        <v>8</v>
      </c>
      <c r="KF761" s="27" t="s">
        <v>7</v>
      </c>
      <c r="KG761" s="27" t="s">
        <v>8</v>
      </c>
      <c r="KH761" s="27" t="s">
        <v>7</v>
      </c>
      <c r="KI761" s="27" t="s">
        <v>8</v>
      </c>
      <c r="KJ761" s="27" t="s">
        <v>7</v>
      </c>
      <c r="LJ761" s="27" t="s">
        <v>7</v>
      </c>
      <c r="LK761" s="27" t="s">
        <v>8</v>
      </c>
      <c r="LL761" s="27" t="s">
        <v>7</v>
      </c>
      <c r="LM761" s="27" t="s">
        <v>8</v>
      </c>
      <c r="LN761" s="27" t="s">
        <v>7</v>
      </c>
      <c r="OB761" s="27" t="s">
        <v>7</v>
      </c>
      <c r="OC761" s="27" t="s">
        <v>8</v>
      </c>
      <c r="OD761" s="27" t="s">
        <v>7</v>
      </c>
      <c r="OE761" s="27" t="s">
        <v>8</v>
      </c>
      <c r="OF761" s="27" t="s">
        <v>7</v>
      </c>
    </row>
    <row r="762" spans="1:396" x14ac:dyDescent="0.25">
      <c r="A762" s="7">
        <v>3.1258630127955073E-2</v>
      </c>
      <c r="B762"/>
      <c r="C762"/>
      <c r="D762"/>
      <c r="E762"/>
      <c r="F762" s="27" t="s">
        <v>7</v>
      </c>
      <c r="GI762" s="27" t="s">
        <v>8</v>
      </c>
      <c r="GJ762" s="27" t="s">
        <v>7</v>
      </c>
      <c r="GO762" s="27" t="s">
        <v>8</v>
      </c>
      <c r="HC762" s="27" t="s">
        <v>8</v>
      </c>
      <c r="HD762" s="27" t="s">
        <v>7</v>
      </c>
      <c r="HE762" s="27" t="s">
        <v>8</v>
      </c>
      <c r="HF762" s="27" t="s">
        <v>7</v>
      </c>
      <c r="HG762" s="27" t="s">
        <v>8</v>
      </c>
      <c r="IV762" s="27" t="s">
        <v>7</v>
      </c>
      <c r="IW762" s="27" t="s">
        <v>8</v>
      </c>
      <c r="IX762" s="27" t="s">
        <v>7</v>
      </c>
      <c r="IY762" s="27" t="s">
        <v>8</v>
      </c>
      <c r="IZ762" s="27" t="s">
        <v>7</v>
      </c>
      <c r="JA762" s="27" t="s">
        <v>8</v>
      </c>
      <c r="JB762" s="27" t="s">
        <v>7</v>
      </c>
      <c r="JC762" s="27" t="s">
        <v>8</v>
      </c>
      <c r="JH762" s="27" t="s">
        <v>7</v>
      </c>
      <c r="JI762" s="27" t="s">
        <v>8</v>
      </c>
      <c r="JN762" s="27" t="s">
        <v>7</v>
      </c>
      <c r="JO762" s="27" t="s">
        <v>8</v>
      </c>
      <c r="JP762" s="27" t="s">
        <v>7</v>
      </c>
      <c r="JQ762" s="27" t="s">
        <v>8</v>
      </c>
      <c r="JR762" s="27" t="s">
        <v>7</v>
      </c>
      <c r="JS762" s="27" t="s">
        <v>8</v>
      </c>
      <c r="JT762" s="27" t="s">
        <v>7</v>
      </c>
      <c r="JU762" s="27" t="s">
        <v>8</v>
      </c>
      <c r="JZ762" s="27" t="s">
        <v>7</v>
      </c>
      <c r="KA762" s="27" t="s">
        <v>8</v>
      </c>
      <c r="KB762" s="27" t="s">
        <v>7</v>
      </c>
      <c r="KE762" s="27" t="s">
        <v>8</v>
      </c>
      <c r="KF762" s="27" t="s">
        <v>7</v>
      </c>
      <c r="KG762" s="27" t="s">
        <v>8</v>
      </c>
      <c r="KH762" s="27" t="s">
        <v>7</v>
      </c>
      <c r="KI762" s="27" t="s">
        <v>8</v>
      </c>
      <c r="LJ762" s="27" t="s">
        <v>7</v>
      </c>
      <c r="LK762" s="27" t="s">
        <v>8</v>
      </c>
      <c r="LL762" s="27" t="s">
        <v>7</v>
      </c>
      <c r="OB762" s="27" t="s">
        <v>7</v>
      </c>
      <c r="OC762" s="27" t="s">
        <v>8</v>
      </c>
      <c r="OD762" s="27" t="s">
        <v>7</v>
      </c>
      <c r="OE762" s="27" t="s">
        <v>8</v>
      </c>
      <c r="OF762" s="27" t="s">
        <v>7</v>
      </c>
    </row>
    <row r="763" spans="1:396" x14ac:dyDescent="0.25">
      <c r="A763" s="7">
        <v>3.064571581172066E-2</v>
      </c>
      <c r="B763"/>
      <c r="C763"/>
      <c r="D763"/>
      <c r="E763"/>
      <c r="F763" s="27" t="s">
        <v>7</v>
      </c>
      <c r="GI763" s="27" t="s">
        <v>8</v>
      </c>
      <c r="GJ763" s="27" t="s">
        <v>7</v>
      </c>
      <c r="GO763" s="27" t="s">
        <v>8</v>
      </c>
      <c r="GP763" s="27" t="s">
        <v>7</v>
      </c>
      <c r="HC763" s="27" t="s">
        <v>8</v>
      </c>
      <c r="HD763" s="27" t="s">
        <v>7</v>
      </c>
      <c r="HE763" s="27" t="s">
        <v>8</v>
      </c>
      <c r="HF763" s="27" t="s">
        <v>7</v>
      </c>
      <c r="HG763" s="27" t="s">
        <v>8</v>
      </c>
      <c r="IV763" s="27" t="s">
        <v>7</v>
      </c>
      <c r="IW763" s="27" t="s">
        <v>8</v>
      </c>
      <c r="IX763" s="27" t="s">
        <v>7</v>
      </c>
      <c r="IY763" s="27" t="s">
        <v>8</v>
      </c>
      <c r="IZ763" s="27" t="s">
        <v>7</v>
      </c>
      <c r="JA763" s="27" t="s">
        <v>8</v>
      </c>
      <c r="JB763" s="27" t="s">
        <v>7</v>
      </c>
      <c r="JC763" s="27" t="s">
        <v>8</v>
      </c>
      <c r="JH763" s="27" t="s">
        <v>7</v>
      </c>
      <c r="JI763" s="27" t="s">
        <v>8</v>
      </c>
      <c r="JN763" s="27" t="s">
        <v>7</v>
      </c>
      <c r="JO763" s="27" t="s">
        <v>8</v>
      </c>
      <c r="JP763" s="27" t="s">
        <v>7</v>
      </c>
      <c r="JQ763" s="27" t="s">
        <v>8</v>
      </c>
      <c r="JR763" s="27" t="s">
        <v>7</v>
      </c>
      <c r="JS763" s="27" t="s">
        <v>8</v>
      </c>
      <c r="JT763" s="27" t="s">
        <v>7</v>
      </c>
      <c r="JZ763" s="27" t="s">
        <v>7</v>
      </c>
      <c r="KA763" s="27" t="s">
        <v>8</v>
      </c>
      <c r="KB763" s="27" t="s">
        <v>7</v>
      </c>
      <c r="KE763" s="27" t="s">
        <v>8</v>
      </c>
      <c r="KF763" s="27" t="s">
        <v>7</v>
      </c>
      <c r="KG763" s="27" t="s">
        <v>8</v>
      </c>
      <c r="KH763" s="27" t="s">
        <v>7</v>
      </c>
      <c r="LJ763" s="27" t="s">
        <v>7</v>
      </c>
      <c r="OB763" s="27" t="s">
        <v>7</v>
      </c>
      <c r="OC763" s="27" t="s">
        <v>8</v>
      </c>
      <c r="OD763" s="27" t="s">
        <v>7</v>
      </c>
      <c r="OE763" s="27" t="s">
        <v>8</v>
      </c>
      <c r="OF763" s="27" t="s">
        <v>7</v>
      </c>
    </row>
    <row r="764" spans="1:396" x14ac:dyDescent="0.25">
      <c r="A764" s="7">
        <v>3.0044819423255549E-2</v>
      </c>
      <c r="B764"/>
      <c r="C764"/>
      <c r="D764"/>
      <c r="E764"/>
      <c r="F764" s="27" t="s">
        <v>7</v>
      </c>
      <c r="GI764" s="27" t="s">
        <v>8</v>
      </c>
      <c r="GJ764" s="27" t="s">
        <v>7</v>
      </c>
      <c r="GO764" s="27" t="s">
        <v>8</v>
      </c>
      <c r="GP764" s="27" t="s">
        <v>7</v>
      </c>
      <c r="HC764" s="27" t="s">
        <v>8</v>
      </c>
      <c r="HD764" s="27" t="s">
        <v>7</v>
      </c>
      <c r="HE764" s="27" t="s">
        <v>8</v>
      </c>
      <c r="HF764" s="27" t="s">
        <v>7</v>
      </c>
      <c r="HG764" s="27" t="s">
        <v>8</v>
      </c>
      <c r="IV764" s="27" t="s">
        <v>7</v>
      </c>
      <c r="IW764" s="27" t="s">
        <v>8</v>
      </c>
      <c r="IX764" s="27" t="s">
        <v>7</v>
      </c>
      <c r="IY764" s="27" t="s">
        <v>8</v>
      </c>
      <c r="IZ764" s="27" t="s">
        <v>7</v>
      </c>
      <c r="JA764" s="27" t="s">
        <v>8</v>
      </c>
      <c r="JB764" s="27" t="s">
        <v>7</v>
      </c>
      <c r="JC764" s="27" t="s">
        <v>8</v>
      </c>
      <c r="JH764" s="27" t="s">
        <v>7</v>
      </c>
      <c r="JN764" s="27" t="s">
        <v>7</v>
      </c>
      <c r="JO764" s="27" t="s">
        <v>8</v>
      </c>
      <c r="JP764" s="27" t="s">
        <v>7</v>
      </c>
      <c r="JR764" s="27" t="s">
        <v>7</v>
      </c>
      <c r="JZ764" s="27" t="s">
        <v>7</v>
      </c>
      <c r="KB764" s="27" t="s">
        <v>7</v>
      </c>
      <c r="KC764" s="27" t="s">
        <v>8</v>
      </c>
      <c r="KE764" s="27" t="s">
        <v>8</v>
      </c>
      <c r="KF764" s="27" t="s">
        <v>7</v>
      </c>
      <c r="KG764" s="27" t="s">
        <v>8</v>
      </c>
      <c r="OB764" s="27" t="s">
        <v>7</v>
      </c>
      <c r="OC764" s="27" t="s">
        <v>8</v>
      </c>
      <c r="OD764" s="27" t="s">
        <v>7</v>
      </c>
      <c r="OE764" s="27" t="s">
        <v>8</v>
      </c>
      <c r="OF764" s="27" t="s">
        <v>7</v>
      </c>
    </row>
    <row r="765" spans="1:396" x14ac:dyDescent="0.25">
      <c r="A765" s="7">
        <v>2.9455705316917203E-2</v>
      </c>
      <c r="B765"/>
      <c r="C765"/>
      <c r="D765"/>
      <c r="E765"/>
      <c r="F765" s="27" t="s">
        <v>7</v>
      </c>
      <c r="GI765" s="27" t="s">
        <v>8</v>
      </c>
      <c r="GJ765" s="27" t="s">
        <v>7</v>
      </c>
      <c r="GO765" s="27" t="s">
        <v>8</v>
      </c>
      <c r="GP765" s="27" t="s">
        <v>7</v>
      </c>
      <c r="HC765" s="27" t="s">
        <v>8</v>
      </c>
      <c r="HD765" s="27" t="s">
        <v>7</v>
      </c>
      <c r="HE765" s="27" t="s">
        <v>8</v>
      </c>
      <c r="HF765" s="27" t="s">
        <v>7</v>
      </c>
      <c r="IV765" s="27" t="s">
        <v>7</v>
      </c>
      <c r="IW765" s="27" t="s">
        <v>8</v>
      </c>
      <c r="IX765" s="27" t="s">
        <v>7</v>
      </c>
      <c r="IY765" s="27" t="s">
        <v>8</v>
      </c>
      <c r="IZ765" s="27" t="s">
        <v>7</v>
      </c>
      <c r="JA765" s="27" t="s">
        <v>8</v>
      </c>
      <c r="JB765" s="27" t="s">
        <v>7</v>
      </c>
      <c r="JC765" s="27" t="s">
        <v>8</v>
      </c>
      <c r="JN765" s="27" t="s">
        <v>7</v>
      </c>
      <c r="JO765" s="27" t="s">
        <v>8</v>
      </c>
      <c r="KB765" s="27" t="s">
        <v>7</v>
      </c>
      <c r="KC765" s="27" t="s">
        <v>8</v>
      </c>
      <c r="KD765" s="27" t="s">
        <v>7</v>
      </c>
      <c r="KE765" s="27" t="s">
        <v>8</v>
      </c>
      <c r="KF765" s="27" t="s">
        <v>7</v>
      </c>
      <c r="OB765" s="27" t="s">
        <v>7</v>
      </c>
      <c r="OD765" s="27" t="s">
        <v>7</v>
      </c>
      <c r="OE765" s="27" t="s">
        <v>8</v>
      </c>
    </row>
    <row r="766" spans="1:396" x14ac:dyDescent="0.25">
      <c r="A766" s="7">
        <v>2.8878142467565884E-2</v>
      </c>
      <c r="B766"/>
      <c r="C766"/>
      <c r="D766"/>
      <c r="E766"/>
      <c r="F766" s="27" t="s">
        <v>7</v>
      </c>
      <c r="GI766" s="27" t="s">
        <v>8</v>
      </c>
      <c r="GJ766" s="27" t="s">
        <v>7</v>
      </c>
      <c r="GO766" s="27" t="s">
        <v>8</v>
      </c>
      <c r="GP766" s="27" t="s">
        <v>7</v>
      </c>
      <c r="HC766" s="27" t="s">
        <v>8</v>
      </c>
      <c r="HD766" s="27" t="s">
        <v>7</v>
      </c>
      <c r="HE766" s="27" t="s">
        <v>8</v>
      </c>
      <c r="IV766" s="27" t="s">
        <v>7</v>
      </c>
      <c r="IW766" s="27" t="s">
        <v>8</v>
      </c>
      <c r="IX766" s="27" t="s">
        <v>7</v>
      </c>
      <c r="IY766" s="27" t="s">
        <v>8</v>
      </c>
      <c r="IZ766" s="27" t="s">
        <v>7</v>
      </c>
      <c r="JA766" s="27" t="s">
        <v>8</v>
      </c>
      <c r="JB766" s="27" t="s">
        <v>7</v>
      </c>
      <c r="JC766" s="27" t="s">
        <v>8</v>
      </c>
      <c r="JN766" s="27" t="s">
        <v>7</v>
      </c>
      <c r="JO766" s="27" t="s">
        <v>8</v>
      </c>
      <c r="KB766" s="27" t="s">
        <v>7</v>
      </c>
      <c r="KC766" s="27" t="s">
        <v>8</v>
      </c>
      <c r="KD766" s="27" t="s">
        <v>7</v>
      </c>
      <c r="KE766" s="27" t="s">
        <v>8</v>
      </c>
      <c r="OD766" s="27" t="s">
        <v>7</v>
      </c>
      <c r="OE766" s="27" t="s">
        <v>8</v>
      </c>
    </row>
    <row r="767" spans="1:396" x14ac:dyDescent="0.25">
      <c r="A767" s="7">
        <v>2.8311904379966554E-2</v>
      </c>
      <c r="B767"/>
      <c r="C767"/>
      <c r="D767"/>
      <c r="E767"/>
      <c r="F767" s="27" t="s">
        <v>7</v>
      </c>
      <c r="GI767" s="27" t="s">
        <v>8</v>
      </c>
      <c r="GJ767" s="27" t="s">
        <v>7</v>
      </c>
      <c r="GO767" s="27" t="s">
        <v>8</v>
      </c>
      <c r="GP767" s="27" t="s">
        <v>7</v>
      </c>
      <c r="HC767" s="27" t="s">
        <v>8</v>
      </c>
      <c r="HD767" s="27" t="s">
        <v>7</v>
      </c>
      <c r="HE767" s="27" t="s">
        <v>8</v>
      </c>
      <c r="IV767" s="27" t="s">
        <v>7</v>
      </c>
      <c r="IW767" s="27" t="s">
        <v>8</v>
      </c>
      <c r="IX767" s="27" t="s">
        <v>7</v>
      </c>
      <c r="IY767" s="27" t="s">
        <v>8</v>
      </c>
      <c r="IZ767" s="27" t="s">
        <v>7</v>
      </c>
      <c r="JA767" s="27" t="s">
        <v>8</v>
      </c>
      <c r="JB767" s="27" t="s">
        <v>7</v>
      </c>
      <c r="JC767" s="27" t="s">
        <v>8</v>
      </c>
      <c r="JN767" s="27" t="s">
        <v>7</v>
      </c>
      <c r="JO767" s="27" t="s">
        <v>8</v>
      </c>
      <c r="KB767" s="18" t="s">
        <v>7</v>
      </c>
      <c r="KC767" s="27" t="s">
        <v>8</v>
      </c>
      <c r="KD767" s="27" t="s">
        <v>7</v>
      </c>
      <c r="OD767" s="27" t="s">
        <v>7</v>
      </c>
      <c r="OE767" s="27" t="s">
        <v>8</v>
      </c>
    </row>
    <row r="768" spans="1:396" x14ac:dyDescent="0.25">
      <c r="A768" s="7">
        <v>2.7756768999967207E-2</v>
      </c>
      <c r="B768"/>
      <c r="C768"/>
      <c r="D768"/>
      <c r="E768"/>
      <c r="F768" s="27" t="s">
        <v>7</v>
      </c>
      <c r="GI768" s="27" t="s">
        <v>8</v>
      </c>
      <c r="GJ768" s="27" t="s">
        <v>7</v>
      </c>
      <c r="GO768" s="27" t="s">
        <v>8</v>
      </c>
      <c r="GP768" s="27" t="s">
        <v>7</v>
      </c>
      <c r="GQ768" s="27" t="s">
        <v>8</v>
      </c>
      <c r="HA768" s="27" t="s">
        <v>8</v>
      </c>
      <c r="HC768" s="27" t="s">
        <v>8</v>
      </c>
      <c r="HD768" s="27" t="s">
        <v>7</v>
      </c>
      <c r="IV768" s="27" t="s">
        <v>7</v>
      </c>
      <c r="IW768" s="27" t="s">
        <v>8</v>
      </c>
      <c r="IX768" s="27" t="s">
        <v>7</v>
      </c>
      <c r="IY768" s="27" t="s">
        <v>8</v>
      </c>
      <c r="IZ768" s="27" t="s">
        <v>7</v>
      </c>
      <c r="JA768" s="27" t="s">
        <v>8</v>
      </c>
      <c r="JB768" s="27" t="s">
        <v>7</v>
      </c>
      <c r="JC768" s="27" t="s">
        <v>8</v>
      </c>
      <c r="JN768" s="27" t="s">
        <v>7</v>
      </c>
      <c r="JO768" s="27" t="s">
        <v>8</v>
      </c>
      <c r="KB768" s="27" t="s">
        <v>7</v>
      </c>
      <c r="KC768" s="27" t="s">
        <v>8</v>
      </c>
      <c r="OD768" s="27" t="s">
        <v>7</v>
      </c>
      <c r="OE768" s="27" t="s">
        <v>8</v>
      </c>
    </row>
    <row r="769" spans="1:394" x14ac:dyDescent="0.25">
      <c r="A769" s="7">
        <v>2.7212518627418834E-2</v>
      </c>
      <c r="B769"/>
      <c r="C769"/>
      <c r="D769"/>
      <c r="E769"/>
      <c r="F769" s="27" t="s">
        <v>7</v>
      </c>
      <c r="GI769" s="27" t="s">
        <v>8</v>
      </c>
      <c r="GJ769" s="27" t="s">
        <v>7</v>
      </c>
      <c r="GO769" s="27" t="s">
        <v>8</v>
      </c>
      <c r="GP769" s="27" t="s">
        <v>7</v>
      </c>
      <c r="GQ769" s="27" t="s">
        <v>8</v>
      </c>
      <c r="GR769" s="27" t="s">
        <v>7</v>
      </c>
      <c r="HA769" s="27" t="s">
        <v>8</v>
      </c>
      <c r="HB769" s="27" t="s">
        <v>7</v>
      </c>
      <c r="HC769" s="27" t="s">
        <v>8</v>
      </c>
      <c r="IV769" s="27" t="s">
        <v>7</v>
      </c>
      <c r="IX769" s="27" t="s">
        <v>7</v>
      </c>
      <c r="IZ769" s="27" t="s">
        <v>7</v>
      </c>
      <c r="JA769" s="27" t="s">
        <v>8</v>
      </c>
      <c r="JB769" s="27" t="s">
        <v>7</v>
      </c>
      <c r="JN769" s="27" t="s">
        <v>7</v>
      </c>
      <c r="JO769" s="27" t="s">
        <v>8</v>
      </c>
      <c r="KB769" s="27" t="s">
        <v>7</v>
      </c>
      <c r="KC769" s="27" t="s">
        <v>8</v>
      </c>
      <c r="OD769" s="27" t="s">
        <v>7</v>
      </c>
    </row>
    <row r="770" spans="1:394" x14ac:dyDescent="0.25">
      <c r="A770" s="7">
        <v>2.6678939830802779E-2</v>
      </c>
      <c r="B770"/>
      <c r="C770"/>
      <c r="D770"/>
      <c r="E770"/>
      <c r="F770" s="27" t="s">
        <v>7</v>
      </c>
      <c r="GI770" s="27" t="s">
        <v>8</v>
      </c>
      <c r="GJ770" s="27" t="s">
        <v>7</v>
      </c>
      <c r="GK770" s="27" t="s">
        <v>8</v>
      </c>
      <c r="GO770" s="27" t="s">
        <v>8</v>
      </c>
      <c r="GP770" s="27" t="s">
        <v>7</v>
      </c>
      <c r="GQ770" s="27" t="s">
        <v>8</v>
      </c>
      <c r="GR770" s="27" t="s">
        <v>7</v>
      </c>
      <c r="HA770" s="27" t="s">
        <v>8</v>
      </c>
      <c r="HB770" s="27" t="s">
        <v>7</v>
      </c>
      <c r="HC770" s="27" t="s">
        <v>8</v>
      </c>
      <c r="IZ770" s="27" t="s">
        <v>7</v>
      </c>
      <c r="JA770" s="27" t="s">
        <v>8</v>
      </c>
      <c r="JN770" s="27" t="s">
        <v>7</v>
      </c>
      <c r="JO770" s="27" t="s">
        <v>8</v>
      </c>
      <c r="KB770" s="27" t="s">
        <v>7</v>
      </c>
      <c r="KC770" s="27" t="s">
        <v>8</v>
      </c>
    </row>
    <row r="771" spans="1:394" x14ac:dyDescent="0.25">
      <c r="A771" s="7">
        <v>2.615582336353214E-2</v>
      </c>
      <c r="B771"/>
      <c r="C771"/>
      <c r="D771"/>
      <c r="E771"/>
      <c r="F771" s="27" t="s">
        <v>7</v>
      </c>
      <c r="GI771" s="27" t="s">
        <v>8</v>
      </c>
      <c r="GJ771" s="27" t="s">
        <v>7</v>
      </c>
      <c r="GK771" s="27" t="s">
        <v>8</v>
      </c>
      <c r="GL771" s="27" t="s">
        <v>7</v>
      </c>
      <c r="GO771" s="27" t="s">
        <v>8</v>
      </c>
      <c r="GP771" s="27" t="s">
        <v>7</v>
      </c>
      <c r="GQ771" s="27" t="s">
        <v>8</v>
      </c>
      <c r="GR771" s="27" t="s">
        <v>7</v>
      </c>
      <c r="GS771" s="27" t="s">
        <v>8</v>
      </c>
      <c r="HA771" s="27" t="s">
        <v>8</v>
      </c>
      <c r="HB771" s="27" t="s">
        <v>7</v>
      </c>
      <c r="HC771" s="27" t="s">
        <v>8</v>
      </c>
      <c r="IZ771" s="27" t="s">
        <v>7</v>
      </c>
      <c r="JA771" s="27" t="s">
        <v>8</v>
      </c>
      <c r="JN771" s="27" t="s">
        <v>7</v>
      </c>
      <c r="JO771" s="27" t="s">
        <v>8</v>
      </c>
      <c r="KB771" s="27" t="s">
        <v>7</v>
      </c>
    </row>
    <row r="772" spans="1:394" x14ac:dyDescent="0.25">
      <c r="A772" s="7">
        <v>2.5642964081894253E-2</v>
      </c>
      <c r="B772"/>
      <c r="C772"/>
      <c r="D772"/>
      <c r="E772"/>
      <c r="F772" s="27" t="s">
        <v>7</v>
      </c>
      <c r="GI772" s="27" t="s">
        <v>8</v>
      </c>
      <c r="GJ772" s="27" t="s">
        <v>7</v>
      </c>
      <c r="GK772" s="27" t="s">
        <v>8</v>
      </c>
      <c r="GL772" s="27" t="s">
        <v>7</v>
      </c>
      <c r="GO772" s="27" t="s">
        <v>8</v>
      </c>
      <c r="GP772" s="27" t="s">
        <v>7</v>
      </c>
      <c r="GQ772" s="27" t="s">
        <v>8</v>
      </c>
      <c r="GR772" s="27" t="s">
        <v>7</v>
      </c>
      <c r="GS772" s="27" t="s">
        <v>8</v>
      </c>
      <c r="GT772" s="27" t="s">
        <v>7</v>
      </c>
      <c r="HA772" s="27" t="s">
        <v>8</v>
      </c>
      <c r="HB772" s="27" t="s">
        <v>7</v>
      </c>
      <c r="HC772" s="27" t="s">
        <v>8</v>
      </c>
      <c r="IZ772" s="27" t="s">
        <v>7</v>
      </c>
      <c r="JA772" s="27" t="s">
        <v>8</v>
      </c>
      <c r="JN772" s="27" t="s">
        <v>7</v>
      </c>
    </row>
    <row r="773" spans="1:394" x14ac:dyDescent="0.25">
      <c r="A773" s="7">
        <v>2.5140160864602207E-2</v>
      </c>
      <c r="B773"/>
      <c r="C773"/>
      <c r="D773"/>
      <c r="E773"/>
      <c r="F773" s="27" t="s">
        <v>7</v>
      </c>
      <c r="GI773" s="27" t="s">
        <v>8</v>
      </c>
      <c r="GJ773" s="27" t="s">
        <v>7</v>
      </c>
      <c r="GK773" s="27" t="s">
        <v>8</v>
      </c>
      <c r="GL773" s="27" t="s">
        <v>7</v>
      </c>
      <c r="GO773" s="27" t="s">
        <v>8</v>
      </c>
      <c r="GP773" s="27" t="s">
        <v>7</v>
      </c>
      <c r="GQ773" s="27" t="s">
        <v>8</v>
      </c>
      <c r="GR773" s="27" t="s">
        <v>7</v>
      </c>
      <c r="GS773" s="27" t="s">
        <v>8</v>
      </c>
      <c r="GT773" s="27" t="s">
        <v>7</v>
      </c>
      <c r="HA773" s="27" t="s">
        <v>8</v>
      </c>
      <c r="HB773" s="27" t="s">
        <v>7</v>
      </c>
      <c r="HC773" s="27" t="s">
        <v>8</v>
      </c>
      <c r="IZ773" s="27" t="s">
        <v>7</v>
      </c>
      <c r="JA773" s="27" t="s">
        <v>8</v>
      </c>
    </row>
    <row r="774" spans="1:394" x14ac:dyDescent="0.25">
      <c r="A774" s="7">
        <v>2.4647216533923735E-2</v>
      </c>
      <c r="B774"/>
      <c r="C774"/>
      <c r="D774"/>
      <c r="E774"/>
      <c r="F774" s="27" t="s">
        <v>7</v>
      </c>
      <c r="GI774" s="27" t="s">
        <v>8</v>
      </c>
      <c r="GJ774" s="27" t="s">
        <v>7</v>
      </c>
      <c r="GK774" s="27" t="s">
        <v>8</v>
      </c>
      <c r="GL774" s="27" t="s">
        <v>7</v>
      </c>
      <c r="GO774" s="27" t="s">
        <v>8</v>
      </c>
      <c r="GP774" s="27" t="s">
        <v>7</v>
      </c>
      <c r="GQ774" s="27" t="s">
        <v>8</v>
      </c>
      <c r="GR774" s="27" t="s">
        <v>7</v>
      </c>
      <c r="GS774" s="27" t="s">
        <v>8</v>
      </c>
      <c r="GT774" s="27" t="s">
        <v>7</v>
      </c>
      <c r="HA774" s="27" t="s">
        <v>8</v>
      </c>
      <c r="HB774" s="27" t="s">
        <v>7</v>
      </c>
      <c r="HC774" s="27" t="s">
        <v>8</v>
      </c>
      <c r="IZ774" s="27" t="s">
        <v>7</v>
      </c>
      <c r="JA774" s="27" t="s">
        <v>8</v>
      </c>
    </row>
    <row r="775" spans="1:394" x14ac:dyDescent="0.25">
      <c r="A775" s="7">
        <v>2.4163937778356601E-2</v>
      </c>
      <c r="B775"/>
      <c r="C775"/>
      <c r="D775"/>
      <c r="E775"/>
      <c r="F775" s="27" t="s">
        <v>7</v>
      </c>
      <c r="GI775" s="27" t="s">
        <v>8</v>
      </c>
      <c r="GJ775" s="27" t="s">
        <v>7</v>
      </c>
      <c r="GK775" s="27" t="s">
        <v>8</v>
      </c>
      <c r="GL775" s="27" t="s">
        <v>7</v>
      </c>
      <c r="GO775" s="27" t="s">
        <v>8</v>
      </c>
      <c r="GP775" s="27" t="s">
        <v>7</v>
      </c>
      <c r="GQ775" s="27" t="s">
        <v>8</v>
      </c>
      <c r="GR775" s="27" t="s">
        <v>7</v>
      </c>
      <c r="GS775" s="27" t="s">
        <v>8</v>
      </c>
      <c r="GT775" s="27" t="s">
        <v>7</v>
      </c>
      <c r="HA775" s="27" t="s">
        <v>8</v>
      </c>
      <c r="HB775" s="27" t="s">
        <v>7</v>
      </c>
      <c r="HC775" s="27" t="s">
        <v>8</v>
      </c>
      <c r="IZ775" s="27" t="s">
        <v>7</v>
      </c>
      <c r="JA775" s="27" t="s">
        <v>8</v>
      </c>
    </row>
    <row r="776" spans="1:394" x14ac:dyDescent="0.25">
      <c r="A776" s="7">
        <v>2.3690135076820197E-2</v>
      </c>
      <c r="B776"/>
      <c r="C776"/>
      <c r="D776"/>
      <c r="E776"/>
      <c r="F776" s="27" t="s">
        <v>7</v>
      </c>
      <c r="GI776" s="27" t="s">
        <v>8</v>
      </c>
      <c r="GJ776" s="27" t="s">
        <v>7</v>
      </c>
      <c r="GK776" s="27" t="s">
        <v>8</v>
      </c>
      <c r="GL776" s="27" t="s">
        <v>7</v>
      </c>
      <c r="GM776" s="27" t="s">
        <v>8</v>
      </c>
      <c r="GO776" s="27" t="s">
        <v>8</v>
      </c>
      <c r="GP776" s="27" t="s">
        <v>7</v>
      </c>
      <c r="GQ776" s="27" t="s">
        <v>8</v>
      </c>
      <c r="GR776" s="27" t="s">
        <v>7</v>
      </c>
      <c r="GS776" s="27" t="s">
        <v>8</v>
      </c>
      <c r="GT776" s="27" t="s">
        <v>7</v>
      </c>
      <c r="HA776" s="27" t="s">
        <v>8</v>
      </c>
      <c r="HB776" s="27" t="s">
        <v>7</v>
      </c>
      <c r="HC776" s="27" t="s">
        <v>8</v>
      </c>
      <c r="IZ776" s="27" t="s">
        <v>7</v>
      </c>
      <c r="JA776" s="27" t="s">
        <v>8</v>
      </c>
    </row>
    <row r="777" spans="1:394" x14ac:dyDescent="0.25">
      <c r="A777" s="7">
        <v>2.3225622624333527E-2</v>
      </c>
      <c r="B777"/>
      <c r="C777"/>
      <c r="D777"/>
      <c r="E777"/>
      <c r="F777" s="27" t="s">
        <v>7</v>
      </c>
      <c r="FI777" s="27" t="s">
        <v>8</v>
      </c>
      <c r="GI777" s="27" t="s">
        <v>8</v>
      </c>
      <c r="GJ777" s="27" t="s">
        <v>7</v>
      </c>
      <c r="GK777" s="27" t="s">
        <v>8</v>
      </c>
      <c r="GL777" s="27" t="s">
        <v>7</v>
      </c>
      <c r="GM777" s="27" t="s">
        <v>8</v>
      </c>
      <c r="GN777" s="27" t="s">
        <v>7</v>
      </c>
      <c r="GO777" s="27" t="s">
        <v>8</v>
      </c>
      <c r="GP777" s="27" t="s">
        <v>7</v>
      </c>
      <c r="GQ777" s="27" t="s">
        <v>8</v>
      </c>
      <c r="GR777" s="27" t="s">
        <v>7</v>
      </c>
      <c r="GT777" s="27" t="s">
        <v>7</v>
      </c>
      <c r="HA777" s="27" t="s">
        <v>8</v>
      </c>
      <c r="HB777" s="27" t="s">
        <v>7</v>
      </c>
      <c r="HC777" s="27" t="s">
        <v>8</v>
      </c>
      <c r="IZ777" s="27" t="s">
        <v>7</v>
      </c>
      <c r="JA777" s="27" t="s">
        <v>8</v>
      </c>
    </row>
    <row r="778" spans="1:394" x14ac:dyDescent="0.25">
      <c r="A778" s="7">
        <v>2.2770218259150519E-2</v>
      </c>
      <c r="B778"/>
      <c r="C778"/>
      <c r="D778"/>
      <c r="E778"/>
      <c r="F778" s="27" t="s">
        <v>7</v>
      </c>
      <c r="FI778" s="27" t="s">
        <v>8</v>
      </c>
      <c r="FJ778" s="27" t="s">
        <v>7</v>
      </c>
      <c r="GI778" s="27" t="s">
        <v>8</v>
      </c>
      <c r="GJ778" s="27" t="s">
        <v>7</v>
      </c>
      <c r="GK778" s="27" t="s">
        <v>8</v>
      </c>
      <c r="GL778" s="27" t="s">
        <v>7</v>
      </c>
      <c r="GM778" s="27" t="s">
        <v>8</v>
      </c>
      <c r="GN778" s="27" t="s">
        <v>7</v>
      </c>
      <c r="GO778" s="27" t="s">
        <v>8</v>
      </c>
      <c r="GP778" s="27" t="s">
        <v>7</v>
      </c>
      <c r="GQ778" s="27" t="s">
        <v>8</v>
      </c>
      <c r="GT778" s="27" t="s">
        <v>7</v>
      </c>
      <c r="HA778" s="27" t="s">
        <v>8</v>
      </c>
      <c r="HB778" s="27" t="s">
        <v>7</v>
      </c>
      <c r="HC778" s="27" t="s">
        <v>8</v>
      </c>
      <c r="IZ778" s="27" t="s">
        <v>7</v>
      </c>
      <c r="JA778" s="27" t="s">
        <v>8</v>
      </c>
    </row>
    <row r="779" spans="1:394" x14ac:dyDescent="0.25">
      <c r="A779" s="7">
        <v>2.2323743391324039E-2</v>
      </c>
      <c r="B779"/>
      <c r="C779"/>
      <c r="D779"/>
      <c r="E779"/>
      <c r="F779" s="27" t="s">
        <v>7</v>
      </c>
      <c r="FI779" s="27" t="s">
        <v>8</v>
      </c>
      <c r="FJ779" s="27" t="s">
        <v>7</v>
      </c>
      <c r="GI779" s="27" t="s">
        <v>8</v>
      </c>
      <c r="GJ779" s="27" t="s">
        <v>7</v>
      </c>
      <c r="GL779" s="27" t="s">
        <v>7</v>
      </c>
      <c r="GM779" s="27" t="s">
        <v>8</v>
      </c>
      <c r="GN779" s="27" t="s">
        <v>7</v>
      </c>
      <c r="GO779" s="27" t="s">
        <v>8</v>
      </c>
      <c r="GP779" s="27" t="s">
        <v>7</v>
      </c>
      <c r="GQ779" s="27" t="s">
        <v>8</v>
      </c>
      <c r="GT779" s="27" t="s">
        <v>7</v>
      </c>
      <c r="HA779" s="27" t="s">
        <v>8</v>
      </c>
      <c r="HB779" s="27" t="s">
        <v>7</v>
      </c>
      <c r="IZ779" s="27" t="s">
        <v>7</v>
      </c>
      <c r="JA779" s="27" t="s">
        <v>8</v>
      </c>
    </row>
    <row r="780" spans="1:394" x14ac:dyDescent="0.25">
      <c r="A780" s="7">
        <v>2.188602293267063E-2</v>
      </c>
      <c r="B780"/>
      <c r="C780"/>
      <c r="D780"/>
      <c r="E780"/>
      <c r="F780" s="27" t="s">
        <v>7</v>
      </c>
      <c r="FI780" s="27" t="s">
        <v>8</v>
      </c>
      <c r="FJ780" s="27" t="s">
        <v>7</v>
      </c>
      <c r="GI780" s="27" t="s">
        <v>8</v>
      </c>
      <c r="GL780" s="27" t="s">
        <v>7</v>
      </c>
      <c r="GM780" s="27" t="s">
        <v>8</v>
      </c>
      <c r="GN780" s="27" t="s">
        <v>7</v>
      </c>
      <c r="GO780" s="27" t="s">
        <v>8</v>
      </c>
      <c r="GP780" s="27" t="s">
        <v>7</v>
      </c>
      <c r="GQ780" s="27" t="s">
        <v>8</v>
      </c>
      <c r="GT780" s="27" t="s">
        <v>7</v>
      </c>
      <c r="HA780" s="27" t="s">
        <v>8</v>
      </c>
      <c r="IZ780" s="27" t="s">
        <v>7</v>
      </c>
      <c r="JA780" s="27" t="s">
        <v>8</v>
      </c>
    </row>
    <row r="781" spans="1:394" x14ac:dyDescent="0.25">
      <c r="A781" s="7">
        <v>2.1456885228108461E-2</v>
      </c>
      <c r="B781"/>
      <c r="C781"/>
      <c r="D781"/>
      <c r="E781"/>
      <c r="F781" s="27" t="s">
        <v>7</v>
      </c>
      <c r="FI781" s="27" t="s">
        <v>8</v>
      </c>
      <c r="FJ781" s="27" t="s">
        <v>7</v>
      </c>
      <c r="GI781" s="27" t="s">
        <v>8</v>
      </c>
      <c r="GL781" s="27" t="s">
        <v>7</v>
      </c>
      <c r="GM781" s="27" t="s">
        <v>8</v>
      </c>
      <c r="GN781" s="27" t="s">
        <v>7</v>
      </c>
      <c r="GO781" s="27" t="s">
        <v>8</v>
      </c>
      <c r="GP781" s="27" t="s">
        <v>7</v>
      </c>
      <c r="GQ781" s="27" t="s">
        <v>8</v>
      </c>
      <c r="GT781" s="27" t="s">
        <v>7</v>
      </c>
      <c r="HA781" s="27" t="s">
        <v>8</v>
      </c>
      <c r="IZ781" s="27" t="s">
        <v>7</v>
      </c>
      <c r="JA781" s="27" t="s">
        <v>8</v>
      </c>
    </row>
    <row r="782" spans="1:394" x14ac:dyDescent="0.25">
      <c r="A782" s="7">
        <v>2.1036161988341632E-2</v>
      </c>
      <c r="B782"/>
      <c r="C782"/>
      <c r="D782"/>
      <c r="E782"/>
      <c r="F782" s="27" t="s">
        <v>7</v>
      </c>
      <c r="FI782" s="27" t="s">
        <v>8</v>
      </c>
      <c r="FJ782" s="27" t="s">
        <v>7</v>
      </c>
      <c r="GI782" s="27" t="s">
        <v>8</v>
      </c>
      <c r="GL782" s="27" t="s">
        <v>7</v>
      </c>
      <c r="GN782" s="27" t="s">
        <v>7</v>
      </c>
      <c r="GO782" s="27" t="s">
        <v>8</v>
      </c>
      <c r="GP782" s="27" t="s">
        <v>7</v>
      </c>
      <c r="GQ782" s="27" t="s">
        <v>8</v>
      </c>
      <c r="GT782" s="27" t="s">
        <v>7</v>
      </c>
      <c r="HA782" s="27" t="s">
        <v>8</v>
      </c>
      <c r="IZ782" s="27" t="s">
        <v>7</v>
      </c>
      <c r="JA782" s="27" t="s">
        <v>8</v>
      </c>
    </row>
    <row r="783" spans="1:394" x14ac:dyDescent="0.25">
      <c r="A783" s="7">
        <v>2.0623688223864345E-2</v>
      </c>
      <c r="B783"/>
      <c r="C783"/>
      <c r="D783"/>
      <c r="E783"/>
      <c r="F783" s="27" t="s">
        <v>7</v>
      </c>
      <c r="FI783" s="27" t="s">
        <v>8</v>
      </c>
      <c r="FJ783" s="27" t="s">
        <v>7</v>
      </c>
      <c r="GI783" s="27" t="s">
        <v>8</v>
      </c>
      <c r="GN783" s="27" t="s">
        <v>7</v>
      </c>
      <c r="GO783" s="27" t="s">
        <v>8</v>
      </c>
      <c r="GP783" s="27" t="s">
        <v>7</v>
      </c>
      <c r="GT783" s="27" t="s">
        <v>7</v>
      </c>
      <c r="GU783" s="27" t="s">
        <v>8</v>
      </c>
      <c r="GW783" s="27" t="s">
        <v>8</v>
      </c>
      <c r="GY783" s="27" t="s">
        <v>8</v>
      </c>
      <c r="HA783" s="27" t="s">
        <v>8</v>
      </c>
      <c r="IZ783" s="27" t="s">
        <v>7</v>
      </c>
      <c r="JA783" s="27" t="s">
        <v>8</v>
      </c>
    </row>
    <row r="784" spans="1:394" x14ac:dyDescent="0.25">
      <c r="A784" s="7">
        <v>2.021930218025916E-2</v>
      </c>
      <c r="B784"/>
      <c r="C784"/>
      <c r="D784"/>
      <c r="E784"/>
      <c r="F784" s="27" t="s">
        <v>7</v>
      </c>
      <c r="FI784" s="27" t="s">
        <v>8</v>
      </c>
      <c r="FJ784" s="27" t="s">
        <v>7</v>
      </c>
      <c r="GI784" s="27" t="s">
        <v>8</v>
      </c>
      <c r="GN784" s="27" t="s">
        <v>7</v>
      </c>
      <c r="GO784" s="27" t="s">
        <v>8</v>
      </c>
      <c r="GT784" s="27" t="s">
        <v>7</v>
      </c>
      <c r="GU784" s="27" t="s">
        <v>8</v>
      </c>
      <c r="GV784" s="27" t="s">
        <v>7</v>
      </c>
      <c r="GW784" s="27" t="s">
        <v>8</v>
      </c>
      <c r="GX784" s="27" t="s">
        <v>7</v>
      </c>
      <c r="GY784" s="27" t="s">
        <v>8</v>
      </c>
      <c r="GZ784" s="27" t="s">
        <v>7</v>
      </c>
      <c r="HA784" s="27" t="s">
        <v>8</v>
      </c>
      <c r="IZ784" s="27" t="s">
        <v>7</v>
      </c>
      <c r="JA784" s="27" t="s">
        <v>8</v>
      </c>
    </row>
    <row r="785" spans="1:261" x14ac:dyDescent="0.25">
      <c r="A785" s="7">
        <v>1.9822845274763884E-2</v>
      </c>
      <c r="B785"/>
      <c r="C785"/>
      <c r="D785"/>
      <c r="E785"/>
      <c r="F785" s="27" t="s">
        <v>7</v>
      </c>
      <c r="FI785" s="27" t="s">
        <v>8</v>
      </c>
      <c r="FJ785" s="27" t="s">
        <v>7</v>
      </c>
      <c r="GI785" s="27" t="s">
        <v>8</v>
      </c>
      <c r="GN785" s="27" t="s">
        <v>7</v>
      </c>
      <c r="GO785" s="27" t="s">
        <v>8</v>
      </c>
      <c r="GT785" s="27" t="s">
        <v>7</v>
      </c>
      <c r="GU785" s="27" t="s">
        <v>8</v>
      </c>
      <c r="GV785" s="27" t="s">
        <v>7</v>
      </c>
      <c r="GW785" s="27" t="s">
        <v>8</v>
      </c>
      <c r="GX785" s="27" t="s">
        <v>7</v>
      </c>
      <c r="GY785" s="27" t="s">
        <v>8</v>
      </c>
      <c r="GZ785" s="27" t="s">
        <v>7</v>
      </c>
      <c r="HA785" s="27" t="s">
        <v>8</v>
      </c>
      <c r="IZ785" s="27" t="s">
        <v>7</v>
      </c>
      <c r="JA785" s="27" t="s">
        <v>8</v>
      </c>
    </row>
    <row r="786" spans="1:261" x14ac:dyDescent="0.25">
      <c r="A786" s="7">
        <v>1.9434162034082238E-2</v>
      </c>
      <c r="B786"/>
      <c r="C786"/>
      <c r="D786"/>
      <c r="E786"/>
      <c r="F786" s="27" t="s">
        <v>7</v>
      </c>
      <c r="FI786" s="27" t="s">
        <v>8</v>
      </c>
      <c r="FJ786" s="27" t="s">
        <v>7</v>
      </c>
      <c r="GI786" s="27" t="s">
        <v>8</v>
      </c>
      <c r="GN786" s="27" t="s">
        <v>7</v>
      </c>
      <c r="GO786" s="27" t="s">
        <v>8</v>
      </c>
      <c r="GT786" s="27" t="s">
        <v>7</v>
      </c>
      <c r="GU786" s="27" t="s">
        <v>8</v>
      </c>
      <c r="GV786" s="27" t="s">
        <v>7</v>
      </c>
      <c r="GW786" s="27" t="s">
        <v>8</v>
      </c>
      <c r="GX786" s="27" t="s">
        <v>7</v>
      </c>
      <c r="GY786" s="27" t="s">
        <v>8</v>
      </c>
      <c r="GZ786" s="27" t="s">
        <v>7</v>
      </c>
      <c r="HA786" s="27" t="s">
        <v>8</v>
      </c>
      <c r="IZ786" s="27" t="s">
        <v>7</v>
      </c>
      <c r="JA786" s="27" t="s">
        <v>8</v>
      </c>
    </row>
    <row r="787" spans="1:261" x14ac:dyDescent="0.25">
      <c r="A787" s="7">
        <v>1.9053100033413959E-2</v>
      </c>
      <c r="B787"/>
      <c r="C787"/>
      <c r="D787"/>
      <c r="E787"/>
      <c r="F787" s="27" t="s">
        <v>7</v>
      </c>
      <c r="FI787" s="27" t="s">
        <v>8</v>
      </c>
      <c r="FJ787" s="27" t="s">
        <v>7</v>
      </c>
      <c r="GI787" s="27" t="s">
        <v>8</v>
      </c>
      <c r="GN787" s="27" t="s">
        <v>7</v>
      </c>
      <c r="GT787" s="27" t="s">
        <v>7</v>
      </c>
      <c r="GU787" s="27" t="s">
        <v>8</v>
      </c>
      <c r="GV787" s="27" t="s">
        <v>7</v>
      </c>
      <c r="GW787" s="27" t="s">
        <v>8</v>
      </c>
      <c r="GX787" s="27" t="s">
        <v>7</v>
      </c>
      <c r="GY787" s="27" t="s">
        <v>8</v>
      </c>
      <c r="GZ787" s="27" t="s">
        <v>7</v>
      </c>
      <c r="HA787" s="27" t="s">
        <v>8</v>
      </c>
      <c r="IZ787" s="27" t="s">
        <v>7</v>
      </c>
      <c r="JA787" s="27" t="s">
        <v>8</v>
      </c>
    </row>
    <row r="788" spans="1:261" x14ac:dyDescent="0.25">
      <c r="A788" s="7">
        <v>1.867950983668035E-2</v>
      </c>
      <c r="B788"/>
      <c r="C788"/>
      <c r="D788"/>
      <c r="E788"/>
      <c r="F788" s="27" t="s">
        <v>7</v>
      </c>
      <c r="FI788" s="27" t="s">
        <v>8</v>
      </c>
      <c r="FJ788" s="27" t="s">
        <v>7</v>
      </c>
      <c r="GI788" s="27" t="s">
        <v>8</v>
      </c>
      <c r="GT788" s="27" t="s">
        <v>7</v>
      </c>
      <c r="GU788" s="27" t="s">
        <v>8</v>
      </c>
      <c r="GV788" s="27" t="s">
        <v>7</v>
      </c>
      <c r="GW788" s="27" t="s">
        <v>8</v>
      </c>
      <c r="GX788" s="27" t="s">
        <v>7</v>
      </c>
      <c r="GY788" s="27" t="s">
        <v>8</v>
      </c>
      <c r="GZ788" s="27" t="s">
        <v>7</v>
      </c>
      <c r="HA788" s="27" t="s">
        <v>8</v>
      </c>
      <c r="IZ788" s="27" t="s">
        <v>7</v>
      </c>
      <c r="JA788" s="27" t="s">
        <v>8</v>
      </c>
    </row>
    <row r="789" spans="1:261" x14ac:dyDescent="0.25">
      <c r="A789" s="7">
        <v>1.8313244937921913E-2</v>
      </c>
      <c r="B789"/>
      <c r="C789"/>
      <c r="D789"/>
      <c r="E789"/>
      <c r="F789" s="27" t="s">
        <v>7</v>
      </c>
      <c r="FI789" s="27" t="s">
        <v>8</v>
      </c>
      <c r="FJ789" s="27" t="s">
        <v>7</v>
      </c>
      <c r="GI789" s="27" t="s">
        <v>8</v>
      </c>
      <c r="GT789" s="27" t="s">
        <v>7</v>
      </c>
      <c r="GU789" s="27" t="s">
        <v>8</v>
      </c>
      <c r="GV789" s="27" t="s">
        <v>7</v>
      </c>
      <c r="GW789" s="27" t="s">
        <v>8</v>
      </c>
      <c r="GX789" s="27" t="s">
        <v>7</v>
      </c>
      <c r="GY789" s="27" t="s">
        <v>8</v>
      </c>
      <c r="GZ789" s="27" t="s">
        <v>7</v>
      </c>
      <c r="IZ789" s="27" t="s">
        <v>7</v>
      </c>
    </row>
    <row r="790" spans="1:261" x14ac:dyDescent="0.25">
      <c r="A790" s="7">
        <v>1.7954161703845013E-2</v>
      </c>
      <c r="B790"/>
      <c r="C790"/>
      <c r="D790"/>
      <c r="E790"/>
      <c r="F790" s="27" t="s">
        <v>7</v>
      </c>
      <c r="FI790" s="27" t="s">
        <v>8</v>
      </c>
      <c r="FJ790" s="27" t="s">
        <v>7</v>
      </c>
      <c r="GI790" s="27" t="s">
        <v>8</v>
      </c>
      <c r="GT790" s="27" t="s">
        <v>7</v>
      </c>
      <c r="GU790" s="27" t="s">
        <v>8</v>
      </c>
      <c r="GV790" s="27" t="s">
        <v>7</v>
      </c>
      <c r="GW790" s="27" t="s">
        <v>8</v>
      </c>
      <c r="GX790" s="27" t="s">
        <v>7</v>
      </c>
      <c r="GY790" s="27" t="s">
        <v>8</v>
      </c>
    </row>
    <row r="791" spans="1:261" x14ac:dyDescent="0.25">
      <c r="A791" s="7">
        <v>1.7602119317495109E-2</v>
      </c>
      <c r="B791"/>
      <c r="C791"/>
      <c r="D791"/>
      <c r="E791"/>
      <c r="F791" s="27" t="s">
        <v>7</v>
      </c>
      <c r="FI791" s="27" t="s">
        <v>8</v>
      </c>
      <c r="FJ791" s="27" t="s">
        <v>7</v>
      </c>
      <c r="FY791" s="27" t="s">
        <v>8</v>
      </c>
      <c r="GI791" s="27" t="s">
        <v>8</v>
      </c>
      <c r="GT791" s="27" t="s">
        <v>7</v>
      </c>
      <c r="GU791" s="27" t="s">
        <v>8</v>
      </c>
      <c r="GV791" s="27" t="s">
        <v>7</v>
      </c>
      <c r="GW791" s="27" t="s">
        <v>8</v>
      </c>
      <c r="GX791" s="27" t="s">
        <v>7</v>
      </c>
    </row>
    <row r="792" spans="1:261" x14ac:dyDescent="0.25">
      <c r="A792" s="7">
        <v>1.7256979723034419E-2</v>
      </c>
      <c r="B792"/>
      <c r="C792"/>
      <c r="D792"/>
      <c r="E792"/>
      <c r="F792" s="27" t="s">
        <v>7</v>
      </c>
      <c r="FI792" s="27" t="s">
        <v>8</v>
      </c>
      <c r="FJ792" s="27" t="s">
        <v>7</v>
      </c>
      <c r="FW792" s="27" t="s">
        <v>8</v>
      </c>
      <c r="FY792" s="27" t="s">
        <v>8</v>
      </c>
      <c r="FZ792" s="27" t="s">
        <v>7</v>
      </c>
      <c r="GI792" s="27" t="s">
        <v>8</v>
      </c>
      <c r="GT792" s="27" t="s">
        <v>7</v>
      </c>
      <c r="GU792" s="27" t="s">
        <v>8</v>
      </c>
      <c r="GV792" s="27" t="s">
        <v>7</v>
      </c>
      <c r="GW792" s="27" t="s">
        <v>8</v>
      </c>
    </row>
    <row r="793" spans="1:261" x14ac:dyDescent="0.25">
      <c r="A793" s="7">
        <v>1.6918607571602372E-2</v>
      </c>
      <c r="B793"/>
      <c r="C793"/>
      <c r="D793"/>
      <c r="E793"/>
      <c r="F793" s="27" t="s">
        <v>7</v>
      </c>
      <c r="FI793" s="27" t="s">
        <v>8</v>
      </c>
      <c r="FJ793" s="27" t="s">
        <v>7</v>
      </c>
      <c r="FW793" s="27" t="s">
        <v>8</v>
      </c>
      <c r="FX793" s="27" t="s">
        <v>7</v>
      </c>
      <c r="FY793" s="27" t="s">
        <v>8</v>
      </c>
      <c r="FZ793" s="27" t="s">
        <v>7</v>
      </c>
      <c r="GI793" s="27" t="s">
        <v>8</v>
      </c>
      <c r="GT793" s="27" t="s">
        <v>7</v>
      </c>
      <c r="GU793" s="27" t="s">
        <v>8</v>
      </c>
      <c r="GV793" s="27" t="s">
        <v>7</v>
      </c>
      <c r="GW793" s="27" t="s">
        <v>8</v>
      </c>
    </row>
    <row r="794" spans="1:261" x14ac:dyDescent="0.25">
      <c r="A794" s="7">
        <v>1.6586870168237622E-2</v>
      </c>
      <c r="B794"/>
      <c r="C794"/>
      <c r="D794"/>
      <c r="E794"/>
      <c r="F794" s="27" t="s">
        <v>7</v>
      </c>
      <c r="FI794" s="27" t="s">
        <v>8</v>
      </c>
      <c r="FJ794" s="27" t="s">
        <v>7</v>
      </c>
      <c r="FW794" s="27" t="s">
        <v>8</v>
      </c>
      <c r="FX794" s="27" t="s">
        <v>7</v>
      </c>
      <c r="FY794" s="27" t="s">
        <v>8</v>
      </c>
      <c r="FZ794" s="27" t="s">
        <v>7</v>
      </c>
      <c r="GI794" s="27" t="s">
        <v>8</v>
      </c>
      <c r="GT794" s="27" t="s">
        <v>7</v>
      </c>
      <c r="GU794" s="27" t="s">
        <v>8</v>
      </c>
      <c r="GV794" s="27" t="s">
        <v>7</v>
      </c>
      <c r="GW794" s="27" t="s">
        <v>8</v>
      </c>
    </row>
    <row r="795" spans="1:261" x14ac:dyDescent="0.25">
      <c r="A795" s="7">
        <v>1.6261637419840807E-2</v>
      </c>
      <c r="B795"/>
      <c r="C795"/>
      <c r="D795"/>
      <c r="E795"/>
      <c r="F795" s="27" t="s">
        <v>7</v>
      </c>
      <c r="FI795" s="27" t="s">
        <v>8</v>
      </c>
      <c r="FJ795" s="27" t="s">
        <v>7</v>
      </c>
      <c r="FW795" s="27" t="s">
        <v>8</v>
      </c>
      <c r="FX795" s="27" t="s">
        <v>7</v>
      </c>
      <c r="FY795" s="27" t="s">
        <v>8</v>
      </c>
      <c r="FZ795" s="27" t="s">
        <v>7</v>
      </c>
      <c r="GI795" s="27" t="s">
        <v>8</v>
      </c>
      <c r="GT795" s="27" t="s">
        <v>7</v>
      </c>
      <c r="GU795" s="27" t="s">
        <v>8</v>
      </c>
      <c r="GV795" s="27" t="s">
        <v>7</v>
      </c>
    </row>
    <row r="796" spans="1:261" x14ac:dyDescent="0.25">
      <c r="A796" s="7">
        <v>1.5942781784157655E-2</v>
      </c>
      <c r="B796"/>
      <c r="C796"/>
      <c r="D796"/>
      <c r="E796"/>
      <c r="F796" s="27" t="s">
        <v>7</v>
      </c>
      <c r="FI796" s="27" t="s">
        <v>8</v>
      </c>
      <c r="FJ796" s="27" t="s">
        <v>7</v>
      </c>
      <c r="FK796" s="27" t="s">
        <v>8</v>
      </c>
      <c r="FW796" s="27" t="s">
        <v>8</v>
      </c>
      <c r="FX796" s="27" t="s">
        <v>7</v>
      </c>
      <c r="FY796" s="27" t="s">
        <v>8</v>
      </c>
      <c r="FZ796" s="27" t="s">
        <v>7</v>
      </c>
      <c r="GI796" s="27" t="s">
        <v>8</v>
      </c>
      <c r="GT796" s="27" t="s">
        <v>7</v>
      </c>
      <c r="GU796" s="27" t="s">
        <v>8</v>
      </c>
    </row>
    <row r="797" spans="1:261" x14ac:dyDescent="0.25">
      <c r="A797" s="7">
        <v>1.5630178219762408E-2</v>
      </c>
      <c r="B797"/>
      <c r="C797"/>
      <c r="D797"/>
      <c r="E797"/>
      <c r="F797" s="27" t="s">
        <v>7</v>
      </c>
      <c r="DE797" s="27" t="s">
        <v>8</v>
      </c>
      <c r="FI797" s="27" t="s">
        <v>8</v>
      </c>
      <c r="FJ797" s="27" t="s">
        <v>7</v>
      </c>
      <c r="FK797" s="27" t="s">
        <v>8</v>
      </c>
      <c r="FL797" s="27" t="s">
        <v>7</v>
      </c>
      <c r="FW797" s="27" t="s">
        <v>8</v>
      </c>
      <c r="FX797" s="27" t="s">
        <v>7</v>
      </c>
      <c r="FY797" s="27" t="s">
        <v>8</v>
      </c>
      <c r="FZ797" s="27" t="s">
        <v>7</v>
      </c>
      <c r="GG797" s="27" t="s">
        <v>8</v>
      </c>
      <c r="GI797" s="27" t="s">
        <v>8</v>
      </c>
      <c r="GT797" s="27" t="s">
        <v>7</v>
      </c>
    </row>
    <row r="798" spans="1:261" x14ac:dyDescent="0.25">
      <c r="A798" s="7">
        <v>1.5323704137021967E-2</v>
      </c>
      <c r="B798"/>
      <c r="C798"/>
      <c r="D798"/>
      <c r="E798"/>
      <c r="F798" s="27" t="s">
        <v>7</v>
      </c>
      <c r="DE798" s="27" t="s">
        <v>8</v>
      </c>
      <c r="DF798" s="27" t="s">
        <v>7</v>
      </c>
      <c r="FI798" s="27" t="s">
        <v>8</v>
      </c>
      <c r="FJ798" s="27" t="s">
        <v>7</v>
      </c>
      <c r="FK798" s="27" t="s">
        <v>8</v>
      </c>
      <c r="FL798" s="27" t="s">
        <v>7</v>
      </c>
      <c r="FW798" s="27" t="s">
        <v>8</v>
      </c>
      <c r="FX798" s="27" t="s">
        <v>7</v>
      </c>
      <c r="FY798" s="27" t="s">
        <v>8</v>
      </c>
      <c r="FZ798" s="27" t="s">
        <v>7</v>
      </c>
      <c r="GG798" s="27" t="s">
        <v>8</v>
      </c>
      <c r="GH798" s="27" t="s">
        <v>7</v>
      </c>
      <c r="GI798" s="27" t="s">
        <v>8</v>
      </c>
    </row>
    <row r="799" spans="1:261" x14ac:dyDescent="0.25">
      <c r="A799" s="7">
        <v>1.5023239350021535E-2</v>
      </c>
      <c r="B799"/>
      <c r="C799"/>
      <c r="D799"/>
      <c r="E799"/>
      <c r="F799" s="27" t="s">
        <v>7</v>
      </c>
      <c r="DE799" s="27" t="s">
        <v>8</v>
      </c>
      <c r="DF799" s="27" t="s">
        <v>7</v>
      </c>
      <c r="FI799" s="27" t="s">
        <v>8</v>
      </c>
      <c r="FJ799" s="27" t="s">
        <v>7</v>
      </c>
      <c r="FK799" s="27" t="s">
        <v>8</v>
      </c>
      <c r="FL799" s="27" t="s">
        <v>7</v>
      </c>
      <c r="FW799" s="27" t="s">
        <v>8</v>
      </c>
      <c r="FX799" s="27" t="s">
        <v>7</v>
      </c>
      <c r="FY799" s="27" t="s">
        <v>8</v>
      </c>
      <c r="FZ799" s="27" t="s">
        <v>7</v>
      </c>
      <c r="GG799" s="27" t="s">
        <v>8</v>
      </c>
      <c r="GH799" s="27" t="s">
        <v>7</v>
      </c>
      <c r="GI799" s="27" t="s">
        <v>8</v>
      </c>
    </row>
    <row r="800" spans="1:261" x14ac:dyDescent="0.25">
      <c r="A800" s="7">
        <v>1.4728666029432878E-2</v>
      </c>
      <c r="B800"/>
      <c r="C800"/>
      <c r="D800"/>
      <c r="E800"/>
      <c r="F800" s="27" t="s">
        <v>7</v>
      </c>
      <c r="DE800" s="27" t="s">
        <v>8</v>
      </c>
      <c r="DF800" s="27" t="s">
        <v>7</v>
      </c>
      <c r="FI800" s="27" t="s">
        <v>8</v>
      </c>
      <c r="FJ800" s="27" t="s">
        <v>7</v>
      </c>
      <c r="FK800" s="27" t="s">
        <v>8</v>
      </c>
      <c r="FL800" s="27" t="s">
        <v>7</v>
      </c>
      <c r="FW800" s="27" t="s">
        <v>8</v>
      </c>
      <c r="FX800" s="27" t="s">
        <v>7</v>
      </c>
      <c r="FY800" s="27" t="s">
        <v>8</v>
      </c>
      <c r="FZ800" s="27" t="s">
        <v>7</v>
      </c>
      <c r="GG800" s="27" t="s">
        <v>8</v>
      </c>
      <c r="GH800" s="27" t="s">
        <v>7</v>
      </c>
    </row>
    <row r="801" spans="1:189" x14ac:dyDescent="0.25">
      <c r="A801" s="7">
        <v>1.4439868656306743E-2</v>
      </c>
      <c r="B801"/>
      <c r="C801"/>
      <c r="D801"/>
      <c r="E801"/>
      <c r="F801" s="27" t="s">
        <v>7</v>
      </c>
      <c r="DE801" s="27" t="s">
        <v>8</v>
      </c>
      <c r="DF801" s="27" t="s">
        <v>7</v>
      </c>
      <c r="FI801" s="27" t="s">
        <v>8</v>
      </c>
      <c r="FJ801" s="27" t="s">
        <v>7</v>
      </c>
      <c r="FK801" s="27" t="s">
        <v>8</v>
      </c>
      <c r="FL801" s="27" t="s">
        <v>7</v>
      </c>
      <c r="FW801" s="27" t="s">
        <v>8</v>
      </c>
      <c r="FX801" s="27" t="s">
        <v>7</v>
      </c>
      <c r="FY801" s="27" t="s">
        <v>8</v>
      </c>
      <c r="FZ801" s="27" t="s">
        <v>7</v>
      </c>
      <c r="GE801" s="27" t="s">
        <v>8</v>
      </c>
      <c r="GG801" s="27" t="s">
        <v>8</v>
      </c>
    </row>
    <row r="802" spans="1:189" x14ac:dyDescent="0.25">
      <c r="A802" s="7">
        <v>1.4156733976771318E-2</v>
      </c>
      <c r="B802"/>
      <c r="C802"/>
      <c r="D802"/>
      <c r="E802"/>
      <c r="F802" s="27" t="s">
        <v>7</v>
      </c>
      <c r="DE802" s="27" t="s">
        <v>8</v>
      </c>
      <c r="DF802" s="27" t="s">
        <v>7</v>
      </c>
      <c r="FI802" s="27" t="s">
        <v>8</v>
      </c>
      <c r="FJ802" s="27" t="s">
        <v>7</v>
      </c>
      <c r="FK802" s="27" t="s">
        <v>8</v>
      </c>
      <c r="FL802" s="27" t="s">
        <v>7</v>
      </c>
      <c r="FW802" s="27" t="s">
        <v>8</v>
      </c>
      <c r="FX802" s="27" t="s">
        <v>7</v>
      </c>
      <c r="FY802" s="27" t="s">
        <v>8</v>
      </c>
      <c r="FZ802" s="27" t="s">
        <v>7</v>
      </c>
      <c r="GE802" s="27" t="s">
        <v>8</v>
      </c>
      <c r="GF802" s="27" t="s">
        <v>7</v>
      </c>
      <c r="GG802" s="27" t="s">
        <v>8</v>
      </c>
    </row>
    <row r="803" spans="1:189" x14ac:dyDescent="0.25">
      <c r="A803" s="7">
        <v>1.3879150957618939E-2</v>
      </c>
      <c r="B803"/>
      <c r="C803"/>
      <c r="D803"/>
      <c r="E803"/>
      <c r="F803" s="27" t="s">
        <v>7</v>
      </c>
      <c r="DE803" s="27" t="s">
        <v>8</v>
      </c>
      <c r="DF803" s="27" t="s">
        <v>7</v>
      </c>
      <c r="FI803" s="27" t="s">
        <v>8</v>
      </c>
      <c r="FJ803" s="27" t="s">
        <v>7</v>
      </c>
      <c r="FK803" s="27" t="s">
        <v>8</v>
      </c>
      <c r="FL803" s="27" t="s">
        <v>7</v>
      </c>
      <c r="FM803" s="27" t="s">
        <v>8</v>
      </c>
      <c r="FW803" s="27" t="s">
        <v>8</v>
      </c>
      <c r="FX803" s="27" t="s">
        <v>7</v>
      </c>
      <c r="FY803" s="27" t="s">
        <v>8</v>
      </c>
      <c r="FZ803" s="27" t="s">
        <v>7</v>
      </c>
      <c r="GE803" s="27" t="s">
        <v>8</v>
      </c>
      <c r="GF803" s="27" t="s">
        <v>7</v>
      </c>
      <c r="GG803" s="27" t="s">
        <v>8</v>
      </c>
    </row>
    <row r="804" spans="1:189" x14ac:dyDescent="0.25">
      <c r="A804" s="7">
        <v>1.3607010742763666E-2</v>
      </c>
      <c r="B804"/>
      <c r="C804"/>
      <c r="D804"/>
      <c r="E804"/>
      <c r="F804" s="27" t="s">
        <v>7</v>
      </c>
      <c r="DE804" s="27" t="s">
        <v>8</v>
      </c>
      <c r="DF804" s="27" t="s">
        <v>7</v>
      </c>
      <c r="FI804" s="27" t="s">
        <v>8</v>
      </c>
      <c r="FJ804" s="27" t="s">
        <v>7</v>
      </c>
      <c r="FK804" s="27" t="s">
        <v>8</v>
      </c>
      <c r="FL804" s="27" t="s">
        <v>7</v>
      </c>
      <c r="FM804" s="27" t="s">
        <v>8</v>
      </c>
      <c r="FN804" s="27" t="s">
        <v>7</v>
      </c>
      <c r="FW804" s="27" t="s">
        <v>8</v>
      </c>
      <c r="FX804" s="27" t="s">
        <v>7</v>
      </c>
      <c r="FY804" s="27" t="s">
        <v>8</v>
      </c>
      <c r="FZ804" s="27" t="s">
        <v>7</v>
      </c>
      <c r="GE804" s="27" t="s">
        <v>8</v>
      </c>
      <c r="GF804" s="27" t="s">
        <v>7</v>
      </c>
      <c r="GG804" s="27" t="s">
        <v>8</v>
      </c>
    </row>
    <row r="805" spans="1:189" x14ac:dyDescent="0.25">
      <c r="A805" s="7">
        <v>1.3340206610552614E-2</v>
      </c>
      <c r="B805"/>
      <c r="C805"/>
      <c r="D805"/>
      <c r="E805"/>
      <c r="F805" s="27" t="s">
        <v>7</v>
      </c>
      <c r="DE805" s="27" t="s">
        <v>8</v>
      </c>
      <c r="DF805" s="27" t="s">
        <v>7</v>
      </c>
      <c r="FI805" s="27" t="s">
        <v>8</v>
      </c>
      <c r="FJ805" s="27" t="s">
        <v>7</v>
      </c>
      <c r="FK805" s="27" t="s">
        <v>8</v>
      </c>
      <c r="FL805" s="27" t="s">
        <v>7</v>
      </c>
      <c r="FM805" s="27" t="s">
        <v>8</v>
      </c>
      <c r="FN805" s="27" t="s">
        <v>7</v>
      </c>
      <c r="FS805" s="27" t="s">
        <v>8</v>
      </c>
      <c r="FW805" s="27" t="s">
        <v>8</v>
      </c>
      <c r="FX805" s="27" t="s">
        <v>7</v>
      </c>
      <c r="FY805" s="27" t="s">
        <v>8</v>
      </c>
      <c r="FZ805" s="27" t="s">
        <v>7</v>
      </c>
      <c r="GE805" s="27" t="s">
        <v>8</v>
      </c>
      <c r="GF805" s="27" t="s">
        <v>7</v>
      </c>
      <c r="GG805" s="27" t="s">
        <v>8</v>
      </c>
    </row>
    <row r="806" spans="1:189" x14ac:dyDescent="0.25">
      <c r="A806" s="7">
        <v>1.3078633931914328E-2</v>
      </c>
      <c r="B806"/>
      <c r="C806"/>
      <c r="D806"/>
      <c r="E806"/>
      <c r="F806" s="27" t="s">
        <v>7</v>
      </c>
      <c r="DE806" s="27" t="s">
        <v>8</v>
      </c>
      <c r="DF806" s="27" t="s">
        <v>7</v>
      </c>
      <c r="FI806" s="27" t="s">
        <v>8</v>
      </c>
      <c r="FJ806" s="27" t="s">
        <v>7</v>
      </c>
      <c r="FK806" s="27" t="s">
        <v>8</v>
      </c>
      <c r="FL806" s="27" t="s">
        <v>7</v>
      </c>
      <c r="FM806" s="27" t="s">
        <v>8</v>
      </c>
      <c r="FN806" s="27" t="s">
        <v>7</v>
      </c>
      <c r="FS806" s="27" t="s">
        <v>8</v>
      </c>
      <c r="FT806" s="27" t="s">
        <v>7</v>
      </c>
      <c r="FW806" s="27" t="s">
        <v>8</v>
      </c>
      <c r="FX806" s="27" t="s">
        <v>7</v>
      </c>
      <c r="FY806" s="27" t="s">
        <v>8</v>
      </c>
      <c r="FZ806" s="27" t="s">
        <v>7</v>
      </c>
      <c r="GA806" s="27" t="s">
        <v>8</v>
      </c>
      <c r="GE806" s="27" t="s">
        <v>8</v>
      </c>
      <c r="GF806" s="27" t="s">
        <v>7</v>
      </c>
    </row>
    <row r="807" spans="1:189" x14ac:dyDescent="0.25">
      <c r="A807" s="7">
        <v>1.2822190129327771E-2</v>
      </c>
      <c r="B807"/>
      <c r="C807"/>
      <c r="D807"/>
      <c r="E807"/>
      <c r="F807" s="27" t="s">
        <v>7</v>
      </c>
      <c r="Q807" s="27" t="s">
        <v>8</v>
      </c>
      <c r="DE807" s="27" t="s">
        <v>8</v>
      </c>
      <c r="DF807" s="27" t="s">
        <v>7</v>
      </c>
      <c r="FI807" s="27" t="s">
        <v>8</v>
      </c>
      <c r="FJ807" s="27" t="s">
        <v>7</v>
      </c>
      <c r="FK807" s="27" t="s">
        <v>8</v>
      </c>
      <c r="FL807" s="27" t="s">
        <v>7</v>
      </c>
      <c r="FM807" s="27" t="s">
        <v>8</v>
      </c>
      <c r="FN807" s="27" t="s">
        <v>7</v>
      </c>
      <c r="FS807" s="27" t="s">
        <v>8</v>
      </c>
      <c r="FT807" s="27" t="s">
        <v>7</v>
      </c>
      <c r="FW807" s="27" t="s">
        <v>8</v>
      </c>
      <c r="FX807" s="27" t="s">
        <v>7</v>
      </c>
      <c r="FY807" s="27" t="s">
        <v>8</v>
      </c>
      <c r="FZ807" s="27" t="s">
        <v>7</v>
      </c>
      <c r="GA807" s="27" t="s">
        <v>8</v>
      </c>
      <c r="GB807" s="27" t="s">
        <v>7</v>
      </c>
      <c r="GE807" s="27" t="s">
        <v>8</v>
      </c>
    </row>
    <row r="808" spans="1:189" x14ac:dyDescent="0.25">
      <c r="A808" s="7">
        <v>1.2570774636595854E-2</v>
      </c>
      <c r="B808"/>
      <c r="C808"/>
      <c r="D808"/>
      <c r="E808"/>
      <c r="F808" s="27" t="s">
        <v>7</v>
      </c>
      <c r="Q808" s="27" t="s">
        <v>8</v>
      </c>
      <c r="R808" s="27" t="s">
        <v>7</v>
      </c>
      <c r="DE808" s="27" t="s">
        <v>8</v>
      </c>
      <c r="DF808" s="27" t="s">
        <v>7</v>
      </c>
      <c r="FI808" s="27" t="s">
        <v>8</v>
      </c>
      <c r="FJ808" s="27" t="s">
        <v>7</v>
      </c>
      <c r="FK808" s="27" t="s">
        <v>8</v>
      </c>
      <c r="FL808" s="27" t="s">
        <v>7</v>
      </c>
      <c r="FM808" s="27" t="s">
        <v>8</v>
      </c>
      <c r="FN808" s="27" t="s">
        <v>7</v>
      </c>
      <c r="FS808" s="27" t="s">
        <v>8</v>
      </c>
      <c r="FT808" s="27" t="s">
        <v>7</v>
      </c>
      <c r="FW808" s="27" t="s">
        <v>8</v>
      </c>
      <c r="FX808" s="27" t="s">
        <v>7</v>
      </c>
      <c r="FZ808" s="27" t="s">
        <v>7</v>
      </c>
      <c r="GA808" s="27" t="s">
        <v>8</v>
      </c>
      <c r="GB808" s="27" t="s">
        <v>7</v>
      </c>
      <c r="GC808" s="27" t="s">
        <v>8</v>
      </c>
      <c r="GE808" s="27" t="s">
        <v>8</v>
      </c>
    </row>
    <row r="809" spans="1:189" x14ac:dyDescent="0.25">
      <c r="A809" s="7">
        <v>1.23242888594077E-2</v>
      </c>
      <c r="B809"/>
      <c r="C809"/>
      <c r="D809"/>
      <c r="E809"/>
      <c r="F809" s="27" t="s">
        <v>7</v>
      </c>
      <c r="Q809" s="27" t="s">
        <v>8</v>
      </c>
      <c r="R809" s="27" t="s">
        <v>7</v>
      </c>
      <c r="DE809" s="27" t="s">
        <v>8</v>
      </c>
      <c r="DF809" s="27" t="s">
        <v>7</v>
      </c>
      <c r="FI809" s="27" t="s">
        <v>8</v>
      </c>
      <c r="FJ809" s="27" t="s">
        <v>7</v>
      </c>
      <c r="FK809" s="27" t="s">
        <v>8</v>
      </c>
      <c r="FL809" s="27" t="s">
        <v>7</v>
      </c>
      <c r="FM809" s="27" t="s">
        <v>8</v>
      </c>
      <c r="FN809" s="27" t="s">
        <v>7</v>
      </c>
      <c r="FS809" s="27" t="s">
        <v>8</v>
      </c>
      <c r="FT809" s="27" t="s">
        <v>7</v>
      </c>
      <c r="FW809" s="27" t="s">
        <v>8</v>
      </c>
      <c r="FZ809" s="27" t="s">
        <v>7</v>
      </c>
      <c r="GA809" s="27" t="s">
        <v>8</v>
      </c>
      <c r="GB809" s="27" t="s">
        <v>7</v>
      </c>
      <c r="GC809" s="27" t="s">
        <v>8</v>
      </c>
      <c r="GD809" s="27" t="s">
        <v>7</v>
      </c>
      <c r="GE809" s="27" t="s">
        <v>8</v>
      </c>
    </row>
    <row r="810" spans="1:189" x14ac:dyDescent="0.25">
      <c r="A810" s="7">
        <v>1.2082636136674216E-2</v>
      </c>
      <c r="B810"/>
      <c r="C810"/>
      <c r="D810"/>
      <c r="E810"/>
      <c r="F810" s="27" t="s">
        <v>7</v>
      </c>
      <c r="Q810" s="27" t="s">
        <v>8</v>
      </c>
      <c r="R810" s="27" t="s">
        <v>7</v>
      </c>
      <c r="DC810" s="27" t="s">
        <v>8</v>
      </c>
      <c r="DE810" s="27" t="s">
        <v>8</v>
      </c>
      <c r="DF810" s="27" t="s">
        <v>7</v>
      </c>
      <c r="FI810" s="27" t="s">
        <v>8</v>
      </c>
      <c r="FJ810" s="27" t="s">
        <v>7</v>
      </c>
      <c r="FK810" s="27" t="s">
        <v>8</v>
      </c>
      <c r="FL810" s="27" t="s">
        <v>7</v>
      </c>
      <c r="FM810" s="27" t="s">
        <v>8</v>
      </c>
      <c r="FN810" s="27" t="s">
        <v>7</v>
      </c>
      <c r="FS810" s="27" t="s">
        <v>8</v>
      </c>
      <c r="FT810" s="27" t="s">
        <v>7</v>
      </c>
      <c r="FW810" s="27" t="s">
        <v>8</v>
      </c>
      <c r="FZ810" s="27" t="s">
        <v>7</v>
      </c>
      <c r="GA810" s="27" t="s">
        <v>8</v>
      </c>
      <c r="GB810" s="27" t="s">
        <v>7</v>
      </c>
      <c r="GC810" s="27" t="s">
        <v>8</v>
      </c>
      <c r="GD810" s="27" t="s">
        <v>7</v>
      </c>
      <c r="GE810" s="27" t="s">
        <v>8</v>
      </c>
    </row>
    <row r="811" spans="1:189" x14ac:dyDescent="0.25">
      <c r="A811" s="7">
        <v>1.184572170262178E-2</v>
      </c>
      <c r="B811"/>
      <c r="C811"/>
      <c r="D811"/>
      <c r="E811"/>
      <c r="F811" s="27" t="s">
        <v>7</v>
      </c>
      <c r="Q811" s="27" t="s">
        <v>8</v>
      </c>
      <c r="R811" s="27" t="s">
        <v>7</v>
      </c>
      <c r="DC811" s="27" t="s">
        <v>8</v>
      </c>
      <c r="DD811" s="27" t="s">
        <v>7</v>
      </c>
      <c r="DE811" s="27" t="s">
        <v>8</v>
      </c>
      <c r="DF811" s="27" t="s">
        <v>7</v>
      </c>
      <c r="FI811" s="27" t="s">
        <v>8</v>
      </c>
      <c r="FJ811" s="27" t="s">
        <v>7</v>
      </c>
      <c r="FK811" s="27" t="s">
        <v>8</v>
      </c>
      <c r="FL811" s="27" t="s">
        <v>7</v>
      </c>
      <c r="FM811" s="27" t="s">
        <v>8</v>
      </c>
      <c r="FN811" s="27" t="s">
        <v>7</v>
      </c>
      <c r="FS811" s="27" t="s">
        <v>8</v>
      </c>
      <c r="FT811" s="27" t="s">
        <v>7</v>
      </c>
      <c r="FW811" s="27" t="s">
        <v>8</v>
      </c>
      <c r="FZ811" s="27" t="s">
        <v>7</v>
      </c>
      <c r="GA811" s="27" t="s">
        <v>8</v>
      </c>
      <c r="GB811" s="27" t="s">
        <v>7</v>
      </c>
      <c r="GD811" s="27" t="s">
        <v>7</v>
      </c>
      <c r="GE811" s="27" t="s">
        <v>8</v>
      </c>
    </row>
    <row r="812" spans="1:189" x14ac:dyDescent="0.25">
      <c r="A812" s="7">
        <v>1.1613452649629196E-2</v>
      </c>
      <c r="B812"/>
      <c r="C812"/>
      <c r="D812"/>
      <c r="E812"/>
      <c r="F812" s="27" t="s">
        <v>7</v>
      </c>
      <c r="Q812" s="27" t="s">
        <v>8</v>
      </c>
      <c r="R812" s="27" t="s">
        <v>7</v>
      </c>
      <c r="S812" s="27" t="s">
        <v>8</v>
      </c>
      <c r="DC812" s="27" t="s">
        <v>8</v>
      </c>
      <c r="DD812" s="27" t="s">
        <v>7</v>
      </c>
      <c r="DE812" s="27" t="s">
        <v>8</v>
      </c>
      <c r="DF812" s="27" t="s">
        <v>7</v>
      </c>
      <c r="FI812" s="27" t="s">
        <v>8</v>
      </c>
      <c r="FJ812" s="27" t="s">
        <v>7</v>
      </c>
      <c r="FK812" s="27" t="s">
        <v>8</v>
      </c>
      <c r="FL812" s="27" t="s">
        <v>7</v>
      </c>
      <c r="FM812" s="27" t="s">
        <v>8</v>
      </c>
      <c r="FN812" s="27" t="s">
        <v>7</v>
      </c>
      <c r="FS812" s="27" t="s">
        <v>8</v>
      </c>
      <c r="FT812" s="27" t="s">
        <v>7</v>
      </c>
      <c r="FW812" s="27" t="s">
        <v>8</v>
      </c>
      <c r="FZ812" s="27" t="s">
        <v>7</v>
      </c>
      <c r="GA812" s="27" t="s">
        <v>8</v>
      </c>
      <c r="GD812" s="27" t="s">
        <v>7</v>
      </c>
      <c r="GE812" s="27" t="s">
        <v>8</v>
      </c>
    </row>
    <row r="813" spans="1:189" x14ac:dyDescent="0.25">
      <c r="A813" s="7">
        <v>1.138573789179333E-2</v>
      </c>
      <c r="B813"/>
      <c r="C813"/>
      <c r="D813"/>
      <c r="E813"/>
      <c r="F813" s="27" t="s">
        <v>7</v>
      </c>
      <c r="Q813" s="27" t="s">
        <v>8</v>
      </c>
      <c r="R813" s="27" t="s">
        <v>7</v>
      </c>
      <c r="S813" s="27" t="s">
        <v>8</v>
      </c>
      <c r="T813" s="27" t="s">
        <v>7</v>
      </c>
      <c r="CE813" s="27" t="s">
        <v>8</v>
      </c>
      <c r="CS813" s="27" t="s">
        <v>8</v>
      </c>
      <c r="CU813" s="27" t="s">
        <v>8</v>
      </c>
      <c r="DC813" s="27" t="s">
        <v>8</v>
      </c>
      <c r="DD813" s="27" t="s">
        <v>7</v>
      </c>
      <c r="DE813" s="27" t="s">
        <v>8</v>
      </c>
      <c r="DF813" s="27" t="s">
        <v>7</v>
      </c>
      <c r="FI813" s="27" t="s">
        <v>8</v>
      </c>
      <c r="FJ813" s="27" t="s">
        <v>7</v>
      </c>
      <c r="FK813" s="27" t="s">
        <v>8</v>
      </c>
      <c r="FL813" s="27" t="s">
        <v>7</v>
      </c>
      <c r="FM813" s="27" t="s">
        <v>8</v>
      </c>
      <c r="FN813" s="27" t="s">
        <v>7</v>
      </c>
      <c r="FO813" s="27" t="s">
        <v>8</v>
      </c>
      <c r="FS813" s="27" t="s">
        <v>8</v>
      </c>
      <c r="FT813" s="27" t="s">
        <v>7</v>
      </c>
      <c r="FW813" s="27" t="s">
        <v>8</v>
      </c>
      <c r="FZ813" s="27" t="s">
        <v>7</v>
      </c>
      <c r="GD813" s="27" t="s">
        <v>7</v>
      </c>
      <c r="GE813" s="27" t="s">
        <v>8</v>
      </c>
    </row>
    <row r="814" spans="1:189" x14ac:dyDescent="0.25">
      <c r="A814" s="7">
        <v>1.1162488129209149E-2</v>
      </c>
      <c r="B814"/>
      <c r="C814"/>
      <c r="D814"/>
      <c r="E814"/>
      <c r="F814" s="27" t="s">
        <v>7</v>
      </c>
      <c r="Q814" s="27" t="s">
        <v>8</v>
      </c>
      <c r="R814" s="27" t="s">
        <v>7</v>
      </c>
      <c r="S814" s="27" t="s">
        <v>8</v>
      </c>
      <c r="T814" s="27" t="s">
        <v>7</v>
      </c>
      <c r="CE814" s="27" t="s">
        <v>8</v>
      </c>
      <c r="CF814" s="27" t="s">
        <v>7</v>
      </c>
      <c r="CS814" s="27" t="s">
        <v>8</v>
      </c>
      <c r="CT814" s="27" t="s">
        <v>7</v>
      </c>
      <c r="CU814" s="27" t="s">
        <v>8</v>
      </c>
      <c r="CV814" s="27" t="s">
        <v>7</v>
      </c>
      <c r="DC814" s="27" t="s">
        <v>8</v>
      </c>
      <c r="DD814" s="27" t="s">
        <v>7</v>
      </c>
      <c r="DF814" s="27" t="s">
        <v>7</v>
      </c>
      <c r="FI814" s="27" t="s">
        <v>8</v>
      </c>
      <c r="FJ814" s="27" t="s">
        <v>7</v>
      </c>
      <c r="FK814" s="27" t="s">
        <v>8</v>
      </c>
      <c r="FL814" s="27" t="s">
        <v>7</v>
      </c>
      <c r="FM814" s="27" t="s">
        <v>8</v>
      </c>
      <c r="FN814" s="27" t="s">
        <v>7</v>
      </c>
      <c r="FO814" s="27" t="s">
        <v>8</v>
      </c>
      <c r="FP814" s="27" t="s">
        <v>7</v>
      </c>
      <c r="FS814" s="27" t="s">
        <v>8</v>
      </c>
      <c r="FT814" s="27" t="s">
        <v>7</v>
      </c>
      <c r="FW814" s="27" t="s">
        <v>8</v>
      </c>
      <c r="GD814" s="27" t="s">
        <v>7</v>
      </c>
      <c r="GE814" s="27" t="s">
        <v>8</v>
      </c>
    </row>
    <row r="815" spans="1:189" x14ac:dyDescent="0.25">
      <c r="A815" s="7">
        <v>1.0943615812950145E-2</v>
      </c>
      <c r="B815"/>
      <c r="C815"/>
      <c r="D815"/>
      <c r="E815"/>
      <c r="F815" s="27" t="s">
        <v>7</v>
      </c>
      <c r="Q815" s="27" t="s">
        <v>8</v>
      </c>
      <c r="R815" s="27" t="s">
        <v>7</v>
      </c>
      <c r="S815" s="27" t="s">
        <v>8</v>
      </c>
      <c r="T815" s="27" t="s">
        <v>7</v>
      </c>
      <c r="BO815" s="27" t="s">
        <v>8</v>
      </c>
      <c r="CE815" s="27" t="s">
        <v>8</v>
      </c>
      <c r="CF815" s="27" t="s">
        <v>7</v>
      </c>
      <c r="CS815" s="27" t="s">
        <v>8</v>
      </c>
      <c r="CT815" s="27" t="s">
        <v>7</v>
      </c>
      <c r="CU815" s="27" t="s">
        <v>8</v>
      </c>
      <c r="CV815" s="27" t="s">
        <v>7</v>
      </c>
      <c r="DA815" s="27" t="s">
        <v>8</v>
      </c>
      <c r="DC815" s="27" t="s">
        <v>8</v>
      </c>
      <c r="DF815" s="27" t="s">
        <v>7</v>
      </c>
      <c r="FI815" s="27" t="s">
        <v>8</v>
      </c>
      <c r="FJ815" s="27" t="s">
        <v>7</v>
      </c>
      <c r="FK815" s="27" t="s">
        <v>8</v>
      </c>
      <c r="FL815" s="27" t="s">
        <v>7</v>
      </c>
      <c r="FM815" s="27" t="s">
        <v>8</v>
      </c>
      <c r="FN815" s="27" t="s">
        <v>7</v>
      </c>
      <c r="FO815" s="27" t="s">
        <v>8</v>
      </c>
      <c r="FP815" s="27" t="s">
        <v>7</v>
      </c>
      <c r="FS815" s="27" t="s">
        <v>8</v>
      </c>
      <c r="FT815" s="27" t="s">
        <v>7</v>
      </c>
      <c r="FW815" s="27" t="s">
        <v>8</v>
      </c>
      <c r="GD815" s="27" t="s">
        <v>7</v>
      </c>
      <c r="GE815" s="27" t="s">
        <v>8</v>
      </c>
    </row>
    <row r="816" spans="1:189" x14ac:dyDescent="0.25">
      <c r="A816" s="7">
        <v>1.0729035110735436E-2</v>
      </c>
      <c r="B816"/>
      <c r="C816"/>
      <c r="D816"/>
      <c r="E816"/>
      <c r="F816" s="27" t="s">
        <v>7</v>
      </c>
      <c r="Q816" s="27" t="s">
        <v>8</v>
      </c>
      <c r="R816" s="27" t="s">
        <v>7</v>
      </c>
      <c r="S816" s="27" t="s">
        <v>8</v>
      </c>
      <c r="T816" s="27" t="s">
        <v>7</v>
      </c>
      <c r="BO816" s="27" t="s">
        <v>8</v>
      </c>
      <c r="BP816" s="27" t="s">
        <v>7</v>
      </c>
      <c r="CE816" s="27" t="s">
        <v>8</v>
      </c>
      <c r="CF816" s="27" t="s">
        <v>7</v>
      </c>
      <c r="CG816" s="27" t="s">
        <v>8</v>
      </c>
      <c r="CQ816" s="27" t="s">
        <v>8</v>
      </c>
      <c r="CS816" s="27" t="s">
        <v>8</v>
      </c>
      <c r="CT816" s="27" t="s">
        <v>7</v>
      </c>
      <c r="CU816" s="27" t="s">
        <v>8</v>
      </c>
      <c r="CV816" s="27" t="s">
        <v>7</v>
      </c>
      <c r="DA816" s="27" t="s">
        <v>8</v>
      </c>
      <c r="DB816" s="27" t="s">
        <v>7</v>
      </c>
      <c r="DC816" s="27" t="s">
        <v>8</v>
      </c>
      <c r="DF816" s="27" t="s">
        <v>7</v>
      </c>
      <c r="FI816" s="27" t="s">
        <v>8</v>
      </c>
      <c r="FJ816" s="27" t="s">
        <v>7</v>
      </c>
      <c r="FK816" s="27" t="s">
        <v>8</v>
      </c>
      <c r="FL816" s="27" t="s">
        <v>7</v>
      </c>
      <c r="FM816" s="27" t="s">
        <v>8</v>
      </c>
      <c r="FN816" s="27" t="s">
        <v>7</v>
      </c>
      <c r="FO816" s="27" t="s">
        <v>8</v>
      </c>
      <c r="FP816" s="27" t="s">
        <v>7</v>
      </c>
      <c r="FS816" s="27" t="s">
        <v>8</v>
      </c>
      <c r="FT816" s="27" t="s">
        <v>7</v>
      </c>
      <c r="FW816" s="27" t="s">
        <v>8</v>
      </c>
      <c r="GD816" s="27" t="s">
        <v>7</v>
      </c>
      <c r="GE816" s="27" t="s">
        <v>8</v>
      </c>
    </row>
    <row r="817" spans="1:187" x14ac:dyDescent="0.25">
      <c r="A817" s="7">
        <v>1.0518661873270036E-2</v>
      </c>
      <c r="B817"/>
      <c r="C817"/>
      <c r="D817"/>
      <c r="E817"/>
      <c r="F817" s="27" t="s">
        <v>7</v>
      </c>
      <c r="Q817" s="27" t="s">
        <v>8</v>
      </c>
      <c r="R817" s="27" t="s">
        <v>7</v>
      </c>
      <c r="S817" s="27" t="s">
        <v>8</v>
      </c>
      <c r="T817" s="27" t="s">
        <v>7</v>
      </c>
      <c r="BO817" s="27" t="s">
        <v>8</v>
      </c>
      <c r="BP817" s="27" t="s">
        <v>7</v>
      </c>
      <c r="CE817" s="27" t="s">
        <v>8</v>
      </c>
      <c r="CF817" s="27" t="s">
        <v>7</v>
      </c>
      <c r="CG817" s="27" t="s">
        <v>8</v>
      </c>
      <c r="CH817" s="27" t="s">
        <v>7</v>
      </c>
      <c r="CQ817" s="27" t="s">
        <v>8</v>
      </c>
      <c r="CR817" s="27" t="s">
        <v>7</v>
      </c>
      <c r="CS817" s="27" t="s">
        <v>8</v>
      </c>
      <c r="CT817" s="27" t="s">
        <v>7</v>
      </c>
      <c r="CV817" s="27" t="s">
        <v>7</v>
      </c>
      <c r="CW817" s="27" t="s">
        <v>8</v>
      </c>
      <c r="DA817" s="27" t="s">
        <v>8</v>
      </c>
      <c r="DB817" s="27" t="s">
        <v>7</v>
      </c>
      <c r="DC817" s="27" t="s">
        <v>8</v>
      </c>
      <c r="DF817" s="27" t="s">
        <v>7</v>
      </c>
      <c r="DO817" s="27" t="s">
        <v>8</v>
      </c>
      <c r="FI817" s="27" t="s">
        <v>8</v>
      </c>
      <c r="FJ817" s="27" t="s">
        <v>7</v>
      </c>
      <c r="FK817" s="27" t="s">
        <v>8</v>
      </c>
      <c r="FL817" s="27" t="s">
        <v>7</v>
      </c>
      <c r="FM817" s="27" t="s">
        <v>8</v>
      </c>
      <c r="FN817" s="27" t="s">
        <v>7</v>
      </c>
      <c r="FO817" s="27" t="s">
        <v>8</v>
      </c>
      <c r="FP817" s="27" t="s">
        <v>7</v>
      </c>
      <c r="FS817" s="27" t="s">
        <v>8</v>
      </c>
      <c r="FT817" s="27" t="s">
        <v>7</v>
      </c>
      <c r="FU817" s="27" t="s">
        <v>8</v>
      </c>
      <c r="FW817" s="27" t="s">
        <v>8</v>
      </c>
      <c r="GD817" s="27" t="s">
        <v>7</v>
      </c>
      <c r="GE817" s="27" t="s">
        <v>8</v>
      </c>
    </row>
    <row r="818" spans="1:187" x14ac:dyDescent="0.25">
      <c r="A818" s="7">
        <v>1.0312413601245135E-2</v>
      </c>
      <c r="B818"/>
      <c r="C818"/>
      <c r="D818"/>
      <c r="E818"/>
      <c r="F818" s="27" t="s">
        <v>7</v>
      </c>
      <c r="Q818" s="27" t="s">
        <v>8</v>
      </c>
      <c r="R818" s="27" t="s">
        <v>7</v>
      </c>
      <c r="S818" s="27" t="s">
        <v>8</v>
      </c>
      <c r="T818" s="27" t="s">
        <v>7</v>
      </c>
      <c r="U818" s="27" t="s">
        <v>8</v>
      </c>
      <c r="BO818" s="27" t="s">
        <v>8</v>
      </c>
      <c r="BP818" s="27" t="s">
        <v>7</v>
      </c>
      <c r="CE818" s="27" t="s">
        <v>8</v>
      </c>
      <c r="CF818" s="27" t="s">
        <v>7</v>
      </c>
      <c r="CG818" s="27" t="s">
        <v>8</v>
      </c>
      <c r="CH818" s="27" t="s">
        <v>7</v>
      </c>
      <c r="CQ818" s="27" t="s">
        <v>8</v>
      </c>
      <c r="CR818" s="27" t="s">
        <v>7</v>
      </c>
      <c r="CS818" s="27" t="s">
        <v>8</v>
      </c>
      <c r="CV818" s="27" t="s">
        <v>7</v>
      </c>
      <c r="CW818" s="27" t="s">
        <v>8</v>
      </c>
      <c r="CX818" s="27" t="s">
        <v>7</v>
      </c>
      <c r="DA818" s="27" t="s">
        <v>8</v>
      </c>
      <c r="DB818" s="27" t="s">
        <v>7</v>
      </c>
      <c r="DC818" s="27" t="s">
        <v>8</v>
      </c>
      <c r="DF818" s="27" t="s">
        <v>7</v>
      </c>
      <c r="DO818" s="27" t="s">
        <v>8</v>
      </c>
      <c r="DP818" s="27" t="s">
        <v>7</v>
      </c>
      <c r="FI818" s="27" t="s">
        <v>8</v>
      </c>
      <c r="FJ818" s="27" t="s">
        <v>7</v>
      </c>
      <c r="FK818" s="27" t="s">
        <v>8</v>
      </c>
      <c r="FL818" s="27" t="s">
        <v>7</v>
      </c>
      <c r="FM818" s="27" t="s">
        <v>8</v>
      </c>
      <c r="FN818" s="27" t="s">
        <v>7</v>
      </c>
      <c r="FO818" s="27" t="s">
        <v>8</v>
      </c>
      <c r="FP818" s="27" t="s">
        <v>7</v>
      </c>
      <c r="FQ818" s="27" t="s">
        <v>8</v>
      </c>
      <c r="FS818" s="27" t="s">
        <v>8</v>
      </c>
      <c r="FT818" s="27" t="s">
        <v>7</v>
      </c>
      <c r="FU818" s="27" t="s">
        <v>8</v>
      </c>
      <c r="FV818" s="27" t="s">
        <v>7</v>
      </c>
      <c r="FW818" s="27" t="s">
        <v>8</v>
      </c>
      <c r="GD818" s="27" t="s">
        <v>7</v>
      </c>
      <c r="GE818" s="27" t="s">
        <v>8</v>
      </c>
    </row>
    <row r="819" spans="1:187" x14ac:dyDescent="0.25">
      <c r="A819" s="7">
        <v>1.0110209412985426E-2</v>
      </c>
      <c r="B819"/>
      <c r="C819"/>
      <c r="D819"/>
      <c r="E819"/>
      <c r="F819" s="27" t="s">
        <v>7</v>
      </c>
      <c r="Q819" s="27" t="s">
        <v>8</v>
      </c>
      <c r="R819" s="27" t="s">
        <v>7</v>
      </c>
      <c r="S819" s="27" t="s">
        <v>8</v>
      </c>
      <c r="T819" s="27" t="s">
        <v>7</v>
      </c>
      <c r="U819" s="27" t="s">
        <v>8</v>
      </c>
      <c r="V819" s="27" t="s">
        <v>7</v>
      </c>
      <c r="BO819" s="27" t="s">
        <v>8</v>
      </c>
      <c r="BP819" s="27" t="s">
        <v>7</v>
      </c>
      <c r="CE819" s="27" t="s">
        <v>8</v>
      </c>
      <c r="CF819" s="27" t="s">
        <v>7</v>
      </c>
      <c r="CH819" s="27" t="s">
        <v>7</v>
      </c>
      <c r="CO819" s="27" t="s">
        <v>8</v>
      </c>
      <c r="CQ819" s="27" t="s">
        <v>8</v>
      </c>
      <c r="CR819" s="27" t="s">
        <v>7</v>
      </c>
      <c r="CV819" s="27" t="s">
        <v>7</v>
      </c>
      <c r="CW819" s="27" t="s">
        <v>8</v>
      </c>
      <c r="CX819" s="27" t="s">
        <v>7</v>
      </c>
      <c r="CY819" s="27" t="s">
        <v>8</v>
      </c>
      <c r="DA819" s="27" t="s">
        <v>8</v>
      </c>
      <c r="DB819" s="27" t="s">
        <v>7</v>
      </c>
      <c r="DC819" s="27" t="s">
        <v>8</v>
      </c>
      <c r="DF819" s="27" t="s">
        <v>7</v>
      </c>
      <c r="DO819" s="27" t="s">
        <v>8</v>
      </c>
      <c r="DP819" s="27" t="s">
        <v>7</v>
      </c>
      <c r="FI819" s="27" t="s">
        <v>8</v>
      </c>
      <c r="FJ819" s="27" t="s">
        <v>7</v>
      </c>
      <c r="FK819" s="27" t="s">
        <v>8</v>
      </c>
      <c r="FL819" s="27" t="s">
        <v>7</v>
      </c>
      <c r="FM819" s="27" t="s">
        <v>8</v>
      </c>
      <c r="FN819" s="27" t="s">
        <v>7</v>
      </c>
      <c r="FO819" s="27" t="s">
        <v>8</v>
      </c>
      <c r="FP819" s="27" t="s">
        <v>7</v>
      </c>
      <c r="FQ819" s="27" t="s">
        <v>8</v>
      </c>
      <c r="FR819" s="27" t="s">
        <v>7</v>
      </c>
      <c r="FS819" s="27" t="s">
        <v>8</v>
      </c>
      <c r="FT819" s="27" t="s">
        <v>7</v>
      </c>
      <c r="FU819" s="27" t="s">
        <v>8</v>
      </c>
      <c r="FV819" s="27" t="s">
        <v>7</v>
      </c>
      <c r="FW819" s="27" t="s">
        <v>8</v>
      </c>
      <c r="GD819" s="27" t="s">
        <v>7</v>
      </c>
    </row>
    <row r="820" spans="1:187" x14ac:dyDescent="0.25">
      <c r="A820" s="7">
        <v>9.9119700127308103E-3</v>
      </c>
      <c r="B820"/>
      <c r="C820"/>
      <c r="D820"/>
      <c r="E820"/>
      <c r="F820" s="27" t="s">
        <v>7</v>
      </c>
      <c r="Q820" s="27" t="s">
        <v>8</v>
      </c>
      <c r="R820" s="27" t="s">
        <v>7</v>
      </c>
      <c r="S820" s="27" t="s">
        <v>8</v>
      </c>
      <c r="T820" s="27" t="s">
        <v>7</v>
      </c>
      <c r="U820" s="27" t="s">
        <v>8</v>
      </c>
      <c r="V820" s="27" t="s">
        <v>7</v>
      </c>
      <c r="BO820" s="27" t="s">
        <v>8</v>
      </c>
      <c r="BP820" s="27" t="s">
        <v>7</v>
      </c>
      <c r="CE820" s="27" t="s">
        <v>8</v>
      </c>
      <c r="CH820" s="27" t="s">
        <v>7</v>
      </c>
      <c r="CO820" s="27" t="s">
        <v>8</v>
      </c>
      <c r="CP820" s="27" t="s">
        <v>7</v>
      </c>
      <c r="CQ820" s="27" t="s">
        <v>8</v>
      </c>
      <c r="CV820" s="27" t="s">
        <v>7</v>
      </c>
      <c r="CW820" s="27" t="s">
        <v>8</v>
      </c>
      <c r="CX820" s="27" t="s">
        <v>7</v>
      </c>
      <c r="CY820" s="27" t="s">
        <v>8</v>
      </c>
      <c r="CZ820" s="27" t="s">
        <v>7</v>
      </c>
      <c r="DA820" s="27" t="s">
        <v>8</v>
      </c>
      <c r="DB820" s="27" t="s">
        <v>7</v>
      </c>
      <c r="DC820" s="27" t="s">
        <v>8</v>
      </c>
      <c r="DF820" s="27" t="s">
        <v>7</v>
      </c>
      <c r="DI820" s="27" t="s">
        <v>8</v>
      </c>
      <c r="DO820" s="27" t="s">
        <v>8</v>
      </c>
      <c r="DP820" s="27" t="s">
        <v>7</v>
      </c>
      <c r="FI820" s="27" t="s">
        <v>8</v>
      </c>
      <c r="FJ820" s="27" t="s">
        <v>7</v>
      </c>
      <c r="FK820" s="27" t="s">
        <v>8</v>
      </c>
      <c r="FL820" s="27" t="s">
        <v>7</v>
      </c>
      <c r="FM820" s="27" t="s">
        <v>8</v>
      </c>
      <c r="FN820" s="27" t="s">
        <v>7</v>
      </c>
      <c r="FO820" s="27" t="s">
        <v>8</v>
      </c>
      <c r="FP820" s="27" t="s">
        <v>7</v>
      </c>
      <c r="FQ820" s="27" t="s">
        <v>8</v>
      </c>
      <c r="FR820" s="27" t="s">
        <v>7</v>
      </c>
      <c r="FS820" s="27" t="s">
        <v>8</v>
      </c>
      <c r="FT820" s="27" t="s">
        <v>7</v>
      </c>
      <c r="FU820" s="27" t="s">
        <v>8</v>
      </c>
      <c r="FV820" s="27" t="s">
        <v>7</v>
      </c>
      <c r="FW820" s="27" t="s">
        <v>8</v>
      </c>
    </row>
    <row r="821" spans="1:187" x14ac:dyDescent="0.25">
      <c r="A821" s="7">
        <v>9.717617659540009E-3</v>
      </c>
      <c r="B821"/>
      <c r="C821"/>
      <c r="D821"/>
      <c r="E821"/>
      <c r="F821" s="27" t="s">
        <v>7</v>
      </c>
      <c r="Q821" s="27" t="s">
        <v>8</v>
      </c>
      <c r="R821" s="27" t="s">
        <v>7</v>
      </c>
      <c r="S821" s="27" t="s">
        <v>8</v>
      </c>
      <c r="T821" s="27" t="s">
        <v>7</v>
      </c>
      <c r="U821" s="27" t="s">
        <v>8</v>
      </c>
      <c r="V821" s="27" t="s">
        <v>7</v>
      </c>
      <c r="AA821" s="27" t="s">
        <v>8</v>
      </c>
      <c r="BO821" s="27" t="s">
        <v>8</v>
      </c>
      <c r="BP821" s="27" t="s">
        <v>7</v>
      </c>
      <c r="CE821" s="27" t="s">
        <v>8</v>
      </c>
      <c r="CH821" s="27" t="s">
        <v>7</v>
      </c>
      <c r="CO821" s="27" t="s">
        <v>8</v>
      </c>
      <c r="CP821" s="27" t="s">
        <v>7</v>
      </c>
      <c r="CQ821" s="27" t="s">
        <v>8</v>
      </c>
      <c r="CV821" s="27" t="s">
        <v>7</v>
      </c>
      <c r="CW821" s="27" t="s">
        <v>8</v>
      </c>
      <c r="CX821" s="27" t="s">
        <v>7</v>
      </c>
      <c r="CY821" s="27" t="s">
        <v>8</v>
      </c>
      <c r="CZ821" s="27" t="s">
        <v>7</v>
      </c>
      <c r="DA821" s="27" t="s">
        <v>8</v>
      </c>
      <c r="DB821" s="27" t="s">
        <v>7</v>
      </c>
      <c r="DF821" s="27" t="s">
        <v>7</v>
      </c>
      <c r="DG821" s="27" t="s">
        <v>8</v>
      </c>
      <c r="DI821" s="27" t="s">
        <v>8</v>
      </c>
      <c r="DJ821" s="27" t="s">
        <v>7</v>
      </c>
      <c r="DO821" s="27" t="s">
        <v>8</v>
      </c>
      <c r="DP821" s="27" t="s">
        <v>7</v>
      </c>
      <c r="FI821" s="27" t="s">
        <v>8</v>
      </c>
      <c r="FJ821" s="27" t="s">
        <v>7</v>
      </c>
      <c r="FK821" s="27" t="s">
        <v>8</v>
      </c>
      <c r="FL821" s="27" t="s">
        <v>7</v>
      </c>
      <c r="FM821" s="27" t="s">
        <v>8</v>
      </c>
      <c r="FN821" s="27" t="s">
        <v>7</v>
      </c>
      <c r="FO821" s="27" t="s">
        <v>8</v>
      </c>
      <c r="FP821" s="27" t="s">
        <v>7</v>
      </c>
      <c r="FQ821" s="27" t="s">
        <v>8</v>
      </c>
      <c r="FR821" s="27" t="s">
        <v>7</v>
      </c>
      <c r="FS821" s="27" t="s">
        <v>8</v>
      </c>
      <c r="FT821" s="27" t="s">
        <v>7</v>
      </c>
      <c r="FU821" s="27" t="s">
        <v>8</v>
      </c>
      <c r="FV821" s="27" t="s">
        <v>7</v>
      </c>
      <c r="FW821" s="27" t="s">
        <v>8</v>
      </c>
    </row>
    <row r="822" spans="1:187" x14ac:dyDescent="0.25">
      <c r="A822" s="7">
        <v>9.5270761368039299E-3</v>
      </c>
      <c r="B822"/>
      <c r="C822"/>
      <c r="D822"/>
      <c r="E822"/>
      <c r="F822" s="27" t="s">
        <v>7</v>
      </c>
      <c r="G822" s="27" t="s">
        <v>8</v>
      </c>
      <c r="O822" s="27" t="s">
        <v>8</v>
      </c>
      <c r="Q822" s="27" t="s">
        <v>8</v>
      </c>
      <c r="R822" s="27" t="s">
        <v>7</v>
      </c>
      <c r="S822" s="27" t="s">
        <v>8</v>
      </c>
      <c r="T822" s="27" t="s">
        <v>7</v>
      </c>
      <c r="U822" s="27" t="s">
        <v>8</v>
      </c>
      <c r="V822" s="27" t="s">
        <v>7</v>
      </c>
      <c r="AA822" s="27" t="s">
        <v>8</v>
      </c>
      <c r="AB822" s="27" t="s">
        <v>7</v>
      </c>
      <c r="BO822" s="27" t="s">
        <v>8</v>
      </c>
      <c r="BP822" s="27" t="s">
        <v>7</v>
      </c>
      <c r="CE822" s="27" t="s">
        <v>8</v>
      </c>
      <c r="CH822" s="27" t="s">
        <v>7</v>
      </c>
      <c r="CO822" s="27" t="s">
        <v>8</v>
      </c>
      <c r="CP822" s="27" t="s">
        <v>7</v>
      </c>
      <c r="CQ822" s="27" t="s">
        <v>8</v>
      </c>
      <c r="CV822" s="27" t="s">
        <v>7</v>
      </c>
      <c r="CW822" s="27" t="s">
        <v>8</v>
      </c>
      <c r="CX822" s="27" t="s">
        <v>7</v>
      </c>
      <c r="CY822" s="27" t="s">
        <v>8</v>
      </c>
      <c r="CZ822" s="27" t="s">
        <v>7</v>
      </c>
      <c r="DA822" s="27" t="s">
        <v>8</v>
      </c>
      <c r="DF822" s="27" t="s">
        <v>7</v>
      </c>
      <c r="DG822" s="27" t="s">
        <v>8</v>
      </c>
      <c r="DH822" s="27" t="s">
        <v>7</v>
      </c>
      <c r="DI822" s="27" t="s">
        <v>8</v>
      </c>
      <c r="DJ822" s="27" t="s">
        <v>7</v>
      </c>
      <c r="DO822" s="27" t="s">
        <v>8</v>
      </c>
      <c r="DP822" s="27" t="s">
        <v>7</v>
      </c>
      <c r="FI822" s="27" t="s">
        <v>8</v>
      </c>
      <c r="FJ822" s="27" t="s">
        <v>7</v>
      </c>
      <c r="FK822" s="27" t="s">
        <v>8</v>
      </c>
      <c r="FL822" s="27" t="s">
        <v>7</v>
      </c>
      <c r="FM822" s="27" t="s">
        <v>8</v>
      </c>
      <c r="FN822" s="27" t="s">
        <v>7</v>
      </c>
      <c r="FO822" s="27" t="s">
        <v>8</v>
      </c>
      <c r="FP822" s="27" t="s">
        <v>7</v>
      </c>
      <c r="FQ822" s="27" t="s">
        <v>8</v>
      </c>
      <c r="FR822" s="27" t="s">
        <v>7</v>
      </c>
      <c r="FS822" s="27" t="s">
        <v>8</v>
      </c>
      <c r="FT822" s="27" t="s">
        <v>7</v>
      </c>
      <c r="FU822" s="27" t="s">
        <v>8</v>
      </c>
      <c r="FV822" s="27" t="s">
        <v>7</v>
      </c>
      <c r="FW822" s="27" t="s">
        <v>8</v>
      </c>
    </row>
    <row r="823" spans="1:187" x14ac:dyDescent="0.25">
      <c r="A823" s="7">
        <v>9.3402707223567936E-3</v>
      </c>
      <c r="B823"/>
      <c r="C823"/>
      <c r="D823"/>
      <c r="E823"/>
      <c r="F823" s="27" t="s">
        <v>7</v>
      </c>
      <c r="G823" s="27" t="s">
        <v>8</v>
      </c>
      <c r="H823" s="27" t="s">
        <v>7</v>
      </c>
      <c r="O823" s="27" t="s">
        <v>8</v>
      </c>
      <c r="P823" s="27" t="s">
        <v>7</v>
      </c>
      <c r="Q823" s="27" t="s">
        <v>8</v>
      </c>
      <c r="R823" s="27" t="s">
        <v>7</v>
      </c>
      <c r="T823" s="27" t="s">
        <v>7</v>
      </c>
      <c r="U823" s="27" t="s">
        <v>8</v>
      </c>
      <c r="V823" s="27" t="s">
        <v>7</v>
      </c>
      <c r="AA823" s="27" t="s">
        <v>8</v>
      </c>
      <c r="AB823" s="27" t="s">
        <v>7</v>
      </c>
      <c r="BO823" s="27" t="s">
        <v>8</v>
      </c>
      <c r="BP823" s="27" t="s">
        <v>7</v>
      </c>
      <c r="CE823" s="27" t="s">
        <v>8</v>
      </c>
      <c r="CH823" s="27" t="s">
        <v>7</v>
      </c>
      <c r="CI823" s="27" t="s">
        <v>8</v>
      </c>
      <c r="CO823" s="27" t="s">
        <v>8</v>
      </c>
      <c r="CP823" s="27" t="s">
        <v>7</v>
      </c>
      <c r="CV823" s="27" t="s">
        <v>7</v>
      </c>
      <c r="CX823" s="27" t="s">
        <v>7</v>
      </c>
      <c r="CY823" s="27" t="s">
        <v>8</v>
      </c>
      <c r="CZ823" s="27" t="s">
        <v>7</v>
      </c>
      <c r="DF823" s="27" t="s">
        <v>7</v>
      </c>
      <c r="DG823" s="27" t="s">
        <v>8</v>
      </c>
      <c r="DH823" s="27" t="s">
        <v>7</v>
      </c>
      <c r="DI823" s="27" t="s">
        <v>8</v>
      </c>
      <c r="DJ823" s="27" t="s">
        <v>7</v>
      </c>
      <c r="DM823" s="27" t="s">
        <v>8</v>
      </c>
      <c r="DO823" s="27" t="s">
        <v>8</v>
      </c>
      <c r="DP823" s="27" t="s">
        <v>7</v>
      </c>
      <c r="FI823" s="27" t="s">
        <v>8</v>
      </c>
      <c r="FJ823" s="27" t="s">
        <v>7</v>
      </c>
      <c r="FK823" s="27" t="s">
        <v>8</v>
      </c>
      <c r="FL823" s="27" t="s">
        <v>7</v>
      </c>
      <c r="FN823" s="27" t="s">
        <v>7</v>
      </c>
      <c r="FO823" s="27" t="s">
        <v>8</v>
      </c>
      <c r="FP823" s="27" t="s">
        <v>7</v>
      </c>
      <c r="FQ823" s="27" t="s">
        <v>8</v>
      </c>
      <c r="FR823" s="27" t="s">
        <v>7</v>
      </c>
      <c r="FT823" s="27" t="s">
        <v>7</v>
      </c>
      <c r="FU823" s="27" t="s">
        <v>8</v>
      </c>
      <c r="FV823" s="27" t="s">
        <v>7</v>
      </c>
      <c r="FW823" s="27" t="s">
        <v>8</v>
      </c>
    </row>
    <row r="824" spans="1:187" x14ac:dyDescent="0.25">
      <c r="A824" s="7">
        <v>9.1571281591733261E-3</v>
      </c>
      <c r="B824"/>
      <c r="C824"/>
      <c r="D824"/>
      <c r="E824"/>
      <c r="F824" s="27" t="s">
        <v>7</v>
      </c>
      <c r="G824" s="27" t="s">
        <v>8</v>
      </c>
      <c r="H824" s="27" t="s">
        <v>7</v>
      </c>
      <c r="O824" s="27" t="s">
        <v>8</v>
      </c>
      <c r="P824" s="27" t="s">
        <v>7</v>
      </c>
      <c r="Q824" s="27" t="s">
        <v>8</v>
      </c>
      <c r="T824" s="27" t="s">
        <v>7</v>
      </c>
      <c r="V824" s="27" t="s">
        <v>7</v>
      </c>
      <c r="AA824" s="27" t="s">
        <v>8</v>
      </c>
      <c r="AB824" s="27" t="s">
        <v>7</v>
      </c>
      <c r="BO824" s="27" t="s">
        <v>8</v>
      </c>
      <c r="BP824" s="27" t="s">
        <v>7</v>
      </c>
      <c r="CA824" s="27" t="s">
        <v>8</v>
      </c>
      <c r="CE824" s="27" t="s">
        <v>8</v>
      </c>
      <c r="CH824" s="27" t="s">
        <v>7</v>
      </c>
      <c r="CI824" s="27" t="s">
        <v>8</v>
      </c>
      <c r="CJ824" s="27" t="s">
        <v>7</v>
      </c>
      <c r="CK824" s="27" t="s">
        <v>8</v>
      </c>
      <c r="CO824" s="27" t="s">
        <v>8</v>
      </c>
      <c r="CX824" s="27" t="s">
        <v>7</v>
      </c>
      <c r="DF824" s="27" t="s">
        <v>7</v>
      </c>
      <c r="DG824" s="27" t="s">
        <v>8</v>
      </c>
      <c r="DH824" s="27" t="s">
        <v>7</v>
      </c>
      <c r="DI824" s="27" t="s">
        <v>8</v>
      </c>
      <c r="DJ824" s="27" t="s">
        <v>7</v>
      </c>
      <c r="DK824" s="27" t="s">
        <v>8</v>
      </c>
      <c r="DM824" s="27" t="s">
        <v>8</v>
      </c>
      <c r="DN824" s="27" t="s">
        <v>7</v>
      </c>
      <c r="DO824" s="27" t="s">
        <v>8</v>
      </c>
      <c r="DP824" s="27" t="s">
        <v>7</v>
      </c>
      <c r="DQ824" s="27" t="s">
        <v>8</v>
      </c>
      <c r="FI824" s="27" t="s">
        <v>8</v>
      </c>
      <c r="FJ824" s="27" t="s">
        <v>7</v>
      </c>
      <c r="FK824" s="27" t="s">
        <v>8</v>
      </c>
      <c r="FN824" s="27" t="s">
        <v>7</v>
      </c>
      <c r="FO824" s="27" t="s">
        <v>8</v>
      </c>
      <c r="FP824" s="27" t="s">
        <v>7</v>
      </c>
      <c r="FQ824" s="27" t="s">
        <v>8</v>
      </c>
      <c r="FT824" s="27" t="s">
        <v>7</v>
      </c>
      <c r="FU824" s="27" t="s">
        <v>8</v>
      </c>
      <c r="FV824" s="27" t="s">
        <v>7</v>
      </c>
    </row>
    <row r="825" spans="1:187" x14ac:dyDescent="0.25">
      <c r="A825" s="7">
        <v>8.9775766266405148E-3</v>
      </c>
      <c r="B825"/>
      <c r="C825"/>
      <c r="D825"/>
      <c r="E825"/>
      <c r="F825" s="27" t="s">
        <v>7</v>
      </c>
      <c r="G825" s="27" t="s">
        <v>8</v>
      </c>
      <c r="H825" s="27" t="s">
        <v>7</v>
      </c>
      <c r="O825" s="27" t="s">
        <v>8</v>
      </c>
      <c r="P825" s="27" t="s">
        <v>7</v>
      </c>
      <c r="Q825" s="27" t="s">
        <v>8</v>
      </c>
      <c r="V825" s="27" t="s">
        <v>7</v>
      </c>
      <c r="AA825" s="27" t="s">
        <v>8</v>
      </c>
      <c r="AB825" s="27" t="s">
        <v>7</v>
      </c>
      <c r="BO825" s="27" t="s">
        <v>8</v>
      </c>
      <c r="BP825" s="27" t="s">
        <v>7</v>
      </c>
      <c r="BS825" s="27" t="s">
        <v>8</v>
      </c>
      <c r="BY825" s="27" t="s">
        <v>8</v>
      </c>
      <c r="CA825" s="27" t="s">
        <v>8</v>
      </c>
      <c r="CB825" s="27" t="s">
        <v>7</v>
      </c>
      <c r="CE825" s="27" t="s">
        <v>8</v>
      </c>
      <c r="CH825" s="27" t="s">
        <v>7</v>
      </c>
      <c r="CI825" s="27" t="s">
        <v>8</v>
      </c>
      <c r="CJ825" s="27" t="s">
        <v>7</v>
      </c>
      <c r="CK825" s="27" t="s">
        <v>8</v>
      </c>
      <c r="CL825" s="27" t="s">
        <v>7</v>
      </c>
      <c r="CM825" s="27" t="s">
        <v>8</v>
      </c>
      <c r="CO825" s="27" t="s">
        <v>8</v>
      </c>
      <c r="DF825" s="27" t="s">
        <v>7</v>
      </c>
      <c r="DG825" s="27" t="s">
        <v>8</v>
      </c>
      <c r="DH825" s="27" t="s">
        <v>7</v>
      </c>
      <c r="DI825" s="27" t="s">
        <v>8</v>
      </c>
      <c r="DJ825" s="27" t="s">
        <v>7</v>
      </c>
      <c r="DK825" s="27" t="s">
        <v>8</v>
      </c>
      <c r="DL825" s="27" t="s">
        <v>7</v>
      </c>
      <c r="DM825" s="27" t="s">
        <v>8</v>
      </c>
      <c r="DN825" s="27" t="s">
        <v>7</v>
      </c>
      <c r="DO825" s="27" t="s">
        <v>8</v>
      </c>
      <c r="DP825" s="27" t="s">
        <v>7</v>
      </c>
      <c r="DQ825" s="27" t="s">
        <v>8</v>
      </c>
      <c r="DR825" s="27" t="s">
        <v>7</v>
      </c>
      <c r="DU825" s="27" t="s">
        <v>8</v>
      </c>
      <c r="FI825" s="27" t="s">
        <v>8</v>
      </c>
      <c r="FJ825" s="27" t="s">
        <v>7</v>
      </c>
      <c r="FN825" s="27" t="s">
        <v>7</v>
      </c>
      <c r="FO825" s="27" t="s">
        <v>8</v>
      </c>
      <c r="FP825" s="27" t="s">
        <v>7</v>
      </c>
      <c r="FQ825" s="27" t="s">
        <v>8</v>
      </c>
      <c r="FT825" s="27" t="s">
        <v>7</v>
      </c>
      <c r="FU825" s="27" t="s">
        <v>8</v>
      </c>
    </row>
    <row r="826" spans="1:187" x14ac:dyDescent="0.25">
      <c r="A826" s="7">
        <v>8.8015457123926614E-3</v>
      </c>
      <c r="B826"/>
      <c r="C826"/>
      <c r="D826"/>
      <c r="E826"/>
      <c r="F826" s="27" t="s">
        <v>7</v>
      </c>
      <c r="G826" s="27" t="s">
        <v>8</v>
      </c>
      <c r="H826" s="27" t="s">
        <v>7</v>
      </c>
      <c r="O826" s="27" t="s">
        <v>8</v>
      </c>
      <c r="P826" s="27" t="s">
        <v>7</v>
      </c>
      <c r="Q826" s="27" t="s">
        <v>8</v>
      </c>
      <c r="V826" s="27" t="s">
        <v>7</v>
      </c>
      <c r="AA826" s="27" t="s">
        <v>8</v>
      </c>
      <c r="AB826" s="27" t="s">
        <v>7</v>
      </c>
      <c r="BO826" s="27" t="s">
        <v>8</v>
      </c>
      <c r="BP826" s="27" t="s">
        <v>7</v>
      </c>
      <c r="BS826" s="27" t="s">
        <v>8</v>
      </c>
      <c r="BT826" s="27" t="s">
        <v>7</v>
      </c>
      <c r="BU826" s="27" t="s">
        <v>8</v>
      </c>
      <c r="BW826" s="27" t="s">
        <v>8</v>
      </c>
      <c r="BY826" s="27" t="s">
        <v>8</v>
      </c>
      <c r="BZ826" s="27" t="s">
        <v>7</v>
      </c>
      <c r="CA826" s="27" t="s">
        <v>8</v>
      </c>
      <c r="CB826" s="27" t="s">
        <v>7</v>
      </c>
      <c r="CC826" s="27" t="s">
        <v>8</v>
      </c>
      <c r="CE826" s="27" t="s">
        <v>8</v>
      </c>
      <c r="CH826" s="27" t="s">
        <v>7</v>
      </c>
      <c r="CI826" s="27" t="s">
        <v>8</v>
      </c>
      <c r="CJ826" s="27" t="s">
        <v>7</v>
      </c>
      <c r="CK826" s="27" t="s">
        <v>8</v>
      </c>
      <c r="CL826" s="27" t="s">
        <v>7</v>
      </c>
      <c r="CM826" s="27" t="s">
        <v>8</v>
      </c>
      <c r="CN826" s="27" t="s">
        <v>7</v>
      </c>
      <c r="CO826" s="27" t="s">
        <v>8</v>
      </c>
      <c r="DF826" s="27" t="s">
        <v>7</v>
      </c>
      <c r="DG826" s="27" t="s">
        <v>8</v>
      </c>
      <c r="DH826" s="27" t="s">
        <v>7</v>
      </c>
      <c r="DI826" s="27" t="s">
        <v>8</v>
      </c>
      <c r="DJ826" s="27" t="s">
        <v>7</v>
      </c>
      <c r="DK826" s="27" t="s">
        <v>8</v>
      </c>
      <c r="DL826" s="27" t="s">
        <v>7</v>
      </c>
      <c r="DM826" s="27" t="s">
        <v>8</v>
      </c>
      <c r="DN826" s="27" t="s">
        <v>7</v>
      </c>
      <c r="DP826" s="27" t="s">
        <v>7</v>
      </c>
      <c r="DQ826" s="27" t="s">
        <v>8</v>
      </c>
      <c r="DR826" s="27" t="s">
        <v>7</v>
      </c>
      <c r="DU826" s="27" t="s">
        <v>8</v>
      </c>
      <c r="DV826" s="27" t="s">
        <v>7</v>
      </c>
      <c r="FI826" s="27" t="s">
        <v>8</v>
      </c>
      <c r="FN826" s="27" t="s">
        <v>7</v>
      </c>
      <c r="FP826" s="27" t="s">
        <v>7</v>
      </c>
      <c r="FQ826" s="27" t="s">
        <v>8</v>
      </c>
      <c r="FT826" s="27" t="s">
        <v>7</v>
      </c>
      <c r="FU826" s="27" t="s">
        <v>8</v>
      </c>
    </row>
    <row r="827" spans="1:187" x14ac:dyDescent="0.25">
      <c r="A827" s="7">
        <v>8.6289663846986879E-3</v>
      </c>
      <c r="B827"/>
      <c r="C827"/>
      <c r="D827"/>
      <c r="E827"/>
      <c r="F827" s="27" t="s">
        <v>7</v>
      </c>
      <c r="H827" s="27" t="s">
        <v>7</v>
      </c>
      <c r="O827" s="27" t="s">
        <v>8</v>
      </c>
      <c r="P827" s="27" t="s">
        <v>7</v>
      </c>
      <c r="Q827" s="27" t="s">
        <v>8</v>
      </c>
      <c r="V827" s="27" t="s">
        <v>7</v>
      </c>
      <c r="AA827" s="27" t="s">
        <v>8</v>
      </c>
      <c r="AB827" s="27" t="s">
        <v>7</v>
      </c>
      <c r="BO827" s="27" t="s">
        <v>8</v>
      </c>
      <c r="BP827" s="27" t="s">
        <v>7</v>
      </c>
      <c r="BS827" s="27" t="s">
        <v>8</v>
      </c>
      <c r="BT827" s="27" t="s">
        <v>7</v>
      </c>
      <c r="BU827" s="27" t="s">
        <v>8</v>
      </c>
      <c r="BV827" s="27" t="s">
        <v>7</v>
      </c>
      <c r="BW827" s="27" t="s">
        <v>8</v>
      </c>
      <c r="BX827" s="27" t="s">
        <v>7</v>
      </c>
      <c r="BY827" s="27" t="s">
        <v>8</v>
      </c>
      <c r="BZ827" s="27" t="s">
        <v>7</v>
      </c>
      <c r="CA827" s="27" t="s">
        <v>8</v>
      </c>
      <c r="CB827" s="27" t="s">
        <v>7</v>
      </c>
      <c r="CC827" s="27" t="s">
        <v>8</v>
      </c>
      <c r="CD827" s="27" t="s">
        <v>7</v>
      </c>
      <c r="CE827" s="27" t="s">
        <v>8</v>
      </c>
      <c r="CH827" s="27" t="s">
        <v>7</v>
      </c>
      <c r="CI827" s="27" t="s">
        <v>8</v>
      </c>
      <c r="CJ827" s="27" t="s">
        <v>7</v>
      </c>
      <c r="CL827" s="27" t="s">
        <v>7</v>
      </c>
      <c r="CM827" s="27" t="s">
        <v>8</v>
      </c>
      <c r="CN827" s="27" t="s">
        <v>7</v>
      </c>
      <c r="CO827" s="27" t="s">
        <v>8</v>
      </c>
      <c r="DF827" s="27" t="s">
        <v>7</v>
      </c>
      <c r="DG827" s="27" t="s">
        <v>8</v>
      </c>
      <c r="DH827" s="27" t="s">
        <v>7</v>
      </c>
      <c r="DI827" s="27" t="s">
        <v>8</v>
      </c>
      <c r="DJ827" s="27" t="s">
        <v>7</v>
      </c>
      <c r="DK827" s="27" t="s">
        <v>8</v>
      </c>
      <c r="DL827" s="27" t="s">
        <v>7</v>
      </c>
      <c r="DM827" s="27" t="s">
        <v>8</v>
      </c>
      <c r="DP827" s="27" t="s">
        <v>7</v>
      </c>
      <c r="DQ827" s="27" t="s">
        <v>8</v>
      </c>
      <c r="DR827" s="27" t="s">
        <v>7</v>
      </c>
      <c r="DU827" s="27" t="s">
        <v>8</v>
      </c>
      <c r="DV827" s="27" t="s">
        <v>7</v>
      </c>
      <c r="ES827" s="27" t="s">
        <v>8</v>
      </c>
      <c r="FI827" s="27" t="s">
        <v>8</v>
      </c>
      <c r="FP827" s="27" t="s">
        <v>7</v>
      </c>
      <c r="FT827" s="27" t="s">
        <v>7</v>
      </c>
      <c r="FU827" s="27" t="s">
        <v>8</v>
      </c>
    </row>
    <row r="828" spans="1:187" x14ac:dyDescent="0.25">
      <c r="A828" s="7">
        <v>8.4597709653908715E-3</v>
      </c>
      <c r="B828"/>
      <c r="C828"/>
      <c r="D828"/>
      <c r="E828"/>
      <c r="H828" s="27" t="s">
        <v>7</v>
      </c>
      <c r="O828" s="27" t="s">
        <v>8</v>
      </c>
      <c r="P828" s="27" t="s">
        <v>7</v>
      </c>
      <c r="Q828" s="27" t="s">
        <v>8</v>
      </c>
      <c r="V828" s="27" t="s">
        <v>7</v>
      </c>
      <c r="AA828" s="27" t="s">
        <v>8</v>
      </c>
      <c r="AB828" s="27" t="s">
        <v>7</v>
      </c>
      <c r="BO828" s="27" t="s">
        <v>8</v>
      </c>
      <c r="BP828" s="27" t="s">
        <v>7</v>
      </c>
      <c r="BS828" s="27" t="s">
        <v>8</v>
      </c>
      <c r="BT828" s="27" t="s">
        <v>7</v>
      </c>
      <c r="BU828" s="27" t="s">
        <v>8</v>
      </c>
      <c r="BV828" s="27" t="s">
        <v>7</v>
      </c>
      <c r="BW828" s="27" t="s">
        <v>8</v>
      </c>
      <c r="BX828" s="27" t="s">
        <v>7</v>
      </c>
      <c r="BY828" s="27" t="s">
        <v>8</v>
      </c>
      <c r="BZ828" s="27" t="s">
        <v>7</v>
      </c>
      <c r="CA828" s="27" t="s">
        <v>8</v>
      </c>
      <c r="CB828" s="27" t="s">
        <v>7</v>
      </c>
      <c r="CC828" s="27" t="s">
        <v>8</v>
      </c>
      <c r="CD828" s="27" t="s">
        <v>7</v>
      </c>
      <c r="CE828" s="27" t="s">
        <v>8</v>
      </c>
      <c r="CH828" s="27" t="s">
        <v>7</v>
      </c>
      <c r="CI828" s="27" t="s">
        <v>8</v>
      </c>
      <c r="CL828" s="27" t="s">
        <v>7</v>
      </c>
      <c r="CM828" s="27" t="s">
        <v>8</v>
      </c>
      <c r="CN828" s="27" t="s">
        <v>7</v>
      </c>
      <c r="CO828" s="27" t="s">
        <v>8</v>
      </c>
      <c r="DF828" s="27" t="s">
        <v>7</v>
      </c>
      <c r="DG828" s="27" t="s">
        <v>8</v>
      </c>
      <c r="DH828" s="27" t="s">
        <v>7</v>
      </c>
      <c r="DI828" s="27" t="s">
        <v>8</v>
      </c>
      <c r="DJ828" s="27" t="s">
        <v>7</v>
      </c>
      <c r="DL828" s="27" t="s">
        <v>7</v>
      </c>
      <c r="DP828" s="27" t="s">
        <v>7</v>
      </c>
      <c r="DQ828" s="27" t="s">
        <v>8</v>
      </c>
      <c r="DR828" s="27" t="s">
        <v>7</v>
      </c>
      <c r="DS828" s="27" t="s">
        <v>8</v>
      </c>
      <c r="DU828" s="27" t="s">
        <v>8</v>
      </c>
      <c r="DV828" s="27" t="s">
        <v>7</v>
      </c>
      <c r="DY828" s="27" t="s">
        <v>8</v>
      </c>
      <c r="ES828" s="27" t="s">
        <v>8</v>
      </c>
      <c r="ET828" s="27" t="s">
        <v>7</v>
      </c>
      <c r="FI828" s="27" t="s">
        <v>8</v>
      </c>
      <c r="FT828" s="27" t="s">
        <v>7</v>
      </c>
    </row>
    <row r="829" spans="1:187" x14ac:dyDescent="0.25">
      <c r="A829" s="7">
        <v>8.2938931033243839E-3</v>
      </c>
      <c r="B829"/>
      <c r="C829"/>
      <c r="D829"/>
      <c r="E829"/>
      <c r="H829" s="27" t="s">
        <v>7</v>
      </c>
      <c r="O829" s="27" t="s">
        <v>8</v>
      </c>
      <c r="P829" s="27" t="s">
        <v>7</v>
      </c>
      <c r="V829" s="27" t="s">
        <v>7</v>
      </c>
      <c r="AA829" s="27" t="s">
        <v>8</v>
      </c>
      <c r="AB829" s="27" t="s">
        <v>7</v>
      </c>
      <c r="BO829" s="27" t="s">
        <v>8</v>
      </c>
      <c r="BP829" s="27" t="s">
        <v>7</v>
      </c>
      <c r="BQ829" s="27" t="s">
        <v>8</v>
      </c>
      <c r="BS829" s="27" t="s">
        <v>8</v>
      </c>
      <c r="BT829" s="27" t="s">
        <v>7</v>
      </c>
      <c r="BU829" s="27" t="s">
        <v>8</v>
      </c>
      <c r="BV829" s="27" t="s">
        <v>7</v>
      </c>
      <c r="BW829" s="27" t="s">
        <v>8</v>
      </c>
      <c r="BX829" s="27" t="s">
        <v>7</v>
      </c>
      <c r="BY829" s="27" t="s">
        <v>8</v>
      </c>
      <c r="BZ829" s="27" t="s">
        <v>7</v>
      </c>
      <c r="CB829" s="27" t="s">
        <v>7</v>
      </c>
      <c r="CC829" s="27" t="s">
        <v>8</v>
      </c>
      <c r="CD829" s="27" t="s">
        <v>7</v>
      </c>
      <c r="CH829" s="27" t="s">
        <v>7</v>
      </c>
      <c r="CI829" s="27" t="s">
        <v>8</v>
      </c>
      <c r="CL829" s="27" t="s">
        <v>7</v>
      </c>
      <c r="CM829" s="27" t="s">
        <v>8</v>
      </c>
      <c r="CN829" s="27" t="s">
        <v>7</v>
      </c>
      <c r="DF829" s="27" t="s">
        <v>7</v>
      </c>
      <c r="DH829" s="27" t="s">
        <v>7</v>
      </c>
      <c r="DP829" s="27" t="s">
        <v>7</v>
      </c>
      <c r="DQ829" s="27" t="s">
        <v>8</v>
      </c>
      <c r="DR829" s="27" t="s">
        <v>7</v>
      </c>
      <c r="DS829" s="27" t="s">
        <v>8</v>
      </c>
      <c r="DT829" s="27" t="s">
        <v>7</v>
      </c>
      <c r="DU829" s="27" t="s">
        <v>8</v>
      </c>
      <c r="DV829" s="27" t="s">
        <v>7</v>
      </c>
      <c r="DW829" s="27" t="s">
        <v>8</v>
      </c>
      <c r="DY829" s="27" t="s">
        <v>8</v>
      </c>
      <c r="DZ829" s="27" t="s">
        <v>7</v>
      </c>
      <c r="ES829" s="27" t="s">
        <v>8</v>
      </c>
      <c r="ET829" s="27" t="s">
        <v>7</v>
      </c>
      <c r="FI829" s="27" t="s">
        <v>8</v>
      </c>
    </row>
    <row r="830" spans="1:187" x14ac:dyDescent="0.25">
      <c r="A830" s="7">
        <v>8.1312677483572383E-3</v>
      </c>
      <c r="B830"/>
      <c r="C830"/>
      <c r="D830"/>
      <c r="E830"/>
      <c r="H830" s="27" t="s">
        <v>7</v>
      </c>
      <c r="O830" s="27" t="s">
        <v>8</v>
      </c>
      <c r="V830" s="27" t="s">
        <v>7</v>
      </c>
      <c r="W830" s="27" t="s">
        <v>8</v>
      </c>
      <c r="AA830" s="27" t="s">
        <v>8</v>
      </c>
      <c r="AB830" s="27" t="s">
        <v>7</v>
      </c>
      <c r="BO830" s="27" t="s">
        <v>8</v>
      </c>
      <c r="BP830" s="27" t="s">
        <v>7</v>
      </c>
      <c r="BQ830" s="27" t="s">
        <v>8</v>
      </c>
      <c r="BR830" s="27" t="s">
        <v>7</v>
      </c>
      <c r="BS830" s="27" t="s">
        <v>8</v>
      </c>
      <c r="BT830" s="27" t="s">
        <v>7</v>
      </c>
      <c r="BU830" s="27" t="s">
        <v>8</v>
      </c>
      <c r="BV830" s="27" t="s">
        <v>7</v>
      </c>
      <c r="BX830" s="27" t="s">
        <v>7</v>
      </c>
      <c r="BY830" s="27" t="s">
        <v>8</v>
      </c>
      <c r="CB830" s="27" t="s">
        <v>7</v>
      </c>
      <c r="CC830" s="27" t="s">
        <v>8</v>
      </c>
      <c r="CH830" s="27" t="s">
        <v>7</v>
      </c>
      <c r="CI830" s="27" t="s">
        <v>8</v>
      </c>
      <c r="CL830" s="27" t="s">
        <v>7</v>
      </c>
      <c r="CM830" s="27" t="s">
        <v>8</v>
      </c>
      <c r="DP830" s="27" t="s">
        <v>7</v>
      </c>
      <c r="DQ830" s="27" t="s">
        <v>8</v>
      </c>
      <c r="DR830" s="27" t="s">
        <v>7</v>
      </c>
      <c r="DS830" s="27" t="s">
        <v>8</v>
      </c>
      <c r="DT830" s="27" t="s">
        <v>7</v>
      </c>
      <c r="DU830" s="27" t="s">
        <v>8</v>
      </c>
      <c r="DV830" s="27" t="s">
        <v>7</v>
      </c>
      <c r="DW830" s="27" t="s">
        <v>8</v>
      </c>
      <c r="DX830" s="27" t="s">
        <v>7</v>
      </c>
      <c r="DY830" s="27" t="s">
        <v>8</v>
      </c>
      <c r="DZ830" s="27" t="s">
        <v>7</v>
      </c>
      <c r="EQ830" s="27" t="s">
        <v>8</v>
      </c>
      <c r="ES830" s="27" t="s">
        <v>8</v>
      </c>
      <c r="ET830" s="27" t="s">
        <v>7</v>
      </c>
      <c r="FI830" s="27" t="s">
        <v>8</v>
      </c>
    </row>
    <row r="831" spans="1:187" x14ac:dyDescent="0.25">
      <c r="A831" s="7">
        <v>7.9718311258404305E-3</v>
      </c>
      <c r="B831"/>
      <c r="C831"/>
      <c r="D831"/>
      <c r="E831"/>
      <c r="H831" s="27" t="s">
        <v>7</v>
      </c>
      <c r="K831" s="27" t="s">
        <v>8</v>
      </c>
      <c r="O831" s="27" t="s">
        <v>8</v>
      </c>
      <c r="V831" s="27" t="s">
        <v>7</v>
      </c>
      <c r="W831" s="27" t="s">
        <v>8</v>
      </c>
      <c r="X831" s="27" t="s">
        <v>7</v>
      </c>
      <c r="AA831" s="27" t="s">
        <v>8</v>
      </c>
      <c r="AB831" s="27" t="s">
        <v>7</v>
      </c>
      <c r="AU831" s="27" t="s">
        <v>8</v>
      </c>
      <c r="BO831" s="27" t="s">
        <v>8</v>
      </c>
      <c r="BP831" s="27" t="s">
        <v>7</v>
      </c>
      <c r="BQ831" s="27" t="s">
        <v>8</v>
      </c>
      <c r="BR831" s="27" t="s">
        <v>7</v>
      </c>
      <c r="BS831" s="27" t="s">
        <v>8</v>
      </c>
      <c r="BT831" s="27" t="s">
        <v>7</v>
      </c>
      <c r="BU831" s="27" t="s">
        <v>8</v>
      </c>
      <c r="BX831" s="27" t="s">
        <v>7</v>
      </c>
      <c r="BY831" s="27" t="s">
        <v>8</v>
      </c>
      <c r="CB831" s="27" t="s">
        <v>7</v>
      </c>
      <c r="CC831" s="27" t="s">
        <v>8</v>
      </c>
      <c r="CH831" s="27" t="s">
        <v>7</v>
      </c>
      <c r="CI831" s="27" t="s">
        <v>8</v>
      </c>
      <c r="CL831" s="27" t="s">
        <v>7</v>
      </c>
      <c r="CM831" s="27" t="s">
        <v>8</v>
      </c>
      <c r="DP831" s="27" t="s">
        <v>7</v>
      </c>
      <c r="DQ831" s="27" t="s">
        <v>8</v>
      </c>
      <c r="DR831" s="27" t="s">
        <v>7</v>
      </c>
      <c r="DS831" s="27" t="s">
        <v>8</v>
      </c>
      <c r="DT831" s="27" t="s">
        <v>7</v>
      </c>
      <c r="DU831" s="27" t="s">
        <v>8</v>
      </c>
      <c r="DV831" s="27" t="s">
        <v>7</v>
      </c>
      <c r="DW831" s="27" t="s">
        <v>8</v>
      </c>
      <c r="DX831" s="27" t="s">
        <v>7</v>
      </c>
      <c r="DY831" s="27" t="s">
        <v>8</v>
      </c>
      <c r="DZ831" s="27" t="s">
        <v>7</v>
      </c>
      <c r="EA831" s="27" t="s">
        <v>8</v>
      </c>
      <c r="EQ831" s="27" t="s">
        <v>8</v>
      </c>
      <c r="ER831" s="27" t="s">
        <v>7</v>
      </c>
      <c r="ES831" s="27" t="s">
        <v>8</v>
      </c>
      <c r="ET831" s="27" t="s">
        <v>7</v>
      </c>
      <c r="FI831" s="27" t="s">
        <v>8</v>
      </c>
    </row>
    <row r="832" spans="1:187" x14ac:dyDescent="0.25">
      <c r="A832" s="7">
        <v>7.8155207116082648E-3</v>
      </c>
      <c r="B832"/>
      <c r="C832"/>
      <c r="D832"/>
      <c r="E832"/>
      <c r="H832" s="27" t="s">
        <v>7</v>
      </c>
      <c r="I832" s="27" t="s">
        <v>8</v>
      </c>
      <c r="K832" s="27" t="s">
        <v>8</v>
      </c>
      <c r="L832" s="27" t="s">
        <v>7</v>
      </c>
      <c r="M832" s="27" t="s">
        <v>8</v>
      </c>
      <c r="O832" s="27" t="s">
        <v>8</v>
      </c>
      <c r="V832" s="27" t="s">
        <v>7</v>
      </c>
      <c r="W832" s="27" t="s">
        <v>8</v>
      </c>
      <c r="X832" s="27" t="s">
        <v>7</v>
      </c>
      <c r="AA832" s="27" t="s">
        <v>8</v>
      </c>
      <c r="AB832" s="27" t="s">
        <v>7</v>
      </c>
      <c r="AU832" s="27" t="s">
        <v>8</v>
      </c>
      <c r="AV832" s="27" t="s">
        <v>7</v>
      </c>
      <c r="BO832" s="27" t="s">
        <v>8</v>
      </c>
      <c r="BP832" s="27" t="s">
        <v>7</v>
      </c>
      <c r="BQ832" s="27" t="s">
        <v>8</v>
      </c>
      <c r="BR832" s="27" t="s">
        <v>7</v>
      </c>
      <c r="BS832" s="27" t="s">
        <v>8</v>
      </c>
      <c r="BT832" s="27" t="s">
        <v>7</v>
      </c>
      <c r="BU832" s="27" t="s">
        <v>8</v>
      </c>
      <c r="BX832" s="27" t="s">
        <v>7</v>
      </c>
      <c r="BY832" s="27" t="s">
        <v>8</v>
      </c>
      <c r="CB832" s="27" t="s">
        <v>7</v>
      </c>
      <c r="CC832" s="27" t="s">
        <v>8</v>
      </c>
      <c r="CH832" s="27" t="s">
        <v>7</v>
      </c>
      <c r="CI832" s="27" t="s">
        <v>8</v>
      </c>
      <c r="CL832" s="27" t="s">
        <v>7</v>
      </c>
      <c r="DP832" s="27" t="s">
        <v>7</v>
      </c>
      <c r="DR832" s="27" t="s">
        <v>7</v>
      </c>
      <c r="DS832" s="27" t="s">
        <v>8</v>
      </c>
      <c r="DT832" s="27" t="s">
        <v>7</v>
      </c>
      <c r="DV832" s="27" t="s">
        <v>7</v>
      </c>
      <c r="DW832" s="27" t="s">
        <v>8</v>
      </c>
      <c r="DX832" s="27" t="s">
        <v>7</v>
      </c>
      <c r="DY832" s="27" t="s">
        <v>8</v>
      </c>
      <c r="DZ832" s="27" t="s">
        <v>7</v>
      </c>
      <c r="EA832" s="27" t="s">
        <v>8</v>
      </c>
      <c r="EB832" s="27" t="s">
        <v>7</v>
      </c>
      <c r="EQ832" s="27" t="s">
        <v>8</v>
      </c>
      <c r="ER832" s="27" t="s">
        <v>7</v>
      </c>
      <c r="ES832" s="27" t="s">
        <v>8</v>
      </c>
      <c r="ET832" s="27" t="s">
        <v>7</v>
      </c>
      <c r="FI832" s="27" t="s">
        <v>8</v>
      </c>
    </row>
    <row r="833" spans="1:165" x14ac:dyDescent="0.25">
      <c r="A833" s="7">
        <v>7.6622752074590825E-3</v>
      </c>
      <c r="B833"/>
      <c r="C833"/>
      <c r="D833"/>
      <c r="E833"/>
      <c r="H833" s="27" t="s">
        <v>7</v>
      </c>
      <c r="I833" s="27" t="s">
        <v>8</v>
      </c>
      <c r="J833" s="27" t="s">
        <v>7</v>
      </c>
      <c r="K833" s="27" t="s">
        <v>8</v>
      </c>
      <c r="L833" s="27" t="s">
        <v>7</v>
      </c>
      <c r="M833" s="27" t="s">
        <v>8</v>
      </c>
      <c r="N833" s="27" t="s">
        <v>7</v>
      </c>
      <c r="O833" s="27" t="s">
        <v>8</v>
      </c>
      <c r="V833" s="27" t="s">
        <v>7</v>
      </c>
      <c r="W833" s="27" t="s">
        <v>8</v>
      </c>
      <c r="X833" s="27" t="s">
        <v>7</v>
      </c>
      <c r="AA833" s="27" t="s">
        <v>8</v>
      </c>
      <c r="AB833" s="27" t="s">
        <v>7</v>
      </c>
      <c r="AC833" s="27" t="s">
        <v>8</v>
      </c>
      <c r="AU833" s="27" t="s">
        <v>8</v>
      </c>
      <c r="AV833" s="27" t="s">
        <v>7</v>
      </c>
      <c r="BO833" s="27" t="s">
        <v>8</v>
      </c>
      <c r="BP833" s="27" t="s">
        <v>7</v>
      </c>
      <c r="BQ833" s="27" t="s">
        <v>8</v>
      </c>
      <c r="BR833" s="27" t="s">
        <v>7</v>
      </c>
      <c r="BS833" s="27" t="s">
        <v>8</v>
      </c>
      <c r="BT833" s="27" t="s">
        <v>7</v>
      </c>
      <c r="BU833" s="27" t="s">
        <v>8</v>
      </c>
      <c r="BX833" s="27" t="s">
        <v>7</v>
      </c>
      <c r="BY833" s="27" t="s">
        <v>8</v>
      </c>
      <c r="CB833" s="27" t="s">
        <v>7</v>
      </c>
      <c r="CH833" s="27" t="s">
        <v>7</v>
      </c>
      <c r="CI833" s="27" t="s">
        <v>8</v>
      </c>
      <c r="DR833" s="27" t="s">
        <v>7</v>
      </c>
      <c r="DS833" s="27" t="s">
        <v>8</v>
      </c>
      <c r="DV833" s="27" t="s">
        <v>7</v>
      </c>
      <c r="DW833" s="27" t="s">
        <v>8</v>
      </c>
      <c r="DX833" s="27" t="s">
        <v>7</v>
      </c>
      <c r="DY833" s="27" t="s">
        <v>8</v>
      </c>
      <c r="DZ833" s="27" t="s">
        <v>7</v>
      </c>
      <c r="EA833" s="27" t="s">
        <v>8</v>
      </c>
      <c r="EB833" s="27" t="s">
        <v>7</v>
      </c>
      <c r="EQ833" s="27" t="s">
        <v>8</v>
      </c>
      <c r="ER833" s="27" t="s">
        <v>7</v>
      </c>
      <c r="ES833" s="27" t="s">
        <v>8</v>
      </c>
      <c r="ET833" s="27" t="s">
        <v>7</v>
      </c>
      <c r="EY833" s="27" t="s">
        <v>8</v>
      </c>
      <c r="FE833" s="27" t="s">
        <v>8</v>
      </c>
      <c r="FI833" s="27" t="s">
        <v>8</v>
      </c>
    </row>
    <row r="834" spans="1:165" x14ac:dyDescent="0.25">
      <c r="A834" s="7">
        <v>7.5120345171167469E-3</v>
      </c>
      <c r="B834"/>
      <c r="C834"/>
      <c r="D834"/>
      <c r="E834"/>
      <c r="H834" s="27" t="s">
        <v>7</v>
      </c>
      <c r="I834" s="27" t="s">
        <v>8</v>
      </c>
      <c r="J834" s="27" t="s">
        <v>7</v>
      </c>
      <c r="K834" s="27" t="s">
        <v>8</v>
      </c>
      <c r="L834" s="27" t="s">
        <v>7</v>
      </c>
      <c r="M834" s="27" t="s">
        <v>8</v>
      </c>
      <c r="N834" s="27" t="s">
        <v>7</v>
      </c>
      <c r="O834" s="27" t="s">
        <v>8</v>
      </c>
      <c r="V834" s="27" t="s">
        <v>7</v>
      </c>
      <c r="W834" s="27" t="s">
        <v>8</v>
      </c>
      <c r="X834" s="27" t="s">
        <v>7</v>
      </c>
      <c r="Y834" s="27" t="s">
        <v>8</v>
      </c>
      <c r="AA834" s="27" t="s">
        <v>8</v>
      </c>
      <c r="AB834" s="27" t="s">
        <v>7</v>
      </c>
      <c r="AC834" s="27" t="s">
        <v>8</v>
      </c>
      <c r="AD834" s="27" t="s">
        <v>7</v>
      </c>
      <c r="AU834" s="27" t="s">
        <v>8</v>
      </c>
      <c r="AV834" s="27" t="s">
        <v>7</v>
      </c>
      <c r="BK834" s="27" t="s">
        <v>8</v>
      </c>
      <c r="BO834" s="27" t="s">
        <v>8</v>
      </c>
      <c r="BP834" s="27" t="s">
        <v>7</v>
      </c>
      <c r="BQ834" s="27" t="s">
        <v>8</v>
      </c>
      <c r="BR834" s="27" t="s">
        <v>7</v>
      </c>
      <c r="BS834" s="27" t="s">
        <v>8</v>
      </c>
      <c r="BT834" s="27" t="s">
        <v>7</v>
      </c>
      <c r="BU834" s="27" t="s">
        <v>8</v>
      </c>
      <c r="BX834" s="27" t="s">
        <v>7</v>
      </c>
      <c r="BY834" s="27" t="s">
        <v>8</v>
      </c>
      <c r="CH834" s="27" t="s">
        <v>7</v>
      </c>
      <c r="DR834" s="27" t="s">
        <v>7</v>
      </c>
      <c r="DS834" s="27" t="s">
        <v>8</v>
      </c>
      <c r="DV834" s="27" t="s">
        <v>7</v>
      </c>
      <c r="DW834" s="27" t="s">
        <v>8</v>
      </c>
      <c r="DX834" s="27" t="s">
        <v>7</v>
      </c>
      <c r="DY834" s="27" t="s">
        <v>8</v>
      </c>
      <c r="DZ834" s="27" t="s">
        <v>7</v>
      </c>
      <c r="EA834" s="27" t="s">
        <v>8</v>
      </c>
      <c r="EB834" s="27" t="s">
        <v>7</v>
      </c>
      <c r="EK834" s="27" t="s">
        <v>8</v>
      </c>
      <c r="EQ834" s="27" t="s">
        <v>8</v>
      </c>
      <c r="ER834" s="27" t="s">
        <v>7</v>
      </c>
      <c r="ES834" s="27" t="s">
        <v>8</v>
      </c>
      <c r="ET834" s="27" t="s">
        <v>7</v>
      </c>
      <c r="EY834" s="27" t="s">
        <v>8</v>
      </c>
      <c r="EZ834" s="27" t="s">
        <v>7</v>
      </c>
      <c r="FE834" s="27" t="s">
        <v>8</v>
      </c>
      <c r="FF834" s="27" t="s">
        <v>7</v>
      </c>
      <c r="FI834" s="27" t="s">
        <v>8</v>
      </c>
    </row>
    <row r="835" spans="1:165" x14ac:dyDescent="0.25">
      <c r="A835" s="7">
        <v>7.3647397226634772E-3</v>
      </c>
      <c r="B835"/>
      <c r="C835"/>
      <c r="D835"/>
      <c r="E835"/>
      <c r="H835" s="27" t="s">
        <v>7</v>
      </c>
      <c r="J835" s="27" t="s">
        <v>7</v>
      </c>
      <c r="L835" s="27" t="s">
        <v>7</v>
      </c>
      <c r="M835" s="27" t="s">
        <v>8</v>
      </c>
      <c r="N835" s="27" t="s">
        <v>7</v>
      </c>
      <c r="V835" s="27" t="s">
        <v>7</v>
      </c>
      <c r="W835" s="27" t="s">
        <v>8</v>
      </c>
      <c r="X835" s="27" t="s">
        <v>7</v>
      </c>
      <c r="Y835" s="27" t="s">
        <v>8</v>
      </c>
      <c r="Z835" s="27" t="s">
        <v>7</v>
      </c>
      <c r="AA835" s="27" t="s">
        <v>8</v>
      </c>
      <c r="AB835" s="27" t="s">
        <v>7</v>
      </c>
      <c r="AC835" s="27" t="s">
        <v>8</v>
      </c>
      <c r="AD835" s="27" t="s">
        <v>7</v>
      </c>
      <c r="AU835" s="27" t="s">
        <v>8</v>
      </c>
      <c r="AV835" s="27" t="s">
        <v>7</v>
      </c>
      <c r="BK835" s="27" t="s">
        <v>8</v>
      </c>
      <c r="BL835" s="27" t="s">
        <v>7</v>
      </c>
      <c r="BO835" s="27" t="s">
        <v>8</v>
      </c>
      <c r="BP835" s="27" t="s">
        <v>7</v>
      </c>
      <c r="BQ835" s="27" t="s">
        <v>8</v>
      </c>
      <c r="BR835" s="27" t="s">
        <v>7</v>
      </c>
      <c r="BS835" s="27" t="s">
        <v>8</v>
      </c>
      <c r="BT835" s="27" t="s">
        <v>7</v>
      </c>
      <c r="BU835" s="27" t="s">
        <v>8</v>
      </c>
      <c r="BX835" s="27" t="s">
        <v>7</v>
      </c>
      <c r="BY835" s="27" t="s">
        <v>8</v>
      </c>
      <c r="DR835" s="27" t="s">
        <v>7</v>
      </c>
      <c r="DS835" s="27" t="s">
        <v>8</v>
      </c>
      <c r="DV835" s="27" t="s">
        <v>7</v>
      </c>
      <c r="DW835" s="27" t="s">
        <v>8</v>
      </c>
      <c r="DX835" s="27" t="s">
        <v>7</v>
      </c>
      <c r="DY835" s="27" t="s">
        <v>8</v>
      </c>
      <c r="DZ835" s="27" t="s">
        <v>7</v>
      </c>
      <c r="EA835" s="27" t="s">
        <v>8</v>
      </c>
      <c r="EB835" s="27" t="s">
        <v>7</v>
      </c>
      <c r="EK835" s="27" t="s">
        <v>8</v>
      </c>
      <c r="EL835" s="27" t="s">
        <v>7</v>
      </c>
      <c r="EQ835" s="27" t="s">
        <v>8</v>
      </c>
      <c r="ER835" s="27" t="s">
        <v>7</v>
      </c>
      <c r="ES835" s="27" t="s">
        <v>8</v>
      </c>
      <c r="ET835" s="27" t="s">
        <v>7</v>
      </c>
      <c r="EW835" s="27" t="s">
        <v>8</v>
      </c>
      <c r="EY835" s="27" t="s">
        <v>8</v>
      </c>
      <c r="EZ835" s="27" t="s">
        <v>7</v>
      </c>
      <c r="FE835" s="27" t="s">
        <v>8</v>
      </c>
      <c r="FF835" s="27" t="s">
        <v>7</v>
      </c>
      <c r="FI835" s="27" t="s">
        <v>8</v>
      </c>
    </row>
    <row r="836" spans="1:165" x14ac:dyDescent="0.25">
      <c r="A836" s="7">
        <v>7.2203330614347815E-3</v>
      </c>
      <c r="B836"/>
      <c r="C836"/>
      <c r="D836"/>
      <c r="E836"/>
      <c r="L836" s="27" t="s">
        <v>7</v>
      </c>
      <c r="M836" s="27" t="s">
        <v>8</v>
      </c>
      <c r="V836" s="27" t="s">
        <v>7</v>
      </c>
      <c r="X836" s="27" t="s">
        <v>7</v>
      </c>
      <c r="Y836" s="27" t="s">
        <v>8</v>
      </c>
      <c r="Z836" s="27" t="s">
        <v>7</v>
      </c>
      <c r="AA836" s="27" t="s">
        <v>8</v>
      </c>
      <c r="AB836" s="27" t="s">
        <v>7</v>
      </c>
      <c r="AC836" s="27" t="s">
        <v>8</v>
      </c>
      <c r="AD836" s="27" t="s">
        <v>7</v>
      </c>
      <c r="AU836" s="27" t="s">
        <v>8</v>
      </c>
      <c r="AV836" s="27" t="s">
        <v>7</v>
      </c>
      <c r="BI836" s="27" t="s">
        <v>8</v>
      </c>
      <c r="BK836" s="27" t="s">
        <v>8</v>
      </c>
      <c r="BL836" s="27" t="s">
        <v>7</v>
      </c>
      <c r="BO836" s="27" t="s">
        <v>8</v>
      </c>
      <c r="BP836" s="27" t="s">
        <v>7</v>
      </c>
      <c r="BQ836" s="27" t="s">
        <v>8</v>
      </c>
      <c r="BR836" s="27" t="s">
        <v>7</v>
      </c>
      <c r="BS836" s="27" t="s">
        <v>8</v>
      </c>
      <c r="BT836" s="27" t="s">
        <v>7</v>
      </c>
      <c r="BX836" s="27" t="s">
        <v>7</v>
      </c>
      <c r="BY836" s="27" t="s">
        <v>8</v>
      </c>
      <c r="DR836" s="27" t="s">
        <v>7</v>
      </c>
      <c r="DV836" s="27" t="s">
        <v>7</v>
      </c>
      <c r="DW836" s="27" t="s">
        <v>8</v>
      </c>
      <c r="DX836" s="27" t="s">
        <v>7</v>
      </c>
      <c r="DY836" s="27" t="s">
        <v>8</v>
      </c>
      <c r="DZ836" s="27" t="s">
        <v>7</v>
      </c>
      <c r="EA836" s="27" t="s">
        <v>8</v>
      </c>
      <c r="EB836" s="27" t="s">
        <v>7</v>
      </c>
      <c r="EC836" s="27" t="s">
        <v>8</v>
      </c>
      <c r="EI836" s="27" t="s">
        <v>8</v>
      </c>
      <c r="EK836" s="27" t="s">
        <v>8</v>
      </c>
      <c r="EL836" s="27" t="s">
        <v>7</v>
      </c>
      <c r="EO836" s="27" t="s">
        <v>8</v>
      </c>
      <c r="EQ836" s="27" t="s">
        <v>8</v>
      </c>
      <c r="ER836" s="27" t="s">
        <v>7</v>
      </c>
      <c r="ET836" s="27" t="s">
        <v>7</v>
      </c>
      <c r="EW836" s="27" t="s">
        <v>8</v>
      </c>
      <c r="EX836" s="27" t="s">
        <v>7</v>
      </c>
      <c r="EY836" s="27" t="s">
        <v>8</v>
      </c>
      <c r="EZ836" s="27" t="s">
        <v>7</v>
      </c>
      <c r="FE836" s="27" t="s">
        <v>8</v>
      </c>
      <c r="FF836" s="27" t="s">
        <v>7</v>
      </c>
      <c r="FG836" s="27" t="s">
        <v>8</v>
      </c>
      <c r="FI836" s="27" t="s">
        <v>8</v>
      </c>
    </row>
    <row r="837" spans="1:165" x14ac:dyDescent="0.25">
      <c r="A837" s="7">
        <v>7.0787579033674327E-3</v>
      </c>
      <c r="B837"/>
      <c r="C837"/>
      <c r="D837"/>
      <c r="E837"/>
      <c r="L837" s="27" t="s">
        <v>7</v>
      </c>
      <c r="M837" s="27" t="s">
        <v>8</v>
      </c>
      <c r="X837" s="27" t="s">
        <v>7</v>
      </c>
      <c r="Z837" s="27" t="s">
        <v>7</v>
      </c>
      <c r="AA837" s="27" t="s">
        <v>8</v>
      </c>
      <c r="AB837" s="27" t="s">
        <v>7</v>
      </c>
      <c r="AC837" s="27" t="s">
        <v>8</v>
      </c>
      <c r="AD837" s="27" t="s">
        <v>7</v>
      </c>
      <c r="AU837" s="27" t="s">
        <v>8</v>
      </c>
      <c r="AV837" s="27" t="s">
        <v>7</v>
      </c>
      <c r="BI837" s="27" t="s">
        <v>8</v>
      </c>
      <c r="BJ837" s="27" t="s">
        <v>7</v>
      </c>
      <c r="BK837" s="27" t="s">
        <v>8</v>
      </c>
      <c r="BL837" s="27" t="s">
        <v>7</v>
      </c>
      <c r="BM837" s="27" t="s">
        <v>8</v>
      </c>
      <c r="BO837" s="27" t="s">
        <v>8</v>
      </c>
      <c r="BP837" s="27" t="s">
        <v>7</v>
      </c>
      <c r="BQ837" s="27" t="s">
        <v>8</v>
      </c>
      <c r="BR837" s="27" t="s">
        <v>7</v>
      </c>
      <c r="BS837" s="27" t="s">
        <v>8</v>
      </c>
      <c r="BX837" s="27" t="s">
        <v>7</v>
      </c>
      <c r="BY837" s="27" t="s">
        <v>8</v>
      </c>
      <c r="DV837" s="27" t="s">
        <v>7</v>
      </c>
      <c r="DW837" s="27" t="s">
        <v>8</v>
      </c>
      <c r="DX837" s="27" t="s">
        <v>7</v>
      </c>
      <c r="DY837" s="27" t="s">
        <v>8</v>
      </c>
      <c r="DZ837" s="27" t="s">
        <v>7</v>
      </c>
      <c r="EA837" s="27" t="s">
        <v>8</v>
      </c>
      <c r="EB837" s="27" t="s">
        <v>7</v>
      </c>
      <c r="EC837" s="27" t="s">
        <v>8</v>
      </c>
      <c r="ED837" s="27" t="s">
        <v>7</v>
      </c>
      <c r="EI837" s="27" t="s">
        <v>8</v>
      </c>
      <c r="EJ837" s="27" t="s">
        <v>7</v>
      </c>
      <c r="EK837" s="27" t="s">
        <v>8</v>
      </c>
      <c r="EL837" s="27" t="s">
        <v>7</v>
      </c>
      <c r="EO837" s="27" t="s">
        <v>8</v>
      </c>
      <c r="EP837" s="27" t="s">
        <v>7</v>
      </c>
      <c r="EQ837" s="27" t="s">
        <v>8</v>
      </c>
      <c r="ET837" s="27" t="s">
        <v>7</v>
      </c>
      <c r="EU837" s="27" t="s">
        <v>8</v>
      </c>
      <c r="EW837" s="27" t="s">
        <v>8</v>
      </c>
      <c r="EX837" s="27" t="s">
        <v>7</v>
      </c>
      <c r="EY837" s="27" t="s">
        <v>8</v>
      </c>
      <c r="EZ837" s="27" t="s">
        <v>7</v>
      </c>
      <c r="FA837" s="27" t="s">
        <v>8</v>
      </c>
      <c r="FE837" s="27" t="s">
        <v>8</v>
      </c>
      <c r="FF837" s="27" t="s">
        <v>7</v>
      </c>
      <c r="FG837" s="27" t="s">
        <v>8</v>
      </c>
      <c r="FH837" s="27" t="s">
        <v>7</v>
      </c>
      <c r="FI837" s="27" t="s">
        <v>8</v>
      </c>
    </row>
    <row r="838" spans="1:165" x14ac:dyDescent="0.25">
      <c r="A838" s="7">
        <v>6.9399587287916013E-3</v>
      </c>
      <c r="B838"/>
      <c r="C838"/>
      <c r="D838"/>
      <c r="E838"/>
      <c r="L838" s="27" t="s">
        <v>7</v>
      </c>
      <c r="Z838" s="27" t="s">
        <v>7</v>
      </c>
      <c r="AB838" s="27" t="s">
        <v>7</v>
      </c>
      <c r="AC838" s="27" t="s">
        <v>8</v>
      </c>
      <c r="AD838" s="27" t="s">
        <v>7</v>
      </c>
      <c r="AU838" s="27" t="s">
        <v>8</v>
      </c>
      <c r="AV838" s="27" t="s">
        <v>7</v>
      </c>
      <c r="BI838" s="27" t="s">
        <v>8</v>
      </c>
      <c r="BJ838" s="27" t="s">
        <v>7</v>
      </c>
      <c r="BK838" s="27" t="s">
        <v>8</v>
      </c>
      <c r="BL838" s="27" t="s">
        <v>7</v>
      </c>
      <c r="BM838" s="27" t="s">
        <v>8</v>
      </c>
      <c r="BN838" s="27" t="s">
        <v>7</v>
      </c>
      <c r="BO838" s="27" t="s">
        <v>8</v>
      </c>
      <c r="BP838" s="27" t="s">
        <v>7</v>
      </c>
      <c r="BQ838" s="27" t="s">
        <v>8</v>
      </c>
      <c r="BR838" s="27" t="s">
        <v>7</v>
      </c>
      <c r="BX838" s="27" t="s">
        <v>7</v>
      </c>
      <c r="BY838" s="27" t="s">
        <v>8</v>
      </c>
      <c r="DV838" s="27" t="s">
        <v>7</v>
      </c>
      <c r="DW838" s="27" t="s">
        <v>8</v>
      </c>
      <c r="DX838" s="27" t="s">
        <v>7</v>
      </c>
      <c r="DY838" s="27" t="s">
        <v>8</v>
      </c>
      <c r="DZ838" s="27" t="s">
        <v>7</v>
      </c>
      <c r="EA838" s="27" t="s">
        <v>8</v>
      </c>
      <c r="EB838" s="27" t="s">
        <v>7</v>
      </c>
      <c r="EC838" s="27" t="s">
        <v>8</v>
      </c>
      <c r="ED838" s="27" t="s">
        <v>7</v>
      </c>
      <c r="EI838" s="27" t="s">
        <v>8</v>
      </c>
      <c r="EJ838" s="27" t="s">
        <v>7</v>
      </c>
      <c r="EK838" s="27" t="s">
        <v>8</v>
      </c>
      <c r="EL838" s="27" t="s">
        <v>7</v>
      </c>
      <c r="EM838" s="27" t="s">
        <v>8</v>
      </c>
      <c r="EO838" s="27" t="s">
        <v>8</v>
      </c>
      <c r="EP838" s="27" t="s">
        <v>7</v>
      </c>
      <c r="EQ838" s="27" t="s">
        <v>8</v>
      </c>
      <c r="ET838" s="27" t="s">
        <v>7</v>
      </c>
      <c r="EU838" s="27" t="s">
        <v>8</v>
      </c>
      <c r="EV838" s="27" t="s">
        <v>7</v>
      </c>
      <c r="EW838" s="27" t="s">
        <v>8</v>
      </c>
      <c r="EX838" s="27" t="s">
        <v>7</v>
      </c>
      <c r="EY838" s="27" t="s">
        <v>8</v>
      </c>
      <c r="EZ838" s="27" t="s">
        <v>7</v>
      </c>
      <c r="FA838" s="27" t="s">
        <v>8</v>
      </c>
      <c r="FB838" s="27" t="s">
        <v>7</v>
      </c>
      <c r="FE838" s="27" t="s">
        <v>8</v>
      </c>
      <c r="FF838" s="27" t="s">
        <v>7</v>
      </c>
      <c r="FG838" s="27" t="s">
        <v>8</v>
      </c>
      <c r="FH838" s="27" t="s">
        <v>7</v>
      </c>
      <c r="FI838" s="27" t="s">
        <v>8</v>
      </c>
    </row>
    <row r="839" spans="1:165" x14ac:dyDescent="0.25">
      <c r="A839" s="7">
        <v>6.8038811066584333E-3</v>
      </c>
      <c r="B839"/>
      <c r="C839"/>
      <c r="D839"/>
      <c r="E839"/>
      <c r="AB839" s="27" t="s">
        <v>7</v>
      </c>
      <c r="AC839" s="27" t="s">
        <v>8</v>
      </c>
      <c r="AD839" s="27" t="s">
        <v>7</v>
      </c>
      <c r="AU839" s="27" t="s">
        <v>8</v>
      </c>
      <c r="AV839" s="27" t="s">
        <v>7</v>
      </c>
      <c r="BI839" s="27" t="s">
        <v>8</v>
      </c>
      <c r="BJ839" s="27" t="s">
        <v>7</v>
      </c>
      <c r="BK839" s="27" t="s">
        <v>8</v>
      </c>
      <c r="BL839" s="27" t="s">
        <v>7</v>
      </c>
      <c r="BM839" s="27" t="s">
        <v>8</v>
      </c>
      <c r="BN839" s="27" t="s">
        <v>7</v>
      </c>
      <c r="BO839" s="27" t="s">
        <v>8</v>
      </c>
      <c r="BP839" s="27" t="s">
        <v>7</v>
      </c>
      <c r="BQ839" s="27" t="s">
        <v>8</v>
      </c>
      <c r="BX839" s="27" t="s">
        <v>7</v>
      </c>
      <c r="BY839" s="27" t="s">
        <v>8</v>
      </c>
      <c r="DV839" s="27" t="s">
        <v>7</v>
      </c>
      <c r="DX839" s="27" t="s">
        <v>7</v>
      </c>
      <c r="DY839" s="27" t="s">
        <v>8</v>
      </c>
      <c r="DZ839" s="27" t="s">
        <v>7</v>
      </c>
      <c r="EA839" s="27" t="s">
        <v>8</v>
      </c>
      <c r="EB839" s="27" t="s">
        <v>7</v>
      </c>
      <c r="EC839" s="27" t="s">
        <v>8</v>
      </c>
      <c r="ED839" s="27" t="s">
        <v>7</v>
      </c>
      <c r="EI839" s="27" t="s">
        <v>8</v>
      </c>
      <c r="EJ839" s="27" t="s">
        <v>7</v>
      </c>
      <c r="EK839" s="27" t="s">
        <v>8</v>
      </c>
      <c r="EL839" s="27" t="s">
        <v>7</v>
      </c>
      <c r="EM839" s="27" t="s">
        <v>8</v>
      </c>
      <c r="EN839" s="27" t="s">
        <v>7</v>
      </c>
      <c r="EO839" s="27" t="s">
        <v>8</v>
      </c>
      <c r="EP839" s="27" t="s">
        <v>7</v>
      </c>
      <c r="EQ839" s="27" t="s">
        <v>8</v>
      </c>
      <c r="ET839" s="27" t="s">
        <v>7</v>
      </c>
      <c r="EU839" s="27" t="s">
        <v>8</v>
      </c>
      <c r="EV839" s="27" t="s">
        <v>7</v>
      </c>
      <c r="EW839" s="27" t="s">
        <v>8</v>
      </c>
      <c r="EX839" s="27" t="s">
        <v>7</v>
      </c>
      <c r="EY839" s="27" t="s">
        <v>8</v>
      </c>
      <c r="EZ839" s="27" t="s">
        <v>7</v>
      </c>
      <c r="FA839" s="27" t="s">
        <v>8</v>
      </c>
      <c r="FB839" s="27" t="s">
        <v>7</v>
      </c>
      <c r="FE839" s="27" t="s">
        <v>8</v>
      </c>
      <c r="FF839" s="27" t="s">
        <v>7</v>
      </c>
      <c r="FH839" s="27" t="s">
        <v>7</v>
      </c>
    </row>
    <row r="840" spans="1:165" x14ac:dyDescent="0.25">
      <c r="A840" s="7">
        <v>6.6704716731945425E-3</v>
      </c>
      <c r="B840"/>
      <c r="C840"/>
      <c r="D840"/>
      <c r="E840"/>
      <c r="AB840" s="27" t="s">
        <v>7</v>
      </c>
      <c r="AC840" s="27" t="s">
        <v>8</v>
      </c>
      <c r="AD840" s="27" t="s">
        <v>7</v>
      </c>
      <c r="AU840" s="27" t="s">
        <v>8</v>
      </c>
      <c r="AV840" s="27" t="s">
        <v>7</v>
      </c>
      <c r="BI840" s="27" t="s">
        <v>8</v>
      </c>
      <c r="BJ840" s="27" t="s">
        <v>7</v>
      </c>
      <c r="BK840" s="27" t="s">
        <v>8</v>
      </c>
      <c r="BL840" s="27" t="s">
        <v>7</v>
      </c>
      <c r="BN840" s="27" t="s">
        <v>7</v>
      </c>
      <c r="BO840" s="27" t="s">
        <v>8</v>
      </c>
      <c r="BP840" s="27" t="s">
        <v>7</v>
      </c>
      <c r="BQ840" s="27" t="s">
        <v>8</v>
      </c>
      <c r="BX840" s="27" t="s">
        <v>7</v>
      </c>
      <c r="DX840" s="27" t="s">
        <v>7</v>
      </c>
      <c r="DY840" s="27" t="s">
        <v>8</v>
      </c>
      <c r="DZ840" s="27" t="s">
        <v>7</v>
      </c>
      <c r="EA840" s="27" t="s">
        <v>8</v>
      </c>
      <c r="EB840" s="27" t="s">
        <v>7</v>
      </c>
      <c r="EC840" s="27" t="s">
        <v>8</v>
      </c>
      <c r="ED840" s="27" t="s">
        <v>7</v>
      </c>
      <c r="EI840" s="27" t="s">
        <v>8</v>
      </c>
      <c r="EJ840" s="27" t="s">
        <v>7</v>
      </c>
      <c r="EK840" s="27" t="s">
        <v>8</v>
      </c>
      <c r="EL840" s="27" t="s">
        <v>7</v>
      </c>
      <c r="EM840" s="27" t="s">
        <v>8</v>
      </c>
      <c r="EN840" s="27" t="s">
        <v>7</v>
      </c>
      <c r="EO840" s="27" t="s">
        <v>8</v>
      </c>
      <c r="EP840" s="27" t="s">
        <v>7</v>
      </c>
      <c r="ET840" s="27" t="s">
        <v>7</v>
      </c>
      <c r="EU840" s="27" t="s">
        <v>8</v>
      </c>
      <c r="EV840" s="27" t="s">
        <v>7</v>
      </c>
      <c r="EX840" s="27" t="s">
        <v>7</v>
      </c>
      <c r="EZ840" s="27" t="s">
        <v>7</v>
      </c>
      <c r="FB840" s="27" t="s">
        <v>7</v>
      </c>
      <c r="FE840" s="27" t="s">
        <v>8</v>
      </c>
    </row>
    <row r="841" spans="1:165" x14ac:dyDescent="0.25">
      <c r="A841" s="7">
        <v>6.5396781109750427E-3</v>
      </c>
      <c r="B841"/>
      <c r="C841"/>
      <c r="D841"/>
      <c r="E841"/>
      <c r="AB841" s="27" t="s">
        <v>7</v>
      </c>
      <c r="AC841" s="27" t="s">
        <v>8</v>
      </c>
      <c r="AD841" s="27" t="s">
        <v>7</v>
      </c>
      <c r="AU841" s="27" t="s">
        <v>8</v>
      </c>
      <c r="AV841" s="27" t="s">
        <v>7</v>
      </c>
      <c r="BI841" s="27" t="s">
        <v>8</v>
      </c>
      <c r="BJ841" s="27" t="s">
        <v>7</v>
      </c>
      <c r="BK841" s="27" t="s">
        <v>8</v>
      </c>
      <c r="BN841" s="27" t="s">
        <v>7</v>
      </c>
      <c r="BP841" s="27" t="s">
        <v>7</v>
      </c>
      <c r="BQ841" s="27" t="s">
        <v>8</v>
      </c>
      <c r="DX841" s="27" t="s">
        <v>7</v>
      </c>
      <c r="DY841" s="27" t="s">
        <v>8</v>
      </c>
      <c r="DZ841" s="27" t="s">
        <v>7</v>
      </c>
      <c r="EA841" s="27" t="s">
        <v>8</v>
      </c>
      <c r="EB841" s="27" t="s">
        <v>7</v>
      </c>
      <c r="EC841" s="27" t="s">
        <v>8</v>
      </c>
      <c r="ED841" s="27" t="s">
        <v>7</v>
      </c>
      <c r="EI841" s="27" t="s">
        <v>8</v>
      </c>
      <c r="EJ841" s="27" t="s">
        <v>7</v>
      </c>
      <c r="EK841" s="27" t="s">
        <v>8</v>
      </c>
      <c r="EL841" s="27" t="s">
        <v>7</v>
      </c>
      <c r="EM841" s="27" t="s">
        <v>8</v>
      </c>
      <c r="EN841" s="27" t="s">
        <v>7</v>
      </c>
      <c r="EO841" s="27" t="s">
        <v>8</v>
      </c>
      <c r="ET841" s="27" t="s">
        <v>7</v>
      </c>
      <c r="EU841" s="27" t="s">
        <v>8</v>
      </c>
      <c r="FB841" s="27" t="s">
        <v>7</v>
      </c>
      <c r="FC841" s="27" t="s">
        <v>8</v>
      </c>
      <c r="FE841" s="27" t="s">
        <v>8</v>
      </c>
    </row>
    <row r="842" spans="1:165" x14ac:dyDescent="0.25">
      <c r="A842" s="7">
        <v>6.4114491284069045E-3</v>
      </c>
      <c r="B842"/>
      <c r="C842"/>
      <c r="D842"/>
      <c r="E842"/>
      <c r="AB842" s="27" t="s">
        <v>7</v>
      </c>
      <c r="AC842" s="27" t="s">
        <v>8</v>
      </c>
      <c r="AD842" s="27" t="s">
        <v>7</v>
      </c>
      <c r="AU842" s="27" t="s">
        <v>8</v>
      </c>
      <c r="AV842" s="27" t="s">
        <v>7</v>
      </c>
      <c r="BI842" s="27" t="s">
        <v>8</v>
      </c>
      <c r="BJ842" s="27" t="s">
        <v>7</v>
      </c>
      <c r="BK842" s="27" t="s">
        <v>8</v>
      </c>
      <c r="BP842" s="27" t="s">
        <v>7</v>
      </c>
      <c r="BQ842" s="27" t="s">
        <v>8</v>
      </c>
      <c r="DX842" s="27" t="s">
        <v>7</v>
      </c>
      <c r="DY842" s="27" t="s">
        <v>8</v>
      </c>
      <c r="DZ842" s="27" t="s">
        <v>7</v>
      </c>
      <c r="EB842" s="27" t="s">
        <v>7</v>
      </c>
      <c r="EC842" s="27" t="s">
        <v>8</v>
      </c>
      <c r="ED842" s="27" t="s">
        <v>7</v>
      </c>
      <c r="EI842" s="27" t="s">
        <v>8</v>
      </c>
      <c r="EJ842" s="27" t="s">
        <v>7</v>
      </c>
      <c r="EK842" s="27" t="s">
        <v>8</v>
      </c>
      <c r="EL842" s="27" t="s">
        <v>7</v>
      </c>
      <c r="EN842" s="27" t="s">
        <v>7</v>
      </c>
      <c r="EO842" s="27" t="s">
        <v>8</v>
      </c>
      <c r="ET842" s="27" t="s">
        <v>7</v>
      </c>
      <c r="EU842" s="27" t="s">
        <v>8</v>
      </c>
      <c r="FB842" s="27" t="s">
        <v>7</v>
      </c>
      <c r="FC842" s="27" t="s">
        <v>8</v>
      </c>
      <c r="FD842" s="27" t="s">
        <v>7</v>
      </c>
      <c r="FE842" s="27" t="s">
        <v>8</v>
      </c>
    </row>
    <row r="843" spans="1:165" x14ac:dyDescent="0.25">
      <c r="A843" s="7">
        <v>6.2857344396146115E-3</v>
      </c>
      <c r="B843"/>
      <c r="C843"/>
      <c r="D843"/>
      <c r="E843"/>
      <c r="AB843" s="27" t="s">
        <v>7</v>
      </c>
      <c r="AD843" s="27" t="s">
        <v>7</v>
      </c>
      <c r="AU843" s="27" t="s">
        <v>8</v>
      </c>
      <c r="AV843" s="27" t="s">
        <v>7</v>
      </c>
      <c r="BA843" s="27" t="s">
        <v>8</v>
      </c>
      <c r="BE843" s="27" t="s">
        <v>8</v>
      </c>
      <c r="BI843" s="27" t="s">
        <v>8</v>
      </c>
      <c r="BJ843" s="27" t="s">
        <v>7</v>
      </c>
      <c r="BK843" s="27" t="s">
        <v>8</v>
      </c>
      <c r="BP843" s="27" t="s">
        <v>7</v>
      </c>
      <c r="BQ843" s="27" t="s">
        <v>8</v>
      </c>
      <c r="DX843" s="27" t="s">
        <v>7</v>
      </c>
      <c r="DY843" s="27" t="s">
        <v>8</v>
      </c>
      <c r="EB843" s="27" t="s">
        <v>7</v>
      </c>
      <c r="EC843" s="27" t="s">
        <v>8</v>
      </c>
      <c r="ED843" s="27" t="s">
        <v>7</v>
      </c>
      <c r="EI843" s="27" t="s">
        <v>8</v>
      </c>
      <c r="EJ843" s="27" t="s">
        <v>7</v>
      </c>
      <c r="EK843" s="27" t="s">
        <v>8</v>
      </c>
      <c r="EN843" s="27" t="s">
        <v>7</v>
      </c>
      <c r="EO843" s="27" t="s">
        <v>8</v>
      </c>
      <c r="ET843" s="27" t="s">
        <v>7</v>
      </c>
      <c r="FB843" s="27" t="s">
        <v>7</v>
      </c>
      <c r="FC843" s="27" t="s">
        <v>8</v>
      </c>
      <c r="FD843" s="27" t="s">
        <v>7</v>
      </c>
      <c r="FE843" s="27" t="s">
        <v>8</v>
      </c>
    </row>
    <row r="844" spans="1:165" x14ac:dyDescent="0.25">
      <c r="A844" s="7">
        <v>6.1624847447202076E-3</v>
      </c>
      <c r="B844"/>
      <c r="C844"/>
      <c r="D844"/>
      <c r="E844"/>
      <c r="AD844" s="27" t="s">
        <v>7</v>
      </c>
      <c r="AU844" s="27" t="s">
        <v>8</v>
      </c>
      <c r="AV844" s="27" t="s">
        <v>7</v>
      </c>
      <c r="BA844" s="27" t="s">
        <v>8</v>
      </c>
      <c r="BB844" s="27" t="s">
        <v>7</v>
      </c>
      <c r="BE844" s="27" t="s">
        <v>8</v>
      </c>
      <c r="BF844" s="27" t="s">
        <v>7</v>
      </c>
      <c r="BI844" s="27" t="s">
        <v>8</v>
      </c>
      <c r="BJ844" s="27" t="s">
        <v>7</v>
      </c>
      <c r="BK844" s="27" t="s">
        <v>8</v>
      </c>
      <c r="BP844" s="27" t="s">
        <v>7</v>
      </c>
      <c r="BQ844" s="27" t="s">
        <v>8</v>
      </c>
      <c r="DX844" s="27" t="s">
        <v>7</v>
      </c>
      <c r="EB844" s="27" t="s">
        <v>7</v>
      </c>
      <c r="EC844" s="27" t="s">
        <v>8</v>
      </c>
      <c r="ED844" s="27" t="s">
        <v>7</v>
      </c>
      <c r="EI844" s="27" t="s">
        <v>8</v>
      </c>
      <c r="EJ844" s="27" t="s">
        <v>7</v>
      </c>
      <c r="EN844" s="27" t="s">
        <v>7</v>
      </c>
      <c r="FB844" s="27" t="s">
        <v>7</v>
      </c>
      <c r="FC844" s="27" t="s">
        <v>8</v>
      </c>
      <c r="FD844" s="27" t="s">
        <v>7</v>
      </c>
    </row>
    <row r="845" spans="1:165" x14ac:dyDescent="0.25">
      <c r="A845" s="7">
        <v>6.0416517105100079E-3</v>
      </c>
      <c r="B845"/>
      <c r="C845"/>
      <c r="D845"/>
      <c r="E845"/>
      <c r="AD845" s="27" t="s">
        <v>7</v>
      </c>
      <c r="AU845" s="27" t="s">
        <v>8</v>
      </c>
      <c r="AV845" s="27" t="s">
        <v>7</v>
      </c>
      <c r="BA845" s="27" t="s">
        <v>8</v>
      </c>
      <c r="BB845" s="27" t="s">
        <v>7</v>
      </c>
      <c r="BE845" s="27" t="s">
        <v>8</v>
      </c>
      <c r="BF845" s="27" t="s">
        <v>7</v>
      </c>
      <c r="BI845" s="27" t="s">
        <v>8</v>
      </c>
      <c r="BJ845" s="27" t="s">
        <v>7</v>
      </c>
      <c r="BK845" s="27" t="s">
        <v>8</v>
      </c>
      <c r="BP845" s="27" t="s">
        <v>7</v>
      </c>
      <c r="BQ845" s="27" t="s">
        <v>8</v>
      </c>
      <c r="EB845" s="27" t="s">
        <v>7</v>
      </c>
      <c r="ED845" s="27" t="s">
        <v>7</v>
      </c>
      <c r="EI845" s="27" t="s">
        <v>8</v>
      </c>
      <c r="FB845" s="27" t="s">
        <v>7</v>
      </c>
    </row>
    <row r="846" spans="1:165" x14ac:dyDescent="0.25">
      <c r="A846" s="7">
        <v>5.9231879514803996E-3</v>
      </c>
      <c r="B846"/>
      <c r="C846"/>
      <c r="D846"/>
      <c r="E846"/>
      <c r="AD846" s="27" t="s">
        <v>7</v>
      </c>
      <c r="AU846" s="27" t="s">
        <v>8</v>
      </c>
      <c r="AV846" s="27" t="s">
        <v>7</v>
      </c>
      <c r="BA846" s="27" t="s">
        <v>8</v>
      </c>
      <c r="BB846" s="27" t="s">
        <v>7</v>
      </c>
      <c r="BE846" s="27" t="s">
        <v>8</v>
      </c>
      <c r="BF846" s="27" t="s">
        <v>7</v>
      </c>
      <c r="BG846" s="27" t="s">
        <v>8</v>
      </c>
      <c r="BI846" s="27" t="s">
        <v>8</v>
      </c>
      <c r="BJ846" s="27" t="s">
        <v>7</v>
      </c>
      <c r="BK846" s="27" t="s">
        <v>8</v>
      </c>
      <c r="BP846" s="27" t="s">
        <v>7</v>
      </c>
      <c r="ED846" s="27" t="s">
        <v>7</v>
      </c>
      <c r="EI846" s="27" t="s">
        <v>8</v>
      </c>
    </row>
    <row r="847" spans="1:165" x14ac:dyDescent="0.25">
      <c r="A847" s="7">
        <v>5.8070470112552936E-3</v>
      </c>
      <c r="B847"/>
      <c r="C847"/>
      <c r="D847"/>
      <c r="E847"/>
      <c r="AD847" s="27" t="s">
        <v>7</v>
      </c>
      <c r="AU847" s="27" t="s">
        <v>8</v>
      </c>
      <c r="AV847" s="27" t="s">
        <v>7</v>
      </c>
      <c r="BA847" s="27" t="s">
        <v>8</v>
      </c>
      <c r="BB847" s="27" t="s">
        <v>7</v>
      </c>
      <c r="BC847" s="27" t="s">
        <v>8</v>
      </c>
      <c r="BE847" s="27" t="s">
        <v>8</v>
      </c>
      <c r="BF847" s="27" t="s">
        <v>7</v>
      </c>
      <c r="BG847" s="27" t="s">
        <v>8</v>
      </c>
      <c r="BH847" s="27" t="s">
        <v>7</v>
      </c>
      <c r="BI847" s="27" t="s">
        <v>8</v>
      </c>
      <c r="BJ847" s="27" t="s">
        <v>7</v>
      </c>
      <c r="ED847" s="27" t="s">
        <v>7</v>
      </c>
      <c r="EE847" s="27" t="s">
        <v>8</v>
      </c>
      <c r="EI847" s="27" t="s">
        <v>8</v>
      </c>
    </row>
    <row r="848" spans="1:165" x14ac:dyDescent="0.25">
      <c r="A848" s="7">
        <v>5.6931833443679353E-3</v>
      </c>
      <c r="B848"/>
      <c r="C848"/>
      <c r="D848"/>
      <c r="E848"/>
      <c r="AD848" s="27" t="s">
        <v>7</v>
      </c>
      <c r="AU848" s="27" t="s">
        <v>8</v>
      </c>
      <c r="AV848" s="27" t="s">
        <v>7</v>
      </c>
      <c r="AW848" s="27" t="s">
        <v>8</v>
      </c>
      <c r="AY848" s="27" t="s">
        <v>8</v>
      </c>
      <c r="BA848" s="27" t="s">
        <v>8</v>
      </c>
      <c r="BB848" s="27" t="s">
        <v>7</v>
      </c>
      <c r="BC848" s="27" t="s">
        <v>8</v>
      </c>
      <c r="BD848" s="27" t="s">
        <v>7</v>
      </c>
      <c r="BE848" s="27" t="s">
        <v>8</v>
      </c>
      <c r="BF848" s="27" t="s">
        <v>7</v>
      </c>
      <c r="BG848" s="27" t="s">
        <v>8</v>
      </c>
      <c r="BH848" s="27" t="s">
        <v>7</v>
      </c>
      <c r="BI848" s="27" t="s">
        <v>8</v>
      </c>
      <c r="ED848" s="27" t="s">
        <v>7</v>
      </c>
      <c r="EE848" s="27" t="s">
        <v>8</v>
      </c>
      <c r="EF848" s="27" t="s">
        <v>7</v>
      </c>
      <c r="EG848" s="27" t="s">
        <v>8</v>
      </c>
      <c r="EI848" s="27" t="s">
        <v>8</v>
      </c>
    </row>
    <row r="849" spans="1:139" x14ac:dyDescent="0.25">
      <c r="A849" s="7">
        <v>5.5815522983999367E-3</v>
      </c>
      <c r="B849"/>
      <c r="C849"/>
      <c r="D849"/>
      <c r="E849"/>
      <c r="AD849" s="27" t="s">
        <v>7</v>
      </c>
      <c r="AU849" s="27" t="s">
        <v>8</v>
      </c>
      <c r="AV849" s="27" t="s">
        <v>7</v>
      </c>
      <c r="AW849" s="27" t="s">
        <v>8</v>
      </c>
      <c r="AX849" s="27" t="s">
        <v>7</v>
      </c>
      <c r="AY849" s="27" t="s">
        <v>8</v>
      </c>
      <c r="AZ849" s="27" t="s">
        <v>7</v>
      </c>
      <c r="BA849" s="27" t="s">
        <v>8</v>
      </c>
      <c r="BB849" s="27" t="s">
        <v>7</v>
      </c>
      <c r="BC849" s="27" t="s">
        <v>8</v>
      </c>
      <c r="BD849" s="27" t="s">
        <v>7</v>
      </c>
      <c r="BE849" s="27" t="s">
        <v>8</v>
      </c>
      <c r="BF849" s="27" t="s">
        <v>7</v>
      </c>
      <c r="BG849" s="27" t="s">
        <v>8</v>
      </c>
      <c r="BH849" s="27" t="s">
        <v>7</v>
      </c>
      <c r="ED849" s="27" t="s">
        <v>7</v>
      </c>
      <c r="EE849" s="27" t="s">
        <v>8</v>
      </c>
      <c r="EF849" s="27" t="s">
        <v>7</v>
      </c>
      <c r="EG849" s="27" t="s">
        <v>8</v>
      </c>
      <c r="EH849" s="27" t="s">
        <v>7</v>
      </c>
      <c r="EI849" s="27" t="s">
        <v>8</v>
      </c>
    </row>
    <row r="850" spans="1:139" x14ac:dyDescent="0.25">
      <c r="A850" s="7">
        <v>5.4721100964705257E-3</v>
      </c>
      <c r="B850"/>
      <c r="C850"/>
      <c r="D850"/>
      <c r="E850"/>
      <c r="AD850" s="27" t="s">
        <v>7</v>
      </c>
      <c r="AK850" s="27" t="s">
        <v>8</v>
      </c>
      <c r="AU850" s="27" t="s">
        <v>8</v>
      </c>
      <c r="AV850" s="27" t="s">
        <v>7</v>
      </c>
      <c r="AW850" s="27" t="s">
        <v>8</v>
      </c>
      <c r="AX850" s="27" t="s">
        <v>7</v>
      </c>
      <c r="AY850" s="27" t="s">
        <v>8</v>
      </c>
      <c r="AZ850" s="27" t="s">
        <v>7</v>
      </c>
      <c r="BA850" s="27" t="s">
        <v>8</v>
      </c>
      <c r="BB850" s="27" t="s">
        <v>7</v>
      </c>
      <c r="BC850" s="27" t="s">
        <v>8</v>
      </c>
      <c r="BD850" s="27" t="s">
        <v>7</v>
      </c>
      <c r="BE850" s="27" t="s">
        <v>8</v>
      </c>
      <c r="BF850" s="27" t="s">
        <v>7</v>
      </c>
      <c r="BG850" s="27" t="s">
        <v>8</v>
      </c>
      <c r="ED850" s="27" t="s">
        <v>7</v>
      </c>
      <c r="EE850" s="27" t="s">
        <v>8</v>
      </c>
      <c r="EF850" s="27" t="s">
        <v>7</v>
      </c>
      <c r="EG850" s="27" t="s">
        <v>8</v>
      </c>
      <c r="EH850" s="27" t="s">
        <v>7</v>
      </c>
      <c r="EI850" s="27" t="s">
        <v>8</v>
      </c>
    </row>
    <row r="851" spans="1:139" x14ac:dyDescent="0.25">
      <c r="A851" s="7">
        <v>5.3648138200691423E-3</v>
      </c>
      <c r="B851"/>
      <c r="C851"/>
      <c r="D851"/>
      <c r="E851"/>
      <c r="AD851" s="27" t="s">
        <v>7</v>
      </c>
      <c r="AK851" s="27" t="s">
        <v>8</v>
      </c>
      <c r="AL851" s="27" t="s">
        <v>7</v>
      </c>
      <c r="AU851" s="27" t="s">
        <v>8</v>
      </c>
      <c r="AV851" s="27" t="s">
        <v>7</v>
      </c>
      <c r="AW851" s="27" t="s">
        <v>8</v>
      </c>
      <c r="AX851" s="27" t="s">
        <v>7</v>
      </c>
      <c r="AY851" s="27" t="s">
        <v>8</v>
      </c>
      <c r="AZ851" s="27" t="s">
        <v>7</v>
      </c>
      <c r="BA851" s="27" t="s">
        <v>8</v>
      </c>
      <c r="BB851" s="27" t="s">
        <v>7</v>
      </c>
      <c r="BD851" s="27" t="s">
        <v>7</v>
      </c>
      <c r="BE851" s="27" t="s">
        <v>8</v>
      </c>
      <c r="BF851" s="27" t="s">
        <v>7</v>
      </c>
      <c r="BG851" s="27" t="s">
        <v>8</v>
      </c>
      <c r="ED851" s="27" t="s">
        <v>7</v>
      </c>
      <c r="EE851" s="27" t="s">
        <v>8</v>
      </c>
      <c r="EF851" s="27" t="s">
        <v>7</v>
      </c>
      <c r="EG851" s="27" t="s">
        <v>8</v>
      </c>
      <c r="EH851" s="27" t="s">
        <v>7</v>
      </c>
      <c r="EI851" s="27" t="s">
        <v>8</v>
      </c>
    </row>
    <row r="852" spans="1:139" x14ac:dyDescent="0.25">
      <c r="A852" s="7">
        <v>5.2596213922246494E-3</v>
      </c>
      <c r="B852"/>
      <c r="C852"/>
      <c r="D852"/>
      <c r="E852"/>
      <c r="AD852" s="27" t="s">
        <v>7</v>
      </c>
      <c r="AK852" s="27" t="s">
        <v>8</v>
      </c>
      <c r="AL852" s="27" t="s">
        <v>7</v>
      </c>
      <c r="AQ852" s="27" t="s">
        <v>8</v>
      </c>
      <c r="AU852" s="27" t="s">
        <v>8</v>
      </c>
      <c r="AV852" s="27" t="s">
        <v>7</v>
      </c>
      <c r="AW852" s="27" t="s">
        <v>8</v>
      </c>
      <c r="AX852" s="27" t="s">
        <v>7</v>
      </c>
      <c r="AY852" s="27" t="s">
        <v>8</v>
      </c>
      <c r="AZ852" s="27" t="s">
        <v>7</v>
      </c>
      <c r="BD852" s="27" t="s">
        <v>7</v>
      </c>
      <c r="BE852" s="27" t="s">
        <v>8</v>
      </c>
      <c r="BF852" s="27" t="s">
        <v>7</v>
      </c>
      <c r="BG852" s="27" t="s">
        <v>8</v>
      </c>
      <c r="ED852" s="27" t="s">
        <v>7</v>
      </c>
      <c r="EE852" s="27" t="s">
        <v>8</v>
      </c>
      <c r="EF852" s="27" t="s">
        <v>7</v>
      </c>
      <c r="EG852" s="27" t="s">
        <v>8</v>
      </c>
      <c r="EH852" s="27" t="s">
        <v>7</v>
      </c>
      <c r="EI852" s="27" t="s">
        <v>8</v>
      </c>
    </row>
    <row r="853" spans="1:139" x14ac:dyDescent="0.25">
      <c r="A853" s="7">
        <v>5.1564915610045588E-3</v>
      </c>
      <c r="B853"/>
      <c r="C853"/>
      <c r="D853"/>
      <c r="E853"/>
      <c r="AD853" s="27" t="s">
        <v>7</v>
      </c>
      <c r="AK853" s="27" t="s">
        <v>8</v>
      </c>
      <c r="AL853" s="27" t="s">
        <v>7</v>
      </c>
      <c r="AQ853" s="27" t="s">
        <v>8</v>
      </c>
      <c r="AR853" s="27" t="s">
        <v>7</v>
      </c>
      <c r="AU853" s="27" t="s">
        <v>8</v>
      </c>
      <c r="AV853" s="27" t="s">
        <v>7</v>
      </c>
      <c r="AW853" s="27" t="s">
        <v>8</v>
      </c>
      <c r="AX853" s="27" t="s">
        <v>7</v>
      </c>
      <c r="AY853" s="27" t="s">
        <v>8</v>
      </c>
      <c r="BD853" s="27" t="s">
        <v>7</v>
      </c>
      <c r="BE853" s="27" t="s">
        <v>8</v>
      </c>
      <c r="BF853" s="27" t="s">
        <v>7</v>
      </c>
      <c r="BG853" s="27" t="s">
        <v>8</v>
      </c>
      <c r="ED853" s="27" t="s">
        <v>7</v>
      </c>
      <c r="EE853" s="27" t="s">
        <v>8</v>
      </c>
      <c r="EF853" s="27" t="s">
        <v>7</v>
      </c>
      <c r="EG853" s="27" t="s">
        <v>8</v>
      </c>
      <c r="EH853" s="27" t="s">
        <v>7</v>
      </c>
      <c r="EI853" s="27" t="s">
        <v>8</v>
      </c>
    </row>
    <row r="854" spans="1:139" x14ac:dyDescent="0.25">
      <c r="A854" s="7">
        <v>5.0553838833378023E-3</v>
      </c>
      <c r="B854"/>
      <c r="C854"/>
      <c r="D854"/>
      <c r="E854"/>
      <c r="AD854" s="27" t="s">
        <v>7</v>
      </c>
      <c r="AE854" s="27" t="s">
        <v>8</v>
      </c>
      <c r="AK854" s="27" t="s">
        <v>8</v>
      </c>
      <c r="AL854" s="27" t="s">
        <v>7</v>
      </c>
      <c r="AQ854" s="27" t="s">
        <v>8</v>
      </c>
      <c r="AR854" s="27" t="s">
        <v>7</v>
      </c>
      <c r="AS854" s="27" t="s">
        <v>8</v>
      </c>
      <c r="AU854" s="27" t="s">
        <v>8</v>
      </c>
      <c r="AV854" s="27" t="s">
        <v>7</v>
      </c>
      <c r="AW854" s="27" t="s">
        <v>8</v>
      </c>
      <c r="AX854" s="27" t="s">
        <v>7</v>
      </c>
      <c r="AY854" s="27" t="s">
        <v>8</v>
      </c>
      <c r="BD854" s="27" t="s">
        <v>7</v>
      </c>
      <c r="BF854" s="27" t="s">
        <v>7</v>
      </c>
      <c r="BG854" s="27" t="s">
        <v>8</v>
      </c>
      <c r="ED854" s="27" t="s">
        <v>7</v>
      </c>
      <c r="EF854" s="27" t="s">
        <v>7</v>
      </c>
      <c r="EG854" s="27" t="s">
        <v>8</v>
      </c>
      <c r="EH854" s="27" t="s">
        <v>7</v>
      </c>
    </row>
    <row r="855" spans="1:139" x14ac:dyDescent="0.25">
      <c r="A855" s="7">
        <v>4.9562587091547079E-3</v>
      </c>
      <c r="B855"/>
      <c r="C855"/>
      <c r="D855"/>
      <c r="E855"/>
      <c r="AD855" s="27" t="s">
        <v>7</v>
      </c>
      <c r="AE855" s="27" t="s">
        <v>8</v>
      </c>
      <c r="AF855" s="27" t="s">
        <v>7</v>
      </c>
      <c r="AK855" s="27" t="s">
        <v>8</v>
      </c>
      <c r="AL855" s="27" t="s">
        <v>7</v>
      </c>
      <c r="AO855" s="27" t="s">
        <v>8</v>
      </c>
      <c r="AQ855" s="27" t="s">
        <v>8</v>
      </c>
      <c r="AR855" s="27" t="s">
        <v>7</v>
      </c>
      <c r="AS855" s="27" t="s">
        <v>8</v>
      </c>
      <c r="AT855" s="27" t="s">
        <v>7</v>
      </c>
      <c r="AU855" s="27" t="s">
        <v>8</v>
      </c>
      <c r="AV855" s="27" t="s">
        <v>7</v>
      </c>
      <c r="AW855" s="27" t="s">
        <v>8</v>
      </c>
      <c r="AX855" s="27" t="s">
        <v>7</v>
      </c>
      <c r="AY855" s="27" t="s">
        <v>8</v>
      </c>
      <c r="BF855" s="27" t="s">
        <v>7</v>
      </c>
      <c r="BG855" s="27" t="s">
        <v>8</v>
      </c>
      <c r="EF855" s="27" t="s">
        <v>7</v>
      </c>
    </row>
    <row r="856" spans="1:139" x14ac:dyDescent="0.25">
      <c r="A856" s="7">
        <v>4.8590771658379491E-3</v>
      </c>
      <c r="B856"/>
      <c r="C856"/>
      <c r="D856"/>
      <c r="E856"/>
      <c r="AD856" s="27" t="s">
        <v>7</v>
      </c>
      <c r="AE856" s="27" t="s">
        <v>8</v>
      </c>
      <c r="AF856" s="27" t="s">
        <v>7</v>
      </c>
      <c r="AG856" s="27" t="s">
        <v>8</v>
      </c>
      <c r="AK856" s="27" t="s">
        <v>8</v>
      </c>
      <c r="AL856" s="27" t="s">
        <v>7</v>
      </c>
      <c r="AO856" s="27" t="s">
        <v>8</v>
      </c>
      <c r="AP856" s="27" t="s">
        <v>7</v>
      </c>
      <c r="AQ856" s="27" t="s">
        <v>8</v>
      </c>
      <c r="AR856" s="27" t="s">
        <v>7</v>
      </c>
      <c r="AS856" s="27" t="s">
        <v>8</v>
      </c>
      <c r="AT856" s="27" t="s">
        <v>7</v>
      </c>
      <c r="AU856" s="27" t="s">
        <v>8</v>
      </c>
      <c r="AV856" s="27" t="s">
        <v>7</v>
      </c>
      <c r="AW856" s="27" t="s">
        <v>8</v>
      </c>
      <c r="AX856" s="27" t="s">
        <v>7</v>
      </c>
      <c r="AY856" s="27" t="s">
        <v>8</v>
      </c>
      <c r="BF856" s="27" t="s">
        <v>7</v>
      </c>
    </row>
    <row r="857" spans="1:139" x14ac:dyDescent="0.25">
      <c r="A857" s="7">
        <v>4.7638011429783815E-3</v>
      </c>
      <c r="B857"/>
      <c r="C857"/>
      <c r="D857"/>
      <c r="E857"/>
      <c r="AD857" s="27" t="s">
        <v>7</v>
      </c>
      <c r="AE857" s="27" t="s">
        <v>8</v>
      </c>
      <c r="AF857" s="27" t="s">
        <v>7</v>
      </c>
      <c r="AG857" s="27" t="s">
        <v>8</v>
      </c>
      <c r="AH857" s="27" t="s">
        <v>7</v>
      </c>
      <c r="AI857" s="27" t="s">
        <v>8</v>
      </c>
      <c r="AK857" s="27" t="s">
        <v>8</v>
      </c>
      <c r="AL857" s="27" t="s">
        <v>7</v>
      </c>
      <c r="AO857" s="27" t="s">
        <v>8</v>
      </c>
      <c r="AP857" s="27" t="s">
        <v>7</v>
      </c>
      <c r="AQ857" s="27" t="s">
        <v>8</v>
      </c>
      <c r="AR857" s="27" t="s">
        <v>7</v>
      </c>
      <c r="AS857" s="27" t="s">
        <v>8</v>
      </c>
      <c r="AT857" s="27" t="s">
        <v>7</v>
      </c>
      <c r="AU857" s="27" t="s">
        <v>8</v>
      </c>
      <c r="AV857" s="27" t="s">
        <v>7</v>
      </c>
      <c r="AX857" s="27" t="s">
        <v>7</v>
      </c>
      <c r="AY857" s="27" t="s">
        <v>8</v>
      </c>
    </row>
    <row r="858" spans="1:139" x14ac:dyDescent="0.25">
      <c r="A858" s="7">
        <v>4.6703932774297859E-3</v>
      </c>
      <c r="B858"/>
      <c r="C858"/>
      <c r="D858"/>
      <c r="E858"/>
      <c r="AD858" s="27" t="s">
        <v>7</v>
      </c>
      <c r="AE858" s="27" t="s">
        <v>8</v>
      </c>
      <c r="AF858" s="27" t="s">
        <v>7</v>
      </c>
      <c r="AG858" s="27" t="s">
        <v>8</v>
      </c>
      <c r="AH858" s="27" t="s">
        <v>7</v>
      </c>
      <c r="AI858" s="27" t="s">
        <v>8</v>
      </c>
      <c r="AJ858" s="27" t="s">
        <v>7</v>
      </c>
      <c r="AK858" s="27" t="s">
        <v>8</v>
      </c>
      <c r="AL858" s="27" t="s">
        <v>7</v>
      </c>
      <c r="AM858" s="27" t="s">
        <v>8</v>
      </c>
      <c r="AO858" s="27" t="s">
        <v>8</v>
      </c>
      <c r="AP858" s="27" t="s">
        <v>7</v>
      </c>
      <c r="AQ858" s="27" t="s">
        <v>8</v>
      </c>
      <c r="AR858" s="27" t="s">
        <v>7</v>
      </c>
      <c r="AT858" s="27" t="s">
        <v>7</v>
      </c>
      <c r="AU858" s="27" t="s">
        <v>8</v>
      </c>
      <c r="AX858" s="27" t="s">
        <v>7</v>
      </c>
    </row>
    <row r="859" spans="1:139" x14ac:dyDescent="0.25">
      <c r="A859" s="7">
        <v>4.5788169386566527E-3</v>
      </c>
      <c r="B859"/>
      <c r="C859"/>
      <c r="D859"/>
      <c r="E859"/>
      <c r="AD859" s="27" t="s">
        <v>7</v>
      </c>
      <c r="AE859" s="27" t="s">
        <v>8</v>
      </c>
      <c r="AF859" s="27" t="s">
        <v>7</v>
      </c>
      <c r="AG859" s="27" t="s">
        <v>8</v>
      </c>
      <c r="AH859" s="27" t="s">
        <v>7</v>
      </c>
      <c r="AI859" s="27" t="s">
        <v>8</v>
      </c>
      <c r="AJ859" s="27" t="s">
        <v>7</v>
      </c>
      <c r="AK859" s="27" t="s">
        <v>8</v>
      </c>
      <c r="AL859" s="27" t="s">
        <v>7</v>
      </c>
      <c r="AM859" s="27" t="s">
        <v>8</v>
      </c>
      <c r="AN859" s="27" t="s">
        <v>7</v>
      </c>
      <c r="AO859" s="27" t="s">
        <v>8</v>
      </c>
      <c r="AP859" s="27" t="s">
        <v>7</v>
      </c>
      <c r="AT859" s="27" t="s">
        <v>7</v>
      </c>
      <c r="AU859" s="27" t="s">
        <v>8</v>
      </c>
    </row>
    <row r="860" spans="1:139" x14ac:dyDescent="0.25">
      <c r="A860" s="7">
        <v>4.4890362143692672E-3</v>
      </c>
      <c r="B860"/>
      <c r="C860"/>
      <c r="D860"/>
      <c r="E860"/>
      <c r="AD860" s="27" t="s">
        <v>7</v>
      </c>
      <c r="AE860" s="27" t="s">
        <v>8</v>
      </c>
      <c r="AF860" s="27" t="s">
        <v>7</v>
      </c>
      <c r="AG860" s="27" t="s">
        <v>8</v>
      </c>
      <c r="AH860" s="27" t="s">
        <v>7</v>
      </c>
      <c r="AI860" s="27" t="s">
        <v>8</v>
      </c>
      <c r="AJ860" s="27" t="s">
        <v>7</v>
      </c>
      <c r="AK860" s="27" t="s">
        <v>8</v>
      </c>
      <c r="AL860" s="27" t="s">
        <v>7</v>
      </c>
      <c r="AM860" s="27" t="s">
        <v>8</v>
      </c>
      <c r="AN860" s="27" t="s">
        <v>7</v>
      </c>
      <c r="AO860" s="27" t="s">
        <v>8</v>
      </c>
      <c r="AT860" s="27" t="s">
        <v>7</v>
      </c>
      <c r="AU860" s="27" t="s">
        <v>8</v>
      </c>
    </row>
    <row r="861" spans="1:139" x14ac:dyDescent="0.25">
      <c r="A861" s="7">
        <v>4.4010158964404578E-3</v>
      </c>
      <c r="B861"/>
      <c r="C861"/>
      <c r="D861"/>
      <c r="E861"/>
      <c r="AD861" s="27" t="s">
        <v>7</v>
      </c>
      <c r="AE861" s="27" t="s">
        <v>8</v>
      </c>
      <c r="AF861" s="27" t="s">
        <v>7</v>
      </c>
      <c r="AG861" s="27" t="s">
        <v>8</v>
      </c>
      <c r="AH861" s="27" t="s">
        <v>7</v>
      </c>
      <c r="AI861" s="27" t="s">
        <v>8</v>
      </c>
      <c r="AJ861" s="27" t="s">
        <v>7</v>
      </c>
      <c r="AK861" s="27" t="s">
        <v>8</v>
      </c>
      <c r="AL861" s="27" t="s">
        <v>7</v>
      </c>
      <c r="AM861" s="27" t="s">
        <v>8</v>
      </c>
      <c r="AN861" s="27" t="s">
        <v>7</v>
      </c>
      <c r="AO861" s="27" t="s">
        <v>8</v>
      </c>
      <c r="AT861" s="27" t="s">
        <v>7</v>
      </c>
    </row>
    <row r="862" spans="1:139" x14ac:dyDescent="0.25">
      <c r="A862" s="7">
        <v>4.314721467098488E-3</v>
      </c>
      <c r="B862"/>
      <c r="C862"/>
      <c r="D862"/>
      <c r="E862"/>
      <c r="AD862" s="27" t="s">
        <v>7</v>
      </c>
      <c r="AE862" s="27" t="s">
        <v>8</v>
      </c>
      <c r="AF862" s="27" t="s">
        <v>7</v>
      </c>
      <c r="AG862" s="27" t="s">
        <v>8</v>
      </c>
      <c r="AH862" s="27" t="s">
        <v>7</v>
      </c>
      <c r="AI862" s="27" t="s">
        <v>8</v>
      </c>
      <c r="AJ862" s="27" t="s">
        <v>7</v>
      </c>
      <c r="AK862" s="27" t="s">
        <v>8</v>
      </c>
      <c r="AL862" s="27" t="s">
        <v>7</v>
      </c>
      <c r="AM862" s="27" t="s">
        <v>8</v>
      </c>
      <c r="AN862" s="27" t="s">
        <v>7</v>
      </c>
      <c r="AO862" s="27" t="s">
        <v>8</v>
      </c>
    </row>
    <row r="863" spans="1:139" x14ac:dyDescent="0.25">
      <c r="A863" s="7">
        <v>4.2301190853906746E-3</v>
      </c>
      <c r="B863"/>
      <c r="C863"/>
      <c r="D863"/>
      <c r="E863"/>
      <c r="AD863" s="27" t="s">
        <v>7</v>
      </c>
      <c r="AE863" s="27" t="s">
        <v>8</v>
      </c>
      <c r="AF863" s="27" t="s">
        <v>7</v>
      </c>
      <c r="AG863" s="27" t="s">
        <v>8</v>
      </c>
      <c r="AH863" s="27" t="s">
        <v>7</v>
      </c>
      <c r="AI863" s="27" t="s">
        <v>8</v>
      </c>
      <c r="AJ863" s="27" t="s">
        <v>7</v>
      </c>
      <c r="AK863" s="27" t="s">
        <v>8</v>
      </c>
      <c r="AL863" s="27" t="s">
        <v>7</v>
      </c>
      <c r="AM863" s="27" t="s">
        <v>8</v>
      </c>
      <c r="AN863" s="27" t="s">
        <v>7</v>
      </c>
    </row>
    <row r="864" spans="1:139" x14ac:dyDescent="0.25">
      <c r="A864" s="7">
        <v>4.1471755739124266E-3</v>
      </c>
      <c r="B864"/>
      <c r="C864"/>
      <c r="D864"/>
      <c r="E864"/>
      <c r="AD864" s="27" t="s">
        <v>7</v>
      </c>
      <c r="AE864" s="27" t="s">
        <v>8</v>
      </c>
      <c r="AF864" s="27" t="s">
        <v>7</v>
      </c>
      <c r="AG864" s="27" t="s">
        <v>8</v>
      </c>
      <c r="AH864" s="27" t="s">
        <v>7</v>
      </c>
      <c r="AI864" s="27" t="s">
        <v>8</v>
      </c>
      <c r="AJ864" s="27" t="s">
        <v>7</v>
      </c>
      <c r="AK864" s="27" t="s">
        <v>8</v>
      </c>
      <c r="AL864" s="27" t="s">
        <v>7</v>
      </c>
    </row>
    <row r="865" spans="1:37" x14ac:dyDescent="0.25">
      <c r="A865" s="7">
        <v>4.0658584057964966E-3</v>
      </c>
      <c r="B865"/>
      <c r="C865"/>
      <c r="D865"/>
      <c r="E865"/>
      <c r="AD865" s="27" t="s">
        <v>7</v>
      </c>
      <c r="AE865" s="27" t="s">
        <v>8</v>
      </c>
      <c r="AF865" s="27" t="s">
        <v>7</v>
      </c>
      <c r="AG865" s="27" t="s">
        <v>8</v>
      </c>
      <c r="AH865" s="27" t="s">
        <v>7</v>
      </c>
      <c r="AI865" s="27" t="s">
        <v>8</v>
      </c>
      <c r="AJ865" s="27" t="s">
        <v>7</v>
      </c>
      <c r="AK865" s="27" t="s">
        <v>8</v>
      </c>
    </row>
    <row r="866" spans="1:37" x14ac:dyDescent="0.25">
      <c r="A866" s="7">
        <v>3.9861356919573491E-3</v>
      </c>
      <c r="B866"/>
      <c r="C866"/>
      <c r="D866"/>
      <c r="E866"/>
      <c r="AD866" s="27" t="s">
        <v>7</v>
      </c>
      <c r="AE866" s="27" t="s">
        <v>8</v>
      </c>
      <c r="AF866" s="27" t="s">
        <v>7</v>
      </c>
      <c r="AG866" s="27" t="s">
        <v>8</v>
      </c>
      <c r="AH866" s="27" t="s">
        <v>7</v>
      </c>
      <c r="AI866" s="27" t="s">
        <v>8</v>
      </c>
      <c r="AJ866" s="27" t="s">
        <v>7</v>
      </c>
      <c r="AK866" s="27" t="s">
        <v>8</v>
      </c>
    </row>
    <row r="867" spans="1:37" x14ac:dyDescent="0.25">
      <c r="A867" s="7">
        <v>3.9079761685856364E-3</v>
      </c>
      <c r="B867"/>
      <c r="C867"/>
      <c r="D867"/>
      <c r="E867"/>
      <c r="AD867" s="27" t="s">
        <v>7</v>
      </c>
      <c r="AE867" s="27" t="s">
        <v>8</v>
      </c>
      <c r="AF867" s="27" t="s">
        <v>7</v>
      </c>
      <c r="AG867" s="27" t="s">
        <v>8</v>
      </c>
      <c r="AH867" s="27" t="s">
        <v>7</v>
      </c>
      <c r="AI867" s="27" t="s">
        <v>8</v>
      </c>
      <c r="AJ867" s="27" t="s">
        <v>7</v>
      </c>
    </row>
    <row r="868" spans="1:37" x14ac:dyDescent="0.25">
      <c r="A868" s="7">
        <v>3.8313491848878793E-3</v>
      </c>
      <c r="B868"/>
      <c r="C868"/>
      <c r="D868"/>
      <c r="E868"/>
      <c r="AD868" s="27" t="s">
        <v>7</v>
      </c>
      <c r="AE868" s="27" t="s">
        <v>8</v>
      </c>
      <c r="AF868" s="27" t="s">
        <v>7</v>
      </c>
      <c r="AG868" s="27" t="s">
        <v>8</v>
      </c>
      <c r="AH868" s="27" t="s">
        <v>7</v>
      </c>
      <c r="AI868" s="27" t="s">
        <v>8</v>
      </c>
    </row>
    <row r="869" spans="1:37" x14ac:dyDescent="0.25">
      <c r="A869" s="7">
        <v>3.7562246910665485E-3</v>
      </c>
      <c r="B869"/>
      <c r="C869"/>
      <c r="D869"/>
      <c r="E869"/>
      <c r="AD869" s="27" t="s">
        <v>7</v>
      </c>
      <c r="AE869" s="27" t="s">
        <v>8</v>
      </c>
      <c r="AF869" s="27" t="s">
        <v>7</v>
      </c>
      <c r="AG869" s="27" t="s">
        <v>8</v>
      </c>
      <c r="AH869" s="27" t="s">
        <v>7</v>
      </c>
      <c r="AI869" s="27" t="s">
        <v>8</v>
      </c>
    </row>
    <row r="870" spans="1:37" x14ac:dyDescent="0.25">
      <c r="A870" s="7">
        <v>3.6825732265358315E-3</v>
      </c>
      <c r="B870"/>
      <c r="C870"/>
      <c r="D870"/>
      <c r="E870"/>
      <c r="AD870" s="27" t="s">
        <v>7</v>
      </c>
      <c r="AE870" s="27" t="s">
        <v>8</v>
      </c>
      <c r="AF870" s="27" t="s">
        <v>7</v>
      </c>
      <c r="AG870" s="27" t="s">
        <v>8</v>
      </c>
      <c r="AH870" s="27" t="s">
        <v>7</v>
      </c>
      <c r="AI870" s="27" t="s">
        <v>8</v>
      </c>
    </row>
    <row r="871" spans="1:37" x14ac:dyDescent="0.25">
      <c r="A871" s="7">
        <v>3.6103659083684624E-3</v>
      </c>
      <c r="B871"/>
      <c r="C871"/>
      <c r="D871"/>
      <c r="E871"/>
      <c r="AD871" s="27" t="s">
        <v>7</v>
      </c>
      <c r="AE871" s="27" t="s">
        <v>8</v>
      </c>
      <c r="AF871" s="27" t="s">
        <v>7</v>
      </c>
      <c r="AG871" s="27" t="s">
        <v>8</v>
      </c>
      <c r="AH871" s="27" t="s">
        <v>7</v>
      </c>
    </row>
    <row r="872" spans="1:37" x14ac:dyDescent="0.25">
      <c r="A872" s="7">
        <v>3.539574419969081E-3</v>
      </c>
      <c r="B872"/>
      <c r="C872"/>
      <c r="D872"/>
      <c r="E872"/>
      <c r="AD872" s="27" t="s">
        <v>7</v>
      </c>
      <c r="AE872" s="27" t="s">
        <v>8</v>
      </c>
      <c r="AF872" s="27" t="s">
        <v>7</v>
      </c>
      <c r="AG872" s="27" t="s">
        <v>8</v>
      </c>
    </row>
    <row r="873" spans="1:37" x14ac:dyDescent="0.25">
      <c r="A873" s="7">
        <v>3.4701709999696872E-3</v>
      </c>
      <c r="B873"/>
      <c r="C873"/>
      <c r="D873"/>
      <c r="E873"/>
      <c r="AD873" s="27" t="s">
        <v>7</v>
      </c>
      <c r="AE873" s="27" t="s">
        <v>8</v>
      </c>
      <c r="AF873" s="27" t="s">
        <v>7</v>
      </c>
      <c r="AG873" s="27" t="s">
        <v>8</v>
      </c>
    </row>
    <row r="874" spans="1:37" x14ac:dyDescent="0.25">
      <c r="A874" s="7">
        <v>3.4021284313428307E-3</v>
      </c>
      <c r="B874"/>
      <c r="C874"/>
      <c r="D874"/>
      <c r="E874"/>
      <c r="AD874" s="27" t="s">
        <v>7</v>
      </c>
      <c r="AE874" s="27" t="s">
        <v>8</v>
      </c>
      <c r="AF874" s="27" t="s">
        <v>7</v>
      </c>
      <c r="AG874" s="27" t="s">
        <v>8</v>
      </c>
    </row>
    <row r="875" spans="1:37" x14ac:dyDescent="0.25">
      <c r="A875" s="7">
        <v>3.3354200307282654E-3</v>
      </c>
      <c r="B875"/>
      <c r="C875"/>
      <c r="D875"/>
      <c r="E875"/>
      <c r="AD875" s="27" t="s">
        <v>7</v>
      </c>
      <c r="AE875" s="27" t="s">
        <v>8</v>
      </c>
      <c r="AF875" s="27" t="s">
        <v>7</v>
      </c>
    </row>
    <row r="876" spans="1:37" x14ac:dyDescent="0.25">
      <c r="A876" s="7">
        <v>3.2700196379688881E-3</v>
      </c>
      <c r="B876"/>
      <c r="C876"/>
      <c r="D876"/>
      <c r="E876"/>
      <c r="AD876" s="27" t="s">
        <v>7</v>
      </c>
      <c r="AE876" s="27" t="s">
        <v>8</v>
      </c>
    </row>
    <row r="877" spans="1:37" x14ac:dyDescent="0.25">
      <c r="A877" s="7">
        <v>3.205901605851851E-3</v>
      </c>
      <c r="B877"/>
      <c r="C877"/>
      <c r="D877"/>
      <c r="E877"/>
      <c r="AD877" s="27" t="s">
        <v>7</v>
      </c>
      <c r="AE877" s="27" t="s">
        <v>8</v>
      </c>
    </row>
    <row r="878" spans="1:37" x14ac:dyDescent="0.25">
      <c r="A878" s="7">
        <v>3.1430407900508344E-3</v>
      </c>
      <c r="B878"/>
      <c r="C878"/>
      <c r="D878"/>
      <c r="E878"/>
      <c r="AD878" s="27" t="s">
        <v>7</v>
      </c>
      <c r="AE878" s="27" t="s">
        <v>8</v>
      </c>
    </row>
    <row r="879" spans="1:37" x14ac:dyDescent="0.25">
      <c r="A879" s="7">
        <v>3.0814125392655241E-3</v>
      </c>
      <c r="B879"/>
      <c r="C879"/>
      <c r="D879"/>
      <c r="E879"/>
      <c r="AD879" s="27" t="s">
        <v>7</v>
      </c>
      <c r="AE879" s="27" t="s">
        <v>8</v>
      </c>
    </row>
    <row r="880" spans="1:37" x14ac:dyDescent="0.25">
      <c r="A880" s="7">
        <v>3.0209926855544354E-3</v>
      </c>
      <c r="B880"/>
      <c r="C880"/>
      <c r="D880"/>
      <c r="E880"/>
      <c r="AD880" s="27" t="s">
        <v>7</v>
      </c>
      <c r="AE880" s="27" t="s">
        <v>8</v>
      </c>
    </row>
    <row r="881" spans="1:31" x14ac:dyDescent="0.25">
      <c r="A881" s="7">
        <v>2.9617575348572897E-3</v>
      </c>
      <c r="B881"/>
      <c r="C881"/>
      <c r="D881"/>
      <c r="E881"/>
      <c r="AD881" s="27" t="s">
        <v>7</v>
      </c>
      <c r="AE881" s="27" t="s">
        <v>8</v>
      </c>
    </row>
    <row r="882" spans="1:31" x14ac:dyDescent="0.25">
      <c r="A882" s="7">
        <v>2.9036838577032251E-3</v>
      </c>
      <c r="B882"/>
      <c r="C882"/>
      <c r="D882"/>
      <c r="E882"/>
      <c r="AD882" s="27" t="s">
        <v>7</v>
      </c>
      <c r="AE882" s="27" t="s">
        <v>8</v>
      </c>
    </row>
    <row r="883" spans="1:31" x14ac:dyDescent="0.25">
      <c r="A883" s="7">
        <v>2.8467488801012012E-3</v>
      </c>
      <c r="B883"/>
      <c r="C883"/>
      <c r="D883"/>
      <c r="E883"/>
      <c r="AD883" s="27" t="s">
        <v>7</v>
      </c>
      <c r="AE883" s="27" t="s">
        <v>8</v>
      </c>
    </row>
    <row r="884" spans="1:31" x14ac:dyDescent="0.25">
      <c r="A884" s="7">
        <v>2.7909302746090209E-3</v>
      </c>
      <c r="B884"/>
      <c r="C884"/>
      <c r="D884"/>
      <c r="E884"/>
      <c r="AD884" s="27" t="s">
        <v>7</v>
      </c>
      <c r="AE884" s="27" t="s">
        <v>8</v>
      </c>
    </row>
    <row r="885" spans="1:31" x14ac:dyDescent="0.25">
      <c r="A885" s="7">
        <v>2.7362061515774716E-3</v>
      </c>
      <c r="B885"/>
      <c r="C885"/>
      <c r="D885"/>
      <c r="E885"/>
      <c r="AD885" s="27" t="s">
        <v>7</v>
      </c>
      <c r="AE885" s="27" t="s">
        <v>8</v>
      </c>
    </row>
    <row r="886" spans="1:31" x14ac:dyDescent="0.25">
      <c r="A886" s="7">
        <v>2.6825550505661486E-3</v>
      </c>
      <c r="B886"/>
      <c r="C886"/>
      <c r="D886"/>
      <c r="E886"/>
      <c r="AD886" s="27" t="s">
        <v>7</v>
      </c>
      <c r="AE886" s="27" t="s">
        <v>8</v>
      </c>
    </row>
    <row r="887" spans="1:31" x14ac:dyDescent="0.25">
      <c r="A887" s="7">
        <v>2.6299559319275965E-3</v>
      </c>
      <c r="B887"/>
      <c r="C887"/>
      <c r="D887"/>
      <c r="E887"/>
      <c r="AD887" s="27" t="s">
        <v>7</v>
      </c>
      <c r="AE887" s="27" t="s">
        <v>8</v>
      </c>
    </row>
    <row r="888" spans="1:31" x14ac:dyDescent="0.25">
      <c r="A888" s="7">
        <v>2.578388168556467E-3</v>
      </c>
      <c r="B888"/>
      <c r="C888"/>
      <c r="D888"/>
      <c r="E888"/>
      <c r="AD888" s="27" t="s">
        <v>7</v>
      </c>
    </row>
    <row r="889" spans="1:31" x14ac:dyDescent="0.25">
      <c r="A889" s="7">
        <v>2.5278315378004577E-3</v>
      </c>
      <c r="B889"/>
      <c r="C889"/>
      <c r="D889"/>
      <c r="E889"/>
    </row>
    <row r="890" spans="1:31" x14ac:dyDescent="0.25">
      <c r="A890" s="7">
        <v>2.4782662135298603E-3</v>
      </c>
      <c r="B890"/>
      <c r="C890"/>
      <c r="D890"/>
      <c r="E890"/>
    </row>
    <row r="891" spans="1:31" x14ac:dyDescent="0.25">
      <c r="A891" s="7">
        <v>2.4296727583626083E-3</v>
      </c>
      <c r="B891"/>
      <c r="C891"/>
      <c r="D891"/>
      <c r="E891"/>
    </row>
    <row r="892" spans="1:31" x14ac:dyDescent="0.25">
      <c r="A892" s="7">
        <v>2.3820321160417726E-3</v>
      </c>
      <c r="B892"/>
      <c r="C892"/>
      <c r="D892"/>
      <c r="E892"/>
    </row>
    <row r="893" spans="1:31" x14ac:dyDescent="0.25">
      <c r="A893" s="7">
        <v>2.3353256039625224E-3</v>
      </c>
      <c r="B893"/>
      <c r="C893"/>
      <c r="D893"/>
      <c r="E893"/>
    </row>
    <row r="894" spans="1:31" x14ac:dyDescent="0.25">
      <c r="A894" s="7">
        <v>2.2895349058456101E-3</v>
      </c>
      <c r="B894"/>
      <c r="C894"/>
      <c r="D894"/>
      <c r="E894"/>
    </row>
    <row r="895" spans="1:31" x14ac:dyDescent="0.25">
      <c r="A895" s="7">
        <v>2.24464206455452E-3</v>
      </c>
      <c r="B895"/>
      <c r="C895"/>
      <c r="D895"/>
      <c r="E895"/>
    </row>
    <row r="896" spans="1:31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HE310" sqref="HE31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$A$309</v>
      </c>
      <c r="D111" s="1" t="str">
        <f>ADDRESS(C121-1,D121,1,1)</f>
        <v>$HE$309</v>
      </c>
      <c r="E111"/>
    </row>
    <row r="112" spans="1:5" x14ac:dyDescent="0.25">
      <c r="A112" s="30">
        <v>515.50191262726139</v>
      </c>
      <c r="C112" s="1" t="str">
        <f>ADDRESS(C121,1,1,1)</f>
        <v>$A$310</v>
      </c>
      <c r="D112" s="1" t="str">
        <f>ADDRESS(C121,D121-1,1,1)</f>
        <v>$HD$310</v>
      </c>
      <c r="E112"/>
    </row>
    <row r="113" spans="1:5" x14ac:dyDescent="0.25">
      <c r="A113" s="30">
        <v>490.95420250215363</v>
      </c>
      <c r="C113" s="1" t="str">
        <f>ADDRESS(C121+1,1,1,1)</f>
        <v>$A$311</v>
      </c>
      <c r="D113" s="1" t="str">
        <f>ADDRESS(C121-1,D121+1,1,1)</f>
        <v>$HF$309</v>
      </c>
    </row>
    <row r="114" spans="1:5" x14ac:dyDescent="0.25">
      <c r="A114" s="30">
        <v>467.57543095443202</v>
      </c>
      <c r="C114" s="1" t="str">
        <f>ADDRESS(C121,D121,1,1)</f>
        <v>$HE$310</v>
      </c>
      <c r="D114" s="1" t="str">
        <f>ADDRESS(C121+1,D121+1,1,1)</f>
        <v>$HF$311</v>
      </c>
    </row>
    <row r="115" spans="1:5" x14ac:dyDescent="0.25">
      <c r="A115" s="30">
        <v>445.30993424231622</v>
      </c>
      <c r="C115" s="1" t="str">
        <f>ADDRESS(C121+1,D121,1,1)</f>
        <v>$HE$311</v>
      </c>
    </row>
    <row r="116" spans="1:5" x14ac:dyDescent="0.25">
      <c r="A116" s="30">
        <v>424.10469927839637</v>
      </c>
      <c r="C116" s="1">
        <f>C117-1</f>
        <v>309</v>
      </c>
    </row>
    <row r="117" spans="1:5" x14ac:dyDescent="0.25">
      <c r="A117" s="30">
        <v>403.9092374079965</v>
      </c>
      <c r="C117" s="1">
        <f>C121</f>
        <v>310</v>
      </c>
      <c r="D117" s="1">
        <f>D121</f>
        <v>213</v>
      </c>
    </row>
    <row r="118" spans="1:5" x14ac:dyDescent="0.25">
      <c r="A118" s="30">
        <v>384.6754641980919</v>
      </c>
      <c r="C118" s="1">
        <f>C117+1</f>
        <v>311</v>
      </c>
      <c r="D118" s="1">
        <f>D117+1</f>
        <v>214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310</v>
      </c>
      <c r="D121" s="19">
        <v>213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R310</v>
      </c>
      <c r="D123" s="1" t="str">
        <f>"C"&amp;D121</f>
        <v>C213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3.286616756321796E-2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204" x14ac:dyDescent="0.25">
      <c r="A273" s="30">
        <v>0.19987253960121379</v>
      </c>
      <c r="B273"/>
      <c r="C273"/>
      <c r="D273"/>
      <c r="E273"/>
      <c r="F273" s="27" t="s">
        <v>7</v>
      </c>
    </row>
    <row r="274" spans="1:204" x14ac:dyDescent="0.25">
      <c r="A274" s="30">
        <v>0.19035479962020352</v>
      </c>
      <c r="B274"/>
      <c r="C274"/>
      <c r="D274"/>
      <c r="E274"/>
      <c r="F274" s="27" t="s">
        <v>7</v>
      </c>
    </row>
    <row r="275" spans="1:204" x14ac:dyDescent="0.25">
      <c r="A275" s="30">
        <v>0.18129028535257471</v>
      </c>
      <c r="B275"/>
      <c r="C275"/>
      <c r="D275"/>
      <c r="E275"/>
      <c r="F275" s="27" t="s">
        <v>7</v>
      </c>
    </row>
    <row r="276" spans="1:204" x14ac:dyDescent="0.25">
      <c r="A276" s="30">
        <v>0.17265741462149967</v>
      </c>
      <c r="B276"/>
      <c r="C276"/>
      <c r="D276"/>
      <c r="E276"/>
      <c r="F276" s="27" t="s">
        <v>7</v>
      </c>
    </row>
    <row r="277" spans="1:204" x14ac:dyDescent="0.25">
      <c r="A277" s="30">
        <v>0.16443563297285677</v>
      </c>
      <c r="B277"/>
      <c r="C277"/>
      <c r="D277"/>
      <c r="E277"/>
      <c r="F277" s="27" t="s">
        <v>7</v>
      </c>
    </row>
    <row r="278" spans="1:204" x14ac:dyDescent="0.25">
      <c r="A278" s="30">
        <v>0.15660536473605399</v>
      </c>
      <c r="B278"/>
      <c r="C278"/>
      <c r="D278"/>
      <c r="E278"/>
      <c r="F278" s="27" t="s">
        <v>7</v>
      </c>
      <c r="DU278" s="27" t="s">
        <v>8</v>
      </c>
    </row>
    <row r="279" spans="1:204" x14ac:dyDescent="0.25">
      <c r="A279" s="30">
        <v>0.14914796641528946</v>
      </c>
      <c r="B279"/>
      <c r="C279"/>
      <c r="D279"/>
      <c r="E279"/>
      <c r="F279" s="27" t="s">
        <v>7</v>
      </c>
      <c r="DU279" s="27" t="s">
        <v>8</v>
      </c>
      <c r="DV279" s="27" t="s">
        <v>7</v>
      </c>
    </row>
    <row r="280" spans="1:204" x14ac:dyDescent="0.25">
      <c r="A280" s="30">
        <v>0.14204568230027562</v>
      </c>
      <c r="B280"/>
      <c r="C280"/>
      <c r="D280"/>
      <c r="E280"/>
      <c r="F280" s="27" t="s">
        <v>7</v>
      </c>
      <c r="DU280" s="27" t="s">
        <v>8</v>
      </c>
      <c r="DV280" s="27" t="s">
        <v>7</v>
      </c>
    </row>
    <row r="281" spans="1:204" x14ac:dyDescent="0.25">
      <c r="A281" s="30">
        <v>0.13528160219073862</v>
      </c>
      <c r="B281"/>
      <c r="C281"/>
      <c r="D281"/>
      <c r="E281"/>
      <c r="F281" s="27" t="s">
        <v>7</v>
      </c>
      <c r="DU281" s="27" t="s">
        <v>8</v>
      </c>
      <c r="DV281" s="27" t="s">
        <v>7</v>
      </c>
      <c r="DW281" s="27" t="s">
        <v>8</v>
      </c>
      <c r="DY281" s="27" t="s">
        <v>8</v>
      </c>
      <c r="GO281" s="27" t="s">
        <v>8</v>
      </c>
    </row>
    <row r="282" spans="1:204" x14ac:dyDescent="0.25">
      <c r="A282" s="30">
        <v>0.12883962113403674</v>
      </c>
      <c r="B282"/>
      <c r="C282"/>
      <c r="D282"/>
      <c r="E282"/>
      <c r="F282" s="27" t="s">
        <v>7</v>
      </c>
      <c r="DU282" s="27" t="s">
        <v>8</v>
      </c>
      <c r="DV282" s="27" t="s">
        <v>7</v>
      </c>
      <c r="DW282" s="27" t="s">
        <v>8</v>
      </c>
      <c r="DX282" s="27" t="s">
        <v>7</v>
      </c>
      <c r="DY282" s="27" t="s">
        <v>8</v>
      </c>
      <c r="DZ282" s="27" t="s">
        <v>7</v>
      </c>
      <c r="GO282" s="27" t="s">
        <v>8</v>
      </c>
      <c r="GP282" s="27" t="s">
        <v>7</v>
      </c>
    </row>
    <row r="283" spans="1:204" x14ac:dyDescent="0.25">
      <c r="A283" s="30">
        <v>0.12270440108003494</v>
      </c>
      <c r="B283"/>
      <c r="C283"/>
      <c r="D283"/>
      <c r="E283"/>
      <c r="F283" s="27" t="s">
        <v>7</v>
      </c>
      <c r="DU283" s="27" t="s">
        <v>8</v>
      </c>
      <c r="DV283" s="27" t="s">
        <v>7</v>
      </c>
      <c r="DW283" s="27" t="s">
        <v>8</v>
      </c>
      <c r="DX283" s="27" t="s">
        <v>7</v>
      </c>
      <c r="DY283" s="27" t="s">
        <v>8</v>
      </c>
      <c r="DZ283" s="27" t="s">
        <v>7</v>
      </c>
      <c r="GO283" s="27" t="s">
        <v>8</v>
      </c>
      <c r="GP283" s="27" t="s">
        <v>7</v>
      </c>
      <c r="GU283" s="27" t="s">
        <v>8</v>
      </c>
    </row>
    <row r="284" spans="1:204" x14ac:dyDescent="0.25">
      <c r="A284" s="30">
        <v>0.11686133436193799</v>
      </c>
      <c r="B284"/>
      <c r="C284"/>
      <c r="D284"/>
      <c r="E284"/>
      <c r="F284" s="27" t="s">
        <v>7</v>
      </c>
      <c r="DU284" s="27" t="s">
        <v>8</v>
      </c>
      <c r="DV284" s="27" t="s">
        <v>7</v>
      </c>
      <c r="DW284" s="27" t="s">
        <v>8</v>
      </c>
      <c r="DX284" s="27" t="s">
        <v>7</v>
      </c>
      <c r="DY284" s="27" t="s">
        <v>8</v>
      </c>
      <c r="DZ284" s="27" t="s">
        <v>7</v>
      </c>
      <c r="GO284" s="27" t="s">
        <v>8</v>
      </c>
      <c r="GP284" s="27" t="s">
        <v>7</v>
      </c>
      <c r="GU284" s="27" t="s">
        <v>8</v>
      </c>
      <c r="GV284" s="27" t="s">
        <v>7</v>
      </c>
    </row>
    <row r="285" spans="1:204" x14ac:dyDescent="0.25">
      <c r="A285" s="30">
        <v>0.11129650891613138</v>
      </c>
      <c r="B285"/>
      <c r="C285"/>
      <c r="D285"/>
      <c r="E285"/>
      <c r="F285" s="27" t="s">
        <v>7</v>
      </c>
      <c r="DU285" s="27" t="s">
        <v>8</v>
      </c>
      <c r="DV285" s="27" t="s">
        <v>7</v>
      </c>
      <c r="DW285" s="27" t="s">
        <v>8</v>
      </c>
      <c r="DX285" s="27" t="s">
        <v>7</v>
      </c>
      <c r="DY285" s="27" t="s">
        <v>8</v>
      </c>
      <c r="DZ285" s="27" t="s">
        <v>7</v>
      </c>
      <c r="EA285" s="27" t="s">
        <v>8</v>
      </c>
      <c r="GO285" s="27" t="s">
        <v>8</v>
      </c>
      <c r="GP285" s="27" t="s">
        <v>7</v>
      </c>
      <c r="GU285" s="27" t="s">
        <v>8</v>
      </c>
      <c r="GV285" s="27" t="s">
        <v>7</v>
      </c>
    </row>
    <row r="286" spans="1:204" x14ac:dyDescent="0.25">
      <c r="A286" s="30">
        <v>0.10599667515822032</v>
      </c>
      <c r="B286"/>
      <c r="C286"/>
      <c r="D286"/>
      <c r="E286"/>
      <c r="F286" s="27" t="s">
        <v>7</v>
      </c>
      <c r="DU286" s="27" t="s">
        <v>8</v>
      </c>
      <c r="DV286" s="27" t="s">
        <v>7</v>
      </c>
      <c r="DW286" s="27" t="s">
        <v>8</v>
      </c>
      <c r="DX286" s="27" t="s">
        <v>7</v>
      </c>
      <c r="DY286" s="27" t="s">
        <v>8</v>
      </c>
      <c r="DZ286" s="27" t="s">
        <v>7</v>
      </c>
      <c r="EA286" s="27" t="s">
        <v>8</v>
      </c>
      <c r="EB286" s="27" t="s">
        <v>7</v>
      </c>
      <c r="EC286" s="27" t="s">
        <v>8</v>
      </c>
      <c r="GO286" s="27" t="s">
        <v>8</v>
      </c>
      <c r="GP286" s="27" t="s">
        <v>7</v>
      </c>
      <c r="GU286" s="27" t="s">
        <v>8</v>
      </c>
      <c r="GV286" s="27" t="s">
        <v>7</v>
      </c>
    </row>
    <row r="287" spans="1:204" x14ac:dyDescent="0.25">
      <c r="A287" s="30">
        <v>0.10094921443640027</v>
      </c>
      <c r="B287"/>
      <c r="C287"/>
      <c r="D287"/>
      <c r="E287"/>
      <c r="F287" s="27" t="s">
        <v>7</v>
      </c>
      <c r="DU287" s="27" t="s">
        <v>8</v>
      </c>
      <c r="DV287" s="27" t="s">
        <v>7</v>
      </c>
      <c r="DW287" s="27" t="s">
        <v>8</v>
      </c>
      <c r="DX287" s="27" t="s">
        <v>7</v>
      </c>
      <c r="DZ287" s="27" t="s">
        <v>7</v>
      </c>
      <c r="EA287" s="27" t="s">
        <v>8</v>
      </c>
      <c r="EB287" s="27" t="s">
        <v>7</v>
      </c>
      <c r="EC287" s="27" t="s">
        <v>8</v>
      </c>
      <c r="ED287" s="27" t="s">
        <v>7</v>
      </c>
      <c r="EE287" s="27" t="s">
        <v>8</v>
      </c>
      <c r="EK287" s="27" t="s">
        <v>8</v>
      </c>
      <c r="GO287" s="27" t="s">
        <v>8</v>
      </c>
      <c r="GP287" s="27" t="s">
        <v>7</v>
      </c>
      <c r="GU287" s="27" t="s">
        <v>8</v>
      </c>
      <c r="GV287" s="27" t="s">
        <v>7</v>
      </c>
    </row>
    <row r="288" spans="1:204" x14ac:dyDescent="0.25">
      <c r="A288" s="30">
        <v>9.6142108987047836E-2</v>
      </c>
      <c r="B288"/>
      <c r="C288"/>
      <c r="D288"/>
      <c r="E288"/>
      <c r="F288" s="27" t="s">
        <v>7</v>
      </c>
      <c r="DU288" s="27" t="s">
        <v>8</v>
      </c>
      <c r="DV288" s="27" t="s">
        <v>7</v>
      </c>
      <c r="DW288" s="27" t="s">
        <v>8</v>
      </c>
      <c r="DZ288" s="27" t="s">
        <v>7</v>
      </c>
      <c r="EB288" s="27" t="s">
        <v>7</v>
      </c>
      <c r="EC288" s="27" t="s">
        <v>8</v>
      </c>
      <c r="ED288" s="27" t="s">
        <v>7</v>
      </c>
      <c r="EE288" s="27" t="s">
        <v>8</v>
      </c>
      <c r="EF288" s="27" t="s">
        <v>7</v>
      </c>
      <c r="EK288" s="27" t="s">
        <v>8</v>
      </c>
      <c r="EL288" s="27" t="s">
        <v>7</v>
      </c>
      <c r="GO288" s="27" t="s">
        <v>8</v>
      </c>
      <c r="GP288" s="27" t="s">
        <v>7</v>
      </c>
      <c r="GU288" s="27" t="s">
        <v>8</v>
      </c>
      <c r="GV288" s="27" t="s">
        <v>7</v>
      </c>
    </row>
    <row r="289" spans="1:212" x14ac:dyDescent="0.25">
      <c r="A289" s="30">
        <v>9.1563913320997906E-2</v>
      </c>
      <c r="B289"/>
      <c r="C289"/>
      <c r="D289"/>
      <c r="E289"/>
      <c r="F289" s="27" t="s">
        <v>7</v>
      </c>
      <c r="DU289" s="27" t="s">
        <v>8</v>
      </c>
      <c r="DV289" s="27" t="s">
        <v>7</v>
      </c>
      <c r="DW289" s="27" t="s">
        <v>8</v>
      </c>
      <c r="EB289" s="27" t="s">
        <v>7</v>
      </c>
      <c r="ED289" s="27" t="s">
        <v>7</v>
      </c>
      <c r="EE289" s="27" t="s">
        <v>8</v>
      </c>
      <c r="EF289" s="27" t="s">
        <v>7</v>
      </c>
      <c r="EK289" s="27" t="s">
        <v>8</v>
      </c>
      <c r="EL289" s="27" t="s">
        <v>7</v>
      </c>
      <c r="EW289" s="27" t="s">
        <v>8</v>
      </c>
      <c r="GO289" s="27" t="s">
        <v>8</v>
      </c>
      <c r="GP289" s="27" t="s">
        <v>7</v>
      </c>
      <c r="GU289" s="27" t="s">
        <v>8</v>
      </c>
      <c r="GV289" s="27" t="s">
        <v>7</v>
      </c>
    </row>
    <row r="290" spans="1:212" x14ac:dyDescent="0.25">
      <c r="A290" s="30">
        <v>8.7203726972378923E-2</v>
      </c>
      <c r="B290"/>
      <c r="C290"/>
      <c r="D290"/>
      <c r="E290"/>
      <c r="F290" s="27" t="s">
        <v>7</v>
      </c>
      <c r="DQ290" s="27" t="s">
        <v>8</v>
      </c>
      <c r="DU290" s="27" t="s">
        <v>8</v>
      </c>
      <c r="DV290" s="27" t="s">
        <v>7</v>
      </c>
      <c r="DW290" s="27" t="s">
        <v>8</v>
      </c>
      <c r="ED290" s="27" t="s">
        <v>7</v>
      </c>
      <c r="EE290" s="27" t="s">
        <v>8</v>
      </c>
      <c r="EF290" s="27" t="s">
        <v>7</v>
      </c>
      <c r="EI290" s="27" t="s">
        <v>8</v>
      </c>
      <c r="EK290" s="27" t="s">
        <v>8</v>
      </c>
      <c r="EL290" s="27" t="s">
        <v>7</v>
      </c>
      <c r="EW290" s="27" t="s">
        <v>8</v>
      </c>
      <c r="EX290" s="27" t="s">
        <v>7</v>
      </c>
      <c r="GO290" s="27" t="s">
        <v>8</v>
      </c>
      <c r="GP290" s="27" t="s">
        <v>7</v>
      </c>
      <c r="GU290" s="27" t="s">
        <v>8</v>
      </c>
      <c r="GV290" s="27" t="s">
        <v>7</v>
      </c>
    </row>
    <row r="291" spans="1:212" x14ac:dyDescent="0.25">
      <c r="A291" s="30">
        <v>8.3051168545122747E-2</v>
      </c>
      <c r="B291"/>
      <c r="C291"/>
      <c r="D291"/>
      <c r="E291"/>
      <c r="F291" s="27" t="s">
        <v>7</v>
      </c>
      <c r="DQ291" s="27" t="s">
        <v>8</v>
      </c>
      <c r="DR291" s="27" t="s">
        <v>7</v>
      </c>
      <c r="DU291" s="27" t="s">
        <v>8</v>
      </c>
      <c r="DV291" s="27" t="s">
        <v>7</v>
      </c>
      <c r="ED291" s="27" t="s">
        <v>7</v>
      </c>
      <c r="EE291" s="27" t="s">
        <v>8</v>
      </c>
      <c r="EF291" s="27" t="s">
        <v>7</v>
      </c>
      <c r="EI291" s="27" t="s">
        <v>8</v>
      </c>
      <c r="EJ291" s="27" t="s">
        <v>7</v>
      </c>
      <c r="EK291" s="27" t="s">
        <v>8</v>
      </c>
      <c r="EL291" s="27" t="s">
        <v>7</v>
      </c>
      <c r="EW291" s="27" t="s">
        <v>8</v>
      </c>
      <c r="EX291" s="27" t="s">
        <v>7</v>
      </c>
      <c r="GO291" s="27" t="s">
        <v>8</v>
      </c>
      <c r="GP291" s="27" t="s">
        <v>7</v>
      </c>
      <c r="GU291" s="27" t="s">
        <v>8</v>
      </c>
      <c r="GV291" s="27" t="s">
        <v>7</v>
      </c>
    </row>
    <row r="292" spans="1:212" x14ac:dyDescent="0.25">
      <c r="A292" s="30">
        <v>7.9096350995354961E-2</v>
      </c>
      <c r="B292"/>
      <c r="C292"/>
      <c r="D292"/>
      <c r="E292"/>
      <c r="F292" s="27" t="s">
        <v>7</v>
      </c>
      <c r="DQ292" s="27" t="s">
        <v>8</v>
      </c>
      <c r="DR292" s="27" t="s">
        <v>7</v>
      </c>
      <c r="DU292" s="27" t="s">
        <v>8</v>
      </c>
      <c r="ED292" s="27" t="s">
        <v>7</v>
      </c>
      <c r="EE292" s="27" t="s">
        <v>8</v>
      </c>
      <c r="EF292" s="27" t="s">
        <v>7</v>
      </c>
      <c r="EI292" s="27" t="s">
        <v>8</v>
      </c>
      <c r="EJ292" s="27" t="s">
        <v>7</v>
      </c>
      <c r="EK292" s="27" t="s">
        <v>8</v>
      </c>
      <c r="EL292" s="27" t="s">
        <v>7</v>
      </c>
      <c r="EO292" s="27" t="s">
        <v>8</v>
      </c>
      <c r="EW292" s="27" t="s">
        <v>8</v>
      </c>
      <c r="EX292" s="27" t="s">
        <v>7</v>
      </c>
      <c r="GO292" s="27" t="s">
        <v>8</v>
      </c>
      <c r="GP292" s="27" t="s">
        <v>7</v>
      </c>
      <c r="GU292" s="27" t="s">
        <v>8</v>
      </c>
      <c r="GV292" s="27" t="s">
        <v>7</v>
      </c>
      <c r="GW292" s="27" t="s">
        <v>8</v>
      </c>
    </row>
    <row r="293" spans="1:212" x14ac:dyDescent="0.25">
      <c r="A293" s="30">
        <v>7.5329858090814217E-2</v>
      </c>
      <c r="B293"/>
      <c r="C293"/>
      <c r="D293"/>
      <c r="E293"/>
      <c r="F293" s="27" t="s">
        <v>7</v>
      </c>
      <c r="DQ293" s="27" t="s">
        <v>8</v>
      </c>
      <c r="DR293" s="27" t="s">
        <v>7</v>
      </c>
      <c r="DS293" s="27" t="s">
        <v>8</v>
      </c>
      <c r="DU293" s="27" t="s">
        <v>8</v>
      </c>
      <c r="ED293" s="27" t="s">
        <v>7</v>
      </c>
      <c r="EE293" s="27" t="s">
        <v>8</v>
      </c>
      <c r="EF293" s="27" t="s">
        <v>7</v>
      </c>
      <c r="EI293" s="27" t="s">
        <v>8</v>
      </c>
      <c r="EJ293" s="27" t="s">
        <v>7</v>
      </c>
      <c r="EL293" s="27" t="s">
        <v>7</v>
      </c>
      <c r="EO293" s="27" t="s">
        <v>8</v>
      </c>
      <c r="EP293" s="27" t="s">
        <v>7</v>
      </c>
      <c r="EW293" s="27" t="s">
        <v>8</v>
      </c>
      <c r="EX293" s="27" t="s">
        <v>7</v>
      </c>
      <c r="EY293" s="27" t="s">
        <v>8</v>
      </c>
      <c r="GO293" s="27" t="s">
        <v>8</v>
      </c>
      <c r="GP293" s="27" t="s">
        <v>7</v>
      </c>
      <c r="GQ293" s="27" t="s">
        <v>8</v>
      </c>
      <c r="GU293" s="27" t="s">
        <v>8</v>
      </c>
      <c r="GV293" s="27" t="s">
        <v>7</v>
      </c>
      <c r="GW293" s="27" t="s">
        <v>8</v>
      </c>
      <c r="GX293" s="27" t="s">
        <v>7</v>
      </c>
      <c r="HC293" s="27" t="s">
        <v>8</v>
      </c>
    </row>
    <row r="294" spans="1:212" x14ac:dyDescent="0.25">
      <c r="A294" s="30">
        <v>7.1742721991251604E-2</v>
      </c>
      <c r="B294"/>
      <c r="C294"/>
      <c r="D294"/>
      <c r="E294"/>
      <c r="F294" s="27" t="s">
        <v>7</v>
      </c>
      <c r="DQ294" s="27" t="s">
        <v>8</v>
      </c>
      <c r="DR294" s="27" t="s">
        <v>7</v>
      </c>
      <c r="DS294" s="27" t="s">
        <v>8</v>
      </c>
      <c r="DT294" s="27" t="s">
        <v>7</v>
      </c>
      <c r="DU294" s="27" t="s">
        <v>8</v>
      </c>
      <c r="ED294" s="27" t="s">
        <v>7</v>
      </c>
      <c r="EE294" s="27" t="s">
        <v>8</v>
      </c>
      <c r="EF294" s="27" t="s">
        <v>7</v>
      </c>
      <c r="EG294" s="27" t="s">
        <v>8</v>
      </c>
      <c r="EI294" s="27" t="s">
        <v>8</v>
      </c>
      <c r="EL294" s="27" t="s">
        <v>7</v>
      </c>
      <c r="EO294" s="27" t="s">
        <v>8</v>
      </c>
      <c r="EP294" s="27" t="s">
        <v>7</v>
      </c>
      <c r="EW294" s="27" t="s">
        <v>8</v>
      </c>
      <c r="EX294" s="27" t="s">
        <v>7</v>
      </c>
      <c r="EY294" s="27" t="s">
        <v>8</v>
      </c>
      <c r="EZ294" s="27" t="s">
        <v>7</v>
      </c>
      <c r="GK294" s="27" t="s">
        <v>8</v>
      </c>
      <c r="GO294" s="27" t="s">
        <v>8</v>
      </c>
      <c r="GP294" s="27" t="s">
        <v>7</v>
      </c>
      <c r="GQ294" s="27" t="s">
        <v>8</v>
      </c>
      <c r="GR294" s="27" t="s">
        <v>7</v>
      </c>
      <c r="GU294" s="27" t="s">
        <v>8</v>
      </c>
      <c r="GV294" s="27" t="s">
        <v>7</v>
      </c>
      <c r="GW294" s="27" t="s">
        <v>8</v>
      </c>
      <c r="GX294" s="27" t="s">
        <v>7</v>
      </c>
      <c r="GY294" s="27" t="s">
        <v>8</v>
      </c>
      <c r="HC294" s="27" t="s">
        <v>8</v>
      </c>
      <c r="HD294" s="27" t="s">
        <v>7</v>
      </c>
    </row>
    <row r="295" spans="1:212" x14ac:dyDescent="0.25">
      <c r="A295" s="30">
        <v>6.8326401896430078E-2</v>
      </c>
      <c r="B295"/>
      <c r="C295"/>
      <c r="D295"/>
      <c r="E295"/>
      <c r="F295" s="27" t="s">
        <v>7</v>
      </c>
      <c r="DQ295" s="27" t="s">
        <v>8</v>
      </c>
      <c r="DR295" s="27" t="s">
        <v>7</v>
      </c>
      <c r="DS295" s="27" t="s">
        <v>8</v>
      </c>
      <c r="DT295" s="27" t="s">
        <v>7</v>
      </c>
      <c r="DU295" s="27" t="s">
        <v>8</v>
      </c>
      <c r="ED295" s="27" t="s">
        <v>7</v>
      </c>
      <c r="EF295" s="27" t="s">
        <v>7</v>
      </c>
      <c r="EG295" s="27" t="s">
        <v>8</v>
      </c>
      <c r="EH295" s="27" t="s">
        <v>7</v>
      </c>
      <c r="EI295" s="27" t="s">
        <v>8</v>
      </c>
      <c r="EL295" s="27" t="s">
        <v>7</v>
      </c>
      <c r="EO295" s="27" t="s">
        <v>8</v>
      </c>
      <c r="EP295" s="27" t="s">
        <v>7</v>
      </c>
      <c r="EW295" s="27" t="s">
        <v>8</v>
      </c>
      <c r="EX295" s="27" t="s">
        <v>7</v>
      </c>
      <c r="EY295" s="27" t="s">
        <v>8</v>
      </c>
      <c r="EZ295" s="27" t="s">
        <v>7</v>
      </c>
      <c r="FO295" s="27" t="s">
        <v>8</v>
      </c>
      <c r="GK295" s="27" t="s">
        <v>8</v>
      </c>
      <c r="GL295" s="27" t="s">
        <v>7</v>
      </c>
      <c r="GO295" s="27" t="s">
        <v>8</v>
      </c>
      <c r="GP295" s="27" t="s">
        <v>7</v>
      </c>
      <c r="GQ295" s="27" t="s">
        <v>8</v>
      </c>
      <c r="GR295" s="27" t="s">
        <v>7</v>
      </c>
      <c r="GU295" s="27" t="s">
        <v>8</v>
      </c>
      <c r="GV295" s="27" t="s">
        <v>7</v>
      </c>
      <c r="GW295" s="27" t="s">
        <v>8</v>
      </c>
      <c r="GX295" s="27" t="s">
        <v>7</v>
      </c>
      <c r="GY295" s="27" t="s">
        <v>8</v>
      </c>
      <c r="GZ295" s="27" t="s">
        <v>7</v>
      </c>
      <c r="HA295" s="27" t="s">
        <v>8</v>
      </c>
      <c r="HC295" s="27" t="s">
        <v>8</v>
      </c>
      <c r="HD295" s="27" t="s">
        <v>7</v>
      </c>
    </row>
    <row r="296" spans="1:212" x14ac:dyDescent="0.25">
      <c r="A296" s="30">
        <v>6.5072763710885759E-2</v>
      </c>
      <c r="B296"/>
      <c r="C296"/>
      <c r="D296"/>
      <c r="E296"/>
      <c r="F296" s="27" t="s">
        <v>7</v>
      </c>
      <c r="DQ296" s="27" t="s">
        <v>8</v>
      </c>
      <c r="DR296" s="27" t="s">
        <v>7</v>
      </c>
      <c r="DT296" s="27" t="s">
        <v>7</v>
      </c>
      <c r="DU296" s="27" t="s">
        <v>8</v>
      </c>
      <c r="EF296" s="27" t="s">
        <v>7</v>
      </c>
      <c r="EG296" s="27" t="s">
        <v>8</v>
      </c>
      <c r="EH296" s="27" t="s">
        <v>7</v>
      </c>
      <c r="EI296" s="27" t="s">
        <v>8</v>
      </c>
      <c r="EL296" s="27" t="s">
        <v>7</v>
      </c>
      <c r="EM296" s="27" t="s">
        <v>8</v>
      </c>
      <c r="EO296" s="27" t="s">
        <v>8</v>
      </c>
      <c r="EP296" s="27" t="s">
        <v>7</v>
      </c>
      <c r="EW296" s="27" t="s">
        <v>8</v>
      </c>
      <c r="EX296" s="27" t="s">
        <v>7</v>
      </c>
      <c r="EY296" s="27" t="s">
        <v>8</v>
      </c>
      <c r="EZ296" s="27" t="s">
        <v>7</v>
      </c>
      <c r="FO296" s="27" t="s">
        <v>8</v>
      </c>
      <c r="FP296" s="27" t="s">
        <v>7</v>
      </c>
      <c r="GK296" s="27" t="s">
        <v>8</v>
      </c>
      <c r="GL296" s="27" t="s">
        <v>7</v>
      </c>
      <c r="GO296" s="27" t="s">
        <v>8</v>
      </c>
      <c r="GP296" s="27" t="s">
        <v>7</v>
      </c>
      <c r="GQ296" s="27" t="s">
        <v>8</v>
      </c>
      <c r="GR296" s="27" t="s">
        <v>7</v>
      </c>
      <c r="GS296" s="27" t="s">
        <v>8</v>
      </c>
      <c r="GU296" s="27" t="s">
        <v>8</v>
      </c>
      <c r="GV296" s="27" t="s">
        <v>7</v>
      </c>
      <c r="GW296" s="27" t="s">
        <v>8</v>
      </c>
      <c r="GX296" s="27" t="s">
        <v>7</v>
      </c>
      <c r="GY296" s="27" t="s">
        <v>8</v>
      </c>
      <c r="GZ296" s="27" t="s">
        <v>7</v>
      </c>
      <c r="HA296" s="27" t="s">
        <v>8</v>
      </c>
      <c r="HB296" s="27" t="s">
        <v>7</v>
      </c>
      <c r="HC296" s="27" t="s">
        <v>8</v>
      </c>
      <c r="HD296" s="27" t="s">
        <v>7</v>
      </c>
    </row>
    <row r="297" spans="1:212" x14ac:dyDescent="0.25">
      <c r="A297" s="30">
        <v>6.197406067703403E-2</v>
      </c>
      <c r="B297"/>
      <c r="C297"/>
      <c r="D297"/>
      <c r="E297"/>
      <c r="F297" s="27" t="s">
        <v>7</v>
      </c>
      <c r="DQ297" s="27" t="s">
        <v>8</v>
      </c>
      <c r="DT297" s="27" t="s">
        <v>7</v>
      </c>
      <c r="DU297" s="27" t="s">
        <v>8</v>
      </c>
      <c r="EF297" s="27" t="s">
        <v>7</v>
      </c>
      <c r="EG297" s="27" t="s">
        <v>8</v>
      </c>
      <c r="EH297" s="27" t="s">
        <v>7</v>
      </c>
      <c r="EL297" s="27" t="s">
        <v>7</v>
      </c>
      <c r="EM297" s="27" t="s">
        <v>8</v>
      </c>
      <c r="EN297" s="27" t="s">
        <v>7</v>
      </c>
      <c r="EO297" s="27" t="s">
        <v>8</v>
      </c>
      <c r="EP297" s="27" t="s">
        <v>7</v>
      </c>
      <c r="EW297" s="27" t="s">
        <v>8</v>
      </c>
      <c r="EX297" s="27" t="s">
        <v>7</v>
      </c>
      <c r="EY297" s="27" t="s">
        <v>8</v>
      </c>
      <c r="EZ297" s="27" t="s">
        <v>7</v>
      </c>
      <c r="FO297" s="27" t="s">
        <v>8</v>
      </c>
      <c r="FP297" s="27" t="s">
        <v>7</v>
      </c>
      <c r="GI297" s="27" t="s">
        <v>8</v>
      </c>
      <c r="GK297" s="27" t="s">
        <v>8</v>
      </c>
      <c r="GL297" s="27" t="s">
        <v>7</v>
      </c>
      <c r="GO297" s="27" t="s">
        <v>8</v>
      </c>
      <c r="GP297" s="27" t="s">
        <v>7</v>
      </c>
      <c r="GQ297" s="27" t="s">
        <v>8</v>
      </c>
      <c r="GR297" s="27" t="s">
        <v>7</v>
      </c>
      <c r="GS297" s="27" t="s">
        <v>8</v>
      </c>
      <c r="GT297" s="27" t="s">
        <v>7</v>
      </c>
      <c r="GU297" s="27" t="s">
        <v>8</v>
      </c>
      <c r="GV297" s="27" t="s">
        <v>7</v>
      </c>
      <c r="GW297" s="27" t="s">
        <v>8</v>
      </c>
      <c r="GX297" s="27" t="s">
        <v>7</v>
      </c>
      <c r="GZ297" s="27" t="s">
        <v>7</v>
      </c>
      <c r="HA297" s="27" t="s">
        <v>8</v>
      </c>
      <c r="HB297" s="27" t="s">
        <v>7</v>
      </c>
      <c r="HC297" s="27" t="s">
        <v>8</v>
      </c>
      <c r="HD297" s="27" t="s">
        <v>7</v>
      </c>
    </row>
    <row r="298" spans="1:212" x14ac:dyDescent="0.25">
      <c r="A298" s="30">
        <v>5.9022914930508576E-2</v>
      </c>
      <c r="B298"/>
      <c r="C298"/>
      <c r="D298"/>
      <c r="E298"/>
      <c r="F298" s="27" t="s">
        <v>7</v>
      </c>
      <c r="DQ298" s="27" t="s">
        <v>8</v>
      </c>
      <c r="DT298" s="27" t="s">
        <v>7</v>
      </c>
      <c r="DU298" s="27" t="s">
        <v>8</v>
      </c>
      <c r="EF298" s="27" t="s">
        <v>7</v>
      </c>
      <c r="EG298" s="27" t="s">
        <v>8</v>
      </c>
      <c r="EL298" s="27" t="s">
        <v>7</v>
      </c>
      <c r="EM298" s="27" t="s">
        <v>8</v>
      </c>
      <c r="EN298" s="27" t="s">
        <v>7</v>
      </c>
      <c r="EO298" s="27" t="s">
        <v>8</v>
      </c>
      <c r="EP298" s="27" t="s">
        <v>7</v>
      </c>
      <c r="EW298" s="27" t="s">
        <v>8</v>
      </c>
      <c r="EX298" s="27" t="s">
        <v>7</v>
      </c>
      <c r="EY298" s="27" t="s">
        <v>8</v>
      </c>
      <c r="EZ298" s="27" t="s">
        <v>7</v>
      </c>
      <c r="FO298" s="27" t="s">
        <v>8</v>
      </c>
      <c r="FP298" s="27" t="s">
        <v>7</v>
      </c>
      <c r="GI298" s="27" t="s">
        <v>8</v>
      </c>
      <c r="GJ298" s="27" t="s">
        <v>7</v>
      </c>
      <c r="GK298" s="27" t="s">
        <v>8</v>
      </c>
      <c r="GL298" s="27" t="s">
        <v>7</v>
      </c>
      <c r="GO298" s="27" t="s">
        <v>8</v>
      </c>
      <c r="GP298" s="27" t="s">
        <v>7</v>
      </c>
      <c r="GR298" s="27" t="s">
        <v>7</v>
      </c>
      <c r="GS298" s="27" t="s">
        <v>8</v>
      </c>
      <c r="GT298" s="27" t="s">
        <v>7</v>
      </c>
      <c r="GU298" s="27" t="s">
        <v>8</v>
      </c>
      <c r="GV298" s="27" t="s">
        <v>7</v>
      </c>
      <c r="GW298" s="27" t="s">
        <v>8</v>
      </c>
      <c r="GZ298" s="27" t="s">
        <v>7</v>
      </c>
      <c r="HA298" s="27" t="s">
        <v>8</v>
      </c>
      <c r="HB298" s="27" t="s">
        <v>7</v>
      </c>
      <c r="HC298" s="27" t="s">
        <v>8</v>
      </c>
      <c r="HD298" s="27" t="s">
        <v>7</v>
      </c>
    </row>
    <row r="299" spans="1:212" x14ac:dyDescent="0.25">
      <c r="A299" s="30">
        <v>5.6212299933817669E-2</v>
      </c>
      <c r="B299"/>
      <c r="C299"/>
      <c r="D299"/>
      <c r="E299"/>
      <c r="F299" s="27" t="s">
        <v>7</v>
      </c>
      <c r="DQ299" s="27" t="s">
        <v>8</v>
      </c>
      <c r="DT299" s="27" t="s">
        <v>7</v>
      </c>
      <c r="EF299" s="27" t="s">
        <v>7</v>
      </c>
      <c r="EL299" s="27" t="s">
        <v>7</v>
      </c>
      <c r="EM299" s="27" t="s">
        <v>8</v>
      </c>
      <c r="EN299" s="27" t="s">
        <v>7</v>
      </c>
      <c r="EP299" s="27" t="s">
        <v>7</v>
      </c>
      <c r="EW299" s="27" t="s">
        <v>8</v>
      </c>
      <c r="EX299" s="27" t="s">
        <v>7</v>
      </c>
      <c r="EY299" s="27" t="s">
        <v>8</v>
      </c>
      <c r="EZ299" s="27" t="s">
        <v>7</v>
      </c>
      <c r="FO299" s="27" t="s">
        <v>8</v>
      </c>
      <c r="FP299" s="27" t="s">
        <v>7</v>
      </c>
      <c r="FQ299" s="27" t="s">
        <v>8</v>
      </c>
      <c r="FS299" s="27" t="s">
        <v>8</v>
      </c>
      <c r="FU299" s="27" t="s">
        <v>8</v>
      </c>
      <c r="GI299" s="27" t="s">
        <v>8</v>
      </c>
      <c r="GJ299" s="27" t="s">
        <v>7</v>
      </c>
      <c r="GK299" s="27" t="s">
        <v>8</v>
      </c>
      <c r="GL299" s="27" t="s">
        <v>7</v>
      </c>
      <c r="GM299" s="27" t="s">
        <v>8</v>
      </c>
      <c r="GO299" s="27" t="s">
        <v>8</v>
      </c>
      <c r="GR299" s="27" t="s">
        <v>7</v>
      </c>
      <c r="GS299" s="27" t="s">
        <v>8</v>
      </c>
      <c r="GT299" s="27" t="s">
        <v>7</v>
      </c>
      <c r="GU299" s="27" t="s">
        <v>8</v>
      </c>
      <c r="GV299" s="27" t="s">
        <v>7</v>
      </c>
      <c r="GZ299" s="27" t="s">
        <v>7</v>
      </c>
      <c r="HA299" s="27" t="s">
        <v>8</v>
      </c>
      <c r="HB299" s="27" t="s">
        <v>7</v>
      </c>
      <c r="HD299" s="27" t="s">
        <v>7</v>
      </c>
    </row>
    <row r="300" spans="1:212" x14ac:dyDescent="0.25">
      <c r="A300" s="30">
        <v>5.3535523746492994E-2</v>
      </c>
      <c r="B300"/>
      <c r="C300"/>
      <c r="D300"/>
      <c r="E300"/>
      <c r="F300" s="27" t="s">
        <v>7</v>
      </c>
      <c r="DQ300" s="27" t="s">
        <v>8</v>
      </c>
      <c r="EL300" s="27" t="s">
        <v>7</v>
      </c>
      <c r="EP300" s="27" t="s">
        <v>7</v>
      </c>
      <c r="EW300" s="27" t="s">
        <v>8</v>
      </c>
      <c r="EX300" s="27" t="s">
        <v>7</v>
      </c>
      <c r="EZ300" s="27" t="s">
        <v>7</v>
      </c>
      <c r="FO300" s="27" t="s">
        <v>8</v>
      </c>
      <c r="FP300" s="27" t="s">
        <v>7</v>
      </c>
      <c r="FQ300" s="27" t="s">
        <v>8</v>
      </c>
      <c r="FR300" s="27" t="s">
        <v>7</v>
      </c>
      <c r="FS300" s="27" t="s">
        <v>8</v>
      </c>
      <c r="FT300" s="27" t="s">
        <v>7</v>
      </c>
      <c r="FU300" s="27" t="s">
        <v>8</v>
      </c>
      <c r="FV300" s="27" t="s">
        <v>7</v>
      </c>
      <c r="GI300" s="27" t="s">
        <v>8</v>
      </c>
      <c r="GJ300" s="27" t="s">
        <v>7</v>
      </c>
      <c r="GK300" s="27" t="s">
        <v>8</v>
      </c>
      <c r="GL300" s="27" t="s">
        <v>7</v>
      </c>
      <c r="GM300" s="27" t="s">
        <v>8</v>
      </c>
      <c r="GN300" s="27" t="s">
        <v>7</v>
      </c>
      <c r="GO300" s="27" t="s">
        <v>8</v>
      </c>
      <c r="GR300" s="27" t="s">
        <v>7</v>
      </c>
      <c r="GT300" s="27" t="s">
        <v>7</v>
      </c>
      <c r="GZ300" s="27" t="s">
        <v>7</v>
      </c>
      <c r="HA300" s="27" t="s">
        <v>8</v>
      </c>
      <c r="HD300" s="27" t="s">
        <v>7</v>
      </c>
    </row>
    <row r="301" spans="1:212" x14ac:dyDescent="0.25">
      <c r="A301" s="30">
        <v>5.0986213091898068E-2</v>
      </c>
      <c r="B301"/>
      <c r="C301"/>
      <c r="D301"/>
      <c r="E301"/>
      <c r="F301" s="27" t="s">
        <v>7</v>
      </c>
      <c r="DQ301" s="27" t="s">
        <v>8</v>
      </c>
      <c r="EP301" s="27" t="s">
        <v>7</v>
      </c>
      <c r="EW301" s="27" t="s">
        <v>8</v>
      </c>
      <c r="EZ301" s="27" t="s">
        <v>7</v>
      </c>
      <c r="FA301" s="27" t="s">
        <v>8</v>
      </c>
      <c r="FO301" s="27" t="s">
        <v>8</v>
      </c>
      <c r="FP301" s="27" t="s">
        <v>7</v>
      </c>
      <c r="FQ301" s="27" t="s">
        <v>8</v>
      </c>
      <c r="FR301" s="27" t="s">
        <v>7</v>
      </c>
      <c r="FS301" s="27" t="s">
        <v>8</v>
      </c>
      <c r="FT301" s="27" t="s">
        <v>7</v>
      </c>
      <c r="FU301" s="27" t="s">
        <v>8</v>
      </c>
      <c r="FV301" s="27" t="s">
        <v>7</v>
      </c>
      <c r="FY301" s="27" t="s">
        <v>8</v>
      </c>
      <c r="GE301" s="27" t="s">
        <v>8</v>
      </c>
      <c r="GG301" s="27" t="s">
        <v>8</v>
      </c>
      <c r="GI301" s="27" t="s">
        <v>8</v>
      </c>
      <c r="GJ301" s="27" t="s">
        <v>7</v>
      </c>
      <c r="GK301" s="27" t="s">
        <v>8</v>
      </c>
      <c r="GL301" s="27" t="s">
        <v>7</v>
      </c>
      <c r="GM301" s="27" t="s">
        <v>8</v>
      </c>
      <c r="GN301" s="27" t="s">
        <v>7</v>
      </c>
      <c r="GO301" s="27" t="s">
        <v>8</v>
      </c>
      <c r="GZ301" s="27" t="s">
        <v>7</v>
      </c>
      <c r="HD301" s="27" t="s">
        <v>7</v>
      </c>
    </row>
    <row r="302" spans="1:212" x14ac:dyDescent="0.25">
      <c r="A302" s="30">
        <v>4.8558298182760043E-2</v>
      </c>
      <c r="B302"/>
      <c r="C302"/>
      <c r="D302"/>
      <c r="E302"/>
      <c r="F302" s="27" t="s">
        <v>7</v>
      </c>
      <c r="DO302" s="27" t="s">
        <v>8</v>
      </c>
      <c r="DQ302" s="27" t="s">
        <v>8</v>
      </c>
      <c r="EP302" s="27" t="s">
        <v>7</v>
      </c>
      <c r="EW302" s="27" t="s">
        <v>8</v>
      </c>
      <c r="EZ302" s="27" t="s">
        <v>7</v>
      </c>
      <c r="FA302" s="27" t="s">
        <v>8</v>
      </c>
      <c r="FB302" s="27" t="s">
        <v>7</v>
      </c>
      <c r="FM302" s="27" t="s">
        <v>8</v>
      </c>
      <c r="FO302" s="27" t="s">
        <v>8</v>
      </c>
      <c r="FP302" s="27" t="s">
        <v>7</v>
      </c>
      <c r="FQ302" s="27" t="s">
        <v>8</v>
      </c>
      <c r="FR302" s="27" t="s">
        <v>7</v>
      </c>
      <c r="FT302" s="27" t="s">
        <v>7</v>
      </c>
      <c r="FU302" s="27" t="s">
        <v>8</v>
      </c>
      <c r="FV302" s="27" t="s">
        <v>7</v>
      </c>
      <c r="FW302" s="27" t="s">
        <v>8</v>
      </c>
      <c r="FY302" s="27" t="s">
        <v>8</v>
      </c>
      <c r="FZ302" s="27" t="s">
        <v>7</v>
      </c>
      <c r="GC302" s="27" t="s">
        <v>8</v>
      </c>
      <c r="GE302" s="27" t="s">
        <v>8</v>
      </c>
      <c r="GF302" s="27" t="s">
        <v>7</v>
      </c>
      <c r="GG302" s="27" t="s">
        <v>8</v>
      </c>
      <c r="GH302" s="27" t="s">
        <v>7</v>
      </c>
      <c r="GI302" s="27" t="s">
        <v>8</v>
      </c>
      <c r="GJ302" s="27" t="s">
        <v>7</v>
      </c>
      <c r="GK302" s="27" t="s">
        <v>8</v>
      </c>
      <c r="GL302" s="27" t="s">
        <v>7</v>
      </c>
      <c r="GN302" s="27" t="s">
        <v>7</v>
      </c>
      <c r="GO302" s="27" t="s">
        <v>8</v>
      </c>
      <c r="HD302" s="27" t="s">
        <v>7</v>
      </c>
    </row>
    <row r="303" spans="1:212" x14ac:dyDescent="0.25">
      <c r="A303" s="30">
        <v>4.6245998269295263E-2</v>
      </c>
      <c r="B303"/>
      <c r="C303"/>
      <c r="D303"/>
      <c r="E303"/>
      <c r="F303" s="27" t="s">
        <v>7</v>
      </c>
      <c r="DO303" s="27" t="s">
        <v>8</v>
      </c>
      <c r="DP303" s="27" t="s">
        <v>7</v>
      </c>
      <c r="DQ303" s="27" t="s">
        <v>8</v>
      </c>
      <c r="EP303" s="27" t="s">
        <v>7</v>
      </c>
      <c r="EW303" s="27" t="s">
        <v>8</v>
      </c>
      <c r="EZ303" s="27" t="s">
        <v>7</v>
      </c>
      <c r="FA303" s="27" t="s">
        <v>8</v>
      </c>
      <c r="FB303" s="27" t="s">
        <v>7</v>
      </c>
      <c r="FM303" s="27" t="s">
        <v>8</v>
      </c>
      <c r="FN303" s="27" t="s">
        <v>7</v>
      </c>
      <c r="FO303" s="27" t="s">
        <v>8</v>
      </c>
      <c r="FP303" s="27" t="s">
        <v>7</v>
      </c>
      <c r="FT303" s="27" t="s">
        <v>7</v>
      </c>
      <c r="FV303" s="27" t="s">
        <v>7</v>
      </c>
      <c r="FW303" s="27" t="s">
        <v>8</v>
      </c>
      <c r="FX303" s="27" t="s">
        <v>7</v>
      </c>
      <c r="FY303" s="27" t="s">
        <v>8</v>
      </c>
      <c r="FZ303" s="27" t="s">
        <v>7</v>
      </c>
      <c r="GC303" s="27" t="s">
        <v>8</v>
      </c>
      <c r="GD303" s="27" t="s">
        <v>7</v>
      </c>
      <c r="GE303" s="27" t="s">
        <v>8</v>
      </c>
      <c r="GF303" s="27" t="s">
        <v>7</v>
      </c>
      <c r="GG303" s="27" t="s">
        <v>8</v>
      </c>
      <c r="GH303" s="27" t="s">
        <v>7</v>
      </c>
      <c r="GI303" s="27" t="s">
        <v>8</v>
      </c>
      <c r="GJ303" s="27" t="s">
        <v>7</v>
      </c>
      <c r="GN303" s="27" t="s">
        <v>7</v>
      </c>
      <c r="HD303" s="27" t="s">
        <v>7</v>
      </c>
    </row>
    <row r="304" spans="1:212" x14ac:dyDescent="0.25">
      <c r="A304" s="30">
        <v>4.4043807875519279E-2</v>
      </c>
      <c r="B304"/>
      <c r="C304"/>
      <c r="D304"/>
      <c r="E304"/>
      <c r="F304" s="27" t="s">
        <v>7</v>
      </c>
      <c r="CU304" s="27" t="s">
        <v>8</v>
      </c>
      <c r="DM304" s="27" t="s">
        <v>8</v>
      </c>
      <c r="DO304" s="27" t="s">
        <v>8</v>
      </c>
      <c r="DP304" s="27" t="s">
        <v>7</v>
      </c>
      <c r="DQ304" s="27" t="s">
        <v>8</v>
      </c>
      <c r="EP304" s="27" t="s">
        <v>7</v>
      </c>
      <c r="EW304" s="27" t="s">
        <v>8</v>
      </c>
      <c r="EZ304" s="27" t="s">
        <v>7</v>
      </c>
      <c r="FA304" s="27" t="s">
        <v>8</v>
      </c>
      <c r="FB304" s="27" t="s">
        <v>7</v>
      </c>
      <c r="FI304" s="27" t="s">
        <v>8</v>
      </c>
      <c r="FM304" s="27" t="s">
        <v>8</v>
      </c>
      <c r="FN304" s="27" t="s">
        <v>7</v>
      </c>
      <c r="FO304" s="27" t="s">
        <v>8</v>
      </c>
      <c r="FV304" s="27" t="s">
        <v>7</v>
      </c>
      <c r="FW304" s="27" t="s">
        <v>8</v>
      </c>
      <c r="FX304" s="27" t="s">
        <v>7</v>
      </c>
      <c r="FY304" s="27" t="s">
        <v>8</v>
      </c>
      <c r="FZ304" s="27" t="s">
        <v>7</v>
      </c>
      <c r="GC304" s="27" t="s">
        <v>8</v>
      </c>
      <c r="GD304" s="27" t="s">
        <v>7</v>
      </c>
      <c r="GE304" s="27" t="s">
        <v>8</v>
      </c>
      <c r="GF304" s="27" t="s">
        <v>7</v>
      </c>
      <c r="GH304" s="27" t="s">
        <v>7</v>
      </c>
      <c r="GI304" s="27" t="s">
        <v>8</v>
      </c>
      <c r="HD304" s="27" t="s">
        <v>7</v>
      </c>
    </row>
    <row r="305" spans="1:213" x14ac:dyDescent="0.25">
      <c r="A305" s="30">
        <v>4.1946483690970725E-2</v>
      </c>
      <c r="B305"/>
      <c r="C305"/>
      <c r="D305"/>
      <c r="E305"/>
      <c r="F305" s="27" t="s">
        <v>7</v>
      </c>
      <c r="CU305" s="27" t="s">
        <v>8</v>
      </c>
      <c r="CV305" s="27" t="s">
        <v>7</v>
      </c>
      <c r="DM305" s="27" t="s">
        <v>8</v>
      </c>
      <c r="DN305" s="27" t="s">
        <v>7</v>
      </c>
      <c r="DO305" s="27" t="s">
        <v>8</v>
      </c>
      <c r="DP305" s="27" t="s">
        <v>7</v>
      </c>
      <c r="DQ305" s="27" t="s">
        <v>8</v>
      </c>
      <c r="EP305" s="27" t="s">
        <v>7</v>
      </c>
      <c r="EW305" s="27" t="s">
        <v>8</v>
      </c>
      <c r="EZ305" s="27" t="s">
        <v>7</v>
      </c>
      <c r="FB305" s="27" t="s">
        <v>7</v>
      </c>
      <c r="FI305" s="27" t="s">
        <v>8</v>
      </c>
      <c r="FJ305" s="27" t="s">
        <v>7</v>
      </c>
      <c r="FM305" s="27" t="s">
        <v>8</v>
      </c>
      <c r="FN305" s="27" t="s">
        <v>7</v>
      </c>
      <c r="FO305" s="27" t="s">
        <v>8</v>
      </c>
      <c r="FV305" s="27" t="s">
        <v>7</v>
      </c>
      <c r="FW305" s="27" t="s">
        <v>8</v>
      </c>
      <c r="FX305" s="27" t="s">
        <v>7</v>
      </c>
      <c r="FZ305" s="27" t="s">
        <v>7</v>
      </c>
      <c r="GC305" s="27" t="s">
        <v>8</v>
      </c>
      <c r="GD305" s="27" t="s">
        <v>7</v>
      </c>
      <c r="GE305" s="27" t="s">
        <v>8</v>
      </c>
      <c r="GH305" s="27" t="s">
        <v>7</v>
      </c>
      <c r="HD305" s="27" t="s">
        <v>7</v>
      </c>
    </row>
    <row r="306" spans="1:213" x14ac:dyDescent="0.25">
      <c r="A306" s="30">
        <v>3.9949032086638768E-2</v>
      </c>
      <c r="B306"/>
      <c r="C306"/>
      <c r="D306"/>
      <c r="E306"/>
      <c r="F306" s="27" t="s">
        <v>7</v>
      </c>
      <c r="CU306" s="27" t="s">
        <v>8</v>
      </c>
      <c r="CV306" s="27" t="s">
        <v>7</v>
      </c>
      <c r="DK306" s="27" t="s">
        <v>8</v>
      </c>
      <c r="DM306" s="27" t="s">
        <v>8</v>
      </c>
      <c r="DN306" s="27" t="s">
        <v>7</v>
      </c>
      <c r="DO306" s="27" t="s">
        <v>8</v>
      </c>
      <c r="DP306" s="27" t="s">
        <v>7</v>
      </c>
      <c r="DQ306" s="27" t="s">
        <v>8</v>
      </c>
      <c r="EP306" s="27" t="s">
        <v>7</v>
      </c>
      <c r="EQ306" s="27" t="s">
        <v>8</v>
      </c>
      <c r="EU306" s="27" t="s">
        <v>8</v>
      </c>
      <c r="EW306" s="27" t="s">
        <v>8</v>
      </c>
      <c r="FB306" s="27" t="s">
        <v>7</v>
      </c>
      <c r="FI306" s="27" t="s">
        <v>8</v>
      </c>
      <c r="FJ306" s="27" t="s">
        <v>7</v>
      </c>
      <c r="FM306" s="27" t="s">
        <v>8</v>
      </c>
      <c r="FN306" s="27" t="s">
        <v>7</v>
      </c>
      <c r="FV306" s="27" t="s">
        <v>7</v>
      </c>
      <c r="FW306" s="27" t="s">
        <v>8</v>
      </c>
      <c r="FZ306" s="27" t="s">
        <v>7</v>
      </c>
      <c r="GC306" s="27" t="s">
        <v>8</v>
      </c>
      <c r="GD306" s="27" t="s">
        <v>7</v>
      </c>
      <c r="GE306" s="27" t="s">
        <v>8</v>
      </c>
      <c r="HD306" s="27" t="s">
        <v>7</v>
      </c>
    </row>
    <row r="307" spans="1:213" x14ac:dyDescent="0.25">
      <c r="A307" s="30">
        <v>3.8046697225370241E-2</v>
      </c>
      <c r="B307"/>
      <c r="C307"/>
      <c r="D307"/>
      <c r="E307"/>
      <c r="F307" s="27" t="s">
        <v>7</v>
      </c>
      <c r="CU307" s="27" t="s">
        <v>8</v>
      </c>
      <c r="CV307" s="27" t="s">
        <v>7</v>
      </c>
      <c r="DK307" s="27" t="s">
        <v>8</v>
      </c>
      <c r="DL307" s="27" t="s">
        <v>7</v>
      </c>
      <c r="DM307" s="27" t="s">
        <v>8</v>
      </c>
      <c r="DN307" s="27" t="s">
        <v>7</v>
      </c>
      <c r="DO307" s="27" t="s">
        <v>8</v>
      </c>
      <c r="DP307" s="27" t="s">
        <v>7</v>
      </c>
      <c r="DQ307" s="27" t="s">
        <v>8</v>
      </c>
      <c r="EP307" s="27" t="s">
        <v>7</v>
      </c>
      <c r="EQ307" s="27" t="s">
        <v>8</v>
      </c>
      <c r="ER307" s="27" t="s">
        <v>7</v>
      </c>
      <c r="EU307" s="27" t="s">
        <v>8</v>
      </c>
      <c r="EV307" s="27" t="s">
        <v>7</v>
      </c>
      <c r="EW307" s="27" t="s">
        <v>8</v>
      </c>
      <c r="FB307" s="27" t="s">
        <v>7</v>
      </c>
      <c r="FG307" s="27" t="s">
        <v>8</v>
      </c>
      <c r="FI307" s="27" t="s">
        <v>8</v>
      </c>
      <c r="FJ307" s="27" t="s">
        <v>7</v>
      </c>
      <c r="FM307" s="27" t="s">
        <v>8</v>
      </c>
      <c r="FV307" s="27" t="s">
        <v>7</v>
      </c>
      <c r="FZ307" s="27" t="s">
        <v>7</v>
      </c>
      <c r="GA307" s="27" t="s">
        <v>8</v>
      </c>
      <c r="GC307" s="27" t="s">
        <v>8</v>
      </c>
      <c r="GD307" s="27" t="s">
        <v>7</v>
      </c>
      <c r="GE307" s="27" t="s">
        <v>8</v>
      </c>
      <c r="HD307" s="27" t="s">
        <v>7</v>
      </c>
    </row>
    <row r="308" spans="1:213" x14ac:dyDescent="0.25">
      <c r="A308" s="30">
        <v>3.6234949738447833E-2</v>
      </c>
      <c r="B308"/>
      <c r="C308"/>
      <c r="D308"/>
      <c r="E308"/>
      <c r="F308" s="27" t="s">
        <v>7</v>
      </c>
      <c r="CU308" s="27" t="s">
        <v>8</v>
      </c>
      <c r="CV308" s="27" t="s">
        <v>7</v>
      </c>
      <c r="DK308" s="27" t="s">
        <v>8</v>
      </c>
      <c r="DL308" s="27" t="s">
        <v>7</v>
      </c>
      <c r="DM308" s="27" t="s">
        <v>8</v>
      </c>
      <c r="DN308" s="27" t="s">
        <v>7</v>
      </c>
      <c r="DP308" s="27" t="s">
        <v>7</v>
      </c>
      <c r="DQ308" s="27" t="s">
        <v>8</v>
      </c>
      <c r="EP308" s="27" t="s">
        <v>7</v>
      </c>
      <c r="EQ308" s="27" t="s">
        <v>8</v>
      </c>
      <c r="ER308" s="27" t="s">
        <v>7</v>
      </c>
      <c r="EU308" s="27" t="s">
        <v>8</v>
      </c>
      <c r="EV308" s="27" t="s">
        <v>7</v>
      </c>
      <c r="EW308" s="27" t="s">
        <v>8</v>
      </c>
      <c r="FB308" s="27" t="s">
        <v>7</v>
      </c>
      <c r="FC308" s="27" t="s">
        <v>8</v>
      </c>
      <c r="FE308" s="27" t="s">
        <v>8</v>
      </c>
      <c r="FG308" s="27" t="s">
        <v>8</v>
      </c>
      <c r="FH308" s="27" t="s">
        <v>7</v>
      </c>
      <c r="FI308" s="27" t="s">
        <v>8</v>
      </c>
      <c r="FJ308" s="27" t="s">
        <v>7</v>
      </c>
      <c r="FM308" s="27" t="s">
        <v>8</v>
      </c>
      <c r="FZ308" s="27" t="s">
        <v>7</v>
      </c>
      <c r="GA308" s="27" t="s">
        <v>8</v>
      </c>
      <c r="GB308" s="27" t="s">
        <v>7</v>
      </c>
      <c r="GC308" s="27" t="s">
        <v>8</v>
      </c>
      <c r="GD308" s="27" t="s">
        <v>7</v>
      </c>
      <c r="HD308" s="27" t="s">
        <v>7</v>
      </c>
    </row>
    <row r="309" spans="1:213" x14ac:dyDescent="0.25">
      <c r="A309" s="30">
        <v>3.4509475941378875E-2</v>
      </c>
      <c r="B309"/>
      <c r="C309"/>
      <c r="D309"/>
      <c r="E309"/>
      <c r="F309" s="27" t="s">
        <v>7</v>
      </c>
      <c r="CU309" s="27" t="s">
        <v>8</v>
      </c>
      <c r="CV309" s="27" t="s">
        <v>7</v>
      </c>
      <c r="DI309" s="27" t="s">
        <v>8</v>
      </c>
      <c r="DK309" s="27" t="s">
        <v>8</v>
      </c>
      <c r="DL309" s="27" t="s">
        <v>7</v>
      </c>
      <c r="DM309" s="27" t="s">
        <v>8</v>
      </c>
      <c r="DP309" s="27" t="s">
        <v>7</v>
      </c>
      <c r="DQ309" s="27" t="s">
        <v>8</v>
      </c>
      <c r="EP309" s="27" t="s">
        <v>7</v>
      </c>
      <c r="EQ309" s="27" t="s">
        <v>8</v>
      </c>
      <c r="ER309" s="27" t="s">
        <v>7</v>
      </c>
      <c r="ES309" s="27" t="s">
        <v>8</v>
      </c>
      <c r="EU309" s="27" t="s">
        <v>8</v>
      </c>
      <c r="EV309" s="27" t="s">
        <v>7</v>
      </c>
      <c r="EW309" s="27" t="s">
        <v>8</v>
      </c>
      <c r="FB309" s="27" t="s">
        <v>7</v>
      </c>
      <c r="FC309" s="27" t="s">
        <v>8</v>
      </c>
      <c r="FD309" s="27" t="s">
        <v>7</v>
      </c>
      <c r="FE309" s="27" t="s">
        <v>8</v>
      </c>
      <c r="FF309" s="27" t="s">
        <v>7</v>
      </c>
      <c r="FG309" s="27" t="s">
        <v>8</v>
      </c>
      <c r="FH309" s="27" t="s">
        <v>7</v>
      </c>
      <c r="FI309" s="27" t="s">
        <v>8</v>
      </c>
      <c r="FJ309" s="27" t="s">
        <v>7</v>
      </c>
      <c r="FK309" s="27" t="s">
        <v>8</v>
      </c>
      <c r="FM309" s="27" t="s">
        <v>8</v>
      </c>
      <c r="FZ309" s="27" t="s">
        <v>7</v>
      </c>
      <c r="GA309" s="27" t="s">
        <v>8</v>
      </c>
      <c r="GB309" s="27" t="s">
        <v>7</v>
      </c>
      <c r="GC309" s="27" t="s">
        <v>8</v>
      </c>
      <c r="HD309" s="27" t="s">
        <v>7</v>
      </c>
    </row>
    <row r="310" spans="1:213" x14ac:dyDescent="0.25">
      <c r="A310" s="30">
        <v>3.286616756321796E-2</v>
      </c>
      <c r="B310"/>
      <c r="C310"/>
      <c r="D310"/>
      <c r="E310"/>
      <c r="F310" s="27" t="s">
        <v>7</v>
      </c>
      <c r="CU310" s="27" t="s">
        <v>8</v>
      </c>
      <c r="CV310" s="27" t="s">
        <v>7</v>
      </c>
      <c r="DI310" s="27" t="s">
        <v>8</v>
      </c>
      <c r="DJ310" s="27" t="s">
        <v>7</v>
      </c>
      <c r="DK310" s="27" t="s">
        <v>8</v>
      </c>
      <c r="DL310" s="27" t="s">
        <v>7</v>
      </c>
      <c r="DM310" s="27" t="s">
        <v>8</v>
      </c>
      <c r="DP310" s="27" t="s">
        <v>7</v>
      </c>
      <c r="EP310" s="27" t="s">
        <v>7</v>
      </c>
      <c r="EQ310" s="27" t="s">
        <v>8</v>
      </c>
      <c r="ER310" s="27" t="s">
        <v>7</v>
      </c>
      <c r="ES310" s="27" t="s">
        <v>8</v>
      </c>
      <c r="ET310" s="27" t="s">
        <v>7</v>
      </c>
      <c r="EU310" s="27" t="s">
        <v>8</v>
      </c>
      <c r="EV310" s="27" t="s">
        <v>7</v>
      </c>
      <c r="EW310" s="27" t="s">
        <v>8</v>
      </c>
      <c r="FB310" s="27" t="s">
        <v>7</v>
      </c>
      <c r="FC310" s="27" t="s">
        <v>8</v>
      </c>
      <c r="FD310" s="27" t="s">
        <v>7</v>
      </c>
      <c r="FE310" s="27" t="s">
        <v>8</v>
      </c>
      <c r="FF310" s="27" t="s">
        <v>7</v>
      </c>
      <c r="FG310" s="27" t="s">
        <v>8</v>
      </c>
      <c r="FH310" s="27" t="s">
        <v>7</v>
      </c>
      <c r="FJ310" s="27" t="s">
        <v>7</v>
      </c>
      <c r="FK310" s="27" t="s">
        <v>8</v>
      </c>
      <c r="FL310" s="27" t="s">
        <v>7</v>
      </c>
      <c r="FM310" s="27" t="s">
        <v>8</v>
      </c>
      <c r="FZ310" s="27" t="s">
        <v>7</v>
      </c>
      <c r="GA310" s="27" t="s">
        <v>8</v>
      </c>
      <c r="GB310" s="27" t="s">
        <v>7</v>
      </c>
      <c r="GC310" s="27" t="s">
        <v>8</v>
      </c>
      <c r="HD310" s="27" t="s">
        <v>7</v>
      </c>
      <c r="HE310" s="27" t="s">
        <v>8</v>
      </c>
    </row>
    <row r="311" spans="1:213" x14ac:dyDescent="0.25">
      <c r="A311" s="30">
        <v>3.1301111964969472E-2</v>
      </c>
      <c r="B311"/>
      <c r="C311"/>
      <c r="D311"/>
      <c r="E311"/>
      <c r="F311" s="27" t="s">
        <v>7</v>
      </c>
      <c r="CU311" s="27" t="s">
        <v>8</v>
      </c>
      <c r="CV311" s="27" t="s">
        <v>7</v>
      </c>
      <c r="CY311" s="27" t="s">
        <v>8</v>
      </c>
      <c r="DI311" s="27" t="s">
        <v>8</v>
      </c>
      <c r="DJ311" s="27" t="s">
        <v>7</v>
      </c>
      <c r="DK311" s="27" t="s">
        <v>8</v>
      </c>
      <c r="DL311" s="27" t="s">
        <v>7</v>
      </c>
      <c r="DM311" s="27" t="s">
        <v>8</v>
      </c>
      <c r="EP311" s="27" t="s">
        <v>7</v>
      </c>
      <c r="EQ311" s="27" t="s">
        <v>8</v>
      </c>
      <c r="ER311" s="27" t="s">
        <v>7</v>
      </c>
      <c r="ES311" s="27" t="s">
        <v>8</v>
      </c>
      <c r="ET311" s="27" t="s">
        <v>7</v>
      </c>
      <c r="EU311" s="27" t="s">
        <v>8</v>
      </c>
      <c r="EV311" s="27" t="s">
        <v>7</v>
      </c>
      <c r="FB311" s="27" t="s">
        <v>7</v>
      </c>
      <c r="FC311" s="27" t="s">
        <v>8</v>
      </c>
      <c r="FD311" s="27" t="s">
        <v>7</v>
      </c>
      <c r="FE311" s="27" t="s">
        <v>8</v>
      </c>
      <c r="FF311" s="27" t="s">
        <v>7</v>
      </c>
      <c r="FG311" s="27" t="s">
        <v>8</v>
      </c>
      <c r="FJ311" s="27" t="s">
        <v>7</v>
      </c>
      <c r="FK311" s="27" t="s">
        <v>8</v>
      </c>
      <c r="FL311" s="27" t="s">
        <v>7</v>
      </c>
      <c r="FM311" s="27" t="s">
        <v>8</v>
      </c>
      <c r="FZ311" s="27" t="s">
        <v>7</v>
      </c>
      <c r="GB311" s="27" t="s">
        <v>7</v>
      </c>
      <c r="GC311" s="27" t="s">
        <v>8</v>
      </c>
      <c r="HD311" s="27" t="s">
        <v>7</v>
      </c>
      <c r="HE311" s="27" t="s">
        <v>8</v>
      </c>
    </row>
    <row r="312" spans="1:213" x14ac:dyDescent="0.25">
      <c r="A312" s="30">
        <v>2.9810582823780438E-2</v>
      </c>
      <c r="B312"/>
      <c r="C312"/>
      <c r="D312"/>
      <c r="E312"/>
      <c r="F312" s="27" t="s">
        <v>7</v>
      </c>
      <c r="CU312" s="27" t="s">
        <v>8</v>
      </c>
      <c r="CV312" s="27" t="s">
        <v>7</v>
      </c>
      <c r="CY312" s="27" t="s">
        <v>8</v>
      </c>
      <c r="CZ312" s="27" t="s">
        <v>7</v>
      </c>
      <c r="DI312" s="27" t="s">
        <v>8</v>
      </c>
      <c r="DJ312" s="27" t="s">
        <v>7</v>
      </c>
      <c r="DK312" s="27" t="s">
        <v>8</v>
      </c>
      <c r="DL312" s="27" t="s">
        <v>7</v>
      </c>
      <c r="EP312" s="27" t="s">
        <v>7</v>
      </c>
      <c r="EQ312" s="27" t="s">
        <v>8</v>
      </c>
      <c r="ER312" s="27" t="s">
        <v>7</v>
      </c>
      <c r="ES312" s="27" t="s">
        <v>8</v>
      </c>
      <c r="ET312" s="27" t="s">
        <v>7</v>
      </c>
      <c r="EU312" s="27" t="s">
        <v>8</v>
      </c>
      <c r="FB312" s="27" t="s">
        <v>7</v>
      </c>
      <c r="FC312" s="27" t="s">
        <v>8</v>
      </c>
      <c r="FD312" s="27" t="s">
        <v>7</v>
      </c>
      <c r="FF312" s="27" t="s">
        <v>7</v>
      </c>
      <c r="FJ312" s="27" t="s">
        <v>7</v>
      </c>
      <c r="FK312" s="27" t="s">
        <v>8</v>
      </c>
      <c r="FL312" s="27" t="s">
        <v>7</v>
      </c>
      <c r="GB312" s="27" t="s">
        <v>7</v>
      </c>
      <c r="HD312" s="27" t="s">
        <v>7</v>
      </c>
      <c r="HE312" s="27" t="s">
        <v>8</v>
      </c>
    </row>
    <row r="313" spans="1:213" x14ac:dyDescent="0.25">
      <c r="A313" s="30">
        <v>2.8391031260743264E-2</v>
      </c>
      <c r="B313"/>
      <c r="C313"/>
      <c r="D313"/>
      <c r="E313"/>
      <c r="F313" s="27" t="s">
        <v>7</v>
      </c>
      <c r="CU313" s="27" t="s">
        <v>8</v>
      </c>
      <c r="CV313" s="27" t="s">
        <v>7</v>
      </c>
      <c r="CY313" s="27" t="s">
        <v>8</v>
      </c>
      <c r="CZ313" s="27" t="s">
        <v>7</v>
      </c>
      <c r="DI313" s="27" t="s">
        <v>8</v>
      </c>
      <c r="DJ313" s="27" t="s">
        <v>7</v>
      </c>
      <c r="EP313" s="27" t="s">
        <v>7</v>
      </c>
      <c r="EQ313" s="27" t="s">
        <v>8</v>
      </c>
      <c r="ER313" s="27" t="s">
        <v>7</v>
      </c>
      <c r="ES313" s="27" t="s">
        <v>8</v>
      </c>
      <c r="ET313" s="27" t="s">
        <v>7</v>
      </c>
      <c r="EU313" s="27" t="s">
        <v>8</v>
      </c>
      <c r="FB313" s="27" t="s">
        <v>7</v>
      </c>
      <c r="FC313" s="27" t="s">
        <v>8</v>
      </c>
      <c r="FJ313" s="18" t="s">
        <v>7</v>
      </c>
      <c r="FK313" s="27" t="s">
        <v>8</v>
      </c>
      <c r="HD313" s="27" t="s">
        <v>7</v>
      </c>
      <c r="HE313" s="27" t="s">
        <v>8</v>
      </c>
    </row>
    <row r="314" spans="1:213" x14ac:dyDescent="0.25">
      <c r="A314" s="30">
        <v>2.7039077391184052E-2</v>
      </c>
      <c r="B314"/>
      <c r="C314"/>
      <c r="D314"/>
      <c r="E314"/>
      <c r="F314" s="27" t="s">
        <v>7</v>
      </c>
      <c r="CU314" s="27" t="s">
        <v>8</v>
      </c>
      <c r="CV314" s="27" t="s">
        <v>7</v>
      </c>
      <c r="CY314" s="27" t="s">
        <v>8</v>
      </c>
      <c r="CZ314" s="27" t="s">
        <v>7</v>
      </c>
      <c r="DA314" s="27" t="s">
        <v>8</v>
      </c>
      <c r="DG314" s="27" t="s">
        <v>8</v>
      </c>
      <c r="DI314" s="27" t="s">
        <v>8</v>
      </c>
      <c r="EP314" s="27" t="s">
        <v>7</v>
      </c>
      <c r="ER314" s="27" t="s">
        <v>7</v>
      </c>
      <c r="ES314" s="27" t="s">
        <v>8</v>
      </c>
      <c r="ET314" s="27" t="s">
        <v>7</v>
      </c>
      <c r="FB314" s="27" t="s">
        <v>7</v>
      </c>
      <c r="FC314" s="27" t="s">
        <v>8</v>
      </c>
      <c r="FJ314" s="27" t="s">
        <v>7</v>
      </c>
      <c r="FK314" s="27" t="s">
        <v>8</v>
      </c>
      <c r="HD314" s="27" t="s">
        <v>7</v>
      </c>
    </row>
    <row r="315" spans="1:213" x14ac:dyDescent="0.25">
      <c r="A315" s="30">
        <v>2.5751502277318133E-2</v>
      </c>
      <c r="B315"/>
      <c r="C315"/>
      <c r="D315"/>
      <c r="E315"/>
      <c r="F315" s="27" t="s">
        <v>7</v>
      </c>
      <c r="CU315" s="27" t="s">
        <v>8</v>
      </c>
      <c r="CV315" s="27" t="s">
        <v>7</v>
      </c>
      <c r="CW315" s="27" t="s">
        <v>8</v>
      </c>
      <c r="CY315" s="27" t="s">
        <v>8</v>
      </c>
      <c r="CZ315" s="27" t="s">
        <v>7</v>
      </c>
      <c r="DA315" s="27" t="s">
        <v>8</v>
      </c>
      <c r="DB315" s="27" t="s">
        <v>7</v>
      </c>
      <c r="DG315" s="27" t="s">
        <v>8</v>
      </c>
      <c r="DH315" s="27" t="s">
        <v>7</v>
      </c>
      <c r="DI315" s="27" t="s">
        <v>8</v>
      </c>
      <c r="ER315" s="27" t="s">
        <v>7</v>
      </c>
      <c r="ES315" s="27" t="s">
        <v>8</v>
      </c>
      <c r="FB315" s="27" t="s">
        <v>7</v>
      </c>
      <c r="FJ315" s="27" t="s">
        <v>7</v>
      </c>
    </row>
    <row r="316" spans="1:213" x14ac:dyDescent="0.25">
      <c r="A316" s="30">
        <v>2.4525240264112496E-2</v>
      </c>
      <c r="B316"/>
      <c r="C316"/>
      <c r="D316"/>
      <c r="E316"/>
      <c r="F316" s="27" t="s">
        <v>7</v>
      </c>
      <c r="CU316" s="27" t="s">
        <v>8</v>
      </c>
      <c r="CV316" s="27" t="s">
        <v>7</v>
      </c>
      <c r="CW316" s="27" t="s">
        <v>8</v>
      </c>
      <c r="CX316" s="27" t="s">
        <v>7</v>
      </c>
      <c r="CY316" s="27" t="s">
        <v>8</v>
      </c>
      <c r="CZ316" s="27" t="s">
        <v>7</v>
      </c>
      <c r="DA316" s="27" t="s">
        <v>8</v>
      </c>
      <c r="DB316" s="27" t="s">
        <v>7</v>
      </c>
      <c r="DG316" s="27" t="s">
        <v>8</v>
      </c>
      <c r="DH316" s="27" t="s">
        <v>7</v>
      </c>
      <c r="DI316" s="27" t="s">
        <v>8</v>
      </c>
      <c r="ER316" s="27" t="s">
        <v>7</v>
      </c>
      <c r="ES316" s="27" t="s">
        <v>8</v>
      </c>
    </row>
    <row r="317" spans="1:213" x14ac:dyDescent="0.25">
      <c r="A317" s="30">
        <v>2.3357371680107129E-2</v>
      </c>
      <c r="B317"/>
      <c r="C317"/>
      <c r="D317"/>
      <c r="E317"/>
      <c r="F317" s="27" t="s">
        <v>7</v>
      </c>
      <c r="CU317" s="27" t="s">
        <v>8</v>
      </c>
      <c r="CV317" s="27" t="s">
        <v>7</v>
      </c>
      <c r="CW317" s="27" t="s">
        <v>8</v>
      </c>
      <c r="CX317" s="27" t="s">
        <v>7</v>
      </c>
      <c r="CY317" s="27" t="s">
        <v>8</v>
      </c>
      <c r="CZ317" s="27" t="s">
        <v>7</v>
      </c>
      <c r="DA317" s="27" t="s">
        <v>8</v>
      </c>
      <c r="DB317" s="27" t="s">
        <v>7</v>
      </c>
      <c r="DG317" s="27" t="s">
        <v>8</v>
      </c>
      <c r="DH317" s="27" t="s">
        <v>7</v>
      </c>
      <c r="DI317" s="27" t="s">
        <v>8</v>
      </c>
      <c r="ER317" s="27" t="s">
        <v>7</v>
      </c>
      <c r="ES317" s="27" t="s">
        <v>8</v>
      </c>
    </row>
    <row r="318" spans="1:213" x14ac:dyDescent="0.25">
      <c r="A318" s="30">
        <v>2.2245115885816305E-2</v>
      </c>
      <c r="B318"/>
      <c r="C318"/>
      <c r="D318"/>
      <c r="E318"/>
      <c r="F318" s="27" t="s">
        <v>7</v>
      </c>
      <c r="CE318" s="27" t="s">
        <v>8</v>
      </c>
      <c r="CU318" s="27" t="s">
        <v>8</v>
      </c>
      <c r="CV318" s="27" t="s">
        <v>7</v>
      </c>
      <c r="CX318" s="27" t="s">
        <v>7</v>
      </c>
      <c r="CY318" s="27" t="s">
        <v>8</v>
      </c>
      <c r="CZ318" s="27" t="s">
        <v>7</v>
      </c>
      <c r="DA318" s="27" t="s">
        <v>8</v>
      </c>
      <c r="DB318" s="27" t="s">
        <v>7</v>
      </c>
      <c r="DG318" s="27" t="s">
        <v>8</v>
      </c>
      <c r="DH318" s="27" t="s">
        <v>7</v>
      </c>
      <c r="ER318" s="27" t="s">
        <v>7</v>
      </c>
      <c r="ES318" s="27" t="s">
        <v>8</v>
      </c>
    </row>
    <row r="319" spans="1:213" x14ac:dyDescent="0.25">
      <c r="A319" s="30">
        <v>2.1185824653158377E-2</v>
      </c>
      <c r="B319"/>
      <c r="C319"/>
      <c r="D319"/>
      <c r="E319"/>
      <c r="F319" s="27" t="s">
        <v>7</v>
      </c>
      <c r="CE319" s="27" t="s">
        <v>8</v>
      </c>
      <c r="CF319" s="27" t="s">
        <v>7</v>
      </c>
      <c r="CU319" s="27" t="s">
        <v>8</v>
      </c>
      <c r="CX319" s="27" t="s">
        <v>7</v>
      </c>
      <c r="CY319" s="27" t="s">
        <v>8</v>
      </c>
      <c r="CZ319" s="27" t="s">
        <v>7</v>
      </c>
      <c r="DB319" s="27" t="s">
        <v>7</v>
      </c>
      <c r="DG319" s="27" t="s">
        <v>8</v>
      </c>
      <c r="ER319" s="27" t="s">
        <v>7</v>
      </c>
      <c r="ES319" s="27" t="s">
        <v>8</v>
      </c>
    </row>
    <row r="320" spans="1:213" x14ac:dyDescent="0.25">
      <c r="A320" s="30">
        <v>2.0176975860150829E-2</v>
      </c>
      <c r="B320"/>
      <c r="C320"/>
      <c r="D320"/>
      <c r="E320"/>
      <c r="F320" s="27" t="s">
        <v>7</v>
      </c>
      <c r="CE320" s="27" t="s">
        <v>8</v>
      </c>
      <c r="CF320" s="27" t="s">
        <v>7</v>
      </c>
      <c r="CU320" s="27" t="s">
        <v>8</v>
      </c>
      <c r="CX320" s="27" t="s">
        <v>7</v>
      </c>
      <c r="CY320" s="27" t="s">
        <v>8</v>
      </c>
      <c r="DB320" s="27" t="s">
        <v>7</v>
      </c>
      <c r="DC320" s="27" t="s">
        <v>8</v>
      </c>
      <c r="DE320" s="27" t="s">
        <v>8</v>
      </c>
      <c r="DG320" s="27" t="s">
        <v>8</v>
      </c>
      <c r="ER320" s="27" t="s">
        <v>7</v>
      </c>
      <c r="ES320" s="27" t="s">
        <v>8</v>
      </c>
    </row>
    <row r="321" spans="1:149" x14ac:dyDescent="0.25">
      <c r="A321" s="30">
        <v>1.9216167485857926E-2</v>
      </c>
      <c r="B321"/>
      <c r="C321"/>
      <c r="D321"/>
      <c r="E321"/>
      <c r="F321" s="27" t="s">
        <v>7</v>
      </c>
      <c r="CE321" s="27" t="s">
        <v>8</v>
      </c>
      <c r="CF321" s="27" t="s">
        <v>7</v>
      </c>
      <c r="CU321" s="27" t="s">
        <v>8</v>
      </c>
      <c r="CX321" s="27" t="s">
        <v>7</v>
      </c>
      <c r="DB321" s="27" t="s">
        <v>7</v>
      </c>
      <c r="DC321" s="27" t="s">
        <v>8</v>
      </c>
      <c r="DD321" s="27" t="s">
        <v>7</v>
      </c>
      <c r="DE321" s="27" t="s">
        <v>8</v>
      </c>
      <c r="DF321" s="27" t="s">
        <v>7</v>
      </c>
      <c r="DG321" s="27" t="s">
        <v>8</v>
      </c>
      <c r="ER321" s="27" t="s">
        <v>7</v>
      </c>
      <c r="ES321" s="27" t="s">
        <v>8</v>
      </c>
    </row>
    <row r="322" spans="1:149" x14ac:dyDescent="0.25">
      <c r="A322" s="30">
        <v>1.8301111891293256E-2</v>
      </c>
      <c r="B322"/>
      <c r="C322"/>
      <c r="D322"/>
      <c r="E322"/>
      <c r="F322" s="27" t="s">
        <v>7</v>
      </c>
      <c r="CE322" s="27" t="s">
        <v>8</v>
      </c>
      <c r="CF322" s="27" t="s">
        <v>7</v>
      </c>
      <c r="CU322" s="27" t="s">
        <v>8</v>
      </c>
      <c r="DB322" s="27" t="s">
        <v>7</v>
      </c>
      <c r="DC322" s="27" t="s">
        <v>8</v>
      </c>
      <c r="DD322" s="27" t="s">
        <v>7</v>
      </c>
      <c r="DE322" s="27" t="s">
        <v>8</v>
      </c>
      <c r="DF322" s="27" t="s">
        <v>7</v>
      </c>
      <c r="DG322" s="27" t="s">
        <v>8</v>
      </c>
      <c r="ER322" s="27" t="s">
        <v>7</v>
      </c>
    </row>
    <row r="323" spans="1:149" x14ac:dyDescent="0.25">
      <c r="A323" s="30">
        <v>1.7429630372660238E-2</v>
      </c>
      <c r="B323"/>
      <c r="C323"/>
      <c r="D323"/>
      <c r="E323"/>
      <c r="F323" s="27" t="s">
        <v>7</v>
      </c>
      <c r="CE323" s="27" t="s">
        <v>8</v>
      </c>
      <c r="CF323" s="27" t="s">
        <v>7</v>
      </c>
      <c r="CO323" s="27" t="s">
        <v>8</v>
      </c>
      <c r="CQ323" s="27" t="s">
        <v>8</v>
      </c>
      <c r="CU323" s="27" t="s">
        <v>8</v>
      </c>
      <c r="DB323" s="27" t="s">
        <v>7</v>
      </c>
      <c r="DC323" s="27" t="s">
        <v>8</v>
      </c>
      <c r="DD323" s="27" t="s">
        <v>7</v>
      </c>
      <c r="DE323" s="27" t="s">
        <v>8</v>
      </c>
      <c r="DF323" s="27" t="s">
        <v>7</v>
      </c>
    </row>
    <row r="324" spans="1:149" x14ac:dyDescent="0.25">
      <c r="A324" s="30">
        <v>1.6599647973962125E-2</v>
      </c>
      <c r="B324"/>
      <c r="C324"/>
      <c r="D324"/>
      <c r="E324"/>
      <c r="F324" s="27" t="s">
        <v>7</v>
      </c>
      <c r="CE324" s="27" t="s">
        <v>8</v>
      </c>
      <c r="CF324" s="27" t="s">
        <v>7</v>
      </c>
      <c r="CO324" s="27" t="s">
        <v>8</v>
      </c>
      <c r="CP324" s="27" t="s">
        <v>7</v>
      </c>
      <c r="CQ324" s="27" t="s">
        <v>8</v>
      </c>
      <c r="CR324" s="27" t="s">
        <v>7</v>
      </c>
      <c r="CU324" s="27" t="s">
        <v>8</v>
      </c>
      <c r="DB324" s="27" t="s">
        <v>7</v>
      </c>
      <c r="DC324" s="27" t="s">
        <v>8</v>
      </c>
      <c r="DD324" s="27" t="s">
        <v>7</v>
      </c>
    </row>
    <row r="325" spans="1:149" x14ac:dyDescent="0.25">
      <c r="A325" s="30">
        <v>1.580918854663059E-2</v>
      </c>
      <c r="B325"/>
      <c r="C325"/>
      <c r="D325"/>
      <c r="E325"/>
      <c r="F325" s="27" t="s">
        <v>7</v>
      </c>
      <c r="CE325" s="27" t="s">
        <v>8</v>
      </c>
      <c r="CF325" s="27" t="s">
        <v>7</v>
      </c>
      <c r="CG325" s="27" t="s">
        <v>8</v>
      </c>
      <c r="CO325" s="27" t="s">
        <v>8</v>
      </c>
      <c r="CP325" s="27" t="s">
        <v>7</v>
      </c>
      <c r="CQ325" s="27" t="s">
        <v>8</v>
      </c>
      <c r="CR325" s="27" t="s">
        <v>7</v>
      </c>
      <c r="CU325" s="27" t="s">
        <v>8</v>
      </c>
      <c r="DB325" s="27" t="s">
        <v>7</v>
      </c>
    </row>
    <row r="326" spans="1:149" x14ac:dyDescent="0.25">
      <c r="A326" s="30">
        <v>1.5056370044410079E-2</v>
      </c>
      <c r="B326"/>
      <c r="C326"/>
      <c r="D326"/>
      <c r="E326"/>
      <c r="F326" s="27" t="s">
        <v>7</v>
      </c>
      <c r="BE326" s="27" t="s">
        <v>8</v>
      </c>
      <c r="CE326" s="27" t="s">
        <v>8</v>
      </c>
      <c r="CF326" s="27" t="s">
        <v>7</v>
      </c>
      <c r="CG326" s="27" t="s">
        <v>8</v>
      </c>
      <c r="CH326" s="27" t="s">
        <v>7</v>
      </c>
      <c r="CO326" s="27" t="s">
        <v>8</v>
      </c>
      <c r="CP326" s="27" t="s">
        <v>7</v>
      </c>
      <c r="CQ326" s="27" t="s">
        <v>8</v>
      </c>
      <c r="CR326" s="27" t="s">
        <v>7</v>
      </c>
      <c r="CU326" s="27" t="s">
        <v>8</v>
      </c>
    </row>
    <row r="327" spans="1:149" x14ac:dyDescent="0.25">
      <c r="A327" s="30">
        <v>1.4339400042295308E-2</v>
      </c>
      <c r="B327"/>
      <c r="C327"/>
      <c r="D327"/>
      <c r="E327"/>
      <c r="F327" s="27" t="s">
        <v>7</v>
      </c>
      <c r="BE327" s="27" t="s">
        <v>8</v>
      </c>
      <c r="BF327" s="27" t="s">
        <v>7</v>
      </c>
      <c r="CE327" s="27" t="s">
        <v>8</v>
      </c>
      <c r="CF327" s="27" t="s">
        <v>7</v>
      </c>
      <c r="CG327" s="27" t="s">
        <v>8</v>
      </c>
      <c r="CH327" s="27" t="s">
        <v>7</v>
      </c>
      <c r="CO327" s="27" t="s">
        <v>8</v>
      </c>
      <c r="CP327" s="27" t="s">
        <v>7</v>
      </c>
      <c r="CQ327" s="27" t="s">
        <v>8</v>
      </c>
      <c r="CR327" s="27" t="s">
        <v>7</v>
      </c>
      <c r="CU327" s="27" t="s">
        <v>8</v>
      </c>
    </row>
    <row r="328" spans="1:149" x14ac:dyDescent="0.25">
      <c r="A328" s="30">
        <v>1.365657146885267E-2</v>
      </c>
      <c r="B328"/>
      <c r="C328"/>
      <c r="D328"/>
      <c r="E328"/>
      <c r="F328" s="27" t="s">
        <v>7</v>
      </c>
      <c r="BE328" s="27" t="s">
        <v>8</v>
      </c>
      <c r="BF328" s="27" t="s">
        <v>7</v>
      </c>
      <c r="CE328" s="27" t="s">
        <v>8</v>
      </c>
      <c r="CF328" s="27" t="s">
        <v>7</v>
      </c>
      <c r="CG328" s="27" t="s">
        <v>8</v>
      </c>
      <c r="CH328" s="27" t="s">
        <v>7</v>
      </c>
      <c r="CI328" s="27" t="s">
        <v>8</v>
      </c>
      <c r="CO328" s="27" t="s">
        <v>8</v>
      </c>
      <c r="CP328" s="27" t="s">
        <v>7</v>
      </c>
      <c r="CQ328" s="27" t="s">
        <v>8</v>
      </c>
      <c r="CR328" s="27" t="s">
        <v>7</v>
      </c>
      <c r="CU328" s="27" t="s">
        <v>8</v>
      </c>
    </row>
    <row r="329" spans="1:149" x14ac:dyDescent="0.25">
      <c r="A329" s="30">
        <v>1.3006258541764442E-2</v>
      </c>
      <c r="B329"/>
      <c r="C329"/>
      <c r="D329"/>
      <c r="E329"/>
      <c r="F329" s="27" t="s">
        <v>7</v>
      </c>
      <c r="K329" s="27" t="s">
        <v>8</v>
      </c>
      <c r="BE329" s="27" t="s">
        <v>8</v>
      </c>
      <c r="BF329" s="27" t="s">
        <v>7</v>
      </c>
      <c r="CE329" s="27" t="s">
        <v>8</v>
      </c>
      <c r="CF329" s="27" t="s">
        <v>7</v>
      </c>
      <c r="CG329" s="27" t="s">
        <v>8</v>
      </c>
      <c r="CH329" s="27" t="s">
        <v>7</v>
      </c>
      <c r="CI329" s="27" t="s">
        <v>8</v>
      </c>
      <c r="CJ329" s="27" t="s">
        <v>7</v>
      </c>
      <c r="CM329" s="27" t="s">
        <v>8</v>
      </c>
      <c r="CO329" s="27" t="s">
        <v>8</v>
      </c>
      <c r="CP329" s="27" t="s">
        <v>7</v>
      </c>
      <c r="CR329" s="27" t="s">
        <v>7</v>
      </c>
      <c r="CS329" s="27" t="s">
        <v>8</v>
      </c>
      <c r="CU329" s="27" t="s">
        <v>8</v>
      </c>
    </row>
    <row r="330" spans="1:149" x14ac:dyDescent="0.25">
      <c r="A330" s="30">
        <v>1.2386912896918512E-2</v>
      </c>
      <c r="B330"/>
      <c r="C330"/>
      <c r="D330"/>
      <c r="E330"/>
      <c r="F330" s="27" t="s">
        <v>7</v>
      </c>
      <c r="I330" s="27" t="s">
        <v>8</v>
      </c>
      <c r="K330" s="27" t="s">
        <v>8</v>
      </c>
      <c r="L330" s="27" t="s">
        <v>7</v>
      </c>
      <c r="BE330" s="27" t="s">
        <v>8</v>
      </c>
      <c r="BF330" s="27" t="s">
        <v>7</v>
      </c>
      <c r="BG330" s="27" t="s">
        <v>8</v>
      </c>
      <c r="CE330" s="27" t="s">
        <v>8</v>
      </c>
      <c r="CF330" s="27" t="s">
        <v>7</v>
      </c>
      <c r="CG330" s="27" t="s">
        <v>8</v>
      </c>
      <c r="CH330" s="27" t="s">
        <v>7</v>
      </c>
      <c r="CI330" s="27" t="s">
        <v>8</v>
      </c>
      <c r="CJ330" s="27" t="s">
        <v>7</v>
      </c>
      <c r="CM330" s="27" t="s">
        <v>8</v>
      </c>
      <c r="CN330" s="27" t="s">
        <v>7</v>
      </c>
      <c r="CO330" s="27" t="s">
        <v>8</v>
      </c>
      <c r="CR330" s="27" t="s">
        <v>7</v>
      </c>
      <c r="CS330" s="27" t="s">
        <v>8</v>
      </c>
      <c r="CT330" s="27" t="s">
        <v>7</v>
      </c>
      <c r="CU330" s="27" t="s">
        <v>8</v>
      </c>
    </row>
    <row r="331" spans="1:149" x14ac:dyDescent="0.25">
      <c r="A331" s="30">
        <v>1.179705990182715E-2</v>
      </c>
      <c r="B331"/>
      <c r="C331"/>
      <c r="D331"/>
      <c r="E331"/>
      <c r="F331" s="27" t="s">
        <v>7</v>
      </c>
      <c r="I331" s="27" t="s">
        <v>8</v>
      </c>
      <c r="J331" s="27" t="s">
        <v>7</v>
      </c>
      <c r="K331" s="27" t="s">
        <v>8</v>
      </c>
      <c r="L331" s="27" t="s">
        <v>7</v>
      </c>
      <c r="BE331" s="27" t="s">
        <v>8</v>
      </c>
      <c r="BF331" s="27" t="s">
        <v>7</v>
      </c>
      <c r="BG331" s="27" t="s">
        <v>8</v>
      </c>
      <c r="BH331" s="27" t="s">
        <v>7</v>
      </c>
      <c r="CE331" s="27" t="s">
        <v>8</v>
      </c>
      <c r="CF331" s="27" t="s">
        <v>7</v>
      </c>
      <c r="CG331" s="27" t="s">
        <v>8</v>
      </c>
      <c r="CH331" s="27" t="s">
        <v>7</v>
      </c>
      <c r="CI331" s="27" t="s">
        <v>8</v>
      </c>
      <c r="CJ331" s="27" t="s">
        <v>7</v>
      </c>
      <c r="CM331" s="27" t="s">
        <v>8</v>
      </c>
      <c r="CN331" s="27" t="s">
        <v>7</v>
      </c>
      <c r="CO331" s="27" t="s">
        <v>8</v>
      </c>
      <c r="CR331" s="27" t="s">
        <v>7</v>
      </c>
      <c r="CS331" s="27" t="s">
        <v>8</v>
      </c>
      <c r="CT331" s="27" t="s">
        <v>7</v>
      </c>
      <c r="CU331" s="27" t="s">
        <v>8</v>
      </c>
    </row>
    <row r="332" spans="1:149" x14ac:dyDescent="0.25">
      <c r="A332" s="30">
        <v>1.1235295144597281E-2</v>
      </c>
      <c r="B332"/>
      <c r="C332"/>
      <c r="D332"/>
      <c r="E332"/>
      <c r="F332" s="27" t="s">
        <v>7</v>
      </c>
      <c r="I332" s="27" t="s">
        <v>8</v>
      </c>
      <c r="J332" s="27" t="s">
        <v>7</v>
      </c>
      <c r="K332" s="27" t="s">
        <v>8</v>
      </c>
      <c r="L332" s="27" t="s">
        <v>7</v>
      </c>
      <c r="M332" s="27" t="s">
        <v>8</v>
      </c>
      <c r="AY332" s="27" t="s">
        <v>8</v>
      </c>
      <c r="BC332" s="27" t="s">
        <v>8</v>
      </c>
      <c r="BE332" s="27" t="s">
        <v>8</v>
      </c>
      <c r="BF332" s="27" t="s">
        <v>7</v>
      </c>
      <c r="BG332" s="27" t="s">
        <v>8</v>
      </c>
      <c r="BH332" s="27" t="s">
        <v>7</v>
      </c>
      <c r="CE332" s="27" t="s">
        <v>8</v>
      </c>
      <c r="CF332" s="27" t="s">
        <v>7</v>
      </c>
      <c r="CG332" s="27" t="s">
        <v>8</v>
      </c>
      <c r="CH332" s="27" t="s">
        <v>7</v>
      </c>
      <c r="CI332" s="27" t="s">
        <v>8</v>
      </c>
      <c r="CJ332" s="27" t="s">
        <v>7</v>
      </c>
      <c r="CK332" s="27" t="s">
        <v>8</v>
      </c>
      <c r="CM332" s="27" t="s">
        <v>8</v>
      </c>
      <c r="CN332" s="27" t="s">
        <v>7</v>
      </c>
      <c r="CO332" s="27" t="s">
        <v>8</v>
      </c>
      <c r="CR332" s="27" t="s">
        <v>7</v>
      </c>
      <c r="CT332" s="27" t="s">
        <v>7</v>
      </c>
      <c r="CU332" s="27" t="s">
        <v>8</v>
      </c>
    </row>
    <row r="333" spans="1:149" x14ac:dyDescent="0.25">
      <c r="A333" s="30">
        <v>1.0700281090092644E-2</v>
      </c>
      <c r="B333"/>
      <c r="C333"/>
      <c r="D333"/>
      <c r="E333"/>
      <c r="F333" s="27" t="s">
        <v>7</v>
      </c>
      <c r="I333" s="27" t="s">
        <v>8</v>
      </c>
      <c r="J333" s="27" t="s">
        <v>7</v>
      </c>
      <c r="L333" s="27" t="s">
        <v>7</v>
      </c>
      <c r="M333" s="27" t="s">
        <v>8</v>
      </c>
      <c r="N333" s="27" t="s">
        <v>7</v>
      </c>
      <c r="AO333" s="27" t="s">
        <v>8</v>
      </c>
      <c r="AY333" s="27" t="s">
        <v>8</v>
      </c>
      <c r="AZ333" s="27" t="s">
        <v>7</v>
      </c>
      <c r="BC333" s="27" t="s">
        <v>8</v>
      </c>
      <c r="BD333" s="27" t="s">
        <v>7</v>
      </c>
      <c r="BE333" s="27" t="s">
        <v>8</v>
      </c>
      <c r="BF333" s="27" t="s">
        <v>7</v>
      </c>
      <c r="BG333" s="27" t="s">
        <v>8</v>
      </c>
      <c r="BH333" s="27" t="s">
        <v>7</v>
      </c>
      <c r="CE333" s="27" t="s">
        <v>8</v>
      </c>
      <c r="CF333" s="27" t="s">
        <v>7</v>
      </c>
      <c r="CG333" s="27" t="s">
        <v>8</v>
      </c>
      <c r="CH333" s="27" t="s">
        <v>7</v>
      </c>
      <c r="CI333" s="27" t="s">
        <v>8</v>
      </c>
      <c r="CJ333" s="27" t="s">
        <v>7</v>
      </c>
      <c r="CK333" s="27" t="s">
        <v>8</v>
      </c>
      <c r="CL333" s="27" t="s">
        <v>7</v>
      </c>
      <c r="CM333" s="27" t="s">
        <v>8</v>
      </c>
      <c r="CN333" s="27" t="s">
        <v>7</v>
      </c>
      <c r="CO333" s="27" t="s">
        <v>8</v>
      </c>
      <c r="CT333" s="27" t="s">
        <v>7</v>
      </c>
      <c r="CU333" s="27" t="s">
        <v>8</v>
      </c>
    </row>
    <row r="334" spans="1:149" x14ac:dyDescent="0.25">
      <c r="A334" s="30">
        <v>1.0190743895326324E-2</v>
      </c>
      <c r="B334"/>
      <c r="C334"/>
      <c r="D334"/>
      <c r="E334"/>
      <c r="F334" s="27" t="s">
        <v>7</v>
      </c>
      <c r="I334" s="27" t="s">
        <v>8</v>
      </c>
      <c r="L334" s="27" t="s">
        <v>7</v>
      </c>
      <c r="M334" s="27" t="s">
        <v>8</v>
      </c>
      <c r="N334" s="27" t="s">
        <v>7</v>
      </c>
      <c r="AO334" s="27" t="s">
        <v>8</v>
      </c>
      <c r="AP334" s="27" t="s">
        <v>7</v>
      </c>
      <c r="AY334" s="27" t="s">
        <v>8</v>
      </c>
      <c r="AZ334" s="27" t="s">
        <v>7</v>
      </c>
      <c r="BC334" s="27" t="s">
        <v>8</v>
      </c>
      <c r="BD334" s="27" t="s">
        <v>7</v>
      </c>
      <c r="BE334" s="27" t="s">
        <v>8</v>
      </c>
      <c r="BF334" s="27" t="s">
        <v>7</v>
      </c>
      <c r="BG334" s="27" t="s">
        <v>8</v>
      </c>
      <c r="BH334" s="27" t="s">
        <v>7</v>
      </c>
      <c r="BK334" s="27" t="s">
        <v>8</v>
      </c>
      <c r="CE334" s="27" t="s">
        <v>8</v>
      </c>
      <c r="CF334" s="27" t="s">
        <v>7</v>
      </c>
      <c r="CG334" s="27" t="s">
        <v>8</v>
      </c>
      <c r="CH334" s="27" t="s">
        <v>7</v>
      </c>
      <c r="CI334" s="27" t="s">
        <v>8</v>
      </c>
      <c r="CJ334" s="27" t="s">
        <v>7</v>
      </c>
      <c r="CK334" s="27" t="s">
        <v>8</v>
      </c>
      <c r="CL334" s="27" t="s">
        <v>7</v>
      </c>
      <c r="CM334" s="27" t="s">
        <v>8</v>
      </c>
      <c r="CN334" s="27" t="s">
        <v>7</v>
      </c>
      <c r="CO334" s="27" t="s">
        <v>8</v>
      </c>
      <c r="CT334" s="27" t="s">
        <v>7</v>
      </c>
    </row>
    <row r="335" spans="1:149" x14ac:dyDescent="0.25">
      <c r="A335" s="30">
        <v>9.7054703765012563E-3</v>
      </c>
      <c r="B335"/>
      <c r="C335"/>
      <c r="D335"/>
      <c r="E335"/>
      <c r="F335" s="27" t="s">
        <v>7</v>
      </c>
      <c r="G335" s="27" t="s">
        <v>8</v>
      </c>
      <c r="I335" s="27" t="s">
        <v>8</v>
      </c>
      <c r="L335" s="27" t="s">
        <v>7</v>
      </c>
      <c r="M335" s="27" t="s">
        <v>8</v>
      </c>
      <c r="N335" s="27" t="s">
        <v>7</v>
      </c>
      <c r="O335" s="27" t="s">
        <v>8</v>
      </c>
      <c r="AO335" s="27" t="s">
        <v>8</v>
      </c>
      <c r="AP335" s="27" t="s">
        <v>7</v>
      </c>
      <c r="AY335" s="27" t="s">
        <v>8</v>
      </c>
      <c r="AZ335" s="27" t="s">
        <v>7</v>
      </c>
      <c r="BC335" s="27" t="s">
        <v>8</v>
      </c>
      <c r="BD335" s="27" t="s">
        <v>7</v>
      </c>
      <c r="BE335" s="27" t="s">
        <v>8</v>
      </c>
      <c r="BF335" s="27" t="s">
        <v>7</v>
      </c>
      <c r="BG335" s="27" t="s">
        <v>8</v>
      </c>
      <c r="BH335" s="27" t="s">
        <v>7</v>
      </c>
      <c r="BI335" s="27" t="s">
        <v>8</v>
      </c>
      <c r="BK335" s="27" t="s">
        <v>8</v>
      </c>
      <c r="BL335" s="27" t="s">
        <v>7</v>
      </c>
      <c r="CE335" s="27" t="s">
        <v>8</v>
      </c>
      <c r="CF335" s="27" t="s">
        <v>7</v>
      </c>
      <c r="CG335" s="27" t="s">
        <v>8</v>
      </c>
      <c r="CH335" s="27" t="s">
        <v>7</v>
      </c>
      <c r="CI335" s="27" t="s">
        <v>8</v>
      </c>
      <c r="CJ335" s="27" t="s">
        <v>7</v>
      </c>
      <c r="CK335" s="27" t="s">
        <v>8</v>
      </c>
      <c r="CL335" s="27" t="s">
        <v>7</v>
      </c>
      <c r="CM335" s="27" t="s">
        <v>8</v>
      </c>
      <c r="CN335" s="27" t="s">
        <v>7</v>
      </c>
      <c r="CO335" s="27" t="s">
        <v>8</v>
      </c>
    </row>
    <row r="336" spans="1:149" x14ac:dyDescent="0.25">
      <c r="A336" s="30">
        <v>9.2433051204773835E-3</v>
      </c>
      <c r="B336"/>
      <c r="C336"/>
      <c r="D336"/>
      <c r="E336"/>
      <c r="F336" s="27" t="s">
        <v>7</v>
      </c>
      <c r="G336" s="27" t="s">
        <v>8</v>
      </c>
      <c r="H336" s="27" t="s">
        <v>7</v>
      </c>
      <c r="I336" s="27" t="s">
        <v>8</v>
      </c>
      <c r="L336" s="27" t="s">
        <v>7</v>
      </c>
      <c r="N336" s="27" t="s">
        <v>7</v>
      </c>
      <c r="O336" s="27" t="s">
        <v>8</v>
      </c>
      <c r="P336" s="27" t="s">
        <v>7</v>
      </c>
      <c r="AO336" s="27" t="s">
        <v>8</v>
      </c>
      <c r="AP336" s="27" t="s">
        <v>7</v>
      </c>
      <c r="AY336" s="27" t="s">
        <v>8</v>
      </c>
      <c r="AZ336" s="27" t="s">
        <v>7</v>
      </c>
      <c r="BA336" s="27" t="s">
        <v>8</v>
      </c>
      <c r="BC336" s="27" t="s">
        <v>8</v>
      </c>
      <c r="BD336" s="27" t="s">
        <v>7</v>
      </c>
      <c r="BF336" s="27" t="s">
        <v>7</v>
      </c>
      <c r="BG336" s="27" t="s">
        <v>8</v>
      </c>
      <c r="BH336" s="27" t="s">
        <v>7</v>
      </c>
      <c r="BI336" s="27" t="s">
        <v>8</v>
      </c>
      <c r="BJ336" s="27" t="s">
        <v>7</v>
      </c>
      <c r="BK336" s="27" t="s">
        <v>8</v>
      </c>
      <c r="BL336" s="27" t="s">
        <v>7</v>
      </c>
      <c r="CE336" s="27" t="s">
        <v>8</v>
      </c>
      <c r="CF336" s="27" t="s">
        <v>7</v>
      </c>
      <c r="CH336" s="27" t="s">
        <v>7</v>
      </c>
      <c r="CJ336" s="27" t="s">
        <v>7</v>
      </c>
      <c r="CK336" s="27" t="s">
        <v>8</v>
      </c>
      <c r="CL336" s="27" t="s">
        <v>7</v>
      </c>
      <c r="CM336" s="27" t="s">
        <v>8</v>
      </c>
      <c r="CN336" s="27" t="s">
        <v>7</v>
      </c>
      <c r="CO336" s="27" t="s">
        <v>8</v>
      </c>
    </row>
    <row r="337" spans="1:92" x14ac:dyDescent="0.25">
      <c r="A337" s="30">
        <v>8.8031477337879808E-3</v>
      </c>
      <c r="B337"/>
      <c r="C337"/>
      <c r="D337"/>
      <c r="E337"/>
      <c r="F337" s="27" t="s">
        <v>7</v>
      </c>
      <c r="G337" s="27" t="s">
        <v>8</v>
      </c>
      <c r="H337" s="27" t="s">
        <v>7</v>
      </c>
      <c r="I337" s="27" t="s">
        <v>8</v>
      </c>
      <c r="N337" s="27" t="s">
        <v>7</v>
      </c>
      <c r="O337" s="27" t="s">
        <v>8</v>
      </c>
      <c r="P337" s="27" t="s">
        <v>7</v>
      </c>
      <c r="AO337" s="27" t="s">
        <v>8</v>
      </c>
      <c r="AP337" s="27" t="s">
        <v>7</v>
      </c>
      <c r="AS337" s="27" t="s">
        <v>8</v>
      </c>
      <c r="AU337" s="27" t="s">
        <v>8</v>
      </c>
      <c r="AW337" s="27" t="s">
        <v>8</v>
      </c>
      <c r="AY337" s="27" t="s">
        <v>8</v>
      </c>
      <c r="AZ337" s="27" t="s">
        <v>7</v>
      </c>
      <c r="BA337" s="27" t="s">
        <v>8</v>
      </c>
      <c r="BB337" s="27" t="s">
        <v>7</v>
      </c>
      <c r="BC337" s="27" t="s">
        <v>8</v>
      </c>
      <c r="BF337" s="27" t="s">
        <v>7</v>
      </c>
      <c r="BH337" s="27" t="s">
        <v>7</v>
      </c>
      <c r="BI337" s="27" t="s">
        <v>8</v>
      </c>
      <c r="BJ337" s="27" t="s">
        <v>7</v>
      </c>
      <c r="BK337" s="27" t="s">
        <v>8</v>
      </c>
      <c r="BL337" s="27" t="s">
        <v>7</v>
      </c>
      <c r="BM337" s="27" t="s">
        <v>8</v>
      </c>
      <c r="CE337" s="27" t="s">
        <v>8</v>
      </c>
      <c r="CJ337" s="27" t="s">
        <v>7</v>
      </c>
      <c r="CL337" s="27" t="s">
        <v>7</v>
      </c>
      <c r="CN337" s="27" t="s">
        <v>7</v>
      </c>
    </row>
    <row r="338" spans="1:92" x14ac:dyDescent="0.25">
      <c r="A338" s="30">
        <v>8.3839502226552166E-3</v>
      </c>
      <c r="B338"/>
      <c r="C338"/>
      <c r="D338"/>
      <c r="E338"/>
      <c r="F338" s="27" t="s">
        <v>7</v>
      </c>
      <c r="G338" s="27" t="s">
        <v>8</v>
      </c>
      <c r="H338" s="27" t="s">
        <v>7</v>
      </c>
      <c r="N338" s="27" t="s">
        <v>7</v>
      </c>
      <c r="O338" s="27" t="s">
        <v>8</v>
      </c>
      <c r="P338" s="27" t="s">
        <v>7</v>
      </c>
      <c r="AO338" s="27" t="s">
        <v>8</v>
      </c>
      <c r="AP338" s="27" t="s">
        <v>7</v>
      </c>
      <c r="AQ338" s="27" t="s">
        <v>8</v>
      </c>
      <c r="AS338" s="27" t="s">
        <v>8</v>
      </c>
      <c r="AT338" s="27" t="s">
        <v>7</v>
      </c>
      <c r="AU338" s="27" t="s">
        <v>8</v>
      </c>
      <c r="AV338" s="27" t="s">
        <v>7</v>
      </c>
      <c r="AW338" s="27" t="s">
        <v>8</v>
      </c>
      <c r="AX338" s="27" t="s">
        <v>7</v>
      </c>
      <c r="AY338" s="27" t="s">
        <v>8</v>
      </c>
      <c r="AZ338" s="27" t="s">
        <v>7</v>
      </c>
      <c r="BA338" s="27" t="s">
        <v>8</v>
      </c>
      <c r="BB338" s="27" t="s">
        <v>7</v>
      </c>
      <c r="BC338" s="27" t="s">
        <v>8</v>
      </c>
      <c r="BH338" s="27" t="s">
        <v>7</v>
      </c>
      <c r="BJ338" s="27" t="s">
        <v>7</v>
      </c>
      <c r="BL338" s="27" t="s">
        <v>7</v>
      </c>
      <c r="BM338" s="27" t="s">
        <v>8</v>
      </c>
      <c r="BN338" s="27" t="s">
        <v>7</v>
      </c>
      <c r="BQ338" s="27" t="s">
        <v>8</v>
      </c>
      <c r="CA338" s="27" t="s">
        <v>8</v>
      </c>
      <c r="CE338" s="27" t="s">
        <v>8</v>
      </c>
    </row>
    <row r="339" spans="1:92" x14ac:dyDescent="0.25">
      <c r="A339" s="30">
        <v>7.9847144977668698E-3</v>
      </c>
      <c r="B339"/>
      <c r="C339"/>
      <c r="D339"/>
      <c r="E339"/>
      <c r="F339" s="27" t="s">
        <v>7</v>
      </c>
      <c r="G339" s="27" t="s">
        <v>8</v>
      </c>
      <c r="N339" s="27" t="s">
        <v>7</v>
      </c>
      <c r="O339" s="27" t="s">
        <v>8</v>
      </c>
      <c r="P339" s="27" t="s">
        <v>7</v>
      </c>
      <c r="AC339" s="27" t="s">
        <v>8</v>
      </c>
      <c r="AO339" s="27" t="s">
        <v>8</v>
      </c>
      <c r="AP339" s="27" t="s">
        <v>7</v>
      </c>
      <c r="AQ339" s="27" t="s">
        <v>8</v>
      </c>
      <c r="AR339" s="27" t="s">
        <v>7</v>
      </c>
      <c r="AS339" s="27" t="s">
        <v>8</v>
      </c>
      <c r="AT339" s="27" t="s">
        <v>7</v>
      </c>
      <c r="AU339" s="27" t="s">
        <v>8</v>
      </c>
      <c r="AV339" s="27" t="s">
        <v>7</v>
      </c>
      <c r="AW339" s="27" t="s">
        <v>8</v>
      </c>
      <c r="AX339" s="27" t="s">
        <v>7</v>
      </c>
      <c r="AY339" s="27" t="s">
        <v>8</v>
      </c>
      <c r="AZ339" s="27" t="s">
        <v>7</v>
      </c>
      <c r="BA339" s="27" t="s">
        <v>8</v>
      </c>
      <c r="BB339" s="27" t="s">
        <v>7</v>
      </c>
      <c r="BL339" s="27" t="s">
        <v>7</v>
      </c>
      <c r="BM339" s="27" t="s">
        <v>8</v>
      </c>
      <c r="BN339" s="27" t="s">
        <v>7</v>
      </c>
      <c r="BO339" s="27" t="s">
        <v>8</v>
      </c>
      <c r="BQ339" s="27" t="s">
        <v>8</v>
      </c>
      <c r="BR339" s="27" t="s">
        <v>7</v>
      </c>
      <c r="CA339" s="27" t="s">
        <v>8</v>
      </c>
      <c r="CB339" s="27" t="s">
        <v>7</v>
      </c>
      <c r="CE339" s="27" t="s">
        <v>8</v>
      </c>
    </row>
    <row r="340" spans="1:92" x14ac:dyDescent="0.25">
      <c r="A340" s="30">
        <v>7.6044899978732058E-3</v>
      </c>
      <c r="B340"/>
      <c r="C340"/>
      <c r="D340"/>
      <c r="E340"/>
      <c r="F340" s="27" t="s">
        <v>7</v>
      </c>
      <c r="G340" s="27" t="s">
        <v>8</v>
      </c>
      <c r="N340" s="27" t="s">
        <v>7</v>
      </c>
      <c r="O340" s="27" t="s">
        <v>8</v>
      </c>
      <c r="P340" s="27" t="s">
        <v>7</v>
      </c>
      <c r="Q340" s="27" t="s">
        <v>8</v>
      </c>
      <c r="AC340" s="27" t="s">
        <v>8</v>
      </c>
      <c r="AD340" s="27" t="s">
        <v>7</v>
      </c>
      <c r="AK340" s="27" t="s">
        <v>8</v>
      </c>
      <c r="AM340" s="27" t="s">
        <v>8</v>
      </c>
      <c r="AO340" s="27" t="s">
        <v>8</v>
      </c>
      <c r="AP340" s="27" t="s">
        <v>7</v>
      </c>
      <c r="AQ340" s="27" t="s">
        <v>8</v>
      </c>
      <c r="AR340" s="27" t="s">
        <v>7</v>
      </c>
      <c r="AS340" s="27" t="s">
        <v>8</v>
      </c>
      <c r="AT340" s="27" t="s">
        <v>7</v>
      </c>
      <c r="AU340" s="27" t="s">
        <v>8</v>
      </c>
      <c r="AV340" s="27" t="s">
        <v>7</v>
      </c>
      <c r="AW340" s="27" t="s">
        <v>8</v>
      </c>
      <c r="AX340" s="27" t="s">
        <v>7</v>
      </c>
      <c r="AZ340" s="27" t="s">
        <v>7</v>
      </c>
      <c r="BL340" s="27" t="s">
        <v>7</v>
      </c>
      <c r="BM340" s="27" t="s">
        <v>8</v>
      </c>
      <c r="BN340" s="27" t="s">
        <v>7</v>
      </c>
      <c r="BO340" s="27" t="s">
        <v>8</v>
      </c>
      <c r="BP340" s="27" t="s">
        <v>7</v>
      </c>
      <c r="BQ340" s="27" t="s">
        <v>8</v>
      </c>
      <c r="BR340" s="27" t="s">
        <v>7</v>
      </c>
      <c r="BS340" s="27" t="s">
        <v>8</v>
      </c>
      <c r="BY340" s="27" t="s">
        <v>8</v>
      </c>
      <c r="CA340" s="27" t="s">
        <v>8</v>
      </c>
      <c r="CB340" s="27" t="s">
        <v>7</v>
      </c>
      <c r="CC340" s="27" t="s">
        <v>8</v>
      </c>
      <c r="CE340" s="27" t="s">
        <v>8</v>
      </c>
    </row>
    <row r="341" spans="1:92" x14ac:dyDescent="0.25">
      <c r="A341" s="30">
        <v>7.2423714265459072E-3</v>
      </c>
      <c r="B341"/>
      <c r="C341"/>
      <c r="D341"/>
      <c r="E341"/>
      <c r="F341" s="27" t="s">
        <v>7</v>
      </c>
      <c r="G341" s="27" t="s">
        <v>8</v>
      </c>
      <c r="N341" s="27" t="s">
        <v>7</v>
      </c>
      <c r="O341" s="27" t="s">
        <v>8</v>
      </c>
      <c r="P341" s="27" t="s">
        <v>7</v>
      </c>
      <c r="Q341" s="27" t="s">
        <v>8</v>
      </c>
      <c r="R341" s="27" t="s">
        <v>7</v>
      </c>
      <c r="AC341" s="27" t="s">
        <v>8</v>
      </c>
      <c r="AD341" s="27" t="s">
        <v>7</v>
      </c>
      <c r="AK341" s="27" t="s">
        <v>8</v>
      </c>
      <c r="AL341" s="27" t="s">
        <v>7</v>
      </c>
      <c r="AM341" s="27" t="s">
        <v>8</v>
      </c>
      <c r="AN341" s="27" t="s">
        <v>7</v>
      </c>
      <c r="AO341" s="27" t="s">
        <v>8</v>
      </c>
      <c r="AP341" s="27" t="s">
        <v>7</v>
      </c>
      <c r="AQ341" s="27" t="s">
        <v>8</v>
      </c>
      <c r="AR341" s="27" t="s">
        <v>7</v>
      </c>
      <c r="AS341" s="27" t="s">
        <v>8</v>
      </c>
      <c r="AT341" s="27" t="s">
        <v>7</v>
      </c>
      <c r="AV341" s="27" t="s">
        <v>7</v>
      </c>
      <c r="AW341" s="27" t="s">
        <v>8</v>
      </c>
      <c r="BL341" s="27" t="s">
        <v>7</v>
      </c>
      <c r="BN341" s="27" t="s">
        <v>7</v>
      </c>
      <c r="BO341" s="27" t="s">
        <v>8</v>
      </c>
      <c r="BP341" s="27" t="s">
        <v>7</v>
      </c>
      <c r="BQ341" s="27" t="s">
        <v>8</v>
      </c>
      <c r="BR341" s="27" t="s">
        <v>7</v>
      </c>
      <c r="BS341" s="27" t="s">
        <v>8</v>
      </c>
      <c r="BT341" s="27" t="s">
        <v>7</v>
      </c>
      <c r="BU341" s="27" t="s">
        <v>8</v>
      </c>
      <c r="BW341" s="27" t="s">
        <v>8</v>
      </c>
      <c r="BY341" s="27" t="s">
        <v>8</v>
      </c>
      <c r="BZ341" s="27" t="s">
        <v>7</v>
      </c>
      <c r="CA341" s="27" t="s">
        <v>8</v>
      </c>
      <c r="CB341" s="27" t="s">
        <v>7</v>
      </c>
      <c r="CC341" s="27" t="s">
        <v>8</v>
      </c>
      <c r="CD341" s="27" t="s">
        <v>7</v>
      </c>
      <c r="CE341" s="27" t="s">
        <v>8</v>
      </c>
    </row>
    <row r="342" spans="1:92" x14ac:dyDescent="0.25">
      <c r="A342" s="30">
        <v>6.8974965967103846E-3</v>
      </c>
      <c r="B342"/>
      <c r="C342"/>
      <c r="D342"/>
      <c r="E342"/>
      <c r="F342" s="27" t="s">
        <v>7</v>
      </c>
      <c r="N342" s="27" t="s">
        <v>7</v>
      </c>
      <c r="P342" s="27" t="s">
        <v>7</v>
      </c>
      <c r="Q342" s="27" t="s">
        <v>8</v>
      </c>
      <c r="R342" s="27" t="s">
        <v>7</v>
      </c>
      <c r="AC342" s="27" t="s">
        <v>8</v>
      </c>
      <c r="AD342" s="27" t="s">
        <v>7</v>
      </c>
      <c r="AK342" s="27" t="s">
        <v>8</v>
      </c>
      <c r="AL342" s="27" t="s">
        <v>7</v>
      </c>
      <c r="AM342" s="27" t="s">
        <v>8</v>
      </c>
      <c r="AN342" s="27" t="s">
        <v>7</v>
      </c>
      <c r="AO342" s="27" t="s">
        <v>8</v>
      </c>
      <c r="AP342" s="27" t="s">
        <v>7</v>
      </c>
      <c r="AQ342" s="27" t="s">
        <v>8</v>
      </c>
      <c r="AR342" s="27" t="s">
        <v>7</v>
      </c>
      <c r="AV342" s="27" t="s">
        <v>7</v>
      </c>
      <c r="AW342" s="27" t="s">
        <v>8</v>
      </c>
      <c r="BN342" s="27" t="s">
        <v>7</v>
      </c>
      <c r="BP342" s="27" t="s">
        <v>7</v>
      </c>
      <c r="BQ342" s="27" t="s">
        <v>8</v>
      </c>
      <c r="BR342" s="27" t="s">
        <v>7</v>
      </c>
      <c r="BS342" s="27" t="s">
        <v>8</v>
      </c>
      <c r="BT342" s="27" t="s">
        <v>7</v>
      </c>
      <c r="BU342" s="27" t="s">
        <v>8</v>
      </c>
      <c r="BV342" s="27" t="s">
        <v>7</v>
      </c>
      <c r="BW342" s="27" t="s">
        <v>8</v>
      </c>
      <c r="BX342" s="27" t="s">
        <v>7</v>
      </c>
      <c r="BY342" s="27" t="s">
        <v>8</v>
      </c>
      <c r="BZ342" s="27" t="s">
        <v>7</v>
      </c>
      <c r="CA342" s="27" t="s">
        <v>8</v>
      </c>
      <c r="CB342" s="27" t="s">
        <v>7</v>
      </c>
      <c r="CC342" s="27" t="s">
        <v>8</v>
      </c>
      <c r="CD342" s="27" t="s">
        <v>7</v>
      </c>
      <c r="CE342" s="27" t="s">
        <v>8</v>
      </c>
    </row>
    <row r="343" spans="1:92" x14ac:dyDescent="0.25">
      <c r="A343" s="30">
        <v>6.5690443778194116E-3</v>
      </c>
      <c r="B343"/>
      <c r="C343"/>
      <c r="D343"/>
      <c r="E343"/>
      <c r="P343" s="27" t="s">
        <v>7</v>
      </c>
      <c r="Q343" s="27" t="s">
        <v>8</v>
      </c>
      <c r="R343" s="27" t="s">
        <v>7</v>
      </c>
      <c r="AC343" s="27" t="s">
        <v>8</v>
      </c>
      <c r="AD343" s="27" t="s">
        <v>7</v>
      </c>
      <c r="AK343" s="27" t="s">
        <v>8</v>
      </c>
      <c r="AL343" s="27" t="s">
        <v>7</v>
      </c>
      <c r="AM343" s="27" t="s">
        <v>8</v>
      </c>
      <c r="AN343" s="27" t="s">
        <v>7</v>
      </c>
      <c r="AP343" s="27" t="s">
        <v>7</v>
      </c>
      <c r="AQ343" s="27" t="s">
        <v>8</v>
      </c>
      <c r="AV343" s="27" t="s">
        <v>7</v>
      </c>
      <c r="BP343" s="27" t="s">
        <v>7</v>
      </c>
      <c r="BQ343" s="27" t="s">
        <v>8</v>
      </c>
      <c r="BR343" s="27" t="s">
        <v>7</v>
      </c>
      <c r="BT343" s="27" t="s">
        <v>7</v>
      </c>
      <c r="BU343" s="27" t="s">
        <v>8</v>
      </c>
      <c r="BV343" s="27" t="s">
        <v>7</v>
      </c>
      <c r="BW343" s="27" t="s">
        <v>8</v>
      </c>
      <c r="BX343" s="27" t="s">
        <v>7</v>
      </c>
      <c r="BY343" s="27" t="s">
        <v>8</v>
      </c>
      <c r="BZ343" s="27" t="s">
        <v>7</v>
      </c>
      <c r="CB343" s="27" t="s">
        <v>7</v>
      </c>
      <c r="CC343" s="27" t="s">
        <v>8</v>
      </c>
      <c r="CD343" s="27" t="s">
        <v>7</v>
      </c>
      <c r="CE343" s="27" t="s">
        <v>8</v>
      </c>
    </row>
    <row r="344" spans="1:92" x14ac:dyDescent="0.25">
      <c r="A344" s="30">
        <v>6.2562327407803897E-3</v>
      </c>
      <c r="B344"/>
      <c r="C344"/>
      <c r="D344"/>
      <c r="E344"/>
      <c r="P344" s="27" t="s">
        <v>7</v>
      </c>
      <c r="R344" s="27" t="s">
        <v>7</v>
      </c>
      <c r="AC344" s="27" t="s">
        <v>8</v>
      </c>
      <c r="AD344" s="27" t="s">
        <v>7</v>
      </c>
      <c r="AG344" s="27" t="s">
        <v>8</v>
      </c>
      <c r="AI344" s="27" t="s">
        <v>8</v>
      </c>
      <c r="AK344" s="27" t="s">
        <v>8</v>
      </c>
      <c r="AL344" s="27" t="s">
        <v>7</v>
      </c>
      <c r="AM344" s="27" t="s">
        <v>8</v>
      </c>
      <c r="AP344" s="27" t="s">
        <v>7</v>
      </c>
      <c r="AQ344" s="27" t="s">
        <v>8</v>
      </c>
      <c r="BP344" s="27" t="s">
        <v>7</v>
      </c>
      <c r="BT344" s="27" t="s">
        <v>7</v>
      </c>
      <c r="BV344" s="27" t="s">
        <v>7</v>
      </c>
      <c r="BW344" s="27" t="s">
        <v>8</v>
      </c>
      <c r="BX344" s="27" t="s">
        <v>7</v>
      </c>
      <c r="CB344" s="27" t="s">
        <v>7</v>
      </c>
      <c r="CD344" s="27" t="s">
        <v>7</v>
      </c>
    </row>
    <row r="345" spans="1:92" x14ac:dyDescent="0.25">
      <c r="A345" s="30">
        <v>5.9583168959813212E-3</v>
      </c>
      <c r="B345"/>
      <c r="C345"/>
      <c r="D345"/>
      <c r="E345"/>
      <c r="R345" s="27" t="s">
        <v>7</v>
      </c>
      <c r="AC345" s="27" t="s">
        <v>8</v>
      </c>
      <c r="AD345" s="27" t="s">
        <v>7</v>
      </c>
      <c r="AG345" s="27" t="s">
        <v>8</v>
      </c>
      <c r="AH345" s="27" t="s">
        <v>7</v>
      </c>
      <c r="AI345" s="27" t="s">
        <v>8</v>
      </c>
      <c r="AJ345" s="27" t="s">
        <v>7</v>
      </c>
      <c r="AK345" s="27" t="s">
        <v>8</v>
      </c>
      <c r="AL345" s="27" t="s">
        <v>7</v>
      </c>
      <c r="AP345" s="27" t="s">
        <v>7</v>
      </c>
      <c r="BV345" s="27" t="s">
        <v>7</v>
      </c>
      <c r="BW345" s="27" t="s">
        <v>8</v>
      </c>
    </row>
    <row r="346" spans="1:92" x14ac:dyDescent="0.25">
      <c r="A346" s="30">
        <v>5.6745875199822084E-3</v>
      </c>
      <c r="B346"/>
      <c r="C346"/>
      <c r="D346"/>
      <c r="E346"/>
      <c r="R346" s="27" t="s">
        <v>7</v>
      </c>
      <c r="AC346" s="27" t="s">
        <v>8</v>
      </c>
      <c r="AD346" s="27" t="s">
        <v>7</v>
      </c>
      <c r="AE346" s="27" t="s">
        <v>8</v>
      </c>
      <c r="AG346" s="27" t="s">
        <v>8</v>
      </c>
      <c r="AH346" s="27" t="s">
        <v>7</v>
      </c>
      <c r="AI346" s="27" t="s">
        <v>8</v>
      </c>
      <c r="AJ346" s="27" t="s">
        <v>7</v>
      </c>
      <c r="AK346" s="27" t="s">
        <v>8</v>
      </c>
      <c r="BV346" s="27" t="s">
        <v>7</v>
      </c>
      <c r="BW346" s="27" t="s">
        <v>8</v>
      </c>
    </row>
    <row r="347" spans="1:92" x14ac:dyDescent="0.25">
      <c r="A347" s="30">
        <v>5.4043690666497205E-3</v>
      </c>
      <c r="B347"/>
      <c r="C347"/>
      <c r="D347"/>
      <c r="E347"/>
      <c r="R347" s="27" t="s">
        <v>7</v>
      </c>
      <c r="Y347" s="27" t="s">
        <v>8</v>
      </c>
      <c r="AC347" s="27" t="s">
        <v>8</v>
      </c>
      <c r="AD347" s="27" t="s">
        <v>7</v>
      </c>
      <c r="AE347" s="27" t="s">
        <v>8</v>
      </c>
      <c r="AF347" s="27" t="s">
        <v>7</v>
      </c>
      <c r="AG347" s="27" t="s">
        <v>8</v>
      </c>
      <c r="AH347" s="27" t="s">
        <v>7</v>
      </c>
      <c r="AI347" s="27" t="s">
        <v>8</v>
      </c>
      <c r="AJ347" s="27" t="s">
        <v>7</v>
      </c>
      <c r="AK347" s="27" t="s">
        <v>8</v>
      </c>
      <c r="BV347" s="27" t="s">
        <v>7</v>
      </c>
      <c r="BW347" s="27" t="s">
        <v>8</v>
      </c>
    </row>
    <row r="348" spans="1:92" x14ac:dyDescent="0.25">
      <c r="A348" s="30">
        <v>5.1470181587140174E-3</v>
      </c>
      <c r="B348"/>
      <c r="C348"/>
      <c r="D348"/>
      <c r="E348"/>
      <c r="R348" s="27" t="s">
        <v>7</v>
      </c>
      <c r="Y348" s="27" t="s">
        <v>8</v>
      </c>
      <c r="Z348" s="27" t="s">
        <v>7</v>
      </c>
      <c r="AA348" s="27" t="s">
        <v>8</v>
      </c>
      <c r="AC348" s="27" t="s">
        <v>8</v>
      </c>
      <c r="AD348" s="27" t="s">
        <v>7</v>
      </c>
      <c r="AE348" s="27" t="s">
        <v>8</v>
      </c>
      <c r="AF348" s="27" t="s">
        <v>7</v>
      </c>
      <c r="AG348" s="27" t="s">
        <v>8</v>
      </c>
      <c r="AH348" s="27" t="s">
        <v>7</v>
      </c>
      <c r="AJ348" s="27" t="s">
        <v>7</v>
      </c>
      <c r="AK348" s="27" t="s">
        <v>8</v>
      </c>
      <c r="BV348" s="27" t="s">
        <v>7</v>
      </c>
    </row>
    <row r="349" spans="1:92" x14ac:dyDescent="0.25">
      <c r="A349" s="30">
        <v>4.9019220559181099E-3</v>
      </c>
      <c r="B349"/>
      <c r="C349"/>
      <c r="D349"/>
      <c r="E349"/>
      <c r="R349" s="27" t="s">
        <v>7</v>
      </c>
      <c r="S349" s="27" t="s">
        <v>8</v>
      </c>
      <c r="Y349" s="27" t="s">
        <v>8</v>
      </c>
      <c r="Z349" s="27" t="s">
        <v>7</v>
      </c>
      <c r="AA349" s="27" t="s">
        <v>8</v>
      </c>
      <c r="AB349" s="27" t="s">
        <v>7</v>
      </c>
      <c r="AC349" s="27" t="s">
        <v>8</v>
      </c>
      <c r="AD349" s="27" t="s">
        <v>7</v>
      </c>
      <c r="AF349" s="27" t="s">
        <v>7</v>
      </c>
      <c r="AG349" s="27" t="s">
        <v>8</v>
      </c>
      <c r="AJ349" s="27" t="s">
        <v>7</v>
      </c>
    </row>
    <row r="350" spans="1:92" x14ac:dyDescent="0.25">
      <c r="A350" s="30">
        <v>4.6684971961124836E-3</v>
      </c>
      <c r="B350"/>
      <c r="C350"/>
      <c r="D350"/>
      <c r="E350"/>
      <c r="R350" s="27" t="s">
        <v>7</v>
      </c>
      <c r="S350" s="27" t="s">
        <v>8</v>
      </c>
      <c r="T350" s="27" t="s">
        <v>7</v>
      </c>
      <c r="U350" s="27" t="s">
        <v>8</v>
      </c>
      <c r="W350" s="27" t="s">
        <v>8</v>
      </c>
      <c r="Y350" s="27" t="s">
        <v>8</v>
      </c>
      <c r="Z350" s="27" t="s">
        <v>7</v>
      </c>
      <c r="AA350" s="27" t="s">
        <v>8</v>
      </c>
      <c r="AB350" s="27" t="s">
        <v>7</v>
      </c>
      <c r="AC350" s="27" t="s">
        <v>8</v>
      </c>
      <c r="AF350" s="27" t="s">
        <v>7</v>
      </c>
    </row>
    <row r="351" spans="1:92" x14ac:dyDescent="0.25">
      <c r="A351" s="30">
        <v>4.4461878058214112E-3</v>
      </c>
      <c r="B351"/>
      <c r="C351"/>
      <c r="D351"/>
      <c r="E351"/>
      <c r="R351" s="27" t="s">
        <v>7</v>
      </c>
      <c r="S351" s="27" t="s">
        <v>8</v>
      </c>
      <c r="T351" s="27" t="s">
        <v>7</v>
      </c>
      <c r="U351" s="27" t="s">
        <v>8</v>
      </c>
      <c r="V351" s="27" t="s">
        <v>7</v>
      </c>
      <c r="W351" s="27" t="s">
        <v>8</v>
      </c>
      <c r="X351" s="27" t="s">
        <v>7</v>
      </c>
      <c r="Y351" s="27" t="s">
        <v>8</v>
      </c>
      <c r="Z351" s="27" t="s">
        <v>7</v>
      </c>
      <c r="AA351" s="27" t="s">
        <v>8</v>
      </c>
      <c r="AB351" s="27" t="s">
        <v>7</v>
      </c>
    </row>
    <row r="352" spans="1:92" x14ac:dyDescent="0.25">
      <c r="A352" s="30">
        <v>4.2344645769727711E-3</v>
      </c>
      <c r="B352"/>
      <c r="C352"/>
      <c r="D352"/>
      <c r="E352"/>
      <c r="R352" s="27" t="s">
        <v>7</v>
      </c>
      <c r="S352" s="27" t="s">
        <v>8</v>
      </c>
      <c r="T352" s="27" t="s">
        <v>7</v>
      </c>
      <c r="U352" s="27" t="s">
        <v>8</v>
      </c>
      <c r="V352" s="27" t="s">
        <v>7</v>
      </c>
      <c r="W352" s="27" t="s">
        <v>8</v>
      </c>
      <c r="X352" s="27" t="s">
        <v>7</v>
      </c>
      <c r="Y352" s="27" t="s">
        <v>8</v>
      </c>
      <c r="Z352" s="27" t="s">
        <v>7</v>
      </c>
    </row>
    <row r="353" spans="1:24" x14ac:dyDescent="0.25">
      <c r="A353" s="30">
        <v>4.0328234066407329E-3</v>
      </c>
      <c r="B353"/>
      <c r="C353"/>
      <c r="D353"/>
      <c r="E353"/>
      <c r="R353" s="27" t="s">
        <v>7</v>
      </c>
      <c r="S353" s="27" t="s">
        <v>8</v>
      </c>
      <c r="T353" s="27" t="s">
        <v>7</v>
      </c>
      <c r="U353" s="27" t="s">
        <v>8</v>
      </c>
      <c r="V353" s="27" t="s">
        <v>7</v>
      </c>
      <c r="W353" s="27" t="s">
        <v>8</v>
      </c>
      <c r="X353" s="27" t="s">
        <v>7</v>
      </c>
    </row>
    <row r="354" spans="1:24" x14ac:dyDescent="0.25">
      <c r="A354" s="30">
        <v>3.8407841968006963E-3</v>
      </c>
      <c r="B354"/>
      <c r="C354"/>
      <c r="D354"/>
      <c r="E354"/>
      <c r="R354" s="27" t="s">
        <v>7</v>
      </c>
      <c r="S354" s="27" t="s">
        <v>8</v>
      </c>
      <c r="T354" s="27" t="s">
        <v>7</v>
      </c>
      <c r="U354" s="27" t="s">
        <v>8</v>
      </c>
      <c r="V354" s="27" t="s">
        <v>7</v>
      </c>
      <c r="W354" s="27" t="s">
        <v>8</v>
      </c>
    </row>
    <row r="355" spans="1:24" x14ac:dyDescent="0.25">
      <c r="A355" s="30">
        <v>3.6578897112387568E-3</v>
      </c>
      <c r="B355"/>
      <c r="C355"/>
      <c r="D355"/>
      <c r="E355"/>
      <c r="R355" s="27" t="s">
        <v>7</v>
      </c>
      <c r="S355" s="27" t="s">
        <v>8</v>
      </c>
      <c r="T355" s="27" t="s">
        <v>7</v>
      </c>
      <c r="U355" s="27" t="s">
        <v>8</v>
      </c>
      <c r="V355" s="27" t="s">
        <v>7</v>
      </c>
    </row>
    <row r="356" spans="1:24" x14ac:dyDescent="0.25">
      <c r="A356" s="30">
        <v>3.4837044868940526E-3</v>
      </c>
      <c r="B356"/>
      <c r="C356"/>
      <c r="D356"/>
      <c r="E356"/>
      <c r="R356" s="27" t="s">
        <v>7</v>
      </c>
      <c r="S356" s="27" t="s">
        <v>8</v>
      </c>
      <c r="T356" s="27" t="s">
        <v>7</v>
      </c>
      <c r="U356" s="27" t="s">
        <v>8</v>
      </c>
    </row>
    <row r="357" spans="1:24" x14ac:dyDescent="0.25">
      <c r="A357" s="30">
        <v>3.3178137970419535E-3</v>
      </c>
      <c r="B357"/>
      <c r="C357"/>
      <c r="D357"/>
      <c r="E357"/>
      <c r="R357" s="27" t="s">
        <v>7</v>
      </c>
      <c r="S357" s="27" t="s">
        <v>8</v>
      </c>
      <c r="T357" s="27" t="s">
        <v>7</v>
      </c>
    </row>
    <row r="358" spans="1:24" x14ac:dyDescent="0.25">
      <c r="A358" s="30">
        <v>3.1598226638494781E-3</v>
      </c>
      <c r="B358"/>
      <c r="C358"/>
      <c r="D358"/>
      <c r="E358"/>
      <c r="R358" s="27" t="s">
        <v>7</v>
      </c>
      <c r="S358" s="27" t="s">
        <v>8</v>
      </c>
    </row>
    <row r="359" spans="1:24" x14ac:dyDescent="0.25">
      <c r="A359" s="30">
        <v>3.0093549179518826E-3</v>
      </c>
      <c r="B359"/>
      <c r="C359"/>
      <c r="D359"/>
      <c r="E359"/>
      <c r="R359" s="27" t="s">
        <v>7</v>
      </c>
      <c r="S359" s="27" t="s">
        <v>8</v>
      </c>
    </row>
    <row r="360" spans="1:24" x14ac:dyDescent="0.25">
      <c r="A360" s="30">
        <v>2.8660523028113155E-3</v>
      </c>
      <c r="B360"/>
      <c r="C360"/>
      <c r="D360"/>
      <c r="E360"/>
      <c r="R360" s="27" t="s">
        <v>7</v>
      </c>
      <c r="S360" s="27" t="s">
        <v>8</v>
      </c>
    </row>
    <row r="361" spans="1:24" x14ac:dyDescent="0.25">
      <c r="A361" s="30">
        <v>2.7295736217250611E-3</v>
      </c>
      <c r="B361"/>
      <c r="C361"/>
      <c r="D361"/>
      <c r="E361"/>
      <c r="R361" s="27" t="s">
        <v>7</v>
      </c>
      <c r="S361" s="27" t="s">
        <v>8</v>
      </c>
    </row>
    <row r="362" spans="1:24" x14ac:dyDescent="0.25">
      <c r="A362" s="30">
        <v>2.5995939254524381E-3</v>
      </c>
      <c r="B362"/>
      <c r="C362"/>
      <c r="D362"/>
      <c r="E362"/>
      <c r="R362" s="27" t="s">
        <v>7</v>
      </c>
    </row>
    <row r="363" spans="1:24" x14ac:dyDescent="0.25">
      <c r="A363" s="30">
        <v>2.4758037385261304E-3</v>
      </c>
      <c r="B363"/>
      <c r="C363"/>
      <c r="D363"/>
      <c r="E363"/>
    </row>
    <row r="364" spans="1:24" x14ac:dyDescent="0.25">
      <c r="A364" s="30">
        <v>2.3579083224058374E-3</v>
      </c>
      <c r="B364"/>
      <c r="C364"/>
      <c r="D364"/>
      <c r="E364"/>
    </row>
    <row r="365" spans="1:24" x14ac:dyDescent="0.25">
      <c r="A365" s="30">
        <v>2.245626973719844E-3</v>
      </c>
      <c r="B365"/>
      <c r="C365"/>
      <c r="D365"/>
      <c r="E365"/>
    </row>
    <row r="366" spans="1:24" x14ac:dyDescent="0.25">
      <c r="A366" s="30">
        <v>2.1386923559236601E-3</v>
      </c>
      <c r="B366"/>
      <c r="C366"/>
      <c r="D366"/>
      <c r="E366"/>
    </row>
    <row r="367" spans="1:24" x14ac:dyDescent="0.25">
      <c r="A367" s="30">
        <v>2.0368498627844375E-3</v>
      </c>
      <c r="B367"/>
      <c r="C367"/>
      <c r="D367"/>
      <c r="E367"/>
    </row>
    <row r="368" spans="1:24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CH158" sqref="CH158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$A$157</v>
      </c>
      <c r="D111" s="1" t="str">
        <f>ADDRESS(C121-1,D121,1,1)</f>
        <v>$CH$157</v>
      </c>
      <c r="E111"/>
    </row>
    <row r="112" spans="1:5" x14ac:dyDescent="0.25">
      <c r="A112" s="30">
        <v>2.3579476910000019</v>
      </c>
      <c r="C112" s="1" t="str">
        <f>ADDRESS(C121,1,1,1)</f>
        <v>$A$158</v>
      </c>
      <c r="D112" s="1" t="str">
        <f>ADDRESS(C121,D121-1,1,1)</f>
        <v>$CG$158</v>
      </c>
      <c r="E112"/>
    </row>
    <row r="113" spans="1:6" x14ac:dyDescent="0.25">
      <c r="A113" s="30">
        <v>2.1435888100000016</v>
      </c>
      <c r="C113" s="1" t="str">
        <f>ADDRESS(C121+1,1,1,1)</f>
        <v>$A$159</v>
      </c>
      <c r="D113" s="1" t="str">
        <f>ADDRESS(C121-1,D121+1,1,1)</f>
        <v>$CI$157</v>
      </c>
    </row>
    <row r="114" spans="1:6" x14ac:dyDescent="0.25">
      <c r="A114" s="30">
        <v>1.9487171000000014</v>
      </c>
      <c r="C114" s="1" t="str">
        <f>ADDRESS(C121,D121,1,1)</f>
        <v>$CH$158</v>
      </c>
      <c r="D114" s="1" t="str">
        <f>ADDRESS(C121+1,D121+1,1,1)</f>
        <v>$CI$159</v>
      </c>
    </row>
    <row r="115" spans="1:6" x14ac:dyDescent="0.25">
      <c r="A115" s="30">
        <v>1.7715610000000011</v>
      </c>
      <c r="C115" s="1" t="str">
        <f>ADDRESS(C121+1,D121,1,1)</f>
        <v>$CH$159</v>
      </c>
    </row>
    <row r="116" spans="1:6" x14ac:dyDescent="0.25">
      <c r="A116" s="30">
        <v>1.6105100000000008</v>
      </c>
      <c r="C116" s="1">
        <f>C117-1</f>
        <v>157</v>
      </c>
    </row>
    <row r="117" spans="1:6" x14ac:dyDescent="0.25">
      <c r="A117" s="30">
        <v>1.4641000000000006</v>
      </c>
      <c r="C117" s="1">
        <f>C121</f>
        <v>158</v>
      </c>
      <c r="D117" s="1">
        <f>D121</f>
        <v>86</v>
      </c>
    </row>
    <row r="118" spans="1:6" x14ac:dyDescent="0.25">
      <c r="A118" s="30">
        <v>1.3310000000000004</v>
      </c>
      <c r="C118" s="1">
        <f>C117+1</f>
        <v>159</v>
      </c>
      <c r="D118" s="1">
        <f>D117+1</f>
        <v>87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158</v>
      </c>
      <c r="D121" s="19">
        <v>86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R158</v>
      </c>
      <c r="D123" s="1" t="str">
        <f>"C"&amp;D121</f>
        <v>C86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2.9408349370551395E-2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82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82" x14ac:dyDescent="0.25">
      <c r="A130" s="30">
        <v>0.42409761837248428</v>
      </c>
      <c r="C130" s="6"/>
      <c r="D130" s="6"/>
      <c r="E130"/>
      <c r="F130" s="27" t="s">
        <v>7</v>
      </c>
    </row>
    <row r="131" spans="1:82" x14ac:dyDescent="0.25">
      <c r="A131" s="30">
        <v>0.38554328942953109</v>
      </c>
      <c r="E131"/>
      <c r="F131" s="27" t="s">
        <v>7</v>
      </c>
    </row>
    <row r="132" spans="1:82" x14ac:dyDescent="0.25">
      <c r="A132" s="30">
        <v>0.35049389948139187</v>
      </c>
      <c r="C132" s="1" t="s">
        <v>13</v>
      </c>
      <c r="E132"/>
      <c r="F132" s="27" t="s">
        <v>7</v>
      </c>
    </row>
    <row r="133" spans="1:82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82" x14ac:dyDescent="0.25">
      <c r="A134" s="30">
        <v>0.28966437973668741</v>
      </c>
      <c r="C134"/>
      <c r="D134"/>
      <c r="E134"/>
      <c r="F134" s="27" t="s">
        <v>7</v>
      </c>
    </row>
    <row r="135" spans="1:82" x14ac:dyDescent="0.25">
      <c r="A135" s="30">
        <v>0.2633312543060794</v>
      </c>
      <c r="C135" s="1" t="s">
        <v>14</v>
      </c>
      <c r="E135"/>
      <c r="F135" s="27" t="s">
        <v>7</v>
      </c>
    </row>
    <row r="136" spans="1:8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82" x14ac:dyDescent="0.25">
      <c r="A137" s="30">
        <v>0.2176291357901482</v>
      </c>
      <c r="E137"/>
      <c r="F137" s="27" t="s">
        <v>7</v>
      </c>
    </row>
    <row r="138" spans="1:8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82" x14ac:dyDescent="0.25">
      <c r="A139" s="30">
        <v>0.17985878990921333</v>
      </c>
      <c r="E139"/>
      <c r="F139" s="27" t="s">
        <v>7</v>
      </c>
    </row>
    <row r="140" spans="1:82" x14ac:dyDescent="0.25">
      <c r="A140" s="30">
        <v>0.16350799082655756</v>
      </c>
      <c r="C140" s="1">
        <v>0</v>
      </c>
      <c r="E140"/>
      <c r="F140" s="27" t="s">
        <v>7</v>
      </c>
    </row>
    <row r="141" spans="1:82" x14ac:dyDescent="0.25">
      <c r="A141" s="30">
        <v>0.14864362802414322</v>
      </c>
      <c r="C141" s="1">
        <v>1</v>
      </c>
      <c r="E141"/>
      <c r="F141" s="27" t="s">
        <v>7</v>
      </c>
      <c r="AY141" s="27" t="s">
        <v>8</v>
      </c>
    </row>
    <row r="142" spans="1:82" x14ac:dyDescent="0.25">
      <c r="A142" s="30">
        <v>0.13513057093103928</v>
      </c>
      <c r="C142" s="1">
        <v>2</v>
      </c>
      <c r="E142"/>
      <c r="F142" s="27" t="s">
        <v>7</v>
      </c>
      <c r="AY142" s="27" t="s">
        <v>8</v>
      </c>
      <c r="AZ142" s="27" t="s">
        <v>7</v>
      </c>
      <c r="BA142" s="27" t="s">
        <v>8</v>
      </c>
      <c r="BC142" s="27" t="s">
        <v>8</v>
      </c>
      <c r="CA142" s="27" t="s">
        <v>8</v>
      </c>
    </row>
    <row r="143" spans="1:82" x14ac:dyDescent="0.25">
      <c r="A143" s="30">
        <v>0.12284597357367205</v>
      </c>
      <c r="C143" s="1">
        <v>3</v>
      </c>
      <c r="E143"/>
      <c r="F143" s="27" t="s">
        <v>7</v>
      </c>
      <c r="AY143" s="27" t="s">
        <v>8</v>
      </c>
      <c r="AZ143" s="27" t="s">
        <v>7</v>
      </c>
      <c r="BA143" s="27" t="s">
        <v>8</v>
      </c>
      <c r="BB143" s="27" t="s">
        <v>7</v>
      </c>
      <c r="BC143" s="27" t="s">
        <v>8</v>
      </c>
      <c r="BD143" s="27" t="s">
        <v>7</v>
      </c>
      <c r="CA143" s="27" t="s">
        <v>8</v>
      </c>
      <c r="CB143" s="27" t="s">
        <v>7</v>
      </c>
      <c r="CC143" s="27" t="s">
        <v>8</v>
      </c>
    </row>
    <row r="144" spans="1:82" x14ac:dyDescent="0.25">
      <c r="A144" s="30">
        <v>0.11167815779424731</v>
      </c>
      <c r="C144" s="1">
        <v>4</v>
      </c>
      <c r="E144"/>
      <c r="F144" s="27" t="s">
        <v>7</v>
      </c>
      <c r="AY144" s="27" t="s">
        <v>8</v>
      </c>
      <c r="AZ144" s="27" t="s">
        <v>7</v>
      </c>
      <c r="BA144" s="27" t="s">
        <v>8</v>
      </c>
      <c r="BB144" s="27" t="s">
        <v>7</v>
      </c>
      <c r="BC144" s="27" t="s">
        <v>8</v>
      </c>
      <c r="BD144" s="27" t="s">
        <v>7</v>
      </c>
      <c r="CA144" s="27" t="s">
        <v>8</v>
      </c>
      <c r="CB144" s="27" t="s">
        <v>7</v>
      </c>
      <c r="CC144" s="27" t="s">
        <v>8</v>
      </c>
      <c r="CD144" s="27" t="s">
        <v>7</v>
      </c>
    </row>
    <row r="145" spans="1:86" x14ac:dyDescent="0.25">
      <c r="A145" s="30">
        <v>0.10152559799477026</v>
      </c>
      <c r="B145"/>
      <c r="C145"/>
      <c r="D145"/>
      <c r="E145"/>
      <c r="F145" s="27" t="s">
        <v>7</v>
      </c>
      <c r="AY145" s="27" t="s">
        <v>8</v>
      </c>
      <c r="AZ145" s="27" t="s">
        <v>7</v>
      </c>
      <c r="BA145" s="27" t="s">
        <v>8</v>
      </c>
      <c r="BB145" s="27" t="s">
        <v>7</v>
      </c>
      <c r="BD145" s="27" t="s">
        <v>7</v>
      </c>
      <c r="BE145" s="27" t="s">
        <v>8</v>
      </c>
      <c r="BG145" s="27" t="s">
        <v>8</v>
      </c>
      <c r="CA145" s="27" t="s">
        <v>8</v>
      </c>
      <c r="CB145" s="27" t="s">
        <v>7</v>
      </c>
      <c r="CC145" s="27" t="s">
        <v>8</v>
      </c>
      <c r="CD145" s="27" t="s">
        <v>7</v>
      </c>
    </row>
    <row r="146" spans="1:86" x14ac:dyDescent="0.25">
      <c r="A146" s="30">
        <v>9.2295998177063854E-2</v>
      </c>
      <c r="B146"/>
      <c r="C146"/>
      <c r="D146"/>
      <c r="E146"/>
      <c r="F146" s="27" t="s">
        <v>7</v>
      </c>
      <c r="AY146" s="27" t="s">
        <v>8</v>
      </c>
      <c r="AZ146" s="27" t="s">
        <v>7</v>
      </c>
      <c r="BA146" s="27" t="s">
        <v>8</v>
      </c>
      <c r="BD146" s="27" t="s">
        <v>7</v>
      </c>
      <c r="BE146" s="27" t="s">
        <v>8</v>
      </c>
      <c r="BF146" s="27" t="s">
        <v>7</v>
      </c>
      <c r="BG146" s="27" t="s">
        <v>8</v>
      </c>
      <c r="BH146" s="27" t="s">
        <v>7</v>
      </c>
      <c r="BM146" s="27" t="s">
        <v>8</v>
      </c>
      <c r="CA146" s="27" t="s">
        <v>8</v>
      </c>
      <c r="CB146" s="27" t="s">
        <v>7</v>
      </c>
      <c r="CC146" s="27" t="s">
        <v>8</v>
      </c>
      <c r="CD146" s="27" t="s">
        <v>7</v>
      </c>
    </row>
    <row r="147" spans="1:86" x14ac:dyDescent="0.25">
      <c r="A147" s="30">
        <v>8.3905452888239848E-2</v>
      </c>
      <c r="B147"/>
      <c r="C147"/>
      <c r="D147"/>
      <c r="E147"/>
      <c r="F147" s="27" t="s">
        <v>7</v>
      </c>
      <c r="AW147" s="27" t="s">
        <v>8</v>
      </c>
      <c r="AY147" s="27" t="s">
        <v>8</v>
      </c>
      <c r="AZ147" s="27" t="s">
        <v>7</v>
      </c>
      <c r="BD147" s="27" t="s">
        <v>7</v>
      </c>
      <c r="BE147" s="27" t="s">
        <v>8</v>
      </c>
      <c r="BF147" s="27" t="s">
        <v>7</v>
      </c>
      <c r="BG147" s="27" t="s">
        <v>8</v>
      </c>
      <c r="BH147" s="27" t="s">
        <v>7</v>
      </c>
      <c r="BM147" s="27" t="s">
        <v>8</v>
      </c>
      <c r="BN147" s="27" t="s">
        <v>7</v>
      </c>
      <c r="CA147" s="27" t="s">
        <v>8</v>
      </c>
      <c r="CB147" s="27" t="s">
        <v>7</v>
      </c>
      <c r="CC147" s="27" t="s">
        <v>8</v>
      </c>
      <c r="CD147" s="27" t="s">
        <v>7</v>
      </c>
    </row>
    <row r="148" spans="1:86" x14ac:dyDescent="0.25">
      <c r="A148" s="30">
        <v>7.6277684443854396E-2</v>
      </c>
      <c r="B148"/>
      <c r="C148"/>
      <c r="D148"/>
      <c r="E148"/>
      <c r="F148" s="27" t="s">
        <v>7</v>
      </c>
      <c r="AW148" s="27" t="s">
        <v>8</v>
      </c>
      <c r="AX148" s="27" t="s">
        <v>7</v>
      </c>
      <c r="AY148" s="27" t="s">
        <v>8</v>
      </c>
      <c r="BD148" s="27" t="s">
        <v>7</v>
      </c>
      <c r="BE148" s="27" t="s">
        <v>8</v>
      </c>
      <c r="BF148" s="27" t="s">
        <v>7</v>
      </c>
      <c r="BG148" s="27" t="s">
        <v>8</v>
      </c>
      <c r="BH148" s="27" t="s">
        <v>7</v>
      </c>
      <c r="BI148" s="27" t="s">
        <v>8</v>
      </c>
      <c r="BM148" s="27" t="s">
        <v>8</v>
      </c>
      <c r="BN148" s="27" t="s">
        <v>7</v>
      </c>
      <c r="BO148" s="27" t="s">
        <v>8</v>
      </c>
      <c r="CA148" s="27" t="s">
        <v>8</v>
      </c>
      <c r="CB148" s="27" t="s">
        <v>7</v>
      </c>
      <c r="CC148" s="27" t="s">
        <v>8</v>
      </c>
      <c r="CD148" s="27" t="s">
        <v>7</v>
      </c>
      <c r="CE148" s="27" t="s">
        <v>8</v>
      </c>
      <c r="CG148" s="27" t="s">
        <v>8</v>
      </c>
    </row>
    <row r="149" spans="1:86" x14ac:dyDescent="0.25">
      <c r="A149" s="30">
        <v>6.9343349494413078E-2</v>
      </c>
      <c r="B149"/>
      <c r="C149"/>
      <c r="D149"/>
      <c r="E149"/>
      <c r="F149" s="27" t="s">
        <v>7</v>
      </c>
      <c r="AW149" s="27" t="s">
        <v>8</v>
      </c>
      <c r="AX149" s="27" t="s">
        <v>7</v>
      </c>
      <c r="AY149" s="27" t="s">
        <v>8</v>
      </c>
      <c r="BD149" s="27" t="s">
        <v>7</v>
      </c>
      <c r="BF149" s="27" t="s">
        <v>7</v>
      </c>
      <c r="BG149" s="27" t="s">
        <v>8</v>
      </c>
      <c r="BH149" s="27" t="s">
        <v>7</v>
      </c>
      <c r="BI149" s="27" t="s">
        <v>8</v>
      </c>
      <c r="BJ149" s="27" t="s">
        <v>7</v>
      </c>
      <c r="BM149" s="27" t="s">
        <v>8</v>
      </c>
      <c r="BN149" s="27" t="s">
        <v>7</v>
      </c>
      <c r="BO149" s="27" t="s">
        <v>8</v>
      </c>
      <c r="BP149" s="27" t="s">
        <v>7</v>
      </c>
      <c r="BY149" s="27" t="s">
        <v>8</v>
      </c>
      <c r="CA149" s="27" t="s">
        <v>8</v>
      </c>
      <c r="CB149" s="27" t="s">
        <v>7</v>
      </c>
      <c r="CC149" s="27" t="s">
        <v>8</v>
      </c>
      <c r="CD149" s="27" t="s">
        <v>7</v>
      </c>
      <c r="CE149" s="27" t="s">
        <v>8</v>
      </c>
      <c r="CF149" s="27" t="s">
        <v>7</v>
      </c>
      <c r="CG149" s="27" t="s">
        <v>8</v>
      </c>
      <c r="CH149" s="27" t="s">
        <v>7</v>
      </c>
    </row>
    <row r="150" spans="1:86" x14ac:dyDescent="0.25">
      <c r="A150" s="30">
        <v>6.3039408631284613E-2</v>
      </c>
      <c r="B150"/>
      <c r="C150"/>
      <c r="D150"/>
      <c r="E150"/>
      <c r="F150" s="27" t="s">
        <v>7</v>
      </c>
      <c r="AW150" s="27" t="s">
        <v>8</v>
      </c>
      <c r="AX150" s="27" t="s">
        <v>7</v>
      </c>
      <c r="AY150" s="27" t="s">
        <v>8</v>
      </c>
      <c r="BF150" s="27" t="s">
        <v>7</v>
      </c>
      <c r="BG150" s="27" t="s">
        <v>8</v>
      </c>
      <c r="BH150" s="27" t="s">
        <v>7</v>
      </c>
      <c r="BI150" s="27" t="s">
        <v>8</v>
      </c>
      <c r="BJ150" s="27" t="s">
        <v>7</v>
      </c>
      <c r="BM150" s="27" t="s">
        <v>8</v>
      </c>
      <c r="BN150" s="27" t="s">
        <v>7</v>
      </c>
      <c r="BO150" s="27" t="s">
        <v>8</v>
      </c>
      <c r="BP150" s="27" t="s">
        <v>7</v>
      </c>
      <c r="BS150" s="27" t="s">
        <v>8</v>
      </c>
      <c r="BW150" s="27" t="s">
        <v>8</v>
      </c>
      <c r="BY150" s="27" t="s">
        <v>8</v>
      </c>
      <c r="BZ150" s="27" t="s">
        <v>7</v>
      </c>
      <c r="CA150" s="27" t="s">
        <v>8</v>
      </c>
      <c r="CB150" s="27" t="s">
        <v>7</v>
      </c>
      <c r="CC150" s="27" t="s">
        <v>8</v>
      </c>
      <c r="CD150" s="27" t="s">
        <v>7</v>
      </c>
      <c r="CE150" s="27" t="s">
        <v>8</v>
      </c>
      <c r="CF150" s="27" t="s">
        <v>7</v>
      </c>
      <c r="CG150" s="27" t="s">
        <v>8</v>
      </c>
      <c r="CH150" s="27" t="s">
        <v>7</v>
      </c>
    </row>
    <row r="151" spans="1:86" x14ac:dyDescent="0.25">
      <c r="A151" s="30">
        <v>5.7308553301167818E-2</v>
      </c>
      <c r="B151"/>
      <c r="C151"/>
      <c r="D151"/>
      <c r="E151"/>
      <c r="F151" s="27" t="s">
        <v>7</v>
      </c>
      <c r="AW151" s="27" t="s">
        <v>8</v>
      </c>
      <c r="AX151" s="27" t="s">
        <v>7</v>
      </c>
      <c r="BF151" s="27" t="s">
        <v>7</v>
      </c>
      <c r="BH151" s="27" t="s">
        <v>7</v>
      </c>
      <c r="BJ151" s="27" t="s">
        <v>7</v>
      </c>
      <c r="BM151" s="27" t="s">
        <v>8</v>
      </c>
      <c r="BN151" s="27" t="s">
        <v>7</v>
      </c>
      <c r="BO151" s="27" t="s">
        <v>8</v>
      </c>
      <c r="BP151" s="27" t="s">
        <v>7</v>
      </c>
      <c r="BS151" s="27" t="s">
        <v>8</v>
      </c>
      <c r="BT151" s="27" t="s">
        <v>7</v>
      </c>
      <c r="BW151" s="27" t="s">
        <v>8</v>
      </c>
      <c r="BX151" s="27" t="s">
        <v>7</v>
      </c>
      <c r="BY151" s="27" t="s">
        <v>8</v>
      </c>
      <c r="BZ151" s="27" t="s">
        <v>7</v>
      </c>
      <c r="CA151" s="27" t="s">
        <v>8</v>
      </c>
      <c r="CB151" s="27" t="s">
        <v>7</v>
      </c>
      <c r="CD151" s="27" t="s">
        <v>7</v>
      </c>
      <c r="CF151" s="27" t="s">
        <v>7</v>
      </c>
      <c r="CG151" s="27" t="s">
        <v>8</v>
      </c>
      <c r="CH151" s="27" t="s">
        <v>7</v>
      </c>
    </row>
    <row r="152" spans="1:86" x14ac:dyDescent="0.25">
      <c r="A152" s="30">
        <v>5.2098684819243464E-2</v>
      </c>
      <c r="B152"/>
      <c r="C152"/>
      <c r="D152"/>
      <c r="E152"/>
      <c r="F152" s="27" t="s">
        <v>7</v>
      </c>
      <c r="AW152" s="27" t="s">
        <v>8</v>
      </c>
      <c r="BJ152" s="27" t="s">
        <v>7</v>
      </c>
      <c r="BM152" s="27" t="s">
        <v>8</v>
      </c>
      <c r="BN152" s="27" t="s">
        <v>7</v>
      </c>
      <c r="BP152" s="27" t="s">
        <v>7</v>
      </c>
      <c r="BS152" s="27" t="s">
        <v>8</v>
      </c>
      <c r="BT152" s="27" t="s">
        <v>7</v>
      </c>
      <c r="BU152" s="27" t="s">
        <v>8</v>
      </c>
      <c r="BW152" s="27" t="s">
        <v>8</v>
      </c>
      <c r="BX152" s="27" t="s">
        <v>7</v>
      </c>
      <c r="BY152" s="27" t="s">
        <v>8</v>
      </c>
      <c r="BZ152" s="27" t="s">
        <v>7</v>
      </c>
      <c r="CA152" s="27" t="s">
        <v>8</v>
      </c>
      <c r="CF152" s="27" t="s">
        <v>7</v>
      </c>
      <c r="CH152" s="27" t="s">
        <v>7</v>
      </c>
    </row>
    <row r="153" spans="1:86" x14ac:dyDescent="0.25">
      <c r="A153" s="30">
        <v>4.7362440744766775E-2</v>
      </c>
      <c r="B153"/>
      <c r="C153"/>
      <c r="D153"/>
      <c r="E153"/>
      <c r="F153" s="27" t="s">
        <v>7</v>
      </c>
      <c r="AU153" s="27" t="s">
        <v>8</v>
      </c>
      <c r="AW153" s="27" t="s">
        <v>8</v>
      </c>
      <c r="BJ153" s="27" t="s">
        <v>7</v>
      </c>
      <c r="BM153" s="27" t="s">
        <v>8</v>
      </c>
      <c r="BP153" s="27" t="s">
        <v>7</v>
      </c>
      <c r="BS153" s="27" t="s">
        <v>8</v>
      </c>
      <c r="BT153" s="27" t="s">
        <v>7</v>
      </c>
      <c r="BU153" s="27" t="s">
        <v>8</v>
      </c>
      <c r="BV153" s="27" t="s">
        <v>7</v>
      </c>
      <c r="BW153" s="27" t="s">
        <v>8</v>
      </c>
      <c r="BX153" s="27" t="s">
        <v>7</v>
      </c>
      <c r="BZ153" s="27" t="s">
        <v>7</v>
      </c>
      <c r="CH153" s="27" t="s">
        <v>7</v>
      </c>
    </row>
    <row r="154" spans="1:86" x14ac:dyDescent="0.25">
      <c r="A154" s="30">
        <v>4.3056764313424332E-2</v>
      </c>
      <c r="B154"/>
      <c r="C154"/>
      <c r="D154"/>
      <c r="E154"/>
      <c r="F154" s="27" t="s">
        <v>7</v>
      </c>
      <c r="AO154" s="27" t="s">
        <v>8</v>
      </c>
      <c r="AU154" s="27" t="s">
        <v>8</v>
      </c>
      <c r="AV154" s="27" t="s">
        <v>7</v>
      </c>
      <c r="AW154" s="27" t="s">
        <v>8</v>
      </c>
      <c r="BJ154" s="27" t="s">
        <v>7</v>
      </c>
      <c r="BM154" s="27" t="s">
        <v>8</v>
      </c>
      <c r="BP154" s="27" t="s">
        <v>7</v>
      </c>
      <c r="BQ154" s="27" t="s">
        <v>8</v>
      </c>
      <c r="BS154" s="27" t="s">
        <v>8</v>
      </c>
      <c r="BT154" s="27" t="s">
        <v>7</v>
      </c>
      <c r="BU154" s="27" t="s">
        <v>8</v>
      </c>
      <c r="BV154" s="27" t="s">
        <v>7</v>
      </c>
      <c r="BW154" s="27" t="s">
        <v>8</v>
      </c>
      <c r="CH154" s="27" t="s">
        <v>7</v>
      </c>
    </row>
    <row r="155" spans="1:86" x14ac:dyDescent="0.25">
      <c r="A155" s="30">
        <v>3.9142513012203929E-2</v>
      </c>
      <c r="B155"/>
      <c r="C155"/>
      <c r="D155"/>
      <c r="E155"/>
      <c r="F155" s="27" t="s">
        <v>7</v>
      </c>
      <c r="AO155" s="27" t="s">
        <v>8</v>
      </c>
      <c r="AP155" s="27" t="s">
        <v>7</v>
      </c>
      <c r="AS155" s="27" t="s">
        <v>8</v>
      </c>
      <c r="AU155" s="27" t="s">
        <v>8</v>
      </c>
      <c r="AV155" s="27" t="s">
        <v>7</v>
      </c>
      <c r="AW155" s="27" t="s">
        <v>8</v>
      </c>
      <c r="BJ155" s="27" t="s">
        <v>7</v>
      </c>
      <c r="BK155" s="27" t="s">
        <v>8</v>
      </c>
      <c r="BM155" s="27" t="s">
        <v>8</v>
      </c>
      <c r="BP155" s="27" t="s">
        <v>7</v>
      </c>
      <c r="BQ155" s="27" t="s">
        <v>8</v>
      </c>
      <c r="BR155" s="27" t="s">
        <v>7</v>
      </c>
      <c r="BS155" s="27" t="s">
        <v>8</v>
      </c>
      <c r="BT155" s="27" t="s">
        <v>7</v>
      </c>
      <c r="BV155" s="27" t="s">
        <v>7</v>
      </c>
      <c r="BW155" s="27" t="s">
        <v>8</v>
      </c>
      <c r="CH155" s="27" t="s">
        <v>7</v>
      </c>
    </row>
    <row r="156" spans="1:86" x14ac:dyDescent="0.25">
      <c r="A156" s="30">
        <v>3.55841027383672E-2</v>
      </c>
      <c r="B156"/>
      <c r="C156"/>
      <c r="D156"/>
      <c r="E156"/>
      <c r="F156" s="27" t="s">
        <v>7</v>
      </c>
      <c r="AO156" s="27" t="s">
        <v>8</v>
      </c>
      <c r="AP156" s="27" t="s">
        <v>7</v>
      </c>
      <c r="AS156" s="27" t="s">
        <v>8</v>
      </c>
      <c r="AT156" s="27" t="s">
        <v>7</v>
      </c>
      <c r="AU156" s="27" t="s">
        <v>8</v>
      </c>
      <c r="AV156" s="27" t="s">
        <v>7</v>
      </c>
      <c r="BJ156" s="27" t="s">
        <v>7</v>
      </c>
      <c r="BK156" s="27" t="s">
        <v>8</v>
      </c>
      <c r="BL156" s="27" t="s">
        <v>7</v>
      </c>
      <c r="BM156" s="27" t="s">
        <v>8</v>
      </c>
      <c r="BP156" s="27" t="s">
        <v>7</v>
      </c>
      <c r="BQ156" s="27" t="s">
        <v>8</v>
      </c>
      <c r="BR156" s="27" t="s">
        <v>7</v>
      </c>
      <c r="BS156" s="27" t="s">
        <v>8</v>
      </c>
      <c r="BV156" s="27" t="s">
        <v>7</v>
      </c>
      <c r="BW156" s="27" t="s">
        <v>8</v>
      </c>
      <c r="CH156" s="27" t="s">
        <v>7</v>
      </c>
    </row>
    <row r="157" spans="1:86" x14ac:dyDescent="0.25">
      <c r="A157" s="30">
        <v>3.2349184307606541E-2</v>
      </c>
      <c r="B157"/>
      <c r="C157"/>
      <c r="D157"/>
      <c r="E157"/>
      <c r="F157" s="27" t="s">
        <v>7</v>
      </c>
      <c r="AO157" s="27" t="s">
        <v>8</v>
      </c>
      <c r="AP157" s="27" t="s">
        <v>7</v>
      </c>
      <c r="AS157" s="27" t="s">
        <v>8</v>
      </c>
      <c r="AT157" s="27" t="s">
        <v>7</v>
      </c>
      <c r="AU157" s="27" t="s">
        <v>8</v>
      </c>
      <c r="BJ157" s="27" t="s">
        <v>7</v>
      </c>
      <c r="BK157" s="27" t="s">
        <v>8</v>
      </c>
      <c r="BL157" s="27" t="s">
        <v>7</v>
      </c>
      <c r="BM157" s="27" t="s">
        <v>8</v>
      </c>
      <c r="BP157" s="27" t="s">
        <v>7</v>
      </c>
      <c r="BQ157" s="27" t="s">
        <v>8</v>
      </c>
      <c r="BR157" s="27" t="s">
        <v>7</v>
      </c>
      <c r="BS157" s="27" t="s">
        <v>8</v>
      </c>
      <c r="BV157" s="27" t="s">
        <v>7</v>
      </c>
      <c r="CH157" s="27" t="s">
        <v>7</v>
      </c>
    </row>
    <row r="158" spans="1:86" x14ac:dyDescent="0.25">
      <c r="A158" s="30">
        <v>2.9408349370551395E-2</v>
      </c>
      <c r="B158"/>
      <c r="C158"/>
      <c r="D158"/>
      <c r="E158"/>
      <c r="F158" s="27" t="s">
        <v>7</v>
      </c>
      <c r="AO158" s="27" t="s">
        <v>8</v>
      </c>
      <c r="AP158" s="27" t="s">
        <v>7</v>
      </c>
      <c r="AQ158" s="27" t="s">
        <v>8</v>
      </c>
      <c r="AS158" s="27" t="s">
        <v>8</v>
      </c>
      <c r="AT158" s="27" t="s">
        <v>7</v>
      </c>
      <c r="BJ158" s="27" t="s">
        <v>7</v>
      </c>
      <c r="BL158" s="27" t="s">
        <v>7</v>
      </c>
      <c r="BM158" s="27" t="s">
        <v>8</v>
      </c>
      <c r="BP158" s="27" t="s">
        <v>7</v>
      </c>
      <c r="BQ158" s="27" t="s">
        <v>8</v>
      </c>
      <c r="BR158" s="18" t="s">
        <v>7</v>
      </c>
      <c r="BS158" s="27" t="s">
        <v>8</v>
      </c>
      <c r="CH158" s="27" t="s">
        <v>7</v>
      </c>
    </row>
    <row r="159" spans="1:86" x14ac:dyDescent="0.25">
      <c r="A159" s="30">
        <v>2.6734863064137627E-2</v>
      </c>
      <c r="B159"/>
      <c r="C159"/>
      <c r="D159"/>
      <c r="E159"/>
      <c r="F159" s="27" t="s">
        <v>7</v>
      </c>
      <c r="AO159" s="27" t="s">
        <v>8</v>
      </c>
      <c r="AP159" s="27" t="s">
        <v>7</v>
      </c>
      <c r="AQ159" s="27" t="s">
        <v>8</v>
      </c>
      <c r="AR159" s="27" t="s">
        <v>7</v>
      </c>
      <c r="AS159" s="27" t="s">
        <v>8</v>
      </c>
      <c r="BL159" s="27" t="s">
        <v>7</v>
      </c>
      <c r="BM159" s="27" t="s">
        <v>8</v>
      </c>
      <c r="BP159" s="27" t="s">
        <v>7</v>
      </c>
      <c r="BR159" s="27" t="s">
        <v>7</v>
      </c>
    </row>
    <row r="160" spans="1:86" x14ac:dyDescent="0.25">
      <c r="A160" s="30">
        <v>2.4304420967397839E-2</v>
      </c>
      <c r="B160"/>
      <c r="C160"/>
      <c r="D160"/>
      <c r="E160"/>
      <c r="F160" s="27" t="s">
        <v>7</v>
      </c>
      <c r="AO160" s="27" t="s">
        <v>8</v>
      </c>
      <c r="AP160" s="27" t="s">
        <v>7</v>
      </c>
      <c r="AQ160" s="27" t="s">
        <v>8</v>
      </c>
      <c r="AR160" s="27" t="s">
        <v>7</v>
      </c>
      <c r="AS160" s="27" t="s">
        <v>8</v>
      </c>
      <c r="BL160" s="27" t="s">
        <v>7</v>
      </c>
      <c r="BM160" s="27" t="s">
        <v>8</v>
      </c>
    </row>
    <row r="161" spans="1:65" x14ac:dyDescent="0.25">
      <c r="A161" s="30">
        <v>2.2094928152179852E-2</v>
      </c>
      <c r="B161"/>
      <c r="C161"/>
      <c r="D161"/>
      <c r="E161"/>
      <c r="F161" s="27" t="s">
        <v>7</v>
      </c>
      <c r="AE161" s="27" t="s">
        <v>8</v>
      </c>
      <c r="AO161" s="27" t="s">
        <v>8</v>
      </c>
      <c r="AP161" s="27" t="s">
        <v>7</v>
      </c>
      <c r="AQ161" s="27" t="s">
        <v>8</v>
      </c>
      <c r="AR161" s="27" t="s">
        <v>7</v>
      </c>
      <c r="AS161" s="27" t="s">
        <v>8</v>
      </c>
      <c r="BL161" s="27" t="s">
        <v>7</v>
      </c>
      <c r="BM161" s="27" t="s">
        <v>8</v>
      </c>
    </row>
    <row r="162" spans="1:65" x14ac:dyDescent="0.25">
      <c r="A162" s="30">
        <v>2.0086298320163499E-2</v>
      </c>
      <c r="B162"/>
      <c r="C162"/>
      <c r="D162"/>
      <c r="E162"/>
      <c r="F162" s="27" t="s">
        <v>7</v>
      </c>
      <c r="AE162" s="27" t="s">
        <v>8</v>
      </c>
      <c r="AF162" s="27" t="s">
        <v>7</v>
      </c>
      <c r="AO162" s="27" t="s">
        <v>8</v>
      </c>
      <c r="AP162" s="27" t="s">
        <v>7</v>
      </c>
      <c r="AR162" s="27" t="s">
        <v>7</v>
      </c>
      <c r="AS162" s="27" t="s">
        <v>8</v>
      </c>
      <c r="BL162" s="27" t="s">
        <v>7</v>
      </c>
      <c r="BM162" s="27" t="s">
        <v>8</v>
      </c>
    </row>
    <row r="163" spans="1:65" x14ac:dyDescent="0.25">
      <c r="A163" s="30">
        <v>1.8260271200148632E-2</v>
      </c>
      <c r="B163"/>
      <c r="C163"/>
      <c r="D163"/>
      <c r="E163"/>
      <c r="F163" s="27" t="s">
        <v>7</v>
      </c>
      <c r="AE163" s="27" t="s">
        <v>8</v>
      </c>
      <c r="AF163" s="27" t="s">
        <v>7</v>
      </c>
      <c r="AO163" s="27" t="s">
        <v>8</v>
      </c>
      <c r="AR163" s="27" t="s">
        <v>7</v>
      </c>
      <c r="AS163" s="27" t="s">
        <v>8</v>
      </c>
      <c r="BL163" s="27" t="s">
        <v>7</v>
      </c>
    </row>
    <row r="164" spans="1:65" x14ac:dyDescent="0.25">
      <c r="A164" s="30">
        <v>1.6600246545589663E-2</v>
      </c>
      <c r="B164"/>
      <c r="C164"/>
      <c r="D164"/>
      <c r="E164"/>
      <c r="F164" s="27" t="s">
        <v>7</v>
      </c>
      <c r="AE164" s="27" t="s">
        <v>8</v>
      </c>
      <c r="AF164" s="27" t="s">
        <v>7</v>
      </c>
      <c r="AM164" s="27" t="s">
        <v>8</v>
      </c>
      <c r="AO164" s="27" t="s">
        <v>8</v>
      </c>
      <c r="AR164" s="27" t="s">
        <v>7</v>
      </c>
    </row>
    <row r="165" spans="1:65" x14ac:dyDescent="0.25">
      <c r="A165" s="30">
        <v>1.5091133223263328E-2</v>
      </c>
      <c r="B165"/>
      <c r="C165"/>
      <c r="D165"/>
      <c r="E165"/>
      <c r="F165" s="27" t="s">
        <v>7</v>
      </c>
      <c r="W165" s="27" t="s">
        <v>8</v>
      </c>
      <c r="AE165" s="27" t="s">
        <v>8</v>
      </c>
      <c r="AF165" s="27" t="s">
        <v>7</v>
      </c>
      <c r="AG165" s="27" t="s">
        <v>8</v>
      </c>
      <c r="AM165" s="27" t="s">
        <v>8</v>
      </c>
      <c r="AN165" s="27" t="s">
        <v>7</v>
      </c>
      <c r="AO165" s="27" t="s">
        <v>8</v>
      </c>
    </row>
    <row r="166" spans="1:65" x14ac:dyDescent="0.25">
      <c r="A166" s="30">
        <v>1.3719212021148477E-2</v>
      </c>
      <c r="B166"/>
      <c r="C166"/>
      <c r="D166"/>
      <c r="E166"/>
      <c r="F166" s="27" t="s">
        <v>7</v>
      </c>
      <c r="W166" s="27" t="s">
        <v>8</v>
      </c>
      <c r="X166" s="27" t="s">
        <v>7</v>
      </c>
      <c r="AE166" s="27" t="s">
        <v>8</v>
      </c>
      <c r="AF166" s="27" t="s">
        <v>7</v>
      </c>
      <c r="AG166" s="27" t="s">
        <v>8</v>
      </c>
      <c r="AH166" s="27" t="s">
        <v>7</v>
      </c>
      <c r="AI166" s="27" t="s">
        <v>8</v>
      </c>
      <c r="AM166" s="27" t="s">
        <v>8</v>
      </c>
      <c r="AN166" s="27" t="s">
        <v>7</v>
      </c>
      <c r="AO166" s="27" t="s">
        <v>8</v>
      </c>
    </row>
    <row r="167" spans="1:65" x14ac:dyDescent="0.25">
      <c r="A167" s="30">
        <v>1.2472010928316795E-2</v>
      </c>
      <c r="B167"/>
      <c r="C167"/>
      <c r="D167"/>
      <c r="E167"/>
      <c r="F167" s="27" t="s">
        <v>7</v>
      </c>
      <c r="G167" s="27" t="s">
        <v>8</v>
      </c>
      <c r="W167" s="27" t="s">
        <v>8</v>
      </c>
      <c r="X167" s="27" t="s">
        <v>7</v>
      </c>
      <c r="Y167" s="27" t="s">
        <v>8</v>
      </c>
      <c r="AE167" s="27" t="s">
        <v>8</v>
      </c>
      <c r="AF167" s="27" t="s">
        <v>7</v>
      </c>
      <c r="AG167" s="27" t="s">
        <v>8</v>
      </c>
      <c r="AH167" s="27" t="s">
        <v>7</v>
      </c>
      <c r="AI167" s="27" t="s">
        <v>8</v>
      </c>
      <c r="AJ167" s="27" t="s">
        <v>7</v>
      </c>
      <c r="AK167" s="27" t="s">
        <v>8</v>
      </c>
      <c r="AM167" s="27" t="s">
        <v>8</v>
      </c>
      <c r="AN167" s="27" t="s">
        <v>7</v>
      </c>
      <c r="AO167" s="27" t="s">
        <v>8</v>
      </c>
    </row>
    <row r="168" spans="1:65" x14ac:dyDescent="0.25">
      <c r="A168" s="30">
        <v>1.1338191753015267E-2</v>
      </c>
      <c r="B168"/>
      <c r="C168"/>
      <c r="D168"/>
      <c r="E168"/>
      <c r="F168" s="27" t="s">
        <v>7</v>
      </c>
      <c r="G168" s="27" t="s">
        <v>8</v>
      </c>
      <c r="H168" s="27" t="s">
        <v>7</v>
      </c>
      <c r="U168" s="27" t="s">
        <v>8</v>
      </c>
      <c r="W168" s="27" t="s">
        <v>8</v>
      </c>
      <c r="X168" s="27" t="s">
        <v>7</v>
      </c>
      <c r="Y168" s="27" t="s">
        <v>8</v>
      </c>
      <c r="Z168" s="27" t="s">
        <v>7</v>
      </c>
      <c r="AE168" s="27" t="s">
        <v>8</v>
      </c>
      <c r="AF168" s="27" t="s">
        <v>7</v>
      </c>
      <c r="AG168" s="27" t="s">
        <v>8</v>
      </c>
      <c r="AH168" s="27" t="s">
        <v>7</v>
      </c>
      <c r="AI168" s="27" t="s">
        <v>8</v>
      </c>
      <c r="AJ168" s="27" t="s">
        <v>7</v>
      </c>
      <c r="AK168" s="27" t="s">
        <v>8</v>
      </c>
      <c r="AL168" s="27" t="s">
        <v>7</v>
      </c>
      <c r="AM168" s="27" t="s">
        <v>8</v>
      </c>
      <c r="AN168" s="27" t="s">
        <v>7</v>
      </c>
      <c r="AO168" s="27" t="s">
        <v>8</v>
      </c>
    </row>
    <row r="169" spans="1:65" x14ac:dyDescent="0.25">
      <c r="A169" s="30">
        <v>1.0307447048195697E-2</v>
      </c>
      <c r="B169"/>
      <c r="C169"/>
      <c r="D169"/>
      <c r="E169"/>
      <c r="F169" s="27" t="s">
        <v>7</v>
      </c>
      <c r="G169" s="27" t="s">
        <v>8</v>
      </c>
      <c r="H169" s="27" t="s">
        <v>7</v>
      </c>
      <c r="S169" s="27" t="s">
        <v>8</v>
      </c>
      <c r="U169" s="27" t="s">
        <v>8</v>
      </c>
      <c r="V169" s="27" t="s">
        <v>7</v>
      </c>
      <c r="W169" s="27" t="s">
        <v>8</v>
      </c>
      <c r="X169" s="27" t="s">
        <v>7</v>
      </c>
      <c r="Y169" s="27" t="s">
        <v>8</v>
      </c>
      <c r="Z169" s="27" t="s">
        <v>7</v>
      </c>
      <c r="AE169" s="27" t="s">
        <v>8</v>
      </c>
      <c r="AF169" s="27" t="s">
        <v>7</v>
      </c>
      <c r="AG169" s="27" t="s">
        <v>8</v>
      </c>
      <c r="AH169" s="27" t="s">
        <v>7</v>
      </c>
      <c r="AI169" s="27" t="s">
        <v>8</v>
      </c>
      <c r="AJ169" s="27" t="s">
        <v>7</v>
      </c>
      <c r="AK169" s="27" t="s">
        <v>8</v>
      </c>
      <c r="AL169" s="27" t="s">
        <v>7</v>
      </c>
      <c r="AM169" s="27" t="s">
        <v>8</v>
      </c>
      <c r="AN169" s="27" t="s">
        <v>7</v>
      </c>
    </row>
    <row r="170" spans="1:65" x14ac:dyDescent="0.25">
      <c r="A170" s="30">
        <v>9.3704064074506318E-3</v>
      </c>
      <c r="B170"/>
      <c r="C170"/>
      <c r="D170"/>
      <c r="E170"/>
      <c r="F170" s="27" t="s">
        <v>7</v>
      </c>
      <c r="G170" s="27" t="s">
        <v>8</v>
      </c>
      <c r="H170" s="27" t="s">
        <v>7</v>
      </c>
      <c r="I170" s="27" t="s">
        <v>8</v>
      </c>
      <c r="S170" s="27" t="s">
        <v>8</v>
      </c>
      <c r="T170" s="27" t="s">
        <v>7</v>
      </c>
      <c r="U170" s="27" t="s">
        <v>8</v>
      </c>
      <c r="V170" s="27" t="s">
        <v>7</v>
      </c>
      <c r="W170" s="27" t="s">
        <v>8</v>
      </c>
      <c r="X170" s="27" t="s">
        <v>7</v>
      </c>
      <c r="Z170" s="27" t="s">
        <v>7</v>
      </c>
      <c r="AE170" s="27" t="s">
        <v>8</v>
      </c>
      <c r="AF170" s="27" t="s">
        <v>7</v>
      </c>
      <c r="AH170" s="27" t="s">
        <v>7</v>
      </c>
      <c r="AJ170" s="27" t="s">
        <v>7</v>
      </c>
      <c r="AK170" s="27" t="s">
        <v>8</v>
      </c>
      <c r="AL170" s="27" t="s">
        <v>7</v>
      </c>
      <c r="AM170" s="27" t="s">
        <v>8</v>
      </c>
    </row>
    <row r="171" spans="1:65" x14ac:dyDescent="0.25">
      <c r="A171" s="30">
        <v>8.5185512795005747E-3</v>
      </c>
      <c r="F171" s="27" t="s">
        <v>7</v>
      </c>
      <c r="G171" s="27" t="s">
        <v>8</v>
      </c>
      <c r="H171" s="27" t="s">
        <v>7</v>
      </c>
      <c r="I171" s="27" t="s">
        <v>8</v>
      </c>
      <c r="J171" s="27" t="s">
        <v>7</v>
      </c>
      <c r="S171" s="27" t="s">
        <v>8</v>
      </c>
      <c r="T171" s="27" t="s">
        <v>7</v>
      </c>
      <c r="U171" s="27" t="s">
        <v>8</v>
      </c>
      <c r="V171" s="27" t="s">
        <v>7</v>
      </c>
      <c r="W171" s="27" t="s">
        <v>8</v>
      </c>
      <c r="Z171" s="27" t="s">
        <v>7</v>
      </c>
      <c r="AA171" s="27" t="s">
        <v>8</v>
      </c>
      <c r="AC171" s="27" t="s">
        <v>8</v>
      </c>
      <c r="AE171" s="27" t="s">
        <v>8</v>
      </c>
      <c r="AJ171" s="27" t="s">
        <v>7</v>
      </c>
      <c r="AL171" s="27" t="s">
        <v>7</v>
      </c>
    </row>
    <row r="172" spans="1:65" x14ac:dyDescent="0.25">
      <c r="A172" s="30">
        <v>7.744137526818704E-3</v>
      </c>
      <c r="F172" s="27" t="s">
        <v>7</v>
      </c>
      <c r="G172" s="27" t="s">
        <v>8</v>
      </c>
      <c r="H172" s="27" t="s">
        <v>7</v>
      </c>
      <c r="I172" s="27" t="s">
        <v>8</v>
      </c>
      <c r="J172" s="27" t="s">
        <v>7</v>
      </c>
      <c r="O172" s="27" t="s">
        <v>8</v>
      </c>
      <c r="Q172" s="27" t="s">
        <v>8</v>
      </c>
      <c r="S172" s="27" t="s">
        <v>8</v>
      </c>
      <c r="T172" s="27" t="s">
        <v>7</v>
      </c>
      <c r="U172" s="27" t="s">
        <v>8</v>
      </c>
      <c r="V172" s="27" t="s">
        <v>7</v>
      </c>
      <c r="Z172" s="27" t="s">
        <v>7</v>
      </c>
      <c r="AA172" s="27" t="s">
        <v>8</v>
      </c>
      <c r="AB172" s="27" t="s">
        <v>7</v>
      </c>
      <c r="AC172" s="27" t="s">
        <v>8</v>
      </c>
      <c r="AD172" s="27" t="s">
        <v>7</v>
      </c>
      <c r="AE172" s="27" t="s">
        <v>8</v>
      </c>
    </row>
    <row r="173" spans="1:65" x14ac:dyDescent="0.25">
      <c r="A173" s="30">
        <v>7.0401250243806394E-3</v>
      </c>
      <c r="F173" s="27" t="s">
        <v>7</v>
      </c>
      <c r="H173" s="27" t="s">
        <v>7</v>
      </c>
      <c r="J173" s="27" t="s">
        <v>7</v>
      </c>
      <c r="O173" s="27" t="s">
        <v>8</v>
      </c>
      <c r="P173" s="27" t="s">
        <v>7</v>
      </c>
      <c r="Q173" s="27" t="s">
        <v>8</v>
      </c>
      <c r="R173" s="27" t="s">
        <v>7</v>
      </c>
      <c r="S173" s="27" t="s">
        <v>8</v>
      </c>
      <c r="T173" s="27" t="s">
        <v>7</v>
      </c>
      <c r="U173" s="27" t="s">
        <v>8</v>
      </c>
      <c r="Z173" s="27" t="s">
        <v>7</v>
      </c>
      <c r="AA173" s="27" t="s">
        <v>8</v>
      </c>
      <c r="AB173" s="27" t="s">
        <v>7</v>
      </c>
      <c r="AC173" s="27" t="s">
        <v>8</v>
      </c>
      <c r="AD173" s="27" t="s">
        <v>7</v>
      </c>
      <c r="AE173" s="27" t="s">
        <v>8</v>
      </c>
    </row>
    <row r="174" spans="1:65" x14ac:dyDescent="0.25">
      <c r="A174" s="30">
        <v>6.4001136585278536E-3</v>
      </c>
      <c r="J174" s="27" t="s">
        <v>7</v>
      </c>
      <c r="O174" s="27" t="s">
        <v>8</v>
      </c>
      <c r="P174" s="27" t="s">
        <v>7</v>
      </c>
      <c r="Q174" s="27" t="s">
        <v>8</v>
      </c>
      <c r="R174" s="27" t="s">
        <v>7</v>
      </c>
      <c r="S174" s="27" t="s">
        <v>8</v>
      </c>
      <c r="T174" s="27" t="s">
        <v>7</v>
      </c>
      <c r="Z174" s="27" t="s">
        <v>7</v>
      </c>
      <c r="AB174" s="27" t="s">
        <v>7</v>
      </c>
      <c r="AC174" s="27" t="s">
        <v>8</v>
      </c>
      <c r="AD174" s="27" t="s">
        <v>7</v>
      </c>
    </row>
    <row r="175" spans="1:65" x14ac:dyDescent="0.25">
      <c r="A175" s="30">
        <v>5.8182851441162305E-3</v>
      </c>
      <c r="J175" s="27" t="s">
        <v>7</v>
      </c>
      <c r="O175" s="27" t="s">
        <v>8</v>
      </c>
      <c r="P175" s="27" t="s">
        <v>7</v>
      </c>
      <c r="Q175" s="27" t="s">
        <v>8</v>
      </c>
      <c r="R175" s="27" t="s">
        <v>7</v>
      </c>
      <c r="AB175" s="27" t="s">
        <v>7</v>
      </c>
      <c r="AC175" s="27" t="s">
        <v>8</v>
      </c>
    </row>
    <row r="176" spans="1:65" x14ac:dyDescent="0.25">
      <c r="A176" s="30">
        <v>5.2893501310147546E-3</v>
      </c>
      <c r="J176" s="27" t="s">
        <v>7</v>
      </c>
      <c r="O176" s="27" t="s">
        <v>8</v>
      </c>
      <c r="P176" s="27" t="s">
        <v>7</v>
      </c>
      <c r="Q176" s="27" t="s">
        <v>8</v>
      </c>
      <c r="AB176" s="27" t="s">
        <v>7</v>
      </c>
    </row>
    <row r="177" spans="1:16" x14ac:dyDescent="0.25">
      <c r="A177" s="30">
        <v>4.8085001191043222E-3</v>
      </c>
      <c r="J177" s="27" t="s">
        <v>7</v>
      </c>
      <c r="K177" s="27" t="s">
        <v>8</v>
      </c>
      <c r="M177" s="27" t="s">
        <v>8</v>
      </c>
      <c r="O177" s="27" t="s">
        <v>8</v>
      </c>
      <c r="P177" s="27" t="s">
        <v>7</v>
      </c>
    </row>
    <row r="178" spans="1:16" x14ac:dyDescent="0.25">
      <c r="A178" s="30">
        <v>4.3713637446402926E-3</v>
      </c>
      <c r="J178" s="27" t="s">
        <v>7</v>
      </c>
      <c r="K178" s="27" t="s">
        <v>8</v>
      </c>
      <c r="L178" s="27" t="s">
        <v>7</v>
      </c>
      <c r="M178" s="27" t="s">
        <v>8</v>
      </c>
      <c r="N178" s="27" t="s">
        <v>7</v>
      </c>
      <c r="O178" s="27" t="s">
        <v>8</v>
      </c>
    </row>
    <row r="179" spans="1:16" x14ac:dyDescent="0.25">
      <c r="A179" s="30">
        <v>3.9739670405820838E-3</v>
      </c>
      <c r="J179" s="27" t="s">
        <v>7</v>
      </c>
      <c r="K179" s="27" t="s">
        <v>8</v>
      </c>
      <c r="L179" s="27" t="s">
        <v>7</v>
      </c>
      <c r="M179" s="27" t="s">
        <v>8</v>
      </c>
      <c r="N179" s="27" t="s">
        <v>7</v>
      </c>
      <c r="O179" s="27" t="s">
        <v>8</v>
      </c>
    </row>
    <row r="180" spans="1:16" x14ac:dyDescent="0.25">
      <c r="A180" s="30">
        <v>3.6126973096200759E-3</v>
      </c>
      <c r="J180" s="27" t="s">
        <v>7</v>
      </c>
      <c r="K180" s="27" t="s">
        <v>8</v>
      </c>
      <c r="L180" s="27" t="s">
        <v>7</v>
      </c>
      <c r="M180" s="27" t="s">
        <v>8</v>
      </c>
      <c r="N180" s="27" t="s">
        <v>7</v>
      </c>
    </row>
    <row r="181" spans="1:16" x14ac:dyDescent="0.25">
      <c r="A181" s="30">
        <v>3.2842702814727962E-3</v>
      </c>
      <c r="J181" s="27" t="s">
        <v>7</v>
      </c>
      <c r="K181" s="27" t="s">
        <v>8</v>
      </c>
      <c r="L181" s="27" t="s">
        <v>7</v>
      </c>
    </row>
    <row r="182" spans="1:16" x14ac:dyDescent="0.25">
      <c r="A182" s="30">
        <v>2.9857002558843601E-3</v>
      </c>
      <c r="J182" s="27" t="s">
        <v>7</v>
      </c>
      <c r="K182" s="27" t="s">
        <v>8</v>
      </c>
    </row>
    <row r="183" spans="1:16" x14ac:dyDescent="0.25">
      <c r="A183" s="30">
        <v>2.7142729598948726E-3</v>
      </c>
      <c r="J183" s="27" t="s">
        <v>7</v>
      </c>
    </row>
    <row r="184" spans="1:16" x14ac:dyDescent="0.25">
      <c r="A184" s="30">
        <v>2.4675208726317021E-3</v>
      </c>
    </row>
    <row r="185" spans="1:16" x14ac:dyDescent="0.25">
      <c r="A185" s="30">
        <v>2.2432007933015472E-3</v>
      </c>
    </row>
    <row r="186" spans="1:16" x14ac:dyDescent="0.25">
      <c r="A186" s="30">
        <v>2.0392734484559519E-3</v>
      </c>
    </row>
    <row r="187" spans="1:16" x14ac:dyDescent="0.25">
      <c r="A187" s="30">
        <v>1.8538849531417744E-3</v>
      </c>
    </row>
    <row r="188" spans="1:16" x14ac:dyDescent="0.25">
      <c r="A188" s="30">
        <v>1.6853499574016129E-3</v>
      </c>
    </row>
    <row r="189" spans="1:16" x14ac:dyDescent="0.25">
      <c r="A189" s="30">
        <v>1.5321363249105571E-3</v>
      </c>
    </row>
    <row r="190" spans="1:16" x14ac:dyDescent="0.25">
      <c r="A190" s="30">
        <v>1.3928512044641427E-3</v>
      </c>
    </row>
    <row r="191" spans="1:16" x14ac:dyDescent="0.25">
      <c r="A191" s="30">
        <v>1.2662283676946752E-3</v>
      </c>
    </row>
    <row r="192" spans="1:16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2022-01-28T01:17:13Z</dcterms:modified>
</cp:coreProperties>
</file>