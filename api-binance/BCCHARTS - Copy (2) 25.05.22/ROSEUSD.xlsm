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E17CB71-2F68-4340-8E56-F0C3512F7C9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3"/>
  <c r="C122" i="5"/>
  <c r="C133" i="5" s="1"/>
  <c r="D136" i="5" s="1"/>
  <c r="C116" i="5"/>
  <c r="C116" i="4"/>
  <c r="C122" i="3"/>
  <c r="C133" i="3" s="1"/>
  <c r="D136" i="3" s="1"/>
  <c r="R765" i="1"/>
  <c r="D136" i="4" l="1"/>
  <c r="C138" i="4" s="1"/>
  <c r="C136" i="5"/>
  <c r="C138" i="5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<sst xmlns="http://schemas.openxmlformats.org/spreadsheetml/2006/main" count="5443" uniqueCount="34">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</sst>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0.30423</c:v>
                </c:pt>
                <c:pt idx="1">
                  <c:v>0.31397999999999998</c:v>
                </c:pt>
                <c:pt idx="2">
                  <c:v>0.31759999999999999</c:v>
                </c:pt>
                <c:pt idx="3">
                  <c:v>0.32639000000000001</c:v>
                </c:pt>
                <c:pt idx="4">
                  <c:v>0.35176000000000002</c:v>
                </c:pt>
                <c:pt idx="5">
                  <c:v>0.30726999999999999</c:v>
                </c:pt>
                <c:pt idx="6">
                  <c:v>0.36746000000000001</c:v>
                </c:pt>
                <c:pt idx="7">
                  <c:v>0.42050999999999999</c:v>
                </c:pt>
                <c:pt idx="8">
                  <c:v>0.45373999999999998</c:v>
                </c:pt>
                <c:pt idx="9">
                  <c:v>0.48225000000000001</c:v>
                </c:pt>
                <c:pt idx="10">
                  <c:v>0.49739</c:v>
                </c:pt>
                <c:pt idx="11">
                  <c:v>0.52278000000000002</c:v>
                </c:pt>
                <c:pt idx="12">
                  <c:v>0.56528999999999996</c:v>
                </c:pt>
                <c:pt idx="13">
                  <c:v>0.56535999999999997</c:v>
                </c:pt>
                <c:pt idx="14">
                  <c:v>0.49504999999999999</c:v>
                </c:pt>
                <c:pt idx="15">
                  <c:v>0.51949999999999996</c:v>
                </c:pt>
                <c:pt idx="16">
                  <c:v>0.44857999999999998</c:v>
                </c:pt>
                <c:pt idx="17">
                  <c:v>0.36120000000000002</c:v>
                </c:pt>
                <c:pt idx="18">
                  <c:v>0.33851999999999999</c:v>
                </c:pt>
                <c:pt idx="19">
                  <c:v>0.34321000000000002</c:v>
                </c:pt>
                <c:pt idx="20">
                  <c:v>0.35780000000000001</c:v>
                </c:pt>
                <c:pt idx="21">
                  <c:v>0.39731</c:v>
                </c:pt>
                <c:pt idx="22">
                  <c:v>0.38413999999999998</c:v>
                </c:pt>
                <c:pt idx="23">
                  <c:v>0.40237000000000001</c:v>
                </c:pt>
                <c:pt idx="24">
                  <c:v>0.42599999999999999</c:v>
                </c:pt>
                <c:pt idx="25">
                  <c:v>0.41586000000000001</c:v>
                </c:pt>
                <c:pt idx="26">
                  <c:v>0.44563000000000003</c:v>
                </c:pt>
                <c:pt idx="27">
                  <c:v>0.42792000000000002</c:v>
                </c:pt>
                <c:pt idx="28">
                  <c:v>0.41308</c:v>
                </c:pt>
                <c:pt idx="29">
                  <c:v>0.37785000000000002</c:v>
                </c:pt>
                <c:pt idx="30">
                  <c:v>0.34086</c:v>
                </c:pt>
                <c:pt idx="31">
                  <c:v>0.34192</c:v>
                </c:pt>
                <c:pt idx="32">
                  <c:v>0.36803999999999998</c:v>
                </c:pt>
                <c:pt idx="33">
                  <c:v>0.34177999999999997</c:v>
                </c:pt>
                <c:pt idx="34">
                  <c:v>0.30499999999999999</c:v>
                </c:pt>
                <c:pt idx="35">
                  <c:v>0.31779000000000002</c:v>
                </c:pt>
                <c:pt idx="36">
                  <c:v>0.26995999999999998</c:v>
                </c:pt>
                <c:pt idx="37">
                  <c:v>0.26146000000000003</c:v>
                </c:pt>
                <c:pt idx="38">
                  <c:v>0.25194</c:v>
                </c:pt>
                <c:pt idx="39">
                  <c:v>0.26273999999999997</c:v>
                </c:pt>
                <c:pt idx="40">
                  <c:v>0.26235000000000003</c:v>
                </c:pt>
                <c:pt idx="41">
                  <c:v>0.25333</c:v>
                </c:pt>
                <c:pt idx="42">
                  <c:v>0.25975999999999999</c:v>
                </c:pt>
                <c:pt idx="43">
                  <c:v>0.27377000000000001</c:v>
                </c:pt>
                <c:pt idx="44">
                  <c:v>0.27659</c:v>
                </c:pt>
                <c:pt idx="45">
                  <c:v>0.27237</c:v>
                </c:pt>
                <c:pt idx="46">
                  <c:v>0.29670999999999997</c:v>
                </c:pt>
                <c:pt idx="47">
                  <c:v>0.23810000000000001</c:v>
                </c:pt>
                <c:pt idx="48">
                  <c:v>0.23408999999999999</c:v>
                </c:pt>
                <c:pt idx="49">
                  <c:v>0.24091000000000001</c:v>
                </c:pt>
                <c:pt idx="50">
                  <c:v>0.26445999999999997</c:v>
                </c:pt>
                <c:pt idx="51">
                  <c:v>0.25451000000000001</c:v>
                </c:pt>
                <c:pt idx="52">
                  <c:v>0.25921</c:v>
                </c:pt>
                <c:pt idx="53">
                  <c:v>0.24432999999999999</c:v>
                </c:pt>
                <c:pt idx="54">
                  <c:v>0.27395999999999998</c:v>
                </c:pt>
                <c:pt idx="55">
                  <c:v>0.31336000000000003</c:v>
                </c:pt>
                <c:pt idx="56">
                  <c:v>0.33252999999999999</c:v>
                </c:pt>
                <c:pt idx="57">
                  <c:v>0.31330000000000002</c:v>
                </c:pt>
                <c:pt idx="58">
                  <c:v>0.30398999999999998</c:v>
                </c:pt>
                <c:pt idx="59">
                  <c:v>0.33017000000000002</c:v>
                </c:pt>
                <c:pt idx="60">
                  <c:v>0.32924999999999999</c:v>
                </c:pt>
                <c:pt idx="61">
                  <c:v>0.30630000000000002</c:v>
                </c:pt>
                <c:pt idx="62">
                  <c:v>0.31853999999999999</c:v>
                </c:pt>
                <c:pt idx="63">
                  <c:v>0.36209000000000002</c:v>
                </c:pt>
                <c:pt idx="64">
                  <c:v>0.41355999999999998</c:v>
                </c:pt>
                <c:pt idx="65">
                  <c:v>0.41760999999999998</c:v>
                </c:pt>
                <c:pt idx="66">
                  <c:v>0.3599</c:v>
                </c:pt>
                <c:pt idx="67">
                  <c:v>0.41522999999999999</c:v>
                </c:pt>
                <c:pt idx="68">
                  <c:v>0.29626999999999998</c:v>
                </c:pt>
                <c:pt idx="69">
                  <c:v>0.26716000000000001</c:v>
                </c:pt>
                <c:pt idx="70">
                  <c:v>0.30330000000000001</c:v>
                </c:pt>
                <c:pt idx="71">
                  <c:v>0.26007000000000002</c:v>
                </c:pt>
                <c:pt idx="72">
                  <c:v>0.21016000000000001</c:v>
                </c:pt>
                <c:pt idx="73">
                  <c:v>0.21312999999999999</c:v>
                </c:pt>
                <c:pt idx="74">
                  <c:v>0.22488</c:v>
                </c:pt>
                <c:pt idx="75">
                  <c:v>0.22969000000000001</c:v>
                </c:pt>
                <c:pt idx="76">
                  <c:v>0.22494</c:v>
                </c:pt>
                <c:pt idx="77">
                  <c:v>0.23</c:v>
                </c:pt>
                <c:pt idx="78">
                  <c:v>0.19672999999999999</c:v>
                </c:pt>
                <c:pt idx="79">
                  <c:v>0.2225</c:v>
                </c:pt>
                <c:pt idx="80">
                  <c:v>0.21018000000000001</c:v>
                </c:pt>
                <c:pt idx="81">
                  <c:v>0.20175999999999999</c:v>
                </c:pt>
                <c:pt idx="82">
                  <c:v>0.19209000000000001</c:v>
                </c:pt>
                <c:pt idx="83">
                  <c:v>0.18928</c:v>
                </c:pt>
                <c:pt idx="84">
                  <c:v>0.19939000000000001</c:v>
                </c:pt>
                <c:pt idx="85">
                  <c:v>0.20616999999999999</c:v>
                </c:pt>
                <c:pt idx="86">
                  <c:v>0.18844</c:v>
                </c:pt>
                <c:pt idx="87">
                  <c:v>0.18429000000000001</c:v>
                </c:pt>
                <c:pt idx="88">
                  <c:v>0.18365000000000001</c:v>
                </c:pt>
                <c:pt idx="89">
                  <c:v>0.18684000000000001</c:v>
                </c:pt>
                <c:pt idx="90">
                  <c:v>0.193</c:v>
                </c:pt>
                <c:pt idx="91">
                  <c:v>0.17891000000000001</c:v>
                </c:pt>
                <c:pt idx="92">
                  <c:v>0.17016000000000001</c:v>
                </c:pt>
                <c:pt idx="93">
                  <c:v>0.18464</c:v>
                </c:pt>
                <c:pt idx="94">
                  <c:v>0.1857</c:v>
                </c:pt>
                <c:pt idx="95">
                  <c:v>0.18057999999999999</c:v>
                </c:pt>
                <c:pt idx="96">
                  <c:v>0.18676000000000001</c:v>
                </c:pt>
                <c:pt idx="97">
                  <c:v>0.18514</c:v>
                </c:pt>
                <c:pt idx="98">
                  <c:v>0.18845999999999999</c:v>
                </c:pt>
                <c:pt idx="99">
                  <c:v>0.19783000000000001</c:v>
                </c:pt>
                <c:pt idx="100">
                  <c:v>0.19051999999999999</c:v>
                </c:pt>
                <c:pt idx="101">
                  <c:v>0.19469</c:v>
                </c:pt>
                <c:pt idx="102">
                  <c:v>0.20272000000000001</c:v>
                </c:pt>
                <c:pt idx="103">
                  <c:v>0.20743</c:v>
                </c:pt>
                <c:pt idx="104">
                  <c:v>0.21029999999999999</c:v>
                </c:pt>
                <c:pt idx="105">
                  <c:v>0.20916999999999999</c:v>
                </c:pt>
                <c:pt idx="106">
                  <c:v>0.20144000000000001</c:v>
                </c:pt>
                <c:pt idx="107">
                  <c:v>0.20816999999999999</c:v>
                </c:pt>
                <c:pt idx="108">
                  <c:v>0.21687000000000001</c:v>
                </c:pt>
                <c:pt idx="109">
                  <c:v>0.19866</c:v>
                </c:pt>
                <c:pt idx="110">
                  <c:v>0.19842000000000001</c:v>
                </c:pt>
                <c:pt idx="111">
                  <c:v>0.19198000000000001</c:v>
                </c:pt>
                <c:pt idx="112">
                  <c:v>0.17571000000000001</c:v>
                </c:pt>
                <c:pt idx="113">
                  <c:v>0.17319999999999999</c:v>
                </c:pt>
                <c:pt idx="114">
                  <c:v>0.18084</c:v>
                </c:pt>
                <c:pt idx="115">
                  <c:v>0.18353</c:v>
                </c:pt>
                <c:pt idx="116">
                  <c:v>0.19016</c:v>
                </c:pt>
                <c:pt idx="117">
                  <c:v>0.19094</c:v>
                </c:pt>
                <c:pt idx="118">
                  <c:v>0.19705</c:v>
                </c:pt>
                <c:pt idx="119">
                  <c:v>0.15581999999999999</c:v>
                </c:pt>
                <c:pt idx="120">
                  <c:v>0.14577999999999999</c:v>
                </c:pt>
                <c:pt idx="121">
                  <c:v>0.14773</c:v>
                </c:pt>
                <c:pt idx="122">
                  <c:v>0.15698000000000001</c:v>
                </c:pt>
                <c:pt idx="123">
                  <c:v>0.16406999999999999</c:v>
                </c:pt>
                <c:pt idx="124">
                  <c:v>0.17172999999999999</c:v>
                </c:pt>
                <c:pt idx="125">
                  <c:v>0.17166000000000001</c:v>
                </c:pt>
                <c:pt idx="126">
                  <c:v>0.19253999999999999</c:v>
                </c:pt>
                <c:pt idx="127">
                  <c:v>0.19155</c:v>
                </c:pt>
                <c:pt idx="128">
                  <c:v>0.15984999999999999</c:v>
                </c:pt>
                <c:pt idx="129">
                  <c:v>0.19470999999999999</c:v>
                </c:pt>
                <c:pt idx="130">
                  <c:v>0.23399</c:v>
                </c:pt>
                <c:pt idx="131">
                  <c:v>0.24032999999999999</c:v>
                </c:pt>
                <c:pt idx="132">
                  <c:v>0.23357</c:v>
                </c:pt>
                <c:pt idx="133">
                  <c:v>0.25162000000000001</c:v>
                </c:pt>
                <c:pt idx="134">
                  <c:v>0.25262000000000001</c:v>
                </c:pt>
                <c:pt idx="135">
                  <c:v>0.24215</c:v>
                </c:pt>
                <c:pt idx="136">
                  <c:v>0.23696</c:v>
                </c:pt>
                <c:pt idx="137">
                  <c:v>0.25445000000000001</c:v>
                </c:pt>
                <c:pt idx="138">
                  <c:v>0.28599999999999998</c:v>
                </c:pt>
                <c:pt idx="139">
                  <c:v>0.21451000000000001</c:v>
                </c:pt>
                <c:pt idx="140">
                  <c:v>0.25703999999999999</c:v>
                </c:pt>
                <c:pt idx="141">
                  <c:v>0.25230999999999998</c:v>
                </c:pt>
                <c:pt idx="142">
                  <c:v>0.28122000000000003</c:v>
                </c:pt>
                <c:pt idx="143">
                  <c:v>0.24071999999999999</c:v>
                </c:pt>
                <c:pt idx="144">
                  <c:v>0.17050000000000001</c:v>
                </c:pt>
                <c:pt idx="145">
                  <c:v>0.13713</c:v>
                </c:pt>
                <c:pt idx="146">
                  <c:v>0.12518000000000001</c:v>
                </c:pt>
                <c:pt idx="147">
                  <c:v>0.12339</c:v>
                </c:pt>
                <c:pt idx="148">
                  <c:v>0.13061</c:v>
                </c:pt>
                <c:pt idx="149">
                  <c:v>0.12042</c:v>
                </c:pt>
                <c:pt idx="150">
                  <c:v>0.11788</c:v>
                </c:pt>
                <c:pt idx="151">
                  <c:v>0.10775999999999999</c:v>
                </c:pt>
                <c:pt idx="152">
                  <c:v>0.1024</c:v>
                </c:pt>
                <c:pt idx="153">
                  <c:v>0.10317999999999999</c:v>
                </c:pt>
                <c:pt idx="154">
                  <c:v>9.6000000000000002E-2</c:v>
                </c:pt>
                <c:pt idx="155">
                  <c:v>0.10315000000000001</c:v>
                </c:pt>
                <c:pt idx="156">
                  <c:v>9.8400000000000001E-2</c:v>
                </c:pt>
                <c:pt idx="157">
                  <c:v>0.11101</c:v>
                </c:pt>
                <c:pt idx="158">
                  <c:v>0.10036</c:v>
                </c:pt>
                <c:pt idx="159">
                  <c:v>9.9180000000000004E-2</c:v>
                </c:pt>
                <c:pt idx="160">
                  <c:v>9.9580000000000002E-2</c:v>
                </c:pt>
                <c:pt idx="161">
                  <c:v>9.8919999999999994E-2</c:v>
                </c:pt>
                <c:pt idx="162">
                  <c:v>9.9900000000000003E-2</c:v>
                </c:pt>
                <c:pt idx="163">
                  <c:v>9.6149999999999999E-2</c:v>
                </c:pt>
                <c:pt idx="164">
                  <c:v>9.6769999999999995E-2</c:v>
                </c:pt>
                <c:pt idx="165">
                  <c:v>9.9129999999999996E-2</c:v>
                </c:pt>
                <c:pt idx="166">
                  <c:v>9.715E-2</c:v>
                </c:pt>
                <c:pt idx="167">
                  <c:v>9.597E-2</c:v>
                </c:pt>
                <c:pt idx="168">
                  <c:v>9.1319999999999998E-2</c:v>
                </c:pt>
                <c:pt idx="169">
                  <c:v>9.3640000000000001E-2</c:v>
                </c:pt>
                <c:pt idx="170">
                  <c:v>8.8599999999999998E-2</c:v>
                </c:pt>
                <c:pt idx="171">
                  <c:v>8.7730000000000002E-2</c:v>
                </c:pt>
                <c:pt idx="172">
                  <c:v>8.1259999999999999E-2</c:v>
                </c:pt>
                <c:pt idx="173">
                  <c:v>9.0999999999999998E-2</c:v>
                </c:pt>
                <c:pt idx="174">
                  <c:v>8.8950000000000001E-2</c:v>
                </c:pt>
                <c:pt idx="175">
                  <c:v>8.6040000000000005E-2</c:v>
                </c:pt>
                <c:pt idx="176">
                  <c:v>7.9140000000000002E-2</c:v>
                </c:pt>
                <c:pt idx="177">
                  <c:v>7.2340000000000002E-2</c:v>
                </c:pt>
                <c:pt idx="178">
                  <c:v>7.5429999999999997E-2</c:v>
                </c:pt>
                <c:pt idx="179">
                  <c:v>7.5039999999999996E-2</c:v>
                </c:pt>
                <c:pt idx="180">
                  <c:v>7.7539999999999998E-2</c:v>
                </c:pt>
                <c:pt idx="181">
                  <c:v>7.7479999999999993E-2</c:v>
                </c:pt>
                <c:pt idx="182">
                  <c:v>7.2859999999999994E-2</c:v>
                </c:pt>
                <c:pt idx="183">
                  <c:v>6.4579999999999999E-2</c:v>
                </c:pt>
                <c:pt idx="184">
                  <c:v>6.5019999999999994E-2</c:v>
                </c:pt>
                <c:pt idx="185">
                  <c:v>6.5100000000000005E-2</c:v>
                </c:pt>
                <c:pt idx="186">
                  <c:v>6.4839999999999995E-2</c:v>
                </c:pt>
                <c:pt idx="187">
                  <c:v>6.4610000000000001E-2</c:v>
                </c:pt>
                <c:pt idx="188">
                  <c:v>6.3589999999999994E-2</c:v>
                </c:pt>
                <c:pt idx="189">
                  <c:v>5.9839999999999997E-2</c:v>
                </c:pt>
                <c:pt idx="190">
                  <c:v>5.8099999999999999E-2</c:v>
                </c:pt>
                <c:pt idx="191">
                  <c:v>5.3400000000000003E-2</c:v>
                </c:pt>
                <c:pt idx="192">
                  <c:v>5.7009999999999998E-2</c:v>
                </c:pt>
                <c:pt idx="193">
                  <c:v>6.0220000000000003E-2</c:v>
                </c:pt>
                <c:pt idx="194">
                  <c:v>5.9069999999999998E-2</c:v>
                </c:pt>
                <c:pt idx="195">
                  <c:v>5.9130000000000002E-2</c:v>
                </c:pt>
                <c:pt idx="196">
                  <c:v>6.0130000000000003E-2</c:v>
                </c:pt>
                <c:pt idx="197">
                  <c:v>6.2489999999999997E-2</c:v>
                </c:pt>
                <c:pt idx="198">
                  <c:v>6.1870000000000001E-2</c:v>
                </c:pt>
                <c:pt idx="199">
                  <c:v>6.3560000000000005E-2</c:v>
                </c:pt>
                <c:pt idx="200">
                  <c:v>6.6970000000000002E-2</c:v>
                </c:pt>
                <c:pt idx="201">
                  <c:v>6.5909999999999996E-2</c:v>
                </c:pt>
                <c:pt idx="202">
                  <c:v>6.8349999999999994E-2</c:v>
                </c:pt>
                <c:pt idx="203">
                  <c:v>6.6769999999999996E-2</c:v>
                </c:pt>
                <c:pt idx="204">
                  <c:v>6.8860000000000005E-2</c:v>
                </c:pt>
                <c:pt idx="205">
                  <c:v>6.5079999999999999E-2</c:v>
                </c:pt>
                <c:pt idx="206">
                  <c:v>6.2219999999999998E-2</c:v>
                </c:pt>
                <c:pt idx="207">
                  <c:v>6.6549999999999998E-2</c:v>
                </c:pt>
                <c:pt idx="208">
                  <c:v>6.8099999999999994E-2</c:v>
                </c:pt>
                <c:pt idx="209">
                  <c:v>6.8400000000000002E-2</c:v>
                </c:pt>
                <c:pt idx="210">
                  <c:v>5.4649999999999997E-2</c:v>
                </c:pt>
                <c:pt idx="211">
                  <c:v>5.602E-2</c:v>
                </c:pt>
                <c:pt idx="212">
                  <c:v>5.858E-2</c:v>
                </c:pt>
                <c:pt idx="213">
                  <c:v>5.4670000000000003E-2</c:v>
                </c:pt>
                <c:pt idx="214">
                  <c:v>5.2499999999999998E-2</c:v>
                </c:pt>
                <c:pt idx="215">
                  <c:v>4.8469999999999999E-2</c:v>
                </c:pt>
                <c:pt idx="216">
                  <c:v>4.8070000000000002E-2</c:v>
                </c:pt>
                <c:pt idx="217">
                  <c:v>5.4539999999999998E-2</c:v>
                </c:pt>
                <c:pt idx="218">
                  <c:v>5.4690000000000003E-2</c:v>
                </c:pt>
                <c:pt idx="219">
                  <c:v>5.5169999999999997E-2</c:v>
                </c:pt>
                <c:pt idx="220">
                  <c:v>5.0869999999999999E-2</c:v>
                </c:pt>
                <c:pt idx="221">
                  <c:v>6.3769999999999993E-2</c:v>
                </c:pt>
                <c:pt idx="222">
                  <c:v>6.4729999999999996E-2</c:v>
                </c:pt>
                <c:pt idx="223">
                  <c:v>6.651E-2</c:v>
                </c:pt>
                <c:pt idx="224">
                  <c:v>7.1599999999999997E-2</c:v>
                </c:pt>
                <c:pt idx="225">
                  <c:v>7.2480000000000003E-2</c:v>
                </c:pt>
                <c:pt idx="226">
                  <c:v>7.7799999999999994E-2</c:v>
                </c:pt>
                <c:pt idx="227">
                  <c:v>7.2550000000000003E-2</c:v>
                </c:pt>
                <c:pt idx="228">
                  <c:v>7.0400000000000004E-2</c:v>
                </c:pt>
                <c:pt idx="229">
                  <c:v>6.6360000000000002E-2</c:v>
                </c:pt>
                <c:pt idx="230">
                  <c:v>7.0949999999999999E-2</c:v>
                </c:pt>
                <c:pt idx="231">
                  <c:v>6.9400000000000003E-2</c:v>
                </c:pt>
                <c:pt idx="232">
                  <c:v>7.2249999999999995E-2</c:v>
                </c:pt>
                <c:pt idx="233">
                  <c:v>6.7890000000000006E-2</c:v>
                </c:pt>
                <c:pt idx="234">
                  <c:v>6.7470000000000002E-2</c:v>
                </c:pt>
                <c:pt idx="235">
                  <c:v>7.6679999999999998E-2</c:v>
                </c:pt>
                <c:pt idx="236">
                  <c:v>7.2389999999999996E-2</c:v>
                </c:pt>
                <c:pt idx="237">
                  <c:v>7.4499999999999997E-2</c:v>
                </c:pt>
                <c:pt idx="238">
                  <c:v>8.2809999999999995E-2</c:v>
                </c:pt>
                <c:pt idx="239">
                  <c:v>8.251E-2</c:v>
                </c:pt>
                <c:pt idx="240">
                  <c:v>7.8170000000000003E-2</c:v>
                </c:pt>
                <c:pt idx="241">
                  <c:v>8.1049999999999997E-2</c:v>
                </c:pt>
                <c:pt idx="242">
                  <c:v>7.6060000000000003E-2</c:v>
                </c:pt>
                <c:pt idx="243">
                  <c:v>6.9500000000000006E-2</c:v>
                </c:pt>
                <c:pt idx="244">
                  <c:v>7.6189999999999994E-2</c:v>
                </c:pt>
                <c:pt idx="245">
                  <c:v>8.5650000000000004E-2</c:v>
                </c:pt>
                <c:pt idx="246">
                  <c:v>7.4789999999999995E-2</c:v>
                </c:pt>
                <c:pt idx="247">
                  <c:v>7.2220000000000006E-2</c:v>
                </c:pt>
                <c:pt idx="248">
                  <c:v>6.8849999999999995E-2</c:v>
                </c:pt>
                <c:pt idx="249">
                  <c:v>5.6210000000000003E-2</c:v>
                </c:pt>
                <c:pt idx="250">
                  <c:v>6.8309999999999996E-2</c:v>
                </c:pt>
                <c:pt idx="251">
                  <c:v>7.3999999999999996E-2</c:v>
                </c:pt>
                <c:pt idx="252">
                  <c:v>8.8080000000000006E-2</c:v>
                </c:pt>
                <c:pt idx="253">
                  <c:v>7.9070000000000001E-2</c:v>
                </c:pt>
                <c:pt idx="254">
                  <c:v>0.11274000000000001</c:v>
                </c:pt>
                <c:pt idx="255">
                  <c:v>0.10906</c:v>
                </c:pt>
                <c:pt idx="256">
                  <c:v>0.1195</c:v>
                </c:pt>
                <c:pt idx="257">
                  <c:v>0.11724999999999999</c:v>
                </c:pt>
                <c:pt idx="258">
                  <c:v>0.12631999999999999</c:v>
                </c:pt>
                <c:pt idx="259">
                  <c:v>0.1245</c:v>
                </c:pt>
                <c:pt idx="260">
                  <c:v>0.1242</c:v>
                </c:pt>
                <c:pt idx="261">
                  <c:v>0.14044999999999999</c:v>
                </c:pt>
                <c:pt idx="262">
                  <c:v>0.14046</c:v>
                </c:pt>
                <c:pt idx="263">
                  <c:v>0.15290999999999999</c:v>
                </c:pt>
                <c:pt idx="264">
                  <c:v>0.15801000000000001</c:v>
                </c:pt>
                <c:pt idx="265">
                  <c:v>0.15669</c:v>
                </c:pt>
                <c:pt idx="266">
                  <c:v>0.15834999999999999</c:v>
                </c:pt>
                <c:pt idx="267">
                  <c:v>0.16500000000000001</c:v>
                </c:pt>
                <c:pt idx="268">
                  <c:v>0.15512999999999999</c:v>
                </c:pt>
                <c:pt idx="269">
                  <c:v>0.17002999999999999</c:v>
                </c:pt>
                <c:pt idx="270">
                  <c:v>0.16066</c:v>
                </c:pt>
                <c:pt idx="271">
                  <c:v>0.16727</c:v>
                </c:pt>
                <c:pt idx="272">
                  <c:v>0.16075</c:v>
                </c:pt>
                <c:pt idx="273">
                  <c:v>0.14973</c:v>
                </c:pt>
                <c:pt idx="274">
                  <c:v>0.15398000000000001</c:v>
                </c:pt>
                <c:pt idx="275">
                  <c:v>0.15634999999999999</c:v>
                </c:pt>
                <c:pt idx="276">
                  <c:v>0.14654</c:v>
                </c:pt>
                <c:pt idx="277">
                  <c:v>0.12609000000000001</c:v>
                </c:pt>
                <c:pt idx="278">
                  <c:v>0.12881999999999999</c:v>
                </c:pt>
                <c:pt idx="279">
                  <c:v>0.14241000000000001</c:v>
                </c:pt>
                <c:pt idx="280">
                  <c:v>0.14149999999999999</c:v>
                </c:pt>
                <c:pt idx="281">
                  <c:v>0.14918000000000001</c:v>
                </c:pt>
                <c:pt idx="282">
                  <c:v>0.16089000000000001</c:v>
                </c:pt>
                <c:pt idx="283">
                  <c:v>0.15789</c:v>
                </c:pt>
                <c:pt idx="284">
                  <c:v>0.17343</c:v>
                </c:pt>
                <c:pt idx="285">
                  <c:v>0.19592000000000001</c:v>
                </c:pt>
                <c:pt idx="286">
                  <c:v>0.18770999999999999</c:v>
                </c:pt>
                <c:pt idx="287">
                  <c:v>0.19966</c:v>
                </c:pt>
                <c:pt idx="288">
                  <c:v>0.19470999999999999</c:v>
                </c:pt>
                <c:pt idx="289">
                  <c:v>0.18379000000000001</c:v>
                </c:pt>
                <c:pt idx="290">
                  <c:v>0.18078</c:v>
                </c:pt>
                <c:pt idx="291">
                  <c:v>0.18617</c:v>
                </c:pt>
                <c:pt idx="292">
                  <c:v>0.18507000000000001</c:v>
                </c:pt>
                <c:pt idx="293">
                  <c:v>0.19126000000000001</c:v>
                </c:pt>
                <c:pt idx="294">
                  <c:v>0.19234000000000001</c:v>
                </c:pt>
                <c:pt idx="295">
                  <c:v>0.17604</c:v>
                </c:pt>
                <c:pt idx="296">
                  <c:v>0.18925</c:v>
                </c:pt>
                <c:pt idx="297">
                  <c:v>0.21177000000000001</c:v>
                </c:pt>
                <c:pt idx="298">
                  <c:v>0.1996</c:v>
                </c:pt>
                <c:pt idx="299">
                  <c:v>0.18176</c:v>
                </c:pt>
                <c:pt idx="300">
                  <c:v>0.20183999999999999</c:v>
                </c:pt>
                <c:pt idx="301">
                  <c:v>0.19799</c:v>
                </c:pt>
                <c:pt idx="302">
                  <c:v>0.17877999999999999</c:v>
                </c:pt>
                <c:pt idx="303">
                  <c:v>0.18398999999999999</c:v>
                </c:pt>
                <c:pt idx="304">
                  <c:v>0.19112000000000001</c:v>
                </c:pt>
                <c:pt idx="305">
                  <c:v>0.17346</c:v>
                </c:pt>
                <c:pt idx="306">
                  <c:v>0.16469</c:v>
                </c:pt>
                <c:pt idx="307">
                  <c:v>0.16370999999999999</c:v>
                </c:pt>
                <c:pt idx="308">
                  <c:v>0.13907</c:v>
                </c:pt>
                <c:pt idx="309">
                  <c:v>0.14499999999999999</c:v>
                </c:pt>
                <c:pt idx="310">
                  <c:v>0.16636999999999999</c:v>
                </c:pt>
                <c:pt idx="311">
                  <c:v>0.17777999999999999</c:v>
                </c:pt>
                <c:pt idx="312">
                  <c:v>0.20485999999999999</c:v>
                </c:pt>
                <c:pt idx="313">
                  <c:v>0.17641000000000001</c:v>
                </c:pt>
                <c:pt idx="314">
                  <c:v>0.17645</c:v>
                </c:pt>
                <c:pt idx="315">
                  <c:v>0.18326999999999999</c:v>
                </c:pt>
                <c:pt idx="316">
                  <c:v>0.20699999999999999</c:v>
                </c:pt>
                <c:pt idx="317">
                  <c:v>0.19892000000000001</c:v>
                </c:pt>
                <c:pt idx="318">
                  <c:v>0.21459</c:v>
                </c:pt>
                <c:pt idx="319">
                  <c:v>0.22524</c:v>
                </c:pt>
                <c:pt idx="320">
                  <c:v>0.18504000000000001</c:v>
                </c:pt>
                <c:pt idx="321">
                  <c:v>0.17713999999999999</c:v>
                </c:pt>
                <c:pt idx="322">
                  <c:v>0.1575</c:v>
                </c:pt>
                <c:pt idx="323">
                  <c:v>0.1421</c:v>
                </c:pt>
                <c:pt idx="324">
                  <c:v>0.14437</c:v>
                </c:pt>
                <c:pt idx="325">
                  <c:v>0.14080999999999999</c:v>
                </c:pt>
                <c:pt idx="326">
                  <c:v>0.12107</c:v>
                </c:pt>
                <c:pt idx="327">
                  <c:v>0.12292</c:v>
                </c:pt>
                <c:pt idx="328">
                  <c:v>0.12870999999999999</c:v>
                </c:pt>
                <c:pt idx="329">
                  <c:v>0.1075</c:v>
                </c:pt>
                <c:pt idx="330">
                  <c:v>0.10384</c:v>
                </c:pt>
                <c:pt idx="331">
                  <c:v>9.8930000000000004E-2</c:v>
                </c:pt>
                <c:pt idx="332">
                  <c:v>9.6939999999999998E-2</c:v>
                </c:pt>
                <c:pt idx="333">
                  <c:v>9.0789999999999996E-2</c:v>
                </c:pt>
                <c:pt idx="334">
                  <c:v>9.4270000000000007E-2</c:v>
                </c:pt>
                <c:pt idx="335">
                  <c:v>9.1240000000000002E-2</c:v>
                </c:pt>
                <c:pt idx="336">
                  <c:v>9.1350000000000001E-2</c:v>
                </c:pt>
                <c:pt idx="337">
                  <c:v>9.9739999999999995E-2</c:v>
                </c:pt>
                <c:pt idx="338">
                  <c:v>9.6960000000000005E-2</c:v>
                </c:pt>
                <c:pt idx="339">
                  <c:v>0.11325</c:v>
                </c:pt>
                <c:pt idx="340">
                  <c:v>0.11978999999999999</c:v>
                </c:pt>
                <c:pt idx="341">
                  <c:v>0.11654</c:v>
                </c:pt>
                <c:pt idx="342">
                  <c:v>0.12975999999999999</c:v>
                </c:pt>
                <c:pt idx="343">
                  <c:v>0.12844</c:v>
                </c:pt>
                <c:pt idx="344">
                  <c:v>0.13328000000000001</c:v>
                </c:pt>
                <c:pt idx="345">
                  <c:v>0.12734000000000001</c:v>
                </c:pt>
                <c:pt idx="346">
                  <c:v>9.8979999999999999E-2</c:v>
                </c:pt>
                <c:pt idx="347">
                  <c:v>0.10241</c:v>
                </c:pt>
                <c:pt idx="348">
                  <c:v>0.11507000000000001</c:v>
                </c:pt>
                <c:pt idx="349">
                  <c:v>0.12543000000000001</c:v>
                </c:pt>
                <c:pt idx="350">
                  <c:v>0.10789</c:v>
                </c:pt>
                <c:pt idx="351">
                  <c:v>0.10557999999999999</c:v>
                </c:pt>
                <c:pt idx="352">
                  <c:v>8.6389999999999995E-2</c:v>
                </c:pt>
                <c:pt idx="353">
                  <c:v>8.5220000000000004E-2</c:v>
                </c:pt>
                <c:pt idx="354">
                  <c:v>7.2770000000000001E-2</c:v>
                </c:pt>
                <c:pt idx="355">
                  <c:v>7.0879999999999999E-2</c:v>
                </c:pt>
                <c:pt idx="356">
                  <c:v>7.1999999999999995E-2</c:v>
                </c:pt>
                <c:pt idx="357">
                  <c:v>6.4979999999999996E-2</c:v>
                </c:pt>
                <c:pt idx="358">
                  <c:v>7.1059999999999998E-2</c:v>
                </c:pt>
                <c:pt idx="359">
                  <c:v>6.087E-2</c:v>
                </c:pt>
                <c:pt idx="360">
                  <c:v>6.216E-2</c:v>
                </c:pt>
                <c:pt idx="361">
                  <c:v>5.7290000000000001E-2</c:v>
                </c:pt>
                <c:pt idx="362">
                  <c:v>5.6180000000000001E-2</c:v>
                </c:pt>
                <c:pt idx="363">
                  <c:v>5.6390000000000003E-2</c:v>
                </c:pt>
                <c:pt idx="364">
                  <c:v>5.8049999999999997E-2</c:v>
                </c:pt>
                <c:pt idx="365">
                  <c:v>5.5190000000000003E-2</c:v>
                </c:pt>
                <c:pt idx="366">
                  <c:v>6.1690000000000002E-2</c:v>
                </c:pt>
                <c:pt idx="367">
                  <c:v>5.917E-2</c:v>
                </c:pt>
                <c:pt idx="368">
                  <c:v>6.6470000000000001E-2</c:v>
                </c:pt>
                <c:pt idx="369">
                  <c:v>6.4100000000000004E-2</c:v>
                </c:pt>
                <c:pt idx="370">
                  <c:v>6.037E-2</c:v>
                </c:pt>
                <c:pt idx="371">
                  <c:v>5.4510000000000003E-2</c:v>
                </c:pt>
                <c:pt idx="372">
                  <c:v>6.0589999999999998E-2</c:v>
                </c:pt>
                <c:pt idx="373">
                  <c:v>6.234E-2</c:v>
                </c:pt>
                <c:pt idx="374">
                  <c:v>6.2979999999999994E-2</c:v>
                </c:pt>
                <c:pt idx="375">
                  <c:v>6.4180000000000001E-2</c:v>
                </c:pt>
                <c:pt idx="376">
                  <c:v>5.3769999999999998E-2</c:v>
                </c:pt>
                <c:pt idx="377">
                  <c:v>4.505E-2</c:v>
                </c:pt>
                <c:pt idx="378">
                  <c:v>4.5060000000000003E-2</c:v>
                </c:pt>
                <c:pt idx="379">
                  <c:v>4.3499999999999997E-2</c:v>
                </c:pt>
                <c:pt idx="380">
                  <c:v>4.138E-2</c:v>
                </c:pt>
                <c:pt idx="381">
                  <c:v>4.1439999999999998E-2</c:v>
                </c:pt>
                <c:pt idx="382">
                  <c:v>4.4760000000000001E-2</c:v>
                </c:pt>
                <c:pt idx="383">
                  <c:v>4.7039999999999998E-2</c:v>
                </c:pt>
                <c:pt idx="384">
                  <c:v>4.5359999999999998E-2</c:v>
                </c:pt>
                <c:pt idx="385">
                  <c:v>5.0950000000000002E-2</c:v>
                </c:pt>
                <c:pt idx="386">
                  <c:v>4.743E-2</c:v>
                </c:pt>
                <c:pt idx="387">
                  <c:v>4.394E-2</c:v>
                </c:pt>
                <c:pt idx="388">
                  <c:v>4.1349999999999998E-2</c:v>
                </c:pt>
                <c:pt idx="389">
                  <c:v>4.129E-2</c:v>
                </c:pt>
                <c:pt idx="390">
                  <c:v>4.095E-2</c:v>
                </c:pt>
                <c:pt idx="391">
                  <c:v>4.2099999999999999E-2</c:v>
                </c:pt>
                <c:pt idx="392">
                  <c:v>4.1590000000000002E-2</c:v>
                </c:pt>
                <c:pt idx="393">
                  <c:v>4.1779999999999998E-2</c:v>
                </c:pt>
                <c:pt idx="394">
                  <c:v>4.0820000000000002E-2</c:v>
                </c:pt>
                <c:pt idx="395">
                  <c:v>4.5740000000000003E-2</c:v>
                </c:pt>
                <c:pt idx="396">
                  <c:v>4.3130000000000002E-2</c:v>
                </c:pt>
                <c:pt idx="397">
                  <c:v>4.4409999999999998E-2</c:v>
                </c:pt>
                <c:pt idx="398">
                  <c:v>4.5830000000000003E-2</c:v>
                </c:pt>
                <c:pt idx="399">
                  <c:v>4.8669999999999998E-2</c:v>
                </c:pt>
                <c:pt idx="400">
                  <c:v>4.6890000000000001E-2</c:v>
                </c:pt>
                <c:pt idx="401">
                  <c:v>5.5199999999999999E-2</c:v>
                </c:pt>
                <c:pt idx="402">
                  <c:v>5.067E-2</c:v>
                </c:pt>
                <c:pt idx="403">
                  <c:v>5.1950000000000003E-2</c:v>
                </c:pt>
                <c:pt idx="404">
                  <c:v>5.6210000000000003E-2</c:v>
                </c:pt>
                <c:pt idx="405">
                  <c:v>4.9110000000000001E-2</c:v>
                </c:pt>
                <c:pt idx="406">
                  <c:v>4.6080000000000003E-2</c:v>
                </c:pt>
                <c:pt idx="407">
                  <c:v>5.126E-2</c:v>
                </c:pt>
                <c:pt idx="408">
                  <c:v>4.9250000000000002E-2</c:v>
                </c:pt>
                <c:pt idx="409">
                  <c:v>5.2249999999999998E-2</c:v>
                </c:pt>
                <c:pt idx="410">
                  <c:v>5.1560000000000002E-2</c:v>
                </c:pt>
                <c:pt idx="411">
                  <c:v>5.1330000000000001E-2</c:v>
                </c:pt>
                <c:pt idx="412">
                  <c:v>4.5659999999999999E-2</c:v>
                </c:pt>
                <c:pt idx="413">
                  <c:v>4.9250000000000002E-2</c:v>
                </c:pt>
                <c:pt idx="414">
                  <c:v>5.5820000000000002E-2</c:v>
                </c:pt>
                <c:pt idx="415">
                  <c:v>5.348E-2</c:v>
                </c:pt>
                <c:pt idx="416">
                  <c:v>5.212E-2</c:v>
                </c:pt>
                <c:pt idx="417">
                  <c:v>4.2500000000000003E-2</c:v>
                </c:pt>
                <c:pt idx="418">
                  <c:v>4.4929999999999998E-2</c:v>
                </c:pt>
                <c:pt idx="419">
                  <c:v>3.9530000000000003E-2</c:v>
                </c:pt>
                <c:pt idx="420">
                  <c:v>3.85E-2</c:v>
                </c:pt>
                <c:pt idx="421">
                  <c:v>3.6119999999999999E-2</c:v>
                </c:pt>
                <c:pt idx="422">
                  <c:v>3.524E-2</c:v>
                </c:pt>
                <c:pt idx="423">
                  <c:v>3.7100000000000001E-2</c:v>
                </c:pt>
                <c:pt idx="424">
                  <c:v>3.7249999999999998E-2</c:v>
                </c:pt>
                <c:pt idx="425">
                  <c:v>3.7629999999999997E-2</c:v>
                </c:pt>
                <c:pt idx="426">
                  <c:v>3.6600000000000001E-2</c:v>
                </c:pt>
                <c:pt idx="427">
                  <c:v>3.5740000000000001E-2</c:v>
                </c:pt>
                <c:pt idx="428">
                  <c:v>3.9079999999999997E-2</c:v>
                </c:pt>
                <c:pt idx="429">
                  <c:v>4.1910000000000003E-2</c:v>
                </c:pt>
                <c:pt idx="430">
                  <c:v>4.7039999999999998E-2</c:v>
                </c:pt>
                <c:pt idx="431">
                  <c:v>4.1619999999999997E-2</c:v>
                </c:pt>
                <c:pt idx="432">
                  <c:v>3.7909999999999999E-2</c:v>
                </c:pt>
                <c:pt idx="433">
                  <c:v>3.5729999999999998E-2</c:v>
                </c:pt>
                <c:pt idx="434">
                  <c:v>3.7769999999999998E-2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7-4240-A510-E6F6F5BBC82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-50.905001286348835</c:v>
                </c:pt>
                <c:pt idx="1">
                  <c:v>-50.674355207923774</c:v>
                </c:pt>
                <c:pt idx="2">
                  <c:v>-46.965040283147999</c:v>
                </c:pt>
                <c:pt idx="3">
                  <c:v>-46.325117734057123</c:v>
                </c:pt>
                <c:pt idx="4">
                  <c:v>-47.609812581938186</c:v>
                </c:pt>
                <c:pt idx="5">
                  <c:v>-49.964728396218334</c:v>
                </c:pt>
                <c:pt idx="6">
                  <c:v>-45.992989788752361</c:v>
                </c:pt>
                <c:pt idx="7">
                  <c:v>-42.307413392964534</c:v>
                </c:pt>
                <c:pt idx="8">
                  <c:v>-39.159011074778469</c:v>
                </c:pt>
                <c:pt idx="9">
                  <c:v>-35.332895906164431</c:v>
                </c:pt>
                <c:pt idx="10">
                  <c:v>-33.753234284788853</c:v>
                </c:pt>
                <c:pt idx="11">
                  <c:v>-31.156759778481018</c:v>
                </c:pt>
                <c:pt idx="12">
                  <c:v>-28.601167073745966</c:v>
                </c:pt>
                <c:pt idx="13">
                  <c:v>-27.049784925358281</c:v>
                </c:pt>
                <c:pt idx="14">
                  <c:v>-30.450270517451607</c:v>
                </c:pt>
                <c:pt idx="15">
                  <c:v>-28.587207163872012</c:v>
                </c:pt>
                <c:pt idx="16">
                  <c:v>-33.621760211847906</c:v>
                </c:pt>
                <c:pt idx="17">
                  <c:v>-39.249525938678239</c:v>
                </c:pt>
                <c:pt idx="18">
                  <c:v>-41.553953368936298</c:v>
                </c:pt>
                <c:pt idx="19">
                  <c:v>-42.237327134024248</c:v>
                </c:pt>
                <c:pt idx="20">
                  <c:v>-40.80429235282314</c:v>
                </c:pt>
                <c:pt idx="21">
                  <c:v>-39.034636601116844</c:v>
                </c:pt>
                <c:pt idx="22">
                  <c:v>-40.842810317809061</c:v>
                </c:pt>
                <c:pt idx="23">
                  <c:v>-40.89102466802192</c:v>
                </c:pt>
                <c:pt idx="24">
                  <c:v>-39.172218057155064</c:v>
                </c:pt>
                <c:pt idx="25">
                  <c:v>-40.296030054061156</c:v>
                </c:pt>
                <c:pt idx="26">
                  <c:v>-39.233699339973654</c:v>
                </c:pt>
                <c:pt idx="27">
                  <c:v>-40.240608028533352</c:v>
                </c:pt>
                <c:pt idx="28">
                  <c:v>-41.483709105191338</c:v>
                </c:pt>
                <c:pt idx="29">
                  <c:v>-43.21807614291648</c:v>
                </c:pt>
                <c:pt idx="30">
                  <c:v>-43.79462835808404</c:v>
                </c:pt>
                <c:pt idx="31">
                  <c:v>-42.932022126501849</c:v>
                </c:pt>
                <c:pt idx="32">
                  <c:v>-40.912680001299783</c:v>
                </c:pt>
                <c:pt idx="33">
                  <c:v>-43.045340099837347</c:v>
                </c:pt>
                <c:pt idx="34">
                  <c:v>-44.072335339671106</c:v>
                </c:pt>
                <c:pt idx="35">
                  <c:v>-43.040795429262658</c:v>
                </c:pt>
                <c:pt idx="36">
                  <c:v>-44.879970210571194</c:v>
                </c:pt>
                <c:pt idx="37">
                  <c:v>-44.645271600204325</c:v>
                </c:pt>
                <c:pt idx="38">
                  <c:v>-45.485645308225187</c:v>
                </c:pt>
                <c:pt idx="39">
                  <c:v>-45.459343870835063</c:v>
                </c:pt>
                <c:pt idx="40">
                  <c:v>-45.042208034192861</c:v>
                </c:pt>
                <c:pt idx="41">
                  <c:v>-45.466663881188943</c:v>
                </c:pt>
                <c:pt idx="42">
                  <c:v>-45.082640103972722</c:v>
                </c:pt>
                <c:pt idx="43">
                  <c:v>-43.492173374040789</c:v>
                </c:pt>
                <c:pt idx="44">
                  <c:v>-44.439836610483141</c:v>
                </c:pt>
                <c:pt idx="45">
                  <c:v>-43.273622952570598</c:v>
                </c:pt>
                <c:pt idx="46">
                  <c:v>-39.671411412537651</c:v>
                </c:pt>
                <c:pt idx="47">
                  <c:v>-40.594742734799084</c:v>
                </c:pt>
                <c:pt idx="48">
                  <c:v>-40.621428755908312</c:v>
                </c:pt>
                <c:pt idx="49">
                  <c:v>-39.704389745553691</c:v>
                </c:pt>
                <c:pt idx="50">
                  <c:v>-38.908266080698546</c:v>
                </c:pt>
                <c:pt idx="51">
                  <c:v>-39.791665692859546</c:v>
                </c:pt>
                <c:pt idx="52">
                  <c:v>-38.938989342131705</c:v>
                </c:pt>
                <c:pt idx="53">
                  <c:v>-40.892099118975139</c:v>
                </c:pt>
                <c:pt idx="54">
                  <c:v>-39.766147415037338</c:v>
                </c:pt>
                <c:pt idx="55">
                  <c:v>-39.910112855825403</c:v>
                </c:pt>
                <c:pt idx="56">
                  <c:v>-37.875657585912094</c:v>
                </c:pt>
                <c:pt idx="57">
                  <c:v>-39.08749012119987</c:v>
                </c:pt>
                <c:pt idx="58">
                  <c:v>-38.727676018057572</c:v>
                </c:pt>
                <c:pt idx="59">
                  <c:v>-36.541665347686347</c:v>
                </c:pt>
                <c:pt idx="60">
                  <c:v>-36.615180209937421</c:v>
                </c:pt>
                <c:pt idx="61">
                  <c:v>-37.666170767511105</c:v>
                </c:pt>
                <c:pt idx="62">
                  <c:v>-36.502384459724979</c:v>
                </c:pt>
                <c:pt idx="63">
                  <c:v>-35.332198094851883</c:v>
                </c:pt>
                <c:pt idx="64">
                  <c:v>-32.798495108030956</c:v>
                </c:pt>
                <c:pt idx="65">
                  <c:v>-32.801415215813606</c:v>
                </c:pt>
                <c:pt idx="66">
                  <c:v>-34.154425356496105</c:v>
                </c:pt>
                <c:pt idx="67">
                  <c:v>-30.024961981815814</c:v>
                </c:pt>
                <c:pt idx="68">
                  <c:v>-34.924087149308534</c:v>
                </c:pt>
                <c:pt idx="69">
                  <c:v>-36.570562398185878</c:v>
                </c:pt>
                <c:pt idx="70">
                  <c:v>-34.319912568412533</c:v>
                </c:pt>
                <c:pt idx="71">
                  <c:v>-38.757110000412531</c:v>
                </c:pt>
                <c:pt idx="72">
                  <c:v>-40.710644515168255</c:v>
                </c:pt>
                <c:pt idx="73">
                  <c:v>-40.913300779914081</c:v>
                </c:pt>
                <c:pt idx="74">
                  <c:v>-40.141698557625809</c:v>
                </c:pt>
                <c:pt idx="75">
                  <c:v>-40.334190913212865</c:v>
                </c:pt>
                <c:pt idx="76">
                  <c:v>-40.033510841722183</c:v>
                </c:pt>
                <c:pt idx="77">
                  <c:v>-35.936882306996324</c:v>
                </c:pt>
                <c:pt idx="78">
                  <c:v>-36.980990972708234</c:v>
                </c:pt>
                <c:pt idx="79">
                  <c:v>-36.184407878655755</c:v>
                </c:pt>
                <c:pt idx="80">
                  <c:v>-36.677469005243928</c:v>
                </c:pt>
                <c:pt idx="81">
                  <c:v>-36.275631409688941</c:v>
                </c:pt>
                <c:pt idx="82">
                  <c:v>-36.658319646174604</c:v>
                </c:pt>
                <c:pt idx="83">
                  <c:v>-36.847413475860357</c:v>
                </c:pt>
                <c:pt idx="84">
                  <c:v>-36.570868745052358</c:v>
                </c:pt>
                <c:pt idx="85">
                  <c:v>-35.778574421365654</c:v>
                </c:pt>
                <c:pt idx="86">
                  <c:v>-35.533000542381878</c:v>
                </c:pt>
                <c:pt idx="87">
                  <c:v>-35.428663856464013</c:v>
                </c:pt>
                <c:pt idx="88">
                  <c:v>-35.695403054687098</c:v>
                </c:pt>
                <c:pt idx="89">
                  <c:v>-35.604848747361444</c:v>
                </c:pt>
                <c:pt idx="90">
                  <c:v>-35.264608830880647</c:v>
                </c:pt>
                <c:pt idx="91">
                  <c:v>-35.918369261159853</c:v>
                </c:pt>
                <c:pt idx="92">
                  <c:v>-36.258624561087565</c:v>
                </c:pt>
                <c:pt idx="93">
                  <c:v>-35.155251231248577</c:v>
                </c:pt>
                <c:pt idx="94">
                  <c:v>-34.574091552364152</c:v>
                </c:pt>
                <c:pt idx="95">
                  <c:v>-34.216962982063201</c:v>
                </c:pt>
                <c:pt idx="96">
                  <c:v>-34.076083323139791</c:v>
                </c:pt>
                <c:pt idx="97">
                  <c:v>-34.550411886972007</c:v>
                </c:pt>
                <c:pt idx="98">
                  <c:v>-34.046570356790184</c:v>
                </c:pt>
                <c:pt idx="99">
                  <c:v>-33.253855258305194</c:v>
                </c:pt>
                <c:pt idx="100">
                  <c:v>-33.422080041166716</c:v>
                </c:pt>
                <c:pt idx="101">
                  <c:v>-33.315745427061884</c:v>
                </c:pt>
                <c:pt idx="102">
                  <c:v>-33.104279468451217</c:v>
                </c:pt>
                <c:pt idx="103">
                  <c:v>-33.029921310928955</c:v>
                </c:pt>
                <c:pt idx="104">
                  <c:v>-32.392366284854013</c:v>
                </c:pt>
                <c:pt idx="105">
                  <c:v>-32.529198139168713</c:v>
                </c:pt>
                <c:pt idx="106">
                  <c:v>-32.542365275801529</c:v>
                </c:pt>
                <c:pt idx="107">
                  <c:v>-32.214936736833664</c:v>
                </c:pt>
                <c:pt idx="108">
                  <c:v>-32.610155846804659</c:v>
                </c:pt>
                <c:pt idx="109">
                  <c:v>-33.303150999232138</c:v>
                </c:pt>
                <c:pt idx="110">
                  <c:v>-31.438133227540842</c:v>
                </c:pt>
                <c:pt idx="111">
                  <c:v>-31.396291718395048</c:v>
                </c:pt>
                <c:pt idx="112">
                  <c:v>-29.374861546982146</c:v>
                </c:pt>
                <c:pt idx="113">
                  <c:v>-29.813697271399533</c:v>
                </c:pt>
                <c:pt idx="114">
                  <c:v>-29.066030226158222</c:v>
                </c:pt>
                <c:pt idx="115">
                  <c:v>-29.109176456471349</c:v>
                </c:pt>
                <c:pt idx="116">
                  <c:v>-28.754947434368439</c:v>
                </c:pt>
                <c:pt idx="117">
                  <c:v>-28.286360215077885</c:v>
                </c:pt>
                <c:pt idx="118">
                  <c:v>-27.557376680375732</c:v>
                </c:pt>
                <c:pt idx="119">
                  <c:v>-28.567478742968227</c:v>
                </c:pt>
                <c:pt idx="120">
                  <c:v>-29.263472843670232</c:v>
                </c:pt>
                <c:pt idx="121">
                  <c:v>-28.884848526433281</c:v>
                </c:pt>
                <c:pt idx="122">
                  <c:v>-27.754222620087855</c:v>
                </c:pt>
                <c:pt idx="123">
                  <c:v>-26.66247330008785</c:v>
                </c:pt>
                <c:pt idx="124">
                  <c:v>-26.997202679997894</c:v>
                </c:pt>
                <c:pt idx="125">
                  <c:v>-27.046381661232914</c:v>
                </c:pt>
                <c:pt idx="126">
                  <c:v>-26.634608301536712</c:v>
                </c:pt>
                <c:pt idx="127">
                  <c:v>-27.070120920874036</c:v>
                </c:pt>
                <c:pt idx="128">
                  <c:v>-28.140189142841589</c:v>
                </c:pt>
                <c:pt idx="129">
                  <c:v>-27.119102737251261</c:v>
                </c:pt>
                <c:pt idx="130">
                  <c:v>-26.530307472893696</c:v>
                </c:pt>
                <c:pt idx="131">
                  <c:v>-26.249967102666389</c:v>
                </c:pt>
                <c:pt idx="132">
                  <c:v>-26.029378692984167</c:v>
                </c:pt>
                <c:pt idx="133">
                  <c:v>-25.236546555987424</c:v>
                </c:pt>
                <c:pt idx="134">
                  <c:v>-23.788688359960421</c:v>
                </c:pt>
                <c:pt idx="135">
                  <c:v>-23.934323231830131</c:v>
                </c:pt>
                <c:pt idx="136">
                  <c:v>-23.617581428119244</c:v>
                </c:pt>
                <c:pt idx="137">
                  <c:v>-23.178025535420915</c:v>
                </c:pt>
                <c:pt idx="138">
                  <c:v>-21.726605496788185</c:v>
                </c:pt>
                <c:pt idx="139">
                  <c:v>-24.527151983151121</c:v>
                </c:pt>
                <c:pt idx="140">
                  <c:v>-22.571896150967195</c:v>
                </c:pt>
                <c:pt idx="141">
                  <c:v>-22.348554597854431</c:v>
                </c:pt>
                <c:pt idx="142">
                  <c:v>-18.019279330031523</c:v>
                </c:pt>
                <c:pt idx="143">
                  <c:v>-17.320433129328567</c:v>
                </c:pt>
                <c:pt idx="144">
                  <c:v>-17.98148645659575</c:v>
                </c:pt>
                <c:pt idx="145">
                  <c:v>-20.787149693973074</c:v>
                </c:pt>
                <c:pt idx="146">
                  <c:v>-21.474179412010812</c:v>
                </c:pt>
                <c:pt idx="147">
                  <c:v>-21.442681562112551</c:v>
                </c:pt>
                <c:pt idx="148">
                  <c:v>-20.97389423513421</c:v>
                </c:pt>
                <c:pt idx="149">
                  <c:v>-21.694029011013299</c:v>
                </c:pt>
                <c:pt idx="150">
                  <c:v>-19.957712733408101</c:v>
                </c:pt>
                <c:pt idx="151">
                  <c:v>-20.244078845192899</c:v>
                </c:pt>
                <c:pt idx="152">
                  <c:v>-20.810153954979562</c:v>
                </c:pt>
                <c:pt idx="153">
                  <c:v>-20.747407778651699</c:v>
                </c:pt>
                <c:pt idx="154">
                  <c:v>-21.235113818547621</c:v>
                </c:pt>
                <c:pt idx="155">
                  <c:v>-20.83793185718849</c:v>
                </c:pt>
                <c:pt idx="156">
                  <c:v>-21.34999818140524</c:v>
                </c:pt>
                <c:pt idx="157">
                  <c:v>-20.731133256942528</c:v>
                </c:pt>
                <c:pt idx="158">
                  <c:v>-20.66181043882872</c:v>
                </c:pt>
                <c:pt idx="159">
                  <c:v>-20.651539824768317</c:v>
                </c:pt>
                <c:pt idx="160">
                  <c:v>-20.381724692806714</c:v>
                </c:pt>
                <c:pt idx="161">
                  <c:v>-19.960193749473383</c:v>
                </c:pt>
                <c:pt idx="162">
                  <c:v>-20.159468149919139</c:v>
                </c:pt>
                <c:pt idx="163">
                  <c:v>-20.007634206116769</c:v>
                </c:pt>
                <c:pt idx="164">
                  <c:v>-19.124846417751453</c:v>
                </c:pt>
                <c:pt idx="165">
                  <c:v>-18.058769335505982</c:v>
                </c:pt>
                <c:pt idx="166">
                  <c:v>-18.255685727341678</c:v>
                </c:pt>
                <c:pt idx="167">
                  <c:v>-17.664675125091911</c:v>
                </c:pt>
                <c:pt idx="168">
                  <c:v>-18.020193692261451</c:v>
                </c:pt>
                <c:pt idx="169">
                  <c:v>-17.668211982928117</c:v>
                </c:pt>
                <c:pt idx="170">
                  <c:v>-17.502577596071099</c:v>
                </c:pt>
                <c:pt idx="171">
                  <c:v>-17.7732341844711</c:v>
                </c:pt>
                <c:pt idx="172">
                  <c:v>-18.002198041353903</c:v>
                </c:pt>
                <c:pt idx="173">
                  <c:v>-17.610864691618151</c:v>
                </c:pt>
                <c:pt idx="174">
                  <c:v>-18.086663204906131</c:v>
                </c:pt>
                <c:pt idx="175">
                  <c:v>-18.231345284556319</c:v>
                </c:pt>
                <c:pt idx="176">
                  <c:v>-18.608985799900719</c:v>
                </c:pt>
                <c:pt idx="177">
                  <c:v>-18.768489623498699</c:v>
                </c:pt>
                <c:pt idx="178">
                  <c:v>-18.52912917604845</c:v>
                </c:pt>
                <c:pt idx="179">
                  <c:v>-18.416913532436912</c:v>
                </c:pt>
                <c:pt idx="180">
                  <c:v>-18.041244921541264</c:v>
                </c:pt>
                <c:pt idx="181">
                  <c:v>-18.070222929138275</c:v>
                </c:pt>
                <c:pt idx="182">
                  <c:v>-18.717976925776409</c:v>
                </c:pt>
                <c:pt idx="183">
                  <c:v>-18.687957806220851</c:v>
                </c:pt>
                <c:pt idx="184">
                  <c:v>-18.580132722986807</c:v>
                </c:pt>
                <c:pt idx="185">
                  <c:v>-18.437380154219063</c:v>
                </c:pt>
                <c:pt idx="186">
                  <c:v>-17.98244427802015</c:v>
                </c:pt>
                <c:pt idx="187">
                  <c:v>-18.061526176720147</c:v>
                </c:pt>
                <c:pt idx="188">
                  <c:v>-18.135593442792754</c:v>
                </c:pt>
                <c:pt idx="189">
                  <c:v>-18.271454939456429</c:v>
                </c:pt>
                <c:pt idx="190">
                  <c:v>-18.295083597549738</c:v>
                </c:pt>
                <c:pt idx="191">
                  <c:v>-18.475801985438821</c:v>
                </c:pt>
                <c:pt idx="192">
                  <c:v>-18.348537593489546</c:v>
                </c:pt>
                <c:pt idx="193">
                  <c:v>-18.143115362606686</c:v>
                </c:pt>
                <c:pt idx="194">
                  <c:v>-18.089210875520589</c:v>
                </c:pt>
                <c:pt idx="195">
                  <c:v>-17.878533712362696</c:v>
                </c:pt>
                <c:pt idx="196">
                  <c:v>-17.618481483459082</c:v>
                </c:pt>
                <c:pt idx="197">
                  <c:v>-17.441941942142009</c:v>
                </c:pt>
                <c:pt idx="198">
                  <c:v>-17.436573131997083</c:v>
                </c:pt>
                <c:pt idx="199">
                  <c:v>-17.470776615894167</c:v>
                </c:pt>
                <c:pt idx="200">
                  <c:v>-17.362437461647922</c:v>
                </c:pt>
                <c:pt idx="201">
                  <c:v>-17.537419960190121</c:v>
                </c:pt>
                <c:pt idx="202">
                  <c:v>-17.336766092341637</c:v>
                </c:pt>
                <c:pt idx="203">
                  <c:v>-17.235734804356003</c:v>
                </c:pt>
                <c:pt idx="204">
                  <c:v>-17.052801753662298</c:v>
                </c:pt>
                <c:pt idx="205">
                  <c:v>-17.069460843204283</c:v>
                </c:pt>
                <c:pt idx="206">
                  <c:v>-17.172091561355543</c:v>
                </c:pt>
                <c:pt idx="207">
                  <c:v>-16.956436313666376</c:v>
                </c:pt>
                <c:pt idx="208">
                  <c:v>-17.186511909128225</c:v>
                </c:pt>
                <c:pt idx="209">
                  <c:v>-17.54972465245935</c:v>
                </c:pt>
                <c:pt idx="210">
                  <c:v>-18.682796460879214</c:v>
                </c:pt>
                <c:pt idx="211">
                  <c:v>-18.648674538055687</c:v>
                </c:pt>
                <c:pt idx="212">
                  <c:v>-18.670816620683262</c:v>
                </c:pt>
                <c:pt idx="213">
                  <c:v>-18.768560596486829</c:v>
                </c:pt>
                <c:pt idx="214">
                  <c:v>-18.933409967397399</c:v>
                </c:pt>
                <c:pt idx="215">
                  <c:v>-18.933409967397399</c:v>
                </c:pt>
                <c:pt idx="216">
                  <c:v>-19.013861820707259</c:v>
                </c:pt>
                <c:pt idx="217">
                  <c:v>-18.509809676376637</c:v>
                </c:pt>
                <c:pt idx="218">
                  <c:v>-18.712990226376636</c:v>
                </c:pt>
                <c:pt idx="219">
                  <c:v>-18.591106790594818</c:v>
                </c:pt>
                <c:pt idx="220">
                  <c:v>-18.971397717910467</c:v>
                </c:pt>
                <c:pt idx="221">
                  <c:v>-18.241073458254196</c:v>
                </c:pt>
                <c:pt idx="222">
                  <c:v>-18.478968714765372</c:v>
                </c:pt>
                <c:pt idx="223">
                  <c:v>-18.253084361967836</c:v>
                </c:pt>
                <c:pt idx="224">
                  <c:v>-18.03564463548916</c:v>
                </c:pt>
                <c:pt idx="225">
                  <c:v>-17.433754890965769</c:v>
                </c:pt>
                <c:pt idx="226">
                  <c:v>-16.512043673608382</c:v>
                </c:pt>
                <c:pt idx="227">
                  <c:v>-16.652015570171198</c:v>
                </c:pt>
                <c:pt idx="228">
                  <c:v>-16.464710212048256</c:v>
                </c:pt>
                <c:pt idx="229">
                  <c:v>-16.679401038787386</c:v>
                </c:pt>
                <c:pt idx="230">
                  <c:v>-16.482332945377173</c:v>
                </c:pt>
                <c:pt idx="231">
                  <c:v>-16.549962257541235</c:v>
                </c:pt>
                <c:pt idx="232">
                  <c:v>-16.277616846052794</c:v>
                </c:pt>
                <c:pt idx="233">
                  <c:v>-16.375387597939021</c:v>
                </c:pt>
                <c:pt idx="234">
                  <c:v>-16.660862250230068</c:v>
                </c:pt>
                <c:pt idx="235">
                  <c:v>-16.194826637098753</c:v>
                </c:pt>
                <c:pt idx="236">
                  <c:v>-16.485913258201528</c:v>
                </c:pt>
                <c:pt idx="237">
                  <c:v>-16.2725005369591</c:v>
                </c:pt>
                <c:pt idx="238">
                  <c:v>-15.93568728705141</c:v>
                </c:pt>
                <c:pt idx="239">
                  <c:v>-15.966676144286801</c:v>
                </c:pt>
                <c:pt idx="240">
                  <c:v>-16.216786292767718</c:v>
                </c:pt>
                <c:pt idx="241">
                  <c:v>-15.720785422092431</c:v>
                </c:pt>
                <c:pt idx="242">
                  <c:v>-16.059634757866192</c:v>
                </c:pt>
                <c:pt idx="243">
                  <c:v>-15.804721551858643</c:v>
                </c:pt>
                <c:pt idx="244">
                  <c:v>-15.282612483325735</c:v>
                </c:pt>
                <c:pt idx="245">
                  <c:v>-14.425177324899318</c:v>
                </c:pt>
                <c:pt idx="246">
                  <c:v>-14.724562975360165</c:v>
                </c:pt>
                <c:pt idx="247">
                  <c:v>-14.620935876625667</c:v>
                </c:pt>
                <c:pt idx="248">
                  <c:v>-15.251098728359405</c:v>
                </c:pt>
                <c:pt idx="249">
                  <c:v>-15.972251489834266</c:v>
                </c:pt>
                <c:pt idx="250">
                  <c:v>-15.343090038457452</c:v>
                </c:pt>
                <c:pt idx="251">
                  <c:v>-15.176860250838592</c:v>
                </c:pt>
                <c:pt idx="252">
                  <c:v>-14.881509792720243</c:v>
                </c:pt>
                <c:pt idx="253">
                  <c:v>-15.810419132627391</c:v>
                </c:pt>
                <c:pt idx="254">
                  <c:v>-14.991538323620002</c:v>
                </c:pt>
                <c:pt idx="255">
                  <c:v>-14.650381845216964</c:v>
                </c:pt>
                <c:pt idx="256">
                  <c:v>-14.566102578791465</c:v>
                </c:pt>
                <c:pt idx="257">
                  <c:v>-14.556081636339085</c:v>
                </c:pt>
                <c:pt idx="258">
                  <c:v>-14.048973316853466</c:v>
                </c:pt>
                <c:pt idx="259">
                  <c:v>-14.039849011667197</c:v>
                </c:pt>
                <c:pt idx="260">
                  <c:v>-14.136273923199683</c:v>
                </c:pt>
                <c:pt idx="261">
                  <c:v>-13.240659610482984</c:v>
                </c:pt>
                <c:pt idx="262">
                  <c:v>-13.312939693385191</c:v>
                </c:pt>
                <c:pt idx="263">
                  <c:v>-12.990866492804448</c:v>
                </c:pt>
                <c:pt idx="264">
                  <c:v>-12.83312239876088</c:v>
                </c:pt>
                <c:pt idx="265">
                  <c:v>-12.426563405252715</c:v>
                </c:pt>
                <c:pt idx="266">
                  <c:v>-12.295763264279953</c:v>
                </c:pt>
                <c:pt idx="267">
                  <c:v>-11.827344217851683</c:v>
                </c:pt>
                <c:pt idx="268">
                  <c:v>-12.014122223361845</c:v>
                </c:pt>
                <c:pt idx="269">
                  <c:v>-11.683138378677164</c:v>
                </c:pt>
                <c:pt idx="270">
                  <c:v>-11.815155368677161</c:v>
                </c:pt>
                <c:pt idx="271">
                  <c:v>-11.76505313843143</c:v>
                </c:pt>
                <c:pt idx="272">
                  <c:v>-11.933408356282881</c:v>
                </c:pt>
                <c:pt idx="273">
                  <c:v>-12.169475643700025</c:v>
                </c:pt>
                <c:pt idx="274">
                  <c:v>-11.970223767219032</c:v>
                </c:pt>
                <c:pt idx="275">
                  <c:v>-12.044917126976459</c:v>
                </c:pt>
                <c:pt idx="276">
                  <c:v>-12.433753952289644</c:v>
                </c:pt>
                <c:pt idx="277">
                  <c:v>-13.070036541725583</c:v>
                </c:pt>
                <c:pt idx="278">
                  <c:v>-12.895161290497947</c:v>
                </c:pt>
                <c:pt idx="279">
                  <c:v>-12.409005659952493</c:v>
                </c:pt>
                <c:pt idx="280">
                  <c:v>-12.946072423243843</c:v>
                </c:pt>
                <c:pt idx="281">
                  <c:v>-12.25097680825114</c:v>
                </c:pt>
                <c:pt idx="282">
                  <c:v>-11.608730870187935</c:v>
                </c:pt>
                <c:pt idx="283">
                  <c:v>-12.190475600075509</c:v>
                </c:pt>
                <c:pt idx="284">
                  <c:v>-11.640907831739671</c:v>
                </c:pt>
                <c:pt idx="285">
                  <c:v>-11.326955986231637</c:v>
                </c:pt>
                <c:pt idx="286">
                  <c:v>-10.541398017013416</c:v>
                </c:pt>
                <c:pt idx="287">
                  <c:v>-9.9977978847842586</c:v>
                </c:pt>
                <c:pt idx="288">
                  <c:v>-10.161346018919541</c:v>
                </c:pt>
                <c:pt idx="289">
                  <c:v>-10.331601222585412</c:v>
                </c:pt>
                <c:pt idx="290">
                  <c:v>-10.46178161868823</c:v>
                </c:pt>
                <c:pt idx="291">
                  <c:v>-10.241815761104586</c:v>
                </c:pt>
                <c:pt idx="292">
                  <c:v>-10.135139855792248</c:v>
                </c:pt>
                <c:pt idx="293">
                  <c:v>-9.8141063729837281</c:v>
                </c:pt>
                <c:pt idx="294">
                  <c:v>-9.7556691412070133</c:v>
                </c:pt>
                <c:pt idx="295">
                  <c:v>-10.251085861760503</c:v>
                </c:pt>
                <c:pt idx="296">
                  <c:v>-10.52962497848284</c:v>
                </c:pt>
                <c:pt idx="297">
                  <c:v>-10.04469565935768</c:v>
                </c:pt>
                <c:pt idx="298">
                  <c:v>-10.873614077842529</c:v>
                </c:pt>
                <c:pt idx="299">
                  <c:v>-11.141961398797985</c:v>
                </c:pt>
                <c:pt idx="300">
                  <c:v>-10.286567118959811</c:v>
                </c:pt>
                <c:pt idx="301">
                  <c:v>-8.8467321214812547</c:v>
                </c:pt>
                <c:pt idx="302">
                  <c:v>-10.047796965963181</c:v>
                </c:pt>
                <c:pt idx="303">
                  <c:v>-10.22450492380972</c:v>
                </c:pt>
                <c:pt idx="304">
                  <c:v>-9.7292398251572791</c:v>
                </c:pt>
                <c:pt idx="305">
                  <c:v>-10.275537220991751</c:v>
                </c:pt>
                <c:pt idx="306">
                  <c:v>-10.357948518666362</c:v>
                </c:pt>
                <c:pt idx="307">
                  <c:v>-11.03196909641208</c:v>
                </c:pt>
                <c:pt idx="308">
                  <c:v>-11.798963320232083</c:v>
                </c:pt>
                <c:pt idx="309">
                  <c:v>-11.091809436488704</c:v>
                </c:pt>
                <c:pt idx="310">
                  <c:v>-10.04099564187225</c:v>
                </c:pt>
                <c:pt idx="311">
                  <c:v>-9.1339034883408843</c:v>
                </c:pt>
                <c:pt idx="312">
                  <c:v>-8.1252589530521693</c:v>
                </c:pt>
                <c:pt idx="313">
                  <c:v>-9.248476838236483</c:v>
                </c:pt>
                <c:pt idx="314">
                  <c:v>-8.5523512376109743</c:v>
                </c:pt>
                <c:pt idx="315">
                  <c:v>-8.1902271718059723</c:v>
                </c:pt>
                <c:pt idx="316">
                  <c:v>-7.3281868016135192</c:v>
                </c:pt>
                <c:pt idx="317">
                  <c:v>-9.0266955487246303</c:v>
                </c:pt>
                <c:pt idx="318">
                  <c:v>-8.2241129329327389</c:v>
                </c:pt>
                <c:pt idx="319">
                  <c:v>-7.757695422348168</c:v>
                </c:pt>
                <c:pt idx="320">
                  <c:v>-8.5026183705523781</c:v>
                </c:pt>
                <c:pt idx="321">
                  <c:v>-9.1091551667341975</c:v>
                </c:pt>
                <c:pt idx="322">
                  <c:v>-9.5654565332707815</c:v>
                </c:pt>
                <c:pt idx="323">
                  <c:v>-10.089098141797438</c:v>
                </c:pt>
                <c:pt idx="324">
                  <c:v>-9.6046449887900973</c:v>
                </c:pt>
                <c:pt idx="325">
                  <c:v>-8.8310757546457275</c:v>
                </c:pt>
                <c:pt idx="326">
                  <c:v>-9.7613876776851818</c:v>
                </c:pt>
                <c:pt idx="327">
                  <c:v>-9.6269613121640525</c:v>
                </c:pt>
                <c:pt idx="328">
                  <c:v>-9.4512459065743499</c:v>
                </c:pt>
                <c:pt idx="329">
                  <c:v>-11.015369860918238</c:v>
                </c:pt>
                <c:pt idx="330">
                  <c:v>-11.322858695951204</c:v>
                </c:pt>
                <c:pt idx="331">
                  <c:v>-11.570724514220121</c:v>
                </c:pt>
                <c:pt idx="332">
                  <c:v>-11.657603169948278</c:v>
                </c:pt>
                <c:pt idx="333">
                  <c:v>-11.618699405742669</c:v>
                </c:pt>
                <c:pt idx="334">
                  <c:v>-11.84226500830686</c:v>
                </c:pt>
                <c:pt idx="335">
                  <c:v>-11.71078134665494</c:v>
                </c:pt>
                <c:pt idx="336">
                  <c:v>-11.9582293439734</c:v>
                </c:pt>
                <c:pt idx="337">
                  <c:v>-11.179704612954293</c:v>
                </c:pt>
                <c:pt idx="338">
                  <c:v>-10.988355417105396</c:v>
                </c:pt>
                <c:pt idx="339">
                  <c:v>-10.744616490672547</c:v>
                </c:pt>
                <c:pt idx="340">
                  <c:v>-10.822762550689172</c:v>
                </c:pt>
                <c:pt idx="341">
                  <c:v>-10.619519445387155</c:v>
                </c:pt>
                <c:pt idx="342">
                  <c:v>-10.04915419844963</c:v>
                </c:pt>
                <c:pt idx="343">
                  <c:v>-9.8838697868838086</c:v>
                </c:pt>
                <c:pt idx="344">
                  <c:v>-9.0471384794938619</c:v>
                </c:pt>
                <c:pt idx="345">
                  <c:v>-9.3783618212752309</c:v>
                </c:pt>
                <c:pt idx="346">
                  <c:v>-10.604427716339318</c:v>
                </c:pt>
                <c:pt idx="347">
                  <c:v>-10.521760782487437</c:v>
                </c:pt>
                <c:pt idx="348">
                  <c:v>-10.474359783149042</c:v>
                </c:pt>
                <c:pt idx="349">
                  <c:v>-10.387894841936578</c:v>
                </c:pt>
                <c:pt idx="350">
                  <c:v>-11.224792063630698</c:v>
                </c:pt>
                <c:pt idx="351">
                  <c:v>-10.924221817101071</c:v>
                </c:pt>
                <c:pt idx="352">
                  <c:v>-11.89693571290478</c:v>
                </c:pt>
                <c:pt idx="353">
                  <c:v>-12.590861778611892</c:v>
                </c:pt>
                <c:pt idx="354">
                  <c:v>-13.779275820327292</c:v>
                </c:pt>
                <c:pt idx="355">
                  <c:v>-13.983165538121579</c:v>
                </c:pt>
                <c:pt idx="356">
                  <c:v>-13.656746420055189</c:v>
                </c:pt>
                <c:pt idx="357">
                  <c:v>-14.0299412615537</c:v>
                </c:pt>
                <c:pt idx="358">
                  <c:v>-13.174598381512881</c:v>
                </c:pt>
                <c:pt idx="359">
                  <c:v>-14.33371858435072</c:v>
                </c:pt>
                <c:pt idx="360">
                  <c:v>-14.488975786317013</c:v>
                </c:pt>
                <c:pt idx="361">
                  <c:v>-15.192109625805902</c:v>
                </c:pt>
                <c:pt idx="362">
                  <c:v>-14.576255168323266</c:v>
                </c:pt>
                <c:pt idx="363">
                  <c:v>-14.361283973269598</c:v>
                </c:pt>
                <c:pt idx="364">
                  <c:v>-13.9905790492696</c:v>
                </c:pt>
                <c:pt idx="365">
                  <c:v>-13.951024731949952</c:v>
                </c:pt>
                <c:pt idx="366">
                  <c:v>-13.273168923971928</c:v>
                </c:pt>
                <c:pt idx="367">
                  <c:v>-13.752219011053619</c:v>
                </c:pt>
                <c:pt idx="368">
                  <c:v>-13.252659998670287</c:v>
                </c:pt>
                <c:pt idx="369">
                  <c:v>-14.089602456288063</c:v>
                </c:pt>
                <c:pt idx="370">
                  <c:v>-14.562634588519471</c:v>
                </c:pt>
                <c:pt idx="371">
                  <c:v>-14.790314111392266</c:v>
                </c:pt>
                <c:pt idx="372">
                  <c:v>-13.805364392952745</c:v>
                </c:pt>
                <c:pt idx="373">
                  <c:v>-14.399147920939875</c:v>
                </c:pt>
                <c:pt idx="374">
                  <c:v>-13.810356700952363</c:v>
                </c:pt>
                <c:pt idx="375">
                  <c:v>-12.595545372164809</c:v>
                </c:pt>
                <c:pt idx="376">
                  <c:v>-13.823786288906431</c:v>
                </c:pt>
                <c:pt idx="377">
                  <c:v>-14.999099865540872</c:v>
                </c:pt>
                <c:pt idx="378">
                  <c:v>-14.990994420122039</c:v>
                </c:pt>
                <c:pt idx="379">
                  <c:v>-14.928482682449458</c:v>
                </c:pt>
                <c:pt idx="380">
                  <c:v>-15.403066010491123</c:v>
                </c:pt>
                <c:pt idx="381">
                  <c:v>-15.276197005341745</c:v>
                </c:pt>
                <c:pt idx="382">
                  <c:v>-15.222597423814443</c:v>
                </c:pt>
                <c:pt idx="383">
                  <c:v>-14.658710174293315</c:v>
                </c:pt>
                <c:pt idx="384">
                  <c:v>-15.05762024397038</c:v>
                </c:pt>
                <c:pt idx="385">
                  <c:v>-14.905643947547041</c:v>
                </c:pt>
                <c:pt idx="386">
                  <c:v>-15.178121770501845</c:v>
                </c:pt>
                <c:pt idx="387">
                  <c:v>-15.439909757854787</c:v>
                </c:pt>
                <c:pt idx="388">
                  <c:v>-15.483589277096209</c:v>
                </c:pt>
                <c:pt idx="389">
                  <c:v>-15.346161269762876</c:v>
                </c:pt>
                <c:pt idx="390">
                  <c:v>-15.109620984899772</c:v>
                </c:pt>
                <c:pt idx="391">
                  <c:v>-14.981870683713142</c:v>
                </c:pt>
                <c:pt idx="392">
                  <c:v>-14.641482747513143</c:v>
                </c:pt>
                <c:pt idx="393">
                  <c:v>-14.25387419549727</c:v>
                </c:pt>
                <c:pt idx="394">
                  <c:v>-15.002624672661447</c:v>
                </c:pt>
                <c:pt idx="395">
                  <c:v>-14.363726984299957</c:v>
                </c:pt>
                <c:pt idx="396">
                  <c:v>-14.371480258821697</c:v>
                </c:pt>
                <c:pt idx="397">
                  <c:v>-14.286413402390929</c:v>
                </c:pt>
                <c:pt idx="398">
                  <c:v>-13.744665256748556</c:v>
                </c:pt>
                <c:pt idx="399">
                  <c:v>-13.480188978292485</c:v>
                </c:pt>
                <c:pt idx="400">
                  <c:v>-13.855860167449647</c:v>
                </c:pt>
                <c:pt idx="401">
                  <c:v>-13.323270703027601</c:v>
                </c:pt>
                <c:pt idx="402">
                  <c:v>-14.789834878030192</c:v>
                </c:pt>
                <c:pt idx="403">
                  <c:v>-13.720667629484737</c:v>
                </c:pt>
                <c:pt idx="404">
                  <c:v>-10.408974280933643</c:v>
                </c:pt>
                <c:pt idx="405">
                  <c:v>-12.119693132029646</c:v>
                </c:pt>
                <c:pt idx="406">
                  <c:v>-12.36835517859476</c:v>
                </c:pt>
                <c:pt idx="407">
                  <c:v>-11.351166961044079</c:v>
                </c:pt>
                <c:pt idx="408">
                  <c:v>-12.578559977295829</c:v>
                </c:pt>
                <c:pt idx="409">
                  <c:v>-11.615404117336645</c:v>
                </c:pt>
                <c:pt idx="410">
                  <c:v>-10.839405079006067</c:v>
                </c:pt>
                <c:pt idx="411">
                  <c:v>-10.695295537410976</c:v>
                </c:pt>
                <c:pt idx="412">
                  <c:v>-11.462267337819734</c:v>
                </c:pt>
                <c:pt idx="413">
                  <c:v>-11.347179342241631</c:v>
                </c:pt>
                <c:pt idx="414">
                  <c:v>-9.7156755311205512</c:v>
                </c:pt>
                <c:pt idx="415">
                  <c:v>-11.658702043971628</c:v>
                </c:pt>
                <c:pt idx="416">
                  <c:v>-8.9153089616748158</c:v>
                </c:pt>
                <c:pt idx="417">
                  <c:v>-10.556173082047215</c:v>
                </c:pt>
                <c:pt idx="418">
                  <c:v>-8.3959590324304489</c:v>
                </c:pt>
                <c:pt idx="419">
                  <c:v>-9.8144814336447332</c:v>
                </c:pt>
                <c:pt idx="420">
                  <c:v>-9.1183368920855248</c:v>
                </c:pt>
                <c:pt idx="421">
                  <c:v>-9.1524912275333499</c:v>
                </c:pt>
                <c:pt idx="422">
                  <c:v>-9.39375017630468</c:v>
                </c:pt>
                <c:pt idx="423">
                  <c:v>-8.907877426399244</c:v>
                </c:pt>
                <c:pt idx="424">
                  <c:v>-8.7172182076578117</c:v>
                </c:pt>
                <c:pt idx="425">
                  <c:v>-8.3259765031238313</c:v>
                </c:pt>
                <c:pt idx="426">
                  <c:v>-7.6892934767316214</c:v>
                </c:pt>
                <c:pt idx="427">
                  <c:v>-8.0062337570928257</c:v>
                </c:pt>
                <c:pt idx="428">
                  <c:v>-8.0730025403159136</c:v>
                </c:pt>
                <c:pt idx="429">
                  <c:v>-7.0456693130613655</c:v>
                </c:pt>
                <c:pt idx="430">
                  <c:v>-5.0880836951059827</c:v>
                </c:pt>
                <c:pt idx="431">
                  <c:v>-5.2944053980443471</c:v>
                </c:pt>
                <c:pt idx="432">
                  <c:v>-6.7313535502340738</c:v>
                </c:pt>
                <c:pt idx="433">
                  <c:v>-7.9622524678286677</c:v>
                </c:pt>
                <c:pt idx="434">
                  <c:v>-5.9013654425486655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7-4240-A510-E6F6F5BBC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810464"/>
        <c:axId val="177810048"/>
      </c:lineChart>
      <c:dateAx>
        <c:axId val="177810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10048"/>
        <c:crosses val="autoZero"/>
        <c:auto val="1"/>
        <c:lblOffset val="100"/>
        <c:baseTimeUnit val="days"/>
      </c:dateAx>
      <c:valAx>
        <c:axId val="17781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1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E5AA534-01CB-4650-B96E-A4972C409CF8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589A29-5BD5-413E-912B-455CA60913D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0.59799999999999998</v>
      </c>
      <c r="D2" s="4">
        <f>MIN(D3:D1912)</f>
        <v>0.03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0.31396000000000002</v>
      </c>
      <c r="C5">
        <v>0.31833</v>
      </c>
      <c r="D5">
        <v>0.30364999999999998</v>
      </c>
      <c r="E5">
        <v>0.30423</v>
      </c>
      <c r="F5">
        <v>25043523.899999999</v>
      </c>
      <c r="G5">
        <v>0.30423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-0.92098092643051443</v>
      </c>
      <c r="Q5">
        <f t="shared" ref="Q5" si="1">F5*P5</f>
        <v>-23064607.842506729</v>
      </c>
      <c r="R5">
        <f t="shared" ref="R5" si="2">R6+Q5</f>
        <v>-5090500128.6348839</v>
      </c>
      <c r="S5">
        <f t="shared" ref="S5" si="3">R5/100000</f>
        <v>-50905.001286348837</v>
      </c>
      <c r="T5">
        <f t="shared" ref="T5" si="4">S5/1000</f>
        <v>-50.905001286348835</v>
      </c>
    </row>
    <row r="6" spans="1:20" x14ac:dyDescent="0.25">
      <c r="A6" s="5">
        <v>44587</v>
      </c>
      <c r="B6">
        <v>0.31753999999999999</v>
      </c>
      <c r="C6">
        <v>0.36499999999999999</v>
      </c>
      <c r="D6">
        <v>0.30301</v>
      </c>
      <c r="E6">
        <v>0.31397999999999998</v>
      </c>
      <c r="F6">
        <v>574133413.70000005</v>
      </c>
      <c r="G6">
        <v>0.31397999999999998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-0.64607194708824067</v>
      </c>
      <c r="Q6">
        <f t="shared" ref="Q6" si="6">F6*P6</f>
        <v>-370931492.47757745</v>
      </c>
      <c r="R6">
        <f t="shared" ref="R6" si="7">R7+Q6</f>
        <v>-5067435520.7923775</v>
      </c>
      <c r="S6">
        <f t="shared" ref="S6" si="8">R6/100000</f>
        <v>-50674.355207923778</v>
      </c>
      <c r="T6">
        <f t="shared" ref="T6" si="9">S6/1000</f>
        <v>-50.674355207923774</v>
      </c>
    </row>
    <row r="7" spans="1:20" x14ac:dyDescent="0.25">
      <c r="A7" s="5">
        <v>44586</v>
      </c>
      <c r="B7">
        <v>0.32629000000000002</v>
      </c>
      <c r="C7">
        <v>0.33955000000000002</v>
      </c>
      <c r="D7">
        <v>0.30103999999999997</v>
      </c>
      <c r="E7">
        <v>0.31759999999999999</v>
      </c>
      <c r="F7">
        <v>457206259.10000002</v>
      </c>
      <c r="G7">
        <v>0.31759999999999999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-0.13996364580628406</v>
      </c>
      <c r="Q7">
        <f t="shared" ref="Q7" si="11">F7*P7</f>
        <v>-63992254.909088545</v>
      </c>
      <c r="R7">
        <f t="shared" ref="R7" si="12">R8+Q7</f>
        <v>-4696504028.3148003</v>
      </c>
      <c r="S7">
        <f t="shared" ref="S7" si="13">R7/100000</f>
        <v>-46965.040283148002</v>
      </c>
      <c r="T7">
        <f t="shared" ref="T7" si="14">S7/1000</f>
        <v>-46.965040283147999</v>
      </c>
    </row>
    <row r="8" spans="1:20" x14ac:dyDescent="0.25">
      <c r="A8" s="5">
        <v>44585</v>
      </c>
      <c r="B8">
        <v>0.35176000000000002</v>
      </c>
      <c r="C8">
        <v>0.35189999999999999</v>
      </c>
      <c r="D8">
        <v>0.28799999999999998</v>
      </c>
      <c r="E8">
        <v>0.32639000000000001</v>
      </c>
      <c r="F8">
        <v>637360254.5</v>
      </c>
      <c r="G8">
        <v>0.32639000000000001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0.20156494522691792</v>
      </c>
      <c r="Q8">
        <f t="shared" ref="Q8" si="16">F8*P8</f>
        <v>128469484.78810696</v>
      </c>
      <c r="R8">
        <f t="shared" ref="R8" si="17">R9+Q8</f>
        <v>-4632511773.4057121</v>
      </c>
      <c r="S8">
        <f t="shared" ref="S8" si="18">R8/100000</f>
        <v>-46325.117734057123</v>
      </c>
      <c r="T8">
        <f t="shared" ref="T8" si="19">S8/1000</f>
        <v>-46.325117734057123</v>
      </c>
    </row>
    <row r="9" spans="1:20" x14ac:dyDescent="0.25">
      <c r="A9" s="5">
        <v>44584</v>
      </c>
      <c r="B9">
        <v>0.30736000000000002</v>
      </c>
      <c r="C9">
        <v>0.37</v>
      </c>
      <c r="D9">
        <v>0.30457000000000001</v>
      </c>
      <c r="E9">
        <v>0.35176000000000002</v>
      </c>
      <c r="F9">
        <v>532235377.30000001</v>
      </c>
      <c r="G9">
        <v>0.35176000000000002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0.44245758826226556</v>
      </c>
      <c r="Q9">
        <f t="shared" ref="Q9" si="21">F9*P9</f>
        <v>235491581.42801496</v>
      </c>
      <c r="R9">
        <f t="shared" ref="R9" si="22">R10+Q9</f>
        <v>-4760981258.193819</v>
      </c>
      <c r="S9">
        <f t="shared" ref="S9" si="23">R9/100000</f>
        <v>-47609.812581938189</v>
      </c>
      <c r="T9">
        <f t="shared" ref="T9" si="24">S9/1000</f>
        <v>-47.609812581938186</v>
      </c>
    </row>
    <row r="10" spans="1:20" x14ac:dyDescent="0.25">
      <c r="A10" s="5">
        <v>44583</v>
      </c>
      <c r="B10">
        <v>0.36737999999999998</v>
      </c>
      <c r="C10">
        <v>0.38696000000000003</v>
      </c>
      <c r="D10">
        <v>0.28000000000000003</v>
      </c>
      <c r="E10">
        <v>0.30726999999999999</v>
      </c>
      <c r="F10">
        <v>810410456.79999995</v>
      </c>
      <c r="G10">
        <v>0.30726999999999999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-0.49008975317875914</v>
      </c>
      <c r="Q10">
        <f t="shared" ref="Q10" si="26">F10*P10</f>
        <v>-397173860.74659741</v>
      </c>
      <c r="R10">
        <f t="shared" ref="R10" si="27">R11+Q10</f>
        <v>-4996472839.6218338</v>
      </c>
      <c r="S10">
        <f t="shared" ref="S10" si="28">R10/100000</f>
        <v>-49964.728396218336</v>
      </c>
      <c r="T10">
        <f t="shared" ref="T10" si="29">S10/1000</f>
        <v>-49.964728396218334</v>
      </c>
    </row>
    <row r="11" spans="1:20" x14ac:dyDescent="0.25">
      <c r="A11" s="5">
        <v>44582</v>
      </c>
      <c r="B11">
        <v>0.42033999999999999</v>
      </c>
      <c r="C11">
        <v>0.43447999999999998</v>
      </c>
      <c r="D11">
        <v>0.35321999999999998</v>
      </c>
      <c r="E11">
        <v>0.36746000000000001</v>
      </c>
      <c r="F11">
        <v>567430727.39999998</v>
      </c>
      <c r="G11">
        <v>0.36746000000000001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-0.64952005906965227</v>
      </c>
      <c r="Q11">
        <f t="shared" ref="Q11" si="31">F11*P11</f>
        <v>-368557639.57878375</v>
      </c>
      <c r="R11">
        <f t="shared" ref="R11" si="32">R12+Q11</f>
        <v>-4599298978.8752365</v>
      </c>
      <c r="S11">
        <f t="shared" ref="S11" si="33">R11/100000</f>
        <v>-45992.989788752362</v>
      </c>
      <c r="T11">
        <f t="shared" ref="T11" si="34">S11/1000</f>
        <v>-45.992989788752361</v>
      </c>
    </row>
    <row r="12" spans="1:20" x14ac:dyDescent="0.25">
      <c r="A12" s="5">
        <v>44581</v>
      </c>
      <c r="B12">
        <v>0.45372000000000001</v>
      </c>
      <c r="C12">
        <v>0.48374</v>
      </c>
      <c r="D12">
        <v>0.41</v>
      </c>
      <c r="E12">
        <v>0.42050999999999999</v>
      </c>
      <c r="F12">
        <v>440370233.19999999</v>
      </c>
      <c r="G12">
        <v>0.42050999999999999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-0.71494439924057462</v>
      </c>
      <c r="Q12">
        <f t="shared" ref="Q12" si="36">F12*P12</f>
        <v>-314840231.81860572</v>
      </c>
      <c r="R12">
        <f t="shared" ref="R12" si="37">R13+Q12</f>
        <v>-4230741339.296453</v>
      </c>
      <c r="S12">
        <f t="shared" ref="S12" si="38">R12/100000</f>
        <v>-42307.413392964532</v>
      </c>
      <c r="T12">
        <f t="shared" ref="T12" si="39">S12/1000</f>
        <v>-42.307413392964534</v>
      </c>
    </row>
    <row r="13" spans="1:20" x14ac:dyDescent="0.25">
      <c r="A13" s="5">
        <v>44580</v>
      </c>
      <c r="B13">
        <v>0.48203000000000001</v>
      </c>
      <c r="C13">
        <v>0.51422999999999996</v>
      </c>
      <c r="D13">
        <v>0.45166000000000001</v>
      </c>
      <c r="E13">
        <v>0.45373999999999998</v>
      </c>
      <c r="F13">
        <v>409861369.80000001</v>
      </c>
      <c r="G13">
        <v>0.45373999999999998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-0.93351446380054426</v>
      </c>
      <c r="Q13">
        <f t="shared" ref="Q13" si="41">F13*P13</f>
        <v>-382611516.86140358</v>
      </c>
      <c r="R13">
        <f t="shared" ref="R13" si="42">R14+Q13</f>
        <v>-3915901107.4778471</v>
      </c>
      <c r="S13">
        <f t="shared" ref="S13" si="43">R13/100000</f>
        <v>-39159.011074778471</v>
      </c>
      <c r="T13">
        <f t="shared" ref="T13" si="44">S13/1000</f>
        <v>-39.159011074778469</v>
      </c>
    </row>
    <row r="14" spans="1:20" x14ac:dyDescent="0.25">
      <c r="A14" s="5">
        <v>44579</v>
      </c>
      <c r="B14">
        <v>0.49736999999999998</v>
      </c>
      <c r="C14">
        <v>0.53349999999999997</v>
      </c>
      <c r="D14">
        <v>0.45855000000000001</v>
      </c>
      <c r="E14">
        <v>0.48225000000000001</v>
      </c>
      <c r="F14">
        <v>429748234.19999999</v>
      </c>
      <c r="G14">
        <v>0.48225000000000001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-0.3675783855903933</v>
      </c>
      <c r="Q14">
        <f t="shared" ref="Q14" si="46">F14*P14</f>
        <v>-157966162.13755825</v>
      </c>
      <c r="R14">
        <f t="shared" ref="R14" si="47">R15+Q14</f>
        <v>-3533289590.6164436</v>
      </c>
      <c r="S14">
        <f t="shared" ref="S14" si="48">R14/100000</f>
        <v>-35332.895906164435</v>
      </c>
      <c r="T14">
        <f t="shared" ref="T14" si="49">S14/1000</f>
        <v>-35.332895906164431</v>
      </c>
    </row>
    <row r="15" spans="1:20" x14ac:dyDescent="0.25">
      <c r="A15" s="5">
        <v>44578</v>
      </c>
      <c r="B15">
        <v>0.52300000000000002</v>
      </c>
      <c r="C15">
        <v>0.54835999999999996</v>
      </c>
      <c r="D15">
        <v>0.48352000000000001</v>
      </c>
      <c r="E15">
        <v>0.49739</v>
      </c>
      <c r="F15">
        <v>453788159</v>
      </c>
      <c r="G15">
        <v>0.49739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-0.57217766810610726</v>
      </c>
      <c r="Q15">
        <f t="shared" ref="Q15" si="51">F15*P15</f>
        <v>-259647450.63078344</v>
      </c>
      <c r="R15">
        <f t="shared" ref="R15" si="52">R16+Q15</f>
        <v>-3375323428.4788852</v>
      </c>
      <c r="S15">
        <f t="shared" ref="S15" si="53">R15/100000</f>
        <v>-33753.23428478885</v>
      </c>
      <c r="T15">
        <f t="shared" ref="T15" si="54">S15/1000</f>
        <v>-33.753234284788853</v>
      </c>
    </row>
    <row r="16" spans="1:20" x14ac:dyDescent="0.25">
      <c r="A16" s="5">
        <v>44577</v>
      </c>
      <c r="B16">
        <v>0.56528</v>
      </c>
      <c r="C16">
        <v>0.56742999999999999</v>
      </c>
      <c r="D16">
        <v>0.51722999999999997</v>
      </c>
      <c r="E16">
        <v>0.52278000000000002</v>
      </c>
      <c r="F16">
        <v>328109344.69999999</v>
      </c>
      <c r="G16">
        <v>0.52278000000000002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-0.77888446215139229</v>
      </c>
      <c r="Q16">
        <f t="shared" ref="Q16" si="56">F16*P16</f>
        <v>-255559270.47350526</v>
      </c>
      <c r="R16">
        <f t="shared" ref="R16" si="57">R17+Q16</f>
        <v>-3115675977.8481016</v>
      </c>
      <c r="S16">
        <f t="shared" ref="S16" si="58">R16/100000</f>
        <v>-31156.759778481017</v>
      </c>
      <c r="T16">
        <f t="shared" ref="T16" si="59">S16/1000</f>
        <v>-31.156759778481018</v>
      </c>
    </row>
    <row r="17" spans="1:20" x14ac:dyDescent="0.25">
      <c r="A17" s="5">
        <v>44576</v>
      </c>
      <c r="B17">
        <v>0.56535999999999997</v>
      </c>
      <c r="C17">
        <v>0.59799999999999998</v>
      </c>
      <c r="D17">
        <v>0.55322000000000005</v>
      </c>
      <c r="E17">
        <v>0.56528999999999996</v>
      </c>
      <c r="F17">
        <v>336583782</v>
      </c>
      <c r="G17">
        <v>0.56528999999999996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-0.46092005359535809</v>
      </c>
      <c r="Q17">
        <f t="shared" ref="Q17" si="61">F17*P17</f>
        <v>-155138214.83876833</v>
      </c>
      <c r="R17">
        <f t="shared" ref="R17" si="62">R18+Q17</f>
        <v>-2860116707.3745966</v>
      </c>
      <c r="S17">
        <f t="shared" ref="S17" si="63">R17/100000</f>
        <v>-28601.167073745964</v>
      </c>
      <c r="T17">
        <f t="shared" ref="T17" si="64">S17/1000</f>
        <v>-28.601167073745966</v>
      </c>
    </row>
    <row r="18" spans="1:20" x14ac:dyDescent="0.25">
      <c r="A18" s="5">
        <v>44575</v>
      </c>
      <c r="B18">
        <v>0.49456</v>
      </c>
      <c r="C18">
        <v>0.58053999999999994</v>
      </c>
      <c r="D18">
        <v>0.47660000000000002</v>
      </c>
      <c r="E18">
        <v>0.56535999999999997</v>
      </c>
      <c r="F18">
        <v>480356717.10000002</v>
      </c>
      <c r="G18">
        <v>0.56535999999999997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0.70790840869732574</v>
      </c>
      <c r="Q18">
        <f t="shared" ref="Q18" si="66">F18*P18</f>
        <v>340048559.20933253</v>
      </c>
      <c r="R18">
        <f t="shared" ref="R18" si="67">R19+Q18</f>
        <v>-2704978492.5358281</v>
      </c>
      <c r="S18">
        <f t="shared" ref="S18" si="68">R18/100000</f>
        <v>-27049.784925358283</v>
      </c>
      <c r="T18">
        <f t="shared" ref="T18" si="69">S18/1000</f>
        <v>-27.049784925358281</v>
      </c>
    </row>
    <row r="19" spans="1:20" x14ac:dyDescent="0.25">
      <c r="A19" s="5">
        <v>44574</v>
      </c>
      <c r="B19">
        <v>0.51934000000000002</v>
      </c>
      <c r="C19">
        <v>0.53896999999999995</v>
      </c>
      <c r="D19">
        <v>0.47633999999999999</v>
      </c>
      <c r="E19">
        <v>0.49504999999999999</v>
      </c>
      <c r="F19">
        <v>462846718.89999998</v>
      </c>
      <c r="G19">
        <v>0.49504999999999999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-0.40252275267443666</v>
      </c>
      <c r="Q19">
        <f t="shared" ref="Q19" si="71">F19*P19</f>
        <v>-186306335.35795921</v>
      </c>
      <c r="R19">
        <f t="shared" ref="R19" si="72">R20+Q19</f>
        <v>-3045027051.7451606</v>
      </c>
      <c r="S19">
        <f t="shared" ref="S19" si="73">R19/100000</f>
        <v>-30450.270517451605</v>
      </c>
      <c r="T19">
        <f t="shared" ref="T19" si="74">S19/1000</f>
        <v>-30.450270517451607</v>
      </c>
    </row>
    <row r="20" spans="1:20" x14ac:dyDescent="0.25">
      <c r="A20" s="5">
        <v>44573</v>
      </c>
      <c r="B20">
        <v>0.44852999999999998</v>
      </c>
      <c r="C20">
        <v>0.53700000000000003</v>
      </c>
      <c r="D20">
        <v>0.44320999999999999</v>
      </c>
      <c r="E20">
        <v>0.51949999999999996</v>
      </c>
      <c r="F20">
        <v>803182055.39999998</v>
      </c>
      <c r="G20">
        <v>0.51949999999999996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0.62682588762128022</v>
      </c>
      <c r="Q20">
        <f t="shared" ref="Q20" si="76">F20*P20</f>
        <v>503455304.79758924</v>
      </c>
      <c r="R20">
        <f t="shared" ref="R20" si="77">R21+Q20</f>
        <v>-2858720716.3872013</v>
      </c>
      <c r="S20">
        <f t="shared" ref="S20" si="78">R20/100000</f>
        <v>-28587.207163872012</v>
      </c>
      <c r="T20">
        <f t="shared" ref="T20" si="79">S20/1000</f>
        <v>-28.587207163872012</v>
      </c>
    </row>
    <row r="21" spans="1:20" x14ac:dyDescent="0.25">
      <c r="A21" s="5">
        <v>44572</v>
      </c>
      <c r="B21">
        <v>0.36116999999999999</v>
      </c>
      <c r="C21">
        <v>0.45</v>
      </c>
      <c r="D21">
        <v>0.36087999999999998</v>
      </c>
      <c r="E21">
        <v>0.44857999999999998</v>
      </c>
      <c r="F21">
        <v>581300975.39999998</v>
      </c>
      <c r="G21">
        <v>0.44857999999999998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0.96813285457809628</v>
      </c>
      <c r="Q21">
        <f t="shared" ref="Q21" si="81">F21*P21</f>
        <v>562776572.6830337</v>
      </c>
      <c r="R21">
        <f t="shared" ref="R21" si="82">R22+Q21</f>
        <v>-3362176021.1847906</v>
      </c>
      <c r="S21">
        <f t="shared" ref="S21" si="83">R21/100000</f>
        <v>-33621.760211847904</v>
      </c>
      <c r="T21">
        <f t="shared" ref="T21" si="84">S21/1000</f>
        <v>-33.621760211847906</v>
      </c>
    </row>
    <row r="22" spans="1:20" x14ac:dyDescent="0.25">
      <c r="A22" s="5">
        <v>44571</v>
      </c>
      <c r="B22">
        <v>0.33851999999999999</v>
      </c>
      <c r="C22">
        <v>0.36980000000000002</v>
      </c>
      <c r="D22">
        <v>0.30314999999999998</v>
      </c>
      <c r="E22">
        <v>0.36120000000000002</v>
      </c>
      <c r="F22">
        <v>310596740.60000002</v>
      </c>
      <c r="G22">
        <v>0.36120000000000002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0.74193548387096797</v>
      </c>
      <c r="Q22">
        <f t="shared" ref="Q22" si="86">F22*P22</f>
        <v>230442743.02580655</v>
      </c>
      <c r="R22">
        <f t="shared" ref="R22" si="87">R23+Q22</f>
        <v>-3924952593.8678241</v>
      </c>
      <c r="S22">
        <f t="shared" ref="S22" si="88">R22/100000</f>
        <v>-39249.525938678242</v>
      </c>
      <c r="T22">
        <f t="shared" ref="T22" si="89">S22/1000</f>
        <v>-39.249525938678239</v>
      </c>
    </row>
    <row r="23" spans="1:20" x14ac:dyDescent="0.25">
      <c r="A23" s="5">
        <v>44570</v>
      </c>
      <c r="B23">
        <v>0.34310000000000002</v>
      </c>
      <c r="C23">
        <v>0.34899999999999998</v>
      </c>
      <c r="D23">
        <v>0.31830000000000003</v>
      </c>
      <c r="E23">
        <v>0.33851999999999999</v>
      </c>
      <c r="F23">
        <v>215396043</v>
      </c>
      <c r="G23">
        <v>0.33851999999999999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0.31726384364820803</v>
      </c>
      <c r="Q23">
        <f t="shared" ref="Q23" si="91">F23*P23</f>
        <v>68337376.508794695</v>
      </c>
      <c r="R23">
        <f t="shared" ref="R23" si="92">R24+Q23</f>
        <v>-4155395336.8936305</v>
      </c>
      <c r="S23">
        <f t="shared" ref="S23" si="93">R23/100000</f>
        <v>-41553.953368936302</v>
      </c>
      <c r="T23">
        <f t="shared" ref="T23" si="94">S23/1000</f>
        <v>-41.553953368936298</v>
      </c>
    </row>
    <row r="24" spans="1:20" x14ac:dyDescent="0.25">
      <c r="A24" s="5">
        <v>44569</v>
      </c>
      <c r="B24">
        <v>0.35758000000000001</v>
      </c>
      <c r="C24">
        <v>0.38700000000000001</v>
      </c>
      <c r="D24">
        <v>0.33300000000000002</v>
      </c>
      <c r="E24">
        <v>0.34321000000000002</v>
      </c>
      <c r="F24">
        <v>230446331.69999999</v>
      </c>
      <c r="G24">
        <v>0.34321000000000002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-0.62185185185185188</v>
      </c>
      <c r="Q24">
        <f t="shared" ref="Q24" si="96">F24*P24</f>
        <v>-143303478.12011111</v>
      </c>
      <c r="R24">
        <f t="shared" ref="R24" si="97">R25+Q24</f>
        <v>-4223732713.4024253</v>
      </c>
      <c r="S24">
        <f t="shared" ref="S24" si="98">R24/100000</f>
        <v>-42237.32713402425</v>
      </c>
      <c r="T24">
        <f t="shared" ref="T24" si="99">S24/1000</f>
        <v>-42.237327134024248</v>
      </c>
    </row>
    <row r="25" spans="1:20" x14ac:dyDescent="0.25">
      <c r="A25" s="5">
        <v>44568</v>
      </c>
      <c r="B25">
        <v>0.39722000000000002</v>
      </c>
      <c r="C25">
        <v>0.40028999999999998</v>
      </c>
      <c r="D25">
        <v>0.35</v>
      </c>
      <c r="E25">
        <v>0.35780000000000001</v>
      </c>
      <c r="F25">
        <v>256546519.90000001</v>
      </c>
      <c r="G25">
        <v>0.35780000000000001</v>
      </c>
      <c r="L25" t="s">
        <v>7</v>
      </c>
      <c r="M25" t="s">
        <v>8</v>
      </c>
      <c r="N25" t="s">
        <v>8</v>
      </c>
      <c r="P25">
        <f t="shared" ref="P25" si="100">IF(C25=D25,0,((E25-D25)-(C25-E25))/(C25-D25))</f>
        <v>-0.68979916484390424</v>
      </c>
      <c r="Q25">
        <f t="shared" ref="Q25" si="101">F25*P25</f>
        <v>-176965575.17063007</v>
      </c>
      <c r="R25">
        <f t="shared" ref="R25" si="102">R26+Q25</f>
        <v>-4080429235.2823143</v>
      </c>
      <c r="S25">
        <f t="shared" ref="S25" si="103">R25/100000</f>
        <v>-40804.29235282314</v>
      </c>
      <c r="T25">
        <f t="shared" ref="T25" si="104">S25/1000</f>
        <v>-40.80429235282314</v>
      </c>
    </row>
    <row r="26" spans="1:20" x14ac:dyDescent="0.25">
      <c r="A26" s="5">
        <v>44567</v>
      </c>
      <c r="B26">
        <v>0.38421</v>
      </c>
      <c r="C26">
        <v>0.40755000000000002</v>
      </c>
      <c r="D26">
        <v>0.35537000000000002</v>
      </c>
      <c r="E26">
        <v>0.39731</v>
      </c>
      <c r="F26">
        <v>297635661</v>
      </c>
      <c r="G26">
        <v>0.39731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0.60751245688002964</v>
      </c>
      <c r="Q26">
        <f t="shared" ref="Q26" si="106">F26*P26</f>
        <v>180817371.66922161</v>
      </c>
      <c r="R26">
        <f t="shared" ref="R26" si="107">R27+Q26</f>
        <v>-3903463660.1116843</v>
      </c>
      <c r="S26">
        <f t="shared" ref="S26" si="108">R26/100000</f>
        <v>-39034.636601116843</v>
      </c>
      <c r="T26">
        <f t="shared" ref="T26" si="109">S26/1000</f>
        <v>-39.034636601116844</v>
      </c>
    </row>
    <row r="27" spans="1:20" x14ac:dyDescent="0.25">
      <c r="A27" s="5">
        <v>44566</v>
      </c>
      <c r="B27">
        <v>0.40237000000000001</v>
      </c>
      <c r="C27">
        <v>0.42566999999999999</v>
      </c>
      <c r="D27">
        <v>0.34111000000000002</v>
      </c>
      <c r="E27">
        <v>0.38413999999999998</v>
      </c>
      <c r="F27">
        <v>271800363.60000002</v>
      </c>
      <c r="G27">
        <v>0.38413999999999998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1.7738883632922735E-2</v>
      </c>
      <c r="Q27">
        <f t="shared" ref="Q27" si="111">F27*P27</f>
        <v>4821435.0212864885</v>
      </c>
      <c r="R27">
        <f t="shared" ref="R27" si="112">R28+Q27</f>
        <v>-4084281031.7809057</v>
      </c>
      <c r="S27">
        <f t="shared" ref="S27" si="113">R27/100000</f>
        <v>-40842.810317809061</v>
      </c>
      <c r="T27">
        <f t="shared" ref="T27" si="114">S27/1000</f>
        <v>-40.842810317809061</v>
      </c>
    </row>
    <row r="28" spans="1:20" x14ac:dyDescent="0.25">
      <c r="A28" s="5">
        <v>44565</v>
      </c>
      <c r="B28">
        <v>0.42599999999999999</v>
      </c>
      <c r="C28">
        <v>0.44791999999999998</v>
      </c>
      <c r="D28">
        <v>0.4</v>
      </c>
      <c r="E28">
        <v>0.40237000000000001</v>
      </c>
      <c r="F28">
        <v>190748524.30000001</v>
      </c>
      <c r="G28">
        <v>0.40237000000000001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-0.90108514190317257</v>
      </c>
      <c r="Q28">
        <f t="shared" ref="Q28" si="116">F28*P28</f>
        <v>-171880661.08668628</v>
      </c>
      <c r="R28">
        <f t="shared" ref="R28" si="117">R29+Q28</f>
        <v>-4089102466.8021922</v>
      </c>
      <c r="S28">
        <f t="shared" ref="S28" si="118">R28/100000</f>
        <v>-40891.024668021921</v>
      </c>
      <c r="T28">
        <f t="shared" ref="T28" si="119">S28/1000</f>
        <v>-40.89102466802192</v>
      </c>
    </row>
    <row r="29" spans="1:20" x14ac:dyDescent="0.25">
      <c r="A29" s="5">
        <v>44564</v>
      </c>
      <c r="B29">
        <v>0.4158</v>
      </c>
      <c r="C29">
        <v>0.44009999999999999</v>
      </c>
      <c r="D29">
        <v>0.39005000000000001</v>
      </c>
      <c r="E29">
        <v>0.42599999999999999</v>
      </c>
      <c r="F29">
        <v>257422381.90000001</v>
      </c>
      <c r="G29">
        <v>0.42599999999999999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0.43656343656343632</v>
      </c>
      <c r="Q29">
        <f t="shared" ref="Q29" si="121">F29*P29</f>
        <v>112381199.69060934</v>
      </c>
      <c r="R29">
        <f t="shared" ref="R29" si="122">R30+Q29</f>
        <v>-3917221805.7155061</v>
      </c>
      <c r="S29">
        <f t="shared" ref="S29" si="123">R29/100000</f>
        <v>-39172.218057155063</v>
      </c>
      <c r="T29">
        <f t="shared" ref="T29" si="124">S29/1000</f>
        <v>-39.172218057155064</v>
      </c>
    </row>
    <row r="30" spans="1:20" x14ac:dyDescent="0.25">
      <c r="A30" s="5">
        <v>44563</v>
      </c>
      <c r="B30">
        <v>0.44562000000000002</v>
      </c>
      <c r="C30">
        <v>0.44736999999999999</v>
      </c>
      <c r="D30">
        <v>0.40622999999999998</v>
      </c>
      <c r="E30">
        <v>0.41586000000000001</v>
      </c>
      <c r="F30">
        <v>199745363.69999999</v>
      </c>
      <c r="G30">
        <v>0.41586000000000001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-0.53184248906173914</v>
      </c>
      <c r="Q30">
        <f t="shared" ref="Q30" si="126">F30*P30</f>
        <v>-106233071.40875036</v>
      </c>
      <c r="R30">
        <f t="shared" ref="R30" si="127">R31+Q30</f>
        <v>-4029603005.4061155</v>
      </c>
      <c r="S30">
        <f t="shared" ref="S30" si="128">R30/100000</f>
        <v>-40296.030054061157</v>
      </c>
      <c r="T30">
        <f t="shared" ref="T30" si="129">S30/1000</f>
        <v>-40.296030054061156</v>
      </c>
    </row>
    <row r="31" spans="1:20" x14ac:dyDescent="0.25">
      <c r="A31" s="5">
        <v>44562</v>
      </c>
      <c r="B31">
        <v>0.42793999999999999</v>
      </c>
      <c r="C31">
        <v>0.4546</v>
      </c>
      <c r="D31">
        <v>0.42537000000000003</v>
      </c>
      <c r="E31">
        <v>0.44563000000000003</v>
      </c>
      <c r="F31">
        <v>260690354</v>
      </c>
      <c r="G31">
        <v>0.44563000000000003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0.38624700650017213</v>
      </c>
      <c r="Q31">
        <f t="shared" ref="Q31" si="131">F31*P31</f>
        <v>100690868.85597017</v>
      </c>
      <c r="R31">
        <f t="shared" ref="R31" si="132">R32+Q31</f>
        <v>-3923369933.997365</v>
      </c>
      <c r="S31">
        <f t="shared" ref="S31" si="133">R31/100000</f>
        <v>-39233.699339973653</v>
      </c>
      <c r="T31">
        <f t="shared" ref="T31" si="134">S31/1000</f>
        <v>-39.233699339973654</v>
      </c>
    </row>
    <row r="32" spans="1:20" x14ac:dyDescent="0.25">
      <c r="A32" s="5">
        <v>44561</v>
      </c>
      <c r="B32">
        <v>0.41304000000000002</v>
      </c>
      <c r="C32">
        <v>0.44440000000000002</v>
      </c>
      <c r="D32">
        <v>0.39141999999999999</v>
      </c>
      <c r="E32">
        <v>0.42792000000000002</v>
      </c>
      <c r="F32">
        <v>328968506.69999999</v>
      </c>
      <c r="G32">
        <v>0.42792000000000002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0.37787844469611226</v>
      </c>
      <c r="Q32">
        <f t="shared" ref="Q32" si="136">F32*P32</f>
        <v>124310107.66579857</v>
      </c>
      <c r="R32">
        <f t="shared" ref="R32" si="137">R33+Q32</f>
        <v>-4024060802.8533354</v>
      </c>
      <c r="S32">
        <f t="shared" ref="S32" si="138">R32/100000</f>
        <v>-40240.608028533352</v>
      </c>
      <c r="T32">
        <f t="shared" ref="T32" si="139">S32/1000</f>
        <v>-40.240608028533352</v>
      </c>
    </row>
    <row r="33" spans="1:20" x14ac:dyDescent="0.25">
      <c r="A33" s="5">
        <v>44560</v>
      </c>
      <c r="B33">
        <v>0.37787999999999999</v>
      </c>
      <c r="C33">
        <v>0.42899999999999999</v>
      </c>
      <c r="D33">
        <v>0.36002000000000001</v>
      </c>
      <c r="E33">
        <v>0.41308</v>
      </c>
      <c r="F33">
        <v>322123420.19999999</v>
      </c>
      <c r="G33">
        <v>0.41308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0.53841693244418687</v>
      </c>
      <c r="Q33">
        <f t="shared" ref="Q33" si="141">F33*P33</f>
        <v>173436703.77251381</v>
      </c>
      <c r="R33">
        <f t="shared" ref="R33" si="142">R34+Q33</f>
        <v>-4148370910.519134</v>
      </c>
      <c r="S33">
        <f t="shared" ref="S33" si="143">R33/100000</f>
        <v>-41483.709105191338</v>
      </c>
      <c r="T33">
        <f t="shared" ref="T33" si="144">S33/1000</f>
        <v>-41.483709105191338</v>
      </c>
    </row>
    <row r="34" spans="1:20" x14ac:dyDescent="0.25">
      <c r="A34" s="5">
        <v>44559</v>
      </c>
      <c r="B34">
        <v>0.34055999999999997</v>
      </c>
      <c r="C34">
        <v>0.40639999999999998</v>
      </c>
      <c r="D34">
        <v>0.34044999999999997</v>
      </c>
      <c r="E34">
        <v>0.37785000000000002</v>
      </c>
      <c r="F34">
        <v>429645407.80000001</v>
      </c>
      <c r="G34">
        <v>0.37785000000000002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0.13419257012888672</v>
      </c>
      <c r="Q34">
        <f t="shared" ref="Q34" si="146">F34*P34</f>
        <v>57655221.516755633</v>
      </c>
      <c r="R34">
        <f t="shared" ref="R34" si="147">R35+Q34</f>
        <v>-4321807614.2916479</v>
      </c>
      <c r="S34">
        <f t="shared" ref="S34" si="148">R34/100000</f>
        <v>-43218.076142916478</v>
      </c>
      <c r="T34">
        <f t="shared" ref="T34" si="149">S34/1000</f>
        <v>-43.21807614291648</v>
      </c>
    </row>
    <row r="35" spans="1:20" x14ac:dyDescent="0.25">
      <c r="A35" s="5">
        <v>44558</v>
      </c>
      <c r="B35">
        <v>0.34192</v>
      </c>
      <c r="C35">
        <v>0.37082999999999999</v>
      </c>
      <c r="D35">
        <v>0.32745999999999997</v>
      </c>
      <c r="E35">
        <v>0.34086</v>
      </c>
      <c r="F35">
        <v>225776899.59999999</v>
      </c>
      <c r="G35">
        <v>0.34086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-0.38206133271846821</v>
      </c>
      <c r="Q35">
        <f t="shared" ref="Q35" si="151">F35*P35</f>
        <v>-86260623.158219784</v>
      </c>
      <c r="R35">
        <f t="shared" ref="R35" si="152">R36+Q35</f>
        <v>-4379462835.808404</v>
      </c>
      <c r="S35">
        <f t="shared" ref="S35" si="153">R35/100000</f>
        <v>-43794.628358084039</v>
      </c>
      <c r="T35">
        <f t="shared" ref="T35" si="154">S35/1000</f>
        <v>-43.79462835808404</v>
      </c>
    </row>
    <row r="36" spans="1:20" x14ac:dyDescent="0.25">
      <c r="A36" s="5">
        <v>44557</v>
      </c>
      <c r="B36">
        <v>0.36823</v>
      </c>
      <c r="C36">
        <v>0.38556000000000001</v>
      </c>
      <c r="D36">
        <v>0.34097</v>
      </c>
      <c r="E36">
        <v>0.34192</v>
      </c>
      <c r="F36">
        <v>210921680.40000001</v>
      </c>
      <c r="G36">
        <v>0.34192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-0.95738954922628361</v>
      </c>
      <c r="Q36">
        <f t="shared" ref="Q36" si="156">F36*P36</f>
        <v>-201934212.52020627</v>
      </c>
      <c r="R36">
        <f t="shared" ref="R36" si="157">R37+Q36</f>
        <v>-4293202212.6501846</v>
      </c>
      <c r="S36">
        <f t="shared" ref="S36" si="158">R36/100000</f>
        <v>-42932.022126501848</v>
      </c>
      <c r="T36">
        <f t="shared" ref="T36" si="159">S36/1000</f>
        <v>-42.932022126501849</v>
      </c>
    </row>
    <row r="37" spans="1:20" x14ac:dyDescent="0.25">
      <c r="A37" s="5">
        <v>44556</v>
      </c>
      <c r="B37">
        <v>0.34197</v>
      </c>
      <c r="C37">
        <v>0.38</v>
      </c>
      <c r="D37">
        <v>0.31333</v>
      </c>
      <c r="E37">
        <v>0.36803999999999998</v>
      </c>
      <c r="F37">
        <v>332595201.80000001</v>
      </c>
      <c r="G37">
        <v>0.36803999999999998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0.64121793910304414</v>
      </c>
      <c r="Q37">
        <f t="shared" ref="Q37" si="161">F37*P37</f>
        <v>213266009.85375708</v>
      </c>
      <c r="R37">
        <f t="shared" ref="R37" si="162">R38+Q37</f>
        <v>-4091268000.1299782</v>
      </c>
      <c r="S37">
        <f t="shared" ref="S37" si="163">R37/100000</f>
        <v>-40912.680001299785</v>
      </c>
      <c r="T37">
        <f t="shared" ref="T37" si="164">S37/1000</f>
        <v>-40.912680001299783</v>
      </c>
    </row>
    <row r="38" spans="1:20" x14ac:dyDescent="0.25">
      <c r="A38" s="5">
        <v>44555</v>
      </c>
      <c r="B38">
        <v>0.30501</v>
      </c>
      <c r="C38">
        <v>0.35499999999999998</v>
      </c>
      <c r="D38">
        <v>0.30326999999999998</v>
      </c>
      <c r="E38">
        <v>0.34177999999999997</v>
      </c>
      <c r="F38">
        <v>210069054</v>
      </c>
      <c r="G38">
        <v>0.34177999999999997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0.48888459307945059</v>
      </c>
      <c r="Q38">
        <f t="shared" ref="Q38" si="166">F38*P38</f>
        <v>102699523.98337513</v>
      </c>
      <c r="R38">
        <f t="shared" ref="R38" si="167">R39+Q38</f>
        <v>-4304534009.9837351</v>
      </c>
      <c r="S38">
        <f t="shared" ref="S38" si="168">R38/100000</f>
        <v>-43045.340099837347</v>
      </c>
      <c r="T38">
        <f t="shared" ref="T38" si="169">S38/1000</f>
        <v>-43.045340099837347</v>
      </c>
    </row>
    <row r="39" spans="1:20" x14ac:dyDescent="0.25">
      <c r="A39" s="5">
        <v>44554</v>
      </c>
      <c r="B39">
        <v>0.31777</v>
      </c>
      <c r="C39">
        <v>0.32984000000000002</v>
      </c>
      <c r="D39">
        <v>0.30002000000000001</v>
      </c>
      <c r="E39">
        <v>0.30499999999999999</v>
      </c>
      <c r="F39">
        <v>154886808.30000001</v>
      </c>
      <c r="G39">
        <v>0.30499999999999999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-0.66599597585513193</v>
      </c>
      <c r="Q39">
        <f t="shared" ref="Q39" si="171">F39*P39</f>
        <v>-103153991.04084526</v>
      </c>
      <c r="R39">
        <f t="shared" ref="R39" si="172">R40+Q39</f>
        <v>-4407233533.9671106</v>
      </c>
      <c r="S39">
        <f t="shared" ref="S39" si="173">R39/100000</f>
        <v>-44072.335339671103</v>
      </c>
      <c r="T39">
        <f t="shared" ref="T39" si="174">S39/1000</f>
        <v>-44.072335339671106</v>
      </c>
    </row>
    <row r="40" spans="1:20" x14ac:dyDescent="0.25">
      <c r="A40" s="5">
        <v>44553</v>
      </c>
      <c r="B40">
        <v>0.26995999999999998</v>
      </c>
      <c r="C40">
        <v>0.32999000000000001</v>
      </c>
      <c r="D40">
        <v>0.26601000000000002</v>
      </c>
      <c r="E40">
        <v>0.31779000000000002</v>
      </c>
      <c r="F40">
        <v>297297631.39999998</v>
      </c>
      <c r="G40">
        <v>0.31779000000000002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0.61863082213191645</v>
      </c>
      <c r="Q40">
        <f t="shared" ref="Q40" si="176">F40*P40</f>
        <v>183917478.13085344</v>
      </c>
      <c r="R40">
        <f t="shared" ref="R40" si="177">R41+Q40</f>
        <v>-4304079542.9262657</v>
      </c>
      <c r="S40">
        <f t="shared" ref="S40" si="178">R40/100000</f>
        <v>-43040.79542926266</v>
      </c>
      <c r="T40">
        <f t="shared" ref="T40" si="179">S40/1000</f>
        <v>-43.040795429262658</v>
      </c>
    </row>
    <row r="41" spans="1:20" x14ac:dyDescent="0.25">
      <c r="A41" s="5">
        <v>44552</v>
      </c>
      <c r="B41">
        <v>0.26146000000000003</v>
      </c>
      <c r="C41">
        <v>0.28599999999999998</v>
      </c>
      <c r="D41">
        <v>0.25846999999999998</v>
      </c>
      <c r="E41">
        <v>0.26995999999999998</v>
      </c>
      <c r="F41">
        <v>142005554.80000001</v>
      </c>
      <c r="G41">
        <v>0.26995999999999998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-0.16527424627678891</v>
      </c>
      <c r="Q41">
        <f t="shared" ref="Q41" si="181">F41*P41</f>
        <v>-23469861.036687247</v>
      </c>
      <c r="R41">
        <f t="shared" ref="R41" si="182">R42+Q41</f>
        <v>-4487997021.0571194</v>
      </c>
      <c r="S41">
        <f t="shared" ref="S41" si="183">R41/100000</f>
        <v>-44879.970210571191</v>
      </c>
      <c r="T41">
        <f t="shared" ref="T41" si="184">S41/1000</f>
        <v>-44.879970210571194</v>
      </c>
    </row>
    <row r="42" spans="1:20" x14ac:dyDescent="0.25">
      <c r="A42" s="5">
        <v>44551</v>
      </c>
      <c r="B42">
        <v>0.25192999999999999</v>
      </c>
      <c r="C42">
        <v>0.26500000000000001</v>
      </c>
      <c r="D42">
        <v>0.24199999999999999</v>
      </c>
      <c r="E42">
        <v>0.26146000000000003</v>
      </c>
      <c r="F42">
        <v>121410774.40000001</v>
      </c>
      <c r="G42">
        <v>0.26146000000000003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0.69217391304347964</v>
      </c>
      <c r="Q42">
        <f t="shared" ref="Q42" si="186">F42*P42</f>
        <v>84037370.802087128</v>
      </c>
      <c r="R42">
        <f t="shared" ref="R42" si="187">R43+Q42</f>
        <v>-4464527160.0204325</v>
      </c>
      <c r="S42">
        <f t="shared" ref="S42" si="188">R42/100000</f>
        <v>-44645.271600204323</v>
      </c>
      <c r="T42">
        <f t="shared" ref="T42" si="189">S42/1000</f>
        <v>-44.645271600204325</v>
      </c>
    </row>
    <row r="43" spans="1:20" x14ac:dyDescent="0.25">
      <c r="A43" s="5">
        <v>44550</v>
      </c>
      <c r="B43">
        <v>0.26278000000000001</v>
      </c>
      <c r="C43">
        <v>0.26534999999999997</v>
      </c>
      <c r="D43">
        <v>0.23899999999999999</v>
      </c>
      <c r="E43">
        <v>0.25194</v>
      </c>
      <c r="F43">
        <v>147455930.90000001</v>
      </c>
      <c r="G43">
        <v>0.25194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-1.7836812144211414E-2</v>
      </c>
      <c r="Q43">
        <f t="shared" ref="Q43" si="191">F43*P43</f>
        <v>-2630143.7390131191</v>
      </c>
      <c r="R43">
        <f t="shared" ref="R43" si="192">R44+Q43</f>
        <v>-4548564530.8225193</v>
      </c>
      <c r="S43">
        <f t="shared" ref="S43" si="193">R43/100000</f>
        <v>-45485.64530822519</v>
      </c>
      <c r="T43">
        <f t="shared" ref="T43" si="194">S43/1000</f>
        <v>-45.485645308225187</v>
      </c>
    </row>
    <row r="44" spans="1:20" x14ac:dyDescent="0.25">
      <c r="A44" s="5">
        <v>44549</v>
      </c>
      <c r="B44">
        <v>0.26236999999999999</v>
      </c>
      <c r="C44">
        <v>0.27700000000000002</v>
      </c>
      <c r="D44">
        <v>0.25614999999999999</v>
      </c>
      <c r="E44">
        <v>0.26273999999999997</v>
      </c>
      <c r="F44">
        <v>113393509.7</v>
      </c>
      <c r="G44">
        <v>0.26273999999999997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-0.36786570743405528</v>
      </c>
      <c r="Q44">
        <f t="shared" ref="Q44" si="196">F44*P44</f>
        <v>-41713583.664220907</v>
      </c>
      <c r="R44">
        <f t="shared" ref="R44" si="197">R45+Q44</f>
        <v>-4545934387.0835066</v>
      </c>
      <c r="S44">
        <f t="shared" ref="S44" si="198">R44/100000</f>
        <v>-45459.343870835066</v>
      </c>
      <c r="T44">
        <f t="shared" ref="T44" si="199">S44/1000</f>
        <v>-45.459343870835063</v>
      </c>
    </row>
    <row r="45" spans="1:20" x14ac:dyDescent="0.25">
      <c r="A45" s="5">
        <v>44548</v>
      </c>
      <c r="B45">
        <v>0.25298999999999999</v>
      </c>
      <c r="C45">
        <v>0.27</v>
      </c>
      <c r="D45">
        <v>0.24445</v>
      </c>
      <c r="E45">
        <v>0.26235000000000003</v>
      </c>
      <c r="F45">
        <v>105803384.3</v>
      </c>
      <c r="G45">
        <v>0.26235000000000003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0.40117416829745717</v>
      </c>
      <c r="Q45">
        <f t="shared" ref="Q45" si="201">F45*P45</f>
        <v>42445584.699608736</v>
      </c>
      <c r="R45">
        <f t="shared" ref="R45" si="202">R46+Q45</f>
        <v>-4504220803.4192858</v>
      </c>
      <c r="S45">
        <f t="shared" ref="S45" si="203">R45/100000</f>
        <v>-45042.208034192859</v>
      </c>
      <c r="T45">
        <f t="shared" ref="T45" si="204">S45/1000</f>
        <v>-45.042208034192861</v>
      </c>
    </row>
    <row r="46" spans="1:20" x14ac:dyDescent="0.25">
      <c r="A46" s="5">
        <v>44547</v>
      </c>
      <c r="B46">
        <v>0.25977</v>
      </c>
      <c r="C46">
        <v>0.26900000000000002</v>
      </c>
      <c r="D46">
        <v>0.24435000000000001</v>
      </c>
      <c r="E46">
        <v>0.25333</v>
      </c>
      <c r="F46">
        <v>141497550.19999999</v>
      </c>
      <c r="G46">
        <v>0.25333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-0.27139959432048794</v>
      </c>
      <c r="Q46">
        <f t="shared" ref="Q46" si="206">F46*P46</f>
        <v>-38402377.721622877</v>
      </c>
      <c r="R46">
        <f t="shared" ref="R46" si="207">R47+Q46</f>
        <v>-4546666388.1188946</v>
      </c>
      <c r="S46">
        <f t="shared" ref="S46" si="208">R46/100000</f>
        <v>-45466.663881188942</v>
      </c>
      <c r="T46">
        <f t="shared" ref="T46" si="209">S46/1000</f>
        <v>-45.466663881188943</v>
      </c>
    </row>
    <row r="47" spans="1:20" x14ac:dyDescent="0.25">
      <c r="A47" s="5">
        <v>44546</v>
      </c>
      <c r="B47">
        <v>0.27378000000000002</v>
      </c>
      <c r="C47">
        <v>0.28584999999999999</v>
      </c>
      <c r="D47">
        <v>0.25823000000000002</v>
      </c>
      <c r="E47">
        <v>0.25975999999999999</v>
      </c>
      <c r="F47">
        <v>178862748.69999999</v>
      </c>
      <c r="G47">
        <v>0.25975999999999999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-0.88921071687183362</v>
      </c>
      <c r="Q47">
        <f t="shared" ref="Q47" si="211">F47*P47</f>
        <v>-159046672.99319363</v>
      </c>
      <c r="R47">
        <f t="shared" ref="R47" si="212">R48+Q47</f>
        <v>-4508264010.3972721</v>
      </c>
      <c r="S47">
        <f t="shared" ref="S47" si="213">R47/100000</f>
        <v>-45082.640103972721</v>
      </c>
      <c r="T47">
        <f t="shared" ref="T47" si="214">S47/1000</f>
        <v>-45.082640103972722</v>
      </c>
    </row>
    <row r="48" spans="1:20" x14ac:dyDescent="0.25">
      <c r="A48" s="5">
        <v>44545</v>
      </c>
      <c r="B48">
        <v>0.27656999999999998</v>
      </c>
      <c r="C48">
        <v>0.28399999999999997</v>
      </c>
      <c r="D48">
        <v>0.25</v>
      </c>
      <c r="E48">
        <v>0.27377000000000001</v>
      </c>
      <c r="F48">
        <v>237965657.59999999</v>
      </c>
      <c r="G48">
        <v>0.27377000000000001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0.39823529411764891</v>
      </c>
      <c r="Q48">
        <f t="shared" ref="Q48" si="216">F48*P48</f>
        <v>94766323.64423573</v>
      </c>
      <c r="R48">
        <f t="shared" ref="R48" si="217">R49+Q48</f>
        <v>-4349217337.4040785</v>
      </c>
      <c r="S48">
        <f t="shared" ref="S48" si="218">R48/100000</f>
        <v>-43492.173374040787</v>
      </c>
      <c r="T48">
        <f t="shared" ref="T48" si="219">S48/1000</f>
        <v>-43.492173374040789</v>
      </c>
    </row>
    <row r="49" spans="1:20" x14ac:dyDescent="0.25">
      <c r="A49" s="5">
        <v>44544</v>
      </c>
      <c r="B49">
        <v>0.2727</v>
      </c>
      <c r="C49">
        <v>0.314</v>
      </c>
      <c r="D49">
        <v>0.25968999999999998</v>
      </c>
      <c r="E49">
        <v>0.27659</v>
      </c>
      <c r="F49">
        <v>308810647.30000001</v>
      </c>
      <c r="G49">
        <v>0.27659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-0.37764684220217204</v>
      </c>
      <c r="Q49">
        <f t="shared" ref="Q49" si="221">F49*P49</f>
        <v>-116621365.79125372</v>
      </c>
      <c r="R49">
        <f t="shared" ref="R49" si="222">R50+Q49</f>
        <v>-4443983661.0483141</v>
      </c>
      <c r="S49">
        <f t="shared" ref="S49" si="223">R49/100000</f>
        <v>-44439.836610483144</v>
      </c>
      <c r="T49">
        <f t="shared" ref="T49" si="224">S49/1000</f>
        <v>-44.439836610483141</v>
      </c>
    </row>
    <row r="50" spans="1:20" x14ac:dyDescent="0.25">
      <c r="A50" s="5">
        <v>44543</v>
      </c>
      <c r="B50">
        <v>0.29665000000000002</v>
      </c>
      <c r="C50">
        <v>0.34398000000000001</v>
      </c>
      <c r="D50">
        <v>0.25900000000000001</v>
      </c>
      <c r="E50">
        <v>0.27237</v>
      </c>
      <c r="F50">
        <v>525611155</v>
      </c>
      <c r="G50">
        <v>0.27237</v>
      </c>
      <c r="L50" t="s">
        <v>8</v>
      </c>
      <c r="M50" t="s">
        <v>8</v>
      </c>
      <c r="N50" t="s">
        <v>8</v>
      </c>
      <c r="P50">
        <f t="shared" ref="P50" si="225">IF(C50=D50,0,((E50-D50)-(C50-E50))/(C50-D50))</f>
        <v>-0.68533772652388814</v>
      </c>
      <c r="Q50">
        <f t="shared" ref="Q50" si="226">F50*P50</f>
        <v>-360221154.003295</v>
      </c>
      <c r="R50">
        <f t="shared" ref="R50" si="227">R51+Q50</f>
        <v>-4327362295.2570601</v>
      </c>
      <c r="S50">
        <f t="shared" ref="S50" si="228">R50/100000</f>
        <v>-43273.6229525706</v>
      </c>
      <c r="T50">
        <f t="shared" ref="T50" si="229">S50/1000</f>
        <v>-43.273622952570598</v>
      </c>
    </row>
    <row r="51" spans="1:20" x14ac:dyDescent="0.25">
      <c r="A51" s="5">
        <v>44542</v>
      </c>
      <c r="B51">
        <v>0.26236999999999999</v>
      </c>
      <c r="C51">
        <v>0.31586999999999998</v>
      </c>
      <c r="D51">
        <v>0.25750000000000001</v>
      </c>
      <c r="E51">
        <v>0.29670999999999997</v>
      </c>
      <c r="F51">
        <v>268802240.80000001</v>
      </c>
      <c r="G51">
        <v>0.29670999999999997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0.34349837245160125</v>
      </c>
      <c r="Q51">
        <f t="shared" ref="Q51" si="231">F51*P51</f>
        <v>92333132.226143405</v>
      </c>
      <c r="R51">
        <f t="shared" ref="R51" si="232">R52+Q51</f>
        <v>-3967141141.2537651</v>
      </c>
      <c r="S51">
        <f t="shared" ref="S51" si="233">R51/100000</f>
        <v>-39671.411412537651</v>
      </c>
      <c r="T51">
        <f t="shared" ref="T51" si="234">S51/1000</f>
        <v>-39.671411412537651</v>
      </c>
    </row>
    <row r="52" spans="1:20" x14ac:dyDescent="0.25">
      <c r="A52" s="5">
        <v>44541</v>
      </c>
      <c r="B52">
        <v>0.23366000000000001</v>
      </c>
      <c r="C52">
        <v>0.24021000000000001</v>
      </c>
      <c r="D52">
        <v>0.23078000000000001</v>
      </c>
      <c r="E52">
        <v>0.23810000000000001</v>
      </c>
      <c r="F52">
        <v>4830118.5999999996</v>
      </c>
      <c r="G52">
        <v>0.23810000000000001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0.55249204665959661</v>
      </c>
      <c r="Q52">
        <f t="shared" ref="Q52" si="236">F52*P52</f>
        <v>2668602.1109225852</v>
      </c>
      <c r="R52">
        <f t="shared" ref="R52" si="237">R53+Q52</f>
        <v>-4059474273.4799085</v>
      </c>
      <c r="S52">
        <f t="shared" ref="S52" si="238">R52/100000</f>
        <v>-40594.742734799082</v>
      </c>
      <c r="T52">
        <f t="shared" ref="T52" si="239">S52/1000</f>
        <v>-40.594742734799084</v>
      </c>
    </row>
    <row r="53" spans="1:20" x14ac:dyDescent="0.25">
      <c r="A53" s="5">
        <v>44540</v>
      </c>
      <c r="B53">
        <v>0.24063999999999999</v>
      </c>
      <c r="C53">
        <v>0.26200000000000001</v>
      </c>
      <c r="D53">
        <v>0.22974</v>
      </c>
      <c r="E53">
        <v>0.23408999999999999</v>
      </c>
      <c r="F53">
        <v>125567395.90000001</v>
      </c>
      <c r="G53">
        <v>0.23408999999999999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-0.73031618102913876</v>
      </c>
      <c r="Q53">
        <f t="shared" ref="Q53" si="241">F53*P53</f>
        <v>-91703901.035461947</v>
      </c>
      <c r="R53">
        <f t="shared" ref="R53" si="242">R54+Q53</f>
        <v>-4062142875.5908313</v>
      </c>
      <c r="S53">
        <f t="shared" ref="S53" si="243">R53/100000</f>
        <v>-40621.42875590831</v>
      </c>
      <c r="T53">
        <f t="shared" ref="T53" si="244">S53/1000</f>
        <v>-40.621428755908312</v>
      </c>
    </row>
    <row r="54" spans="1:20" x14ac:dyDescent="0.25">
      <c r="A54" s="5">
        <v>44539</v>
      </c>
      <c r="B54">
        <v>0.26445999999999997</v>
      </c>
      <c r="C54">
        <v>0.26654</v>
      </c>
      <c r="D54">
        <v>0.23361000000000001</v>
      </c>
      <c r="E54">
        <v>0.24091000000000001</v>
      </c>
      <c r="F54">
        <v>143024289.59999999</v>
      </c>
      <c r="G54">
        <v>0.24091000000000001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-0.55663528697236542</v>
      </c>
      <c r="Q54">
        <f t="shared" ref="Q54" si="246">F54*P54</f>
        <v>-79612366.4855147</v>
      </c>
      <c r="R54">
        <f t="shared" ref="R54" si="247">R55+Q54</f>
        <v>-3970438974.5553694</v>
      </c>
      <c r="S54">
        <f t="shared" ref="S54" si="248">R54/100000</f>
        <v>-39704.389745553694</v>
      </c>
      <c r="T54">
        <f t="shared" ref="T54" si="249">S54/1000</f>
        <v>-39.704389745553691</v>
      </c>
    </row>
    <row r="55" spans="1:20" x14ac:dyDescent="0.25">
      <c r="A55" s="5">
        <v>44538</v>
      </c>
      <c r="B55">
        <v>0.25457999999999997</v>
      </c>
      <c r="C55">
        <v>0.27500000000000002</v>
      </c>
      <c r="D55">
        <v>0.23499999999999999</v>
      </c>
      <c r="E55">
        <v>0.26445999999999997</v>
      </c>
      <c r="F55">
        <v>186765245.69999999</v>
      </c>
      <c r="G55">
        <v>0.26445999999999997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0.47299999999999798</v>
      </c>
      <c r="Q55">
        <f t="shared" ref="Q55" si="251">F55*P55</f>
        <v>88339961.21609962</v>
      </c>
      <c r="R55">
        <f t="shared" ref="R55" si="252">R56+Q55</f>
        <v>-3890826608.0698547</v>
      </c>
      <c r="S55">
        <f t="shared" ref="S55" si="253">R55/100000</f>
        <v>-38908.266080698544</v>
      </c>
      <c r="T55">
        <f t="shared" ref="T55" si="254">S55/1000</f>
        <v>-38.908266080698546</v>
      </c>
    </row>
    <row r="56" spans="1:20" x14ac:dyDescent="0.25">
      <c r="A56" s="5">
        <v>44537</v>
      </c>
      <c r="B56">
        <v>0.25913999999999998</v>
      </c>
      <c r="C56">
        <v>0.2787</v>
      </c>
      <c r="D56">
        <v>0.24518999999999999</v>
      </c>
      <c r="E56">
        <v>0.25451000000000001</v>
      </c>
      <c r="F56">
        <v>192153224.69999999</v>
      </c>
      <c r="G56">
        <v>0.25451000000000001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-0.44374813488510778</v>
      </c>
      <c r="Q56">
        <f t="shared" ref="Q56" si="256">F56*P56</f>
        <v>-85267635.072784021</v>
      </c>
      <c r="R56">
        <f t="shared" ref="R56" si="257">R57+Q56</f>
        <v>-3979166569.2859545</v>
      </c>
      <c r="S56">
        <f t="shared" ref="S56" si="258">R56/100000</f>
        <v>-39791.665692859548</v>
      </c>
      <c r="T56">
        <f t="shared" ref="T56" si="259">S56/1000</f>
        <v>-39.791665692859546</v>
      </c>
    </row>
    <row r="57" spans="1:20" x14ac:dyDescent="0.25">
      <c r="A57" s="5">
        <v>44536</v>
      </c>
      <c r="B57">
        <v>0.24449000000000001</v>
      </c>
      <c r="C57">
        <v>0.26945999999999998</v>
      </c>
      <c r="D57">
        <v>0.20457</v>
      </c>
      <c r="E57">
        <v>0.25921</v>
      </c>
      <c r="F57">
        <v>285508658.30000001</v>
      </c>
      <c r="G57">
        <v>0.25921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0.68408075204191754</v>
      </c>
      <c r="Q57">
        <f t="shared" ref="Q57" si="261">F57*P57</f>
        <v>195310977.68434286</v>
      </c>
      <c r="R57">
        <f t="shared" ref="R57" si="262">R58+Q57</f>
        <v>-3893898934.2131705</v>
      </c>
      <c r="S57">
        <f t="shared" ref="S57" si="263">R57/100000</f>
        <v>-38938.989342131703</v>
      </c>
      <c r="T57">
        <f t="shared" ref="T57" si="264">S57/1000</f>
        <v>-38.938989342131705</v>
      </c>
    </row>
    <row r="58" spans="1:20" x14ac:dyDescent="0.25">
      <c r="A58" s="5">
        <v>44535</v>
      </c>
      <c r="B58">
        <v>0.27376</v>
      </c>
      <c r="C58">
        <v>0.28064</v>
      </c>
      <c r="D58">
        <v>0.23579</v>
      </c>
      <c r="E58">
        <v>0.24432999999999999</v>
      </c>
      <c r="F58">
        <v>181847079.30000001</v>
      </c>
      <c r="G58">
        <v>0.24432999999999999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-0.61917502787068046</v>
      </c>
      <c r="Q58">
        <f t="shared" ref="Q58" si="266">F58*P58</f>
        <v>-112595170.39377935</v>
      </c>
      <c r="R58">
        <f t="shared" ref="R58" si="267">R59+Q58</f>
        <v>-4089209911.8975134</v>
      </c>
      <c r="S58">
        <f t="shared" ref="S58" si="268">R58/100000</f>
        <v>-40892.099118975137</v>
      </c>
      <c r="T58">
        <f t="shared" ref="T58" si="269">S58/1000</f>
        <v>-40.892099118975139</v>
      </c>
    </row>
    <row r="59" spans="1:20" x14ac:dyDescent="0.25">
      <c r="A59" s="5">
        <v>44534</v>
      </c>
      <c r="B59">
        <v>0.31335000000000002</v>
      </c>
      <c r="C59">
        <v>0.31464999999999999</v>
      </c>
      <c r="D59">
        <v>0.22886999999999999</v>
      </c>
      <c r="E59">
        <v>0.27395999999999998</v>
      </c>
      <c r="F59">
        <v>280667170.69999999</v>
      </c>
      <c r="G59">
        <v>0.27395999999999998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5.1294007927255622E-2</v>
      </c>
      <c r="Q59">
        <f t="shared" ref="Q59" si="271">F59*P59</f>
        <v>14396544.078806207</v>
      </c>
      <c r="R59">
        <f t="shared" ref="R59" si="272">R60+Q59</f>
        <v>-3976614741.5037341</v>
      </c>
      <c r="S59">
        <f t="shared" ref="S59" si="273">R59/100000</f>
        <v>-39766.14741503734</v>
      </c>
      <c r="T59">
        <f t="shared" ref="T59" si="274">S59/1000</f>
        <v>-39.766147415037338</v>
      </c>
    </row>
    <row r="60" spans="1:20" x14ac:dyDescent="0.25">
      <c r="A60" s="5">
        <v>44533</v>
      </c>
      <c r="B60">
        <v>0.33254</v>
      </c>
      <c r="C60">
        <v>0.36487000000000003</v>
      </c>
      <c r="D60">
        <v>0.30199999999999999</v>
      </c>
      <c r="E60">
        <v>0.31336000000000003</v>
      </c>
      <c r="F60">
        <v>318570866.30000001</v>
      </c>
      <c r="G60">
        <v>0.31336000000000003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-0.63861937331000385</v>
      </c>
      <c r="Q60">
        <f t="shared" ref="Q60" si="276">F60*P60</f>
        <v>-203445526.99133104</v>
      </c>
      <c r="R60">
        <f t="shared" ref="R60" si="277">R61+Q60</f>
        <v>-3991011285.5825405</v>
      </c>
      <c r="S60">
        <f t="shared" ref="S60" si="278">R60/100000</f>
        <v>-39910.112855825406</v>
      </c>
      <c r="T60">
        <f t="shared" ref="T60" si="279">S60/1000</f>
        <v>-39.910112855825403</v>
      </c>
    </row>
    <row r="61" spans="1:20" x14ac:dyDescent="0.25">
      <c r="A61" s="5">
        <v>44532</v>
      </c>
      <c r="B61">
        <v>0.31331999999999999</v>
      </c>
      <c r="C61">
        <v>0.33899000000000001</v>
      </c>
      <c r="D61">
        <v>0.29743000000000003</v>
      </c>
      <c r="E61">
        <v>0.33252999999999999</v>
      </c>
      <c r="F61">
        <v>175851117.90000001</v>
      </c>
      <c r="G61">
        <v>0.33252999999999999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0.68912415784407977</v>
      </c>
      <c r="Q61">
        <f t="shared" ref="Q61" si="281">F61*P61</f>
        <v>121183253.52877748</v>
      </c>
      <c r="R61">
        <f t="shared" ref="R61" si="282">R62+Q61</f>
        <v>-3787565758.5912094</v>
      </c>
      <c r="S61">
        <f t="shared" ref="S61" si="283">R61/100000</f>
        <v>-37875.657585912093</v>
      </c>
      <c r="T61">
        <f t="shared" ref="T61" si="284">S61/1000</f>
        <v>-37.875657585912094</v>
      </c>
    </row>
    <row r="62" spans="1:20" x14ac:dyDescent="0.25">
      <c r="A62" s="5">
        <v>44531</v>
      </c>
      <c r="B62">
        <v>0.30409999999999998</v>
      </c>
      <c r="C62">
        <v>0.33201000000000003</v>
      </c>
      <c r="D62">
        <v>0.30123</v>
      </c>
      <c r="E62">
        <v>0.31330000000000002</v>
      </c>
      <c r="F62">
        <v>166793344.80000001</v>
      </c>
      <c r="G62">
        <v>0.31330000000000002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-0.21572449642624994</v>
      </c>
      <c r="Q62">
        <f t="shared" ref="Q62" si="286">F62*P62</f>
        <v>-35981410.314229876</v>
      </c>
      <c r="R62">
        <f t="shared" ref="R62" si="287">R63+Q62</f>
        <v>-3908749012.119987</v>
      </c>
      <c r="S62">
        <f t="shared" ref="S62" si="288">R62/100000</f>
        <v>-39087.490121199873</v>
      </c>
      <c r="T62">
        <f t="shared" ref="T62" si="289">S62/1000</f>
        <v>-39.08749012119987</v>
      </c>
    </row>
    <row r="63" spans="1:20" x14ac:dyDescent="0.25">
      <c r="A63" s="5">
        <v>44530</v>
      </c>
      <c r="B63">
        <v>0.33</v>
      </c>
      <c r="C63">
        <v>0.34897</v>
      </c>
      <c r="D63">
        <v>0.30004999999999998</v>
      </c>
      <c r="E63">
        <v>0.30398999999999998</v>
      </c>
      <c r="F63">
        <v>260574176.40000001</v>
      </c>
      <c r="G63">
        <v>0.30398999999999998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-0.83892068683565013</v>
      </c>
      <c r="Q63">
        <f t="shared" ref="Q63" si="291">F63*P63</f>
        <v>-218601067.03712186</v>
      </c>
      <c r="R63">
        <f t="shared" ref="R63" si="292">R64+Q63</f>
        <v>-3872767601.805757</v>
      </c>
      <c r="S63">
        <f t="shared" ref="S63" si="293">R63/100000</f>
        <v>-38727.676018057573</v>
      </c>
      <c r="T63">
        <f t="shared" ref="T63" si="294">S63/1000</f>
        <v>-38.727676018057572</v>
      </c>
    </row>
    <row r="64" spans="1:20" x14ac:dyDescent="0.25">
      <c r="A64" s="5">
        <v>44529</v>
      </c>
      <c r="B64">
        <v>0.32946999999999999</v>
      </c>
      <c r="C64">
        <v>0.35758000000000001</v>
      </c>
      <c r="D64">
        <v>0.30109999999999998</v>
      </c>
      <c r="E64">
        <v>0.33017000000000002</v>
      </c>
      <c r="F64">
        <v>250127675.90000001</v>
      </c>
      <c r="G64">
        <v>0.33017000000000002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2.9390934844193511E-2</v>
      </c>
      <c r="Q64">
        <f t="shared" ref="Q64" si="296">F64*P64</f>
        <v>7351486.2251064517</v>
      </c>
      <c r="R64">
        <f t="shared" ref="R64" si="297">R65+Q64</f>
        <v>-3654166534.7686353</v>
      </c>
      <c r="S64">
        <f t="shared" ref="S64" si="298">R64/100000</f>
        <v>-36541.66534768635</v>
      </c>
      <c r="T64">
        <f t="shared" ref="T64" si="299">S64/1000</f>
        <v>-36.541665347686347</v>
      </c>
    </row>
    <row r="65" spans="1:20" x14ac:dyDescent="0.25">
      <c r="A65" s="5">
        <v>44528</v>
      </c>
      <c r="B65">
        <v>0.30629000000000001</v>
      </c>
      <c r="C65">
        <v>0.35475000000000001</v>
      </c>
      <c r="D65">
        <v>0.27082000000000001</v>
      </c>
      <c r="E65">
        <v>0.32924999999999999</v>
      </c>
      <c r="F65">
        <v>267870141.19999999</v>
      </c>
      <c r="G65">
        <v>0.32924999999999999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0.39235076849755696</v>
      </c>
      <c r="Q65">
        <f t="shared" ref="Q65" si="301">F65*P65</f>
        <v>105099055.75736909</v>
      </c>
      <c r="R65">
        <f t="shared" ref="R65" si="302">R66+Q65</f>
        <v>-3661518020.9937415</v>
      </c>
      <c r="S65">
        <f t="shared" ref="S65" si="303">R65/100000</f>
        <v>-36615.180209937418</v>
      </c>
      <c r="T65">
        <f t="shared" ref="T65" si="304">S65/1000</f>
        <v>-36.615180209937421</v>
      </c>
    </row>
    <row r="66" spans="1:20" x14ac:dyDescent="0.25">
      <c r="A66" s="5">
        <v>44527</v>
      </c>
      <c r="B66">
        <v>0.31913000000000002</v>
      </c>
      <c r="C66">
        <v>0.34297</v>
      </c>
      <c r="D66">
        <v>0.30145</v>
      </c>
      <c r="E66">
        <v>0.30630000000000002</v>
      </c>
      <c r="F66">
        <v>151855460.40000001</v>
      </c>
      <c r="G66">
        <v>0.30630000000000002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-0.76637764932562524</v>
      </c>
      <c r="Q66">
        <f t="shared" ref="Q66" si="306">F66*P66</f>
        <v>-116378630.77861257</v>
      </c>
      <c r="R66">
        <f t="shared" ref="R66" si="307">R67+Q66</f>
        <v>-3766617076.7511106</v>
      </c>
      <c r="S66">
        <f t="shared" ref="S66" si="308">R66/100000</f>
        <v>-37666.170767511103</v>
      </c>
      <c r="T66">
        <f t="shared" ref="T66" si="309">S66/1000</f>
        <v>-37.666170767511105</v>
      </c>
    </row>
    <row r="67" spans="1:20" x14ac:dyDescent="0.25">
      <c r="A67" s="5">
        <v>44526</v>
      </c>
      <c r="B67">
        <v>0.36201</v>
      </c>
      <c r="C67">
        <v>0.36398000000000003</v>
      </c>
      <c r="D67">
        <v>0.29699999999999999</v>
      </c>
      <c r="E67">
        <v>0.31853999999999999</v>
      </c>
      <c r="F67">
        <v>327945952.80000001</v>
      </c>
      <c r="G67">
        <v>0.31853999999999999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-0.35682293221857297</v>
      </c>
      <c r="Q67">
        <f t="shared" ref="Q67" si="311">F67*P67</f>
        <v>-117018636.48730974</v>
      </c>
      <c r="R67">
        <f t="shared" ref="R67" si="312">R68+Q67</f>
        <v>-3650238445.9724979</v>
      </c>
      <c r="S67">
        <f t="shared" ref="S67" si="313">R67/100000</f>
        <v>-36502.384459724977</v>
      </c>
      <c r="T67">
        <f t="shared" ref="T67" si="314">S67/1000</f>
        <v>-36.502384459724979</v>
      </c>
    </row>
    <row r="68" spans="1:20" x14ac:dyDescent="0.25">
      <c r="A68" s="5">
        <v>44525</v>
      </c>
      <c r="B68">
        <v>0.39171</v>
      </c>
      <c r="C68">
        <v>0.40375</v>
      </c>
      <c r="D68">
        <v>0.35930000000000001</v>
      </c>
      <c r="E68">
        <v>0.36209000000000002</v>
      </c>
      <c r="F68">
        <v>289742983.69999999</v>
      </c>
      <c r="G68">
        <v>0.36209000000000002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-0.87446569178852573</v>
      </c>
      <c r="Q68">
        <f t="shared" ref="Q68" si="316">F68*P68</f>
        <v>-253370298.68209201</v>
      </c>
      <c r="R68">
        <f t="shared" ref="R68" si="317">R69+Q68</f>
        <v>-3533219809.485188</v>
      </c>
      <c r="S68">
        <f t="shared" ref="S68" si="318">R68/100000</f>
        <v>-35332.198094851883</v>
      </c>
      <c r="T68">
        <f t="shared" ref="T68" si="319">S68/1000</f>
        <v>-35.332198094851883</v>
      </c>
    </row>
    <row r="69" spans="1:20" x14ac:dyDescent="0.25">
      <c r="A69" s="5">
        <v>44524</v>
      </c>
      <c r="B69">
        <v>0.41743999999999998</v>
      </c>
      <c r="C69">
        <v>0.43690000000000001</v>
      </c>
      <c r="D69">
        <v>0.39011000000000001</v>
      </c>
      <c r="E69">
        <v>0.41355999999999998</v>
      </c>
      <c r="F69">
        <v>124210766.5</v>
      </c>
      <c r="G69">
        <v>0.41355999999999998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2.3509296858290978E-3</v>
      </c>
      <c r="Q69">
        <f t="shared" ref="Q69" si="321">F69*P69</f>
        <v>292010.77826443641</v>
      </c>
      <c r="R69">
        <f t="shared" ref="R69" si="322">R70+Q69</f>
        <v>-3279849510.8030958</v>
      </c>
      <c r="S69">
        <f t="shared" ref="S69" si="323">R69/100000</f>
        <v>-32798.495108030955</v>
      </c>
      <c r="T69">
        <f t="shared" ref="T69" si="324">S69/1000</f>
        <v>-32.798495108030956</v>
      </c>
    </row>
    <row r="70" spans="1:20" x14ac:dyDescent="0.25">
      <c r="A70" s="5">
        <v>44523</v>
      </c>
      <c r="B70">
        <v>0.35993999999999998</v>
      </c>
      <c r="C70">
        <v>0.45983000000000002</v>
      </c>
      <c r="D70">
        <v>0.35104000000000002</v>
      </c>
      <c r="E70">
        <v>0.41760999999999998</v>
      </c>
      <c r="F70">
        <v>604492703.10000002</v>
      </c>
      <c r="G70">
        <v>0.41760999999999998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0.22382571927566805</v>
      </c>
      <c r="Q70">
        <f t="shared" ref="Q70" si="326">F70*P70</f>
        <v>135301014.06825036</v>
      </c>
      <c r="R70">
        <f t="shared" ref="R70" si="327">R71+Q70</f>
        <v>-3280141521.5813603</v>
      </c>
      <c r="S70">
        <f t="shared" ref="S70" si="328">R70/100000</f>
        <v>-32801.415215813606</v>
      </c>
      <c r="T70">
        <f t="shared" ref="T70" si="329">S70/1000</f>
        <v>-32.801415215813606</v>
      </c>
    </row>
    <row r="71" spans="1:20" x14ac:dyDescent="0.25">
      <c r="A71" s="5">
        <v>44522</v>
      </c>
      <c r="B71">
        <v>0.41516999999999998</v>
      </c>
      <c r="C71">
        <v>0.44600000000000001</v>
      </c>
      <c r="D71">
        <v>0.34810000000000002</v>
      </c>
      <c r="E71">
        <v>0.3599</v>
      </c>
      <c r="F71">
        <v>544110988.39999998</v>
      </c>
      <c r="G71">
        <v>0.3599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-0.75893769152196167</v>
      </c>
      <c r="Q71">
        <f t="shared" ref="Q71" si="331">F71*P71</f>
        <v>-412946337.46802884</v>
      </c>
      <c r="R71">
        <f t="shared" ref="R71" si="332">R72+Q71</f>
        <v>-3415442535.6496105</v>
      </c>
      <c r="S71">
        <f t="shared" ref="S71" si="333">R71/100000</f>
        <v>-34154.425356496104</v>
      </c>
      <c r="T71">
        <f t="shared" ref="T71" si="334">S71/1000</f>
        <v>-34.154425356496105</v>
      </c>
    </row>
    <row r="72" spans="1:20" x14ac:dyDescent="0.25">
      <c r="A72" s="5">
        <v>44521</v>
      </c>
      <c r="B72">
        <v>0.29626999999999998</v>
      </c>
      <c r="C72">
        <v>0.46626000000000001</v>
      </c>
      <c r="D72">
        <v>0.28691</v>
      </c>
      <c r="E72">
        <v>0.41522999999999999</v>
      </c>
      <c r="F72">
        <v>1136832835.8</v>
      </c>
      <c r="G72">
        <v>0.41522999999999999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0.43094507945358218</v>
      </c>
      <c r="Q72">
        <f t="shared" ref="Q72" si="336">F72*P72</f>
        <v>489912516.74927211</v>
      </c>
      <c r="R72">
        <f t="shared" ref="R72" si="337">R73+Q72</f>
        <v>-3002496198.1815815</v>
      </c>
      <c r="S72">
        <f t="shared" ref="S72" si="338">R72/100000</f>
        <v>-30024.961981815813</v>
      </c>
      <c r="T72">
        <f t="shared" ref="T72" si="339">S72/1000</f>
        <v>-30.024961981815814</v>
      </c>
    </row>
    <row r="73" spans="1:20" x14ac:dyDescent="0.25">
      <c r="A73" s="5">
        <v>44520</v>
      </c>
      <c r="B73">
        <v>0.26717000000000002</v>
      </c>
      <c r="C73">
        <v>0.30986999999999998</v>
      </c>
      <c r="D73">
        <v>0.26454</v>
      </c>
      <c r="E73">
        <v>0.29626999999999998</v>
      </c>
      <c r="F73">
        <v>411664219.69999999</v>
      </c>
      <c r="G73">
        <v>0.29626999999999998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0.39995587910875768</v>
      </c>
      <c r="Q73">
        <f t="shared" ref="Q73" si="341">F73*P73</f>
        <v>164647524.88773426</v>
      </c>
      <c r="R73">
        <f t="shared" ref="R73" si="342">R74+Q73</f>
        <v>-3492408714.9308538</v>
      </c>
      <c r="S73">
        <f t="shared" ref="S73" si="343">R73/100000</f>
        <v>-34924.087149308536</v>
      </c>
      <c r="T73">
        <f t="shared" ref="T73" si="344">S73/1000</f>
        <v>-34.924087149308534</v>
      </c>
    </row>
    <row r="74" spans="1:20" x14ac:dyDescent="0.25">
      <c r="A74" s="5">
        <v>44519</v>
      </c>
      <c r="B74">
        <v>0.30330000000000001</v>
      </c>
      <c r="C74">
        <v>0.31925999999999999</v>
      </c>
      <c r="D74">
        <v>0.2349</v>
      </c>
      <c r="E74">
        <v>0.26716000000000001</v>
      </c>
      <c r="F74">
        <v>956979937.70000005</v>
      </c>
      <c r="G74">
        <v>0.26716000000000001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-0.23518255097202431</v>
      </c>
      <c r="Q74">
        <f t="shared" ref="Q74" si="346">F74*P74</f>
        <v>-225064982.97733492</v>
      </c>
      <c r="R74">
        <f t="shared" ref="R74" si="347">R75+Q74</f>
        <v>-3657056239.8185883</v>
      </c>
      <c r="S74">
        <f t="shared" ref="S74" si="348">R74/100000</f>
        <v>-36570.562398185881</v>
      </c>
      <c r="T74">
        <f t="shared" ref="T74" si="349">S74/1000</f>
        <v>-36.570562398185878</v>
      </c>
    </row>
    <row r="75" spans="1:20" x14ac:dyDescent="0.25">
      <c r="A75" s="5">
        <v>44518</v>
      </c>
      <c r="B75">
        <v>0.26008999999999999</v>
      </c>
      <c r="C75">
        <v>0.32700000000000001</v>
      </c>
      <c r="D75">
        <v>0.21</v>
      </c>
      <c r="E75">
        <v>0.30330000000000001</v>
      </c>
      <c r="F75">
        <v>745908189</v>
      </c>
      <c r="G75">
        <v>0.30330000000000001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0.59487179487179498</v>
      </c>
      <c r="Q75">
        <f t="shared" ref="Q75" si="351">F75*P75</f>
        <v>443719743.20000011</v>
      </c>
      <c r="R75">
        <f t="shared" ref="R75" si="352">R76+Q75</f>
        <v>-3431991256.8412533</v>
      </c>
      <c r="S75">
        <f t="shared" ref="S75" si="353">R75/100000</f>
        <v>-34319.912568412532</v>
      </c>
      <c r="T75">
        <f t="shared" ref="T75" si="354">S75/1000</f>
        <v>-34.319912568412533</v>
      </c>
    </row>
    <row r="76" spans="1:20" x14ac:dyDescent="0.25">
      <c r="A76" s="5">
        <v>44517</v>
      </c>
      <c r="B76">
        <v>0.21038000000000001</v>
      </c>
      <c r="C76">
        <v>0.27833000000000002</v>
      </c>
      <c r="D76">
        <v>0.19792999999999999</v>
      </c>
      <c r="E76">
        <v>0.26007000000000002</v>
      </c>
      <c r="F76">
        <v>357940234.69999999</v>
      </c>
      <c r="G76">
        <v>0.26007000000000002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0.54577114427860718</v>
      </c>
      <c r="Q76">
        <f t="shared" ref="Q76" si="356">F76*P76</f>
        <v>195353451.4755722</v>
      </c>
      <c r="R76">
        <f t="shared" ref="R76" si="357">R77+Q76</f>
        <v>-3875711000.0412536</v>
      </c>
      <c r="S76">
        <f t="shared" ref="S76" si="358">R76/100000</f>
        <v>-38757.110000412533</v>
      </c>
      <c r="T76">
        <f t="shared" ref="T76" si="359">S76/1000</f>
        <v>-38.757110000412531</v>
      </c>
    </row>
    <row r="77" spans="1:20" x14ac:dyDescent="0.25">
      <c r="A77" s="5">
        <v>44516</v>
      </c>
      <c r="B77">
        <v>0.21287</v>
      </c>
      <c r="C77">
        <v>0.21856999999999999</v>
      </c>
      <c r="D77">
        <v>0.19642000000000001</v>
      </c>
      <c r="E77">
        <v>0.21016000000000001</v>
      </c>
      <c r="F77">
        <v>84218316.400000006</v>
      </c>
      <c r="G77">
        <v>0.21016000000000001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0.24063205417607381</v>
      </c>
      <c r="Q77">
        <f t="shared" ref="Q77" si="361">F77*P77</f>
        <v>20265626.474582527</v>
      </c>
      <c r="R77">
        <f t="shared" ref="R77" si="362">R78+Q77</f>
        <v>-4071064451.5168257</v>
      </c>
      <c r="S77">
        <f t="shared" ref="S77" si="363">R77/100000</f>
        <v>-40710.644515168256</v>
      </c>
      <c r="T77">
        <f t="shared" ref="T77" si="364">S77/1000</f>
        <v>-40.710644515168255</v>
      </c>
    </row>
    <row r="78" spans="1:20" x14ac:dyDescent="0.25">
      <c r="A78" s="5">
        <v>44515</v>
      </c>
      <c r="B78">
        <v>0.22488</v>
      </c>
      <c r="C78">
        <v>0.24</v>
      </c>
      <c r="D78">
        <v>0.21099999999999999</v>
      </c>
      <c r="E78">
        <v>0.21312999999999999</v>
      </c>
      <c r="F78">
        <v>90446501.400000006</v>
      </c>
      <c r="G78">
        <v>0.21312999999999999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-0.85310344827586249</v>
      </c>
      <c r="Q78">
        <f t="shared" ref="Q78" si="366">F78*P78</f>
        <v>-77160222.228827626</v>
      </c>
      <c r="R78">
        <f t="shared" ref="R78" si="367">R79+Q78</f>
        <v>-4091330077.9914083</v>
      </c>
      <c r="S78">
        <f t="shared" ref="S78" si="368">R78/100000</f>
        <v>-40913.300779914083</v>
      </c>
      <c r="T78">
        <f t="shared" ref="T78" si="369">S78/1000</f>
        <v>-40.913300779914081</v>
      </c>
    </row>
    <row r="79" spans="1:20" x14ac:dyDescent="0.25">
      <c r="A79" s="5">
        <v>44514</v>
      </c>
      <c r="B79">
        <v>0.22985</v>
      </c>
      <c r="C79">
        <v>0.22999</v>
      </c>
      <c r="D79">
        <v>0.215</v>
      </c>
      <c r="E79">
        <v>0.22488</v>
      </c>
      <c r="F79">
        <v>60491832.5</v>
      </c>
      <c r="G79">
        <v>0.22488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0.31821214142761811</v>
      </c>
      <c r="Q79">
        <f t="shared" ref="Q79" si="371">F79*P79</f>
        <v>19249235.558705784</v>
      </c>
      <c r="R79">
        <f t="shared" ref="R79" si="372">R80+Q79</f>
        <v>-4014169855.7625809</v>
      </c>
      <c r="S79">
        <f t="shared" ref="S79" si="373">R79/100000</f>
        <v>-40141.698557625808</v>
      </c>
      <c r="T79">
        <f t="shared" ref="T79" si="374">S79/1000</f>
        <v>-40.141698557625809</v>
      </c>
    </row>
    <row r="80" spans="1:20" x14ac:dyDescent="0.25">
      <c r="A80" s="5">
        <v>44513</v>
      </c>
      <c r="B80">
        <v>0.22495000000000001</v>
      </c>
      <c r="C80">
        <v>0.24421999999999999</v>
      </c>
      <c r="D80">
        <v>0.22328999999999999</v>
      </c>
      <c r="E80">
        <v>0.22969000000000001</v>
      </c>
      <c r="F80">
        <v>77407551</v>
      </c>
      <c r="G80">
        <v>0.22969000000000001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-0.38843764930721303</v>
      </c>
      <c r="Q80">
        <f t="shared" ref="Q80" si="376">F80*P80</f>
        <v>-30068007.149068207</v>
      </c>
      <c r="R80">
        <f t="shared" ref="R80" si="377">R81+Q80</f>
        <v>-4033419091.3212867</v>
      </c>
      <c r="S80">
        <f t="shared" ref="S80" si="378">R80/100000</f>
        <v>-40334.190913212864</v>
      </c>
      <c r="T80">
        <f t="shared" ref="T80" si="379">S80/1000</f>
        <v>-40.334190913212865</v>
      </c>
    </row>
    <row r="81" spans="1:20" x14ac:dyDescent="0.25">
      <c r="A81" s="5">
        <v>44512</v>
      </c>
      <c r="B81">
        <v>0.22997000000000001</v>
      </c>
      <c r="C81">
        <v>0.27540999999999999</v>
      </c>
      <c r="D81">
        <v>0.22405</v>
      </c>
      <c r="E81">
        <v>0.22494</v>
      </c>
      <c r="F81">
        <v>424370394.39999998</v>
      </c>
      <c r="G81">
        <v>0.22494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-0.96534267912772576</v>
      </c>
      <c r="Q81">
        <f t="shared" ref="Q81" si="381">F81*P81</f>
        <v>-409662853.47258562</v>
      </c>
      <c r="R81">
        <f t="shared" ref="R81" si="382">R82+Q81</f>
        <v>-4003351084.1722183</v>
      </c>
      <c r="S81">
        <f t="shared" ref="S81" si="383">R81/100000</f>
        <v>-40033.510841722185</v>
      </c>
      <c r="T81">
        <f t="shared" ref="T81" si="384">S81/1000</f>
        <v>-40.033510841722183</v>
      </c>
    </row>
    <row r="82" spans="1:20" x14ac:dyDescent="0.25">
      <c r="A82" s="5">
        <v>44511</v>
      </c>
      <c r="B82">
        <v>0.19646</v>
      </c>
      <c r="C82">
        <v>0.23400000000000001</v>
      </c>
      <c r="D82">
        <v>0.19311</v>
      </c>
      <c r="E82">
        <v>0.23</v>
      </c>
      <c r="F82">
        <v>129807246.40000001</v>
      </c>
      <c r="G82">
        <v>0.23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0.80435314257764723</v>
      </c>
      <c r="Q82">
        <f t="shared" ref="Q82" si="386">F82*P82</f>
        <v>104410866.57119098</v>
      </c>
      <c r="R82">
        <f t="shared" ref="R82" si="387">R83+Q82</f>
        <v>-3593688230.6996326</v>
      </c>
      <c r="S82">
        <f t="shared" ref="S82" si="388">R82/100000</f>
        <v>-35936.882306996325</v>
      </c>
      <c r="T82">
        <f t="shared" ref="T82" si="389">S82/1000</f>
        <v>-35.936882306996324</v>
      </c>
    </row>
    <row r="83" spans="1:20" x14ac:dyDescent="0.25">
      <c r="A83" s="5">
        <v>44510</v>
      </c>
      <c r="B83">
        <v>0.22248999999999999</v>
      </c>
      <c r="C83">
        <v>0.2278</v>
      </c>
      <c r="D83">
        <v>0.19122</v>
      </c>
      <c r="E83">
        <v>0.19672999999999999</v>
      </c>
      <c r="F83">
        <v>114002384.90000001</v>
      </c>
      <c r="G83">
        <v>0.19672999999999999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-0.69874248223072788</v>
      </c>
      <c r="Q83">
        <f t="shared" ref="Q83" si="391">F83*P83</f>
        <v>-79658309.405248851</v>
      </c>
      <c r="R83">
        <f t="shared" ref="R83" si="392">R84+Q83</f>
        <v>-3698099097.2708235</v>
      </c>
      <c r="S83">
        <f t="shared" ref="S83" si="393">R83/100000</f>
        <v>-36980.990972708234</v>
      </c>
      <c r="T83">
        <f t="shared" ref="T83" si="394">S83/1000</f>
        <v>-36.980990972708234</v>
      </c>
    </row>
    <row r="84" spans="1:20" x14ac:dyDescent="0.25">
      <c r="A84" s="5">
        <v>44509</v>
      </c>
      <c r="B84">
        <v>0.2104</v>
      </c>
      <c r="C84">
        <v>0.2278</v>
      </c>
      <c r="D84">
        <v>0.20682</v>
      </c>
      <c r="E84">
        <v>0.2225</v>
      </c>
      <c r="F84">
        <v>99657248.900000006</v>
      </c>
      <c r="G84">
        <v>0.2225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0.4947569113441373</v>
      </c>
      <c r="Q84">
        <f t="shared" ref="Q84" si="396">F84*P84</f>
        <v>49306112.658817925</v>
      </c>
      <c r="R84">
        <f t="shared" ref="R84" si="397">R85+Q84</f>
        <v>-3618440787.8655748</v>
      </c>
      <c r="S84">
        <f t="shared" ref="S84" si="398">R84/100000</f>
        <v>-36184.407878655751</v>
      </c>
      <c r="T84">
        <f t="shared" ref="T84" si="399">S84/1000</f>
        <v>-36.184407878655755</v>
      </c>
    </row>
    <row r="85" spans="1:20" x14ac:dyDescent="0.25">
      <c r="A85" s="5">
        <v>44508</v>
      </c>
      <c r="B85">
        <v>0.20175999999999999</v>
      </c>
      <c r="C85">
        <v>0.22572</v>
      </c>
      <c r="D85">
        <v>0.20035</v>
      </c>
      <c r="E85">
        <v>0.21018000000000001</v>
      </c>
      <c r="F85">
        <v>178539751.30000001</v>
      </c>
      <c r="G85">
        <v>0.21018000000000001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-0.22506897910918378</v>
      </c>
      <c r="Q85">
        <f t="shared" ref="Q85" si="401">F85*P85</f>
        <v>-40183759.55549857</v>
      </c>
      <c r="R85">
        <f t="shared" ref="R85" si="402">R86+Q85</f>
        <v>-3667746900.5243926</v>
      </c>
      <c r="S85">
        <f t="shared" ref="S85" si="403">R85/100000</f>
        <v>-36677.469005243925</v>
      </c>
      <c r="T85">
        <f t="shared" ref="T85" si="404">S85/1000</f>
        <v>-36.677469005243928</v>
      </c>
    </row>
    <row r="86" spans="1:20" x14ac:dyDescent="0.25">
      <c r="A86" s="5">
        <v>44507</v>
      </c>
      <c r="B86">
        <v>0.19212000000000001</v>
      </c>
      <c r="C86">
        <v>0.20483000000000001</v>
      </c>
      <c r="D86">
        <v>0.18844</v>
      </c>
      <c r="E86">
        <v>0.20175999999999999</v>
      </c>
      <c r="F86">
        <v>61192782.399999999</v>
      </c>
      <c r="G86">
        <v>0.20175999999999999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0.62538133007931496</v>
      </c>
      <c r="Q86">
        <f t="shared" ref="Q86" si="406">F86*P86</f>
        <v>38268823.648566097</v>
      </c>
      <c r="R86">
        <f t="shared" ref="R86" si="407">R87+Q86</f>
        <v>-3627563140.968894</v>
      </c>
      <c r="S86">
        <f t="shared" ref="S86" si="408">R86/100000</f>
        <v>-36275.63140968894</v>
      </c>
      <c r="T86">
        <f t="shared" ref="T86" si="409">S86/1000</f>
        <v>-36.275631409688941</v>
      </c>
    </row>
    <row r="87" spans="1:20" x14ac:dyDescent="0.25">
      <c r="A87" s="5">
        <v>44506</v>
      </c>
      <c r="B87">
        <v>0.18923000000000001</v>
      </c>
      <c r="C87">
        <v>0.19678000000000001</v>
      </c>
      <c r="D87">
        <v>0.18176</v>
      </c>
      <c r="E87">
        <v>0.19209000000000001</v>
      </c>
      <c r="F87">
        <v>50357966.700000003</v>
      </c>
      <c r="G87">
        <v>0.19209000000000001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0.37549933422103887</v>
      </c>
      <c r="Q87">
        <f t="shared" ref="Q87" si="411">F87*P87</f>
        <v>18909382.968575247</v>
      </c>
      <c r="R87">
        <f t="shared" ref="R87" si="412">R88+Q87</f>
        <v>-3665831964.6174603</v>
      </c>
      <c r="S87">
        <f t="shared" ref="S87" si="413">R87/100000</f>
        <v>-36658.319646174605</v>
      </c>
      <c r="T87">
        <f t="shared" ref="T87" si="414">S87/1000</f>
        <v>-36.658319646174604</v>
      </c>
    </row>
    <row r="88" spans="1:20" x14ac:dyDescent="0.25">
      <c r="A88" s="5">
        <v>44505</v>
      </c>
      <c r="B88">
        <v>0.1993</v>
      </c>
      <c r="C88">
        <v>0.20019999999999999</v>
      </c>
      <c r="D88">
        <v>0.1852</v>
      </c>
      <c r="E88">
        <v>0.18928</v>
      </c>
      <c r="F88">
        <v>60645774.299999997</v>
      </c>
      <c r="G88">
        <v>0.18928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-0.45599999999999946</v>
      </c>
      <c r="Q88">
        <f t="shared" ref="Q88" si="416">F88*P88</f>
        <v>-27654473.080799967</v>
      </c>
      <c r="R88">
        <f t="shared" ref="R88" si="417">R89+Q88</f>
        <v>-3684741347.5860357</v>
      </c>
      <c r="S88">
        <f t="shared" ref="S88" si="418">R88/100000</f>
        <v>-36847.413475860354</v>
      </c>
      <c r="T88">
        <f t="shared" ref="T88" si="419">S88/1000</f>
        <v>-36.847413475860357</v>
      </c>
    </row>
    <row r="89" spans="1:20" x14ac:dyDescent="0.25">
      <c r="A89" s="5">
        <v>44504</v>
      </c>
      <c r="B89">
        <v>0.20630999999999999</v>
      </c>
      <c r="C89">
        <v>0.22663</v>
      </c>
      <c r="D89">
        <v>0.19203000000000001</v>
      </c>
      <c r="E89">
        <v>0.19939000000000001</v>
      </c>
      <c r="F89">
        <v>137894283.69999999</v>
      </c>
      <c r="G89">
        <v>0.19939000000000001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-0.57456647398843885</v>
      </c>
      <c r="Q89">
        <f t="shared" ref="Q89" si="421">F89*P89</f>
        <v>-79229432.368670449</v>
      </c>
      <c r="R89">
        <f t="shared" ref="R89" si="422">R90+Q89</f>
        <v>-3657086874.5052357</v>
      </c>
      <c r="S89">
        <f t="shared" ref="S89" si="423">R89/100000</f>
        <v>-36570.868745052358</v>
      </c>
      <c r="T89">
        <f t="shared" ref="T89" si="424">S89/1000</f>
        <v>-36.570868745052358</v>
      </c>
    </row>
    <row r="90" spans="1:20" x14ac:dyDescent="0.25">
      <c r="A90" s="5">
        <v>44503</v>
      </c>
      <c r="B90">
        <v>0.18844</v>
      </c>
      <c r="C90">
        <v>0.23499999999999999</v>
      </c>
      <c r="D90">
        <v>0.18325</v>
      </c>
      <c r="E90">
        <v>0.20616999999999999</v>
      </c>
      <c r="F90">
        <v>215032965.09999999</v>
      </c>
      <c r="G90">
        <v>0.20616999999999999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-0.11420289855072463</v>
      </c>
      <c r="Q90">
        <f t="shared" ref="Q90" si="426">F90*P90</f>
        <v>-24557387.898376808</v>
      </c>
      <c r="R90">
        <f t="shared" ref="R90" si="427">R91+Q90</f>
        <v>-3577857442.1365652</v>
      </c>
      <c r="S90">
        <f t="shared" ref="S90" si="428">R90/100000</f>
        <v>-35778.574421365651</v>
      </c>
      <c r="T90">
        <f t="shared" ref="T90" si="429">S90/1000</f>
        <v>-35.778574421365654</v>
      </c>
    </row>
    <row r="91" spans="1:20" x14ac:dyDescent="0.25">
      <c r="A91" s="5">
        <v>44502</v>
      </c>
      <c r="B91">
        <v>0.18429000000000001</v>
      </c>
      <c r="C91">
        <v>0.19606999999999999</v>
      </c>
      <c r="D91">
        <v>0.18292</v>
      </c>
      <c r="E91">
        <v>0.18844</v>
      </c>
      <c r="F91">
        <v>65024996.200000003</v>
      </c>
      <c r="G91">
        <v>0.18844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-0.16045627376425867</v>
      </c>
      <c r="Q91">
        <f t="shared" ref="Q91" si="431">F91*P91</f>
        <v>-10433668.591787079</v>
      </c>
      <c r="R91">
        <f t="shared" ref="R91" si="432">R92+Q91</f>
        <v>-3553300054.2381883</v>
      </c>
      <c r="S91">
        <f t="shared" ref="S91" si="433">R91/100000</f>
        <v>-35533.00054238188</v>
      </c>
      <c r="T91">
        <f t="shared" ref="T91" si="434">S91/1000</f>
        <v>-35.533000542381878</v>
      </c>
    </row>
    <row r="92" spans="1:20" x14ac:dyDescent="0.25">
      <c r="A92" s="5">
        <v>44501</v>
      </c>
      <c r="B92">
        <v>0.18365000000000001</v>
      </c>
      <c r="C92">
        <v>0.18725</v>
      </c>
      <c r="D92">
        <v>0.17563999999999999</v>
      </c>
      <c r="E92">
        <v>0.18429000000000001</v>
      </c>
      <c r="F92">
        <v>54426047.299999997</v>
      </c>
      <c r="G92">
        <v>0.18429000000000001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0.49009474590870145</v>
      </c>
      <c r="Q92">
        <f t="shared" ref="Q92" si="436">F92*P92</f>
        <v>26673919.822308466</v>
      </c>
      <c r="R92">
        <f t="shared" ref="R92" si="437">R93+Q92</f>
        <v>-3542866385.6464014</v>
      </c>
      <c r="S92">
        <f t="shared" ref="S92" si="438">R92/100000</f>
        <v>-35428.663856464016</v>
      </c>
      <c r="T92">
        <f t="shared" ref="T92" si="439">S92/1000</f>
        <v>-35.428663856464013</v>
      </c>
    </row>
    <row r="93" spans="1:20" x14ac:dyDescent="0.25">
      <c r="A93" s="5">
        <v>44500</v>
      </c>
      <c r="B93">
        <v>0.18659999999999999</v>
      </c>
      <c r="C93">
        <v>0.19284000000000001</v>
      </c>
      <c r="D93">
        <v>0.17721000000000001</v>
      </c>
      <c r="E93">
        <v>0.18365000000000001</v>
      </c>
      <c r="F93">
        <v>51467775.399999999</v>
      </c>
      <c r="G93">
        <v>0.18365000000000001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-0.17594369801663479</v>
      </c>
      <c r="Q93">
        <f t="shared" ref="Q93" si="441">F93*P93</f>
        <v>-9055430.7325655837</v>
      </c>
      <c r="R93">
        <f t="shared" ref="R93" si="442">R94+Q93</f>
        <v>-3569540305.4687099</v>
      </c>
      <c r="S93">
        <f t="shared" ref="S93" si="443">R93/100000</f>
        <v>-35695.4030546871</v>
      </c>
      <c r="T93">
        <f t="shared" ref="T93" si="444">S93/1000</f>
        <v>-35.695403054687098</v>
      </c>
    </row>
    <row r="94" spans="1:20" x14ac:dyDescent="0.25">
      <c r="A94" s="5">
        <v>44499</v>
      </c>
      <c r="B94">
        <v>0.19275</v>
      </c>
      <c r="C94">
        <v>0.19914999999999999</v>
      </c>
      <c r="D94">
        <v>0.18301000000000001</v>
      </c>
      <c r="E94">
        <v>0.18684000000000001</v>
      </c>
      <c r="F94">
        <v>64757927.5</v>
      </c>
      <c r="G94">
        <v>0.18684000000000001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-0.52540272614622019</v>
      </c>
      <c r="Q94">
        <f t="shared" ref="Q94" si="446">F94*P94</f>
        <v>-34023991.648079284</v>
      </c>
      <c r="R94">
        <f t="shared" ref="R94" si="447">R95+Q94</f>
        <v>-3560484874.7361445</v>
      </c>
      <c r="S94">
        <f t="shared" ref="S94" si="448">R94/100000</f>
        <v>-35604.848747361444</v>
      </c>
      <c r="T94">
        <f t="shared" ref="T94" si="449">S94/1000</f>
        <v>-35.604848747361444</v>
      </c>
    </row>
    <row r="95" spans="1:20" x14ac:dyDescent="0.25">
      <c r="A95" s="5">
        <v>44498</v>
      </c>
      <c r="B95">
        <v>0.17913999999999999</v>
      </c>
      <c r="C95">
        <v>0.19500000000000001</v>
      </c>
      <c r="D95">
        <v>0.17591000000000001</v>
      </c>
      <c r="E95">
        <v>0.193</v>
      </c>
      <c r="F95">
        <v>82705676.700000003</v>
      </c>
      <c r="G95">
        <v>0.193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0.79046621267679396</v>
      </c>
      <c r="Q95">
        <f t="shared" ref="Q95" si="451">F95*P95</f>
        <v>65376043.027920365</v>
      </c>
      <c r="R95">
        <f t="shared" ref="R95" si="452">R96+Q95</f>
        <v>-3526460883.0880651</v>
      </c>
      <c r="S95">
        <f t="shared" ref="S95" si="453">R95/100000</f>
        <v>-35264.60883088065</v>
      </c>
      <c r="T95">
        <f t="shared" ref="T95" si="454">S95/1000</f>
        <v>-35.264608830880647</v>
      </c>
    </row>
    <row r="96" spans="1:20" x14ac:dyDescent="0.25">
      <c r="A96" s="5">
        <v>44497</v>
      </c>
      <c r="B96">
        <v>0.17000999999999999</v>
      </c>
      <c r="C96">
        <v>0.18210999999999999</v>
      </c>
      <c r="D96">
        <v>0.16883000000000001</v>
      </c>
      <c r="E96">
        <v>0.17891000000000001</v>
      </c>
      <c r="F96">
        <v>65677185.799999997</v>
      </c>
      <c r="G96">
        <v>0.17891000000000001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0.51807228915662895</v>
      </c>
      <c r="Q96">
        <f t="shared" ref="Q96" si="456">F96*P96</f>
        <v>34025529.992771246</v>
      </c>
      <c r="R96">
        <f t="shared" ref="R96" si="457">R97+Q96</f>
        <v>-3591836926.1159854</v>
      </c>
      <c r="S96">
        <f t="shared" ref="S96" si="458">R96/100000</f>
        <v>-35918.369261159853</v>
      </c>
      <c r="T96">
        <f t="shared" ref="T96" si="459">S96/1000</f>
        <v>-35.918369261159853</v>
      </c>
    </row>
    <row r="97" spans="1:20" x14ac:dyDescent="0.25">
      <c r="A97" s="5">
        <v>44496</v>
      </c>
      <c r="B97">
        <v>0.18454999999999999</v>
      </c>
      <c r="C97">
        <v>0.19857</v>
      </c>
      <c r="D97">
        <v>0.17</v>
      </c>
      <c r="E97">
        <v>0.17016000000000001</v>
      </c>
      <c r="F97">
        <v>111587171.8</v>
      </c>
      <c r="G97">
        <v>0.17016000000000001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-0.98879943997199904</v>
      </c>
      <c r="Q97">
        <f t="shared" ref="Q97" si="461">F97*P97</f>
        <v>-110337332.98389924</v>
      </c>
      <c r="R97">
        <f t="shared" ref="R97" si="462">R98+Q97</f>
        <v>-3625862456.1087565</v>
      </c>
      <c r="S97">
        <f t="shared" ref="S97" si="463">R97/100000</f>
        <v>-36258.624561087563</v>
      </c>
      <c r="T97">
        <f t="shared" ref="T97" si="464">S97/1000</f>
        <v>-36.258624561087565</v>
      </c>
    </row>
    <row r="98" spans="1:20" x14ac:dyDescent="0.25">
      <c r="A98" s="5">
        <v>44495</v>
      </c>
      <c r="B98">
        <v>0.18570999999999999</v>
      </c>
      <c r="C98">
        <v>0.19319</v>
      </c>
      <c r="D98">
        <v>0.18323999999999999</v>
      </c>
      <c r="E98">
        <v>0.18464</v>
      </c>
      <c r="F98">
        <v>80874668.599999994</v>
      </c>
      <c r="G98">
        <v>0.18464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-0.7185929648241185</v>
      </c>
      <c r="Q98">
        <f t="shared" ref="Q98" si="466">F98*P98</f>
        <v>-58115967.888442039</v>
      </c>
      <c r="R98">
        <f t="shared" ref="R98" si="467">R99+Q98</f>
        <v>-3515525123.1248574</v>
      </c>
      <c r="S98">
        <f t="shared" ref="S98" si="468">R98/100000</f>
        <v>-35155.251231248578</v>
      </c>
      <c r="T98">
        <f t="shared" ref="T98" si="469">S98/1000</f>
        <v>-35.155251231248577</v>
      </c>
    </row>
    <row r="99" spans="1:20" x14ac:dyDescent="0.25">
      <c r="A99" s="5">
        <v>44494</v>
      </c>
      <c r="B99">
        <v>0.1804</v>
      </c>
      <c r="C99">
        <v>0.19969000000000001</v>
      </c>
      <c r="D99">
        <v>0.17868999999999999</v>
      </c>
      <c r="E99">
        <v>0.1857</v>
      </c>
      <c r="F99">
        <v>107445558.40000001</v>
      </c>
      <c r="G99">
        <v>0.1857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-0.33238095238095144</v>
      </c>
      <c r="Q99">
        <f t="shared" ref="Q99" si="471">F99*P99</f>
        <v>-35712857.030095138</v>
      </c>
      <c r="R99">
        <f t="shared" ref="R99" si="472">R100+Q99</f>
        <v>-3457409155.2364154</v>
      </c>
      <c r="S99">
        <f t="shared" ref="S99" si="473">R99/100000</f>
        <v>-34574.091552364152</v>
      </c>
      <c r="T99">
        <f t="shared" ref="T99" si="474">S99/1000</f>
        <v>-34.574091552364152</v>
      </c>
    </row>
    <row r="100" spans="1:20" x14ac:dyDescent="0.25">
      <c r="A100" s="5">
        <v>44493</v>
      </c>
      <c r="B100">
        <v>0.18676000000000001</v>
      </c>
      <c r="C100">
        <v>0.18804000000000001</v>
      </c>
      <c r="D100">
        <v>0.17655000000000001</v>
      </c>
      <c r="E100">
        <v>0.18057999999999999</v>
      </c>
      <c r="F100">
        <v>47192632.100000001</v>
      </c>
      <c r="G100">
        <v>0.18057999999999999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-0.2985204525674538</v>
      </c>
      <c r="Q100">
        <f t="shared" ref="Q100" si="476">F100*P100</f>
        <v>-14087965.892341347</v>
      </c>
      <c r="R100">
        <f t="shared" ref="R100" si="477">R101+Q100</f>
        <v>-3421696298.2063203</v>
      </c>
      <c r="S100">
        <f t="shared" ref="S100" si="478">R100/100000</f>
        <v>-34216.962982063204</v>
      </c>
      <c r="T100">
        <f t="shared" ref="T100" si="479">S100/1000</f>
        <v>-34.216962982063201</v>
      </c>
    </row>
    <row r="101" spans="1:20" x14ac:dyDescent="0.25">
      <c r="A101" s="5">
        <v>44492</v>
      </c>
      <c r="B101">
        <v>0.18511</v>
      </c>
      <c r="C101">
        <v>0.18712000000000001</v>
      </c>
      <c r="D101">
        <v>0.18115999999999999</v>
      </c>
      <c r="E101">
        <v>0.18676000000000001</v>
      </c>
      <c r="F101">
        <v>53950348.100000001</v>
      </c>
      <c r="G101">
        <v>0.18676000000000001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0.87919463087248395</v>
      </c>
      <c r="Q101">
        <f t="shared" ref="Q101" si="481">F101*P101</f>
        <v>47432856.383221515</v>
      </c>
      <c r="R101">
        <f t="shared" ref="R101" si="482">R102+Q101</f>
        <v>-3407608332.3139791</v>
      </c>
      <c r="S101">
        <f t="shared" ref="S101" si="483">R101/100000</f>
        <v>-34076.083323139792</v>
      </c>
      <c r="T101">
        <f t="shared" ref="T101" si="484">S101/1000</f>
        <v>-34.076083323139791</v>
      </c>
    </row>
    <row r="102" spans="1:20" x14ac:dyDescent="0.25">
      <c r="A102" s="5">
        <v>44491</v>
      </c>
      <c r="B102">
        <v>0.18848000000000001</v>
      </c>
      <c r="C102">
        <v>0.19400000000000001</v>
      </c>
      <c r="D102">
        <v>0.183</v>
      </c>
      <c r="E102">
        <v>0.18514</v>
      </c>
      <c r="F102">
        <v>82474060</v>
      </c>
      <c r="G102">
        <v>0.18514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-0.61090909090909074</v>
      </c>
      <c r="Q102">
        <f t="shared" ref="Q102" si="486">F102*P102</f>
        <v>-50384153.018181801</v>
      </c>
      <c r="R102">
        <f t="shared" ref="R102" si="487">R103+Q102</f>
        <v>-3455041188.6972008</v>
      </c>
      <c r="S102">
        <f t="shared" ref="S102" si="488">R102/100000</f>
        <v>-34550.411886972004</v>
      </c>
      <c r="T102">
        <f t="shared" ref="T102" si="489">S102/1000</f>
        <v>-34.550411886972007</v>
      </c>
    </row>
    <row r="103" spans="1:20" x14ac:dyDescent="0.25">
      <c r="A103" s="5">
        <v>44490</v>
      </c>
      <c r="B103">
        <v>0.19794</v>
      </c>
      <c r="C103">
        <v>0.20100000000000001</v>
      </c>
      <c r="D103">
        <v>0.18801000000000001</v>
      </c>
      <c r="E103">
        <v>0.18845999999999999</v>
      </c>
      <c r="F103">
        <v>85172614.799999997</v>
      </c>
      <c r="G103">
        <v>0.18845999999999999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-0.9307159353348764</v>
      </c>
      <c r="Q103">
        <f t="shared" ref="Q103" si="491">F103*P103</f>
        <v>-79271509.848499134</v>
      </c>
      <c r="R103">
        <f t="shared" ref="R103" si="492">R104+Q103</f>
        <v>-3404657035.679019</v>
      </c>
      <c r="S103">
        <f t="shared" ref="S103" si="493">R103/100000</f>
        <v>-34046.570356790187</v>
      </c>
      <c r="T103">
        <f t="shared" ref="T103" si="494">S103/1000</f>
        <v>-34.046570356790184</v>
      </c>
    </row>
    <row r="104" spans="1:20" x14ac:dyDescent="0.25">
      <c r="A104" s="5">
        <v>44489</v>
      </c>
      <c r="B104">
        <v>0.19051999999999999</v>
      </c>
      <c r="C104">
        <v>0.20366000000000001</v>
      </c>
      <c r="D104">
        <v>0.18798999999999999</v>
      </c>
      <c r="E104">
        <v>0.19783000000000001</v>
      </c>
      <c r="F104">
        <v>65737714.399999999</v>
      </c>
      <c r="G104">
        <v>0.19783000000000001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0.25590299936183847</v>
      </c>
      <c r="Q104">
        <f t="shared" ref="Q104" si="496">F104*P104</f>
        <v>16822478.28615192</v>
      </c>
      <c r="R104">
        <f t="shared" ref="R104" si="497">R105+Q104</f>
        <v>-3325385525.8305197</v>
      </c>
      <c r="S104">
        <f t="shared" ref="S104" si="498">R104/100000</f>
        <v>-33253.855258305193</v>
      </c>
      <c r="T104">
        <f t="shared" ref="T104" si="499">S104/1000</f>
        <v>-33.253855258305194</v>
      </c>
    </row>
    <row r="105" spans="1:20" x14ac:dyDescent="0.25">
      <c r="A105" s="5">
        <v>44488</v>
      </c>
      <c r="B105">
        <v>0.19461000000000001</v>
      </c>
      <c r="C105">
        <v>0.19564000000000001</v>
      </c>
      <c r="D105">
        <v>0.18715000000000001</v>
      </c>
      <c r="E105">
        <v>0.19051999999999999</v>
      </c>
      <c r="F105">
        <v>51587478.5</v>
      </c>
      <c r="G105">
        <v>0.19051999999999999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-0.20612485276796583</v>
      </c>
      <c r="Q105">
        <f t="shared" ref="Q105" si="501">F105*P105</f>
        <v>-10633461.410483103</v>
      </c>
      <c r="R105">
        <f t="shared" ref="R105" si="502">R106+Q105</f>
        <v>-3342208004.1166716</v>
      </c>
      <c r="S105">
        <f t="shared" ref="S105" si="503">R105/100000</f>
        <v>-33422.080041166715</v>
      </c>
      <c r="T105">
        <f t="shared" ref="T105" si="504">S105/1000</f>
        <v>-33.422080041166716</v>
      </c>
    </row>
    <row r="106" spans="1:20" x14ac:dyDescent="0.25">
      <c r="A106" s="5">
        <v>44487</v>
      </c>
      <c r="B106">
        <v>0.20272000000000001</v>
      </c>
      <c r="C106">
        <v>0.20582</v>
      </c>
      <c r="D106">
        <v>0.18820000000000001</v>
      </c>
      <c r="E106">
        <v>0.19469</v>
      </c>
      <c r="F106">
        <v>80302374.799999997</v>
      </c>
      <c r="G106">
        <v>0.19469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-0.26333711691259964</v>
      </c>
      <c r="Q106">
        <f t="shared" ref="Q106" si="506">F106*P106</f>
        <v>-21146595.861066993</v>
      </c>
      <c r="R106">
        <f t="shared" ref="R106" si="507">R107+Q106</f>
        <v>-3331574542.7061887</v>
      </c>
      <c r="S106">
        <f t="shared" ref="S106" si="508">R106/100000</f>
        <v>-33315.745427061884</v>
      </c>
      <c r="T106">
        <f t="shared" ref="T106" si="509">S106/1000</f>
        <v>-33.315745427061884</v>
      </c>
    </row>
    <row r="107" spans="1:20" x14ac:dyDescent="0.25">
      <c r="A107" s="5">
        <v>44486</v>
      </c>
      <c r="B107">
        <v>0.20763999999999999</v>
      </c>
      <c r="C107">
        <v>0.21285000000000001</v>
      </c>
      <c r="D107">
        <v>0.19466</v>
      </c>
      <c r="E107">
        <v>0.20272000000000001</v>
      </c>
      <c r="F107">
        <v>65341781.899999999</v>
      </c>
      <c r="G107">
        <v>0.20272000000000001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-0.11379879054425437</v>
      </c>
      <c r="Q107">
        <f t="shared" ref="Q107" si="511">F107*P107</f>
        <v>-7435815.7522264514</v>
      </c>
      <c r="R107">
        <f t="shared" ref="R107" si="512">R108+Q107</f>
        <v>-3310427946.8451219</v>
      </c>
      <c r="S107">
        <f t="shared" ref="S107" si="513">R107/100000</f>
        <v>-33104.279468451219</v>
      </c>
      <c r="T107">
        <f t="shared" ref="T107" si="514">S107/1000</f>
        <v>-33.104279468451217</v>
      </c>
    </row>
    <row r="108" spans="1:20" x14ac:dyDescent="0.25">
      <c r="A108" s="5">
        <v>44485</v>
      </c>
      <c r="B108">
        <v>0.21029</v>
      </c>
      <c r="C108">
        <v>0.21906</v>
      </c>
      <c r="D108">
        <v>0.20585000000000001</v>
      </c>
      <c r="E108">
        <v>0.20743</v>
      </c>
      <c r="F108">
        <v>83802008.900000006</v>
      </c>
      <c r="G108">
        <v>0.20743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-0.76078728236184734</v>
      </c>
      <c r="Q108">
        <f t="shared" ref="Q108" si="516">F108*P108</f>
        <v>-63755502.607494347</v>
      </c>
      <c r="R108">
        <f t="shared" ref="R108" si="517">R109+Q108</f>
        <v>-3302992131.0928955</v>
      </c>
      <c r="S108">
        <f t="shared" ref="S108" si="518">R108/100000</f>
        <v>-33029.921310928956</v>
      </c>
      <c r="T108">
        <f t="shared" ref="T108" si="519">S108/1000</f>
        <v>-33.029921310928955</v>
      </c>
    </row>
    <row r="109" spans="1:20" x14ac:dyDescent="0.25">
      <c r="A109" s="5">
        <v>44484</v>
      </c>
      <c r="B109">
        <v>0.20918999999999999</v>
      </c>
      <c r="C109">
        <v>0.22076999999999999</v>
      </c>
      <c r="D109">
        <v>0.19750999999999999</v>
      </c>
      <c r="E109">
        <v>0.21029999999999999</v>
      </c>
      <c r="F109">
        <v>137185729.80000001</v>
      </c>
      <c r="G109">
        <v>0.21029999999999999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9.9742046431641807E-2</v>
      </c>
      <c r="Q109">
        <f t="shared" ref="Q109" si="521">F109*P109</f>
        <v>13683185.431470267</v>
      </c>
      <c r="R109">
        <f t="shared" ref="R109" si="522">R110+Q109</f>
        <v>-3239236628.4854012</v>
      </c>
      <c r="S109">
        <f t="shared" ref="S109" si="523">R109/100000</f>
        <v>-32392.366284854012</v>
      </c>
      <c r="T109">
        <f t="shared" ref="T109" si="524">S109/1000</f>
        <v>-32.392366284854013</v>
      </c>
    </row>
    <row r="110" spans="1:20" x14ac:dyDescent="0.25">
      <c r="A110" s="5">
        <v>44483</v>
      </c>
      <c r="B110">
        <v>0.20158000000000001</v>
      </c>
      <c r="C110">
        <v>0.218</v>
      </c>
      <c r="D110">
        <v>0.20008000000000001</v>
      </c>
      <c r="E110">
        <v>0.20916999999999999</v>
      </c>
      <c r="F110">
        <v>90751957.099999994</v>
      </c>
      <c r="G110">
        <v>0.20916999999999999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1.45089285714276E-2</v>
      </c>
      <c r="Q110">
        <f t="shared" ref="Q110" si="526">F110*P110</f>
        <v>1316713.6632811618</v>
      </c>
      <c r="R110">
        <f t="shared" ref="R110" si="527">R111+Q110</f>
        <v>-3252919813.9168715</v>
      </c>
      <c r="S110">
        <f t="shared" ref="S110" si="528">R110/100000</f>
        <v>-32529.198139168715</v>
      </c>
      <c r="T110">
        <f t="shared" ref="T110" si="529">S110/1000</f>
        <v>-32.529198139168713</v>
      </c>
    </row>
    <row r="111" spans="1:20" x14ac:dyDescent="0.25">
      <c r="A111" s="5">
        <v>44482</v>
      </c>
      <c r="B111">
        <v>0.20843999999999999</v>
      </c>
      <c r="C111">
        <v>0.21287</v>
      </c>
      <c r="D111">
        <v>0.19700000000000001</v>
      </c>
      <c r="E111">
        <v>0.20144000000000001</v>
      </c>
      <c r="F111">
        <v>74338925.799999997</v>
      </c>
      <c r="G111">
        <v>0.20144000000000001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-0.44045368620037795</v>
      </c>
      <c r="Q111">
        <f t="shared" ref="Q111" si="531">F111*P111</f>
        <v>-32742853.896786381</v>
      </c>
      <c r="R111">
        <f t="shared" ref="R111" si="532">R112+Q111</f>
        <v>-3254236527.5801525</v>
      </c>
      <c r="S111">
        <f t="shared" ref="S111" si="533">R111/100000</f>
        <v>-32542.365275801527</v>
      </c>
      <c r="T111">
        <f t="shared" ref="T111" si="534">S111/1000</f>
        <v>-32.542365275801529</v>
      </c>
    </row>
    <row r="112" spans="1:20" x14ac:dyDescent="0.25">
      <c r="A112" s="5">
        <v>44481</v>
      </c>
      <c r="B112">
        <v>0.21679000000000001</v>
      </c>
      <c r="C112">
        <v>0.21687000000000001</v>
      </c>
      <c r="D112">
        <v>0.18998000000000001</v>
      </c>
      <c r="E112">
        <v>0.20816999999999999</v>
      </c>
      <c r="F112">
        <v>111985688.8</v>
      </c>
      <c r="G112">
        <v>0.20816999999999999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0.35291930085533552</v>
      </c>
      <c r="Q112">
        <f t="shared" ref="Q112" si="536">F112*P112</f>
        <v>39521910.997099176</v>
      </c>
      <c r="R112">
        <f t="shared" ref="R112" si="537">R113+Q112</f>
        <v>-3221493673.6833663</v>
      </c>
      <c r="S112">
        <f t="shared" ref="S112" si="538">R112/100000</f>
        <v>-32214.936736833664</v>
      </c>
      <c r="T112">
        <f t="shared" ref="T112" si="539">S112/1000</f>
        <v>-32.214936736833664</v>
      </c>
    </row>
    <row r="113" spans="1:20" x14ac:dyDescent="0.25">
      <c r="A113" s="5">
        <v>44480</v>
      </c>
      <c r="B113">
        <v>0.19866</v>
      </c>
      <c r="C113">
        <v>0.22500000000000001</v>
      </c>
      <c r="D113">
        <v>0.19617999999999999</v>
      </c>
      <c r="E113">
        <v>0.21687000000000001</v>
      </c>
      <c r="F113">
        <v>159013696.59999999</v>
      </c>
      <c r="G113">
        <v>0.21687000000000001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0.43580846634281784</v>
      </c>
      <c r="Q113">
        <f t="shared" ref="Q113" si="541">F113*P113</f>
        <v>69299515.242748141</v>
      </c>
      <c r="R113">
        <f t="shared" ref="R113" si="542">R114+Q113</f>
        <v>-3261015584.6804657</v>
      </c>
      <c r="S113">
        <f t="shared" ref="S113" si="543">R113/100000</f>
        <v>-32610.155846804657</v>
      </c>
      <c r="T113">
        <f t="shared" ref="T113" si="544">S113/1000</f>
        <v>-32.610155846804659</v>
      </c>
    </row>
    <row r="114" spans="1:20" x14ac:dyDescent="0.25">
      <c r="A114" s="5">
        <v>44479</v>
      </c>
      <c r="B114">
        <v>0.19885</v>
      </c>
      <c r="C114">
        <v>0.23300000000000001</v>
      </c>
      <c r="D114">
        <v>0.19105</v>
      </c>
      <c r="E114">
        <v>0.19866</v>
      </c>
      <c r="F114">
        <v>292695456.5</v>
      </c>
      <c r="G114">
        <v>0.19866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-0.63718712753277695</v>
      </c>
      <c r="Q114">
        <f t="shared" ref="Q114" si="546">F114*P114</f>
        <v>-186501777.16912988</v>
      </c>
      <c r="R114">
        <f t="shared" ref="R114" si="547">R115+Q114</f>
        <v>-3330315099.923214</v>
      </c>
      <c r="S114">
        <f t="shared" ref="S114" si="548">R114/100000</f>
        <v>-33303.150999232137</v>
      </c>
      <c r="T114">
        <f t="shared" ref="T114" si="549">S114/1000</f>
        <v>-33.303150999232138</v>
      </c>
    </row>
    <row r="115" spans="1:20" x14ac:dyDescent="0.25">
      <c r="A115" s="5">
        <v>44478</v>
      </c>
      <c r="B115">
        <v>0.19205</v>
      </c>
      <c r="C115">
        <v>0.21035999999999999</v>
      </c>
      <c r="D115">
        <v>0.18704000000000001</v>
      </c>
      <c r="E115">
        <v>0.19842000000000001</v>
      </c>
      <c r="F115">
        <v>174239998.80000001</v>
      </c>
      <c r="G115">
        <v>0.19842000000000001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-2.4013722126928715E-2</v>
      </c>
      <c r="Q115">
        <f t="shared" ref="Q115" si="551">F115*P115</f>
        <v>-4184150.9145795931</v>
      </c>
      <c r="R115">
        <f t="shared" ref="R115" si="552">R116+Q115</f>
        <v>-3143813322.7540841</v>
      </c>
      <c r="S115">
        <f t="shared" ref="S115" si="553">R115/100000</f>
        <v>-31438.133227540842</v>
      </c>
      <c r="T115">
        <f t="shared" ref="T115" si="554">S115/1000</f>
        <v>-31.438133227540842</v>
      </c>
    </row>
    <row r="116" spans="1:20" x14ac:dyDescent="0.25">
      <c r="A116" s="5">
        <v>44477</v>
      </c>
      <c r="B116">
        <v>0.17555000000000001</v>
      </c>
      <c r="C116">
        <v>0.23960000000000001</v>
      </c>
      <c r="D116">
        <v>0.17449999999999999</v>
      </c>
      <c r="E116">
        <v>0.19198000000000001</v>
      </c>
      <c r="F116">
        <v>436612820.69999999</v>
      </c>
      <c r="G116">
        <v>0.19198000000000001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-0.46298003072196564</v>
      </c>
      <c r="Q116">
        <f t="shared" ref="Q116" si="556">F116*P116</f>
        <v>-202143017.14129007</v>
      </c>
      <c r="R116">
        <f t="shared" ref="R116" si="557">R117+Q116</f>
        <v>-3139629171.8395047</v>
      </c>
      <c r="S116">
        <f t="shared" ref="S116" si="558">R116/100000</f>
        <v>-31396.291718395049</v>
      </c>
      <c r="T116">
        <f t="shared" ref="T116" si="559">S116/1000</f>
        <v>-31.396291718395048</v>
      </c>
    </row>
    <row r="117" spans="1:20" x14ac:dyDescent="0.25">
      <c r="A117" s="5">
        <v>44476</v>
      </c>
      <c r="B117">
        <v>0.17305999999999999</v>
      </c>
      <c r="C117">
        <v>0.17996999999999999</v>
      </c>
      <c r="D117">
        <v>0.16617000000000001</v>
      </c>
      <c r="E117">
        <v>0.17571000000000001</v>
      </c>
      <c r="F117">
        <v>114695700.7</v>
      </c>
      <c r="G117">
        <v>0.17571000000000001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0.38260869565217498</v>
      </c>
      <c r="Q117">
        <f t="shared" ref="Q117" si="561">F117*P117</f>
        <v>43883572.441739254</v>
      </c>
      <c r="R117">
        <f t="shared" ref="R117" si="562">R118+Q117</f>
        <v>-2937486154.6982145</v>
      </c>
      <c r="S117">
        <f t="shared" ref="S117" si="563">R117/100000</f>
        <v>-29374.861546982145</v>
      </c>
      <c r="T117">
        <f t="shared" ref="T117" si="564">S117/1000</f>
        <v>-29.374861546982146</v>
      </c>
    </row>
    <row r="118" spans="1:20" x14ac:dyDescent="0.25">
      <c r="A118" s="5">
        <v>44475</v>
      </c>
      <c r="B118">
        <v>0.18082999999999999</v>
      </c>
      <c r="C118">
        <v>0.19181000000000001</v>
      </c>
      <c r="D118">
        <v>0.16736000000000001</v>
      </c>
      <c r="E118">
        <v>0.17319999999999999</v>
      </c>
      <c r="F118">
        <v>143151599.5</v>
      </c>
      <c r="G118">
        <v>0.17319999999999999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-0.52229038854805854</v>
      </c>
      <c r="Q118">
        <f t="shared" ref="Q118" si="566">F118*P118</f>
        <v>-74766704.52413106</v>
      </c>
      <c r="R118">
        <f t="shared" ref="R118" si="567">R119+Q118</f>
        <v>-2981369727.1399536</v>
      </c>
      <c r="S118">
        <f t="shared" ref="S118" si="568">R118/100000</f>
        <v>-29813.697271399535</v>
      </c>
      <c r="T118">
        <f t="shared" ref="T118" si="569">S118/1000</f>
        <v>-29.813697271399533</v>
      </c>
    </row>
    <row r="119" spans="1:20" x14ac:dyDescent="0.25">
      <c r="A119" s="5">
        <v>44474</v>
      </c>
      <c r="B119">
        <v>0.18254000000000001</v>
      </c>
      <c r="C119">
        <v>0.18898999999999999</v>
      </c>
      <c r="D119">
        <v>0.17199999999999999</v>
      </c>
      <c r="E119">
        <v>0.18084</v>
      </c>
      <c r="F119">
        <v>106239775.8</v>
      </c>
      <c r="G119">
        <v>0.18084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4.0612124779283325E-2</v>
      </c>
      <c r="Q119">
        <f t="shared" ref="Q119" si="571">F119*P119</f>
        <v>4314623.0313126845</v>
      </c>
      <c r="R119">
        <f t="shared" ref="R119" si="572">R120+Q119</f>
        <v>-2906603022.6158223</v>
      </c>
      <c r="S119">
        <f t="shared" ref="S119" si="573">R119/100000</f>
        <v>-29066.030226158222</v>
      </c>
      <c r="T119">
        <f t="shared" ref="T119" si="574">S119/1000</f>
        <v>-29.066030226158222</v>
      </c>
    </row>
    <row r="120" spans="1:20" x14ac:dyDescent="0.25">
      <c r="A120" s="5">
        <v>44473</v>
      </c>
      <c r="B120">
        <v>0.19001000000000001</v>
      </c>
      <c r="C120">
        <v>0.19252</v>
      </c>
      <c r="D120">
        <v>0.17910999999999999</v>
      </c>
      <c r="E120">
        <v>0.18353</v>
      </c>
      <c r="F120">
        <v>103943352</v>
      </c>
      <c r="G120">
        <v>0.18353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-0.34079045488441378</v>
      </c>
      <c r="Q120">
        <f t="shared" ref="Q120" si="576">F120*P120</f>
        <v>-35422902.210290745</v>
      </c>
      <c r="R120">
        <f t="shared" ref="R120" si="577">R121+Q120</f>
        <v>-2910917645.6471348</v>
      </c>
      <c r="S120">
        <f t="shared" ref="S120" si="578">R120/100000</f>
        <v>-29109.176456471349</v>
      </c>
      <c r="T120">
        <f t="shared" ref="T120" si="579">S120/1000</f>
        <v>-29.109176456471349</v>
      </c>
    </row>
    <row r="121" spans="1:20" x14ac:dyDescent="0.25">
      <c r="A121" s="5">
        <v>44472</v>
      </c>
      <c r="B121">
        <v>0.19094</v>
      </c>
      <c r="C121">
        <v>0.20068</v>
      </c>
      <c r="D121">
        <v>0.1865</v>
      </c>
      <c r="E121">
        <v>0.19016</v>
      </c>
      <c r="F121">
        <v>96859573.900000006</v>
      </c>
      <c r="G121">
        <v>0.19016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-0.4837799717912557</v>
      </c>
      <c r="Q121">
        <f t="shared" ref="Q121" si="581">F121*P121</f>
        <v>-46858721.92905505</v>
      </c>
      <c r="R121">
        <f t="shared" ref="R121" si="582">R122+Q121</f>
        <v>-2875494743.4368439</v>
      </c>
      <c r="S121">
        <f t="shared" ref="S121" si="583">R121/100000</f>
        <v>-28754.947434368438</v>
      </c>
      <c r="T121">
        <f t="shared" ref="T121" si="584">S121/1000</f>
        <v>-28.754947434368439</v>
      </c>
    </row>
    <row r="122" spans="1:20" x14ac:dyDescent="0.25">
      <c r="A122" s="5">
        <v>44471</v>
      </c>
      <c r="B122">
        <v>0.19700000000000001</v>
      </c>
      <c r="C122">
        <v>0.20349999999999999</v>
      </c>
      <c r="D122">
        <v>0.18584000000000001</v>
      </c>
      <c r="E122">
        <v>0.19094</v>
      </c>
      <c r="F122">
        <v>172571705.40000001</v>
      </c>
      <c r="G122">
        <v>0.19094</v>
      </c>
      <c r="L122" t="s">
        <v>7</v>
      </c>
      <c r="M122" t="s">
        <v>7</v>
      </c>
      <c r="N122" t="s">
        <v>8</v>
      </c>
      <c r="P122">
        <f t="shared" ref="P122" si="585">IF(C122=D122,0,((E122-D122)-(C122-E122))/(C122-D122))</f>
        <v>-0.42242355605889026</v>
      </c>
      <c r="Q122">
        <f t="shared" ref="Q122" si="586">F122*P122</f>
        <v>-72898353.470215201</v>
      </c>
      <c r="R122">
        <f t="shared" ref="R122" si="587">R123+Q122</f>
        <v>-2828636021.5077887</v>
      </c>
      <c r="S122">
        <f t="shared" ref="S122" si="588">R122/100000</f>
        <v>-28286.360215077886</v>
      </c>
      <c r="T122">
        <f t="shared" ref="T122" si="589">S122/1000</f>
        <v>-28.286360215077885</v>
      </c>
    </row>
    <row r="123" spans="1:20" x14ac:dyDescent="0.25">
      <c r="A123" s="5">
        <v>44470</v>
      </c>
      <c r="B123">
        <v>0.15562000000000001</v>
      </c>
      <c r="C123">
        <v>0.22681999999999999</v>
      </c>
      <c r="D123">
        <v>0.15384</v>
      </c>
      <c r="E123">
        <v>0.19705</v>
      </c>
      <c r="F123">
        <v>548491432.5</v>
      </c>
      <c r="G123">
        <v>0.19705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0.18416004384762963</v>
      </c>
      <c r="Q123">
        <f t="shared" ref="Q123" si="591">F123*P123</f>
        <v>101010206.25924918</v>
      </c>
      <c r="R123">
        <f t="shared" ref="R123" si="592">R124+Q123</f>
        <v>-2755737668.0375733</v>
      </c>
      <c r="S123">
        <f t="shared" ref="S123" si="593">R123/100000</f>
        <v>-27557.376680375732</v>
      </c>
      <c r="T123">
        <f t="shared" ref="T123" si="594">S123/1000</f>
        <v>-27.557376680375732</v>
      </c>
    </row>
    <row r="124" spans="1:20" x14ac:dyDescent="0.25">
      <c r="A124" s="5">
        <v>44469</v>
      </c>
      <c r="B124">
        <v>0.14582000000000001</v>
      </c>
      <c r="C124">
        <v>0.15845000000000001</v>
      </c>
      <c r="D124">
        <v>0.14449000000000001</v>
      </c>
      <c r="E124">
        <v>0.15581999999999999</v>
      </c>
      <c r="F124">
        <v>111679053.40000001</v>
      </c>
      <c r="G124">
        <v>0.15581999999999999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0.62320916905443824</v>
      </c>
      <c r="Q124">
        <f t="shared" ref="Q124" si="596">F124*P124</f>
        <v>69599410.070200235</v>
      </c>
      <c r="R124">
        <f t="shared" ref="R124" si="597">R125+Q124</f>
        <v>-2856747874.2968225</v>
      </c>
      <c r="S124">
        <f t="shared" ref="S124" si="598">R124/100000</f>
        <v>-28567.478742968226</v>
      </c>
      <c r="T124">
        <f t="shared" ref="T124" si="599">S124/1000</f>
        <v>-28.567478742968227</v>
      </c>
    </row>
    <row r="125" spans="1:20" x14ac:dyDescent="0.25">
      <c r="A125" s="5">
        <v>44468</v>
      </c>
      <c r="B125">
        <v>0.14767</v>
      </c>
      <c r="C125">
        <v>0.15661</v>
      </c>
      <c r="D125">
        <v>0.14166999999999999</v>
      </c>
      <c r="E125">
        <v>0.14577999999999999</v>
      </c>
      <c r="F125">
        <v>84176299.099999994</v>
      </c>
      <c r="G125">
        <v>0.14577999999999999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-0.44979919678714858</v>
      </c>
      <c r="Q125">
        <f t="shared" ref="Q125" si="601">F125*P125</f>
        <v>-37862431.723694779</v>
      </c>
      <c r="R125">
        <f t="shared" ref="R125" si="602">R126+Q125</f>
        <v>-2926347284.367023</v>
      </c>
      <c r="S125">
        <f t="shared" ref="S125" si="603">R125/100000</f>
        <v>-29263.472843670232</v>
      </c>
      <c r="T125">
        <f t="shared" ref="T125" si="604">S125/1000</f>
        <v>-29.263472843670232</v>
      </c>
    </row>
    <row r="126" spans="1:20" x14ac:dyDescent="0.25">
      <c r="A126" s="5">
        <v>44467</v>
      </c>
      <c r="B126">
        <v>0.15698000000000001</v>
      </c>
      <c r="C126">
        <v>0.16066</v>
      </c>
      <c r="D126">
        <v>0.14688000000000001</v>
      </c>
      <c r="E126">
        <v>0.14773</v>
      </c>
      <c r="F126">
        <v>128973716.8</v>
      </c>
      <c r="G126">
        <v>0.14773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-0.87663280116110442</v>
      </c>
      <c r="Q126">
        <f t="shared" ref="Q126" si="606">F126*P126</f>
        <v>-113062590.63454299</v>
      </c>
      <c r="R126">
        <f t="shared" ref="R126" si="607">R127+Q126</f>
        <v>-2888484852.6433282</v>
      </c>
      <c r="S126">
        <f t="shared" ref="S126" si="608">R126/100000</f>
        <v>-28884.848526433281</v>
      </c>
      <c r="T126">
        <f t="shared" ref="T126" si="609">S126/1000</f>
        <v>-28.884848526433281</v>
      </c>
    </row>
    <row r="127" spans="1:20" x14ac:dyDescent="0.25">
      <c r="A127" s="5">
        <v>44466</v>
      </c>
      <c r="B127">
        <v>0.16417999999999999</v>
      </c>
      <c r="C127">
        <v>0.18259</v>
      </c>
      <c r="D127">
        <v>0.15476999999999999</v>
      </c>
      <c r="E127">
        <v>0.15698000000000001</v>
      </c>
      <c r="F127">
        <v>129796863.59999999</v>
      </c>
      <c r="G127">
        <v>0.15698000000000001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-0.84112149532710156</v>
      </c>
      <c r="Q127">
        <f t="shared" ref="Q127" si="611">F127*P127</f>
        <v>-109174931.99999984</v>
      </c>
      <c r="R127">
        <f t="shared" ref="R127" si="612">R128+Q127</f>
        <v>-2775422262.0087852</v>
      </c>
      <c r="S127">
        <f t="shared" ref="S127" si="613">R127/100000</f>
        <v>-27754.222620087854</v>
      </c>
      <c r="T127">
        <f t="shared" ref="T127" si="614">S127/1000</f>
        <v>-27.754222620087855</v>
      </c>
    </row>
    <row r="128" spans="1:20" x14ac:dyDescent="0.25">
      <c r="A128" s="5">
        <v>44465</v>
      </c>
      <c r="B128">
        <v>0.17172999999999999</v>
      </c>
      <c r="C128">
        <v>0.17749999999999999</v>
      </c>
      <c r="D128">
        <v>0.14515</v>
      </c>
      <c r="E128">
        <v>0.16406999999999999</v>
      </c>
      <c r="F128">
        <v>197240354.09999999</v>
      </c>
      <c r="G128">
        <v>0.16406999999999999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0.16970633693972167</v>
      </c>
      <c r="Q128">
        <f t="shared" ref="Q128" si="616">F128*P128</f>
        <v>33472937.991004612</v>
      </c>
      <c r="R128">
        <f t="shared" ref="R128" si="617">R129+Q128</f>
        <v>-2666247330.0087852</v>
      </c>
      <c r="S128">
        <f t="shared" ref="S128" si="618">R128/100000</f>
        <v>-26662.473300087851</v>
      </c>
      <c r="T128">
        <f t="shared" ref="T128" si="619">S128/1000</f>
        <v>-26.66247330008785</v>
      </c>
    </row>
    <row r="129" spans="1:20" x14ac:dyDescent="0.25">
      <c r="A129" s="5">
        <v>44464</v>
      </c>
      <c r="B129">
        <v>0.17138999999999999</v>
      </c>
      <c r="C129">
        <v>0.184</v>
      </c>
      <c r="D129">
        <v>0.15847</v>
      </c>
      <c r="E129">
        <v>0.17172999999999999</v>
      </c>
      <c r="F129">
        <v>126822160.7</v>
      </c>
      <c r="G129">
        <v>0.17172999999999999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3.8777908343125382E-2</v>
      </c>
      <c r="Q129">
        <f t="shared" ref="Q129" si="621">F129*P129</f>
        <v>4917898.123501718</v>
      </c>
      <c r="R129">
        <f t="shared" ref="R129" si="622">R130+Q129</f>
        <v>-2699720267.9997897</v>
      </c>
      <c r="S129">
        <f t="shared" ref="S129" si="623">R129/100000</f>
        <v>-26997.202679997896</v>
      </c>
      <c r="T129">
        <f t="shared" ref="T129" si="624">S129/1000</f>
        <v>-26.997202679997894</v>
      </c>
    </row>
    <row r="130" spans="1:20" x14ac:dyDescent="0.25">
      <c r="A130" s="5">
        <v>44463</v>
      </c>
      <c r="B130">
        <v>0.19248999999999999</v>
      </c>
      <c r="C130">
        <v>0.19797999999999999</v>
      </c>
      <c r="D130">
        <v>0.15554999999999999</v>
      </c>
      <c r="E130">
        <v>0.17166000000000001</v>
      </c>
      <c r="F130">
        <v>171121877.09999999</v>
      </c>
      <c r="G130">
        <v>0.17166000000000001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-0.24063162856469408</v>
      </c>
      <c r="Q130">
        <f t="shared" ref="Q130" si="626">F130*P130</f>
        <v>-41177335.969620429</v>
      </c>
      <c r="R130">
        <f t="shared" ref="R130" si="627">R131+Q130</f>
        <v>-2704638166.1232915</v>
      </c>
      <c r="S130">
        <f t="shared" ref="S130" si="628">R130/100000</f>
        <v>-27046.381661232914</v>
      </c>
      <c r="T130">
        <f t="shared" ref="T130" si="629">S130/1000</f>
        <v>-27.046381661232914</v>
      </c>
    </row>
    <row r="131" spans="1:20" x14ac:dyDescent="0.25">
      <c r="A131" s="5">
        <v>44462</v>
      </c>
      <c r="B131">
        <v>0.19175</v>
      </c>
      <c r="C131">
        <v>0.19903999999999999</v>
      </c>
      <c r="D131">
        <v>0.17899999999999999</v>
      </c>
      <c r="E131">
        <v>0.19253999999999999</v>
      </c>
      <c r="F131">
        <v>123972626.3</v>
      </c>
      <c r="G131">
        <v>0.19253999999999999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0.35129740518962027</v>
      </c>
      <c r="Q131">
        <f t="shared" ref="Q131" si="631">F131*P131</f>
        <v>43551261.933732472</v>
      </c>
      <c r="R131">
        <f t="shared" ref="R131" si="632">R132+Q131</f>
        <v>-2663460830.1536713</v>
      </c>
      <c r="S131">
        <f t="shared" ref="S131" si="633">R131/100000</f>
        <v>-26634.608301536711</v>
      </c>
      <c r="T131">
        <f t="shared" ref="T131" si="634">S131/1000</f>
        <v>-26.634608301536712</v>
      </c>
    </row>
    <row r="132" spans="1:20" x14ac:dyDescent="0.25">
      <c r="A132" s="5">
        <v>44461</v>
      </c>
      <c r="B132">
        <v>0.15987000000000001</v>
      </c>
      <c r="C132">
        <v>0.19317000000000001</v>
      </c>
      <c r="D132">
        <v>0.15804000000000001</v>
      </c>
      <c r="E132">
        <v>0.19155</v>
      </c>
      <c r="F132">
        <v>117878634.8</v>
      </c>
      <c r="G132">
        <v>0.19155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0.9077711357813828</v>
      </c>
      <c r="Q132">
        <f t="shared" ref="Q132" si="636">F132*P132</f>
        <v>107006822.19675483</v>
      </c>
      <c r="R132">
        <f t="shared" ref="R132" si="637">R133+Q132</f>
        <v>-2707012092.0874038</v>
      </c>
      <c r="S132">
        <f t="shared" ref="S132" si="638">R132/100000</f>
        <v>-27070.120920874037</v>
      </c>
      <c r="T132">
        <f t="shared" ref="T132" si="639">S132/1000</f>
        <v>-27.070120920874036</v>
      </c>
    </row>
    <row r="133" spans="1:20" x14ac:dyDescent="0.25">
      <c r="A133" s="5">
        <v>44460</v>
      </c>
      <c r="B133">
        <v>0.18654000000000001</v>
      </c>
      <c r="C133">
        <v>0.19269</v>
      </c>
      <c r="D133">
        <v>0.153</v>
      </c>
      <c r="E133">
        <v>0.15984999999999999</v>
      </c>
      <c r="F133">
        <v>155932741.19999999</v>
      </c>
      <c r="G133">
        <v>0.15984999999999999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-0.65482489292013124</v>
      </c>
      <c r="Q133">
        <f t="shared" ref="Q133" si="641">F133*P133</f>
        <v>-102108640.55903253</v>
      </c>
      <c r="R133">
        <f t="shared" ref="R133" si="642">R134+Q133</f>
        <v>-2814018914.2841587</v>
      </c>
      <c r="S133">
        <f t="shared" ref="S133" si="643">R133/100000</f>
        <v>-28140.189142841587</v>
      </c>
      <c r="T133">
        <f t="shared" ref="T133" si="644">S133/1000</f>
        <v>-28.140189142841589</v>
      </c>
    </row>
    <row r="134" spans="1:20" x14ac:dyDescent="0.25">
      <c r="A134" s="5">
        <v>44459</v>
      </c>
      <c r="B134">
        <v>0.23394000000000001</v>
      </c>
      <c r="C134">
        <v>0.23499999999999999</v>
      </c>
      <c r="D134">
        <v>0.18768000000000001</v>
      </c>
      <c r="E134">
        <v>0.19470999999999999</v>
      </c>
      <c r="F134">
        <v>83769669</v>
      </c>
      <c r="G134">
        <v>0.19470999999999999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-0.70287404902789585</v>
      </c>
      <c r="Q134">
        <f t="shared" ref="Q134" si="646">F134*P134</f>
        <v>-58879526.435756609</v>
      </c>
      <c r="R134">
        <f t="shared" ref="R134" si="647">R135+Q134</f>
        <v>-2711910273.7251263</v>
      </c>
      <c r="S134">
        <f t="shared" ref="S134" si="648">R134/100000</f>
        <v>-27119.102737251262</v>
      </c>
      <c r="T134">
        <f t="shared" ref="T134" si="649">S134/1000</f>
        <v>-27.119102737251261</v>
      </c>
    </row>
    <row r="135" spans="1:20" x14ac:dyDescent="0.25">
      <c r="A135" s="5">
        <v>44458</v>
      </c>
      <c r="B135">
        <v>0.24013999999999999</v>
      </c>
      <c r="C135">
        <v>0.24348</v>
      </c>
      <c r="D135">
        <v>0.23080999999999999</v>
      </c>
      <c r="E135">
        <v>0.23399</v>
      </c>
      <c r="F135">
        <v>56290213.799999997</v>
      </c>
      <c r="G135">
        <v>0.23399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-0.49802683504340767</v>
      </c>
      <c r="Q135">
        <f t="shared" ref="Q135" si="651">F135*P135</f>
        <v>-28034037.022730749</v>
      </c>
      <c r="R135">
        <f t="shared" ref="R135" si="652">R136+Q135</f>
        <v>-2653030747.2893696</v>
      </c>
      <c r="S135">
        <f t="shared" ref="S135" si="653">R135/100000</f>
        <v>-26530.307472893695</v>
      </c>
      <c r="T135">
        <f t="shared" ref="T135" si="654">S135/1000</f>
        <v>-26.530307472893696</v>
      </c>
    </row>
    <row r="136" spans="1:20" x14ac:dyDescent="0.25">
      <c r="A136" s="5">
        <v>44457</v>
      </c>
      <c r="B136">
        <v>0.23369999999999999</v>
      </c>
      <c r="C136">
        <v>0.25700000000000001</v>
      </c>
      <c r="D136">
        <v>0.23</v>
      </c>
      <c r="E136">
        <v>0.24032999999999999</v>
      </c>
      <c r="F136">
        <v>93941436.299999997</v>
      </c>
      <c r="G136">
        <v>0.24032999999999999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-0.23481481481481634</v>
      </c>
      <c r="Q136">
        <f t="shared" ref="Q136" si="656">F136*P136</f>
        <v>-22058840.968222365</v>
      </c>
      <c r="R136">
        <f t="shared" ref="R136" si="657">R137+Q136</f>
        <v>-2624996710.2666388</v>
      </c>
      <c r="S136">
        <f t="shared" ref="S136" si="658">R136/100000</f>
        <v>-26249.967102666389</v>
      </c>
      <c r="T136">
        <f t="shared" ref="T136" si="659">S136/1000</f>
        <v>-26.249967102666389</v>
      </c>
    </row>
    <row r="137" spans="1:20" x14ac:dyDescent="0.25">
      <c r="A137" s="5">
        <v>44456</v>
      </c>
      <c r="B137">
        <v>0.25162000000000001</v>
      </c>
      <c r="C137">
        <v>0.26</v>
      </c>
      <c r="D137">
        <v>0.22932</v>
      </c>
      <c r="E137">
        <v>0.23357</v>
      </c>
      <c r="F137">
        <v>109666771.7</v>
      </c>
      <c r="G137">
        <v>0.23357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-0.7229465449804432</v>
      </c>
      <c r="Q137">
        <f t="shared" ref="Q137" si="661">F137*P137</f>
        <v>-79283213.69967404</v>
      </c>
      <c r="R137">
        <f t="shared" ref="R137" si="662">R138+Q137</f>
        <v>-2602937869.2984166</v>
      </c>
      <c r="S137">
        <f t="shared" ref="S137" si="663">R137/100000</f>
        <v>-26029.378692984166</v>
      </c>
      <c r="T137">
        <f t="shared" ref="T137" si="664">S137/1000</f>
        <v>-26.029378692984167</v>
      </c>
    </row>
    <row r="138" spans="1:20" x14ac:dyDescent="0.25">
      <c r="A138" s="5">
        <v>44455</v>
      </c>
      <c r="B138">
        <v>0.25268000000000002</v>
      </c>
      <c r="C138">
        <v>0.28999999999999998</v>
      </c>
      <c r="D138">
        <v>0.24482000000000001</v>
      </c>
      <c r="E138">
        <v>0.25162000000000001</v>
      </c>
      <c r="F138">
        <v>207138167.5</v>
      </c>
      <c r="G138">
        <v>0.25162000000000001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-0.69898185037627247</v>
      </c>
      <c r="Q138">
        <f t="shared" ref="Q138" si="666">F138*P138</f>
        <v>-144785819.60270026</v>
      </c>
      <c r="R138">
        <f t="shared" ref="R138" si="667">R139+Q138</f>
        <v>-2523654655.5987425</v>
      </c>
      <c r="S138">
        <f t="shared" ref="S138" si="668">R138/100000</f>
        <v>-25236.546555987425</v>
      </c>
      <c r="T138">
        <f t="shared" ref="T138" si="669">S138/1000</f>
        <v>-25.236546555987424</v>
      </c>
    </row>
    <row r="139" spans="1:20" x14ac:dyDescent="0.25">
      <c r="A139" s="5">
        <v>44454</v>
      </c>
      <c r="B139">
        <v>0.24207000000000001</v>
      </c>
      <c r="C139">
        <v>0.26591999999999999</v>
      </c>
      <c r="D139">
        <v>0.23522000000000001</v>
      </c>
      <c r="E139">
        <v>0.25262000000000001</v>
      </c>
      <c r="F139">
        <v>109048550.40000001</v>
      </c>
      <c r="G139">
        <v>0.25262000000000001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0.13355048859934929</v>
      </c>
      <c r="Q139">
        <f t="shared" ref="Q139" si="671">F139*P139</f>
        <v>14563487.186970767</v>
      </c>
      <c r="R139">
        <f t="shared" ref="R139" si="672">R140+Q139</f>
        <v>-2378868835.9960423</v>
      </c>
      <c r="S139">
        <f t="shared" ref="S139" si="673">R139/100000</f>
        <v>-23788.688359960423</v>
      </c>
      <c r="T139">
        <f t="shared" ref="T139" si="674">S139/1000</f>
        <v>-23.788688359960421</v>
      </c>
    </row>
    <row r="140" spans="1:20" x14ac:dyDescent="0.25">
      <c r="A140" s="5">
        <v>44453</v>
      </c>
      <c r="B140">
        <v>0.23666999999999999</v>
      </c>
      <c r="C140">
        <v>0.25650000000000001</v>
      </c>
      <c r="D140">
        <v>0.23463999999999999</v>
      </c>
      <c r="E140">
        <v>0.24215</v>
      </c>
      <c r="F140">
        <v>101227716.8</v>
      </c>
      <c r="G140">
        <v>0.24215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-0.31290027447392404</v>
      </c>
      <c r="Q140">
        <f t="shared" ref="Q140" si="676">F140*P140</f>
        <v>-31674180.37108865</v>
      </c>
      <c r="R140">
        <f t="shared" ref="R140" si="677">R141+Q140</f>
        <v>-2393432323.183013</v>
      </c>
      <c r="S140">
        <f t="shared" ref="S140" si="678">R140/100000</f>
        <v>-23934.323231830131</v>
      </c>
      <c r="T140">
        <f t="shared" ref="T140" si="679">S140/1000</f>
        <v>-23.934323231830131</v>
      </c>
    </row>
    <row r="141" spans="1:20" x14ac:dyDescent="0.25">
      <c r="A141" s="5">
        <v>44452</v>
      </c>
      <c r="B141">
        <v>0.25458999999999998</v>
      </c>
      <c r="C141">
        <v>0.26350000000000001</v>
      </c>
      <c r="D141">
        <v>0.22392000000000001</v>
      </c>
      <c r="E141">
        <v>0.23696</v>
      </c>
      <c r="F141">
        <v>128871275.8</v>
      </c>
      <c r="G141">
        <v>0.23696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-0.34108135421930297</v>
      </c>
      <c r="Q141">
        <f t="shared" ref="Q141" si="681">F141*P141</f>
        <v>-43955589.269833289</v>
      </c>
      <c r="R141">
        <f t="shared" ref="R141" si="682">R142+Q141</f>
        <v>-2361758142.8119245</v>
      </c>
      <c r="S141">
        <f t="shared" ref="S141" si="683">R141/100000</f>
        <v>-23617.581428119243</v>
      </c>
      <c r="T141">
        <f t="shared" ref="T141" si="684">S141/1000</f>
        <v>-23.617581428119244</v>
      </c>
    </row>
    <row r="142" spans="1:20" x14ac:dyDescent="0.25">
      <c r="A142" s="5">
        <v>44451</v>
      </c>
      <c r="B142">
        <v>0.28503000000000001</v>
      </c>
      <c r="C142">
        <v>0.3</v>
      </c>
      <c r="D142">
        <v>0.245</v>
      </c>
      <c r="E142">
        <v>0.25445000000000001</v>
      </c>
      <c r="F142">
        <v>221130476.80000001</v>
      </c>
      <c r="G142">
        <v>0.25445000000000001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-0.65636363636363582</v>
      </c>
      <c r="Q142">
        <f t="shared" ref="Q142" si="686">F142*P142</f>
        <v>-145142003.86327261</v>
      </c>
      <c r="R142">
        <f t="shared" ref="R142" si="687">R143+Q142</f>
        <v>-2317802553.5420914</v>
      </c>
      <c r="S142">
        <f t="shared" ref="S142" si="688">R142/100000</f>
        <v>-23178.025535420915</v>
      </c>
      <c r="T142">
        <f t="shared" ref="T142" si="689">S142/1000</f>
        <v>-23.178025535420915</v>
      </c>
    </row>
    <row r="143" spans="1:20" x14ac:dyDescent="0.25">
      <c r="A143" s="5">
        <v>44450</v>
      </c>
      <c r="B143">
        <v>0.21493000000000001</v>
      </c>
      <c r="C143">
        <v>0.29883999999999999</v>
      </c>
      <c r="D143">
        <v>0.21337</v>
      </c>
      <c r="E143">
        <v>0.28599999999999998</v>
      </c>
      <c r="F143">
        <v>400339033.60000002</v>
      </c>
      <c r="G143">
        <v>0.28599999999999998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0.6995436995436991</v>
      </c>
      <c r="Q143">
        <f t="shared" ref="Q143" si="691">F143*P143</f>
        <v>280054648.63629329</v>
      </c>
      <c r="R143">
        <f t="shared" ref="R143" si="692">R144+Q143</f>
        <v>-2172660549.6788187</v>
      </c>
      <c r="S143">
        <f t="shared" ref="S143" si="693">R143/100000</f>
        <v>-21726.605496788186</v>
      </c>
      <c r="T143">
        <f t="shared" ref="T143" si="694">S143/1000</f>
        <v>-21.726605496788185</v>
      </c>
    </row>
    <row r="144" spans="1:20" x14ac:dyDescent="0.25">
      <c r="A144" s="5">
        <v>44449</v>
      </c>
      <c r="B144">
        <v>0.25663999999999998</v>
      </c>
      <c r="C144">
        <v>0.25868999999999998</v>
      </c>
      <c r="D144">
        <v>0.21041000000000001</v>
      </c>
      <c r="E144">
        <v>0.21451000000000001</v>
      </c>
      <c r="F144">
        <v>235528322.30000001</v>
      </c>
      <c r="G144">
        <v>0.21451000000000001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-0.83015741507870766</v>
      </c>
      <c r="Q144">
        <f t="shared" ref="Q144" si="696">F144*P144</f>
        <v>-195525583.21839276</v>
      </c>
      <c r="R144">
        <f t="shared" ref="R144" si="697">R145+Q144</f>
        <v>-2452715198.3151121</v>
      </c>
      <c r="S144">
        <f t="shared" ref="S144" si="698">R144/100000</f>
        <v>-24527.151983151121</v>
      </c>
      <c r="T144">
        <f t="shared" ref="T144" si="699">S144/1000</f>
        <v>-24.527151983151121</v>
      </c>
    </row>
    <row r="145" spans="1:20" x14ac:dyDescent="0.25">
      <c r="A145" s="5">
        <v>44448</v>
      </c>
      <c r="B145">
        <v>0.25248999999999999</v>
      </c>
      <c r="C145">
        <v>0.28809000000000001</v>
      </c>
      <c r="D145">
        <v>0.23</v>
      </c>
      <c r="E145">
        <v>0.25703999999999999</v>
      </c>
      <c r="F145">
        <v>323538923.19999999</v>
      </c>
      <c r="G145">
        <v>0.25703999999999999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-6.9030814253744896E-2</v>
      </c>
      <c r="Q145">
        <f t="shared" ref="Q145" si="701">F145*P145</f>
        <v>-22334155.311275836</v>
      </c>
      <c r="R145">
        <f t="shared" ref="R145" si="702">R146+Q145</f>
        <v>-2257189615.0967193</v>
      </c>
      <c r="S145">
        <f t="shared" ref="S145" si="703">R145/100000</f>
        <v>-22571.896150967194</v>
      </c>
      <c r="T145">
        <f t="shared" ref="T145" si="704">S145/1000</f>
        <v>-22.571896150967195</v>
      </c>
    </row>
    <row r="146" spans="1:20" x14ac:dyDescent="0.25">
      <c r="A146" s="5">
        <v>44447</v>
      </c>
      <c r="B146">
        <v>0.28154000000000001</v>
      </c>
      <c r="C146">
        <v>0.33</v>
      </c>
      <c r="D146">
        <v>0.23902999999999999</v>
      </c>
      <c r="E146">
        <v>0.25230999999999998</v>
      </c>
      <c r="F146">
        <v>611448798.5</v>
      </c>
      <c r="G146">
        <v>0.25230999999999998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-0.70803561613718846</v>
      </c>
      <c r="Q146">
        <f t="shared" ref="Q146" si="706">F146*P146</f>
        <v>-432927526.78229111</v>
      </c>
      <c r="R146">
        <f t="shared" ref="R146" si="707">R147+Q146</f>
        <v>-2234855459.7854433</v>
      </c>
      <c r="S146">
        <f t="shared" ref="S146" si="708">R146/100000</f>
        <v>-22348.554597854432</v>
      </c>
      <c r="T146">
        <f t="shared" ref="T146" si="709">S146/1000</f>
        <v>-22.348554597854431</v>
      </c>
    </row>
    <row r="147" spans="1:20" x14ac:dyDescent="0.25">
      <c r="A147" s="5">
        <v>44446</v>
      </c>
      <c r="B147">
        <v>0.24081</v>
      </c>
      <c r="C147">
        <v>0.3649</v>
      </c>
      <c r="D147">
        <v>0.20599999999999999</v>
      </c>
      <c r="E147">
        <v>0.28122000000000003</v>
      </c>
      <c r="F147">
        <v>1312608289.5</v>
      </c>
      <c r="G147">
        <v>0.28122000000000003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-5.3241032095657261E-2</v>
      </c>
      <c r="Q147">
        <f t="shared" ref="Q147" si="711">F147*P147</f>
        <v>-69884620.070295274</v>
      </c>
      <c r="R147">
        <f t="shared" ref="R147" si="712">R148+Q147</f>
        <v>-1801927933.0031524</v>
      </c>
      <c r="S147">
        <f t="shared" ref="S147" si="713">R147/100000</f>
        <v>-18019.279330031524</v>
      </c>
      <c r="T147">
        <f t="shared" ref="T147" si="714">S147/1000</f>
        <v>-18.019279330031523</v>
      </c>
    </row>
    <row r="148" spans="1:20" x14ac:dyDescent="0.25">
      <c r="A148" s="5">
        <v>44445</v>
      </c>
      <c r="B148">
        <v>0.17052999999999999</v>
      </c>
      <c r="C148">
        <v>0.30515999999999999</v>
      </c>
      <c r="D148">
        <v>0.17011999999999999</v>
      </c>
      <c r="E148">
        <v>0.24071999999999999</v>
      </c>
      <c r="F148">
        <v>1449166255.0999999</v>
      </c>
      <c r="G148">
        <v>0.24071999999999999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4.5616113744075822E-2</v>
      </c>
      <c r="Q148">
        <f t="shared" ref="Q148" si="716">F148*P148</f>
        <v>66105332.726717994</v>
      </c>
      <c r="R148">
        <f t="shared" ref="R148" si="717">R149+Q148</f>
        <v>-1732043312.932857</v>
      </c>
      <c r="S148">
        <f t="shared" ref="S148" si="718">R148/100000</f>
        <v>-17320.433129328569</v>
      </c>
      <c r="T148">
        <f t="shared" ref="T148" si="719">S148/1000</f>
        <v>-17.320433129328567</v>
      </c>
    </row>
    <row r="149" spans="1:20" x14ac:dyDescent="0.25">
      <c r="A149" s="5">
        <v>44444</v>
      </c>
      <c r="B149">
        <v>0.13721</v>
      </c>
      <c r="C149">
        <v>0.17760999999999999</v>
      </c>
      <c r="D149">
        <v>0.12972</v>
      </c>
      <c r="E149">
        <v>0.17050000000000001</v>
      </c>
      <c r="F149">
        <v>399059140</v>
      </c>
      <c r="G149">
        <v>0.17050000000000001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0.70306953434955188</v>
      </c>
      <c r="Q149">
        <f t="shared" ref="Q149" si="721">F149*P149</f>
        <v>280566323.73773265</v>
      </c>
      <c r="R149">
        <f t="shared" ref="R149" si="722">R150+Q149</f>
        <v>-1798148645.659575</v>
      </c>
      <c r="S149">
        <f t="shared" ref="S149" si="723">R149/100000</f>
        <v>-17981.48645659575</v>
      </c>
      <c r="T149">
        <f t="shared" ref="T149" si="724">S149/1000</f>
        <v>-17.98148645659575</v>
      </c>
    </row>
    <row r="150" spans="1:20" x14ac:dyDescent="0.25">
      <c r="A150" s="5">
        <v>44443</v>
      </c>
      <c r="B150">
        <v>0.12531999999999999</v>
      </c>
      <c r="C150">
        <v>0.13988</v>
      </c>
      <c r="D150">
        <v>0.12398000000000001</v>
      </c>
      <c r="E150">
        <v>0.13713</v>
      </c>
      <c r="F150">
        <v>105036274.2</v>
      </c>
      <c r="G150">
        <v>0.13713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0.65408805031446504</v>
      </c>
      <c r="Q150">
        <f t="shared" ref="Q150" si="726">F150*P150</f>
        <v>68702971.803773552</v>
      </c>
      <c r="R150">
        <f t="shared" ref="R150" si="727">R151+Q150</f>
        <v>-2078714969.3973076</v>
      </c>
      <c r="S150">
        <f t="shared" ref="S150" si="728">R150/100000</f>
        <v>-20787.149693973075</v>
      </c>
      <c r="T150">
        <f t="shared" ref="T150" si="729">S150/1000</f>
        <v>-20.787149693973074</v>
      </c>
    </row>
    <row r="151" spans="1:20" x14ac:dyDescent="0.25">
      <c r="A151" s="5">
        <v>44442</v>
      </c>
      <c r="B151">
        <v>0.1232</v>
      </c>
      <c r="C151">
        <v>0.12998999999999999</v>
      </c>
      <c r="D151">
        <v>0.12075</v>
      </c>
      <c r="E151">
        <v>0.12518000000000001</v>
      </c>
      <c r="F151">
        <v>76589508.700000003</v>
      </c>
      <c r="G151">
        <v>0.12518000000000001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-4.1125541125537207E-2</v>
      </c>
      <c r="Q151">
        <f t="shared" ref="Q151" si="731">F151*P151</f>
        <v>-3149784.98982654</v>
      </c>
      <c r="R151">
        <f t="shared" ref="R151" si="732">R152+Q151</f>
        <v>-2147417941.2010813</v>
      </c>
      <c r="S151">
        <f t="shared" ref="S151" si="733">R151/100000</f>
        <v>-21474.179412010813</v>
      </c>
      <c r="T151">
        <f t="shared" ref="T151" si="734">S151/1000</f>
        <v>-21.474179412010812</v>
      </c>
    </row>
    <row r="152" spans="1:20" x14ac:dyDescent="0.25">
      <c r="A152" s="5">
        <v>44441</v>
      </c>
      <c r="B152">
        <v>0.13053999999999999</v>
      </c>
      <c r="C152">
        <v>0.13075999999999999</v>
      </c>
      <c r="D152">
        <v>0.12199</v>
      </c>
      <c r="E152">
        <v>0.12339</v>
      </c>
      <c r="F152">
        <v>68865408</v>
      </c>
      <c r="G152">
        <v>0.12339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-0.68072976054732026</v>
      </c>
      <c r="Q152">
        <f t="shared" ref="Q152" si="736">F152*P152</f>
        <v>-46878732.697833516</v>
      </c>
      <c r="R152">
        <f t="shared" ref="R152" si="737">R153+Q152</f>
        <v>-2144268156.2112548</v>
      </c>
      <c r="S152">
        <f t="shared" ref="S152" si="738">R152/100000</f>
        <v>-21442.68156211255</v>
      </c>
      <c r="T152">
        <f t="shared" ref="T152" si="739">S152/1000</f>
        <v>-21.442681562112551</v>
      </c>
    </row>
    <row r="153" spans="1:20" x14ac:dyDescent="0.25">
      <c r="A153" s="5">
        <v>44440</v>
      </c>
      <c r="B153">
        <v>0.12037</v>
      </c>
      <c r="C153">
        <v>0.13200000000000001</v>
      </c>
      <c r="D153">
        <v>0.11976000000000001</v>
      </c>
      <c r="E153">
        <v>0.13061</v>
      </c>
      <c r="F153">
        <v>93176000.599999994</v>
      </c>
      <c r="G153">
        <v>0.13061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0.77287581699346364</v>
      </c>
      <c r="Q153">
        <f t="shared" ref="Q153" si="741">F153*P153</f>
        <v>72013477.587908447</v>
      </c>
      <c r="R153">
        <f t="shared" ref="R153" si="742">R154+Q153</f>
        <v>-2097389423.5134213</v>
      </c>
      <c r="S153">
        <f t="shared" ref="S153" si="743">R153/100000</f>
        <v>-20973.894235134212</v>
      </c>
      <c r="T153">
        <f t="shared" ref="T153" si="744">S153/1000</f>
        <v>-20.97389423513421</v>
      </c>
    </row>
    <row r="154" spans="1:20" x14ac:dyDescent="0.25">
      <c r="A154" s="5">
        <v>44439</v>
      </c>
      <c r="B154">
        <v>0.11788</v>
      </c>
      <c r="C154">
        <v>0.1449</v>
      </c>
      <c r="D154">
        <v>0.11025</v>
      </c>
      <c r="E154">
        <v>0.12042</v>
      </c>
      <c r="F154">
        <v>420428784.19999999</v>
      </c>
      <c r="G154">
        <v>0.12042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-0.41298701298701307</v>
      </c>
      <c r="Q154">
        <f t="shared" ref="Q154" si="746">F154*P154</f>
        <v>-173631627.7605195</v>
      </c>
      <c r="R154">
        <f t="shared" ref="R154" si="747">R155+Q154</f>
        <v>-2169402901.1013298</v>
      </c>
      <c r="S154">
        <f t="shared" ref="S154" si="748">R154/100000</f>
        <v>-21694.029011013299</v>
      </c>
      <c r="T154">
        <f t="shared" ref="T154" si="749">S154/1000</f>
        <v>-21.694029011013299</v>
      </c>
    </row>
    <row r="155" spans="1:20" x14ac:dyDescent="0.25">
      <c r="A155" s="5">
        <v>44438</v>
      </c>
      <c r="B155">
        <v>0.10761</v>
      </c>
      <c r="C155">
        <v>0.12988</v>
      </c>
      <c r="D155">
        <v>0.10106999999999999</v>
      </c>
      <c r="E155">
        <v>0.11788</v>
      </c>
      <c r="F155">
        <v>171521989.19999999</v>
      </c>
      <c r="G155">
        <v>0.11788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0.1669559180839989</v>
      </c>
      <c r="Q155">
        <f t="shared" ref="Q155" si="751">F155*P155</f>
        <v>28636611.178479742</v>
      </c>
      <c r="R155">
        <f t="shared" ref="R155" si="752">R156+Q155</f>
        <v>-1995771273.3408103</v>
      </c>
      <c r="S155">
        <f t="shared" ref="S155" si="753">R155/100000</f>
        <v>-19957.712733408101</v>
      </c>
      <c r="T155">
        <f t="shared" ref="T155" si="754">S155/1000</f>
        <v>-19.957712733408101</v>
      </c>
    </row>
    <row r="156" spans="1:20" x14ac:dyDescent="0.25">
      <c r="A156" s="5">
        <v>44437</v>
      </c>
      <c r="B156">
        <v>0.10256999999999999</v>
      </c>
      <c r="C156">
        <v>0.10999</v>
      </c>
      <c r="D156">
        <v>9.9489999999999995E-2</v>
      </c>
      <c r="E156">
        <v>0.10775999999999999</v>
      </c>
      <c r="F156">
        <v>98407096.900000006</v>
      </c>
      <c r="G156">
        <v>0.10775999999999999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0.57523809523809377</v>
      </c>
      <c r="Q156">
        <f t="shared" ref="Q156" si="756">F156*P156</f>
        <v>56607510.978666529</v>
      </c>
      <c r="R156">
        <f t="shared" ref="R156" si="757">R157+Q156</f>
        <v>-2024407884.51929</v>
      </c>
      <c r="S156">
        <f t="shared" ref="S156" si="758">R156/100000</f>
        <v>-20244.0788451929</v>
      </c>
      <c r="T156">
        <f t="shared" ref="T156" si="759">S156/1000</f>
        <v>-20.244078845192899</v>
      </c>
    </row>
    <row r="157" spans="1:20" x14ac:dyDescent="0.25">
      <c r="A157" s="5">
        <v>44436</v>
      </c>
      <c r="B157">
        <v>0.1033</v>
      </c>
      <c r="C157">
        <v>0.105</v>
      </c>
      <c r="D157">
        <v>0.10012</v>
      </c>
      <c r="E157">
        <v>0.1024</v>
      </c>
      <c r="F157">
        <v>95687918.900000006</v>
      </c>
      <c r="G157">
        <v>0.1024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-6.5573770491800673E-2</v>
      </c>
      <c r="Q157">
        <f t="shared" ref="Q157" si="761">F157*P157</f>
        <v>-6274617.6327866362</v>
      </c>
      <c r="R157">
        <f t="shared" ref="R157" si="762">R158+Q157</f>
        <v>-2081015395.4979565</v>
      </c>
      <c r="S157">
        <f t="shared" ref="S157" si="763">R157/100000</f>
        <v>-20810.153954979563</v>
      </c>
      <c r="T157">
        <f t="shared" ref="T157" si="764">S157/1000</f>
        <v>-20.810153954979562</v>
      </c>
    </row>
    <row r="158" spans="1:20" x14ac:dyDescent="0.25">
      <c r="A158" s="5">
        <v>44435</v>
      </c>
      <c r="B158">
        <v>9.5839999999999995E-2</v>
      </c>
      <c r="C158">
        <v>0.10499</v>
      </c>
      <c r="D158">
        <v>9.3460000000000001E-2</v>
      </c>
      <c r="E158">
        <v>0.10317999999999999</v>
      </c>
      <c r="F158">
        <v>71090400</v>
      </c>
      <c r="G158">
        <v>0.10317999999999999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0.68603642671292175</v>
      </c>
      <c r="Q158">
        <f t="shared" ref="Q158" si="766">F158*P158</f>
        <v>48770603.989592291</v>
      </c>
      <c r="R158">
        <f t="shared" ref="R158" si="767">R159+Q158</f>
        <v>-2074740777.8651698</v>
      </c>
      <c r="S158">
        <f t="shared" ref="S158" si="768">R158/100000</f>
        <v>-20747.407778651697</v>
      </c>
      <c r="T158">
        <f t="shared" ref="T158" si="769">S158/1000</f>
        <v>-20.747407778651699</v>
      </c>
    </row>
    <row r="159" spans="1:20" x14ac:dyDescent="0.25">
      <c r="A159" s="5">
        <v>44434</v>
      </c>
      <c r="B159">
        <v>0.10304000000000001</v>
      </c>
      <c r="C159">
        <v>0.105</v>
      </c>
      <c r="D159">
        <v>9.2079999999999995E-2</v>
      </c>
      <c r="E159">
        <v>9.6000000000000002E-2</v>
      </c>
      <c r="F159">
        <v>101015569.7</v>
      </c>
      <c r="G159">
        <v>9.6000000000000002E-2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-0.39318885448916308</v>
      </c>
      <c r="Q159">
        <f t="shared" ref="Q159" si="771">F159*P159</f>
        <v>-39718196.135913208</v>
      </c>
      <c r="R159">
        <f t="shared" ref="R159" si="772">R160+Q159</f>
        <v>-2123511381.8547621</v>
      </c>
      <c r="S159">
        <f t="shared" ref="S159" si="773">R159/100000</f>
        <v>-21235.113818547619</v>
      </c>
      <c r="T159">
        <f t="shared" ref="T159" si="774">S159/1000</f>
        <v>-21.235113818547621</v>
      </c>
    </row>
    <row r="160" spans="1:20" x14ac:dyDescent="0.25">
      <c r="A160" s="5">
        <v>44433</v>
      </c>
      <c r="B160">
        <v>9.8390000000000005E-2</v>
      </c>
      <c r="C160">
        <v>0.10545</v>
      </c>
      <c r="D160">
        <v>9.5299999999999996E-2</v>
      </c>
      <c r="E160">
        <v>0.10315000000000001</v>
      </c>
      <c r="F160">
        <v>93648165.599999994</v>
      </c>
      <c r="G160">
        <v>0.10315000000000001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0.54679802955665124</v>
      </c>
      <c r="Q160">
        <f t="shared" ref="Q160" si="776">F160*P160</f>
        <v>51206632.421674967</v>
      </c>
      <c r="R160">
        <f t="shared" ref="R160" si="777">R161+Q160</f>
        <v>-2083793185.7188489</v>
      </c>
      <c r="S160">
        <f t="shared" ref="S160" si="778">R160/100000</f>
        <v>-20837.931857188491</v>
      </c>
      <c r="T160">
        <f t="shared" ref="T160" si="779">S160/1000</f>
        <v>-20.83793185718849</v>
      </c>
    </row>
    <row r="161" spans="1:20" x14ac:dyDescent="0.25">
      <c r="A161" s="5">
        <v>44432</v>
      </c>
      <c r="B161">
        <v>0.11118</v>
      </c>
      <c r="C161">
        <v>0.11199000000000001</v>
      </c>
      <c r="D161">
        <v>9.8180000000000003E-2</v>
      </c>
      <c r="E161">
        <v>9.8400000000000001E-2</v>
      </c>
      <c r="F161">
        <v>63923145.899999999</v>
      </c>
      <c r="G161">
        <v>9.8400000000000001E-2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-0.96813902968863175</v>
      </c>
      <c r="Q161">
        <f t="shared" ref="Q161" si="781">F161*P161</f>
        <v>-61886492.446270838</v>
      </c>
      <c r="R161">
        <f t="shared" ref="R161" si="782">R162+Q161</f>
        <v>-2134999818.1405239</v>
      </c>
      <c r="S161">
        <f t="shared" ref="S161" si="783">R161/100000</f>
        <v>-21349.998181405241</v>
      </c>
      <c r="T161">
        <f t="shared" ref="T161" si="784">S161/1000</f>
        <v>-21.34999818140524</v>
      </c>
    </row>
    <row r="162" spans="1:20" x14ac:dyDescent="0.25">
      <c r="A162" s="5">
        <v>44431</v>
      </c>
      <c r="B162">
        <v>0.10936</v>
      </c>
      <c r="C162">
        <v>0.11744</v>
      </c>
      <c r="D162">
        <v>0.10549</v>
      </c>
      <c r="E162">
        <v>0.11101</v>
      </c>
      <c r="F162">
        <v>91033810.599999994</v>
      </c>
      <c r="G162">
        <v>0.11101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-7.6150627615063415E-2</v>
      </c>
      <c r="Q162">
        <f t="shared" ref="Q162" si="786">F162*P162</f>
        <v>-6932281.811380812</v>
      </c>
      <c r="R162">
        <f t="shared" ref="R162" si="787">R163+Q162</f>
        <v>-2073113325.694253</v>
      </c>
      <c r="S162">
        <f t="shared" ref="S162" si="788">R162/100000</f>
        <v>-20731.133256942529</v>
      </c>
      <c r="T162">
        <f t="shared" ref="T162" si="789">S162/1000</f>
        <v>-20.731133256942528</v>
      </c>
    </row>
    <row r="163" spans="1:20" x14ac:dyDescent="0.25">
      <c r="A163" s="5">
        <v>44430</v>
      </c>
      <c r="B163">
        <v>9.9159999999999998E-2</v>
      </c>
      <c r="C163">
        <v>0.10199999999999999</v>
      </c>
      <c r="D163">
        <v>9.9019999999999997E-2</v>
      </c>
      <c r="E163">
        <v>0.10036</v>
      </c>
      <c r="F163">
        <v>10202143.300000001</v>
      </c>
      <c r="G163">
        <v>0.10036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-0.10067114093959101</v>
      </c>
      <c r="Q163">
        <f t="shared" ref="Q163" si="791">F163*P163</f>
        <v>-1027061.4060402042</v>
      </c>
      <c r="R163">
        <f t="shared" ref="R163" si="792">R164+Q163</f>
        <v>-2066181043.8828721</v>
      </c>
      <c r="S163">
        <f t="shared" ref="S163" si="793">R163/100000</f>
        <v>-20661.810438828721</v>
      </c>
      <c r="T163">
        <f t="shared" ref="T163" si="794">S163/1000</f>
        <v>-20.66181043882872</v>
      </c>
    </row>
    <row r="164" spans="1:20" x14ac:dyDescent="0.25">
      <c r="A164" s="5">
        <v>44429</v>
      </c>
      <c r="B164">
        <v>9.9580000000000002E-2</v>
      </c>
      <c r="C164">
        <v>0.1036</v>
      </c>
      <c r="D164">
        <v>9.7610000000000002E-2</v>
      </c>
      <c r="E164">
        <v>9.9180000000000004E-2</v>
      </c>
      <c r="F164">
        <v>56708513.700000003</v>
      </c>
      <c r="G164">
        <v>9.9180000000000004E-2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-0.47579298831385536</v>
      </c>
      <c r="Q164">
        <f t="shared" ref="Q164" si="796">F164*P164</f>
        <v>-26981513.196160208</v>
      </c>
      <c r="R164">
        <f t="shared" ref="R164" si="797">R165+Q164</f>
        <v>-2065153982.4768319</v>
      </c>
      <c r="S164">
        <f t="shared" ref="S164" si="798">R164/100000</f>
        <v>-20651.539824768319</v>
      </c>
      <c r="T164">
        <f t="shared" ref="T164" si="799">S164/1000</f>
        <v>-20.651539824768317</v>
      </c>
    </row>
    <row r="165" spans="1:20" x14ac:dyDescent="0.25">
      <c r="A165" s="5">
        <v>44428</v>
      </c>
      <c r="B165">
        <v>9.8919999999999994E-2</v>
      </c>
      <c r="C165">
        <v>0.10525</v>
      </c>
      <c r="D165">
        <v>9.7960000000000005E-2</v>
      </c>
      <c r="E165">
        <v>9.9580000000000002E-2</v>
      </c>
      <c r="F165">
        <v>75875569.799999997</v>
      </c>
      <c r="G165">
        <v>9.9580000000000002E-2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-0.55555555555555602</v>
      </c>
      <c r="Q165">
        <f t="shared" ref="Q165" si="801">F165*P165</f>
        <v>-42153094.333333366</v>
      </c>
      <c r="R165">
        <f t="shared" ref="R165" si="802">R166+Q165</f>
        <v>-2038172469.2806716</v>
      </c>
      <c r="S165">
        <f t="shared" ref="S165" si="803">R165/100000</f>
        <v>-20381.724692806714</v>
      </c>
      <c r="T165">
        <f t="shared" ref="T165" si="804">S165/1000</f>
        <v>-20.381724692806714</v>
      </c>
    </row>
    <row r="166" spans="1:20" x14ac:dyDescent="0.25">
      <c r="A166" s="5">
        <v>44427</v>
      </c>
      <c r="B166">
        <v>9.9839999999999998E-2</v>
      </c>
      <c r="C166">
        <v>0.10302</v>
      </c>
      <c r="D166">
        <v>9.2880000000000004E-2</v>
      </c>
      <c r="E166">
        <v>9.8919999999999994E-2</v>
      </c>
      <c r="F166">
        <v>104156825.8</v>
      </c>
      <c r="G166">
        <v>9.8919999999999994E-2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0.19132149901380513</v>
      </c>
      <c r="Q166">
        <f t="shared" ref="Q166" si="806">F166*P166</f>
        <v>19927440.044575773</v>
      </c>
      <c r="R166">
        <f t="shared" ref="R166" si="807">R167+Q166</f>
        <v>-1996019374.9473383</v>
      </c>
      <c r="S166">
        <f t="shared" ref="S166" si="808">R166/100000</f>
        <v>-19960.193749473383</v>
      </c>
      <c r="T166">
        <f t="shared" ref="T166" si="809">S166/1000</f>
        <v>-19.960193749473383</v>
      </c>
    </row>
    <row r="167" spans="1:20" x14ac:dyDescent="0.25">
      <c r="A167" s="5">
        <v>44426</v>
      </c>
      <c r="B167">
        <v>9.6149999999999999E-2</v>
      </c>
      <c r="C167">
        <v>0.10715</v>
      </c>
      <c r="D167">
        <v>9.4500000000000001E-2</v>
      </c>
      <c r="E167">
        <v>9.9900000000000003E-2</v>
      </c>
      <c r="F167">
        <v>103821588.59999999</v>
      </c>
      <c r="G167">
        <v>9.9900000000000003E-2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-0.14624505928853687</v>
      </c>
      <c r="Q167">
        <f t="shared" ref="Q167" si="811">F167*P167</f>
        <v>-15183394.380237082</v>
      </c>
      <c r="R167">
        <f t="shared" ref="R167" si="812">R168+Q167</f>
        <v>-2015946814.991914</v>
      </c>
      <c r="S167">
        <f t="shared" ref="S167" si="813">R167/100000</f>
        <v>-20159.468149919139</v>
      </c>
      <c r="T167">
        <f t="shared" ref="T167" si="814">S167/1000</f>
        <v>-20.159468149919139</v>
      </c>
    </row>
    <row r="168" spans="1:20" x14ac:dyDescent="0.25">
      <c r="A168" s="5">
        <v>44425</v>
      </c>
      <c r="B168">
        <v>9.6799999999999997E-2</v>
      </c>
      <c r="C168">
        <v>0.11477999999999999</v>
      </c>
      <c r="D168">
        <v>9.3100000000000002E-2</v>
      </c>
      <c r="E168">
        <v>9.6149999999999999E-2</v>
      </c>
      <c r="F168">
        <v>122842357.2</v>
      </c>
      <c r="G168">
        <v>9.6149999999999999E-2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-0.71863468634686356</v>
      </c>
      <c r="Q168">
        <f t="shared" ref="Q168" si="816">F168*P168</f>
        <v>-88278778.836531386</v>
      </c>
      <c r="R168">
        <f t="shared" ref="R168" si="817">R169+Q168</f>
        <v>-2000763420.6116769</v>
      </c>
      <c r="S168">
        <f t="shared" ref="S168" si="818">R168/100000</f>
        <v>-20007.634206116771</v>
      </c>
      <c r="T168">
        <f t="shared" ref="T168" si="819">S168/1000</f>
        <v>-20.007634206116769</v>
      </c>
    </row>
    <row r="169" spans="1:20" x14ac:dyDescent="0.25">
      <c r="A169" s="5">
        <v>44424</v>
      </c>
      <c r="B169">
        <v>9.9040000000000003E-2</v>
      </c>
      <c r="C169">
        <v>0.10596</v>
      </c>
      <c r="D169">
        <v>9.6019999999999994E-2</v>
      </c>
      <c r="E169">
        <v>9.6769999999999995E-2</v>
      </c>
      <c r="F169">
        <v>125554575.8</v>
      </c>
      <c r="G169">
        <v>9.6769999999999995E-2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-0.84909456740442646</v>
      </c>
      <c r="Q169">
        <f t="shared" ref="Q169" si="821">F169*P169</f>
        <v>-106607708.22454727</v>
      </c>
      <c r="R169">
        <f t="shared" ref="R169" si="822">R170+Q169</f>
        <v>-1912484641.7751455</v>
      </c>
      <c r="S169">
        <f t="shared" ref="S169" si="823">R169/100000</f>
        <v>-19124.846417751454</v>
      </c>
      <c r="T169">
        <f t="shared" ref="T169" si="824">S169/1000</f>
        <v>-19.124846417751453</v>
      </c>
    </row>
    <row r="170" spans="1:20" x14ac:dyDescent="0.25">
      <c r="A170" s="5">
        <v>44423</v>
      </c>
      <c r="B170">
        <v>9.7180000000000002E-2</v>
      </c>
      <c r="C170">
        <v>0.10237</v>
      </c>
      <c r="D170">
        <v>9.2509999999999995E-2</v>
      </c>
      <c r="E170">
        <v>9.9129999999999996E-2</v>
      </c>
      <c r="F170">
        <v>57443657.5</v>
      </c>
      <c r="G170">
        <v>9.9129999999999996E-2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0.34279918864097275</v>
      </c>
      <c r="Q170">
        <f t="shared" ref="Q170" si="826">F170*P170</f>
        <v>19691639.18356993</v>
      </c>
      <c r="R170">
        <f t="shared" ref="R170" si="827">R171+Q170</f>
        <v>-1805876933.5505981</v>
      </c>
      <c r="S170">
        <f t="shared" ref="S170" si="828">R170/100000</f>
        <v>-18058.769335505982</v>
      </c>
      <c r="T170">
        <f t="shared" ref="T170" si="829">S170/1000</f>
        <v>-18.058769335505982</v>
      </c>
    </row>
    <row r="171" spans="1:20" x14ac:dyDescent="0.25">
      <c r="A171" s="5">
        <v>44422</v>
      </c>
      <c r="B171">
        <v>9.6110000000000001E-2</v>
      </c>
      <c r="C171">
        <v>0.105</v>
      </c>
      <c r="D171">
        <v>9.4229999999999994E-2</v>
      </c>
      <c r="E171">
        <v>9.715E-2</v>
      </c>
      <c r="F171">
        <v>129111241.09999999</v>
      </c>
      <c r="G171">
        <v>9.715E-2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-0.45775301764159604</v>
      </c>
      <c r="Q171">
        <f t="shared" ref="Q171" si="831">F171*P171</f>
        <v>-59101060.224976659</v>
      </c>
      <c r="R171">
        <f t="shared" ref="R171" si="832">R172+Q171</f>
        <v>-1825568572.7341681</v>
      </c>
      <c r="S171">
        <f t="shared" ref="S171" si="833">R171/100000</f>
        <v>-18255.685727341679</v>
      </c>
      <c r="T171">
        <f t="shared" ref="T171" si="834">S171/1000</f>
        <v>-18.255685727341678</v>
      </c>
    </row>
    <row r="172" spans="1:20" x14ac:dyDescent="0.25">
      <c r="A172" s="5">
        <v>44421</v>
      </c>
      <c r="B172">
        <v>9.1319999999999998E-2</v>
      </c>
      <c r="C172">
        <v>9.7000000000000003E-2</v>
      </c>
      <c r="D172">
        <v>9.0039999999999995E-2</v>
      </c>
      <c r="E172">
        <v>9.597E-2</v>
      </c>
      <c r="F172">
        <v>50498147.5</v>
      </c>
      <c r="G172">
        <v>9.597E-2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0.70402298850574652</v>
      </c>
      <c r="Q172">
        <f t="shared" ref="Q172" si="836">F172*P172</f>
        <v>35551856.716953993</v>
      </c>
      <c r="R172">
        <f t="shared" ref="R172" si="837">R173+Q172</f>
        <v>-1766467512.5091913</v>
      </c>
      <c r="S172">
        <f t="shared" ref="S172" si="838">R172/100000</f>
        <v>-17664.675125091911</v>
      </c>
      <c r="T172">
        <f t="shared" ref="T172" si="839">S172/1000</f>
        <v>-17.664675125091911</v>
      </c>
    </row>
    <row r="173" spans="1:20" x14ac:dyDescent="0.25">
      <c r="A173" s="5">
        <v>44420</v>
      </c>
      <c r="B173">
        <v>9.3810000000000004E-2</v>
      </c>
      <c r="C173">
        <v>9.8220000000000002E-2</v>
      </c>
      <c r="D173">
        <v>8.7870000000000004E-2</v>
      </c>
      <c r="E173">
        <v>9.1319999999999998E-2</v>
      </c>
      <c r="F173">
        <v>105594512.8</v>
      </c>
      <c r="G173">
        <v>9.1319999999999998E-2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-0.3333333333333342</v>
      </c>
      <c r="Q173">
        <f t="shared" ref="Q173" si="841">F173*P173</f>
        <v>-35198170.933333427</v>
      </c>
      <c r="R173">
        <f t="shared" ref="R173" si="842">R174+Q173</f>
        <v>-1802019369.2261453</v>
      </c>
      <c r="S173">
        <f t="shared" ref="S173" si="843">R173/100000</f>
        <v>-18020.193692261451</v>
      </c>
      <c r="T173">
        <f t="shared" ref="T173" si="844">S173/1000</f>
        <v>-18.020193692261451</v>
      </c>
    </row>
    <row r="174" spans="1:20" x14ac:dyDescent="0.25">
      <c r="A174" s="5">
        <v>44419</v>
      </c>
      <c r="B174">
        <v>8.8679999999999995E-2</v>
      </c>
      <c r="C174">
        <v>9.9900000000000003E-2</v>
      </c>
      <c r="D174">
        <v>8.8289999999999993E-2</v>
      </c>
      <c r="E174">
        <v>9.3640000000000001E-2</v>
      </c>
      <c r="F174">
        <v>211320355.09999999</v>
      </c>
      <c r="G174">
        <v>9.3640000000000001E-2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-7.838070628768247E-2</v>
      </c>
      <c r="Q174">
        <f t="shared" ref="Q174" si="846">F174*P174</f>
        <v>-16563438.685701862</v>
      </c>
      <c r="R174">
        <f t="shared" ref="R174" si="847">R175+Q174</f>
        <v>-1766821198.2928119</v>
      </c>
      <c r="S174">
        <f t="shared" ref="S174" si="848">R174/100000</f>
        <v>-17668.211982928118</v>
      </c>
      <c r="T174">
        <f t="shared" ref="T174" si="849">S174/1000</f>
        <v>-17.668211982928117</v>
      </c>
    </row>
    <row r="175" spans="1:20" x14ac:dyDescent="0.25">
      <c r="A175" s="5">
        <v>44418</v>
      </c>
      <c r="B175">
        <v>8.7809999999999999E-2</v>
      </c>
      <c r="C175">
        <v>8.8999999999999996E-2</v>
      </c>
      <c r="D175">
        <v>8.5999999999999993E-2</v>
      </c>
      <c r="E175">
        <v>8.8599999999999998E-2</v>
      </c>
      <c r="F175">
        <v>36907716.600000001</v>
      </c>
      <c r="G175">
        <v>8.8599999999999998E-2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0.73333333333333517</v>
      </c>
      <c r="Q175">
        <f t="shared" ref="Q175" si="851">F175*P175</f>
        <v>27065658.840000071</v>
      </c>
      <c r="R175">
        <f t="shared" ref="R175" si="852">R176+Q175</f>
        <v>-1750257759.60711</v>
      </c>
      <c r="S175">
        <f t="shared" ref="S175" si="853">R175/100000</f>
        <v>-17502.5775960711</v>
      </c>
      <c r="T175">
        <f t="shared" ref="T175" si="854">S175/1000</f>
        <v>-17.502577596071099</v>
      </c>
    </row>
    <row r="176" spans="1:20" x14ac:dyDescent="0.25">
      <c r="A176" s="5">
        <v>44417</v>
      </c>
      <c r="B176">
        <v>8.1339999999999996E-2</v>
      </c>
      <c r="C176">
        <v>9.0450000000000003E-2</v>
      </c>
      <c r="D176">
        <v>7.9869999999999997E-2</v>
      </c>
      <c r="E176">
        <v>8.7730000000000002E-2</v>
      </c>
      <c r="F176">
        <v>47129136.299999997</v>
      </c>
      <c r="G176">
        <v>8.7730000000000002E-2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0.48582230623818551</v>
      </c>
      <c r="Q176">
        <f t="shared" ref="Q176" si="856">F176*P176</f>
        <v>22896385.688279785</v>
      </c>
      <c r="R176">
        <f t="shared" ref="R176" si="857">R177+Q176</f>
        <v>-1777323418.4471102</v>
      </c>
      <c r="S176">
        <f t="shared" ref="S176" si="858">R176/100000</f>
        <v>-17773.234184471101</v>
      </c>
      <c r="T176">
        <f t="shared" ref="T176" si="859">S176/1000</f>
        <v>-17.7732341844711</v>
      </c>
    </row>
    <row r="177" spans="1:20" x14ac:dyDescent="0.25">
      <c r="A177" s="5">
        <v>44416</v>
      </c>
      <c r="B177">
        <v>9.0840000000000004E-2</v>
      </c>
      <c r="C177">
        <v>9.2740000000000003E-2</v>
      </c>
      <c r="D177">
        <v>8.1159999999999996E-2</v>
      </c>
      <c r="E177">
        <v>8.1259999999999999E-2</v>
      </c>
      <c r="F177">
        <v>39821091.299999997</v>
      </c>
      <c r="G177">
        <v>8.1259999999999999E-2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-0.98272884283246931</v>
      </c>
      <c r="Q177">
        <f t="shared" ref="Q177" si="861">F177*P177</f>
        <v>-39133334.973575108</v>
      </c>
      <c r="R177">
        <f t="shared" ref="R177" si="862">R178+Q177</f>
        <v>-1800219804.13539</v>
      </c>
      <c r="S177">
        <f t="shared" ref="S177" si="863">R177/100000</f>
        <v>-18002.198041353902</v>
      </c>
      <c r="T177">
        <f t="shared" ref="T177" si="864">S177/1000</f>
        <v>-18.002198041353903</v>
      </c>
    </row>
    <row r="178" spans="1:20" x14ac:dyDescent="0.25">
      <c r="A178" s="5">
        <v>44415</v>
      </c>
      <c r="B178">
        <v>8.8959999999999997E-2</v>
      </c>
      <c r="C178">
        <v>9.2310000000000003E-2</v>
      </c>
      <c r="D178">
        <v>8.3489999999999995E-2</v>
      </c>
      <c r="E178">
        <v>9.0999999999999998E-2</v>
      </c>
      <c r="F178">
        <v>67686175.599999994</v>
      </c>
      <c r="G178">
        <v>9.0999999999999998E-2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0.7029478458049877</v>
      </c>
      <c r="Q178">
        <f t="shared" ref="Q178" si="866">F178*P178</f>
        <v>47579851.328798115</v>
      </c>
      <c r="R178">
        <f t="shared" ref="R178" si="867">R179+Q178</f>
        <v>-1761086469.1618149</v>
      </c>
      <c r="S178">
        <f t="shared" ref="S178" si="868">R178/100000</f>
        <v>-17610.86469161815</v>
      </c>
      <c r="T178">
        <f t="shared" ref="T178" si="869">S178/1000</f>
        <v>-17.610864691618151</v>
      </c>
    </row>
    <row r="179" spans="1:20" x14ac:dyDescent="0.25">
      <c r="A179" s="5">
        <v>44414</v>
      </c>
      <c r="B179">
        <v>8.6199999999999999E-2</v>
      </c>
      <c r="C179">
        <v>9.1800000000000007E-2</v>
      </c>
      <c r="D179">
        <v>8.3909999999999998E-2</v>
      </c>
      <c r="E179">
        <v>8.8950000000000001E-2</v>
      </c>
      <c r="F179">
        <v>52125187.600000001</v>
      </c>
      <c r="G179">
        <v>8.8950000000000001E-2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0.27756653992395375</v>
      </c>
      <c r="Q179">
        <f t="shared" ref="Q179" si="871">F179*P179</f>
        <v>14468207.965018978</v>
      </c>
      <c r="R179">
        <f t="shared" ref="R179" si="872">R180+Q179</f>
        <v>-1808666320.490613</v>
      </c>
      <c r="S179">
        <f t="shared" ref="S179" si="873">R179/100000</f>
        <v>-18086.66320490613</v>
      </c>
      <c r="T179">
        <f t="shared" ref="T179" si="874">S179/1000</f>
        <v>-18.086663204906131</v>
      </c>
    </row>
    <row r="180" spans="1:20" x14ac:dyDescent="0.25">
      <c r="A180" s="5">
        <v>44413</v>
      </c>
      <c r="B180">
        <v>7.9079999999999998E-2</v>
      </c>
      <c r="C180">
        <v>8.6550000000000002E-2</v>
      </c>
      <c r="D180">
        <v>7.6910000000000006E-2</v>
      </c>
      <c r="E180">
        <v>8.6040000000000005E-2</v>
      </c>
      <c r="F180">
        <v>42232651.600000001</v>
      </c>
      <c r="G180">
        <v>8.6040000000000005E-2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0.89419087136929531</v>
      </c>
      <c r="Q180">
        <f t="shared" ref="Q180" si="876">F180*P180</f>
        <v>37764051.534439862</v>
      </c>
      <c r="R180">
        <f t="shared" ref="R180" si="877">R181+Q180</f>
        <v>-1823134528.455632</v>
      </c>
      <c r="S180">
        <f t="shared" ref="S180" si="878">R180/100000</f>
        <v>-18231.345284556319</v>
      </c>
      <c r="T180">
        <f t="shared" ref="T180" si="879">S180/1000</f>
        <v>-18.231345284556319</v>
      </c>
    </row>
    <row r="181" spans="1:20" x14ac:dyDescent="0.25">
      <c r="A181" s="5">
        <v>44412</v>
      </c>
      <c r="B181">
        <v>7.2370000000000004E-2</v>
      </c>
      <c r="C181">
        <v>8.3000000000000004E-2</v>
      </c>
      <c r="D181">
        <v>7.1110000000000007E-2</v>
      </c>
      <c r="E181">
        <v>7.9140000000000002E-2</v>
      </c>
      <c r="F181">
        <v>45479627.399999999</v>
      </c>
      <c r="G181">
        <v>7.9140000000000002E-2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0.3507148864592089</v>
      </c>
      <c r="Q181">
        <f t="shared" ref="Q181" si="881">F181*P181</f>
        <v>15950382.359798126</v>
      </c>
      <c r="R181">
        <f t="shared" ref="R181" si="882">R182+Q181</f>
        <v>-1860898579.9900718</v>
      </c>
      <c r="S181">
        <f t="shared" ref="S181" si="883">R181/100000</f>
        <v>-18608.985799900718</v>
      </c>
      <c r="T181">
        <f t="shared" ref="T181" si="884">S181/1000</f>
        <v>-18.608985799900719</v>
      </c>
    </row>
    <row r="182" spans="1:20" x14ac:dyDescent="0.25">
      <c r="A182" s="5">
        <v>44411</v>
      </c>
      <c r="B182">
        <v>7.5439999999999993E-2</v>
      </c>
      <c r="C182">
        <v>7.6810000000000003E-2</v>
      </c>
      <c r="D182">
        <v>7.0879999999999999E-2</v>
      </c>
      <c r="E182">
        <v>7.2340000000000002E-2</v>
      </c>
      <c r="F182">
        <v>47156393.799999997</v>
      </c>
      <c r="G182">
        <v>7.2340000000000002E-2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-0.50758853288364192</v>
      </c>
      <c r="Q182">
        <f t="shared" ref="Q182" si="886">F182*P182</f>
        <v>-23936044.745025266</v>
      </c>
      <c r="R182">
        <f t="shared" ref="R182" si="887">R183+Q182</f>
        <v>-1876848962.34987</v>
      </c>
      <c r="S182">
        <f t="shared" ref="S182" si="888">R182/100000</f>
        <v>-18768.489623498699</v>
      </c>
      <c r="T182">
        <f t="shared" ref="T182" si="889">S182/1000</f>
        <v>-18.768489623498699</v>
      </c>
    </row>
    <row r="183" spans="1:20" x14ac:dyDescent="0.25">
      <c r="A183" s="5">
        <v>44410</v>
      </c>
      <c r="B183">
        <v>7.5039999999999996E-2</v>
      </c>
      <c r="C183">
        <v>0.08</v>
      </c>
      <c r="D183">
        <v>7.3410000000000003E-2</v>
      </c>
      <c r="E183">
        <v>7.5429999999999997E-2</v>
      </c>
      <c r="F183">
        <v>29000042.800000001</v>
      </c>
      <c r="G183">
        <v>7.5429999999999997E-2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-0.38694992412746754</v>
      </c>
      <c r="Q183">
        <f t="shared" ref="Q183" si="891">F183*P183</f>
        <v>-11221564.361153312</v>
      </c>
      <c r="R183">
        <f t="shared" ref="R183" si="892">R184+Q183</f>
        <v>-1852912917.6048448</v>
      </c>
      <c r="S183">
        <f t="shared" ref="S183" si="893">R183/100000</f>
        <v>-18529.129176048449</v>
      </c>
      <c r="T183">
        <f t="shared" ref="T183" si="894">S183/1000</f>
        <v>-18.52912917604845</v>
      </c>
    </row>
    <row r="184" spans="1:20" x14ac:dyDescent="0.25">
      <c r="A184" s="5">
        <v>44409</v>
      </c>
      <c r="B184">
        <v>7.7640000000000001E-2</v>
      </c>
      <c r="C184">
        <v>8.2879999999999995E-2</v>
      </c>
      <c r="D184">
        <v>7.4829999999999994E-2</v>
      </c>
      <c r="E184">
        <v>7.5039999999999996E-2</v>
      </c>
      <c r="F184">
        <v>39634761.700000003</v>
      </c>
      <c r="G184">
        <v>7.5039999999999996E-2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-0.94782608695652126</v>
      </c>
      <c r="Q184">
        <f t="shared" ref="Q184" si="896">F184*P184</f>
        <v>-37566861.089565203</v>
      </c>
      <c r="R184">
        <f t="shared" ref="R184" si="897">R185+Q184</f>
        <v>-1841691353.2436914</v>
      </c>
      <c r="S184">
        <f t="shared" ref="S184" si="898">R184/100000</f>
        <v>-18416.913532436913</v>
      </c>
      <c r="T184">
        <f t="shared" ref="T184" si="899">S184/1000</f>
        <v>-18.416913532436912</v>
      </c>
    </row>
    <row r="185" spans="1:20" x14ac:dyDescent="0.25">
      <c r="A185" s="5">
        <v>44408</v>
      </c>
      <c r="B185">
        <v>7.7479999999999993E-2</v>
      </c>
      <c r="C185">
        <v>7.9689999999999997E-2</v>
      </c>
      <c r="D185">
        <v>7.4999999999999997E-2</v>
      </c>
      <c r="E185">
        <v>7.7539999999999998E-2</v>
      </c>
      <c r="F185">
        <v>34847911.700000003</v>
      </c>
      <c r="G185">
        <v>7.7539999999999998E-2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8.3155650319829744E-2</v>
      </c>
      <c r="Q185">
        <f t="shared" ref="Q185" si="901">F185*P185</f>
        <v>2897800.7597015039</v>
      </c>
      <c r="R185">
        <f t="shared" ref="R185" si="902">R186+Q185</f>
        <v>-1804124492.1541262</v>
      </c>
      <c r="S185">
        <f t="shared" ref="S185" si="903">R185/100000</f>
        <v>-18041.244921541263</v>
      </c>
      <c r="T185">
        <f t="shared" ref="T185" si="904">S185/1000</f>
        <v>-18.041244921541264</v>
      </c>
    </row>
    <row r="186" spans="1:20" x14ac:dyDescent="0.25">
      <c r="A186" s="5">
        <v>44407</v>
      </c>
      <c r="B186">
        <v>7.2989999999999999E-2</v>
      </c>
      <c r="C186">
        <v>7.986E-2</v>
      </c>
      <c r="D186">
        <v>6.9580000000000003E-2</v>
      </c>
      <c r="E186">
        <v>7.7479999999999993E-2</v>
      </c>
      <c r="F186">
        <v>120632447.2</v>
      </c>
      <c r="G186">
        <v>7.7479999999999993E-2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0.53696498054474562</v>
      </c>
      <c r="Q186">
        <f t="shared" ref="Q186" si="906">F186*P186</f>
        <v>64775399.663813055</v>
      </c>
      <c r="R186">
        <f t="shared" ref="R186" si="907">R187+Q186</f>
        <v>-1807022292.9138277</v>
      </c>
      <c r="S186">
        <f t="shared" ref="S186" si="908">R186/100000</f>
        <v>-18070.222929138276</v>
      </c>
      <c r="T186">
        <f t="shared" ref="T186" si="909">S186/1000</f>
        <v>-18.070222929138275</v>
      </c>
    </row>
    <row r="187" spans="1:20" x14ac:dyDescent="0.25">
      <c r="A187" s="5">
        <v>44406</v>
      </c>
      <c r="B187">
        <v>6.4579999999999999E-2</v>
      </c>
      <c r="C187">
        <v>8.2000000000000003E-2</v>
      </c>
      <c r="D187">
        <v>6.4180000000000001E-2</v>
      </c>
      <c r="E187">
        <v>7.2859999999999994E-2</v>
      </c>
      <c r="F187">
        <v>116291458.8</v>
      </c>
      <c r="G187">
        <v>7.2859999999999994E-2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-2.5813692480360039E-2</v>
      </c>
      <c r="Q187">
        <f t="shared" ref="Q187" si="911">F187*P187</f>
        <v>-3001911.9555556593</v>
      </c>
      <c r="R187">
        <f t="shared" ref="R187" si="912">R188+Q187</f>
        <v>-1871797692.5776408</v>
      </c>
      <c r="S187">
        <f t="shared" ref="S187" si="913">R187/100000</f>
        <v>-18717.976925776409</v>
      </c>
      <c r="T187">
        <f t="shared" ref="T187" si="914">S187/1000</f>
        <v>-18.717976925776409</v>
      </c>
    </row>
    <row r="188" spans="1:20" x14ac:dyDescent="0.25">
      <c r="A188" s="5">
        <v>44405</v>
      </c>
      <c r="B188">
        <v>6.5040000000000001E-2</v>
      </c>
      <c r="C188">
        <v>6.5839999999999996E-2</v>
      </c>
      <c r="D188">
        <v>6.3960000000000003E-2</v>
      </c>
      <c r="E188">
        <v>6.4579999999999999E-2</v>
      </c>
      <c r="F188">
        <v>31673618.199999999</v>
      </c>
      <c r="G188">
        <v>6.4579999999999999E-2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-0.34042553191489583</v>
      </c>
      <c r="Q188">
        <f t="shared" ref="Q188" si="916">F188*P188</f>
        <v>-10782508.323404325</v>
      </c>
      <c r="R188">
        <f t="shared" ref="R188" si="917">R189+Q188</f>
        <v>-1868795780.6220851</v>
      </c>
      <c r="S188">
        <f t="shared" ref="S188" si="918">R188/100000</f>
        <v>-18687.957806220849</v>
      </c>
      <c r="T188">
        <f t="shared" ref="T188" si="919">S188/1000</f>
        <v>-18.687957806220851</v>
      </c>
    </row>
    <row r="189" spans="1:20" x14ac:dyDescent="0.25">
      <c r="A189" s="5">
        <v>44404</v>
      </c>
      <c r="B189">
        <v>6.5170000000000006E-2</v>
      </c>
      <c r="C189">
        <v>6.7000000000000004E-2</v>
      </c>
      <c r="D189">
        <v>6.3899999999999998E-2</v>
      </c>
      <c r="E189">
        <v>6.5019999999999994E-2</v>
      </c>
      <c r="F189">
        <v>51457321.299999997</v>
      </c>
      <c r="G189">
        <v>6.5019999999999994E-2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-0.27741935483871355</v>
      </c>
      <c r="Q189">
        <f t="shared" ref="Q189" si="921">F189*P189</f>
        <v>-14275256.876774391</v>
      </c>
      <c r="R189">
        <f t="shared" ref="R189" si="922">R190+Q189</f>
        <v>-1858013272.2986808</v>
      </c>
      <c r="S189">
        <f t="shared" ref="S189" si="923">R189/100000</f>
        <v>-18580.132722986807</v>
      </c>
      <c r="T189">
        <f t="shared" ref="T189" si="924">S189/1000</f>
        <v>-18.580132722986807</v>
      </c>
    </row>
    <row r="190" spans="1:20" x14ac:dyDescent="0.25">
      <c r="A190" s="5">
        <v>44403</v>
      </c>
      <c r="B190">
        <v>6.4869999999999997E-2</v>
      </c>
      <c r="C190">
        <v>7.1989999999999998E-2</v>
      </c>
      <c r="D190">
        <v>6.4600000000000005E-2</v>
      </c>
      <c r="E190">
        <v>6.5100000000000005E-2</v>
      </c>
      <c r="F190">
        <v>52613084.899999999</v>
      </c>
      <c r="G190">
        <v>6.5100000000000005E-2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-0.86468200270635975</v>
      </c>
      <c r="Q190">
        <f t="shared" ref="Q190" si="926">F190*P190</f>
        <v>-45493587.619891733</v>
      </c>
      <c r="R190">
        <f t="shared" ref="R190" si="927">R191+Q190</f>
        <v>-1843738015.4219065</v>
      </c>
      <c r="S190">
        <f t="shared" ref="S190" si="928">R190/100000</f>
        <v>-18437.380154219063</v>
      </c>
      <c r="T190">
        <f t="shared" ref="T190" si="929">S190/1000</f>
        <v>-18.437380154219063</v>
      </c>
    </row>
    <row r="191" spans="1:20" x14ac:dyDescent="0.25">
      <c r="A191" s="5">
        <v>44402</v>
      </c>
      <c r="B191">
        <v>6.4630000000000007E-2</v>
      </c>
      <c r="C191">
        <v>6.5790000000000001E-2</v>
      </c>
      <c r="D191">
        <v>6.1789999999999998E-2</v>
      </c>
      <c r="E191">
        <v>6.4839999999999995E-2</v>
      </c>
      <c r="F191">
        <v>15063218.800000001</v>
      </c>
      <c r="G191">
        <v>6.4839999999999995E-2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0.52499999999999725</v>
      </c>
      <c r="Q191">
        <f t="shared" ref="Q191" si="931">F191*P191</f>
        <v>7908189.8699999591</v>
      </c>
      <c r="R191">
        <f t="shared" ref="R191" si="932">R192+Q191</f>
        <v>-1798244427.8020148</v>
      </c>
      <c r="S191">
        <f t="shared" ref="S191" si="933">R191/100000</f>
        <v>-17982.44427802015</v>
      </c>
      <c r="T191">
        <f t="shared" ref="T191:T197" si="934">S191/1000</f>
        <v>-17.98244427802015</v>
      </c>
    </row>
    <row r="192" spans="1:20" x14ac:dyDescent="0.25">
      <c r="A192" s="5">
        <v>44401</v>
      </c>
      <c r="B192">
        <v>6.3589999999999994E-2</v>
      </c>
      <c r="C192">
        <v>6.565E-2</v>
      </c>
      <c r="D192">
        <v>6.2619999999999995E-2</v>
      </c>
      <c r="E192">
        <v>6.4610000000000001E-2</v>
      </c>
      <c r="F192">
        <v>23623559.600000001</v>
      </c>
      <c r="G192">
        <v>6.4610000000000001E-2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0.31353135313531516</v>
      </c>
      <c r="Q192">
        <f t="shared" ref="Q192" si="936">F192*P192</f>
        <v>7406726.6072607646</v>
      </c>
      <c r="R192">
        <f t="shared" ref="R192" si="937">R193+Q192</f>
        <v>-1806152617.6720147</v>
      </c>
      <c r="S192">
        <f t="shared" ref="S192" si="938">R192/100000</f>
        <v>-18061.526176720148</v>
      </c>
      <c r="T192">
        <f t="shared" si="934"/>
        <v>-18.061526176720147</v>
      </c>
    </row>
    <row r="193" spans="1:20" x14ac:dyDescent="0.25">
      <c r="A193" s="5">
        <v>44400</v>
      </c>
      <c r="B193">
        <v>5.987E-2</v>
      </c>
      <c r="C193">
        <v>6.386E-2</v>
      </c>
      <c r="D193">
        <v>5.9400000000000001E-2</v>
      </c>
      <c r="E193">
        <v>6.3589999999999994E-2</v>
      </c>
      <c r="F193">
        <v>15457711.1</v>
      </c>
      <c r="G193">
        <v>6.3589999999999994E-2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0.87892376681614059</v>
      </c>
      <c r="Q193">
        <f t="shared" ref="Q193" si="940">F193*P193</f>
        <v>13586149.666367669</v>
      </c>
      <c r="R193">
        <f t="shared" ref="R193" si="941">R194+Q193</f>
        <v>-1813559344.2792754</v>
      </c>
      <c r="S193">
        <f t="shared" ref="S193" si="942">R193/100000</f>
        <v>-18135.593442792753</v>
      </c>
      <c r="T193">
        <f t="shared" si="934"/>
        <v>-18.135593442792754</v>
      </c>
    </row>
    <row r="194" spans="1:20" x14ac:dyDescent="0.25">
      <c r="A194" s="5">
        <v>44399</v>
      </c>
      <c r="B194">
        <v>5.8029999999999998E-2</v>
      </c>
      <c r="C194">
        <v>6.2E-2</v>
      </c>
      <c r="D194">
        <v>5.7070000000000003E-2</v>
      </c>
      <c r="E194">
        <v>5.9839999999999997E-2</v>
      </c>
      <c r="F194">
        <v>19096604</v>
      </c>
      <c r="G194">
        <v>5.9839999999999997E-2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0.12373225152129673</v>
      </c>
      <c r="Q194">
        <f t="shared" ref="Q194" si="944">F194*P194</f>
        <v>2362865.8093306012</v>
      </c>
      <c r="R194">
        <f t="shared" ref="R194" si="945">R195+Q194</f>
        <v>-1827145493.9456432</v>
      </c>
      <c r="S194">
        <f t="shared" ref="S194" si="946">R194/100000</f>
        <v>-18271.454939456431</v>
      </c>
      <c r="T194">
        <f t="shared" si="934"/>
        <v>-18.271454939456429</v>
      </c>
    </row>
    <row r="195" spans="1:20" x14ac:dyDescent="0.25">
      <c r="A195" s="5">
        <v>44398</v>
      </c>
      <c r="B195">
        <v>5.3400000000000003E-2</v>
      </c>
      <c r="C195">
        <v>5.867E-2</v>
      </c>
      <c r="D195">
        <v>5.2900000000000003E-2</v>
      </c>
      <c r="E195">
        <v>5.8099999999999999E-2</v>
      </c>
      <c r="F195">
        <v>22521492.399999999</v>
      </c>
      <c r="G195">
        <v>5.8099999999999999E-2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0.80242634315424566</v>
      </c>
      <c r="Q195">
        <f t="shared" ref="Q195" si="948">F195*P195</f>
        <v>18071838.788908135</v>
      </c>
      <c r="R195">
        <f t="shared" ref="R195" si="949">R196+Q195</f>
        <v>-1829508359.7549739</v>
      </c>
      <c r="S195">
        <f t="shared" ref="S195" si="950">R195/100000</f>
        <v>-18295.083597549739</v>
      </c>
      <c r="T195">
        <f t="shared" si="934"/>
        <v>-18.295083597549738</v>
      </c>
    </row>
    <row r="196" spans="1:20" x14ac:dyDescent="0.25">
      <c r="A196" s="5">
        <v>44397</v>
      </c>
      <c r="B196">
        <v>5.7009999999999998E-2</v>
      </c>
      <c r="C196">
        <v>5.7579999999999999E-2</v>
      </c>
      <c r="D196">
        <v>5.2060000000000002E-2</v>
      </c>
      <c r="E196">
        <v>5.3400000000000003E-2</v>
      </c>
      <c r="F196">
        <v>24735895.899999999</v>
      </c>
      <c r="G196">
        <v>5.3400000000000003E-2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-0.5144927536231878</v>
      </c>
      <c r="Q196">
        <f t="shared" ref="Q196" si="952">F196*P196</f>
        <v>-12726439.194927521</v>
      </c>
      <c r="R196">
        <f t="shared" ref="R196" si="953">R197+Q196</f>
        <v>-1847580198.5438821</v>
      </c>
      <c r="S196">
        <f t="shared" ref="S196" si="954">R196/100000</f>
        <v>-18475.801985438822</v>
      </c>
      <c r="T196">
        <f t="shared" si="934"/>
        <v>-18.475801985438821</v>
      </c>
    </row>
    <row r="197" spans="1:20" x14ac:dyDescent="0.25">
      <c r="A197" s="5">
        <v>44396</v>
      </c>
      <c r="B197">
        <v>6.0199999999999997E-2</v>
      </c>
      <c r="C197">
        <v>6.1499999999999999E-2</v>
      </c>
      <c r="D197">
        <v>5.6890000000000003E-2</v>
      </c>
      <c r="E197">
        <v>5.7009999999999998E-2</v>
      </c>
      <c r="F197">
        <v>21670400.100000001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-0.94793926247288707</v>
      </c>
      <c r="Q197">
        <f t="shared" ref="Q197" si="956">F197*P197</f>
        <v>-20542223.088286381</v>
      </c>
      <c r="R197">
        <f t="shared" ref="R197" si="957">R198+Q197</f>
        <v>-1834853759.3489547</v>
      </c>
      <c r="S197">
        <f t="shared" ref="S197" si="958">R197/100000</f>
        <v>-18348.537593489546</v>
      </c>
      <c r="T197">
        <f t="shared" si="934"/>
        <v>-18.348537593489546</v>
      </c>
    </row>
    <row r="198" spans="1:20" x14ac:dyDescent="0.25">
      <c r="A198" s="5">
        <v>44395</v>
      </c>
      <c r="B198">
        <v>5.9159999999999997E-2</v>
      </c>
      <c r="C198">
        <v>6.1990000000000003E-2</v>
      </c>
      <c r="D198">
        <v>5.8970000000000002E-2</v>
      </c>
      <c r="E198">
        <v>6.0220000000000003E-2</v>
      </c>
      <c r="F198">
        <v>31306067.5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-0.17218543046357593</v>
      </c>
      <c r="Q198">
        <f t="shared" ref="Q198:Q261" si="960">F198*P198</f>
        <v>-5390448.7086092643</v>
      </c>
      <c r="R198">
        <f t="shared" ref="R198:R261" si="961">R199+Q198</f>
        <v>-1814311536.2606683</v>
      </c>
      <c r="S198">
        <f t="shared" ref="S198:S261" si="962">R198/100000</f>
        <v>-18143.115362606684</v>
      </c>
      <c r="T198">
        <f t="shared" ref="T198:T261" si="963">S198/1000</f>
        <v>-18.143115362606686</v>
      </c>
    </row>
    <row r="199" spans="1:20" x14ac:dyDescent="0.25">
      <c r="A199" s="5">
        <v>44394</v>
      </c>
      <c r="B199">
        <v>5.9150000000000001E-2</v>
      </c>
      <c r="C199">
        <v>6.173E-2</v>
      </c>
      <c r="D199">
        <v>5.8119999999999998E-2</v>
      </c>
      <c r="E199">
        <v>5.9069999999999998E-2</v>
      </c>
      <c r="F199">
        <v>44476290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-0.47368421052631637</v>
      </c>
      <c r="Q199">
        <f t="shared" si="960"/>
        <v>-21067716.315789498</v>
      </c>
      <c r="R199">
        <f t="shared" si="961"/>
        <v>-1808921087.5520589</v>
      </c>
      <c r="S199">
        <f t="shared" si="962"/>
        <v>-18089.210875520588</v>
      </c>
      <c r="T199">
        <f t="shared" si="963"/>
        <v>-18.089210875520589</v>
      </c>
    </row>
    <row r="200" spans="1:20" x14ac:dyDescent="0.25">
      <c r="A200" s="5">
        <v>44393</v>
      </c>
      <c r="B200">
        <v>6.0139999999999999E-2</v>
      </c>
      <c r="C200">
        <v>6.2810000000000005E-2</v>
      </c>
      <c r="D200">
        <v>5.8659999999999997E-2</v>
      </c>
      <c r="E200">
        <v>5.9130000000000002E-2</v>
      </c>
      <c r="F200">
        <v>33620459.5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-0.77349397590361246</v>
      </c>
      <c r="Q200">
        <f t="shared" si="960"/>
        <v>-26005222.89036138</v>
      </c>
      <c r="R200">
        <f t="shared" si="961"/>
        <v>-1787853371.2362695</v>
      </c>
      <c r="S200">
        <f t="shared" si="962"/>
        <v>-17878.533712362696</v>
      </c>
      <c r="T200">
        <f t="shared" si="963"/>
        <v>-17.878533712362696</v>
      </c>
    </row>
    <row r="201" spans="1:20" x14ac:dyDescent="0.25">
      <c r="A201" s="5">
        <v>44392</v>
      </c>
      <c r="B201">
        <v>6.2429999999999999E-2</v>
      </c>
      <c r="C201">
        <v>6.4329999999999998E-2</v>
      </c>
      <c r="D201">
        <v>5.8999999999999997E-2</v>
      </c>
      <c r="E201">
        <v>6.0130000000000003E-2</v>
      </c>
      <c r="F201">
        <v>30650024.600000001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-0.57598499061913477</v>
      </c>
      <c r="Q201">
        <f t="shared" si="960"/>
        <v>-17653954.131707251</v>
      </c>
      <c r="R201">
        <f t="shared" si="961"/>
        <v>-1761848148.3459082</v>
      </c>
      <c r="S201">
        <f t="shared" si="962"/>
        <v>-17618.481483459083</v>
      </c>
      <c r="T201">
        <f t="shared" si="963"/>
        <v>-17.618481483459082</v>
      </c>
    </row>
    <row r="202" spans="1:20" x14ac:dyDescent="0.25">
      <c r="A202" s="5">
        <v>44391</v>
      </c>
      <c r="B202">
        <v>6.1879999999999998E-2</v>
      </c>
      <c r="C202">
        <v>6.5299999999999997E-2</v>
      </c>
      <c r="D202">
        <v>5.978E-2</v>
      </c>
      <c r="E202">
        <v>6.2489999999999997E-2</v>
      </c>
      <c r="F202">
        <v>29635832</v>
      </c>
      <c r="G202">
        <v>0</v>
      </c>
      <c r="L202" t="s">
        <v>8</v>
      </c>
      <c r="M202" t="s">
        <v>7</v>
      </c>
      <c r="N202" t="s">
        <v>8</v>
      </c>
      <c r="P202">
        <f t="shared" si="959"/>
        <v>-1.8115942028986035E-2</v>
      </c>
      <c r="Q202">
        <f t="shared" si="960"/>
        <v>-536881.01449276926</v>
      </c>
      <c r="R202">
        <f t="shared" si="961"/>
        <v>-1744194194.214201</v>
      </c>
      <c r="S202">
        <f t="shared" si="962"/>
        <v>-17441.94194214201</v>
      </c>
      <c r="T202">
        <f t="shared" si="963"/>
        <v>-17.441941942142009</v>
      </c>
    </row>
    <row r="203" spans="1:20" x14ac:dyDescent="0.25">
      <c r="A203" s="5">
        <v>44390</v>
      </c>
      <c r="B203">
        <v>6.3589999999999994E-2</v>
      </c>
      <c r="C203">
        <v>6.4479999999999996E-2</v>
      </c>
      <c r="D203">
        <v>5.8650000000000001E-2</v>
      </c>
      <c r="E203">
        <v>6.1870000000000001E-2</v>
      </c>
      <c r="F203">
        <v>32689559.199999999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0.10463121783876619</v>
      </c>
      <c r="Q203">
        <f t="shared" si="960"/>
        <v>3420348.3897084435</v>
      </c>
      <c r="R203">
        <f t="shared" si="961"/>
        <v>-1743657313.1997082</v>
      </c>
      <c r="S203">
        <f t="shared" si="962"/>
        <v>-17436.573131997084</v>
      </c>
      <c r="T203">
        <f t="shared" si="963"/>
        <v>-17.436573131997083</v>
      </c>
    </row>
    <row r="204" spans="1:20" x14ac:dyDescent="0.25">
      <c r="A204" s="5">
        <v>44389</v>
      </c>
      <c r="B204">
        <v>6.6970000000000002E-2</v>
      </c>
      <c r="C204">
        <v>6.855E-2</v>
      </c>
      <c r="D204">
        <v>6.1890000000000001E-2</v>
      </c>
      <c r="E204">
        <v>6.3560000000000005E-2</v>
      </c>
      <c r="F204">
        <v>21733095.399999999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-0.49849849849849698</v>
      </c>
      <c r="Q204">
        <f t="shared" si="960"/>
        <v>-10833915.42462459</v>
      </c>
      <c r="R204">
        <f t="shared" si="961"/>
        <v>-1747077661.5894167</v>
      </c>
      <c r="S204">
        <f t="shared" si="962"/>
        <v>-17470.776615894167</v>
      </c>
      <c r="T204">
        <f t="shared" si="963"/>
        <v>-17.470776615894167</v>
      </c>
    </row>
    <row r="205" spans="1:20" x14ac:dyDescent="0.25">
      <c r="A205" s="5">
        <v>44388</v>
      </c>
      <c r="B205">
        <v>6.59E-2</v>
      </c>
      <c r="C205">
        <v>6.8010000000000001E-2</v>
      </c>
      <c r="D205">
        <v>6.4100000000000004E-2</v>
      </c>
      <c r="E205">
        <v>6.6970000000000002E-2</v>
      </c>
      <c r="F205">
        <v>37386971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0.46803069053708435</v>
      </c>
      <c r="Q205">
        <f t="shared" si="960"/>
        <v>17498249.854219947</v>
      </c>
      <c r="R205">
        <f t="shared" si="961"/>
        <v>-1736243746.1647921</v>
      </c>
      <c r="S205">
        <f t="shared" si="962"/>
        <v>-17362.437461647922</v>
      </c>
      <c r="T205">
        <f t="shared" si="963"/>
        <v>-17.362437461647922</v>
      </c>
    </row>
    <row r="206" spans="1:20" x14ac:dyDescent="0.25">
      <c r="A206" s="5">
        <v>44387</v>
      </c>
      <c r="B206">
        <v>6.8430000000000005E-2</v>
      </c>
      <c r="C206">
        <v>6.9349999999999995E-2</v>
      </c>
      <c r="D206">
        <v>6.5390000000000004E-2</v>
      </c>
      <c r="E206">
        <v>6.5909999999999996E-2</v>
      </c>
      <c r="F206">
        <v>27211962.899999999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-0.73737373737374046</v>
      </c>
      <c r="Q206">
        <f t="shared" si="960"/>
        <v>-20065386.784848567</v>
      </c>
      <c r="R206">
        <f t="shared" si="961"/>
        <v>-1753741996.019012</v>
      </c>
      <c r="S206">
        <f t="shared" si="962"/>
        <v>-17537.41996019012</v>
      </c>
      <c r="T206">
        <f t="shared" si="963"/>
        <v>-17.537419960190121</v>
      </c>
    </row>
    <row r="207" spans="1:20" x14ac:dyDescent="0.25">
      <c r="A207" s="5">
        <v>44386</v>
      </c>
      <c r="B207">
        <v>6.6769999999999996E-2</v>
      </c>
      <c r="C207">
        <v>7.2319999999999995E-2</v>
      </c>
      <c r="D207">
        <v>6.5360000000000001E-2</v>
      </c>
      <c r="E207">
        <v>6.8349999999999994E-2</v>
      </c>
      <c r="F207">
        <v>71752833.099999994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-0.14080459770115078</v>
      </c>
      <c r="Q207">
        <f t="shared" si="960"/>
        <v>-10103128.798563315</v>
      </c>
      <c r="R207">
        <f t="shared" si="961"/>
        <v>-1733676609.2341635</v>
      </c>
      <c r="S207">
        <f t="shared" si="962"/>
        <v>-17336.766092341637</v>
      </c>
      <c r="T207">
        <f t="shared" si="963"/>
        <v>-17.336766092341637</v>
      </c>
    </row>
    <row r="208" spans="1:20" x14ac:dyDescent="0.25">
      <c r="A208" s="5">
        <v>44385</v>
      </c>
      <c r="B208">
        <v>6.8890000000000007E-2</v>
      </c>
      <c r="C208">
        <v>7.2330000000000005E-2</v>
      </c>
      <c r="D208">
        <v>6.2960000000000002E-2</v>
      </c>
      <c r="E208">
        <v>6.6769999999999996E-2</v>
      </c>
      <c r="F208">
        <v>97947582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-0.18676627534685322</v>
      </c>
      <c r="Q208">
        <f t="shared" si="960"/>
        <v>-18293305.069370486</v>
      </c>
      <c r="R208">
        <f t="shared" si="961"/>
        <v>-1723573480.4356003</v>
      </c>
      <c r="S208">
        <f t="shared" si="962"/>
        <v>-17235.734804356001</v>
      </c>
      <c r="T208">
        <f t="shared" si="963"/>
        <v>-17.235734804356003</v>
      </c>
    </row>
    <row r="209" spans="1:20" x14ac:dyDescent="0.25">
      <c r="A209" s="5">
        <v>44384</v>
      </c>
      <c r="B209">
        <v>6.5089999999999995E-2</v>
      </c>
      <c r="C209">
        <v>7.3999999999999996E-2</v>
      </c>
      <c r="D209">
        <v>6.3519999999999993E-2</v>
      </c>
      <c r="E209">
        <v>6.8860000000000005E-2</v>
      </c>
      <c r="F209">
        <v>87293629.200000003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1.9083969465650719E-2</v>
      </c>
      <c r="Q209">
        <f t="shared" si="960"/>
        <v>1665908.9541986361</v>
      </c>
      <c r="R209">
        <f t="shared" si="961"/>
        <v>-1705280175.3662298</v>
      </c>
      <c r="S209">
        <f t="shared" si="962"/>
        <v>-17052.801753662297</v>
      </c>
      <c r="T209">
        <f t="shared" si="963"/>
        <v>-17.052801753662298</v>
      </c>
    </row>
    <row r="210" spans="1:20" x14ac:dyDescent="0.25">
      <c r="A210" s="5">
        <v>44383</v>
      </c>
      <c r="B210">
        <v>6.2149999999999997E-2</v>
      </c>
      <c r="C210">
        <v>6.6869999999999999E-2</v>
      </c>
      <c r="D210">
        <v>6.2109999999999999E-2</v>
      </c>
      <c r="E210">
        <v>6.5079999999999999E-2</v>
      </c>
      <c r="F210">
        <v>41400188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0.24789915966386564</v>
      </c>
      <c r="Q210">
        <f t="shared" si="960"/>
        <v>10263071.815126054</v>
      </c>
      <c r="R210">
        <f t="shared" si="961"/>
        <v>-1706946084.3204284</v>
      </c>
      <c r="S210">
        <f t="shared" si="962"/>
        <v>-17069.460843204284</v>
      </c>
      <c r="T210">
        <f t="shared" si="963"/>
        <v>-17.069460843204283</v>
      </c>
    </row>
    <row r="211" spans="1:20" x14ac:dyDescent="0.25">
      <c r="A211" s="5">
        <v>44382</v>
      </c>
      <c r="B211">
        <v>6.6519999999999996E-2</v>
      </c>
      <c r="C211">
        <v>6.6689999999999999E-2</v>
      </c>
      <c r="D211">
        <v>6.1060000000000003E-2</v>
      </c>
      <c r="E211">
        <v>6.2219999999999998E-2</v>
      </c>
      <c r="F211">
        <v>36680937.899999999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-0.58792184724689334</v>
      </c>
      <c r="Q211">
        <f t="shared" si="960"/>
        <v>-21565524.768916581</v>
      </c>
      <c r="R211">
        <f t="shared" si="961"/>
        <v>-1717209156.1355543</v>
      </c>
      <c r="S211">
        <f t="shared" si="962"/>
        <v>-17172.091561355544</v>
      </c>
      <c r="T211">
        <f t="shared" si="963"/>
        <v>-17.172091561355543</v>
      </c>
    </row>
    <row r="212" spans="1:20" x14ac:dyDescent="0.25">
      <c r="A212" s="5">
        <v>44381</v>
      </c>
      <c r="B212">
        <v>6.7809999999999995E-2</v>
      </c>
      <c r="C212">
        <v>6.8339999999999998E-2</v>
      </c>
      <c r="D212">
        <v>6.336E-2</v>
      </c>
      <c r="E212">
        <v>6.6549999999999998E-2</v>
      </c>
      <c r="F212">
        <v>81841176.099999994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0.28112449799196765</v>
      </c>
      <c r="Q212">
        <f t="shared" si="960"/>
        <v>23007559.546184719</v>
      </c>
      <c r="R212">
        <f t="shared" si="961"/>
        <v>-1695643631.3666377</v>
      </c>
      <c r="S212">
        <f t="shared" si="962"/>
        <v>-16956.436313666378</v>
      </c>
      <c r="T212">
        <f t="shared" si="963"/>
        <v>-16.956436313666376</v>
      </c>
    </row>
    <row r="213" spans="1:20" x14ac:dyDescent="0.25">
      <c r="A213" s="5">
        <v>44380</v>
      </c>
      <c r="B213">
        <v>6.8419999999999995E-2</v>
      </c>
      <c r="C213">
        <v>7.0989999999999998E-2</v>
      </c>
      <c r="D213">
        <v>6.3439999999999996E-2</v>
      </c>
      <c r="E213">
        <v>6.8099999999999994E-2</v>
      </c>
      <c r="F213">
        <v>154929729.5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0.23443708609271438</v>
      </c>
      <c r="Q213">
        <f t="shared" si="960"/>
        <v>36321274.333112448</v>
      </c>
      <c r="R213">
        <f t="shared" si="961"/>
        <v>-1718651190.9128225</v>
      </c>
      <c r="S213">
        <f t="shared" si="962"/>
        <v>-17186.511909128225</v>
      </c>
      <c r="T213">
        <f t="shared" si="963"/>
        <v>-17.186511909128225</v>
      </c>
    </row>
    <row r="214" spans="1:20" x14ac:dyDescent="0.25">
      <c r="A214" s="5">
        <v>44379</v>
      </c>
      <c r="B214">
        <v>5.4690000000000003E-2</v>
      </c>
      <c r="C214">
        <v>7.2499999999999995E-2</v>
      </c>
      <c r="D214">
        <v>5.3469999999999997E-2</v>
      </c>
      <c r="E214">
        <v>6.8400000000000002E-2</v>
      </c>
      <c r="F214">
        <v>199098398.09999999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0.56910141881240217</v>
      </c>
      <c r="Q214">
        <f t="shared" si="960"/>
        <v>113307180.84198648</v>
      </c>
      <c r="R214">
        <f t="shared" si="961"/>
        <v>-1754972465.245935</v>
      </c>
      <c r="S214">
        <f t="shared" si="962"/>
        <v>-17549.72465245935</v>
      </c>
      <c r="T214">
        <f t="shared" si="963"/>
        <v>-17.54972465245935</v>
      </c>
    </row>
    <row r="215" spans="1:20" x14ac:dyDescent="0.25">
      <c r="A215" s="5">
        <v>44378</v>
      </c>
      <c r="B215">
        <v>5.6000000000000001E-2</v>
      </c>
      <c r="C215">
        <v>5.6610000000000001E-2</v>
      </c>
      <c r="D215">
        <v>5.321E-2</v>
      </c>
      <c r="E215">
        <v>5.4649999999999997E-2</v>
      </c>
      <c r="F215">
        <v>22310488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-0.15294117647059016</v>
      </c>
      <c r="Q215">
        <f t="shared" si="960"/>
        <v>-3412192.282352984</v>
      </c>
      <c r="R215">
        <f t="shared" si="961"/>
        <v>-1868279646.0879214</v>
      </c>
      <c r="S215">
        <f t="shared" si="962"/>
        <v>-18682.796460879214</v>
      </c>
      <c r="T215">
        <f t="shared" si="963"/>
        <v>-18.682796460879214</v>
      </c>
    </row>
    <row r="216" spans="1:20" x14ac:dyDescent="0.25">
      <c r="A216" s="5">
        <v>44377</v>
      </c>
      <c r="B216">
        <v>5.858E-2</v>
      </c>
      <c r="C216">
        <v>5.8990000000000001E-2</v>
      </c>
      <c r="D216">
        <v>5.2679999999999998E-2</v>
      </c>
      <c r="E216">
        <v>5.602E-2</v>
      </c>
      <c r="F216">
        <v>37761227.399999999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5.8637083993661188E-2</v>
      </c>
      <c r="Q216">
        <f t="shared" si="960"/>
        <v>2214208.2627575402</v>
      </c>
      <c r="R216">
        <f t="shared" si="961"/>
        <v>-1864867453.8055685</v>
      </c>
      <c r="S216">
        <f t="shared" si="962"/>
        <v>-18648.674538055686</v>
      </c>
      <c r="T216">
        <f t="shared" si="963"/>
        <v>-18.648674538055687</v>
      </c>
    </row>
    <row r="217" spans="1:20" x14ac:dyDescent="0.25">
      <c r="A217" s="5">
        <v>44376</v>
      </c>
      <c r="B217">
        <v>5.4719999999999998E-2</v>
      </c>
      <c r="C217">
        <v>6.139E-2</v>
      </c>
      <c r="D217">
        <v>5.4670000000000003E-2</v>
      </c>
      <c r="E217">
        <v>5.858E-2</v>
      </c>
      <c r="F217">
        <v>59712683.399999999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0.1636904761904758</v>
      </c>
      <c r="Q217">
        <f t="shared" si="960"/>
        <v>9774397.5803571194</v>
      </c>
      <c r="R217">
        <f t="shared" si="961"/>
        <v>-1867081662.068326</v>
      </c>
      <c r="S217">
        <f t="shared" si="962"/>
        <v>-18670.816620683261</v>
      </c>
      <c r="T217">
        <f t="shared" si="963"/>
        <v>-18.670816620683262</v>
      </c>
    </row>
    <row r="218" spans="1:20" x14ac:dyDescent="0.25">
      <c r="A218" s="5">
        <v>44375</v>
      </c>
      <c r="B218">
        <v>5.2400000000000002E-2</v>
      </c>
      <c r="C218">
        <v>5.5890000000000002E-2</v>
      </c>
      <c r="D218">
        <v>5.0970000000000001E-2</v>
      </c>
      <c r="E218">
        <v>5.4670000000000003E-2</v>
      </c>
      <c r="F218">
        <v>32703988.100000001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0.50406504065040703</v>
      </c>
      <c r="Q218">
        <f t="shared" si="960"/>
        <v>16484937.091056928</v>
      </c>
      <c r="R218">
        <f t="shared" si="961"/>
        <v>-1876856059.6486831</v>
      </c>
      <c r="S218">
        <f t="shared" si="962"/>
        <v>-18768.56059648683</v>
      </c>
      <c r="T218">
        <f t="shared" si="963"/>
        <v>-18.768560596486829</v>
      </c>
    </row>
    <row r="219" spans="1:20" x14ac:dyDescent="0.25">
      <c r="A219" s="5">
        <v>44374</v>
      </c>
      <c r="B219">
        <v>4.8529999999999997E-2</v>
      </c>
      <c r="C219">
        <v>5.672E-2</v>
      </c>
      <c r="D219">
        <v>4.8280000000000003E-2</v>
      </c>
      <c r="E219">
        <v>5.2499999999999998E-2</v>
      </c>
      <c r="F219">
        <v>52269972.799999997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-8.221438274771601E-16</v>
      </c>
      <c r="Q219">
        <f t="shared" si="960"/>
        <v>-4.2973435499919051E-8</v>
      </c>
      <c r="R219">
        <f t="shared" si="961"/>
        <v>-1893340996.7397399</v>
      </c>
      <c r="S219">
        <f t="shared" si="962"/>
        <v>-18933.409967397398</v>
      </c>
      <c r="T219">
        <f t="shared" si="963"/>
        <v>-18.933409967397399</v>
      </c>
    </row>
    <row r="220" spans="1:20" x14ac:dyDescent="0.25">
      <c r="A220" s="5">
        <v>44373</v>
      </c>
      <c r="B220">
        <v>4.8039999999999999E-2</v>
      </c>
      <c r="C220">
        <v>4.9869999999999998E-2</v>
      </c>
      <c r="D220">
        <v>4.632E-2</v>
      </c>
      <c r="E220">
        <v>4.8469999999999999E-2</v>
      </c>
      <c r="F220">
        <v>38080543.899999999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0.21126760563380315</v>
      </c>
      <c r="Q220">
        <f t="shared" si="960"/>
        <v>8045185.330985928</v>
      </c>
      <c r="R220">
        <f t="shared" si="961"/>
        <v>-1893340996.7397399</v>
      </c>
      <c r="S220">
        <f t="shared" si="962"/>
        <v>-18933.409967397398</v>
      </c>
      <c r="T220">
        <f t="shared" si="963"/>
        <v>-18.933409967397399</v>
      </c>
    </row>
    <row r="221" spans="1:20" x14ac:dyDescent="0.25">
      <c r="A221" s="5">
        <v>44372</v>
      </c>
      <c r="B221">
        <v>5.4510000000000003E-2</v>
      </c>
      <c r="C221">
        <v>5.5379999999999999E-2</v>
      </c>
      <c r="D221">
        <v>4.8000000000000001E-2</v>
      </c>
      <c r="E221">
        <v>4.8070000000000002E-2</v>
      </c>
      <c r="F221">
        <v>51379900.899999999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-0.98102981029810277</v>
      </c>
      <c r="Q221">
        <f t="shared" si="960"/>
        <v>-50405214.433062315</v>
      </c>
      <c r="R221">
        <f t="shared" si="961"/>
        <v>-1901386182.0707259</v>
      </c>
      <c r="S221">
        <f t="shared" si="962"/>
        <v>-19013.861820707258</v>
      </c>
      <c r="T221">
        <f t="shared" si="963"/>
        <v>-19.013861820707259</v>
      </c>
    </row>
    <row r="222" spans="1:20" x14ac:dyDescent="0.25">
      <c r="A222" s="5">
        <v>44371</v>
      </c>
      <c r="B222">
        <v>5.4670000000000003E-2</v>
      </c>
      <c r="C222">
        <v>5.5500000000000001E-2</v>
      </c>
      <c r="D222">
        <v>5.2139999999999999E-2</v>
      </c>
      <c r="E222">
        <v>5.4539999999999998E-2</v>
      </c>
      <c r="F222">
        <v>47408795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0.42857142857142738</v>
      </c>
      <c r="Q222">
        <f t="shared" si="960"/>
        <v>20318054.999999944</v>
      </c>
      <c r="R222">
        <f t="shared" si="961"/>
        <v>-1850980967.6376636</v>
      </c>
      <c r="S222">
        <f t="shared" si="962"/>
        <v>-18509.809676376637</v>
      </c>
      <c r="T222">
        <f t="shared" si="963"/>
        <v>-18.509809676376637</v>
      </c>
    </row>
    <row r="223" spans="1:20" x14ac:dyDescent="0.25">
      <c r="A223" s="5">
        <v>44370</v>
      </c>
      <c r="B223">
        <v>5.5160000000000001E-2</v>
      </c>
      <c r="C223">
        <v>5.8009999999999999E-2</v>
      </c>
      <c r="D223">
        <v>5.2510000000000001E-2</v>
      </c>
      <c r="E223">
        <v>5.4690000000000003E-2</v>
      </c>
      <c r="F223">
        <v>58803412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-0.20727272727272647</v>
      </c>
      <c r="Q223">
        <f t="shared" si="960"/>
        <v>-12188343.578181772</v>
      </c>
      <c r="R223">
        <f t="shared" si="961"/>
        <v>-1871299022.6376636</v>
      </c>
      <c r="S223">
        <f t="shared" si="962"/>
        <v>-18712.990226376634</v>
      </c>
      <c r="T223">
        <f t="shared" si="963"/>
        <v>-18.712990226376636</v>
      </c>
    </row>
    <row r="224" spans="1:20" x14ac:dyDescent="0.25">
      <c r="A224" s="5">
        <v>44369</v>
      </c>
      <c r="B224">
        <v>5.083E-2</v>
      </c>
      <c r="C224">
        <v>5.987E-2</v>
      </c>
      <c r="D224">
        <v>4.4979999999999999E-2</v>
      </c>
      <c r="E224">
        <v>5.5169999999999997E-2</v>
      </c>
      <c r="F224">
        <v>103142657.7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0.36870382807253155</v>
      </c>
      <c r="Q224">
        <f t="shared" si="960"/>
        <v>38029092.731564775</v>
      </c>
      <c r="R224">
        <f t="shared" si="961"/>
        <v>-1859110679.0594819</v>
      </c>
      <c r="S224">
        <f t="shared" si="962"/>
        <v>-18591.106790594818</v>
      </c>
      <c r="T224">
        <f t="shared" si="963"/>
        <v>-18.591106790594818</v>
      </c>
    </row>
    <row r="225" spans="1:20" x14ac:dyDescent="0.25">
      <c r="A225" s="5">
        <v>44368</v>
      </c>
      <c r="B225">
        <v>6.3820000000000002E-2</v>
      </c>
      <c r="C225">
        <v>6.4180000000000001E-2</v>
      </c>
      <c r="D225">
        <v>5.0389999999999997E-2</v>
      </c>
      <c r="E225">
        <v>5.0869999999999999E-2</v>
      </c>
      <c r="F225">
        <v>78497050.200000003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-0.93038433647570684</v>
      </c>
      <c r="Q225">
        <f t="shared" si="960"/>
        <v>-73032425.965627253</v>
      </c>
      <c r="R225">
        <f t="shared" si="961"/>
        <v>-1897139771.7910466</v>
      </c>
      <c r="S225">
        <f t="shared" si="962"/>
        <v>-18971.397717910466</v>
      </c>
      <c r="T225">
        <f t="shared" si="963"/>
        <v>-18.971397717910467</v>
      </c>
    </row>
    <row r="226" spans="1:20" x14ac:dyDescent="0.25">
      <c r="A226" s="5">
        <v>44367</v>
      </c>
      <c r="B226">
        <v>6.4710000000000004E-2</v>
      </c>
      <c r="C226">
        <v>6.5740000000000007E-2</v>
      </c>
      <c r="D226">
        <v>5.9029999999999999E-2</v>
      </c>
      <c r="E226">
        <v>6.3769999999999993E-2</v>
      </c>
      <c r="F226">
        <v>57627334.700000003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0.41281669150521277</v>
      </c>
      <c r="Q226">
        <f t="shared" si="960"/>
        <v>23789525.651117545</v>
      </c>
      <c r="R226">
        <f t="shared" si="961"/>
        <v>-1824107345.8254194</v>
      </c>
      <c r="S226">
        <f t="shared" si="962"/>
        <v>-18241.073458254195</v>
      </c>
      <c r="T226">
        <f t="shared" si="963"/>
        <v>-18.241073458254196</v>
      </c>
    </row>
    <row r="227" spans="1:20" x14ac:dyDescent="0.25">
      <c r="A227" s="5">
        <v>44366</v>
      </c>
      <c r="B227">
        <v>6.6439999999999999E-2</v>
      </c>
      <c r="C227">
        <v>6.8650000000000003E-2</v>
      </c>
      <c r="D227">
        <v>6.4600000000000005E-2</v>
      </c>
      <c r="E227">
        <v>6.4729999999999996E-2</v>
      </c>
      <c r="F227">
        <v>24138037.699999999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-0.93580246913580678</v>
      </c>
      <c r="Q227">
        <f t="shared" si="960"/>
        <v>-22588435.27975319</v>
      </c>
      <c r="R227">
        <f t="shared" si="961"/>
        <v>-1847896871.476537</v>
      </c>
      <c r="S227">
        <f t="shared" si="962"/>
        <v>-18478.968714765371</v>
      </c>
      <c r="T227">
        <f t="shared" si="963"/>
        <v>-18.478968714765372</v>
      </c>
    </row>
    <row r="228" spans="1:20" x14ac:dyDescent="0.25">
      <c r="A228" s="5">
        <v>44365</v>
      </c>
      <c r="B228">
        <v>7.1819999999999995E-2</v>
      </c>
      <c r="C228">
        <v>7.2270000000000001E-2</v>
      </c>
      <c r="D228">
        <v>6.5000000000000002E-2</v>
      </c>
      <c r="E228">
        <v>6.651E-2</v>
      </c>
      <c r="F228">
        <v>37194983.799999997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-0.58459422283356322</v>
      </c>
      <c r="Q228">
        <f t="shared" si="960"/>
        <v>-21743972.647867974</v>
      </c>
      <c r="R228">
        <f t="shared" si="961"/>
        <v>-1825308436.1967838</v>
      </c>
      <c r="S228">
        <f t="shared" si="962"/>
        <v>-18253.084361967838</v>
      </c>
      <c r="T228">
        <f t="shared" si="963"/>
        <v>-18.253084361967836</v>
      </c>
    </row>
    <row r="229" spans="1:20" x14ac:dyDescent="0.25">
      <c r="A229" s="5">
        <v>44364</v>
      </c>
      <c r="B229">
        <v>7.2419999999999998E-2</v>
      </c>
      <c r="C229">
        <v>7.85E-2</v>
      </c>
      <c r="D229">
        <v>6.9519999999999998E-2</v>
      </c>
      <c r="E229">
        <v>7.1599999999999997E-2</v>
      </c>
      <c r="F229">
        <v>112136305.09999999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-0.5367483296213813</v>
      </c>
      <c r="Q229">
        <f t="shared" si="960"/>
        <v>-60188974.452338576</v>
      </c>
      <c r="R229">
        <f t="shared" si="961"/>
        <v>-1803564463.5489159</v>
      </c>
      <c r="S229">
        <f t="shared" si="962"/>
        <v>-18035.64463548916</v>
      </c>
      <c r="T229">
        <f t="shared" si="963"/>
        <v>-18.03564463548916</v>
      </c>
    </row>
    <row r="230" spans="1:20" x14ac:dyDescent="0.25">
      <c r="A230" s="5">
        <v>44363</v>
      </c>
      <c r="B230">
        <v>7.7810000000000004E-2</v>
      </c>
      <c r="C230">
        <v>8.3119999999999999E-2</v>
      </c>
      <c r="D230">
        <v>7.1480000000000002E-2</v>
      </c>
      <c r="E230">
        <v>7.2480000000000003E-2</v>
      </c>
      <c r="F230">
        <v>111293761.09999999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-0.82817869415807543</v>
      </c>
      <c r="Q230">
        <f t="shared" si="960"/>
        <v>-92171121.735738814</v>
      </c>
      <c r="R230">
        <f t="shared" si="961"/>
        <v>-1743375489.0965772</v>
      </c>
      <c r="S230">
        <f t="shared" si="962"/>
        <v>-17433.754890965771</v>
      </c>
      <c r="T230">
        <f t="shared" si="963"/>
        <v>-17.433754890965769</v>
      </c>
    </row>
    <row r="231" spans="1:20" x14ac:dyDescent="0.25">
      <c r="A231" s="5">
        <v>44362</v>
      </c>
      <c r="B231">
        <v>7.2679999999999995E-2</v>
      </c>
      <c r="C231">
        <v>8.1949999999999995E-2</v>
      </c>
      <c r="D231">
        <v>7.1999999999999995E-2</v>
      </c>
      <c r="E231">
        <v>7.7799999999999994E-2</v>
      </c>
      <c r="F231">
        <v>84407295.200000003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0.16582914572864307</v>
      </c>
      <c r="Q231">
        <f t="shared" si="960"/>
        <v>13997189.656281395</v>
      </c>
      <c r="R231">
        <f t="shared" si="961"/>
        <v>-1651204367.3608384</v>
      </c>
      <c r="S231">
        <f t="shared" si="962"/>
        <v>-16512.043673608383</v>
      </c>
      <c r="T231">
        <f t="shared" si="963"/>
        <v>-16.512043673608382</v>
      </c>
    </row>
    <row r="232" spans="1:20" x14ac:dyDescent="0.25">
      <c r="A232" s="5">
        <v>44361</v>
      </c>
      <c r="B232">
        <v>7.0400000000000004E-2</v>
      </c>
      <c r="C232">
        <v>7.8979999999999995E-2</v>
      </c>
      <c r="D232">
        <v>6.9870000000000002E-2</v>
      </c>
      <c r="E232">
        <v>7.2550000000000003E-2</v>
      </c>
      <c r="F232">
        <v>45502715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-0.41163556531284218</v>
      </c>
      <c r="Q232">
        <f t="shared" si="960"/>
        <v>-18730535.812294144</v>
      </c>
      <c r="R232">
        <f t="shared" si="961"/>
        <v>-1665201557.0171199</v>
      </c>
      <c r="S232">
        <f t="shared" si="962"/>
        <v>-16652.015570171199</v>
      </c>
      <c r="T232">
        <f t="shared" si="963"/>
        <v>-16.652015570171198</v>
      </c>
    </row>
    <row r="233" spans="1:20" x14ac:dyDescent="0.25">
      <c r="A233" s="5">
        <v>44360</v>
      </c>
      <c r="B233">
        <v>6.6400000000000001E-2</v>
      </c>
      <c r="C233">
        <v>7.1590000000000001E-2</v>
      </c>
      <c r="D233">
        <v>6.515E-2</v>
      </c>
      <c r="E233">
        <v>7.0400000000000004E-2</v>
      </c>
      <c r="F233">
        <v>34054407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0.63043478260869679</v>
      </c>
      <c r="Q233">
        <f t="shared" si="960"/>
        <v>21469082.673913084</v>
      </c>
      <c r="R233">
        <f t="shared" si="961"/>
        <v>-1646471021.2048256</v>
      </c>
      <c r="S233">
        <f t="shared" si="962"/>
        <v>-16464.710212048256</v>
      </c>
      <c r="T233">
        <f t="shared" si="963"/>
        <v>-16.464710212048256</v>
      </c>
    </row>
    <row r="234" spans="1:20" x14ac:dyDescent="0.25">
      <c r="A234" s="5">
        <v>44359</v>
      </c>
      <c r="B234">
        <v>7.1069999999999994E-2</v>
      </c>
      <c r="C234">
        <v>7.1069999999999994E-2</v>
      </c>
      <c r="D234">
        <v>6.5000000000000002E-2</v>
      </c>
      <c r="E234">
        <v>6.6360000000000002E-2</v>
      </c>
      <c r="F234">
        <v>35707562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-0.55189456342668797</v>
      </c>
      <c r="Q234">
        <f t="shared" si="960"/>
        <v>-19706809.341021392</v>
      </c>
      <c r="R234">
        <f t="shared" si="961"/>
        <v>-1667940103.8787386</v>
      </c>
      <c r="S234">
        <f t="shared" si="962"/>
        <v>-16679.401038787386</v>
      </c>
      <c r="T234">
        <f t="shared" si="963"/>
        <v>-16.679401038787386</v>
      </c>
    </row>
    <row r="235" spans="1:20" x14ac:dyDescent="0.25">
      <c r="A235" s="5">
        <v>44358</v>
      </c>
      <c r="B235">
        <v>6.9409999999999999E-2</v>
      </c>
      <c r="C235">
        <v>7.2980000000000003E-2</v>
      </c>
      <c r="D235">
        <v>6.7860000000000004E-2</v>
      </c>
      <c r="E235">
        <v>7.0949999999999999E-2</v>
      </c>
      <c r="F235">
        <v>32666233.800000001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0.20703124999999836</v>
      </c>
      <c r="Q235">
        <f t="shared" si="960"/>
        <v>6762931.2164061964</v>
      </c>
      <c r="R235">
        <f t="shared" si="961"/>
        <v>-1648233294.5377173</v>
      </c>
      <c r="S235">
        <f t="shared" si="962"/>
        <v>-16482.332945377173</v>
      </c>
      <c r="T235">
        <f t="shared" si="963"/>
        <v>-16.482332945377173</v>
      </c>
    </row>
    <row r="236" spans="1:20" x14ac:dyDescent="0.25">
      <c r="A236" s="5">
        <v>44357</v>
      </c>
      <c r="B236">
        <v>7.2270000000000001E-2</v>
      </c>
      <c r="C236">
        <v>7.5170000000000001E-2</v>
      </c>
      <c r="D236">
        <v>6.8250000000000005E-2</v>
      </c>
      <c r="E236">
        <v>6.9400000000000003E-2</v>
      </c>
      <c r="F236">
        <v>40792862.5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-0.66763005780346851</v>
      </c>
      <c r="Q236">
        <f t="shared" si="960"/>
        <v>-27234541.148843944</v>
      </c>
      <c r="R236">
        <f t="shared" si="961"/>
        <v>-1654996225.7541234</v>
      </c>
      <c r="S236">
        <f t="shared" si="962"/>
        <v>-16549.962257541236</v>
      </c>
      <c r="T236">
        <f t="shared" si="963"/>
        <v>-16.549962257541235</v>
      </c>
    </row>
    <row r="237" spans="1:20" x14ac:dyDescent="0.25">
      <c r="A237" s="5">
        <v>44356</v>
      </c>
      <c r="B237">
        <v>6.8000000000000005E-2</v>
      </c>
      <c r="C237">
        <v>7.7950000000000005E-2</v>
      </c>
      <c r="D237">
        <v>6.4589999999999995E-2</v>
      </c>
      <c r="E237">
        <v>7.2249999999999995E-2</v>
      </c>
      <c r="F237">
        <v>66643737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0.14670658682634641</v>
      </c>
      <c r="Q237">
        <f t="shared" si="960"/>
        <v>9777075.1886226945</v>
      </c>
      <c r="R237">
        <f t="shared" si="961"/>
        <v>-1627761684.6052794</v>
      </c>
      <c r="S237">
        <f t="shared" si="962"/>
        <v>-16277.616846052795</v>
      </c>
      <c r="T237">
        <f t="shared" si="963"/>
        <v>-16.277616846052794</v>
      </c>
    </row>
    <row r="238" spans="1:20" x14ac:dyDescent="0.25">
      <c r="A238" s="5">
        <v>44355</v>
      </c>
      <c r="B238">
        <v>6.7369999999999999E-2</v>
      </c>
      <c r="C238">
        <v>6.9980000000000001E-2</v>
      </c>
      <c r="D238">
        <v>6.1940000000000002E-2</v>
      </c>
      <c r="E238">
        <v>6.7890000000000006E-2</v>
      </c>
      <c r="F238">
        <v>59461559.700000003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0.48009950248756345</v>
      </c>
      <c r="Q238">
        <f t="shared" si="960"/>
        <v>28547465.229104552</v>
      </c>
      <c r="R238">
        <f t="shared" si="961"/>
        <v>-1637538759.7939022</v>
      </c>
      <c r="S238">
        <f t="shared" si="962"/>
        <v>-16375.387597939021</v>
      </c>
      <c r="T238">
        <f t="shared" si="963"/>
        <v>-16.375387597939021</v>
      </c>
    </row>
    <row r="239" spans="1:20" x14ac:dyDescent="0.25">
      <c r="A239" s="5">
        <v>44354</v>
      </c>
      <c r="B239">
        <v>7.6590000000000005E-2</v>
      </c>
      <c r="C239">
        <v>7.8659999999999994E-2</v>
      </c>
      <c r="D239">
        <v>6.6780000000000006E-2</v>
      </c>
      <c r="E239">
        <v>6.7470000000000002E-2</v>
      </c>
      <c r="F239">
        <v>52728600.799999997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-0.88383838383838431</v>
      </c>
      <c r="Q239">
        <f t="shared" si="960"/>
        <v>-46603561.313131332</v>
      </c>
      <c r="R239">
        <f t="shared" si="961"/>
        <v>-1666086225.0230067</v>
      </c>
      <c r="S239">
        <f t="shared" si="962"/>
        <v>-16660.862250230068</v>
      </c>
      <c r="T239">
        <f t="shared" si="963"/>
        <v>-16.660862250230068</v>
      </c>
    </row>
    <row r="240" spans="1:20" x14ac:dyDescent="0.25">
      <c r="A240" s="5">
        <v>44353</v>
      </c>
      <c r="B240">
        <v>7.2289999999999993E-2</v>
      </c>
      <c r="C240">
        <v>7.7799999999999994E-2</v>
      </c>
      <c r="D240">
        <v>7.1669999999999998E-2</v>
      </c>
      <c r="E240">
        <v>7.6679999999999998E-2</v>
      </c>
      <c r="F240">
        <v>45870462.399999999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0.6345840130505721</v>
      </c>
      <c r="Q240">
        <f t="shared" si="960"/>
        <v>29108662.110277377</v>
      </c>
      <c r="R240">
        <f t="shared" si="961"/>
        <v>-1619482663.7098753</v>
      </c>
      <c r="S240">
        <f t="shared" si="962"/>
        <v>-16194.826637098753</v>
      </c>
      <c r="T240">
        <f t="shared" si="963"/>
        <v>-16.194826637098753</v>
      </c>
    </row>
    <row r="241" spans="1:20" x14ac:dyDescent="0.25">
      <c r="A241" s="5">
        <v>44352</v>
      </c>
      <c r="B241">
        <v>7.4490000000000001E-2</v>
      </c>
      <c r="C241">
        <v>7.8729999999999994E-2</v>
      </c>
      <c r="D241">
        <v>7.0809999999999998E-2</v>
      </c>
      <c r="E241">
        <v>7.2389999999999996E-2</v>
      </c>
      <c r="F241">
        <v>35509007.399999999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-0.60101010101010133</v>
      </c>
      <c r="Q241">
        <f t="shared" si="960"/>
        <v>-21341272.124242436</v>
      </c>
      <c r="R241">
        <f t="shared" si="961"/>
        <v>-1648591325.8201528</v>
      </c>
      <c r="S241">
        <f t="shared" si="962"/>
        <v>-16485.913258201526</v>
      </c>
      <c r="T241">
        <f t="shared" si="963"/>
        <v>-16.485913258201528</v>
      </c>
    </row>
    <row r="242" spans="1:20" x14ac:dyDescent="0.25">
      <c r="A242" s="5">
        <v>44351</v>
      </c>
      <c r="B242">
        <v>8.2820000000000005E-2</v>
      </c>
      <c r="C242">
        <v>8.3140000000000006E-2</v>
      </c>
      <c r="D242">
        <v>7.2739999999999999E-2</v>
      </c>
      <c r="E242">
        <v>7.4499999999999997E-2</v>
      </c>
      <c r="F242">
        <v>50913630.799999997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-0.66153846153846219</v>
      </c>
      <c r="Q242">
        <f t="shared" si="960"/>
        <v>-33681324.99076926</v>
      </c>
      <c r="R242">
        <f t="shared" si="961"/>
        <v>-1627250053.6959102</v>
      </c>
      <c r="S242">
        <f t="shared" si="962"/>
        <v>-16272.500536959102</v>
      </c>
      <c r="T242">
        <f t="shared" si="963"/>
        <v>-16.2725005369591</v>
      </c>
    </row>
    <row r="243" spans="1:20" x14ac:dyDescent="0.25">
      <c r="A243" s="5">
        <v>44350</v>
      </c>
      <c r="B243">
        <v>8.2419999999999993E-2</v>
      </c>
      <c r="C243">
        <v>8.5589999999999999E-2</v>
      </c>
      <c r="D243">
        <v>7.9600000000000004E-2</v>
      </c>
      <c r="E243">
        <v>8.2809999999999995E-2</v>
      </c>
      <c r="F243">
        <v>43168198.799999997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7.178631051752693E-2</v>
      </c>
      <c r="Q243">
        <f t="shared" si="960"/>
        <v>3098885.7235391331</v>
      </c>
      <c r="R243">
        <f t="shared" si="961"/>
        <v>-1593568728.7051411</v>
      </c>
      <c r="S243">
        <f t="shared" si="962"/>
        <v>-15935.687287051411</v>
      </c>
      <c r="T243">
        <f t="shared" si="963"/>
        <v>-15.93568728705141</v>
      </c>
    </row>
    <row r="244" spans="1:20" x14ac:dyDescent="0.25">
      <c r="A244" s="5">
        <v>44349</v>
      </c>
      <c r="B244">
        <v>7.8179999999999999E-2</v>
      </c>
      <c r="C244">
        <v>8.5000000000000006E-2</v>
      </c>
      <c r="D244">
        <v>7.5829999999999995E-2</v>
      </c>
      <c r="E244">
        <v>8.251E-2</v>
      </c>
      <c r="F244">
        <v>54737710.299999997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0.45692475463467763</v>
      </c>
      <c r="Q244">
        <f t="shared" si="960"/>
        <v>25011014.848091565</v>
      </c>
      <c r="R244">
        <f t="shared" si="961"/>
        <v>-1596667614.4286802</v>
      </c>
      <c r="S244">
        <f t="shared" si="962"/>
        <v>-15966.676144286801</v>
      </c>
      <c r="T244">
        <f t="shared" si="963"/>
        <v>-15.966676144286801</v>
      </c>
    </row>
    <row r="245" spans="1:20" x14ac:dyDescent="0.25">
      <c r="A245" s="5">
        <v>44348</v>
      </c>
      <c r="B245">
        <v>8.1089999999999995E-2</v>
      </c>
      <c r="C245">
        <v>8.4000000000000005E-2</v>
      </c>
      <c r="D245">
        <v>7.7039999999999997E-2</v>
      </c>
      <c r="E245">
        <v>7.8170000000000003E-2</v>
      </c>
      <c r="F245">
        <v>73450341.700000003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-0.67528735632183767</v>
      </c>
      <c r="Q245">
        <f t="shared" si="960"/>
        <v>-49600087.067528635</v>
      </c>
      <c r="R245">
        <f t="shared" si="961"/>
        <v>-1621678629.2767718</v>
      </c>
      <c r="S245">
        <f t="shared" si="962"/>
        <v>-16216.786292767718</v>
      </c>
      <c r="T245">
        <f t="shared" si="963"/>
        <v>-16.216786292767718</v>
      </c>
    </row>
    <row r="246" spans="1:20" x14ac:dyDescent="0.25">
      <c r="A246" s="5">
        <v>44347</v>
      </c>
      <c r="B246">
        <v>7.6100000000000001E-2</v>
      </c>
      <c r="C246">
        <v>8.4000000000000005E-2</v>
      </c>
      <c r="D246">
        <v>7.3480000000000004E-2</v>
      </c>
      <c r="E246">
        <v>8.1049999999999997E-2</v>
      </c>
      <c r="F246">
        <v>77157900.700000003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0.43916349809885785</v>
      </c>
      <c r="Q246">
        <f t="shared" si="960"/>
        <v>33884933.577376314</v>
      </c>
      <c r="R246">
        <f t="shared" si="961"/>
        <v>-1572078542.2092431</v>
      </c>
      <c r="S246">
        <f t="shared" si="962"/>
        <v>-15720.785422092431</v>
      </c>
      <c r="T246">
        <f t="shared" si="963"/>
        <v>-15.720785422092431</v>
      </c>
    </row>
    <row r="247" spans="1:20" x14ac:dyDescent="0.25">
      <c r="A247" s="5">
        <v>44346</v>
      </c>
      <c r="B247">
        <v>6.9529999999999995E-2</v>
      </c>
      <c r="C247">
        <v>8.8849999999999998E-2</v>
      </c>
      <c r="D247">
        <v>6.7659999999999998E-2</v>
      </c>
      <c r="E247">
        <v>7.6060000000000003E-2</v>
      </c>
      <c r="F247">
        <v>123043527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-0.20717319490325584</v>
      </c>
      <c r="Q247">
        <f t="shared" si="960"/>
        <v>-25491320.600755021</v>
      </c>
      <c r="R247">
        <f t="shared" si="961"/>
        <v>-1605963475.7866194</v>
      </c>
      <c r="S247">
        <f t="shared" si="962"/>
        <v>-16059.634757866193</v>
      </c>
      <c r="T247">
        <f t="shared" si="963"/>
        <v>-16.059634757866192</v>
      </c>
    </row>
    <row r="248" spans="1:20" x14ac:dyDescent="0.25">
      <c r="A248" s="5">
        <v>44345</v>
      </c>
      <c r="B248">
        <v>7.6060000000000003E-2</v>
      </c>
      <c r="C248">
        <v>7.8210000000000002E-2</v>
      </c>
      <c r="D248">
        <v>6.7119999999999999E-2</v>
      </c>
      <c r="E248">
        <v>6.9500000000000006E-2</v>
      </c>
      <c r="F248">
        <v>91472189.099999994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-0.57078449053200964</v>
      </c>
      <c r="Q248">
        <f t="shared" si="960"/>
        <v>-52210906.853291139</v>
      </c>
      <c r="R248">
        <f t="shared" si="961"/>
        <v>-1580472155.1858644</v>
      </c>
      <c r="S248">
        <f t="shared" si="962"/>
        <v>-15804.721551858644</v>
      </c>
      <c r="T248">
        <f t="shared" si="963"/>
        <v>-15.804721551858643</v>
      </c>
    </row>
    <row r="249" spans="1:20" x14ac:dyDescent="0.25">
      <c r="A249" s="5">
        <v>44344</v>
      </c>
      <c r="B249">
        <v>8.5639999999999994E-2</v>
      </c>
      <c r="C249">
        <v>9.0819999999999998E-2</v>
      </c>
      <c r="D249">
        <v>7.2270000000000001E-2</v>
      </c>
      <c r="E249">
        <v>7.6189999999999994E-2</v>
      </c>
      <c r="F249">
        <v>148510011.09999999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-0.57735849056603838</v>
      </c>
      <c r="Q249">
        <f t="shared" si="960"/>
        <v>-85743515.842641607</v>
      </c>
      <c r="R249">
        <f t="shared" si="961"/>
        <v>-1528261248.3325734</v>
      </c>
      <c r="S249">
        <f t="shared" si="962"/>
        <v>-15282.612483325735</v>
      </c>
      <c r="T249">
        <f t="shared" si="963"/>
        <v>-15.282612483325735</v>
      </c>
    </row>
    <row r="250" spans="1:20" x14ac:dyDescent="0.25">
      <c r="A250" s="5">
        <v>44343</v>
      </c>
      <c r="B250">
        <v>7.4759999999999993E-2</v>
      </c>
      <c r="C250">
        <v>9.6990000000000007E-2</v>
      </c>
      <c r="D250">
        <v>7.0300000000000001E-2</v>
      </c>
      <c r="E250">
        <v>8.5650000000000004E-2</v>
      </c>
      <c r="F250">
        <v>199266908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0.15024353690520789</v>
      </c>
      <c r="Q250">
        <f t="shared" si="960"/>
        <v>29938565.046084665</v>
      </c>
      <c r="R250">
        <f t="shared" si="961"/>
        <v>-1442517732.4899318</v>
      </c>
      <c r="S250">
        <f t="shared" si="962"/>
        <v>-14425.177324899318</v>
      </c>
      <c r="T250">
        <f t="shared" si="963"/>
        <v>-14.425177324899318</v>
      </c>
    </row>
    <row r="251" spans="1:20" x14ac:dyDescent="0.25">
      <c r="A251" s="5">
        <v>44342</v>
      </c>
      <c r="B251">
        <v>7.2239999999999999E-2</v>
      </c>
      <c r="C251">
        <v>7.9990000000000006E-2</v>
      </c>
      <c r="D251">
        <v>7.0800000000000002E-2</v>
      </c>
      <c r="E251">
        <v>7.4789999999999995E-2</v>
      </c>
      <c r="F251">
        <v>78705209.700000003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-0.13166485310119871</v>
      </c>
      <c r="Q251">
        <f t="shared" si="960"/>
        <v>-10362709.87344954</v>
      </c>
      <c r="R251">
        <f t="shared" si="961"/>
        <v>-1472456297.5360165</v>
      </c>
      <c r="S251">
        <f t="shared" si="962"/>
        <v>-14724.562975360164</v>
      </c>
      <c r="T251">
        <f t="shared" si="963"/>
        <v>-14.724562975360165</v>
      </c>
    </row>
    <row r="252" spans="1:20" x14ac:dyDescent="0.25">
      <c r="A252" s="5">
        <v>44341</v>
      </c>
      <c r="B252">
        <v>6.905E-2</v>
      </c>
      <c r="C252">
        <v>7.399E-2</v>
      </c>
      <c r="D252">
        <v>6.0769999999999998E-2</v>
      </c>
      <c r="E252">
        <v>7.2220000000000006E-2</v>
      </c>
      <c r="F252">
        <v>86061496.900000006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0.73222390317700548</v>
      </c>
      <c r="Q252">
        <f t="shared" si="960"/>
        <v>63016285.173373759</v>
      </c>
      <c r="R252">
        <f t="shared" si="961"/>
        <v>-1462093587.6625669</v>
      </c>
      <c r="S252">
        <f t="shared" si="962"/>
        <v>-14620.935876625668</v>
      </c>
      <c r="T252">
        <f t="shared" si="963"/>
        <v>-14.620935876625667</v>
      </c>
    </row>
    <row r="253" spans="1:20" x14ac:dyDescent="0.25">
      <c r="A253" s="5">
        <v>44340</v>
      </c>
      <c r="B253">
        <v>5.6210000000000003E-2</v>
      </c>
      <c r="C253">
        <v>7.0650000000000004E-2</v>
      </c>
      <c r="D253">
        <v>5.4539999999999998E-2</v>
      </c>
      <c r="E253">
        <v>6.8849999999999995E-2</v>
      </c>
      <c r="F253">
        <v>92867873.599999994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0.77653631284916091</v>
      </c>
      <c r="Q253">
        <f t="shared" si="960"/>
        <v>72115276.147485927</v>
      </c>
      <c r="R253">
        <f t="shared" si="961"/>
        <v>-1525109872.8359406</v>
      </c>
      <c r="S253">
        <f t="shared" si="962"/>
        <v>-15251.098728359406</v>
      </c>
      <c r="T253">
        <f t="shared" si="963"/>
        <v>-15.251098728359405</v>
      </c>
    </row>
    <row r="254" spans="1:20" x14ac:dyDescent="0.25">
      <c r="A254" s="5">
        <v>44339</v>
      </c>
      <c r="B254">
        <v>6.8419999999999995E-2</v>
      </c>
      <c r="C254">
        <v>7.177E-2</v>
      </c>
      <c r="D254">
        <v>4.9000000000000002E-2</v>
      </c>
      <c r="E254">
        <v>5.6210000000000003E-2</v>
      </c>
      <c r="F254">
        <v>171568937.09999999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-0.36671058410188834</v>
      </c>
      <c r="Q254">
        <f t="shared" si="960"/>
        <v>-62916145.137681141</v>
      </c>
      <c r="R254">
        <f t="shared" si="961"/>
        <v>-1597225148.9834266</v>
      </c>
      <c r="S254">
        <f t="shared" si="962"/>
        <v>-15972.251489834265</v>
      </c>
      <c r="T254">
        <f t="shared" si="963"/>
        <v>-15.972251489834266</v>
      </c>
    </row>
    <row r="255" spans="1:20" x14ac:dyDescent="0.25">
      <c r="A255" s="5">
        <v>44338</v>
      </c>
      <c r="B255">
        <v>7.392E-2</v>
      </c>
      <c r="C255">
        <v>7.4510000000000007E-2</v>
      </c>
      <c r="D255">
        <v>6.4329999999999998E-2</v>
      </c>
      <c r="E255">
        <v>6.8309999999999996E-2</v>
      </c>
      <c r="F255">
        <v>76226091.799999997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-0.21807465618860628</v>
      </c>
      <c r="Q255">
        <f t="shared" si="960"/>
        <v>-16622978.761886138</v>
      </c>
      <c r="R255">
        <f t="shared" si="961"/>
        <v>-1534309003.8457453</v>
      </c>
      <c r="S255">
        <f t="shared" si="962"/>
        <v>-15343.090038457452</v>
      </c>
      <c r="T255">
        <f t="shared" si="963"/>
        <v>-15.343090038457452</v>
      </c>
    </row>
    <row r="256" spans="1:20" x14ac:dyDescent="0.25">
      <c r="A256" s="5">
        <v>44337</v>
      </c>
      <c r="B256">
        <v>8.8090000000000002E-2</v>
      </c>
      <c r="C256">
        <v>9.1609999999999997E-2</v>
      </c>
      <c r="D256">
        <v>6.3979999999999995E-2</v>
      </c>
      <c r="E256">
        <v>7.3999999999999996E-2</v>
      </c>
      <c r="F256">
        <v>107516905.90000001</v>
      </c>
      <c r="G256">
        <v>0</v>
      </c>
      <c r="L256" t="s">
        <v>7</v>
      </c>
      <c r="M256" t="s">
        <v>8</v>
      </c>
      <c r="N256" t="s">
        <v>7</v>
      </c>
      <c r="P256">
        <f t="shared" si="959"/>
        <v>-0.27470141150922905</v>
      </c>
      <c r="Q256">
        <f t="shared" si="960"/>
        <v>-29535045.811834957</v>
      </c>
      <c r="R256">
        <f t="shared" si="961"/>
        <v>-1517686025.0838592</v>
      </c>
      <c r="S256">
        <f t="shared" si="962"/>
        <v>-15176.860250838592</v>
      </c>
      <c r="T256">
        <f t="shared" si="963"/>
        <v>-15.176860250838592</v>
      </c>
    </row>
    <row r="257" spans="1:20" x14ac:dyDescent="0.25">
      <c r="A257" s="5">
        <v>44336</v>
      </c>
      <c r="B257">
        <v>7.9250000000000001E-2</v>
      </c>
      <c r="C257">
        <v>9.1550000000000006E-2</v>
      </c>
      <c r="D257">
        <v>7.0010000000000003E-2</v>
      </c>
      <c r="E257">
        <v>8.8080000000000006E-2</v>
      </c>
      <c r="F257">
        <v>137045939.59999999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0.67780872794800373</v>
      </c>
      <c r="Q257">
        <f t="shared" si="960"/>
        <v>92890933.990714952</v>
      </c>
      <c r="R257">
        <f t="shared" si="961"/>
        <v>-1488150979.2720242</v>
      </c>
      <c r="S257">
        <f t="shared" si="962"/>
        <v>-14881.509792720242</v>
      </c>
      <c r="T257">
        <f t="shared" si="963"/>
        <v>-14.881509792720243</v>
      </c>
    </row>
    <row r="258" spans="1:20" x14ac:dyDescent="0.25">
      <c r="A258" s="5">
        <v>44335</v>
      </c>
      <c r="B258">
        <v>0.11294999999999999</v>
      </c>
      <c r="C258">
        <v>0.11462</v>
      </c>
      <c r="D258">
        <v>6.59E-2</v>
      </c>
      <c r="E258">
        <v>7.9070000000000001E-2</v>
      </c>
      <c r="F258">
        <v>178265741.80000001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-0.45935960591133002</v>
      </c>
      <c r="Q258">
        <f t="shared" si="960"/>
        <v>-81888080.90073891</v>
      </c>
      <c r="R258">
        <f t="shared" si="961"/>
        <v>-1581041913.2627392</v>
      </c>
      <c r="S258">
        <f t="shared" si="962"/>
        <v>-15810.419132627392</v>
      </c>
      <c r="T258">
        <f t="shared" si="963"/>
        <v>-15.810419132627391</v>
      </c>
    </row>
    <row r="259" spans="1:20" x14ac:dyDescent="0.25">
      <c r="A259" s="5">
        <v>44334</v>
      </c>
      <c r="B259">
        <v>0.109</v>
      </c>
      <c r="C259">
        <v>0.12429999999999999</v>
      </c>
      <c r="D259">
        <v>0.10785</v>
      </c>
      <c r="E259">
        <v>0.11274000000000001</v>
      </c>
      <c r="F259">
        <v>84138291.900000006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-0.40547112462005985</v>
      </c>
      <c r="Q259">
        <f t="shared" si="960"/>
        <v>-34115647.840303876</v>
      </c>
      <c r="R259">
        <f t="shared" si="961"/>
        <v>-1499153832.3620002</v>
      </c>
      <c r="S259">
        <f t="shared" si="962"/>
        <v>-14991.538323620001</v>
      </c>
      <c r="T259">
        <f t="shared" si="963"/>
        <v>-14.991538323620002</v>
      </c>
    </row>
    <row r="260" spans="1:20" x14ac:dyDescent="0.25">
      <c r="A260" s="5">
        <v>44333</v>
      </c>
      <c r="B260">
        <v>0.11927</v>
      </c>
      <c r="C260">
        <v>0.11927</v>
      </c>
      <c r="D260">
        <v>0.10068000000000001</v>
      </c>
      <c r="E260">
        <v>0.10906</v>
      </c>
      <c r="F260">
        <v>85614839.5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-9.8440021516944531E-2</v>
      </c>
      <c r="Q260">
        <f t="shared" si="960"/>
        <v>-8427926.6425497532</v>
      </c>
      <c r="R260">
        <f t="shared" si="961"/>
        <v>-1465038184.5216963</v>
      </c>
      <c r="S260">
        <f t="shared" si="962"/>
        <v>-14650.381845216963</v>
      </c>
      <c r="T260">
        <f t="shared" si="963"/>
        <v>-14.650381845216964</v>
      </c>
    </row>
    <row r="261" spans="1:20" x14ac:dyDescent="0.25">
      <c r="A261" s="5">
        <v>44332</v>
      </c>
      <c r="B261">
        <v>0.11738999999999999</v>
      </c>
      <c r="C261">
        <v>0.128</v>
      </c>
      <c r="D261">
        <v>0.11119999999999999</v>
      </c>
      <c r="E261">
        <v>0.1195</v>
      </c>
      <c r="F261">
        <v>84175916.599999994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-1.1904761904762239E-2</v>
      </c>
      <c r="Q261">
        <f t="shared" si="960"/>
        <v>-1002094.2452381233</v>
      </c>
      <c r="R261">
        <f t="shared" si="961"/>
        <v>-1456610257.8791466</v>
      </c>
      <c r="S261">
        <f t="shared" si="962"/>
        <v>-14566.102578791466</v>
      </c>
      <c r="T261">
        <f t="shared" si="963"/>
        <v>-14.566102578791465</v>
      </c>
    </row>
    <row r="262" spans="1:20" x14ac:dyDescent="0.25">
      <c r="A262" s="5">
        <v>44331</v>
      </c>
      <c r="B262">
        <v>0.12628</v>
      </c>
      <c r="C262">
        <v>0.12812000000000001</v>
      </c>
      <c r="D262">
        <v>0.1163</v>
      </c>
      <c r="E262">
        <v>0.11724999999999999</v>
      </c>
      <c r="F262">
        <v>60423592.100000001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-0.83925549915397768</v>
      </c>
      <c r="Q262">
        <f t="shared" ref="Q262:Q325" si="965">F262*P262</f>
        <v>-50710831.948561847</v>
      </c>
      <c r="R262">
        <f t="shared" ref="R262:R325" si="966">R263+Q262</f>
        <v>-1455608163.6339085</v>
      </c>
      <c r="S262">
        <f t="shared" ref="S262:S325" si="967">R262/100000</f>
        <v>-14556.081636339086</v>
      </c>
      <c r="T262">
        <f t="shared" ref="T262:T325" si="968">S262/1000</f>
        <v>-14.556081636339085</v>
      </c>
    </row>
    <row r="263" spans="1:20" x14ac:dyDescent="0.25">
      <c r="A263" s="5">
        <v>44330</v>
      </c>
      <c r="B263">
        <v>0.12449</v>
      </c>
      <c r="C263">
        <v>0.13378999999999999</v>
      </c>
      <c r="D263">
        <v>0.11908000000000001</v>
      </c>
      <c r="E263">
        <v>0.12631999999999999</v>
      </c>
      <c r="F263">
        <v>58355882.299999997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-1.5635622025834267E-2</v>
      </c>
      <c r="Q263">
        <f t="shared" si="965"/>
        <v>-912430.51862687198</v>
      </c>
      <c r="R263">
        <f t="shared" si="966"/>
        <v>-1404897331.6853466</v>
      </c>
      <c r="S263">
        <f t="shared" si="967"/>
        <v>-14048.973316853466</v>
      </c>
      <c r="T263">
        <f t="shared" si="968"/>
        <v>-14.048973316853466</v>
      </c>
    </row>
    <row r="264" spans="1:20" x14ac:dyDescent="0.25">
      <c r="A264" s="5">
        <v>44329</v>
      </c>
      <c r="B264">
        <v>0.125</v>
      </c>
      <c r="C264">
        <v>0.13553000000000001</v>
      </c>
      <c r="D264">
        <v>0.11183</v>
      </c>
      <c r="E264">
        <v>0.1245</v>
      </c>
      <c r="F264">
        <v>139345756.30000001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6.9198312236286405E-2</v>
      </c>
      <c r="Q264">
        <f t="shared" si="965"/>
        <v>9642491.1532488745</v>
      </c>
      <c r="R264">
        <f t="shared" si="966"/>
        <v>-1403984901.1667197</v>
      </c>
      <c r="S264">
        <f t="shared" si="967"/>
        <v>-14039.849011667196</v>
      </c>
      <c r="T264">
        <f t="shared" si="968"/>
        <v>-14.039849011667197</v>
      </c>
    </row>
    <row r="265" spans="1:20" x14ac:dyDescent="0.25">
      <c r="A265" s="5">
        <v>44328</v>
      </c>
      <c r="B265">
        <v>0.14066000000000001</v>
      </c>
      <c r="C265">
        <v>0.14765</v>
      </c>
      <c r="D265">
        <v>0.124</v>
      </c>
      <c r="E265">
        <v>0.1242</v>
      </c>
      <c r="F265">
        <v>91102273.099999994</v>
      </c>
      <c r="G265">
        <v>0</v>
      </c>
      <c r="L265" t="s">
        <v>8</v>
      </c>
      <c r="M265" t="s">
        <v>7</v>
      </c>
      <c r="N265" t="s">
        <v>8</v>
      </c>
      <c r="P265">
        <f t="shared" si="964"/>
        <v>-0.98308668076109884</v>
      </c>
      <c r="Q265">
        <f t="shared" si="965"/>
        <v>-89561431.271670133</v>
      </c>
      <c r="R265">
        <f t="shared" si="966"/>
        <v>-1413627392.3199685</v>
      </c>
      <c r="S265">
        <f t="shared" si="967"/>
        <v>-14136.273923199684</v>
      </c>
      <c r="T265">
        <f t="shared" si="968"/>
        <v>-14.136273923199683</v>
      </c>
    </row>
    <row r="266" spans="1:20" x14ac:dyDescent="0.25">
      <c r="A266" s="5">
        <v>44327</v>
      </c>
      <c r="B266">
        <v>0.14024</v>
      </c>
      <c r="C266">
        <v>0.14599000000000001</v>
      </c>
      <c r="D266">
        <v>0.13331000000000001</v>
      </c>
      <c r="E266">
        <v>0.14044999999999999</v>
      </c>
      <c r="F266">
        <v>57281965.700000003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0.12618296529968162</v>
      </c>
      <c r="Q266">
        <f t="shared" si="965"/>
        <v>7228008.2902206536</v>
      </c>
      <c r="R266">
        <f t="shared" si="966"/>
        <v>-1324065961.0482984</v>
      </c>
      <c r="S266">
        <f t="shared" si="967"/>
        <v>-13240.659610482984</v>
      </c>
      <c r="T266">
        <f t="shared" si="968"/>
        <v>-13.240659610482984</v>
      </c>
    </row>
    <row r="267" spans="1:20" x14ac:dyDescent="0.25">
      <c r="A267" s="5">
        <v>44326</v>
      </c>
      <c r="B267">
        <v>0.15290999999999999</v>
      </c>
      <c r="C267">
        <v>0.15633</v>
      </c>
      <c r="D267">
        <v>0.13347999999999999</v>
      </c>
      <c r="E267">
        <v>0.14046</v>
      </c>
      <c r="F267">
        <v>82782594.299999997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-0.3890590809627999</v>
      </c>
      <c r="Q267">
        <f t="shared" si="965"/>
        <v>-32207320.058074318</v>
      </c>
      <c r="R267">
        <f t="shared" si="966"/>
        <v>-1331293969.3385191</v>
      </c>
      <c r="S267">
        <f t="shared" si="967"/>
        <v>-13312.939693385191</v>
      </c>
      <c r="T267">
        <f t="shared" si="968"/>
        <v>-13.312939693385191</v>
      </c>
    </row>
    <row r="268" spans="1:20" x14ac:dyDescent="0.25">
      <c r="A268" s="5">
        <v>44325</v>
      </c>
      <c r="B268">
        <v>0.15784999999999999</v>
      </c>
      <c r="C268">
        <v>0.15964</v>
      </c>
      <c r="D268">
        <v>0.15</v>
      </c>
      <c r="E268">
        <v>0.15290999999999999</v>
      </c>
      <c r="F268">
        <v>39807671.899999999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-0.39626556016597658</v>
      </c>
      <c r="Q268">
        <f t="shared" si="965"/>
        <v>-15774409.404356904</v>
      </c>
      <c r="R268">
        <f t="shared" si="966"/>
        <v>-1299086649.2804449</v>
      </c>
      <c r="S268">
        <f t="shared" si="967"/>
        <v>-12990.866492804449</v>
      </c>
      <c r="T268">
        <f t="shared" si="968"/>
        <v>-12.990866492804448</v>
      </c>
    </row>
    <row r="269" spans="1:20" x14ac:dyDescent="0.25">
      <c r="A269" s="5">
        <v>44324</v>
      </c>
      <c r="B269">
        <v>0.15669</v>
      </c>
      <c r="C269">
        <v>0.17127000000000001</v>
      </c>
      <c r="D269">
        <v>0.15473999999999999</v>
      </c>
      <c r="E269">
        <v>0.15801000000000001</v>
      </c>
      <c r="F269">
        <v>67271473.099999994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-0.60435571687840051</v>
      </c>
      <c r="Q269">
        <f t="shared" si="965"/>
        <v>-40655899.350816533</v>
      </c>
      <c r="R269">
        <f t="shared" si="966"/>
        <v>-1283312239.8760879</v>
      </c>
      <c r="S269">
        <f t="shared" si="967"/>
        <v>-12833.122398760879</v>
      </c>
      <c r="T269">
        <f t="shared" si="968"/>
        <v>-12.83312239876088</v>
      </c>
    </row>
    <row r="270" spans="1:20" x14ac:dyDescent="0.25">
      <c r="A270" s="5">
        <v>44323</v>
      </c>
      <c r="B270">
        <v>0.15837999999999999</v>
      </c>
      <c r="C270">
        <v>0.16292999999999999</v>
      </c>
      <c r="D270">
        <v>0.15265000000000001</v>
      </c>
      <c r="E270">
        <v>0.15669</v>
      </c>
      <c r="F270">
        <v>61119338.600000001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-0.21400778210116839</v>
      </c>
      <c r="Q270">
        <f t="shared" si="965"/>
        <v>-13080014.09727633</v>
      </c>
      <c r="R270">
        <f t="shared" si="966"/>
        <v>-1242656340.5252714</v>
      </c>
      <c r="S270">
        <f t="shared" si="967"/>
        <v>-12426.563405252715</v>
      </c>
      <c r="T270">
        <f t="shared" si="968"/>
        <v>-12.426563405252715</v>
      </c>
    </row>
    <row r="271" spans="1:20" x14ac:dyDescent="0.25">
      <c r="A271" s="5">
        <v>44322</v>
      </c>
      <c r="B271">
        <v>0.16495000000000001</v>
      </c>
      <c r="C271">
        <v>0.17047999999999999</v>
      </c>
      <c r="D271">
        <v>0.15633</v>
      </c>
      <c r="E271">
        <v>0.15834999999999999</v>
      </c>
      <c r="F271">
        <v>65560133.600000001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-0.71448763250883474</v>
      </c>
      <c r="Q271">
        <f t="shared" si="965"/>
        <v>-46841904.642826907</v>
      </c>
      <c r="R271">
        <f t="shared" si="966"/>
        <v>-1229576326.4279952</v>
      </c>
      <c r="S271">
        <f t="shared" si="967"/>
        <v>-12295.763264279953</v>
      </c>
      <c r="T271">
        <f t="shared" si="968"/>
        <v>-12.295763264279953</v>
      </c>
    </row>
    <row r="272" spans="1:20" x14ac:dyDescent="0.25">
      <c r="A272" s="5">
        <v>44321</v>
      </c>
      <c r="B272">
        <v>0.15486</v>
      </c>
      <c r="C272">
        <v>0.17199</v>
      </c>
      <c r="D272">
        <v>0.15329000000000001</v>
      </c>
      <c r="E272">
        <v>0.16500000000000001</v>
      </c>
      <c r="F272">
        <v>73998913.200000003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0.25240641711229966</v>
      </c>
      <c r="Q272">
        <f t="shared" si="965"/>
        <v>18677800.551016059</v>
      </c>
      <c r="R272">
        <f t="shared" si="966"/>
        <v>-1182734421.7851684</v>
      </c>
      <c r="S272">
        <f t="shared" si="967"/>
        <v>-11827.344217851683</v>
      </c>
      <c r="T272">
        <f t="shared" si="968"/>
        <v>-11.827344217851683</v>
      </c>
    </row>
    <row r="273" spans="1:20" x14ac:dyDescent="0.25">
      <c r="A273" s="5">
        <v>44320</v>
      </c>
      <c r="B273">
        <v>0.17016000000000001</v>
      </c>
      <c r="C273">
        <v>0.17016000000000001</v>
      </c>
      <c r="D273">
        <v>0.14777000000000001</v>
      </c>
      <c r="E273">
        <v>0.15512999999999999</v>
      </c>
      <c r="F273">
        <v>96619664.700000003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-0.3425636444841465</v>
      </c>
      <c r="Q273">
        <f t="shared" si="965"/>
        <v>-33098384.468468241</v>
      </c>
      <c r="R273">
        <f t="shared" si="966"/>
        <v>-1201412222.3361845</v>
      </c>
      <c r="S273">
        <f t="shared" si="967"/>
        <v>-12014.122223361845</v>
      </c>
      <c r="T273">
        <f t="shared" si="968"/>
        <v>-12.014122223361845</v>
      </c>
    </row>
    <row r="274" spans="1:20" x14ac:dyDescent="0.25">
      <c r="A274" s="5">
        <v>44319</v>
      </c>
      <c r="B274">
        <v>0.16072</v>
      </c>
      <c r="C274">
        <v>0.1777</v>
      </c>
      <c r="D274">
        <v>0.15976000000000001</v>
      </c>
      <c r="E274">
        <v>0.17002999999999999</v>
      </c>
      <c r="F274">
        <v>91091723.099999994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0.14492753623188215</v>
      </c>
      <c r="Q274">
        <f t="shared" si="965"/>
        <v>13201698.999999825</v>
      </c>
      <c r="R274">
        <f t="shared" si="966"/>
        <v>-1168313837.8677163</v>
      </c>
      <c r="S274">
        <f t="shared" si="967"/>
        <v>-11683.138378677164</v>
      </c>
      <c r="T274">
        <f t="shared" si="968"/>
        <v>-11.683138378677164</v>
      </c>
    </row>
    <row r="275" spans="1:20" x14ac:dyDescent="0.25">
      <c r="A275" s="5">
        <v>44318</v>
      </c>
      <c r="B275">
        <v>0.16732</v>
      </c>
      <c r="C275">
        <v>0.16800000000000001</v>
      </c>
      <c r="D275">
        <v>0.15453</v>
      </c>
      <c r="E275">
        <v>0.16066</v>
      </c>
      <c r="F275">
        <v>55774962.100000001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-8.98292501855988E-2</v>
      </c>
      <c r="Q275">
        <f t="shared" si="965"/>
        <v>-5010223.0245731911</v>
      </c>
      <c r="R275">
        <f t="shared" si="966"/>
        <v>-1181515536.8677161</v>
      </c>
      <c r="S275">
        <f t="shared" si="967"/>
        <v>-11815.15536867716</v>
      </c>
      <c r="T275">
        <f t="shared" si="968"/>
        <v>-11.815155368677161</v>
      </c>
    </row>
    <row r="276" spans="1:20" x14ac:dyDescent="0.25">
      <c r="A276" s="5">
        <v>44317</v>
      </c>
      <c r="B276">
        <v>0.16056000000000001</v>
      </c>
      <c r="C276">
        <v>0.17363999999999999</v>
      </c>
      <c r="D276">
        <v>0.15708</v>
      </c>
      <c r="E276">
        <v>0.16727</v>
      </c>
      <c r="F276">
        <v>72983309.099999994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0.23067632850241665</v>
      </c>
      <c r="Q276">
        <f t="shared" si="965"/>
        <v>16835521.785145015</v>
      </c>
      <c r="R276">
        <f t="shared" si="966"/>
        <v>-1176505313.843143</v>
      </c>
      <c r="S276">
        <f t="shared" si="967"/>
        <v>-11765.053138431429</v>
      </c>
      <c r="T276">
        <f t="shared" si="968"/>
        <v>-11.76505313843143</v>
      </c>
    </row>
    <row r="277" spans="1:20" x14ac:dyDescent="0.25">
      <c r="A277" s="5">
        <v>44316</v>
      </c>
      <c r="B277">
        <v>0.14990000000000001</v>
      </c>
      <c r="C277">
        <v>0.16758999999999999</v>
      </c>
      <c r="D277">
        <v>0.14659</v>
      </c>
      <c r="E277">
        <v>0.16075</v>
      </c>
      <c r="F277">
        <v>67724221.799999997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0.3485714285714297</v>
      </c>
      <c r="Q277">
        <f t="shared" si="965"/>
        <v>23606728.741714362</v>
      </c>
      <c r="R277">
        <f t="shared" si="966"/>
        <v>-1193340835.628288</v>
      </c>
      <c r="S277">
        <f t="shared" si="967"/>
        <v>-11933.40835628288</v>
      </c>
      <c r="T277">
        <f t="shared" si="968"/>
        <v>-11.933408356282881</v>
      </c>
    </row>
    <row r="278" spans="1:20" x14ac:dyDescent="0.25">
      <c r="A278" s="5">
        <v>44315</v>
      </c>
      <c r="B278">
        <v>0.15384999999999999</v>
      </c>
      <c r="C278">
        <v>0.15948000000000001</v>
      </c>
      <c r="D278">
        <v>0.14501</v>
      </c>
      <c r="E278">
        <v>0.14973</v>
      </c>
      <c r="F278">
        <v>57319575.600000001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-0.34761575673807898</v>
      </c>
      <c r="Q278">
        <f t="shared" si="965"/>
        <v>-19925187.648099527</v>
      </c>
      <c r="R278">
        <f t="shared" si="966"/>
        <v>-1216947564.3700025</v>
      </c>
      <c r="S278">
        <f t="shared" si="967"/>
        <v>-12169.475643700025</v>
      </c>
      <c r="T278">
        <f t="shared" si="968"/>
        <v>-12.169475643700025</v>
      </c>
    </row>
    <row r="279" spans="1:20" x14ac:dyDescent="0.25">
      <c r="A279" s="5">
        <v>44314</v>
      </c>
      <c r="B279">
        <v>0.15633</v>
      </c>
      <c r="C279">
        <v>0.16308</v>
      </c>
      <c r="D279">
        <v>0.14255000000000001</v>
      </c>
      <c r="E279">
        <v>0.15398000000000001</v>
      </c>
      <c r="F279">
        <v>65813505.399999999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0.11349245007306379</v>
      </c>
      <c r="Q279">
        <f t="shared" si="965"/>
        <v>7469335.9757428141</v>
      </c>
      <c r="R279">
        <f t="shared" si="966"/>
        <v>-1197022376.7219031</v>
      </c>
      <c r="S279">
        <f t="shared" si="967"/>
        <v>-11970.223767219031</v>
      </c>
      <c r="T279">
        <f t="shared" si="968"/>
        <v>-11.970223767219032</v>
      </c>
    </row>
    <row r="280" spans="1:20" x14ac:dyDescent="0.25">
      <c r="A280" s="5">
        <v>44313</v>
      </c>
      <c r="B280">
        <v>0.14659</v>
      </c>
      <c r="C280">
        <v>0.161</v>
      </c>
      <c r="D280">
        <v>0.14280000000000001</v>
      </c>
      <c r="E280">
        <v>0.15634999999999999</v>
      </c>
      <c r="F280">
        <v>79514946.299999997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0.48901098901098716</v>
      </c>
      <c r="Q280">
        <f t="shared" si="965"/>
        <v>38883682.53131853</v>
      </c>
      <c r="R280">
        <f t="shared" si="966"/>
        <v>-1204491712.6976459</v>
      </c>
      <c r="S280">
        <f t="shared" si="967"/>
        <v>-12044.917126976459</v>
      </c>
      <c r="T280">
        <f t="shared" si="968"/>
        <v>-12.044917126976459</v>
      </c>
    </row>
    <row r="281" spans="1:20" x14ac:dyDescent="0.25">
      <c r="A281" s="5">
        <v>44312</v>
      </c>
      <c r="B281">
        <v>0.12612999999999999</v>
      </c>
      <c r="C281">
        <v>0.15</v>
      </c>
      <c r="D281">
        <v>0.12518000000000001</v>
      </c>
      <c r="E281">
        <v>0.14654</v>
      </c>
      <c r="F281">
        <v>88226446.200000003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0.72119258662369112</v>
      </c>
      <c r="Q281">
        <f t="shared" si="965"/>
        <v>63628258.943593927</v>
      </c>
      <c r="R281">
        <f t="shared" si="966"/>
        <v>-1243375395.2289643</v>
      </c>
      <c r="S281">
        <f t="shared" si="967"/>
        <v>-12433.753952289644</v>
      </c>
      <c r="T281">
        <f t="shared" si="968"/>
        <v>-12.433753952289644</v>
      </c>
    </row>
    <row r="282" spans="1:20" x14ac:dyDescent="0.25">
      <c r="A282" s="5">
        <v>44311</v>
      </c>
      <c r="B282">
        <v>0.12897</v>
      </c>
      <c r="C282">
        <v>0.14204</v>
      </c>
      <c r="D282">
        <v>0.11700000000000001</v>
      </c>
      <c r="E282">
        <v>0.12609000000000001</v>
      </c>
      <c r="F282">
        <v>63832015.899999999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-0.27396166134185274</v>
      </c>
      <c r="Q282">
        <f t="shared" si="965"/>
        <v>-17487525.122763559</v>
      </c>
      <c r="R282">
        <f t="shared" si="966"/>
        <v>-1307003654.1725583</v>
      </c>
      <c r="S282">
        <f t="shared" si="967"/>
        <v>-13070.036541725583</v>
      </c>
      <c r="T282">
        <f t="shared" si="968"/>
        <v>-13.070036541725583</v>
      </c>
    </row>
    <row r="283" spans="1:20" x14ac:dyDescent="0.25">
      <c r="A283" s="5">
        <v>44310</v>
      </c>
      <c r="B283">
        <v>0.14241000000000001</v>
      </c>
      <c r="C283">
        <v>0.14269000000000001</v>
      </c>
      <c r="D283">
        <v>0.12662999999999999</v>
      </c>
      <c r="E283">
        <v>0.12881999999999999</v>
      </c>
      <c r="F283">
        <v>66846399.200000003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-0.72727272727272785</v>
      </c>
      <c r="Q283">
        <f t="shared" si="965"/>
        <v>-48615563.054545492</v>
      </c>
      <c r="R283">
        <f t="shared" si="966"/>
        <v>-1289516129.0497947</v>
      </c>
      <c r="S283">
        <f t="shared" si="967"/>
        <v>-12895.161290497947</v>
      </c>
      <c r="T283">
        <f t="shared" si="968"/>
        <v>-12.895161290497947</v>
      </c>
    </row>
    <row r="284" spans="1:20" x14ac:dyDescent="0.25">
      <c r="A284" s="5">
        <v>44309</v>
      </c>
      <c r="B284">
        <v>0.14133999999999999</v>
      </c>
      <c r="C284">
        <v>0.15</v>
      </c>
      <c r="D284">
        <v>0.1211</v>
      </c>
      <c r="E284">
        <v>0.14241000000000001</v>
      </c>
      <c r="F284">
        <v>113128494.59999999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0.47474048442906663</v>
      </c>
      <c r="Q284">
        <f t="shared" si="965"/>
        <v>53706676.329135045</v>
      </c>
      <c r="R284">
        <f t="shared" si="966"/>
        <v>-1240900565.9952493</v>
      </c>
      <c r="S284">
        <f t="shared" si="967"/>
        <v>-12409.005659952492</v>
      </c>
      <c r="T284">
        <f t="shared" si="968"/>
        <v>-12.409005659952493</v>
      </c>
    </row>
    <row r="285" spans="1:20" x14ac:dyDescent="0.25">
      <c r="A285" s="5">
        <v>44308</v>
      </c>
      <c r="B285">
        <v>0.14918000000000001</v>
      </c>
      <c r="C285">
        <v>0.16256000000000001</v>
      </c>
      <c r="D285">
        <v>0.13789999999999999</v>
      </c>
      <c r="E285">
        <v>0.14149999999999999</v>
      </c>
      <c r="F285">
        <v>98173298.200000003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-0.70802919708029277</v>
      </c>
      <c r="Q285">
        <f t="shared" si="965"/>
        <v>-69509561.499270156</v>
      </c>
      <c r="R285">
        <f t="shared" si="966"/>
        <v>-1294607242.3243842</v>
      </c>
      <c r="S285">
        <f t="shared" si="967"/>
        <v>-12946.072423243842</v>
      </c>
      <c r="T285">
        <f t="shared" si="968"/>
        <v>-12.946072423243843</v>
      </c>
    </row>
    <row r="286" spans="1:20" x14ac:dyDescent="0.25">
      <c r="A286" s="5">
        <v>44307</v>
      </c>
      <c r="B286">
        <v>0.16081999999999999</v>
      </c>
      <c r="C286">
        <v>0.16772999999999999</v>
      </c>
      <c r="D286">
        <v>0.14732000000000001</v>
      </c>
      <c r="E286">
        <v>0.14918000000000001</v>
      </c>
      <c r="F286">
        <v>78539482.299999997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-0.81773640372366463</v>
      </c>
      <c r="Q286">
        <f t="shared" si="965"/>
        <v>-64224593.806320406</v>
      </c>
      <c r="R286">
        <f t="shared" si="966"/>
        <v>-1225097680.825114</v>
      </c>
      <c r="S286">
        <f t="shared" si="967"/>
        <v>-12250.97680825114</v>
      </c>
      <c r="T286">
        <f t="shared" si="968"/>
        <v>-12.25097680825114</v>
      </c>
    </row>
    <row r="287" spans="1:20" x14ac:dyDescent="0.25">
      <c r="A287" s="5">
        <v>44306</v>
      </c>
      <c r="B287">
        <v>0.15784000000000001</v>
      </c>
      <c r="C287">
        <v>0.17</v>
      </c>
      <c r="D287">
        <v>0.13797999999999999</v>
      </c>
      <c r="E287">
        <v>0.16089000000000001</v>
      </c>
      <c r="F287">
        <v>134981639.5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0.43098063710181128</v>
      </c>
      <c r="Q287">
        <f t="shared" si="965"/>
        <v>58174472.988757014</v>
      </c>
      <c r="R287">
        <f t="shared" si="966"/>
        <v>-1160873087.0187936</v>
      </c>
      <c r="S287">
        <f t="shared" si="967"/>
        <v>-11608.730870187936</v>
      </c>
      <c r="T287">
        <f t="shared" si="968"/>
        <v>-11.608730870187935</v>
      </c>
    </row>
    <row r="288" spans="1:20" x14ac:dyDescent="0.25">
      <c r="A288" s="5">
        <v>44305</v>
      </c>
      <c r="B288">
        <v>0.17343</v>
      </c>
      <c r="C288">
        <v>0.18126999999999999</v>
      </c>
      <c r="D288">
        <v>0.15196999999999999</v>
      </c>
      <c r="E288">
        <v>0.15789</v>
      </c>
      <c r="F288">
        <v>92224144.400000006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-0.59590443686006755</v>
      </c>
      <c r="Q288">
        <f t="shared" si="965"/>
        <v>-54956776.833583556</v>
      </c>
      <c r="R288">
        <f t="shared" si="966"/>
        <v>-1219047560.0075507</v>
      </c>
      <c r="S288">
        <f t="shared" si="967"/>
        <v>-12190.475600075508</v>
      </c>
      <c r="T288">
        <f t="shared" si="968"/>
        <v>-12.190475600075509</v>
      </c>
    </row>
    <row r="289" spans="1:20" x14ac:dyDescent="0.25">
      <c r="A289" s="5">
        <v>44304</v>
      </c>
      <c r="B289">
        <v>0.19566</v>
      </c>
      <c r="C289">
        <v>0.19897999999999999</v>
      </c>
      <c r="D289">
        <v>0.15853</v>
      </c>
      <c r="E289">
        <v>0.17343</v>
      </c>
      <c r="F289">
        <v>119242743.2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-0.26328800988875145</v>
      </c>
      <c r="Q289">
        <f t="shared" si="965"/>
        <v>-31395184.550803449</v>
      </c>
      <c r="R289">
        <f t="shared" si="966"/>
        <v>-1164090783.1739671</v>
      </c>
      <c r="S289">
        <f t="shared" si="967"/>
        <v>-11640.907831739671</v>
      </c>
      <c r="T289">
        <f t="shared" si="968"/>
        <v>-11.640907831739671</v>
      </c>
    </row>
    <row r="290" spans="1:20" x14ac:dyDescent="0.25">
      <c r="A290" s="5">
        <v>44303</v>
      </c>
      <c r="B290">
        <v>0.18770999999999999</v>
      </c>
      <c r="C290">
        <v>0.22</v>
      </c>
      <c r="D290">
        <v>0.18751000000000001</v>
      </c>
      <c r="E290">
        <v>0.19592000000000001</v>
      </c>
      <c r="F290">
        <v>162876697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-0.48230224684518297</v>
      </c>
      <c r="Q290">
        <f t="shared" si="965"/>
        <v>-78555796.921822071</v>
      </c>
      <c r="R290">
        <f t="shared" si="966"/>
        <v>-1132695598.6231637</v>
      </c>
      <c r="S290">
        <f t="shared" si="967"/>
        <v>-11326.955986231636</v>
      </c>
      <c r="T290">
        <f t="shared" si="968"/>
        <v>-11.326955986231637</v>
      </c>
    </row>
    <row r="291" spans="1:20" x14ac:dyDescent="0.25">
      <c r="A291" s="5">
        <v>44302</v>
      </c>
      <c r="B291">
        <v>0.19964999999999999</v>
      </c>
      <c r="C291">
        <v>0.20749999999999999</v>
      </c>
      <c r="D291">
        <v>0.18362999999999999</v>
      </c>
      <c r="E291">
        <v>0.18770999999999999</v>
      </c>
      <c r="F291">
        <v>82595386.099999994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-0.65814830330959362</v>
      </c>
      <c r="Q291">
        <f t="shared" si="965"/>
        <v>-54360013.222915791</v>
      </c>
      <c r="R291">
        <f t="shared" si="966"/>
        <v>-1054139801.7013416</v>
      </c>
      <c r="S291">
        <f t="shared" si="967"/>
        <v>-10541.398017013416</v>
      </c>
      <c r="T291">
        <f t="shared" si="968"/>
        <v>-10.541398017013416</v>
      </c>
    </row>
    <row r="292" spans="1:20" x14ac:dyDescent="0.25">
      <c r="A292" s="5">
        <v>44301</v>
      </c>
      <c r="B292">
        <v>0.19472</v>
      </c>
      <c r="C292">
        <v>0.20888000000000001</v>
      </c>
      <c r="D292">
        <v>0.187</v>
      </c>
      <c r="E292">
        <v>0.19966</v>
      </c>
      <c r="F292">
        <v>104024220.2</v>
      </c>
      <c r="G292">
        <v>0</v>
      </c>
      <c r="L292" t="s">
        <v>7</v>
      </c>
      <c r="M292" t="s">
        <v>8</v>
      </c>
      <c r="N292" t="s">
        <v>7</v>
      </c>
      <c r="P292">
        <f t="shared" si="964"/>
        <v>0.15722120658135269</v>
      </c>
      <c r="Q292">
        <f t="shared" si="965"/>
        <v>16354813.413528321</v>
      </c>
      <c r="R292">
        <f t="shared" si="966"/>
        <v>-999779788.47842586</v>
      </c>
      <c r="S292">
        <f t="shared" si="967"/>
        <v>-9997.7978847842587</v>
      </c>
      <c r="T292">
        <f t="shared" si="968"/>
        <v>-9.9977978847842586</v>
      </c>
    </row>
    <row r="293" spans="1:20" x14ac:dyDescent="0.25">
      <c r="A293" s="5">
        <v>44300</v>
      </c>
      <c r="B293">
        <v>0.18392</v>
      </c>
      <c r="C293">
        <v>0.2056</v>
      </c>
      <c r="D293">
        <v>0.18046000000000001</v>
      </c>
      <c r="E293">
        <v>0.19470999999999999</v>
      </c>
      <c r="F293">
        <v>127387375.59999999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0.13365155131264816</v>
      </c>
      <c r="Q293">
        <f t="shared" si="965"/>
        <v>17025520.366586983</v>
      </c>
      <c r="R293">
        <f t="shared" si="966"/>
        <v>-1016134601.8919542</v>
      </c>
      <c r="S293">
        <f t="shared" si="967"/>
        <v>-10161.346018919541</v>
      </c>
      <c r="T293">
        <f t="shared" si="968"/>
        <v>-10.161346018919541</v>
      </c>
    </row>
    <row r="294" spans="1:20" x14ac:dyDescent="0.25">
      <c r="A294" s="5">
        <v>44299</v>
      </c>
      <c r="B294">
        <v>0.18078</v>
      </c>
      <c r="C294">
        <v>0.1893</v>
      </c>
      <c r="D294">
        <v>0.17510000000000001</v>
      </c>
      <c r="E294">
        <v>0.18379000000000001</v>
      </c>
      <c r="F294">
        <v>58130868.700000003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0.22394366197183227</v>
      </c>
      <c r="Q294">
        <f t="shared" si="965"/>
        <v>13018039.610281765</v>
      </c>
      <c r="R294">
        <f t="shared" si="966"/>
        <v>-1033160122.2585411</v>
      </c>
      <c r="S294">
        <f t="shared" si="967"/>
        <v>-10331.601222585412</v>
      </c>
      <c r="T294">
        <f t="shared" si="968"/>
        <v>-10.331601222585412</v>
      </c>
    </row>
    <row r="295" spans="1:20" x14ac:dyDescent="0.25">
      <c r="A295" s="5">
        <v>44298</v>
      </c>
      <c r="B295">
        <v>0.18598999999999999</v>
      </c>
      <c r="C295">
        <v>0.18826000000000001</v>
      </c>
      <c r="D295">
        <v>0.17749999999999999</v>
      </c>
      <c r="E295">
        <v>0.18078</v>
      </c>
      <c r="F295">
        <v>56353157.799999997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-0.39033457249070647</v>
      </c>
      <c r="Q295">
        <f t="shared" si="965"/>
        <v>-21996585.75836432</v>
      </c>
      <c r="R295">
        <f t="shared" si="966"/>
        <v>-1046178161.8688229</v>
      </c>
      <c r="S295">
        <f t="shared" si="967"/>
        <v>-10461.78161868823</v>
      </c>
      <c r="T295">
        <f t="shared" si="968"/>
        <v>-10.46178161868823</v>
      </c>
    </row>
    <row r="296" spans="1:20" x14ac:dyDescent="0.25">
      <c r="A296" s="5">
        <v>44297</v>
      </c>
      <c r="B296">
        <v>0.18529999999999999</v>
      </c>
      <c r="C296">
        <v>0.19750000000000001</v>
      </c>
      <c r="D296">
        <v>0.17829</v>
      </c>
      <c r="E296">
        <v>0.18617</v>
      </c>
      <c r="F296">
        <v>59398380.899999999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-0.17959396147839707</v>
      </c>
      <c r="Q296">
        <f t="shared" si="965"/>
        <v>-10667590.531233756</v>
      </c>
      <c r="R296">
        <f t="shared" si="966"/>
        <v>-1024181576.1104586</v>
      </c>
      <c r="S296">
        <f t="shared" si="967"/>
        <v>-10241.815761104586</v>
      </c>
      <c r="T296">
        <f t="shared" si="968"/>
        <v>-10.241815761104586</v>
      </c>
    </row>
    <row r="297" spans="1:20" x14ac:dyDescent="0.25">
      <c r="A297" s="5">
        <v>44296</v>
      </c>
      <c r="B297">
        <v>0.19103999999999999</v>
      </c>
      <c r="C297">
        <v>0.19936000000000001</v>
      </c>
      <c r="D297">
        <v>0.17940999999999999</v>
      </c>
      <c r="E297">
        <v>0.18507000000000001</v>
      </c>
      <c r="F297">
        <v>74213418.099999994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-0.43258145363408324</v>
      </c>
      <c r="Q297">
        <f t="shared" si="965"/>
        <v>-32103348.280851983</v>
      </c>
      <c r="R297">
        <f t="shared" si="966"/>
        <v>-1013513985.5792248</v>
      </c>
      <c r="S297">
        <f t="shared" si="967"/>
        <v>-10135.139855792248</v>
      </c>
      <c r="T297">
        <f t="shared" si="968"/>
        <v>-10.135139855792248</v>
      </c>
    </row>
    <row r="298" spans="1:20" x14ac:dyDescent="0.25">
      <c r="A298" s="5">
        <v>44295</v>
      </c>
      <c r="B298">
        <v>0.19238</v>
      </c>
      <c r="C298">
        <v>0.20352000000000001</v>
      </c>
      <c r="D298">
        <v>0.18049999999999999</v>
      </c>
      <c r="E298">
        <v>0.19126000000000001</v>
      </c>
      <c r="F298">
        <v>89681671.700000003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-6.5160729800172582E-2</v>
      </c>
      <c r="Q298">
        <f t="shared" si="965"/>
        <v>-5843723.1776714846</v>
      </c>
      <c r="R298">
        <f t="shared" si="966"/>
        <v>-981410637.29837286</v>
      </c>
      <c r="S298">
        <f t="shared" si="967"/>
        <v>-9814.1063729837279</v>
      </c>
      <c r="T298">
        <f t="shared" si="968"/>
        <v>-9.8141063729837281</v>
      </c>
    </row>
    <row r="299" spans="1:20" x14ac:dyDescent="0.25">
      <c r="A299" s="5">
        <v>44294</v>
      </c>
      <c r="B299">
        <v>0.17630000000000001</v>
      </c>
      <c r="C299">
        <v>0.19728000000000001</v>
      </c>
      <c r="D299">
        <v>0.17363000000000001</v>
      </c>
      <c r="E299">
        <v>0.19234000000000001</v>
      </c>
      <c r="F299">
        <v>85087911.700000003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0.58224101479915447</v>
      </c>
      <c r="Q299">
        <f t="shared" si="965"/>
        <v>49541672.055348851</v>
      </c>
      <c r="R299">
        <f t="shared" si="966"/>
        <v>-975566914.12070143</v>
      </c>
      <c r="S299">
        <f t="shared" si="967"/>
        <v>-9755.669141207014</v>
      </c>
      <c r="T299">
        <f t="shared" si="968"/>
        <v>-9.7556691412070133</v>
      </c>
    </row>
    <row r="300" spans="1:20" x14ac:dyDescent="0.25">
      <c r="A300" s="5">
        <v>44293</v>
      </c>
      <c r="B300">
        <v>0.18925</v>
      </c>
      <c r="C300">
        <v>0.18981999999999999</v>
      </c>
      <c r="D300">
        <v>0.15539</v>
      </c>
      <c r="E300">
        <v>0.17604</v>
      </c>
      <c r="F300">
        <v>139593912.5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0.1995352889921585</v>
      </c>
      <c r="Q300">
        <f t="shared" si="965"/>
        <v>27853911.672233585</v>
      </c>
      <c r="R300">
        <f t="shared" si="966"/>
        <v>-1025108586.1760503</v>
      </c>
      <c r="S300">
        <f t="shared" si="967"/>
        <v>-10251.085861760503</v>
      </c>
      <c r="T300">
        <f t="shared" si="968"/>
        <v>-10.251085861760503</v>
      </c>
    </row>
    <row r="301" spans="1:20" x14ac:dyDescent="0.25">
      <c r="A301" s="5">
        <v>44292</v>
      </c>
      <c r="B301">
        <v>0.21149999999999999</v>
      </c>
      <c r="C301">
        <v>0.21312999999999999</v>
      </c>
      <c r="D301">
        <v>0.18212999999999999</v>
      </c>
      <c r="E301">
        <v>0.18925</v>
      </c>
      <c r="F301">
        <v>89694563.799999997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-0.54064516129032159</v>
      </c>
      <c r="Q301">
        <f t="shared" si="965"/>
        <v>-48492931.912516035</v>
      </c>
      <c r="R301">
        <f t="shared" si="966"/>
        <v>-1052962497.8482839</v>
      </c>
      <c r="S301">
        <f t="shared" si="967"/>
        <v>-10529.62497848284</v>
      </c>
      <c r="T301">
        <f t="shared" si="968"/>
        <v>-10.52962497848284</v>
      </c>
    </row>
    <row r="302" spans="1:20" x14ac:dyDescent="0.25">
      <c r="A302" s="5">
        <v>44291</v>
      </c>
      <c r="B302">
        <v>0.19979</v>
      </c>
      <c r="C302">
        <v>0.21498999999999999</v>
      </c>
      <c r="D302">
        <v>0.18628</v>
      </c>
      <c r="E302">
        <v>0.21177000000000001</v>
      </c>
      <c r="F302">
        <v>106862361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0.77568791361894984</v>
      </c>
      <c r="Q302">
        <f t="shared" si="965"/>
        <v>82891841.848485038</v>
      </c>
      <c r="R302">
        <f t="shared" si="966"/>
        <v>-1004469565.9357679</v>
      </c>
      <c r="S302">
        <f t="shared" si="967"/>
        <v>-10044.69565935768</v>
      </c>
      <c r="T302">
        <f t="shared" si="968"/>
        <v>-10.04469565935768</v>
      </c>
    </row>
    <row r="303" spans="1:20" x14ac:dyDescent="0.25">
      <c r="A303" s="5">
        <v>44290</v>
      </c>
      <c r="B303">
        <v>0.18187999999999999</v>
      </c>
      <c r="C303">
        <v>0.20999000000000001</v>
      </c>
      <c r="D303">
        <v>0.17901</v>
      </c>
      <c r="E303">
        <v>0.1996</v>
      </c>
      <c r="F303">
        <v>81503921.599999994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0.3292446739832145</v>
      </c>
      <c r="Q303">
        <f t="shared" si="965"/>
        <v>26834732.095545471</v>
      </c>
      <c r="R303">
        <f t="shared" si="966"/>
        <v>-1087361407.7842529</v>
      </c>
      <c r="S303">
        <f t="shared" si="967"/>
        <v>-10873.614077842529</v>
      </c>
      <c r="T303">
        <f t="shared" si="968"/>
        <v>-10.873614077842529</v>
      </c>
    </row>
    <row r="304" spans="1:20" x14ac:dyDescent="0.25">
      <c r="A304" s="5">
        <v>44289</v>
      </c>
      <c r="B304">
        <v>0.20194999999999999</v>
      </c>
      <c r="C304">
        <v>0.20882999999999999</v>
      </c>
      <c r="D304">
        <v>0.17990999999999999</v>
      </c>
      <c r="E304">
        <v>0.18176</v>
      </c>
      <c r="F304">
        <v>98088828.599999994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-0.87206085753803475</v>
      </c>
      <c r="Q304">
        <f t="shared" si="965"/>
        <v>-85539427.983817309</v>
      </c>
      <c r="R304">
        <f t="shared" si="966"/>
        <v>-1114196139.8797984</v>
      </c>
      <c r="S304">
        <f t="shared" si="967"/>
        <v>-11141.961398797985</v>
      </c>
      <c r="T304">
        <f t="shared" si="968"/>
        <v>-11.141961398797985</v>
      </c>
    </row>
    <row r="305" spans="1:20" x14ac:dyDescent="0.25">
      <c r="A305" s="5">
        <v>44288</v>
      </c>
      <c r="B305">
        <v>0.19824</v>
      </c>
      <c r="C305">
        <v>0.23449999999999999</v>
      </c>
      <c r="D305">
        <v>0.193</v>
      </c>
      <c r="E305">
        <v>0.20183999999999999</v>
      </c>
      <c r="F305">
        <v>250852864.80000001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-0.57397590361445827</v>
      </c>
      <c r="Q305">
        <f t="shared" si="965"/>
        <v>-143983499.74785554</v>
      </c>
      <c r="R305">
        <f t="shared" si="966"/>
        <v>-1028656711.8959811</v>
      </c>
      <c r="S305">
        <f t="shared" si="967"/>
        <v>-10286.567118959811</v>
      </c>
      <c r="T305">
        <f t="shared" si="968"/>
        <v>-10.286567118959811</v>
      </c>
    </row>
    <row r="306" spans="1:20" x14ac:dyDescent="0.25">
      <c r="A306" s="5">
        <v>44287</v>
      </c>
      <c r="B306">
        <v>0.17907000000000001</v>
      </c>
      <c r="C306">
        <v>0.20024</v>
      </c>
      <c r="D306">
        <v>0.17534</v>
      </c>
      <c r="E306">
        <v>0.19799</v>
      </c>
      <c r="F306">
        <v>146600561.90000001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0.8192771084337348</v>
      </c>
      <c r="Q306">
        <f t="shared" si="965"/>
        <v>120106484.44819276</v>
      </c>
      <c r="R306">
        <f t="shared" si="966"/>
        <v>-884673212.14812553</v>
      </c>
      <c r="S306">
        <f t="shared" si="967"/>
        <v>-8846.7321214812546</v>
      </c>
      <c r="T306">
        <f t="shared" si="968"/>
        <v>-8.8467321214812547</v>
      </c>
    </row>
    <row r="307" spans="1:20" x14ac:dyDescent="0.25">
      <c r="A307" s="5">
        <v>44286</v>
      </c>
      <c r="B307">
        <v>0.18398</v>
      </c>
      <c r="C307">
        <v>0.18604999999999999</v>
      </c>
      <c r="D307">
        <v>0.16800000000000001</v>
      </c>
      <c r="E307">
        <v>0.17877999999999999</v>
      </c>
      <c r="F307">
        <v>90871186.299999997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0.19445983379501322</v>
      </c>
      <c r="Q307">
        <f t="shared" si="965"/>
        <v>17670795.784653682</v>
      </c>
      <c r="R307">
        <f t="shared" si="966"/>
        <v>-1004779696.5963182</v>
      </c>
      <c r="S307">
        <f t="shared" si="967"/>
        <v>-10047.796965963182</v>
      </c>
      <c r="T307">
        <f t="shared" si="968"/>
        <v>-10.047796965963181</v>
      </c>
    </row>
    <row r="308" spans="1:20" x14ac:dyDescent="0.25">
      <c r="A308" s="5">
        <v>44285</v>
      </c>
      <c r="B308">
        <v>0.19114</v>
      </c>
      <c r="C308">
        <v>0.2</v>
      </c>
      <c r="D308">
        <v>0.18032000000000001</v>
      </c>
      <c r="E308">
        <v>0.18398999999999999</v>
      </c>
      <c r="F308">
        <v>78985552.200000003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-0.62703252032520551</v>
      </c>
      <c r="Q308">
        <f t="shared" si="965"/>
        <v>-49526509.865244083</v>
      </c>
      <c r="R308">
        <f t="shared" si="966"/>
        <v>-1022450492.3809719</v>
      </c>
      <c r="S308">
        <f t="shared" si="967"/>
        <v>-10224.50492380972</v>
      </c>
      <c r="T308">
        <f t="shared" si="968"/>
        <v>-10.22450492380972</v>
      </c>
    </row>
    <row r="309" spans="1:20" x14ac:dyDescent="0.25">
      <c r="A309" s="5">
        <v>44284</v>
      </c>
      <c r="B309">
        <v>0.17357</v>
      </c>
      <c r="C309">
        <v>0.19700000000000001</v>
      </c>
      <c r="D309">
        <v>0.17211000000000001</v>
      </c>
      <c r="E309">
        <v>0.19112000000000001</v>
      </c>
      <c r="F309">
        <v>103559346.40000001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0.52752109280835702</v>
      </c>
      <c r="Q309">
        <f t="shared" si="965"/>
        <v>54629739.583447196</v>
      </c>
      <c r="R309">
        <f t="shared" si="966"/>
        <v>-972923982.51572788</v>
      </c>
      <c r="S309">
        <f t="shared" si="967"/>
        <v>-9729.2398251572795</v>
      </c>
      <c r="T309">
        <f t="shared" si="968"/>
        <v>-9.7292398251572791</v>
      </c>
    </row>
    <row r="310" spans="1:20" x14ac:dyDescent="0.25">
      <c r="A310" s="5">
        <v>44283</v>
      </c>
      <c r="B310">
        <v>0.16466</v>
      </c>
      <c r="C310">
        <v>0.18698000000000001</v>
      </c>
      <c r="D310">
        <v>0.15803</v>
      </c>
      <c r="E310">
        <v>0.17346</v>
      </c>
      <c r="F310">
        <v>124911364.8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6.5975820379965272E-2</v>
      </c>
      <c r="Q310">
        <f t="shared" si="965"/>
        <v>8241129.7674611164</v>
      </c>
      <c r="R310">
        <f t="shared" si="966"/>
        <v>-1027553722.0991751</v>
      </c>
      <c r="S310">
        <f t="shared" si="967"/>
        <v>-10275.537220991751</v>
      </c>
      <c r="T310">
        <f t="shared" si="968"/>
        <v>-10.275537220991751</v>
      </c>
    </row>
    <row r="311" spans="1:20" x14ac:dyDescent="0.25">
      <c r="A311" s="5">
        <v>44282</v>
      </c>
      <c r="B311">
        <v>0.16363</v>
      </c>
      <c r="C311">
        <v>0.16818</v>
      </c>
      <c r="D311">
        <v>0.14599999999999999</v>
      </c>
      <c r="E311">
        <v>0.16469</v>
      </c>
      <c r="F311">
        <v>98353792.200000003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0.68530207394048759</v>
      </c>
      <c r="Q311">
        <f t="shared" si="965"/>
        <v>67402057.774571747</v>
      </c>
      <c r="R311">
        <f t="shared" si="966"/>
        <v>-1035794851.8666362</v>
      </c>
      <c r="S311">
        <f t="shared" si="967"/>
        <v>-10357.948518666362</v>
      </c>
      <c r="T311">
        <f t="shared" si="968"/>
        <v>-10.357948518666362</v>
      </c>
    </row>
    <row r="312" spans="1:20" x14ac:dyDescent="0.25">
      <c r="A312" s="5">
        <v>44281</v>
      </c>
      <c r="B312">
        <v>0.13896</v>
      </c>
      <c r="C312">
        <v>0.16997000000000001</v>
      </c>
      <c r="D312">
        <v>0.13858000000000001</v>
      </c>
      <c r="E312">
        <v>0.16370999999999999</v>
      </c>
      <c r="F312">
        <v>127588493.3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0.60114686205797929</v>
      </c>
      <c r="Q312">
        <f t="shared" si="965"/>
        <v>76699422.382000506</v>
      </c>
      <c r="R312">
        <f t="shared" si="966"/>
        <v>-1103196909.6412079</v>
      </c>
      <c r="S312">
        <f t="shared" si="967"/>
        <v>-11031.96909641208</v>
      </c>
      <c r="T312">
        <f t="shared" si="968"/>
        <v>-11.03196909641208</v>
      </c>
    </row>
    <row r="313" spans="1:20" x14ac:dyDescent="0.25">
      <c r="A313" s="5">
        <v>44280</v>
      </c>
      <c r="B313">
        <v>0.14507999999999999</v>
      </c>
      <c r="C313">
        <v>0.15198999999999999</v>
      </c>
      <c r="D313">
        <v>0.13500000000000001</v>
      </c>
      <c r="E313">
        <v>0.13907</v>
      </c>
      <c r="F313">
        <v>135757564.80000001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-0.52089464390818174</v>
      </c>
      <c r="Q313">
        <f t="shared" si="965"/>
        <v>-70715388.374337912</v>
      </c>
      <c r="R313">
        <f t="shared" si="966"/>
        <v>-1179896332.0232084</v>
      </c>
      <c r="S313">
        <f t="shared" si="967"/>
        <v>-11798.963320232084</v>
      </c>
      <c r="T313">
        <f t="shared" si="968"/>
        <v>-11.798963320232083</v>
      </c>
    </row>
    <row r="314" spans="1:20" x14ac:dyDescent="0.25">
      <c r="A314" s="5">
        <v>44279</v>
      </c>
      <c r="B314">
        <v>0.16628999999999999</v>
      </c>
      <c r="C314">
        <v>0.182</v>
      </c>
      <c r="D314">
        <v>0.14030999999999999</v>
      </c>
      <c r="E314">
        <v>0.14499999999999999</v>
      </c>
      <c r="F314">
        <v>135587827.59999999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-0.77500599664188063</v>
      </c>
      <c r="Q314">
        <f t="shared" si="965"/>
        <v>-105081379.46164548</v>
      </c>
      <c r="R314">
        <f t="shared" si="966"/>
        <v>-1109180943.6488705</v>
      </c>
      <c r="S314">
        <f t="shared" si="967"/>
        <v>-11091.809436488704</v>
      </c>
      <c r="T314">
        <f t="shared" si="968"/>
        <v>-11.091809436488704</v>
      </c>
    </row>
    <row r="315" spans="1:20" x14ac:dyDescent="0.25">
      <c r="A315" s="5">
        <v>44278</v>
      </c>
      <c r="B315">
        <v>0.17777000000000001</v>
      </c>
      <c r="C315">
        <v>0.18476999999999999</v>
      </c>
      <c r="D315">
        <v>0.16309000000000001</v>
      </c>
      <c r="E315">
        <v>0.16636999999999999</v>
      </c>
      <c r="F315">
        <v>130064536.3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-0.69741697416974346</v>
      </c>
      <c r="Q315">
        <f t="shared" si="965"/>
        <v>-90709215.353136763</v>
      </c>
      <c r="R315">
        <f t="shared" si="966"/>
        <v>-1004099564.1872251</v>
      </c>
      <c r="S315">
        <f t="shared" si="967"/>
        <v>-10040.99564187225</v>
      </c>
      <c r="T315">
        <f t="shared" si="968"/>
        <v>-10.04099564187225</v>
      </c>
    </row>
    <row r="316" spans="1:20" x14ac:dyDescent="0.25">
      <c r="A316" s="5">
        <v>44277</v>
      </c>
      <c r="B316">
        <v>0.20493</v>
      </c>
      <c r="C316">
        <v>0.218</v>
      </c>
      <c r="D316">
        <v>0.17324999999999999</v>
      </c>
      <c r="E316">
        <v>0.17777999999999999</v>
      </c>
      <c r="F316">
        <v>126469159.3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-0.79754189944134057</v>
      </c>
      <c r="Q316">
        <f t="shared" si="965"/>
        <v>-100864453.52887148</v>
      </c>
      <c r="R316">
        <f t="shared" si="966"/>
        <v>-913390348.83408833</v>
      </c>
      <c r="S316">
        <f t="shared" si="967"/>
        <v>-9133.903488340884</v>
      </c>
      <c r="T316">
        <f t="shared" si="968"/>
        <v>-9.1339034883408843</v>
      </c>
    </row>
    <row r="317" spans="1:20" x14ac:dyDescent="0.25">
      <c r="A317" s="5">
        <v>44276</v>
      </c>
      <c r="B317">
        <v>0.17641000000000001</v>
      </c>
      <c r="C317">
        <v>0.20993999999999999</v>
      </c>
      <c r="D317">
        <v>0.16735</v>
      </c>
      <c r="E317">
        <v>0.20485999999999999</v>
      </c>
      <c r="F317">
        <v>147511100</v>
      </c>
      <c r="G317">
        <v>0</v>
      </c>
      <c r="L317" t="s">
        <v>8</v>
      </c>
      <c r="M317" t="s">
        <v>8</v>
      </c>
      <c r="N317" t="s">
        <v>7</v>
      </c>
      <c r="P317">
        <f t="shared" si="964"/>
        <v>0.76144634890819429</v>
      </c>
      <c r="Q317">
        <f t="shared" si="965"/>
        <v>112321788.51843154</v>
      </c>
      <c r="R317">
        <f t="shared" si="966"/>
        <v>-812525895.30521691</v>
      </c>
      <c r="S317">
        <f t="shared" si="967"/>
        <v>-8125.2589530521691</v>
      </c>
      <c r="T317">
        <f t="shared" si="968"/>
        <v>-8.1252589530521693</v>
      </c>
    </row>
    <row r="318" spans="1:20" x14ac:dyDescent="0.25">
      <c r="A318" s="5">
        <v>44275</v>
      </c>
      <c r="B318">
        <v>0.17666000000000001</v>
      </c>
      <c r="C318">
        <v>0.19595000000000001</v>
      </c>
      <c r="D318">
        <v>0.17399999999999999</v>
      </c>
      <c r="E318">
        <v>0.17641000000000001</v>
      </c>
      <c r="F318">
        <v>89199982.099999994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-0.78041002277904137</v>
      </c>
      <c r="Q318">
        <f t="shared" si="965"/>
        <v>-69612560.062551081</v>
      </c>
      <c r="R318">
        <f t="shared" si="966"/>
        <v>-924847683.82364845</v>
      </c>
      <c r="S318">
        <f t="shared" si="967"/>
        <v>-9248.4768382364837</v>
      </c>
      <c r="T318">
        <f t="shared" si="968"/>
        <v>-9.248476838236483</v>
      </c>
    </row>
    <row r="319" spans="1:20" x14ac:dyDescent="0.25">
      <c r="A319" s="5">
        <v>44274</v>
      </c>
      <c r="B319">
        <v>0.18335000000000001</v>
      </c>
      <c r="C319">
        <v>0.19</v>
      </c>
      <c r="D319">
        <v>0.17</v>
      </c>
      <c r="E319">
        <v>0.17645</v>
      </c>
      <c r="F319">
        <v>102006779.09999999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-0.35500000000000131</v>
      </c>
      <c r="Q319">
        <f t="shared" si="965"/>
        <v>-36212406.580500133</v>
      </c>
      <c r="R319">
        <f t="shared" si="966"/>
        <v>-855235123.76109743</v>
      </c>
      <c r="S319">
        <f t="shared" si="967"/>
        <v>-8552.3512376109738</v>
      </c>
      <c r="T319">
        <f t="shared" si="968"/>
        <v>-8.5523512376109743</v>
      </c>
    </row>
    <row r="320" spans="1:20" x14ac:dyDescent="0.25">
      <c r="A320" s="5">
        <v>44273</v>
      </c>
      <c r="B320">
        <v>0.20651</v>
      </c>
      <c r="C320">
        <v>0.21199999999999999</v>
      </c>
      <c r="D320">
        <v>0.17755000000000001</v>
      </c>
      <c r="E320">
        <v>0.18326999999999999</v>
      </c>
      <c r="F320">
        <v>129062541.3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-0.66792452830188809</v>
      </c>
      <c r="Q320">
        <f t="shared" si="965"/>
        <v>-86204037.019245446</v>
      </c>
      <c r="R320">
        <f t="shared" si="966"/>
        <v>-819022717.18059731</v>
      </c>
      <c r="S320">
        <f t="shared" si="967"/>
        <v>-8190.2271718059728</v>
      </c>
      <c r="T320">
        <f t="shared" si="968"/>
        <v>-8.1902271718059723</v>
      </c>
    </row>
    <row r="321" spans="1:20" x14ac:dyDescent="0.25">
      <c r="A321" s="5">
        <v>44272</v>
      </c>
      <c r="B321">
        <v>0.1988</v>
      </c>
      <c r="C321">
        <v>0.21</v>
      </c>
      <c r="D321">
        <v>0.16896</v>
      </c>
      <c r="E321">
        <v>0.20699999999999999</v>
      </c>
      <c r="F321">
        <v>198934928.59999999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0.85380116959064312</v>
      </c>
      <c r="Q321">
        <f t="shared" si="965"/>
        <v>169850874.71111107</v>
      </c>
      <c r="R321">
        <f t="shared" si="966"/>
        <v>-732818680.16135192</v>
      </c>
      <c r="S321">
        <f t="shared" si="967"/>
        <v>-7328.1868016135195</v>
      </c>
      <c r="T321">
        <f t="shared" si="968"/>
        <v>-7.3281868016135192</v>
      </c>
    </row>
    <row r="322" spans="1:20" x14ac:dyDescent="0.25">
      <c r="A322" s="5">
        <v>44271</v>
      </c>
      <c r="B322">
        <v>0.21462000000000001</v>
      </c>
      <c r="C322">
        <v>0.22103999999999999</v>
      </c>
      <c r="D322">
        <v>0.19144</v>
      </c>
      <c r="E322">
        <v>0.19892000000000001</v>
      </c>
      <c r="F322">
        <v>162270802.09999999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-0.49459459459459343</v>
      </c>
      <c r="Q322">
        <f t="shared" si="965"/>
        <v>-80258261.579189003</v>
      </c>
      <c r="R322">
        <f t="shared" si="966"/>
        <v>-902669554.87246299</v>
      </c>
      <c r="S322">
        <f t="shared" si="967"/>
        <v>-9026.6955487246305</v>
      </c>
      <c r="T322">
        <f t="shared" si="968"/>
        <v>-9.0266955487246303</v>
      </c>
    </row>
    <row r="323" spans="1:20" x14ac:dyDescent="0.25">
      <c r="A323" s="5">
        <v>44270</v>
      </c>
      <c r="B323">
        <v>0.22506999999999999</v>
      </c>
      <c r="C323">
        <v>0.249</v>
      </c>
      <c r="D323">
        <v>0.19117999999999999</v>
      </c>
      <c r="E323">
        <v>0.21459</v>
      </c>
      <c r="F323">
        <v>245166004.19999999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-0.19024558976132791</v>
      </c>
      <c r="Q323">
        <f t="shared" si="965"/>
        <v>-46641751.058457196</v>
      </c>
      <c r="R323">
        <f t="shared" si="966"/>
        <v>-822411293.29327393</v>
      </c>
      <c r="S323">
        <f t="shared" si="967"/>
        <v>-8224.1129329327396</v>
      </c>
      <c r="T323">
        <f t="shared" si="968"/>
        <v>-8.2241129329327389</v>
      </c>
    </row>
    <row r="324" spans="1:20" x14ac:dyDescent="0.25">
      <c r="A324" s="5">
        <v>44269</v>
      </c>
      <c r="B324">
        <v>0.18492</v>
      </c>
      <c r="C324">
        <v>0.25</v>
      </c>
      <c r="D324">
        <v>0.18398999999999999</v>
      </c>
      <c r="E324">
        <v>0.22524</v>
      </c>
      <c r="F324">
        <v>298195050.39999998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0.24981063475231027</v>
      </c>
      <c r="Q324">
        <f t="shared" si="965"/>
        <v>74492294.820421144</v>
      </c>
      <c r="R324">
        <f t="shared" si="966"/>
        <v>-775769542.23481679</v>
      </c>
      <c r="S324">
        <f t="shared" si="967"/>
        <v>-7757.695422348168</v>
      </c>
      <c r="T324">
        <f t="shared" si="968"/>
        <v>-7.757695422348168</v>
      </c>
    </row>
    <row r="325" spans="1:20" x14ac:dyDescent="0.25">
      <c r="A325" s="5">
        <v>44268</v>
      </c>
      <c r="B325">
        <v>0.17713999999999999</v>
      </c>
      <c r="C325">
        <v>0.19800000000000001</v>
      </c>
      <c r="D325">
        <v>0.15840000000000001</v>
      </c>
      <c r="E325">
        <v>0.18504000000000001</v>
      </c>
      <c r="F325">
        <v>175576441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0.3454545454545454</v>
      </c>
      <c r="Q325">
        <f t="shared" si="965"/>
        <v>60653679.61818181</v>
      </c>
      <c r="R325">
        <f t="shared" si="966"/>
        <v>-850261837.05523789</v>
      </c>
      <c r="S325">
        <f t="shared" si="967"/>
        <v>-8502.6183705523781</v>
      </c>
      <c r="T325">
        <f t="shared" si="968"/>
        <v>-8.5026183705523781</v>
      </c>
    </row>
    <row r="326" spans="1:20" x14ac:dyDescent="0.25">
      <c r="A326" s="5">
        <v>44267</v>
      </c>
      <c r="B326">
        <v>0.15748999999999999</v>
      </c>
      <c r="C326">
        <v>0.18984000000000001</v>
      </c>
      <c r="D326">
        <v>0.15704000000000001</v>
      </c>
      <c r="E326">
        <v>0.17713999999999999</v>
      </c>
      <c r="F326">
        <v>202252497.59999999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0.22560975609755984</v>
      </c>
      <c r="Q326">
        <f t="shared" ref="Q326:Q389" si="970">F326*P326</f>
        <v>45630136.653658308</v>
      </c>
      <c r="R326">
        <f t="shared" ref="R326:R389" si="971">R327+Q326</f>
        <v>-910915516.67341971</v>
      </c>
      <c r="S326">
        <f t="shared" ref="S326:S389" si="972">R326/100000</f>
        <v>-9109.1551667341973</v>
      </c>
      <c r="T326">
        <f t="shared" ref="T326:T389" si="973">S326/1000</f>
        <v>-9.1091551667341975</v>
      </c>
    </row>
    <row r="327" spans="1:20" x14ac:dyDescent="0.25">
      <c r="A327" s="5">
        <v>44266</v>
      </c>
      <c r="B327">
        <v>0.14230999999999999</v>
      </c>
      <c r="C327">
        <v>0.16988</v>
      </c>
      <c r="D327">
        <v>0.13442999999999999</v>
      </c>
      <c r="E327">
        <v>0.1575</v>
      </c>
      <c r="F327">
        <v>173649158.30000001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0.3015514809590974</v>
      </c>
      <c r="Q327">
        <f t="shared" si="970"/>
        <v>52364160.852665745</v>
      </c>
      <c r="R327">
        <f t="shared" si="971"/>
        <v>-956545653.32707798</v>
      </c>
      <c r="S327">
        <f t="shared" si="972"/>
        <v>-9565.4565332707807</v>
      </c>
      <c r="T327">
        <f t="shared" si="973"/>
        <v>-9.5654565332707815</v>
      </c>
    </row>
    <row r="328" spans="1:20" x14ac:dyDescent="0.25">
      <c r="A328" s="5">
        <v>44265</v>
      </c>
      <c r="B328">
        <v>0.14412</v>
      </c>
      <c r="C328">
        <v>0.16</v>
      </c>
      <c r="D328">
        <v>0.13275000000000001</v>
      </c>
      <c r="E328">
        <v>0.1421</v>
      </c>
      <c r="F328">
        <v>154401735.90000001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-0.31376146788990839</v>
      </c>
      <c r="Q328">
        <f t="shared" si="970"/>
        <v>-48445315.300733969</v>
      </c>
      <c r="R328">
        <f t="shared" si="971"/>
        <v>-1008909814.1797438</v>
      </c>
      <c r="S328">
        <f t="shared" si="972"/>
        <v>-10089.098141797438</v>
      </c>
      <c r="T328">
        <f t="shared" si="973"/>
        <v>-10.089098141797438</v>
      </c>
    </row>
    <row r="329" spans="1:20" x14ac:dyDescent="0.25">
      <c r="A329" s="5">
        <v>44264</v>
      </c>
      <c r="B329">
        <v>0.14074999999999999</v>
      </c>
      <c r="C329">
        <v>0.16549</v>
      </c>
      <c r="D329">
        <v>0.13528999999999999</v>
      </c>
      <c r="E329">
        <v>0.14437</v>
      </c>
      <c r="F329">
        <v>194034807.90000001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-0.39867549668874153</v>
      </c>
      <c r="Q329">
        <f t="shared" si="970"/>
        <v>-77356923.414437056</v>
      </c>
      <c r="R329">
        <f t="shared" si="971"/>
        <v>-960464498.87900984</v>
      </c>
      <c r="S329">
        <f t="shared" si="972"/>
        <v>-9604.6449887900981</v>
      </c>
      <c r="T329">
        <f t="shared" si="973"/>
        <v>-9.6046449887900973</v>
      </c>
    </row>
    <row r="330" spans="1:20" x14ac:dyDescent="0.25">
      <c r="A330" s="5">
        <v>44263</v>
      </c>
      <c r="B330">
        <v>0.12106</v>
      </c>
      <c r="C330">
        <v>0.14771000000000001</v>
      </c>
      <c r="D330">
        <v>0.114</v>
      </c>
      <c r="E330">
        <v>0.14080999999999999</v>
      </c>
      <c r="F330">
        <v>157512882.59999999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0.5906259270246208</v>
      </c>
      <c r="Q330">
        <f t="shared" si="970"/>
        <v>93031192.303945258</v>
      </c>
      <c r="R330">
        <f t="shared" si="971"/>
        <v>-883107575.46457279</v>
      </c>
      <c r="S330">
        <f t="shared" si="972"/>
        <v>-8831.075754645728</v>
      </c>
      <c r="T330">
        <f t="shared" si="973"/>
        <v>-8.8310757546457275</v>
      </c>
    </row>
    <row r="331" spans="1:20" x14ac:dyDescent="0.25">
      <c r="A331" s="5">
        <v>44262</v>
      </c>
      <c r="B331">
        <v>0.12295</v>
      </c>
      <c r="C331">
        <v>0.12698000000000001</v>
      </c>
      <c r="D331">
        <v>0.11704000000000001</v>
      </c>
      <c r="E331">
        <v>0.12107</v>
      </c>
      <c r="F331">
        <v>71074365.599999994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-0.1891348088531207</v>
      </c>
      <c r="Q331">
        <f t="shared" si="970"/>
        <v>-13442636.552112816</v>
      </c>
      <c r="R331">
        <f t="shared" si="971"/>
        <v>-976138767.76851809</v>
      </c>
      <c r="S331">
        <f t="shared" si="972"/>
        <v>-9761.3876776851812</v>
      </c>
      <c r="T331">
        <f t="shared" si="973"/>
        <v>-9.7613876776851818</v>
      </c>
    </row>
    <row r="332" spans="1:20" x14ac:dyDescent="0.25">
      <c r="A332" s="5">
        <v>44261</v>
      </c>
      <c r="B332">
        <v>0.12867000000000001</v>
      </c>
      <c r="C332">
        <v>0.13780999999999999</v>
      </c>
      <c r="D332">
        <v>0.11178</v>
      </c>
      <c r="E332">
        <v>0.12292</v>
      </c>
      <c r="F332">
        <v>121969920.2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-0.1440645409143293</v>
      </c>
      <c r="Q332">
        <f t="shared" si="970"/>
        <v>-17571540.558970381</v>
      </c>
      <c r="R332">
        <f t="shared" si="971"/>
        <v>-962696131.21640527</v>
      </c>
      <c r="S332">
        <f t="shared" si="972"/>
        <v>-9626.9613121640523</v>
      </c>
      <c r="T332">
        <f t="shared" si="973"/>
        <v>-9.6269613121640525</v>
      </c>
    </row>
    <row r="333" spans="1:20" x14ac:dyDescent="0.25">
      <c r="A333" s="5">
        <v>44260</v>
      </c>
      <c r="B333">
        <v>0.10747</v>
      </c>
      <c r="C333">
        <v>0.13450000000000001</v>
      </c>
      <c r="D333">
        <v>0.10135</v>
      </c>
      <c r="E333">
        <v>0.12870999999999999</v>
      </c>
      <c r="F333">
        <v>240383445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0.65067873303167334</v>
      </c>
      <c r="Q333">
        <f t="shared" si="970"/>
        <v>156412395.43438894</v>
      </c>
      <c r="R333">
        <f t="shared" si="971"/>
        <v>-945124590.65743494</v>
      </c>
      <c r="S333">
        <f t="shared" si="972"/>
        <v>-9451.2459065743496</v>
      </c>
      <c r="T333">
        <f t="shared" si="973"/>
        <v>-9.4512459065743499</v>
      </c>
    </row>
    <row r="334" spans="1:20" x14ac:dyDescent="0.25">
      <c r="A334" s="5">
        <v>44259</v>
      </c>
      <c r="B334">
        <v>0.10385999999999999</v>
      </c>
      <c r="C334">
        <v>0.11347</v>
      </c>
      <c r="D334">
        <v>9.7089999999999996E-2</v>
      </c>
      <c r="E334">
        <v>0.1075</v>
      </c>
      <c r="F334">
        <v>113438448.59999999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0.27106227106227093</v>
      </c>
      <c r="Q334">
        <f t="shared" si="970"/>
        <v>30748883.503296688</v>
      </c>
      <c r="R334">
        <f t="shared" si="971"/>
        <v>-1101536986.0918238</v>
      </c>
      <c r="S334">
        <f t="shared" si="972"/>
        <v>-11015.369860918237</v>
      </c>
      <c r="T334">
        <f t="shared" si="973"/>
        <v>-11.015369860918238</v>
      </c>
    </row>
    <row r="335" spans="1:20" x14ac:dyDescent="0.25">
      <c r="A335" s="5">
        <v>44258</v>
      </c>
      <c r="B335">
        <v>9.8930000000000004E-2</v>
      </c>
      <c r="C335">
        <v>0.10772</v>
      </c>
      <c r="D335">
        <v>9.6750000000000003E-2</v>
      </c>
      <c r="E335">
        <v>0.10384</v>
      </c>
      <c r="F335">
        <v>84706792.099999994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0.2926162260711036</v>
      </c>
      <c r="Q335">
        <f t="shared" si="970"/>
        <v>24786581.826891571</v>
      </c>
      <c r="R335">
        <f t="shared" si="971"/>
        <v>-1132285869.5951204</v>
      </c>
      <c r="S335">
        <f t="shared" si="972"/>
        <v>-11322.858695951205</v>
      </c>
      <c r="T335">
        <f t="shared" si="973"/>
        <v>-11.322858695951204</v>
      </c>
    </row>
    <row r="336" spans="1:20" x14ac:dyDescent="0.25">
      <c r="A336" s="5">
        <v>44257</v>
      </c>
      <c r="B336">
        <v>9.6930000000000002E-2</v>
      </c>
      <c r="C336">
        <v>0.10449</v>
      </c>
      <c r="D336">
        <v>9.2130000000000004E-2</v>
      </c>
      <c r="E336">
        <v>9.8930000000000004E-2</v>
      </c>
      <c r="F336">
        <v>86598402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0.10032362459546969</v>
      </c>
      <c r="Q336">
        <f t="shared" si="970"/>
        <v>8687865.572815571</v>
      </c>
      <c r="R336">
        <f t="shared" si="971"/>
        <v>-1157072451.4220121</v>
      </c>
      <c r="S336">
        <f t="shared" si="972"/>
        <v>-11570.724514220121</v>
      </c>
      <c r="T336">
        <f t="shared" si="973"/>
        <v>-11.570724514220121</v>
      </c>
    </row>
    <row r="337" spans="1:20" x14ac:dyDescent="0.25">
      <c r="A337" s="5">
        <v>44256</v>
      </c>
      <c r="B337">
        <v>9.0880000000000002E-2</v>
      </c>
      <c r="C337">
        <v>0.10488</v>
      </c>
      <c r="D337">
        <v>8.9899999999999994E-2</v>
      </c>
      <c r="E337">
        <v>9.6939999999999998E-2</v>
      </c>
      <c r="F337">
        <v>64753154.200000003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-6.0080106809078611E-2</v>
      </c>
      <c r="Q337">
        <f t="shared" si="970"/>
        <v>-3890376.4205607376</v>
      </c>
      <c r="R337">
        <f t="shared" si="971"/>
        <v>-1165760316.9948277</v>
      </c>
      <c r="S337">
        <f t="shared" si="972"/>
        <v>-11657.603169948277</v>
      </c>
      <c r="T337">
        <f t="shared" si="973"/>
        <v>-11.657603169948278</v>
      </c>
    </row>
    <row r="338" spans="1:20" x14ac:dyDescent="0.25">
      <c r="A338" s="5">
        <v>44255</v>
      </c>
      <c r="B338">
        <v>9.3979999999999994E-2</v>
      </c>
      <c r="C338">
        <v>9.5000000000000001E-2</v>
      </c>
      <c r="D338">
        <v>8.3549999999999999E-2</v>
      </c>
      <c r="E338">
        <v>9.0789999999999996E-2</v>
      </c>
      <c r="F338">
        <v>84482711.200000003</v>
      </c>
      <c r="G338">
        <v>0</v>
      </c>
      <c r="L338" t="s">
        <v>7</v>
      </c>
      <c r="M338" t="s">
        <v>8</v>
      </c>
      <c r="N338" t="s">
        <v>7</v>
      </c>
      <c r="P338">
        <f t="shared" si="969"/>
        <v>0.26462882096069784</v>
      </c>
      <c r="Q338">
        <f t="shared" si="970"/>
        <v>22356560.256419145</v>
      </c>
      <c r="R338">
        <f t="shared" si="971"/>
        <v>-1161869940.5742669</v>
      </c>
      <c r="S338">
        <f t="shared" si="972"/>
        <v>-11618.699405742669</v>
      </c>
      <c r="T338">
        <f t="shared" si="973"/>
        <v>-11.618699405742669</v>
      </c>
    </row>
    <row r="339" spans="1:20" x14ac:dyDescent="0.25">
      <c r="A339" s="5">
        <v>44254</v>
      </c>
      <c r="B339">
        <v>9.11E-2</v>
      </c>
      <c r="C339">
        <v>0.1004</v>
      </c>
      <c r="D339">
        <v>0.09</v>
      </c>
      <c r="E339">
        <v>9.4270000000000007E-2</v>
      </c>
      <c r="F339">
        <v>73517746.299999997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-0.17884615384615246</v>
      </c>
      <c r="Q339">
        <f t="shared" si="970"/>
        <v>-13148366.165192205</v>
      </c>
      <c r="R339">
        <f t="shared" si="971"/>
        <v>-1184226500.8306861</v>
      </c>
      <c r="S339">
        <f t="shared" si="972"/>
        <v>-11842.26500830686</v>
      </c>
      <c r="T339">
        <f t="shared" si="973"/>
        <v>-11.84226500830686</v>
      </c>
    </row>
    <row r="340" spans="1:20" x14ac:dyDescent="0.25">
      <c r="A340" s="5">
        <v>44253</v>
      </c>
      <c r="B340">
        <v>9.1160000000000005E-2</v>
      </c>
      <c r="C340">
        <v>9.6009999999999998E-2</v>
      </c>
      <c r="D340">
        <v>8.301E-2</v>
      </c>
      <c r="E340">
        <v>9.1240000000000002E-2</v>
      </c>
      <c r="F340">
        <v>92971790.900000006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0.26615384615384657</v>
      </c>
      <c r="Q340">
        <f t="shared" si="970"/>
        <v>24744799.731846195</v>
      </c>
      <c r="R340">
        <f t="shared" si="971"/>
        <v>-1171078134.665494</v>
      </c>
      <c r="S340">
        <f t="shared" si="972"/>
        <v>-11710.78134665494</v>
      </c>
      <c r="T340">
        <f t="shared" si="973"/>
        <v>-11.71078134665494</v>
      </c>
    </row>
    <row r="341" spans="1:20" x14ac:dyDescent="0.25">
      <c r="A341" s="5">
        <v>44252</v>
      </c>
      <c r="B341">
        <v>0.10004</v>
      </c>
      <c r="C341">
        <v>0.1057</v>
      </c>
      <c r="D341">
        <v>0.09</v>
      </c>
      <c r="E341">
        <v>9.1350000000000001E-2</v>
      </c>
      <c r="F341">
        <v>94021832.900000006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-0.82802547770700596</v>
      </c>
      <c r="Q341">
        <f t="shared" si="970"/>
        <v>-77852473.1019108</v>
      </c>
      <c r="R341">
        <f t="shared" si="971"/>
        <v>-1195822934.3973401</v>
      </c>
      <c r="S341">
        <f t="shared" si="972"/>
        <v>-11958.2293439734</v>
      </c>
      <c r="T341">
        <f t="shared" si="973"/>
        <v>-11.9582293439734</v>
      </c>
    </row>
    <row r="342" spans="1:20" x14ac:dyDescent="0.25">
      <c r="A342" s="5">
        <v>44251</v>
      </c>
      <c r="B342">
        <v>9.7159999999999996E-2</v>
      </c>
      <c r="C342">
        <v>0.11219999999999999</v>
      </c>
      <c r="D342">
        <v>9.0889999999999999E-2</v>
      </c>
      <c r="E342">
        <v>9.9739999999999995E-2</v>
      </c>
      <c r="F342">
        <v>112954331.40000001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-0.16940403566400764</v>
      </c>
      <c r="Q342">
        <f t="shared" si="970"/>
        <v>-19134919.58488974</v>
      </c>
      <c r="R342">
        <f t="shared" si="971"/>
        <v>-1117970461.2954292</v>
      </c>
      <c r="S342">
        <f t="shared" si="972"/>
        <v>-11179.704612954292</v>
      </c>
      <c r="T342">
        <f t="shared" si="973"/>
        <v>-11.179704612954293</v>
      </c>
    </row>
    <row r="343" spans="1:20" x14ac:dyDescent="0.25">
      <c r="A343" s="5">
        <v>44250</v>
      </c>
      <c r="B343">
        <v>0.11312</v>
      </c>
      <c r="C343">
        <v>0.11337</v>
      </c>
      <c r="D343">
        <v>8.5000000000000006E-2</v>
      </c>
      <c r="E343">
        <v>9.6960000000000005E-2</v>
      </c>
      <c r="F343">
        <v>155390412.19999999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-0.15685583362707073</v>
      </c>
      <c r="Q343">
        <f t="shared" si="970"/>
        <v>-24373892.64328514</v>
      </c>
      <c r="R343">
        <f t="shared" si="971"/>
        <v>-1098835541.7105396</v>
      </c>
      <c r="S343">
        <f t="shared" si="972"/>
        <v>-10988.355417105397</v>
      </c>
      <c r="T343">
        <f t="shared" si="973"/>
        <v>-10.988355417105396</v>
      </c>
    </row>
    <row r="344" spans="1:20" x14ac:dyDescent="0.25">
      <c r="A344" s="5">
        <v>44249</v>
      </c>
      <c r="B344">
        <v>0.11959</v>
      </c>
      <c r="C344">
        <v>0.13042000000000001</v>
      </c>
      <c r="D344">
        <v>9.4329999999999997E-2</v>
      </c>
      <c r="E344">
        <v>0.11325</v>
      </c>
      <c r="F344">
        <v>161159503.19999999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4.8489886395123333E-2</v>
      </c>
      <c r="Q344">
        <f t="shared" si="970"/>
        <v>7814606.0016625142</v>
      </c>
      <c r="R344">
        <f t="shared" si="971"/>
        <v>-1074461649.0672545</v>
      </c>
      <c r="S344">
        <f t="shared" si="972"/>
        <v>-10744.616490672546</v>
      </c>
      <c r="T344">
        <f t="shared" si="973"/>
        <v>-10.744616490672547</v>
      </c>
    </row>
    <row r="345" spans="1:20" x14ac:dyDescent="0.25">
      <c r="A345" s="5">
        <v>44248</v>
      </c>
      <c r="B345">
        <v>0.11676</v>
      </c>
      <c r="C345">
        <v>0.12748000000000001</v>
      </c>
      <c r="D345">
        <v>0.11556</v>
      </c>
      <c r="E345">
        <v>0.11978999999999999</v>
      </c>
      <c r="F345">
        <v>70019012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-0.29026845637584014</v>
      </c>
      <c r="Q345">
        <f t="shared" si="970"/>
        <v>-20324310.530201428</v>
      </c>
      <c r="R345">
        <f t="shared" si="971"/>
        <v>-1082276255.068917</v>
      </c>
      <c r="S345">
        <f t="shared" si="972"/>
        <v>-10822.762550689171</v>
      </c>
      <c r="T345">
        <f t="shared" si="973"/>
        <v>-10.822762550689172</v>
      </c>
    </row>
    <row r="346" spans="1:20" x14ac:dyDescent="0.25">
      <c r="A346" s="5">
        <v>44247</v>
      </c>
      <c r="B346">
        <v>0.12989000000000001</v>
      </c>
      <c r="C346">
        <v>0.13497999999999999</v>
      </c>
      <c r="D346">
        <v>0.11209</v>
      </c>
      <c r="E346">
        <v>0.11654</v>
      </c>
      <c r="F346">
        <v>93321376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-0.61118392311052772</v>
      </c>
      <c r="Q346">
        <f t="shared" si="970"/>
        <v>-57036524.693752646</v>
      </c>
      <c r="R346">
        <f t="shared" si="971"/>
        <v>-1061951944.5387156</v>
      </c>
      <c r="S346">
        <f t="shared" si="972"/>
        <v>-10619.519445387155</v>
      </c>
      <c r="T346">
        <f t="shared" si="973"/>
        <v>-10.619519445387155</v>
      </c>
    </row>
    <row r="347" spans="1:20" x14ac:dyDescent="0.25">
      <c r="A347" s="5">
        <v>44246</v>
      </c>
      <c r="B347">
        <v>0.12845000000000001</v>
      </c>
      <c r="C347">
        <v>0.14000000000000001</v>
      </c>
      <c r="D347">
        <v>0.12268</v>
      </c>
      <c r="E347">
        <v>0.12975999999999999</v>
      </c>
      <c r="F347">
        <v>90592595.200000003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-0.18244803695150316</v>
      </c>
      <c r="Q347">
        <f t="shared" si="970"/>
        <v>-16528441.156582169</v>
      </c>
      <c r="R347">
        <f t="shared" si="971"/>
        <v>-1004915419.844963</v>
      </c>
      <c r="S347">
        <f t="shared" si="972"/>
        <v>-10049.154198449629</v>
      </c>
      <c r="T347">
        <f t="shared" si="973"/>
        <v>-10.04915419844963</v>
      </c>
    </row>
    <row r="348" spans="1:20" x14ac:dyDescent="0.25">
      <c r="A348" s="5">
        <v>44245</v>
      </c>
      <c r="B348">
        <v>0.13306000000000001</v>
      </c>
      <c r="C348">
        <v>0.14673</v>
      </c>
      <c r="D348">
        <v>0.12623999999999999</v>
      </c>
      <c r="E348">
        <v>0.12844</v>
      </c>
      <c r="F348">
        <v>106554533.8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-0.78526110297706131</v>
      </c>
      <c r="Q348">
        <f t="shared" si="970"/>
        <v>-83673130.738994554</v>
      </c>
      <c r="R348">
        <f t="shared" si="971"/>
        <v>-988386978.68838084</v>
      </c>
      <c r="S348">
        <f t="shared" si="972"/>
        <v>-9883.869786883808</v>
      </c>
      <c r="T348">
        <f t="shared" si="973"/>
        <v>-9.8838697868838086</v>
      </c>
    </row>
    <row r="349" spans="1:20" x14ac:dyDescent="0.25">
      <c r="A349" s="5">
        <v>44244</v>
      </c>
      <c r="B349">
        <v>0.12756000000000001</v>
      </c>
      <c r="C349">
        <v>0.14771000000000001</v>
      </c>
      <c r="D349">
        <v>0.11368</v>
      </c>
      <c r="E349">
        <v>0.13328000000000001</v>
      </c>
      <c r="F349">
        <v>218017994.59999999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0.151924772259771</v>
      </c>
      <c r="Q349">
        <f t="shared" si="970"/>
        <v>33122334.178136982</v>
      </c>
      <c r="R349">
        <f t="shared" si="971"/>
        <v>-904713847.94938624</v>
      </c>
      <c r="S349">
        <f t="shared" si="972"/>
        <v>-9047.1384794938622</v>
      </c>
      <c r="T349">
        <f t="shared" si="973"/>
        <v>-9.0471384794938619</v>
      </c>
    </row>
    <row r="350" spans="1:20" x14ac:dyDescent="0.25">
      <c r="A350" s="5">
        <v>44243</v>
      </c>
      <c r="B350">
        <v>9.8979999999999999E-2</v>
      </c>
      <c r="C350">
        <v>0.14069999999999999</v>
      </c>
      <c r="D350">
        <v>9.4509999999999997E-2</v>
      </c>
      <c r="E350">
        <v>0.12734000000000001</v>
      </c>
      <c r="F350">
        <v>290867918.30000001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0.42151980948257267</v>
      </c>
      <c r="Q350">
        <f t="shared" si="970"/>
        <v>122606589.50640851</v>
      </c>
      <c r="R350">
        <f t="shared" si="971"/>
        <v>-937836182.12752318</v>
      </c>
      <c r="S350">
        <f t="shared" si="972"/>
        <v>-9378.3618212752317</v>
      </c>
      <c r="T350">
        <f t="shared" si="973"/>
        <v>-9.3783618212752309</v>
      </c>
    </row>
    <row r="351" spans="1:20" x14ac:dyDescent="0.25">
      <c r="A351" s="5">
        <v>44242</v>
      </c>
      <c r="B351">
        <v>0.10242</v>
      </c>
      <c r="C351">
        <v>0.11362</v>
      </c>
      <c r="D351">
        <v>8.6749999999999994E-2</v>
      </c>
      <c r="E351">
        <v>9.8979999999999999E-2</v>
      </c>
      <c r="F351">
        <v>92168486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-8.9691105321920178E-2</v>
      </c>
      <c r="Q351">
        <f t="shared" si="970"/>
        <v>-8266693.3851879258</v>
      </c>
      <c r="R351">
        <f t="shared" si="971"/>
        <v>-1060442771.6339318</v>
      </c>
      <c r="S351">
        <f t="shared" si="972"/>
        <v>-10604.427716339318</v>
      </c>
      <c r="T351">
        <f t="shared" si="973"/>
        <v>-10.604427716339318</v>
      </c>
    </row>
    <row r="352" spans="1:20" x14ac:dyDescent="0.25">
      <c r="A352" s="5">
        <v>44241</v>
      </c>
      <c r="B352">
        <v>0.11514000000000001</v>
      </c>
      <c r="C352">
        <v>0.11687</v>
      </c>
      <c r="D352">
        <v>8.9209999999999998E-2</v>
      </c>
      <c r="E352">
        <v>0.10241</v>
      </c>
      <c r="F352">
        <v>104056479.5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-4.5553145336225488E-2</v>
      </c>
      <c r="Q352">
        <f t="shared" si="970"/>
        <v>-4740099.9338394683</v>
      </c>
      <c r="R352">
        <f t="shared" si="971"/>
        <v>-1052176078.2487438</v>
      </c>
      <c r="S352">
        <f t="shared" si="972"/>
        <v>-10521.760782487438</v>
      </c>
      <c r="T352">
        <f t="shared" si="973"/>
        <v>-10.521760782487437</v>
      </c>
    </row>
    <row r="353" spans="1:20" x14ac:dyDescent="0.25">
      <c r="A353" s="5">
        <v>44240</v>
      </c>
      <c r="B353">
        <v>0.12565000000000001</v>
      </c>
      <c r="C353">
        <v>0.12654000000000001</v>
      </c>
      <c r="D353">
        <v>0.10536</v>
      </c>
      <c r="E353">
        <v>0.11507000000000001</v>
      </c>
      <c r="F353">
        <v>104052696.3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-8.3097261567516345E-2</v>
      </c>
      <c r="Q353">
        <f t="shared" si="970"/>
        <v>-8646494.1212464403</v>
      </c>
      <c r="R353">
        <f t="shared" si="971"/>
        <v>-1047435978.3149043</v>
      </c>
      <c r="S353">
        <f t="shared" si="972"/>
        <v>-10474.359783149042</v>
      </c>
      <c r="T353">
        <f t="shared" si="973"/>
        <v>-10.474359783149042</v>
      </c>
    </row>
    <row r="354" spans="1:20" x14ac:dyDescent="0.25">
      <c r="A354" s="5">
        <v>44239</v>
      </c>
      <c r="B354">
        <v>0.1079</v>
      </c>
      <c r="C354">
        <v>0.12878999999999999</v>
      </c>
      <c r="D354">
        <v>0.10074</v>
      </c>
      <c r="E354">
        <v>0.12543000000000001</v>
      </c>
      <c r="F354">
        <v>110056104.40000001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0.76042780748663275</v>
      </c>
      <c r="Q354">
        <f t="shared" si="970"/>
        <v>83689722.169411957</v>
      </c>
      <c r="R354">
        <f t="shared" si="971"/>
        <v>-1038789484.1936579</v>
      </c>
      <c r="S354">
        <f t="shared" si="972"/>
        <v>-10387.894841936579</v>
      </c>
      <c r="T354">
        <f t="shared" si="973"/>
        <v>-10.387894841936578</v>
      </c>
    </row>
    <row r="355" spans="1:20" x14ac:dyDescent="0.25">
      <c r="A355" s="5">
        <v>44238</v>
      </c>
      <c r="B355">
        <v>0.10557999999999999</v>
      </c>
      <c r="C355">
        <v>0.11806</v>
      </c>
      <c r="D355">
        <v>0.10169</v>
      </c>
      <c r="E355">
        <v>0.10789</v>
      </c>
      <c r="F355">
        <v>123937907.7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-0.24251679902260245</v>
      </c>
      <c r="Q355">
        <f t="shared" si="970"/>
        <v>-30057024.652962755</v>
      </c>
      <c r="R355">
        <f t="shared" si="971"/>
        <v>-1122479206.3630698</v>
      </c>
      <c r="S355">
        <f t="shared" si="972"/>
        <v>-11224.792063630697</v>
      </c>
      <c r="T355">
        <f t="shared" si="973"/>
        <v>-11.224792063630698</v>
      </c>
    </row>
    <row r="356" spans="1:20" x14ac:dyDescent="0.25">
      <c r="A356" s="5">
        <v>44237</v>
      </c>
      <c r="B356">
        <v>8.6389999999999995E-2</v>
      </c>
      <c r="C356">
        <v>0.11541</v>
      </c>
      <c r="D356">
        <v>8.1989999999999993E-2</v>
      </c>
      <c r="E356">
        <v>0.10557999999999999</v>
      </c>
      <c r="F356">
        <v>236250715.09999999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0.41172950329144203</v>
      </c>
      <c r="Q356">
        <f t="shared" si="970"/>
        <v>97271389.580370978</v>
      </c>
      <c r="R356">
        <f t="shared" si="971"/>
        <v>-1092422181.7101071</v>
      </c>
      <c r="S356">
        <f t="shared" si="972"/>
        <v>-10924.22181710107</v>
      </c>
      <c r="T356">
        <f t="shared" si="973"/>
        <v>-10.924221817101071</v>
      </c>
    </row>
    <row r="357" spans="1:20" x14ac:dyDescent="0.25">
      <c r="A357" s="5">
        <v>44236</v>
      </c>
      <c r="B357">
        <v>8.5220000000000004E-2</v>
      </c>
      <c r="C357">
        <v>8.7590000000000001E-2</v>
      </c>
      <c r="D357">
        <v>8.0420000000000005E-2</v>
      </c>
      <c r="E357">
        <v>8.6389999999999995E-2</v>
      </c>
      <c r="F357">
        <v>104307125.59999999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0.66527196652719456</v>
      </c>
      <c r="Q357">
        <f t="shared" si="970"/>
        <v>69392606.570711076</v>
      </c>
      <c r="R357">
        <f t="shared" si="971"/>
        <v>-1189693571.290478</v>
      </c>
      <c r="S357">
        <f t="shared" si="972"/>
        <v>-11896.93571290478</v>
      </c>
      <c r="T357">
        <f t="shared" si="973"/>
        <v>-11.89693571290478</v>
      </c>
    </row>
    <row r="358" spans="1:20" x14ac:dyDescent="0.25">
      <c r="A358" s="5">
        <v>44235</v>
      </c>
      <c r="B358">
        <v>7.2800000000000004E-2</v>
      </c>
      <c r="C358">
        <v>8.7999999999999995E-2</v>
      </c>
      <c r="D358">
        <v>7.2609999999999994E-2</v>
      </c>
      <c r="E358">
        <v>8.5220000000000004E-2</v>
      </c>
      <c r="F358">
        <v>186059940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0.63872644574399084</v>
      </c>
      <c r="Q358">
        <f t="shared" si="970"/>
        <v>118841404.17154019</v>
      </c>
      <c r="R358">
        <f t="shared" si="971"/>
        <v>-1259086177.8611891</v>
      </c>
      <c r="S358">
        <f t="shared" si="972"/>
        <v>-12590.861778611892</v>
      </c>
      <c r="T358">
        <f t="shared" si="973"/>
        <v>-12.590861778611892</v>
      </c>
    </row>
    <row r="359" spans="1:20" x14ac:dyDescent="0.25">
      <c r="A359" s="5">
        <v>44234</v>
      </c>
      <c r="B359">
        <v>7.0879999999999999E-2</v>
      </c>
      <c r="C359">
        <v>7.6999999999999999E-2</v>
      </c>
      <c r="D359">
        <v>6.6500000000000004E-2</v>
      </c>
      <c r="E359">
        <v>7.2770000000000001E-2</v>
      </c>
      <c r="F359">
        <v>104943237.09999999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0.19428571428571439</v>
      </c>
      <c r="Q359">
        <f t="shared" si="970"/>
        <v>20388971.779428583</v>
      </c>
      <c r="R359">
        <f t="shared" si="971"/>
        <v>-1377927582.0327294</v>
      </c>
      <c r="S359">
        <f t="shared" si="972"/>
        <v>-13779.275820327293</v>
      </c>
      <c r="T359">
        <f t="shared" si="973"/>
        <v>-13.779275820327292</v>
      </c>
    </row>
    <row r="360" spans="1:20" x14ac:dyDescent="0.25">
      <c r="A360" s="5">
        <v>44233</v>
      </c>
      <c r="B360">
        <v>7.2010000000000005E-2</v>
      </c>
      <c r="C360">
        <v>0.08</v>
      </c>
      <c r="D360">
        <v>6.5540000000000001E-2</v>
      </c>
      <c r="E360">
        <v>7.0879999999999999E-2</v>
      </c>
      <c r="F360">
        <v>124868265.8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-0.26141078838174309</v>
      </c>
      <c r="Q360">
        <f t="shared" si="970"/>
        <v>-32641911.806639045</v>
      </c>
      <c r="R360">
        <f t="shared" si="971"/>
        <v>-1398316553.8121579</v>
      </c>
      <c r="S360">
        <f t="shared" si="972"/>
        <v>-13983.165538121579</v>
      </c>
      <c r="T360">
        <f t="shared" si="973"/>
        <v>-13.983165538121579</v>
      </c>
    </row>
    <row r="361" spans="1:20" x14ac:dyDescent="0.25">
      <c r="A361" s="5">
        <v>44232</v>
      </c>
      <c r="B361">
        <v>6.4960000000000004E-2</v>
      </c>
      <c r="C361">
        <v>7.4999999999999997E-2</v>
      </c>
      <c r="D361">
        <v>6.4930000000000002E-2</v>
      </c>
      <c r="E361">
        <v>7.1999999999999995E-2</v>
      </c>
      <c r="F361">
        <v>92335922.700000003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0.40417080436941333</v>
      </c>
      <c r="Q361">
        <f t="shared" si="970"/>
        <v>37319484.149850972</v>
      </c>
      <c r="R361">
        <f t="shared" si="971"/>
        <v>-1365674642.0055189</v>
      </c>
      <c r="S361">
        <f t="shared" si="972"/>
        <v>-13656.746420055189</v>
      </c>
      <c r="T361">
        <f t="shared" si="973"/>
        <v>-13.656746420055189</v>
      </c>
    </row>
    <row r="362" spans="1:20" x14ac:dyDescent="0.25">
      <c r="A362" s="5">
        <v>44231</v>
      </c>
      <c r="B362">
        <v>7.109E-2</v>
      </c>
      <c r="C362">
        <v>7.4940000000000007E-2</v>
      </c>
      <c r="D362">
        <v>6.318E-2</v>
      </c>
      <c r="E362">
        <v>6.4979999999999996E-2</v>
      </c>
      <c r="F362">
        <v>123270003.3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-0.69387755102040904</v>
      </c>
      <c r="Q362">
        <f t="shared" si="970"/>
        <v>-85534288.004081741</v>
      </c>
      <c r="R362">
        <f t="shared" si="971"/>
        <v>-1402994126.15537</v>
      </c>
      <c r="S362">
        <f t="shared" si="972"/>
        <v>-14029.9412615537</v>
      </c>
      <c r="T362">
        <f t="shared" si="973"/>
        <v>-14.0299412615537</v>
      </c>
    </row>
    <row r="363" spans="1:20" x14ac:dyDescent="0.25">
      <c r="A363" s="5">
        <v>44230</v>
      </c>
      <c r="B363">
        <v>6.0859999999999997E-2</v>
      </c>
      <c r="C363">
        <v>7.2440000000000004E-2</v>
      </c>
      <c r="D363">
        <v>6.0229999999999999E-2</v>
      </c>
      <c r="E363">
        <v>7.1059999999999998E-2</v>
      </c>
      <c r="F363">
        <v>149765689.69999999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0.77395577395577309</v>
      </c>
      <c r="Q363">
        <f t="shared" si="970"/>
        <v>115912020.28378364</v>
      </c>
      <c r="R363">
        <f t="shared" si="971"/>
        <v>-1317459838.1512883</v>
      </c>
      <c r="S363">
        <f t="shared" si="972"/>
        <v>-13174.598381512882</v>
      </c>
      <c r="T363">
        <f t="shared" si="973"/>
        <v>-13.174598381512881</v>
      </c>
    </row>
    <row r="364" spans="1:20" x14ac:dyDescent="0.25">
      <c r="A364" s="5">
        <v>44229</v>
      </c>
      <c r="B364">
        <v>6.2149999999999997E-2</v>
      </c>
      <c r="C364">
        <v>6.216E-2</v>
      </c>
      <c r="D364">
        <v>5.8599999999999999E-2</v>
      </c>
      <c r="E364">
        <v>6.087E-2</v>
      </c>
      <c r="F364">
        <v>56399555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0.27528089887640494</v>
      </c>
      <c r="Q364">
        <f t="shared" si="970"/>
        <v>15525720.196629239</v>
      </c>
      <c r="R364">
        <f t="shared" si="971"/>
        <v>-1433371858.4350719</v>
      </c>
      <c r="S364">
        <f t="shared" si="972"/>
        <v>-14333.71858435072</v>
      </c>
      <c r="T364">
        <f t="shared" si="973"/>
        <v>-14.33371858435072</v>
      </c>
    </row>
    <row r="365" spans="1:20" x14ac:dyDescent="0.25">
      <c r="A365" s="5">
        <v>44228</v>
      </c>
      <c r="B365">
        <v>5.7279999999999998E-2</v>
      </c>
      <c r="C365">
        <v>6.2309999999999997E-2</v>
      </c>
      <c r="D365">
        <v>5.5559999999999998E-2</v>
      </c>
      <c r="E365">
        <v>6.216E-2</v>
      </c>
      <c r="F365">
        <v>73583773.900000006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0.95555555555555638</v>
      </c>
      <c r="Q365">
        <f t="shared" si="970"/>
        <v>70313383.948888958</v>
      </c>
      <c r="R365">
        <f t="shared" si="971"/>
        <v>-1448897578.6317012</v>
      </c>
      <c r="S365">
        <f t="shared" si="972"/>
        <v>-14488.975786317013</v>
      </c>
      <c r="T365">
        <f t="shared" si="973"/>
        <v>-14.488975786317013</v>
      </c>
    </row>
    <row r="366" spans="1:20" x14ac:dyDescent="0.25">
      <c r="A366" s="5">
        <v>44227</v>
      </c>
      <c r="B366">
        <v>5.6210000000000003E-2</v>
      </c>
      <c r="C366">
        <v>6.3899999999999998E-2</v>
      </c>
      <c r="D366">
        <v>5.5550000000000002E-2</v>
      </c>
      <c r="E366">
        <v>5.7290000000000001E-2</v>
      </c>
      <c r="F366">
        <v>105593115.40000001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-0.58323353293413194</v>
      </c>
      <c r="Q366">
        <f t="shared" si="970"/>
        <v>-61585445.748263501</v>
      </c>
      <c r="R366">
        <f t="shared" si="971"/>
        <v>-1519210962.5805902</v>
      </c>
      <c r="S366">
        <f t="shared" si="972"/>
        <v>-15192.109625805902</v>
      </c>
      <c r="T366">
        <f t="shared" si="973"/>
        <v>-15.192109625805902</v>
      </c>
    </row>
    <row r="367" spans="1:20" x14ac:dyDescent="0.25">
      <c r="A367" s="5">
        <v>44226</v>
      </c>
      <c r="B367">
        <v>5.6390000000000003E-2</v>
      </c>
      <c r="C367">
        <v>5.9889999999999999E-2</v>
      </c>
      <c r="D367">
        <v>5.4300000000000001E-2</v>
      </c>
      <c r="E367">
        <v>5.6180000000000001E-2</v>
      </c>
      <c r="F367">
        <v>65666064.5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-0.32737030411448997</v>
      </c>
      <c r="Q367">
        <f t="shared" si="970"/>
        <v>-21497119.505366713</v>
      </c>
      <c r="R367">
        <f t="shared" si="971"/>
        <v>-1457625516.8323267</v>
      </c>
      <c r="S367">
        <f t="shared" si="972"/>
        <v>-14576.255168323267</v>
      </c>
      <c r="T367">
        <f t="shared" si="973"/>
        <v>-14.576255168323266</v>
      </c>
    </row>
    <row r="368" spans="1:20" x14ac:dyDescent="0.25">
      <c r="A368" s="5">
        <v>44225</v>
      </c>
      <c r="B368">
        <v>5.808E-2</v>
      </c>
      <c r="C368">
        <v>6.0999999999999999E-2</v>
      </c>
      <c r="D368">
        <v>5.3999999999999999E-2</v>
      </c>
      <c r="E368">
        <v>5.6390000000000003E-2</v>
      </c>
      <c r="F368">
        <v>116888940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-0.31714285714285617</v>
      </c>
      <c r="Q368">
        <f t="shared" si="970"/>
        <v>-37070492.399999887</v>
      </c>
      <c r="R368">
        <f t="shared" si="971"/>
        <v>-1436128397.3269598</v>
      </c>
      <c r="S368">
        <f t="shared" si="972"/>
        <v>-14361.283973269599</v>
      </c>
      <c r="T368">
        <f t="shared" si="973"/>
        <v>-14.361283973269598</v>
      </c>
    </row>
    <row r="369" spans="1:20" x14ac:dyDescent="0.25">
      <c r="A369" s="5">
        <v>44224</v>
      </c>
      <c r="B369">
        <v>5.5199999999999999E-2</v>
      </c>
      <c r="C369">
        <v>6.164E-2</v>
      </c>
      <c r="D369">
        <v>5.4820000000000001E-2</v>
      </c>
      <c r="E369">
        <v>5.8049999999999997E-2</v>
      </c>
      <c r="F369">
        <v>74933456.700000003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-5.2785923753666593E-2</v>
      </c>
      <c r="Q369">
        <f t="shared" si="970"/>
        <v>-3955431.7319648773</v>
      </c>
      <c r="R369">
        <f t="shared" si="971"/>
        <v>-1399057904.92696</v>
      </c>
      <c r="S369">
        <f t="shared" si="972"/>
        <v>-13990.5790492696</v>
      </c>
      <c r="T369">
        <f t="shared" si="973"/>
        <v>-13.9905790492696</v>
      </c>
    </row>
    <row r="370" spans="1:20" x14ac:dyDescent="0.25">
      <c r="A370" s="5">
        <v>44223</v>
      </c>
      <c r="B370">
        <v>6.1670000000000003E-2</v>
      </c>
      <c r="C370">
        <v>6.1670000000000003E-2</v>
      </c>
      <c r="D370">
        <v>5.4390000000000001E-2</v>
      </c>
      <c r="E370">
        <v>5.5190000000000003E-2</v>
      </c>
      <c r="F370">
        <v>86880110.599999994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-0.78021978021977967</v>
      </c>
      <c r="Q370">
        <f t="shared" si="970"/>
        <v>-67785580.79780215</v>
      </c>
      <c r="R370">
        <f t="shared" si="971"/>
        <v>-1395102473.1949952</v>
      </c>
      <c r="S370">
        <f t="shared" si="972"/>
        <v>-13951.024731949952</v>
      </c>
      <c r="T370">
        <f t="shared" si="973"/>
        <v>-13.951024731949952</v>
      </c>
    </row>
    <row r="371" spans="1:20" x14ac:dyDescent="0.25">
      <c r="A371" s="5">
        <v>44222</v>
      </c>
      <c r="B371">
        <v>5.9150000000000001E-2</v>
      </c>
      <c r="C371">
        <v>6.2899999999999998E-2</v>
      </c>
      <c r="D371">
        <v>5.5800000000000002E-2</v>
      </c>
      <c r="E371">
        <v>6.1690000000000002E-2</v>
      </c>
      <c r="F371">
        <v>72676402.099999994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0.65915492957746569</v>
      </c>
      <c r="Q371">
        <f t="shared" si="970"/>
        <v>47905008.708169073</v>
      </c>
      <c r="R371">
        <f t="shared" si="971"/>
        <v>-1327316892.397193</v>
      </c>
      <c r="S371">
        <f t="shared" si="972"/>
        <v>-13273.168923971929</v>
      </c>
      <c r="T371">
        <f t="shared" si="973"/>
        <v>-13.273168923971928</v>
      </c>
    </row>
    <row r="372" spans="1:20" x14ac:dyDescent="0.25">
      <c r="A372" s="5">
        <v>44221</v>
      </c>
      <c r="B372">
        <v>6.6390000000000005E-2</v>
      </c>
      <c r="C372">
        <v>6.6500000000000004E-2</v>
      </c>
      <c r="D372">
        <v>5.8099999999999999E-2</v>
      </c>
      <c r="E372">
        <v>5.917E-2</v>
      </c>
      <c r="F372">
        <v>67033477.700000003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-0.74523809523809503</v>
      </c>
      <c r="Q372">
        <f t="shared" si="970"/>
        <v>-49955901.238333322</v>
      </c>
      <c r="R372">
        <f t="shared" si="971"/>
        <v>-1375221901.1053619</v>
      </c>
      <c r="S372">
        <f t="shared" si="972"/>
        <v>-13752.219011053619</v>
      </c>
      <c r="T372">
        <f t="shared" si="973"/>
        <v>-13.752219011053619</v>
      </c>
    </row>
    <row r="373" spans="1:20" x14ac:dyDescent="0.25">
      <c r="A373" s="5">
        <v>44220</v>
      </c>
      <c r="B373">
        <v>6.4159999999999995E-2</v>
      </c>
      <c r="C373">
        <v>6.6500000000000004E-2</v>
      </c>
      <c r="D373">
        <v>5.9749999999999998E-2</v>
      </c>
      <c r="E373">
        <v>6.6470000000000001E-2</v>
      </c>
      <c r="F373">
        <v>84444866.799999997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0.9911111111111105</v>
      </c>
      <c r="Q373">
        <f t="shared" si="970"/>
        <v>83694245.761777729</v>
      </c>
      <c r="R373">
        <f t="shared" si="971"/>
        <v>-1325265999.8670287</v>
      </c>
      <c r="S373">
        <f t="shared" si="972"/>
        <v>-13252.659998670288</v>
      </c>
      <c r="T373">
        <f t="shared" si="973"/>
        <v>-13.252659998670287</v>
      </c>
    </row>
    <row r="374" spans="1:20" x14ac:dyDescent="0.25">
      <c r="A374" s="5">
        <v>44219</v>
      </c>
      <c r="B374">
        <v>6.0359999999999997E-2</v>
      </c>
      <c r="C374">
        <v>6.5809999999999994E-2</v>
      </c>
      <c r="D374">
        <v>5.8549999999999998E-2</v>
      </c>
      <c r="E374">
        <v>6.4100000000000004E-2</v>
      </c>
      <c r="F374">
        <v>89432637.5</v>
      </c>
      <c r="G374">
        <v>0</v>
      </c>
      <c r="L374" t="s">
        <v>7</v>
      </c>
      <c r="M374" t="s">
        <v>8</v>
      </c>
      <c r="N374" t="s">
        <v>7</v>
      </c>
      <c r="P374">
        <f t="shared" si="969"/>
        <v>0.52892561983471342</v>
      </c>
      <c r="Q374">
        <f t="shared" si="970"/>
        <v>47303213.223140739</v>
      </c>
      <c r="R374">
        <f t="shared" si="971"/>
        <v>-1408960245.6288064</v>
      </c>
      <c r="S374">
        <f t="shared" si="972"/>
        <v>-14089.602456288063</v>
      </c>
      <c r="T374">
        <f t="shared" si="973"/>
        <v>-14.089602456288063</v>
      </c>
    </row>
    <row r="375" spans="1:20" x14ac:dyDescent="0.25">
      <c r="A375" s="5">
        <v>44218</v>
      </c>
      <c r="B375">
        <v>5.4460000000000001E-2</v>
      </c>
      <c r="C375">
        <v>6.6900000000000001E-2</v>
      </c>
      <c r="D375">
        <v>5.1020000000000003E-2</v>
      </c>
      <c r="E375">
        <v>6.037E-2</v>
      </c>
      <c r="F375">
        <v>128211022.09999999</v>
      </c>
      <c r="G375">
        <v>0</v>
      </c>
      <c r="L375" t="s">
        <v>8</v>
      </c>
      <c r="M375" t="s">
        <v>8</v>
      </c>
      <c r="N375" t="s">
        <v>7</v>
      </c>
      <c r="P375">
        <f t="shared" si="969"/>
        <v>0.17758186397984865</v>
      </c>
      <c r="Q375">
        <f t="shared" si="970"/>
        <v>22767952.287279569</v>
      </c>
      <c r="R375">
        <f t="shared" si="971"/>
        <v>-1456263458.8519471</v>
      </c>
      <c r="S375">
        <f t="shared" si="972"/>
        <v>-14562.634588519471</v>
      </c>
      <c r="T375">
        <f t="shared" si="973"/>
        <v>-14.562634588519471</v>
      </c>
    </row>
    <row r="376" spans="1:20" x14ac:dyDescent="0.25">
      <c r="A376" s="5">
        <v>44217</v>
      </c>
      <c r="B376">
        <v>6.0589999999999998E-2</v>
      </c>
      <c r="C376">
        <v>6.2E-2</v>
      </c>
      <c r="D376">
        <v>5.3650000000000003E-2</v>
      </c>
      <c r="E376">
        <v>5.4510000000000003E-2</v>
      </c>
      <c r="F376">
        <v>124047211.90000001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-0.79401197604790419</v>
      </c>
      <c r="Q376">
        <f t="shared" si="970"/>
        <v>-98494971.843952104</v>
      </c>
      <c r="R376">
        <f t="shared" si="971"/>
        <v>-1479031411.1392267</v>
      </c>
      <c r="S376">
        <f t="shared" si="972"/>
        <v>-14790.314111392267</v>
      </c>
      <c r="T376">
        <f t="shared" si="973"/>
        <v>-14.790314111392266</v>
      </c>
    </row>
    <row r="377" spans="1:20" x14ac:dyDescent="0.25">
      <c r="A377" s="5">
        <v>44216</v>
      </c>
      <c r="B377">
        <v>6.234E-2</v>
      </c>
      <c r="C377">
        <v>6.3880000000000006E-2</v>
      </c>
      <c r="D377">
        <v>5.2999999999999999E-2</v>
      </c>
      <c r="E377">
        <v>6.0589999999999998E-2</v>
      </c>
      <c r="F377">
        <v>150241041.5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0.39522058823529305</v>
      </c>
      <c r="Q377">
        <f t="shared" si="970"/>
        <v>59378352.798713073</v>
      </c>
      <c r="R377">
        <f t="shared" si="971"/>
        <v>-1380536439.2952745</v>
      </c>
      <c r="S377">
        <f t="shared" si="972"/>
        <v>-13805.364392952744</v>
      </c>
      <c r="T377">
        <f t="shared" si="973"/>
        <v>-13.805364392952745</v>
      </c>
    </row>
    <row r="378" spans="1:20" x14ac:dyDescent="0.25">
      <c r="A378" s="5">
        <v>44215</v>
      </c>
      <c r="B378">
        <v>6.2909999999999994E-2</v>
      </c>
      <c r="C378">
        <v>7.0300000000000001E-2</v>
      </c>
      <c r="D378">
        <v>5.9889999999999999E-2</v>
      </c>
      <c r="E378">
        <v>6.234E-2</v>
      </c>
      <c r="F378">
        <v>111239865.7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-0.52929875120076841</v>
      </c>
      <c r="Q378">
        <f t="shared" si="970"/>
        <v>-58879121.998751193</v>
      </c>
      <c r="R378">
        <f t="shared" si="971"/>
        <v>-1439914792.0939875</v>
      </c>
      <c r="S378">
        <f t="shared" si="972"/>
        <v>-14399.147920939875</v>
      </c>
      <c r="T378">
        <f t="shared" si="973"/>
        <v>-14.399147920939875</v>
      </c>
    </row>
    <row r="379" spans="1:20" x14ac:dyDescent="0.25">
      <c r="A379" s="5">
        <v>44214</v>
      </c>
      <c r="B379">
        <v>6.4100000000000004E-2</v>
      </c>
      <c r="C379">
        <v>7.5600000000000001E-2</v>
      </c>
      <c r="D379">
        <v>5.969E-2</v>
      </c>
      <c r="E379">
        <v>6.2979999999999994E-2</v>
      </c>
      <c r="F379">
        <v>207155929.69999999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-0.58642363293526156</v>
      </c>
      <c r="Q379">
        <f t="shared" si="970"/>
        <v>-121481132.87875564</v>
      </c>
      <c r="R379">
        <f t="shared" si="971"/>
        <v>-1381035670.0952363</v>
      </c>
      <c r="S379">
        <f t="shared" si="972"/>
        <v>-13810.356700952363</v>
      </c>
      <c r="T379">
        <f t="shared" si="973"/>
        <v>-13.810356700952363</v>
      </c>
    </row>
    <row r="380" spans="1:20" x14ac:dyDescent="0.25">
      <c r="A380" s="5">
        <v>44213</v>
      </c>
      <c r="B380">
        <v>5.3760000000000002E-2</v>
      </c>
      <c r="C380">
        <v>7.0400000000000004E-2</v>
      </c>
      <c r="D380">
        <v>4.861E-2</v>
      </c>
      <c r="E380">
        <v>6.4180000000000001E-2</v>
      </c>
      <c r="F380">
        <v>286239246.80000001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0.42909591555759502</v>
      </c>
      <c r="Q380">
        <f t="shared" si="970"/>
        <v>122824091.6741624</v>
      </c>
      <c r="R380">
        <f t="shared" si="971"/>
        <v>-1259554537.2164807</v>
      </c>
      <c r="S380">
        <f t="shared" si="972"/>
        <v>-12595.545372164808</v>
      </c>
      <c r="T380">
        <f t="shared" si="973"/>
        <v>-12.595545372164809</v>
      </c>
    </row>
    <row r="381" spans="1:20" x14ac:dyDescent="0.25">
      <c r="A381" s="5">
        <v>44212</v>
      </c>
      <c r="B381">
        <v>4.5069999999999999E-2</v>
      </c>
      <c r="C381">
        <v>5.5E-2</v>
      </c>
      <c r="D381">
        <v>4.5069999999999999E-2</v>
      </c>
      <c r="E381">
        <v>5.3769999999999998E-2</v>
      </c>
      <c r="F381">
        <v>156236463.40000001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0.75226586102718995</v>
      </c>
      <c r="Q381">
        <f t="shared" si="970"/>
        <v>117531357.66344406</v>
      </c>
      <c r="R381">
        <f t="shared" si="971"/>
        <v>-1382378628.8906431</v>
      </c>
      <c r="S381">
        <f t="shared" si="972"/>
        <v>-13823.786288906431</v>
      </c>
      <c r="T381">
        <f t="shared" si="973"/>
        <v>-13.823786288906431</v>
      </c>
    </row>
    <row r="382" spans="1:20" x14ac:dyDescent="0.25">
      <c r="A382" s="5">
        <v>44211</v>
      </c>
      <c r="B382">
        <v>4.5060000000000003E-2</v>
      </c>
      <c r="C382">
        <v>4.8160000000000001E-2</v>
      </c>
      <c r="D382">
        <v>4.2000000000000003E-2</v>
      </c>
      <c r="E382">
        <v>4.505E-2</v>
      </c>
      <c r="F382">
        <v>83215906.299999997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-9.7402597402604721E-3</v>
      </c>
      <c r="Q382">
        <f t="shared" si="970"/>
        <v>-810544.54188317771</v>
      </c>
      <c r="R382">
        <f t="shared" si="971"/>
        <v>-1499909986.5540872</v>
      </c>
      <c r="S382">
        <f t="shared" si="972"/>
        <v>-14999.099865540871</v>
      </c>
      <c r="T382">
        <f t="shared" si="973"/>
        <v>-14.999099865540872</v>
      </c>
    </row>
    <row r="383" spans="1:20" x14ac:dyDescent="0.25">
      <c r="A383" s="5">
        <v>44210</v>
      </c>
      <c r="B383">
        <v>4.3499999999999997E-2</v>
      </c>
      <c r="C383">
        <v>4.7809999999999998E-2</v>
      </c>
      <c r="D383">
        <v>4.274E-2</v>
      </c>
      <c r="E383">
        <v>4.5060000000000003E-2</v>
      </c>
      <c r="F383">
        <v>73705700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-8.4812623274160365E-2</v>
      </c>
      <c r="Q383">
        <f t="shared" si="970"/>
        <v>-6251173.7672582818</v>
      </c>
      <c r="R383">
        <f t="shared" si="971"/>
        <v>-1499099442.0122039</v>
      </c>
      <c r="S383">
        <f t="shared" si="972"/>
        <v>-14990.994420122039</v>
      </c>
      <c r="T383">
        <f t="shared" si="973"/>
        <v>-14.990994420122039</v>
      </c>
    </row>
    <row r="384" spans="1:20" x14ac:dyDescent="0.25">
      <c r="A384" s="5">
        <v>44209</v>
      </c>
      <c r="B384">
        <v>4.1340000000000002E-2</v>
      </c>
      <c r="C384">
        <v>4.419E-2</v>
      </c>
      <c r="D384">
        <v>3.9870000000000003E-2</v>
      </c>
      <c r="E384">
        <v>4.3499999999999997E-2</v>
      </c>
      <c r="F384">
        <v>69734693.099999994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0.68055555555555391</v>
      </c>
      <c r="Q384">
        <f t="shared" si="970"/>
        <v>47458332.804166548</v>
      </c>
      <c r="R384">
        <f t="shared" si="971"/>
        <v>-1492848268.2449458</v>
      </c>
      <c r="S384">
        <f t="shared" si="972"/>
        <v>-14928.482682449458</v>
      </c>
      <c r="T384">
        <f t="shared" si="973"/>
        <v>-14.928482682449458</v>
      </c>
    </row>
    <row r="385" spans="1:20" x14ac:dyDescent="0.25">
      <c r="A385" s="5">
        <v>44208</v>
      </c>
      <c r="B385">
        <v>4.1349999999999998E-2</v>
      </c>
      <c r="C385">
        <v>4.4200000000000003E-2</v>
      </c>
      <c r="D385">
        <v>3.9379999999999998E-2</v>
      </c>
      <c r="E385">
        <v>4.138E-2</v>
      </c>
      <c r="F385">
        <v>74574220.099999994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-0.17012448132780092</v>
      </c>
      <c r="Q385">
        <f t="shared" si="970"/>
        <v>-12686900.514937766</v>
      </c>
      <c r="R385">
        <f t="shared" si="971"/>
        <v>-1540306601.0491123</v>
      </c>
      <c r="S385">
        <f t="shared" si="972"/>
        <v>-15403.066010491124</v>
      </c>
      <c r="T385">
        <f t="shared" si="973"/>
        <v>-15.403066010491123</v>
      </c>
    </row>
    <row r="386" spans="1:20" x14ac:dyDescent="0.25">
      <c r="A386" s="5">
        <v>44207</v>
      </c>
      <c r="B386">
        <v>4.4740000000000002E-2</v>
      </c>
      <c r="C386">
        <v>4.4760000000000001E-2</v>
      </c>
      <c r="D386">
        <v>3.8350000000000002E-2</v>
      </c>
      <c r="E386">
        <v>4.1439999999999998E-2</v>
      </c>
      <c r="F386">
        <v>149379703.30000001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-3.5881435257411547E-2</v>
      </c>
      <c r="Q386">
        <f t="shared" si="970"/>
        <v>-5359958.1527302964</v>
      </c>
      <c r="R386">
        <f t="shared" si="971"/>
        <v>-1527619700.5341744</v>
      </c>
      <c r="S386">
        <f t="shared" si="972"/>
        <v>-15276.197005341744</v>
      </c>
      <c r="T386">
        <f t="shared" si="973"/>
        <v>-15.276197005341745</v>
      </c>
    </row>
    <row r="387" spans="1:20" x14ac:dyDescent="0.25">
      <c r="A387" s="5">
        <v>44206</v>
      </c>
      <c r="B387">
        <v>4.7039999999999998E-2</v>
      </c>
      <c r="C387">
        <v>4.9950000000000001E-2</v>
      </c>
      <c r="D387">
        <v>4.2849999999999999E-2</v>
      </c>
      <c r="E387">
        <v>4.4760000000000001E-2</v>
      </c>
      <c r="F387">
        <v>122060959.5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-0.4619718309859151</v>
      </c>
      <c r="Q387">
        <f t="shared" si="970"/>
        <v>-56388724.95211263</v>
      </c>
      <c r="R387">
        <f t="shared" si="971"/>
        <v>-1522259742.3814442</v>
      </c>
      <c r="S387">
        <f t="shared" si="972"/>
        <v>-15222.597423814443</v>
      </c>
      <c r="T387">
        <f t="shared" si="973"/>
        <v>-15.222597423814443</v>
      </c>
    </row>
    <row r="388" spans="1:20" x14ac:dyDescent="0.25">
      <c r="A388" s="5">
        <v>44205</v>
      </c>
      <c r="B388">
        <v>4.5370000000000001E-2</v>
      </c>
      <c r="C388">
        <v>4.8750000000000002E-2</v>
      </c>
      <c r="D388">
        <v>4.3299999999999998E-2</v>
      </c>
      <c r="E388">
        <v>4.7039999999999998E-2</v>
      </c>
      <c r="F388">
        <v>107096545.8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0.37247706422018273</v>
      </c>
      <c r="Q388">
        <f t="shared" si="970"/>
        <v>39891006.967706338</v>
      </c>
      <c r="R388">
        <f t="shared" si="971"/>
        <v>-1465871017.4293315</v>
      </c>
      <c r="S388">
        <f t="shared" si="972"/>
        <v>-14658.710174293316</v>
      </c>
      <c r="T388">
        <f t="shared" si="973"/>
        <v>-14.658710174293315</v>
      </c>
    </row>
    <row r="389" spans="1:20" x14ac:dyDescent="0.25">
      <c r="A389" s="5">
        <v>44204</v>
      </c>
      <c r="B389">
        <v>5.0950000000000002E-2</v>
      </c>
      <c r="C389">
        <v>5.1049999999999998E-2</v>
      </c>
      <c r="D389">
        <v>4.0680000000000001E-2</v>
      </c>
      <c r="E389">
        <v>4.5359999999999998E-2</v>
      </c>
      <c r="F389">
        <v>156039029.09999999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-9.7396335583414095E-2</v>
      </c>
      <c r="Q389">
        <f t="shared" si="970"/>
        <v>-15197629.642333716</v>
      </c>
      <c r="R389">
        <f t="shared" si="971"/>
        <v>-1505762024.397038</v>
      </c>
      <c r="S389">
        <f t="shared" si="972"/>
        <v>-15057.620243970379</v>
      </c>
      <c r="T389">
        <f t="shared" si="973"/>
        <v>-15.05762024397038</v>
      </c>
    </row>
    <row r="390" spans="1:20" x14ac:dyDescent="0.25">
      <c r="A390" s="5">
        <v>44203</v>
      </c>
      <c r="B390">
        <v>4.7460000000000002E-2</v>
      </c>
      <c r="C390">
        <v>5.4600000000000003E-2</v>
      </c>
      <c r="D390">
        <v>4.5749999999999999E-2</v>
      </c>
      <c r="E390">
        <v>5.0950000000000002E-2</v>
      </c>
      <c r="F390">
        <v>155576047.30000001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0.17514124293785335</v>
      </c>
      <c r="Q390">
        <f t="shared" ref="Q390:Q453" si="975">F390*P390</f>
        <v>27247782.295480266</v>
      </c>
      <c r="R390">
        <f t="shared" ref="R390:R453" si="976">R391+Q390</f>
        <v>-1490564394.7547042</v>
      </c>
      <c r="S390">
        <f t="shared" ref="S390:S453" si="977">R390/100000</f>
        <v>-14905.643947547042</v>
      </c>
      <c r="T390">
        <f t="shared" ref="T390:T453" si="978">S390/1000</f>
        <v>-14.905643947547041</v>
      </c>
    </row>
    <row r="391" spans="1:20" x14ac:dyDescent="0.25">
      <c r="A391" s="5">
        <v>44202</v>
      </c>
      <c r="B391">
        <v>4.394E-2</v>
      </c>
      <c r="C391">
        <v>4.9939999999999998E-2</v>
      </c>
      <c r="D391">
        <v>4.3819999999999998E-2</v>
      </c>
      <c r="E391">
        <v>4.743E-2</v>
      </c>
      <c r="F391">
        <v>145649316.59999999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0.17973856209150388</v>
      </c>
      <c r="Q391">
        <f t="shared" si="975"/>
        <v>26178798.735294204</v>
      </c>
      <c r="R391">
        <f t="shared" si="976"/>
        <v>-1517812177.0501845</v>
      </c>
      <c r="S391">
        <f t="shared" si="977"/>
        <v>-15178.121770501844</v>
      </c>
      <c r="T391">
        <f t="shared" si="978"/>
        <v>-15.178121770501845</v>
      </c>
    </row>
    <row r="392" spans="1:20" x14ac:dyDescent="0.25">
      <c r="A392" s="5">
        <v>44201</v>
      </c>
      <c r="B392">
        <v>4.1349999999999998E-2</v>
      </c>
      <c r="C392">
        <v>4.777E-2</v>
      </c>
      <c r="D392">
        <v>3.9899999999999998E-2</v>
      </c>
      <c r="E392">
        <v>4.394E-2</v>
      </c>
      <c r="F392">
        <v>163694198.30000001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2.6683608640406836E-2</v>
      </c>
      <c r="Q392">
        <f t="shared" si="975"/>
        <v>4367951.9241423504</v>
      </c>
      <c r="R392">
        <f t="shared" si="976"/>
        <v>-1543990975.7854786</v>
      </c>
      <c r="S392">
        <f t="shared" si="977"/>
        <v>-15439.909757854786</v>
      </c>
      <c r="T392">
        <f t="shared" si="978"/>
        <v>-15.439909757854787</v>
      </c>
    </row>
    <row r="393" spans="1:20" x14ac:dyDescent="0.25">
      <c r="A393" s="5">
        <v>44200</v>
      </c>
      <c r="B393">
        <v>4.1300000000000003E-2</v>
      </c>
      <c r="C393">
        <v>4.5900000000000003E-2</v>
      </c>
      <c r="D393">
        <v>3.7499999999999999E-2</v>
      </c>
      <c r="E393">
        <v>4.1349999999999998E-2</v>
      </c>
      <c r="F393">
        <v>164913608.80000001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-8.3333333333334023E-2</v>
      </c>
      <c r="Q393">
        <f t="shared" si="975"/>
        <v>-13742800.733333448</v>
      </c>
      <c r="R393">
        <f t="shared" si="976"/>
        <v>-1548358927.709621</v>
      </c>
      <c r="S393">
        <f t="shared" si="977"/>
        <v>-15483.589277096209</v>
      </c>
      <c r="T393">
        <f t="shared" si="978"/>
        <v>-15.483589277096209</v>
      </c>
    </row>
    <row r="394" spans="1:20" x14ac:dyDescent="0.25">
      <c r="A394" s="5">
        <v>44199</v>
      </c>
      <c r="B394">
        <v>4.0939999999999997E-2</v>
      </c>
      <c r="C394">
        <v>4.4990000000000002E-2</v>
      </c>
      <c r="D394">
        <v>3.9E-2</v>
      </c>
      <c r="E394">
        <v>4.129E-2</v>
      </c>
      <c r="F394">
        <v>100487681.3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-0.23539232053422388</v>
      </c>
      <c r="Q394">
        <f t="shared" si="975"/>
        <v>-23654028.486310534</v>
      </c>
      <c r="R394">
        <f t="shared" si="976"/>
        <v>-1534616126.9762876</v>
      </c>
      <c r="S394">
        <f t="shared" si="977"/>
        <v>-15346.161269762875</v>
      </c>
      <c r="T394">
        <f t="shared" si="978"/>
        <v>-15.346161269762876</v>
      </c>
    </row>
    <row r="395" spans="1:20" x14ac:dyDescent="0.25">
      <c r="A395" s="5">
        <v>44198</v>
      </c>
      <c r="B395">
        <v>4.2040000000000001E-2</v>
      </c>
      <c r="C395">
        <v>4.3099999999999999E-2</v>
      </c>
      <c r="D395">
        <v>3.9510000000000003E-2</v>
      </c>
      <c r="E395">
        <v>4.095E-2</v>
      </c>
      <c r="F395">
        <v>64594870.600000001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-0.19777158774373346</v>
      </c>
      <c r="Q395">
        <f t="shared" si="975"/>
        <v>-12775030.118663009</v>
      </c>
      <c r="R395">
        <f t="shared" si="976"/>
        <v>-1510962098.4899771</v>
      </c>
      <c r="S395">
        <f t="shared" si="977"/>
        <v>-15109.620984899771</v>
      </c>
      <c r="T395">
        <f t="shared" si="978"/>
        <v>-15.109620984899772</v>
      </c>
    </row>
    <row r="396" spans="1:20" x14ac:dyDescent="0.25">
      <c r="A396" s="5">
        <v>44197</v>
      </c>
      <c r="B396">
        <v>4.1590000000000002E-2</v>
      </c>
      <c r="C396">
        <v>4.5179999999999998E-2</v>
      </c>
      <c r="D396">
        <v>4.1329999999999999E-2</v>
      </c>
      <c r="E396">
        <v>4.2099999999999999E-2</v>
      </c>
      <c r="F396">
        <v>56731322.700000003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-0.6</v>
      </c>
      <c r="Q396">
        <f t="shared" si="975"/>
        <v>-34038793.619999997</v>
      </c>
      <c r="R396">
        <f t="shared" si="976"/>
        <v>-1498187068.371314</v>
      </c>
      <c r="S396">
        <f t="shared" si="977"/>
        <v>-14981.870683713141</v>
      </c>
      <c r="T396">
        <f t="shared" si="978"/>
        <v>-14.981870683713142</v>
      </c>
    </row>
    <row r="397" spans="1:20" x14ac:dyDescent="0.25">
      <c r="A397" s="5">
        <v>44196</v>
      </c>
      <c r="B397">
        <v>4.181E-2</v>
      </c>
      <c r="C397">
        <v>4.3740000000000001E-2</v>
      </c>
      <c r="D397">
        <v>4.122E-2</v>
      </c>
      <c r="E397">
        <v>4.1590000000000002E-2</v>
      </c>
      <c r="F397">
        <v>54874918.600000001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-0.70634920634920473</v>
      </c>
      <c r="Q397">
        <f t="shared" si="975"/>
        <v>-38760855.201587215</v>
      </c>
      <c r="R397">
        <f t="shared" si="976"/>
        <v>-1464148274.7513142</v>
      </c>
      <c r="S397">
        <f t="shared" si="977"/>
        <v>-14641.482747513142</v>
      </c>
      <c r="T397">
        <f t="shared" si="978"/>
        <v>-14.641482747513143</v>
      </c>
    </row>
    <row r="398" spans="1:20" x14ac:dyDescent="0.25">
      <c r="A398" s="5">
        <v>44195</v>
      </c>
      <c r="B398">
        <v>4.088E-2</v>
      </c>
      <c r="C398">
        <v>4.2029999999999998E-2</v>
      </c>
      <c r="D398">
        <v>3.8679999999999999E-2</v>
      </c>
      <c r="E398">
        <v>4.1779999999999998E-2</v>
      </c>
      <c r="F398">
        <v>88011021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0.85074626865671621</v>
      </c>
      <c r="Q398">
        <f t="shared" si="975"/>
        <v>74875047.716417894</v>
      </c>
      <c r="R398">
        <f t="shared" si="976"/>
        <v>-1425387419.549727</v>
      </c>
      <c r="S398">
        <f t="shared" si="977"/>
        <v>-14253.87419549727</v>
      </c>
      <c r="T398">
        <f t="shared" si="978"/>
        <v>-14.25387419549727</v>
      </c>
    </row>
    <row r="399" spans="1:20" x14ac:dyDescent="0.25">
      <c r="A399" s="5">
        <v>44194</v>
      </c>
      <c r="B399">
        <v>4.5749999999999999E-2</v>
      </c>
      <c r="C399">
        <v>4.6929999999999999E-2</v>
      </c>
      <c r="D399">
        <v>3.8879999999999998E-2</v>
      </c>
      <c r="E399">
        <v>4.0820000000000002E-2</v>
      </c>
      <c r="F399">
        <v>123336364.3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-0.51801242236024747</v>
      </c>
      <c r="Q399">
        <f t="shared" si="975"/>
        <v>-63889768.836148947</v>
      </c>
      <c r="R399">
        <f t="shared" si="976"/>
        <v>-1500262467.2661448</v>
      </c>
      <c r="S399">
        <f t="shared" si="977"/>
        <v>-15002.624672661448</v>
      </c>
      <c r="T399">
        <f t="shared" si="978"/>
        <v>-15.002624672661447</v>
      </c>
    </row>
    <row r="400" spans="1:20" x14ac:dyDescent="0.25">
      <c r="A400" s="5">
        <v>44193</v>
      </c>
      <c r="B400">
        <v>4.3130000000000002E-2</v>
      </c>
      <c r="C400">
        <v>4.8939999999999997E-2</v>
      </c>
      <c r="D400">
        <v>4.2500000000000003E-2</v>
      </c>
      <c r="E400">
        <v>4.5740000000000003E-2</v>
      </c>
      <c r="F400">
        <v>124827719.8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6.2111801242244321E-3</v>
      </c>
      <c r="Q400">
        <f t="shared" si="975"/>
        <v>775327.45217401662</v>
      </c>
      <c r="R400">
        <f t="shared" si="976"/>
        <v>-1436372698.4299958</v>
      </c>
      <c r="S400">
        <f t="shared" si="977"/>
        <v>-14363.726984299958</v>
      </c>
      <c r="T400">
        <f t="shared" si="978"/>
        <v>-14.363726984299957</v>
      </c>
    </row>
    <row r="401" spans="1:20" x14ac:dyDescent="0.25">
      <c r="A401" s="5">
        <v>44192</v>
      </c>
      <c r="B401">
        <v>4.4409999999999998E-2</v>
      </c>
      <c r="C401">
        <v>4.555E-2</v>
      </c>
      <c r="D401">
        <v>4.1000000000000002E-2</v>
      </c>
      <c r="E401">
        <v>4.3130000000000002E-2</v>
      </c>
      <c r="F401">
        <v>133466964.40000001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-6.3736263736263454E-2</v>
      </c>
      <c r="Q401">
        <f t="shared" si="975"/>
        <v>-8506685.6430768855</v>
      </c>
      <c r="R401">
        <f t="shared" si="976"/>
        <v>-1437148025.8821697</v>
      </c>
      <c r="S401">
        <f t="shared" si="977"/>
        <v>-14371.480258821697</v>
      </c>
      <c r="T401">
        <f t="shared" si="978"/>
        <v>-14.371480258821697</v>
      </c>
    </row>
    <row r="402" spans="1:20" x14ac:dyDescent="0.25">
      <c r="A402" s="5">
        <v>44191</v>
      </c>
      <c r="B402">
        <v>4.5850000000000002E-2</v>
      </c>
      <c r="C402">
        <v>4.7969999999999999E-2</v>
      </c>
      <c r="D402">
        <v>4.3580000000000001E-2</v>
      </c>
      <c r="E402">
        <v>4.4409999999999998E-2</v>
      </c>
      <c r="F402">
        <v>87116276.900000006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-0.62186788154897599</v>
      </c>
      <c r="Q402">
        <f t="shared" si="975"/>
        <v>-54174814.564236999</v>
      </c>
      <c r="R402">
        <f t="shared" si="976"/>
        <v>-1428641340.2390928</v>
      </c>
      <c r="S402">
        <f t="shared" si="977"/>
        <v>-14286.413402390928</v>
      </c>
      <c r="T402">
        <f t="shared" si="978"/>
        <v>-14.286413402390929</v>
      </c>
    </row>
    <row r="403" spans="1:20" x14ac:dyDescent="0.25">
      <c r="A403" s="5">
        <v>44190</v>
      </c>
      <c r="B403">
        <v>4.8739999999999999E-2</v>
      </c>
      <c r="C403">
        <v>4.9200000000000001E-2</v>
      </c>
      <c r="D403">
        <v>4.385E-2</v>
      </c>
      <c r="E403">
        <v>4.5830000000000003E-2</v>
      </c>
      <c r="F403">
        <v>101794826.59999999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-0.25981308411214865</v>
      </c>
      <c r="Q403">
        <f t="shared" si="975"/>
        <v>-26447627.845607385</v>
      </c>
      <c r="R403">
        <f t="shared" si="976"/>
        <v>-1374466525.6748557</v>
      </c>
      <c r="S403">
        <f t="shared" si="977"/>
        <v>-13744.665256748556</v>
      </c>
      <c r="T403">
        <f t="shared" si="978"/>
        <v>-13.744665256748556</v>
      </c>
    </row>
    <row r="404" spans="1:20" x14ac:dyDescent="0.25">
      <c r="A404" s="5">
        <v>44189</v>
      </c>
      <c r="B404">
        <v>4.6890000000000001E-2</v>
      </c>
      <c r="C404">
        <v>5.0500000000000003E-2</v>
      </c>
      <c r="D404">
        <v>4.4010000000000001E-2</v>
      </c>
      <c r="E404">
        <v>4.8669999999999998E-2</v>
      </c>
      <c r="F404">
        <v>86152156.099999994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0.43605546995377364</v>
      </c>
      <c r="Q404">
        <f t="shared" si="975"/>
        <v>37567118.915716365</v>
      </c>
      <c r="R404">
        <f t="shared" si="976"/>
        <v>-1348018897.8292484</v>
      </c>
      <c r="S404">
        <f t="shared" si="977"/>
        <v>-13480.188978292485</v>
      </c>
      <c r="T404">
        <f t="shared" si="978"/>
        <v>-13.480188978292485</v>
      </c>
    </row>
    <row r="405" spans="1:20" x14ac:dyDescent="0.25">
      <c r="A405" s="5">
        <v>44188</v>
      </c>
      <c r="B405">
        <v>5.5190000000000003E-2</v>
      </c>
      <c r="C405">
        <v>5.5199999999999999E-2</v>
      </c>
      <c r="D405">
        <v>4.2500000000000003E-2</v>
      </c>
      <c r="E405">
        <v>4.6890000000000001E-2</v>
      </c>
      <c r="F405">
        <v>172548117.30000001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-0.30866141732283475</v>
      </c>
      <c r="Q405">
        <f t="shared" si="975"/>
        <v>-53258946.442204744</v>
      </c>
      <c r="R405">
        <f t="shared" si="976"/>
        <v>-1385586016.7449648</v>
      </c>
      <c r="S405">
        <f t="shared" si="977"/>
        <v>-13855.860167449648</v>
      </c>
      <c r="T405">
        <f t="shared" si="978"/>
        <v>-13.855860167449647</v>
      </c>
    </row>
    <row r="406" spans="1:20" x14ac:dyDescent="0.25">
      <c r="A406" s="5">
        <v>44187</v>
      </c>
      <c r="B406">
        <v>5.067E-2</v>
      </c>
      <c r="C406">
        <v>5.5449999999999999E-2</v>
      </c>
      <c r="D406">
        <v>4.7730000000000002E-2</v>
      </c>
      <c r="E406">
        <v>5.5199999999999999E-2</v>
      </c>
      <c r="F406">
        <v>156812679.09999999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0.93523316062176154</v>
      </c>
      <c r="Q406">
        <f t="shared" si="975"/>
        <v>146656417.50025904</v>
      </c>
      <c r="R406">
        <f t="shared" si="976"/>
        <v>-1332327070.3027601</v>
      </c>
      <c r="S406">
        <f t="shared" si="977"/>
        <v>-13323.270703027601</v>
      </c>
      <c r="T406">
        <f t="shared" si="978"/>
        <v>-13.323270703027601</v>
      </c>
    </row>
    <row r="407" spans="1:20" x14ac:dyDescent="0.25">
      <c r="A407" s="5">
        <v>44186</v>
      </c>
      <c r="B407">
        <v>5.1929999999999997E-2</v>
      </c>
      <c r="C407">
        <v>5.8000000000000003E-2</v>
      </c>
      <c r="D407">
        <v>4.8099999999999997E-2</v>
      </c>
      <c r="E407">
        <v>5.067E-2</v>
      </c>
      <c r="F407">
        <v>222368818.5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-0.48080808080808057</v>
      </c>
      <c r="Q407">
        <f t="shared" si="975"/>
        <v>-106916724.8545454</v>
      </c>
      <c r="R407">
        <f t="shared" si="976"/>
        <v>-1478983487.803019</v>
      </c>
      <c r="S407">
        <f t="shared" si="977"/>
        <v>-14789.834878030191</v>
      </c>
      <c r="T407">
        <f t="shared" si="978"/>
        <v>-14.789834878030192</v>
      </c>
    </row>
    <row r="408" spans="1:20" x14ac:dyDescent="0.25">
      <c r="A408" s="5">
        <v>44185</v>
      </c>
      <c r="B408">
        <v>5.6230000000000002E-2</v>
      </c>
      <c r="C408">
        <v>6.2810000000000005E-2</v>
      </c>
      <c r="D408">
        <v>5.185E-2</v>
      </c>
      <c r="E408">
        <v>5.1950000000000003E-2</v>
      </c>
      <c r="F408">
        <v>337324898.69999999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-0.98175182481751777</v>
      </c>
      <c r="Q408">
        <f t="shared" si="975"/>
        <v>-331169334.85510933</v>
      </c>
      <c r="R408">
        <f t="shared" si="976"/>
        <v>-1372066762.9484737</v>
      </c>
      <c r="S408">
        <f t="shared" si="977"/>
        <v>-13720.667629484737</v>
      </c>
      <c r="T408">
        <f t="shared" si="978"/>
        <v>-13.720667629484737</v>
      </c>
    </row>
    <row r="409" spans="1:20" x14ac:dyDescent="0.25">
      <c r="A409" s="5">
        <v>44184</v>
      </c>
      <c r="B409">
        <v>4.9099999999999998E-2</v>
      </c>
      <c r="C409">
        <v>5.7970000000000001E-2</v>
      </c>
      <c r="D409">
        <v>4.7969999999999999E-2</v>
      </c>
      <c r="E409">
        <v>5.6210000000000003E-2</v>
      </c>
      <c r="F409">
        <v>263999822.69999999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0.64800000000000058</v>
      </c>
      <c r="Q409">
        <f t="shared" si="975"/>
        <v>171071885.10960016</v>
      </c>
      <c r="R409">
        <f t="shared" si="976"/>
        <v>-1040897428.0933644</v>
      </c>
      <c r="S409">
        <f t="shared" si="977"/>
        <v>-10408.974280933644</v>
      </c>
      <c r="T409">
        <f t="shared" si="978"/>
        <v>-10.408974280933643</v>
      </c>
    </row>
    <row r="410" spans="1:20" x14ac:dyDescent="0.25">
      <c r="A410" s="5">
        <v>44183</v>
      </c>
      <c r="B410">
        <v>4.6089999999999999E-2</v>
      </c>
      <c r="C410">
        <v>5.2920000000000002E-2</v>
      </c>
      <c r="D410">
        <v>4.4319999999999998E-2</v>
      </c>
      <c r="E410">
        <v>4.9110000000000001E-2</v>
      </c>
      <c r="F410">
        <v>218213632.69999999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0.11395348837209318</v>
      </c>
      <c r="Q410">
        <f t="shared" si="975"/>
        <v>24866204.656511661</v>
      </c>
      <c r="R410">
        <f t="shared" si="976"/>
        <v>-1211969313.2029645</v>
      </c>
      <c r="S410">
        <f t="shared" si="977"/>
        <v>-12119.693132029646</v>
      </c>
      <c r="T410">
        <f t="shared" si="978"/>
        <v>-12.119693132029646</v>
      </c>
    </row>
    <row r="411" spans="1:20" x14ac:dyDescent="0.25">
      <c r="A411" s="5">
        <v>44182</v>
      </c>
      <c r="B411">
        <v>5.1229999999999998E-2</v>
      </c>
      <c r="C411">
        <v>5.1869999999999999E-2</v>
      </c>
      <c r="D411">
        <v>4.4569999999999999E-2</v>
      </c>
      <c r="E411">
        <v>4.6080000000000003E-2</v>
      </c>
      <c r="F411">
        <v>173492382.90000001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-0.58630136986301251</v>
      </c>
      <c r="Q411">
        <f t="shared" si="975"/>
        <v>-101718821.75506829</v>
      </c>
      <c r="R411">
        <f t="shared" si="976"/>
        <v>-1236835517.8594761</v>
      </c>
      <c r="S411">
        <f t="shared" si="977"/>
        <v>-12368.35517859476</v>
      </c>
      <c r="T411">
        <f t="shared" si="978"/>
        <v>-12.36835517859476</v>
      </c>
    </row>
    <row r="412" spans="1:20" x14ac:dyDescent="0.25">
      <c r="A412" s="5">
        <v>44181</v>
      </c>
      <c r="B412">
        <v>4.9250000000000002E-2</v>
      </c>
      <c r="C412">
        <v>5.1999999999999998E-2</v>
      </c>
      <c r="D412">
        <v>4.6280000000000002E-2</v>
      </c>
      <c r="E412">
        <v>5.126E-2</v>
      </c>
      <c r="F412">
        <v>165582265.40000001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0.74125874125874192</v>
      </c>
      <c r="Q412">
        <f t="shared" si="975"/>
        <v>122739301.62517494</v>
      </c>
      <c r="R412">
        <f t="shared" si="976"/>
        <v>-1135116696.1044078</v>
      </c>
      <c r="S412">
        <f t="shared" si="977"/>
        <v>-11351.166961044079</v>
      </c>
      <c r="T412">
        <f t="shared" si="978"/>
        <v>-11.351166961044079</v>
      </c>
    </row>
    <row r="413" spans="1:20" x14ac:dyDescent="0.25">
      <c r="A413" s="5">
        <v>44180</v>
      </c>
      <c r="B413">
        <v>5.2319999999999998E-2</v>
      </c>
      <c r="C413">
        <v>5.3359999999999998E-2</v>
      </c>
      <c r="D413">
        <v>4.8460000000000003E-2</v>
      </c>
      <c r="E413">
        <v>4.9250000000000002E-2</v>
      </c>
      <c r="F413">
        <v>142152521.5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-0.67755102040816328</v>
      </c>
      <c r="Q413">
        <f t="shared" si="975"/>
        <v>-96315585.995918363</v>
      </c>
      <c r="R413">
        <f t="shared" si="976"/>
        <v>-1257855997.7295828</v>
      </c>
      <c r="S413">
        <f t="shared" si="977"/>
        <v>-12578.559977295829</v>
      </c>
      <c r="T413">
        <f t="shared" si="978"/>
        <v>-12.578559977295829</v>
      </c>
    </row>
    <row r="414" spans="1:20" x14ac:dyDescent="0.25">
      <c r="A414" s="5">
        <v>44179</v>
      </c>
      <c r="B414">
        <v>5.1729999999999998E-2</v>
      </c>
      <c r="C414">
        <v>5.6599999999999998E-2</v>
      </c>
      <c r="D414">
        <v>5.0549999999999998E-2</v>
      </c>
      <c r="E414">
        <v>5.2249999999999998E-2</v>
      </c>
      <c r="F414">
        <v>177162044.59999999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-0.43801652892561976</v>
      </c>
      <c r="Q414">
        <f t="shared" si="975"/>
        <v>-77599903.833057836</v>
      </c>
      <c r="R414">
        <f t="shared" si="976"/>
        <v>-1161540411.7336645</v>
      </c>
      <c r="S414">
        <f t="shared" si="977"/>
        <v>-11615.404117336646</v>
      </c>
      <c r="T414">
        <f t="shared" si="978"/>
        <v>-11.615404117336645</v>
      </c>
    </row>
    <row r="415" spans="1:20" x14ac:dyDescent="0.25">
      <c r="A415" s="5">
        <v>44178</v>
      </c>
      <c r="B415">
        <v>5.1249999999999997E-2</v>
      </c>
      <c r="C415">
        <v>5.5120000000000002E-2</v>
      </c>
      <c r="D415">
        <v>4.8599999999999997E-2</v>
      </c>
      <c r="E415">
        <v>5.1560000000000002E-2</v>
      </c>
      <c r="F415">
        <v>156599035.19999999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-9.2024539877299985E-2</v>
      </c>
      <c r="Q415">
        <f t="shared" si="975"/>
        <v>-14410954.159509104</v>
      </c>
      <c r="R415">
        <f t="shared" si="976"/>
        <v>-1083940507.9006066</v>
      </c>
      <c r="S415">
        <f t="shared" si="977"/>
        <v>-10839.405079006066</v>
      </c>
      <c r="T415">
        <f t="shared" si="978"/>
        <v>-10.839405079006067</v>
      </c>
    </row>
    <row r="416" spans="1:20" x14ac:dyDescent="0.25">
      <c r="A416" s="5">
        <v>44177</v>
      </c>
      <c r="B416">
        <v>4.5560000000000003E-2</v>
      </c>
      <c r="C416">
        <v>5.3760000000000002E-2</v>
      </c>
      <c r="D416">
        <v>4.5539999999999997E-2</v>
      </c>
      <c r="E416">
        <v>5.1330000000000001E-2</v>
      </c>
      <c r="F416">
        <v>187634172.59999999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0.40875912408759124</v>
      </c>
      <c r="Q416">
        <f t="shared" si="975"/>
        <v>76697180.040875912</v>
      </c>
      <c r="R416">
        <f t="shared" si="976"/>
        <v>-1069529553.7410975</v>
      </c>
      <c r="S416">
        <f t="shared" si="977"/>
        <v>-10695.295537410975</v>
      </c>
      <c r="T416">
        <f t="shared" si="978"/>
        <v>-10.695295537410976</v>
      </c>
    </row>
    <row r="417" spans="1:20" x14ac:dyDescent="0.25">
      <c r="A417" s="5">
        <v>44176</v>
      </c>
      <c r="B417">
        <v>4.9250000000000002E-2</v>
      </c>
      <c r="C417">
        <v>4.9250000000000002E-2</v>
      </c>
      <c r="D417">
        <v>4.24E-2</v>
      </c>
      <c r="E417">
        <v>4.5659999999999999E-2</v>
      </c>
      <c r="F417">
        <v>238894778.69999999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-4.8175182481752378E-2</v>
      </c>
      <c r="Q417">
        <f t="shared" si="975"/>
        <v>-11508799.557810351</v>
      </c>
      <c r="R417">
        <f t="shared" si="976"/>
        <v>-1146226733.7819734</v>
      </c>
      <c r="S417">
        <f t="shared" si="977"/>
        <v>-11462.267337819734</v>
      </c>
      <c r="T417">
        <f t="shared" si="978"/>
        <v>-11.462267337819734</v>
      </c>
    </row>
    <row r="418" spans="1:20" x14ac:dyDescent="0.25">
      <c r="A418" s="5">
        <v>44175</v>
      </c>
      <c r="B418">
        <v>5.5730000000000002E-2</v>
      </c>
      <c r="C418">
        <v>5.7430000000000002E-2</v>
      </c>
      <c r="D418">
        <v>4.8180000000000001E-2</v>
      </c>
      <c r="E418">
        <v>4.9250000000000002E-2</v>
      </c>
      <c r="F418">
        <v>212256121.69999999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-0.76864864864864835</v>
      </c>
      <c r="Q418">
        <f t="shared" si="975"/>
        <v>-163150381.11210802</v>
      </c>
      <c r="R418">
        <f t="shared" si="976"/>
        <v>-1134717934.2241631</v>
      </c>
      <c r="S418">
        <f t="shared" si="977"/>
        <v>-11347.17934224163</v>
      </c>
      <c r="T418">
        <f t="shared" si="978"/>
        <v>-11.347179342241631</v>
      </c>
    </row>
    <row r="419" spans="1:20" x14ac:dyDescent="0.25">
      <c r="A419" s="5">
        <v>44174</v>
      </c>
      <c r="B419">
        <v>5.348E-2</v>
      </c>
      <c r="C419">
        <v>5.96E-2</v>
      </c>
      <c r="D419">
        <v>4.4290000000000003E-2</v>
      </c>
      <c r="E419">
        <v>5.5820000000000002E-2</v>
      </c>
      <c r="F419">
        <v>383841753.69999999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0.50620509470934039</v>
      </c>
      <c r="Q419">
        <f t="shared" si="975"/>
        <v>194302651.28510779</v>
      </c>
      <c r="R419">
        <f t="shared" si="976"/>
        <v>-971567553.11205506</v>
      </c>
      <c r="S419">
        <f t="shared" si="977"/>
        <v>-9715.6755311205507</v>
      </c>
      <c r="T419">
        <f t="shared" si="978"/>
        <v>-9.7156755311205512</v>
      </c>
    </row>
    <row r="420" spans="1:20" x14ac:dyDescent="0.25">
      <c r="A420" s="5">
        <v>44173</v>
      </c>
      <c r="B420">
        <v>5.2089999999999997E-2</v>
      </c>
      <c r="C420">
        <v>6.25E-2</v>
      </c>
      <c r="D420">
        <v>5.0270000000000002E-2</v>
      </c>
      <c r="E420">
        <v>5.348E-2</v>
      </c>
      <c r="F420">
        <v>577481882.89999998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-0.4750613246116111</v>
      </c>
      <c r="Q420">
        <f t="shared" si="975"/>
        <v>-274339308.22968125</v>
      </c>
      <c r="R420">
        <f t="shared" si="976"/>
        <v>-1165870204.3971629</v>
      </c>
      <c r="S420">
        <f t="shared" si="977"/>
        <v>-11658.702043971629</v>
      </c>
      <c r="T420">
        <f t="shared" si="978"/>
        <v>-11.658702043971628</v>
      </c>
    </row>
    <row r="421" spans="1:20" x14ac:dyDescent="0.25">
      <c r="A421" s="5">
        <v>44172</v>
      </c>
      <c r="B421">
        <v>4.2500000000000003E-2</v>
      </c>
      <c r="C421">
        <v>5.5E-2</v>
      </c>
      <c r="D421">
        <v>4.2029999999999998E-2</v>
      </c>
      <c r="E421">
        <v>5.212E-2</v>
      </c>
      <c r="F421">
        <v>295173476.30000001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0.55589822667694677</v>
      </c>
      <c r="Q421">
        <f t="shared" si="975"/>
        <v>164086412.03723979</v>
      </c>
      <c r="R421">
        <f t="shared" si="976"/>
        <v>-891530896.16748166</v>
      </c>
      <c r="S421">
        <f t="shared" si="977"/>
        <v>-8915.3089616748166</v>
      </c>
      <c r="T421">
        <f t="shared" si="978"/>
        <v>-8.9153089616748158</v>
      </c>
    </row>
    <row r="422" spans="1:20" x14ac:dyDescent="0.25">
      <c r="A422" s="5">
        <v>44171</v>
      </c>
      <c r="B422">
        <v>4.5080000000000002E-2</v>
      </c>
      <c r="C422">
        <v>4.9000000000000002E-2</v>
      </c>
      <c r="D422">
        <v>4.2320000000000003E-2</v>
      </c>
      <c r="E422">
        <v>4.2500000000000003E-2</v>
      </c>
      <c r="F422">
        <v>228326421.69999999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-0.94610778443113785</v>
      </c>
      <c r="Q422">
        <f t="shared" si="975"/>
        <v>-216021404.96167666</v>
      </c>
      <c r="R422">
        <f t="shared" si="976"/>
        <v>-1055617308.2047215</v>
      </c>
      <c r="S422">
        <f t="shared" si="977"/>
        <v>-10556.173082047215</v>
      </c>
      <c r="T422">
        <f t="shared" si="978"/>
        <v>-10.556173082047215</v>
      </c>
    </row>
    <row r="423" spans="1:20" x14ac:dyDescent="0.25">
      <c r="A423" s="5">
        <v>44170</v>
      </c>
      <c r="B423">
        <v>3.9379999999999998E-2</v>
      </c>
      <c r="C423">
        <v>4.58E-2</v>
      </c>
      <c r="D423">
        <v>3.7679999999999998E-2</v>
      </c>
      <c r="E423">
        <v>4.4929999999999998E-2</v>
      </c>
      <c r="F423">
        <v>180539214.69999999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0.78571428571428514</v>
      </c>
      <c r="Q423">
        <f t="shared" si="975"/>
        <v>141852240.12142846</v>
      </c>
      <c r="R423">
        <f t="shared" si="976"/>
        <v>-839595903.24304485</v>
      </c>
      <c r="S423">
        <f t="shared" si="977"/>
        <v>-8395.9590324304481</v>
      </c>
      <c r="T423">
        <f t="shared" si="978"/>
        <v>-8.3959590324304489</v>
      </c>
    </row>
    <row r="424" spans="1:20" x14ac:dyDescent="0.25">
      <c r="A424" s="5">
        <v>44169</v>
      </c>
      <c r="B424">
        <v>3.85E-2</v>
      </c>
      <c r="C424">
        <v>4.3560000000000001E-2</v>
      </c>
      <c r="D424">
        <v>3.7479999999999999E-2</v>
      </c>
      <c r="E424">
        <v>3.9530000000000003E-2</v>
      </c>
      <c r="F424">
        <v>213765596.59999999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-0.32565789473684126</v>
      </c>
      <c r="Q424">
        <f t="shared" si="975"/>
        <v>-69614454.155920863</v>
      </c>
      <c r="R424">
        <f t="shared" si="976"/>
        <v>-981448143.36447334</v>
      </c>
      <c r="S424">
        <f t="shared" si="977"/>
        <v>-9814.4814336447325</v>
      </c>
      <c r="T424">
        <f t="shared" si="978"/>
        <v>-9.8144814336447332</v>
      </c>
    </row>
    <row r="425" spans="1:20" x14ac:dyDescent="0.25">
      <c r="A425" s="5">
        <v>44168</v>
      </c>
      <c r="B425">
        <v>3.6150000000000002E-2</v>
      </c>
      <c r="C425">
        <v>4.0730000000000002E-2</v>
      </c>
      <c r="D425">
        <v>3.6130000000000002E-2</v>
      </c>
      <c r="E425">
        <v>3.85E-2</v>
      </c>
      <c r="F425">
        <v>112221387.90000001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3.0434782608694411E-2</v>
      </c>
      <c r="Q425">
        <f t="shared" si="975"/>
        <v>3415433.5447824695</v>
      </c>
      <c r="R425">
        <f t="shared" si="976"/>
        <v>-911833689.20855248</v>
      </c>
      <c r="S425">
        <f t="shared" si="977"/>
        <v>-9118.3368920855246</v>
      </c>
      <c r="T425">
        <f t="shared" si="978"/>
        <v>-9.1183368920855248</v>
      </c>
    </row>
    <row r="426" spans="1:20" x14ac:dyDescent="0.25">
      <c r="A426" s="5">
        <v>44167</v>
      </c>
      <c r="B426">
        <v>3.5249999999999997E-2</v>
      </c>
      <c r="C426">
        <v>3.7150000000000002E-2</v>
      </c>
      <c r="D426">
        <v>3.422E-2</v>
      </c>
      <c r="E426">
        <v>3.6119999999999999E-2</v>
      </c>
      <c r="F426">
        <v>81251577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0.29692832764504956</v>
      </c>
      <c r="Q426">
        <f t="shared" si="975"/>
        <v>24125894.877132975</v>
      </c>
      <c r="R426">
        <f t="shared" si="976"/>
        <v>-915249122.753335</v>
      </c>
      <c r="S426">
        <f t="shared" si="977"/>
        <v>-9152.49122753335</v>
      </c>
      <c r="T426">
        <f t="shared" si="978"/>
        <v>-9.1524912275333499</v>
      </c>
    </row>
    <row r="427" spans="1:20" x14ac:dyDescent="0.25">
      <c r="A427" s="5">
        <v>44166</v>
      </c>
      <c r="B427">
        <v>3.7089999999999998E-2</v>
      </c>
      <c r="C427">
        <v>3.8350000000000002E-2</v>
      </c>
      <c r="D427">
        <v>3.4119999999999998E-2</v>
      </c>
      <c r="E427">
        <v>3.524E-2</v>
      </c>
      <c r="F427">
        <v>103278479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-0.47044917257683133</v>
      </c>
      <c r="Q427">
        <f t="shared" si="975"/>
        <v>-48587274.990543649</v>
      </c>
      <c r="R427">
        <f t="shared" si="976"/>
        <v>-939375017.63046801</v>
      </c>
      <c r="S427">
        <f t="shared" si="977"/>
        <v>-9393.7501763046803</v>
      </c>
      <c r="T427">
        <f t="shared" si="978"/>
        <v>-9.39375017630468</v>
      </c>
    </row>
    <row r="428" spans="1:20" x14ac:dyDescent="0.25">
      <c r="A428" s="5">
        <v>44165</v>
      </c>
      <c r="B428">
        <v>3.7199999999999997E-2</v>
      </c>
      <c r="C428">
        <v>3.9059999999999997E-2</v>
      </c>
      <c r="D428">
        <v>3.585E-2</v>
      </c>
      <c r="E428">
        <v>3.7100000000000001E-2</v>
      </c>
      <c r="F428">
        <v>86199449.599999994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-0.22118380062305168</v>
      </c>
      <c r="Q428">
        <f t="shared" si="975"/>
        <v>-19065921.874143191</v>
      </c>
      <c r="R428">
        <f t="shared" si="976"/>
        <v>-890787742.63992441</v>
      </c>
      <c r="S428">
        <f t="shared" si="977"/>
        <v>-8907.8774263992436</v>
      </c>
      <c r="T428">
        <f t="shared" si="978"/>
        <v>-8.907877426399244</v>
      </c>
    </row>
    <row r="429" spans="1:20" x14ac:dyDescent="0.25">
      <c r="A429" s="5">
        <v>44164</v>
      </c>
      <c r="B429">
        <v>3.7699999999999997E-2</v>
      </c>
      <c r="C429">
        <v>3.9699999999999999E-2</v>
      </c>
      <c r="D429">
        <v>3.6609999999999997E-2</v>
      </c>
      <c r="E429">
        <v>3.7249999999999998E-2</v>
      </c>
      <c r="F429">
        <v>66792092.100000001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-0.58576051779935201</v>
      </c>
      <c r="Q429">
        <f t="shared" si="975"/>
        <v>-39124170.453398012</v>
      </c>
      <c r="R429">
        <f t="shared" si="976"/>
        <v>-871721820.76578116</v>
      </c>
      <c r="S429">
        <f t="shared" si="977"/>
        <v>-8717.2182076578119</v>
      </c>
      <c r="T429">
        <f t="shared" si="978"/>
        <v>-8.7172182076578117</v>
      </c>
    </row>
    <row r="430" spans="1:20" x14ac:dyDescent="0.25">
      <c r="A430" s="5">
        <v>44163</v>
      </c>
      <c r="B430">
        <v>3.671E-2</v>
      </c>
      <c r="C430">
        <v>4.052E-2</v>
      </c>
      <c r="D430">
        <v>3.6670000000000001E-2</v>
      </c>
      <c r="E430">
        <v>3.7629999999999997E-2</v>
      </c>
      <c r="F430">
        <v>127006717.7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-0.50129870129870346</v>
      </c>
      <c r="Q430">
        <f t="shared" si="975"/>
        <v>-63668302.639221057</v>
      </c>
      <c r="R430">
        <f t="shared" si="976"/>
        <v>-832597650.31238317</v>
      </c>
      <c r="S430">
        <f t="shared" si="977"/>
        <v>-8325.9765031238312</v>
      </c>
      <c r="T430">
        <f t="shared" si="978"/>
        <v>-8.3259765031238313</v>
      </c>
    </row>
    <row r="431" spans="1:20" x14ac:dyDescent="0.25">
      <c r="A431" s="5">
        <v>44162</v>
      </c>
      <c r="B431">
        <v>3.5720000000000002E-2</v>
      </c>
      <c r="C431">
        <v>3.8980000000000001E-2</v>
      </c>
      <c r="D431">
        <v>3.3000000000000002E-2</v>
      </c>
      <c r="E431">
        <v>3.6600000000000001E-2</v>
      </c>
      <c r="F431">
        <v>155352694.80000001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0.20401337792642124</v>
      </c>
      <c r="Q431">
        <f t="shared" si="975"/>
        <v>31694028.036120377</v>
      </c>
      <c r="R431">
        <f t="shared" si="976"/>
        <v>-768929347.6731621</v>
      </c>
      <c r="S431">
        <f t="shared" si="977"/>
        <v>-7689.293476731621</v>
      </c>
      <c r="T431">
        <f t="shared" si="978"/>
        <v>-7.6892934767316214</v>
      </c>
    </row>
    <row r="432" spans="1:20" x14ac:dyDescent="0.25">
      <c r="A432" s="5">
        <v>44161</v>
      </c>
      <c r="B432">
        <v>3.9170000000000003E-2</v>
      </c>
      <c r="C432">
        <v>3.9449999999999999E-2</v>
      </c>
      <c r="D432">
        <v>3.1739999999999997E-2</v>
      </c>
      <c r="E432">
        <v>3.5740000000000001E-2</v>
      </c>
      <c r="F432">
        <v>177512868.5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3.7613488975357393E-2</v>
      </c>
      <c r="Q432">
        <f t="shared" si="975"/>
        <v>6676878.3223088169</v>
      </c>
      <c r="R432">
        <f t="shared" si="976"/>
        <v>-800623375.70928252</v>
      </c>
      <c r="S432">
        <f t="shared" si="977"/>
        <v>-8006.2337570928248</v>
      </c>
      <c r="T432">
        <f t="shared" si="978"/>
        <v>-8.0062337570928257</v>
      </c>
    </row>
    <row r="433" spans="1:20" x14ac:dyDescent="0.25">
      <c r="A433" s="5">
        <v>44160</v>
      </c>
      <c r="B433">
        <v>4.1860000000000001E-2</v>
      </c>
      <c r="C433">
        <v>4.4150000000000002E-2</v>
      </c>
      <c r="D433">
        <v>3.6999999999999998E-2</v>
      </c>
      <c r="E433">
        <v>3.9079999999999997E-2</v>
      </c>
      <c r="F433">
        <v>245666641.30000001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-0.41818181818181888</v>
      </c>
      <c r="Q433">
        <f t="shared" si="975"/>
        <v>-102733322.72545472</v>
      </c>
      <c r="R433">
        <f t="shared" si="976"/>
        <v>-807300254.0315913</v>
      </c>
      <c r="S433">
        <f t="shared" si="977"/>
        <v>-8073.0025403159134</v>
      </c>
      <c r="T433">
        <f t="shared" si="978"/>
        <v>-8.0730025403159136</v>
      </c>
    </row>
    <row r="434" spans="1:20" x14ac:dyDescent="0.25">
      <c r="A434" s="5">
        <v>44159</v>
      </c>
      <c r="B434">
        <v>4.7030000000000002E-2</v>
      </c>
      <c r="C434">
        <v>5.2999999999999999E-2</v>
      </c>
      <c r="D434">
        <v>0.04</v>
      </c>
      <c r="E434">
        <v>4.1910000000000003E-2</v>
      </c>
      <c r="F434">
        <v>277218006.89999998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-0.7061538461538458</v>
      </c>
      <c r="Q434">
        <f t="shared" si="975"/>
        <v>-195758561.79553834</v>
      </c>
      <c r="R434">
        <f t="shared" si="976"/>
        <v>-704566931.30613661</v>
      </c>
      <c r="S434">
        <f t="shared" si="977"/>
        <v>-7045.6693130613658</v>
      </c>
      <c r="T434">
        <f t="shared" si="978"/>
        <v>-7.0456693130613655</v>
      </c>
    </row>
    <row r="435" spans="1:20" x14ac:dyDescent="0.25">
      <c r="A435" s="5">
        <v>44158</v>
      </c>
      <c r="B435">
        <v>4.1680000000000002E-2</v>
      </c>
      <c r="C435">
        <v>5.45E-2</v>
      </c>
      <c r="D435">
        <v>3.8600000000000002E-2</v>
      </c>
      <c r="E435">
        <v>4.7039999999999998E-2</v>
      </c>
      <c r="F435">
        <v>334746436.39999998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6.1635220125785845E-2</v>
      </c>
      <c r="Q435">
        <f t="shared" si="975"/>
        <v>20632170.29383637</v>
      </c>
      <c r="R435">
        <f t="shared" si="976"/>
        <v>-508808369.5105983</v>
      </c>
      <c r="S435">
        <f t="shared" si="977"/>
        <v>-5088.0836951059828</v>
      </c>
      <c r="T435">
        <f t="shared" si="978"/>
        <v>-5.0880836951059827</v>
      </c>
    </row>
    <row r="436" spans="1:20" x14ac:dyDescent="0.25">
      <c r="A436" s="5">
        <v>44157</v>
      </c>
      <c r="B436">
        <v>3.7900000000000003E-2</v>
      </c>
      <c r="C436">
        <v>4.2200000000000001E-2</v>
      </c>
      <c r="D436">
        <v>3.5189999999999999E-2</v>
      </c>
      <c r="E436">
        <v>4.1619999999999997E-2</v>
      </c>
      <c r="F436">
        <v>172188146.09999999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0.83452211126961373</v>
      </c>
      <c r="Q436">
        <f t="shared" si="975"/>
        <v>143694815.21897271</v>
      </c>
      <c r="R436">
        <f t="shared" si="976"/>
        <v>-529440539.80443466</v>
      </c>
      <c r="S436">
        <f t="shared" si="977"/>
        <v>-5294.4053980443468</v>
      </c>
      <c r="T436">
        <f t="shared" si="978"/>
        <v>-5.2944053980443471</v>
      </c>
    </row>
    <row r="437" spans="1:20" x14ac:dyDescent="0.25">
      <c r="A437" s="5">
        <v>44156</v>
      </c>
      <c r="B437">
        <v>3.5709999999999999E-2</v>
      </c>
      <c r="C437">
        <v>0.04</v>
      </c>
      <c r="D437">
        <v>3.2599999999999997E-2</v>
      </c>
      <c r="E437">
        <v>3.7909999999999999E-2</v>
      </c>
      <c r="F437">
        <v>282877391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0.43513513513513502</v>
      </c>
      <c r="Q437">
        <f t="shared" si="975"/>
        <v>123089891.75945942</v>
      </c>
      <c r="R437">
        <f t="shared" si="976"/>
        <v>-673135355.02340734</v>
      </c>
      <c r="S437">
        <f t="shared" si="977"/>
        <v>-6731.3535502340737</v>
      </c>
      <c r="T437">
        <f t="shared" si="978"/>
        <v>-6.7313535502340738</v>
      </c>
    </row>
    <row r="438" spans="1:20" x14ac:dyDescent="0.25">
      <c r="A438" s="5">
        <v>44155</v>
      </c>
      <c r="B438">
        <v>3.7760000000000002E-2</v>
      </c>
      <c r="C438">
        <v>4.5999999999999999E-2</v>
      </c>
      <c r="D438">
        <v>3.3500000000000002E-2</v>
      </c>
      <c r="E438">
        <v>3.5729999999999998E-2</v>
      </c>
      <c r="F438">
        <v>320411540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-0.64320000000000055</v>
      </c>
      <c r="Q438">
        <f t="shared" si="975"/>
        <v>-206088702.52800018</v>
      </c>
      <c r="R438">
        <f t="shared" si="976"/>
        <v>-796225246.78286672</v>
      </c>
      <c r="S438">
        <f t="shared" si="977"/>
        <v>-7962.2524678286672</v>
      </c>
      <c r="T438">
        <f t="shared" si="978"/>
        <v>-7.9622524678286677</v>
      </c>
    </row>
    <row r="439" spans="1:20" x14ac:dyDescent="0.25">
      <c r="A439" s="5">
        <v>44154</v>
      </c>
      <c r="B439">
        <v>0.03</v>
      </c>
      <c r="C439">
        <v>0.12</v>
      </c>
      <c r="D439">
        <v>0.03</v>
      </c>
      <c r="E439">
        <v>3.7769999999999998E-2</v>
      </c>
      <c r="F439">
        <v>713299610.29999995</v>
      </c>
      <c r="G439">
        <v>0</v>
      </c>
      <c r="P439">
        <f t="shared" si="974"/>
        <v>-0.82733333333333337</v>
      </c>
      <c r="Q439">
        <f t="shared" si="975"/>
        <v>-590136544.2548666</v>
      </c>
      <c r="R439">
        <f t="shared" si="976"/>
        <v>-590136544.2548666</v>
      </c>
      <c r="S439">
        <f t="shared" si="977"/>
        <v>-5901.3654425486657</v>
      </c>
      <c r="T439">
        <f t="shared" si="978"/>
        <v>-5.9013654425486655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D647" sqref="ID64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$A$646</v>
      </c>
      <c r="D111" s="1" t="str">
        <f>ADDRESS(C121-1,D121,1,1)</f>
        <v>$ID$646</v>
      </c>
      <c r="E111"/>
    </row>
    <row r="112" spans="1:5" x14ac:dyDescent="0.25">
      <c r="A112" s="7">
        <v>12164.144957890772</v>
      </c>
      <c r="C112" s="1" t="str">
        <f>ADDRESS(C121,1,1,1)</f>
        <v>$A$647</v>
      </c>
      <c r="D112" s="1" t="str">
        <f>ADDRESS(C121,D121-1,1,1)</f>
        <v>$IC$647</v>
      </c>
      <c r="E112"/>
    </row>
    <row r="113" spans="1:5" x14ac:dyDescent="0.25">
      <c r="A113" s="7">
        <v>11925.63231165762</v>
      </c>
      <c r="C113" s="1" t="str">
        <f>ADDRESS(C121+1,1,1,1)</f>
        <v>$A$648</v>
      </c>
      <c r="D113" s="1" t="str">
        <f>ADDRESS(C121-1,D121+1,1,1)</f>
        <v>$IE$646</v>
      </c>
    </row>
    <row r="114" spans="1:5" x14ac:dyDescent="0.25">
      <c r="A114" s="7">
        <v>11691.796383978059</v>
      </c>
      <c r="C114" s="1" t="str">
        <f>ADDRESS(C121,D121,1,1)</f>
        <v>$ID$647</v>
      </c>
      <c r="D114" s="1" t="str">
        <f>ADDRESS(C121+1,D121+1,1,1)</f>
        <v>$IE$648</v>
      </c>
    </row>
    <row r="115" spans="1:5" x14ac:dyDescent="0.25">
      <c r="A115" s="7">
        <v>11462.545474488292</v>
      </c>
      <c r="C115" s="1" t="str">
        <f>ADDRESS(C121+1,D121,1,1)</f>
        <v>$ID$648</v>
      </c>
    </row>
    <row r="116" spans="1:5" x14ac:dyDescent="0.25">
      <c r="A116" s="7">
        <v>11237.789680870874</v>
      </c>
      <c r="C116" s="1">
        <f>C117-1</f>
        <v>646</v>
      </c>
    </row>
    <row r="117" spans="1:5" x14ac:dyDescent="0.25">
      <c r="A117" s="7">
        <v>11017.440863598895</v>
      </c>
      <c r="C117" s="1">
        <f>C121</f>
        <v>647</v>
      </c>
      <c r="D117" s="1">
        <f>D121</f>
        <v>238</v>
      </c>
    </row>
    <row r="118" spans="1:5" x14ac:dyDescent="0.25">
      <c r="A118" s="7">
        <v>10801.412611371465</v>
      </c>
      <c r="C118" s="1">
        <f>C117+1</f>
        <v>648</v>
      </c>
      <c r="D118" s="1">
        <f>D117+1</f>
        <v>239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647</v>
      </c>
      <c r="D121" s="19">
        <v>238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R647</v>
      </c>
      <c r="D123" s="1" t="str">
        <f>"C"&amp;D121</f>
        <v>C238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0.30478226645907036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234" x14ac:dyDescent="0.25">
      <c r="A609" s="7">
        <v>0.64683903605157422</v>
      </c>
      <c r="B609"/>
      <c r="C609"/>
      <c r="D609"/>
      <c r="E609"/>
      <c r="F609" s="27" t="s">
        <v>7</v>
      </c>
    </row>
    <row r="610" spans="1:234" x14ac:dyDescent="0.25">
      <c r="A610" s="7">
        <v>0.63415591769762181</v>
      </c>
      <c r="B610"/>
      <c r="C610"/>
      <c r="D610"/>
      <c r="E610"/>
      <c r="F610" s="27" t="s">
        <v>7</v>
      </c>
    </row>
    <row r="611" spans="1:234" x14ac:dyDescent="0.25">
      <c r="A611" s="7">
        <v>0.62172148793884496</v>
      </c>
      <c r="B611"/>
      <c r="C611"/>
      <c r="D611"/>
      <c r="E611"/>
      <c r="F611" s="27" t="s">
        <v>7</v>
      </c>
    </row>
    <row r="612" spans="1:234" x14ac:dyDescent="0.25">
      <c r="A612" s="7">
        <v>0.60953087052827937</v>
      </c>
      <c r="B612"/>
      <c r="C612"/>
      <c r="D612"/>
      <c r="E612"/>
      <c r="F612" s="27" t="s">
        <v>7</v>
      </c>
    </row>
    <row r="613" spans="1:234" x14ac:dyDescent="0.25">
      <c r="A613" s="7">
        <v>0.59757928483164646</v>
      </c>
      <c r="B613"/>
      <c r="C613"/>
      <c r="D613"/>
      <c r="E613"/>
      <c r="F613" s="27" t="s">
        <v>7</v>
      </c>
      <c r="HY613" s="27" t="s">
        <v>8</v>
      </c>
    </row>
    <row r="614" spans="1:234" x14ac:dyDescent="0.25">
      <c r="A614" s="7">
        <v>0.58586204395259456</v>
      </c>
      <c r="B614"/>
      <c r="C614"/>
      <c r="D614"/>
      <c r="E614"/>
      <c r="F614" s="27" t="s">
        <v>7</v>
      </c>
      <c r="HY614" s="27" t="s">
        <v>8</v>
      </c>
      <c r="HZ614" s="27" t="s">
        <v>7</v>
      </c>
    </row>
    <row r="615" spans="1:234" x14ac:dyDescent="0.25">
      <c r="A615" s="7">
        <v>0.57437455289470052</v>
      </c>
      <c r="B615"/>
      <c r="C615"/>
      <c r="D615"/>
      <c r="E615"/>
      <c r="F615" s="27" t="s">
        <v>7</v>
      </c>
      <c r="HY615" s="27" t="s">
        <v>8</v>
      </c>
      <c r="HZ615" s="27" t="s">
        <v>7</v>
      </c>
    </row>
    <row r="616" spans="1:234" x14ac:dyDescent="0.25">
      <c r="A616" s="7">
        <v>0.56311230675951029</v>
      </c>
      <c r="B616"/>
      <c r="C616"/>
      <c r="D616"/>
      <c r="E616"/>
      <c r="F616" s="27" t="s">
        <v>7</v>
      </c>
      <c r="HY616" s="27" t="s">
        <v>8</v>
      </c>
      <c r="HZ616" s="27" t="s">
        <v>7</v>
      </c>
    </row>
    <row r="617" spans="1:234" x14ac:dyDescent="0.25">
      <c r="A617" s="7">
        <v>0.55207088897991208</v>
      </c>
      <c r="B617"/>
      <c r="C617"/>
      <c r="D617"/>
      <c r="E617"/>
      <c r="F617" s="27" t="s">
        <v>7</v>
      </c>
      <c r="HY617" s="27" t="s">
        <v>8</v>
      </c>
      <c r="HZ617" s="27" t="s">
        <v>7</v>
      </c>
    </row>
    <row r="618" spans="1:234" x14ac:dyDescent="0.25">
      <c r="A618" s="7">
        <v>0.54124596958814908</v>
      </c>
      <c r="B618"/>
      <c r="C618"/>
      <c r="D618"/>
      <c r="E618"/>
      <c r="F618" s="27" t="s">
        <v>7</v>
      </c>
      <c r="HY618" s="27" t="s">
        <v>8</v>
      </c>
      <c r="HZ618" s="27" t="s">
        <v>7</v>
      </c>
    </row>
    <row r="619" spans="1:234" x14ac:dyDescent="0.25">
      <c r="A619" s="7">
        <v>0.53063330351779314</v>
      </c>
      <c r="B619"/>
      <c r="C619"/>
      <c r="D619"/>
      <c r="E619"/>
      <c r="F619" s="27" t="s">
        <v>7</v>
      </c>
      <c r="HW619" s="27" t="s">
        <v>8</v>
      </c>
      <c r="HY619" s="27" t="s">
        <v>8</v>
      </c>
      <c r="HZ619" s="27" t="s">
        <v>7</v>
      </c>
    </row>
    <row r="620" spans="1:234" x14ac:dyDescent="0.25">
      <c r="A620" s="7">
        <v>0.52022872893901284</v>
      </c>
      <c r="B620"/>
      <c r="C620"/>
      <c r="D620"/>
      <c r="E620"/>
      <c r="F620" s="27" t="s">
        <v>7</v>
      </c>
      <c r="HW620" s="27" t="s">
        <v>8</v>
      </c>
      <c r="HX620" s="27" t="s">
        <v>7</v>
      </c>
      <c r="HY620" s="27" t="s">
        <v>8</v>
      </c>
      <c r="HZ620" s="27" t="s">
        <v>7</v>
      </c>
    </row>
    <row r="621" spans="1:234" x14ac:dyDescent="0.25">
      <c r="A621" s="7">
        <v>0.51002816562648323</v>
      </c>
      <c r="B621"/>
      <c r="C621"/>
      <c r="D621"/>
      <c r="E621"/>
      <c r="F621" s="27" t="s">
        <v>7</v>
      </c>
      <c r="HW621" s="27" t="s">
        <v>8</v>
      </c>
      <c r="HX621" s="27" t="s">
        <v>7</v>
      </c>
      <c r="HY621" s="27" t="s">
        <v>8</v>
      </c>
      <c r="HZ621" s="27" t="s">
        <v>7</v>
      </c>
    </row>
    <row r="622" spans="1:234" x14ac:dyDescent="0.25">
      <c r="A622" s="7">
        <v>0.50002761335929735</v>
      </c>
      <c r="B622"/>
      <c r="C622"/>
      <c r="D622"/>
      <c r="E622"/>
      <c r="F622" s="27" t="s">
        <v>7</v>
      </c>
      <c r="HW622" s="27" t="s">
        <v>8</v>
      </c>
      <c r="HX622" s="27" t="s">
        <v>7</v>
      </c>
      <c r="HY622" s="27" t="s">
        <v>8</v>
      </c>
      <c r="HZ622" s="27" t="s">
        <v>7</v>
      </c>
    </row>
    <row r="623" spans="1:234" x14ac:dyDescent="0.25">
      <c r="A623" s="7">
        <v>0.49022315035225228</v>
      </c>
      <c r="B623"/>
      <c r="C623"/>
      <c r="D623"/>
      <c r="E623"/>
      <c r="F623" s="27" t="s">
        <v>7</v>
      </c>
      <c r="HW623" s="27" t="s">
        <v>8</v>
      </c>
      <c r="HX623" s="27" t="s">
        <v>7</v>
      </c>
      <c r="HY623" s="27" t="s">
        <v>8</v>
      </c>
      <c r="HZ623" s="27" t="s">
        <v>7</v>
      </c>
    </row>
    <row r="624" spans="1:234" x14ac:dyDescent="0.25">
      <c r="A624" s="7">
        <v>0.48061093171789437</v>
      </c>
      <c r="B624"/>
      <c r="C624"/>
      <c r="D624"/>
      <c r="E624"/>
      <c r="F624" s="27" t="s">
        <v>7</v>
      </c>
      <c r="HW624" s="27" t="s">
        <v>8</v>
      </c>
      <c r="HX624" s="27" t="s">
        <v>7</v>
      </c>
      <c r="HZ624" s="27" t="s">
        <v>7</v>
      </c>
    </row>
    <row r="625" spans="1:238" x14ac:dyDescent="0.25">
      <c r="A625" s="7">
        <v>0.47118718795871994</v>
      </c>
      <c r="B625"/>
      <c r="C625"/>
      <c r="D625"/>
      <c r="E625"/>
      <c r="F625" s="27" t="s">
        <v>7</v>
      </c>
      <c r="HW625" s="27" t="s">
        <v>8</v>
      </c>
      <c r="HZ625" s="27" t="s">
        <v>7</v>
      </c>
    </row>
    <row r="626" spans="1:238" x14ac:dyDescent="0.25">
      <c r="A626" s="7">
        <v>0.46194822348894116</v>
      </c>
      <c r="B626"/>
      <c r="C626"/>
      <c r="D626"/>
      <c r="E626"/>
      <c r="F626" s="27" t="s">
        <v>7</v>
      </c>
      <c r="GS626" s="27" t="s">
        <v>8</v>
      </c>
      <c r="HW626" s="27" t="s">
        <v>8</v>
      </c>
      <c r="HZ626" s="27" t="s">
        <v>7</v>
      </c>
    </row>
    <row r="627" spans="1:238" x14ac:dyDescent="0.25">
      <c r="A627" s="7">
        <v>0.45289041518523643</v>
      </c>
      <c r="B627"/>
      <c r="C627"/>
      <c r="D627"/>
      <c r="E627"/>
      <c r="F627" s="27" t="s">
        <v>7</v>
      </c>
      <c r="GS627" s="27" t="s">
        <v>8</v>
      </c>
      <c r="GT627" s="27" t="s">
        <v>7</v>
      </c>
      <c r="GU627" s="27" t="s">
        <v>8</v>
      </c>
      <c r="HQ627" s="27" t="s">
        <v>8</v>
      </c>
      <c r="HW627" s="27" t="s">
        <v>8</v>
      </c>
      <c r="HZ627" s="27" t="s">
        <v>7</v>
      </c>
    </row>
    <row r="628" spans="1:238" x14ac:dyDescent="0.25">
      <c r="A628" s="7">
        <v>0.44401021096591808</v>
      </c>
      <c r="B628"/>
      <c r="C628"/>
      <c r="D628"/>
      <c r="E628"/>
      <c r="F628" s="27" t="s">
        <v>7</v>
      </c>
      <c r="GS628" s="27" t="s">
        <v>8</v>
      </c>
      <c r="GT628" s="27" t="s">
        <v>7</v>
      </c>
      <c r="GU628" s="27" t="s">
        <v>8</v>
      </c>
      <c r="GV628" s="27" t="s">
        <v>7</v>
      </c>
      <c r="HQ628" s="27" t="s">
        <v>8</v>
      </c>
      <c r="HR628" s="27" t="s">
        <v>7</v>
      </c>
      <c r="HS628" s="27" t="s">
        <v>8</v>
      </c>
      <c r="HW628" s="27" t="s">
        <v>8</v>
      </c>
      <c r="HZ628" s="27" t="s">
        <v>7</v>
      </c>
    </row>
    <row r="629" spans="1:238" x14ac:dyDescent="0.25">
      <c r="A629" s="7">
        <v>0.4353041283979589</v>
      </c>
      <c r="B629"/>
      <c r="C629"/>
      <c r="D629"/>
      <c r="E629"/>
      <c r="F629" s="27" t="s">
        <v>7</v>
      </c>
      <c r="GS629" s="27" t="s">
        <v>8</v>
      </c>
      <c r="GT629" s="27" t="s">
        <v>7</v>
      </c>
      <c r="GU629" s="27" t="s">
        <v>8</v>
      </c>
      <c r="GV629" s="27" t="s">
        <v>7</v>
      </c>
      <c r="HQ629" s="27" t="s">
        <v>8</v>
      </c>
      <c r="HR629" s="27" t="s">
        <v>7</v>
      </c>
      <c r="HS629" s="27" t="s">
        <v>8</v>
      </c>
      <c r="HT629" s="27" t="s">
        <v>7</v>
      </c>
      <c r="HW629" s="27" t="s">
        <v>8</v>
      </c>
      <c r="HZ629" s="27" t="s">
        <v>7</v>
      </c>
    </row>
    <row r="630" spans="1:238" x14ac:dyDescent="0.25">
      <c r="A630" s="7">
        <v>0.4267687533313323</v>
      </c>
      <c r="B630"/>
      <c r="C630"/>
      <c r="D630"/>
      <c r="E630"/>
      <c r="F630" s="27" t="s">
        <v>7</v>
      </c>
      <c r="GS630" s="27" t="s">
        <v>8</v>
      </c>
      <c r="GT630" s="27" t="s">
        <v>7</v>
      </c>
      <c r="GU630" s="27" t="s">
        <v>8</v>
      </c>
      <c r="GV630" s="27" t="s">
        <v>7</v>
      </c>
      <c r="HQ630" s="27" t="s">
        <v>8</v>
      </c>
      <c r="HR630" s="27" t="s">
        <v>7</v>
      </c>
      <c r="HS630" s="27" t="s">
        <v>8</v>
      </c>
      <c r="HT630" s="27" t="s">
        <v>7</v>
      </c>
      <c r="HW630" s="27" t="s">
        <v>8</v>
      </c>
      <c r="HZ630" s="27" t="s">
        <v>7</v>
      </c>
    </row>
    <row r="631" spans="1:238" x14ac:dyDescent="0.25">
      <c r="A631" s="7">
        <v>0.41840073856012971</v>
      </c>
      <c r="B631"/>
      <c r="C631"/>
      <c r="D631"/>
      <c r="E631"/>
      <c r="F631" s="27" t="s">
        <v>7</v>
      </c>
      <c r="GS631" s="27" t="s">
        <v>8</v>
      </c>
      <c r="GT631" s="27" t="s">
        <v>7</v>
      </c>
      <c r="GU631" s="27" t="s">
        <v>8</v>
      </c>
      <c r="GV631" s="27" t="s">
        <v>7</v>
      </c>
      <c r="HQ631" s="27" t="s">
        <v>8</v>
      </c>
      <c r="HR631" s="27" t="s">
        <v>7</v>
      </c>
      <c r="HS631" s="27" t="s">
        <v>8</v>
      </c>
      <c r="HT631" s="27" t="s">
        <v>7</v>
      </c>
      <c r="HW631" s="27" t="s">
        <v>8</v>
      </c>
      <c r="HZ631" s="27" t="s">
        <v>7</v>
      </c>
    </row>
    <row r="632" spans="1:238" x14ac:dyDescent="0.25">
      <c r="A632" s="7">
        <v>0.41019680250993112</v>
      </c>
      <c r="B632"/>
      <c r="C632"/>
      <c r="D632"/>
      <c r="E632"/>
      <c r="F632" s="27" t="s">
        <v>7</v>
      </c>
      <c r="GS632" s="27" t="s">
        <v>8</v>
      </c>
      <c r="GT632" s="27" t="s">
        <v>7</v>
      </c>
      <c r="GU632" s="27" t="s">
        <v>8</v>
      </c>
      <c r="GV632" s="27" t="s">
        <v>7</v>
      </c>
      <c r="HQ632" s="27" t="s">
        <v>8</v>
      </c>
      <c r="HR632" s="27" t="s">
        <v>7</v>
      </c>
      <c r="HS632" s="27" t="s">
        <v>8</v>
      </c>
      <c r="HT632" s="27" t="s">
        <v>7</v>
      </c>
      <c r="HW632" s="27" t="s">
        <v>8</v>
      </c>
      <c r="HZ632" s="27" t="s">
        <v>7</v>
      </c>
    </row>
    <row r="633" spans="1:238" x14ac:dyDescent="0.25">
      <c r="A633" s="7">
        <v>0.40215372795091286</v>
      </c>
      <c r="B633"/>
      <c r="C633"/>
      <c r="D633"/>
      <c r="E633"/>
      <c r="F633" s="27" t="s">
        <v>7</v>
      </c>
      <c r="GS633" s="27" t="s">
        <v>8</v>
      </c>
      <c r="GT633" s="27" t="s">
        <v>7</v>
      </c>
      <c r="GU633" s="27" t="s">
        <v>8</v>
      </c>
      <c r="GV633" s="27" t="s">
        <v>7</v>
      </c>
      <c r="HQ633" s="27" t="s">
        <v>8</v>
      </c>
      <c r="HR633" s="27" t="s">
        <v>7</v>
      </c>
      <c r="HS633" s="27" t="s">
        <v>8</v>
      </c>
      <c r="HT633" s="27" t="s">
        <v>7</v>
      </c>
      <c r="HU633" s="27" t="s">
        <v>8</v>
      </c>
      <c r="HW633" s="27" t="s">
        <v>8</v>
      </c>
      <c r="HZ633" s="27" t="s">
        <v>7</v>
      </c>
    </row>
    <row r="634" spans="1:238" x14ac:dyDescent="0.25">
      <c r="A634" s="7">
        <v>0.39426836073618904</v>
      </c>
      <c r="B634"/>
      <c r="C634"/>
      <c r="D634"/>
      <c r="E634"/>
      <c r="F634" s="27" t="s">
        <v>7</v>
      </c>
      <c r="GS634" s="27" t="s">
        <v>8</v>
      </c>
      <c r="GT634" s="27" t="s">
        <v>7</v>
      </c>
      <c r="GU634" s="27" t="s">
        <v>8</v>
      </c>
      <c r="GV634" s="27" t="s">
        <v>7</v>
      </c>
      <c r="HQ634" s="27" t="s">
        <v>8</v>
      </c>
      <c r="HR634" s="27" t="s">
        <v>7</v>
      </c>
      <c r="HT634" s="27" t="s">
        <v>7</v>
      </c>
      <c r="HU634" s="27" t="s">
        <v>8</v>
      </c>
      <c r="HV634" s="27" t="s">
        <v>7</v>
      </c>
      <c r="HW634" s="27" t="s">
        <v>8</v>
      </c>
      <c r="HZ634" s="27" t="s">
        <v>7</v>
      </c>
    </row>
    <row r="635" spans="1:238" x14ac:dyDescent="0.25">
      <c r="A635" s="7">
        <v>0.38653760856489122</v>
      </c>
      <c r="B635"/>
      <c r="C635"/>
      <c r="D635"/>
      <c r="E635"/>
      <c r="F635" s="27" t="s">
        <v>7</v>
      </c>
      <c r="GS635" s="27" t="s">
        <v>8</v>
      </c>
      <c r="GT635" s="27" t="s">
        <v>7</v>
      </c>
      <c r="GU635" s="27" t="s">
        <v>8</v>
      </c>
      <c r="GV635" s="27" t="s">
        <v>7</v>
      </c>
      <c r="HQ635" s="27" t="s">
        <v>8</v>
      </c>
      <c r="HT635" s="27" t="s">
        <v>7</v>
      </c>
      <c r="HU635" s="27" t="s">
        <v>8</v>
      </c>
      <c r="HV635" s="27" t="s">
        <v>7</v>
      </c>
      <c r="HW635" s="27" t="s">
        <v>8</v>
      </c>
      <c r="HZ635" s="27" t="s">
        <v>7</v>
      </c>
    </row>
    <row r="636" spans="1:238" x14ac:dyDescent="0.25">
      <c r="A636" s="7">
        <v>0.37895843976950117</v>
      </c>
      <c r="B636"/>
      <c r="C636"/>
      <c r="D636"/>
      <c r="E636"/>
      <c r="F636" s="27" t="s">
        <v>7</v>
      </c>
      <c r="GS636" s="27" t="s">
        <v>8</v>
      </c>
      <c r="GT636" s="27" t="s">
        <v>7</v>
      </c>
      <c r="GU636" s="27" t="s">
        <v>8</v>
      </c>
      <c r="GV636" s="27" t="s">
        <v>7</v>
      </c>
      <c r="HO636" s="27" t="s">
        <v>8</v>
      </c>
      <c r="HQ636" s="27" t="s">
        <v>8</v>
      </c>
      <c r="HT636" s="27" t="s">
        <v>7</v>
      </c>
      <c r="HU636" s="27" t="s">
        <v>8</v>
      </c>
      <c r="HV636" s="27" t="s">
        <v>7</v>
      </c>
      <c r="HW636" s="27" t="s">
        <v>8</v>
      </c>
      <c r="HZ636" s="27" t="s">
        <v>7</v>
      </c>
    </row>
    <row r="637" spans="1:238" x14ac:dyDescent="0.25">
      <c r="A637" s="7">
        <v>0.37152788212696197</v>
      </c>
      <c r="B637"/>
      <c r="C637"/>
      <c r="D637"/>
      <c r="E637"/>
      <c r="F637" s="27" t="s">
        <v>7</v>
      </c>
      <c r="GS637" s="27" t="s">
        <v>8</v>
      </c>
      <c r="GT637" s="27" t="s">
        <v>7</v>
      </c>
      <c r="GU637" s="27" t="s">
        <v>8</v>
      </c>
      <c r="GV637" s="27" t="s">
        <v>7</v>
      </c>
      <c r="HO637" s="27" t="s">
        <v>8</v>
      </c>
      <c r="HP637" s="27" t="s">
        <v>7</v>
      </c>
      <c r="HQ637" s="27" t="s">
        <v>8</v>
      </c>
      <c r="HT637" s="27" t="s">
        <v>7</v>
      </c>
      <c r="HU637" s="27" t="s">
        <v>8</v>
      </c>
      <c r="HV637" s="27" t="s">
        <v>7</v>
      </c>
      <c r="HW637" s="27" t="s">
        <v>8</v>
      </c>
      <c r="HZ637" s="27" t="s">
        <v>7</v>
      </c>
    </row>
    <row r="638" spans="1:238" x14ac:dyDescent="0.25">
      <c r="A638" s="7">
        <v>0.36424302169310002</v>
      </c>
      <c r="B638"/>
      <c r="C638"/>
      <c r="D638"/>
      <c r="E638"/>
      <c r="F638" s="27" t="s">
        <v>7</v>
      </c>
      <c r="FG638" s="27" t="s">
        <v>8</v>
      </c>
      <c r="GS638" s="27" t="s">
        <v>8</v>
      </c>
      <c r="GT638" s="27" t="s">
        <v>7</v>
      </c>
      <c r="GU638" s="27" t="s">
        <v>8</v>
      </c>
      <c r="GV638" s="27" t="s">
        <v>7</v>
      </c>
      <c r="GY638" s="27" t="s">
        <v>8</v>
      </c>
      <c r="HO638" s="27" t="s">
        <v>8</v>
      </c>
      <c r="HP638" s="27" t="s">
        <v>7</v>
      </c>
      <c r="HQ638" s="27" t="s">
        <v>8</v>
      </c>
      <c r="HT638" s="27" t="s">
        <v>7</v>
      </c>
      <c r="HU638" s="27" t="s">
        <v>8</v>
      </c>
      <c r="HV638" s="27" t="s">
        <v>7</v>
      </c>
      <c r="HW638" s="27" t="s">
        <v>8</v>
      </c>
      <c r="HZ638" s="27" t="s">
        <v>7</v>
      </c>
      <c r="IA638" s="27" t="s">
        <v>8</v>
      </c>
      <c r="IC638" s="27" t="s">
        <v>8</v>
      </c>
    </row>
    <row r="639" spans="1:238" x14ac:dyDescent="0.25">
      <c r="A639" s="7">
        <v>0.35710100165990194</v>
      </c>
      <c r="B639"/>
      <c r="C639"/>
      <c r="D639"/>
      <c r="E639"/>
      <c r="F639" s="27" t="s">
        <v>7</v>
      </c>
      <c r="FG639" s="27" t="s">
        <v>8</v>
      </c>
      <c r="FH639" s="27" t="s">
        <v>7</v>
      </c>
      <c r="GS639" s="27" t="s">
        <v>8</v>
      </c>
      <c r="GT639" s="27" t="s">
        <v>7</v>
      </c>
      <c r="GU639" s="27" t="s">
        <v>8</v>
      </c>
      <c r="GV639" s="27" t="s">
        <v>7</v>
      </c>
      <c r="GW639" s="27" t="s">
        <v>8</v>
      </c>
      <c r="GY639" s="27" t="s">
        <v>8</v>
      </c>
      <c r="GZ639" s="27" t="s">
        <v>7</v>
      </c>
      <c r="HO639" s="27" t="s">
        <v>8</v>
      </c>
      <c r="HP639" s="27" t="s">
        <v>7</v>
      </c>
      <c r="HQ639" s="27" t="s">
        <v>8</v>
      </c>
      <c r="HT639" s="27" t="s">
        <v>7</v>
      </c>
      <c r="HU639" s="27" t="s">
        <v>8</v>
      </c>
      <c r="HV639" s="27" t="s">
        <v>7</v>
      </c>
      <c r="HW639" s="27" t="s">
        <v>8</v>
      </c>
      <c r="HZ639" s="27" t="s">
        <v>7</v>
      </c>
      <c r="IA639" s="27" t="s">
        <v>8</v>
      </c>
      <c r="IB639" s="27" t="s">
        <v>7</v>
      </c>
      <c r="IC639" s="27" t="s">
        <v>8</v>
      </c>
      <c r="ID639" s="27" t="s">
        <v>7</v>
      </c>
    </row>
    <row r="640" spans="1:238" x14ac:dyDescent="0.25">
      <c r="A640" s="7">
        <v>0.35009902123519804</v>
      </c>
      <c r="B640"/>
      <c r="C640"/>
      <c r="D640"/>
      <c r="E640"/>
      <c r="F640" s="27" t="s">
        <v>7</v>
      </c>
      <c r="FG640" s="27" t="s">
        <v>8</v>
      </c>
      <c r="FH640" s="27" t="s">
        <v>7</v>
      </c>
      <c r="GS640" s="27" t="s">
        <v>8</v>
      </c>
      <c r="GT640" s="27" t="s">
        <v>7</v>
      </c>
      <c r="GV640" s="27" t="s">
        <v>7</v>
      </c>
      <c r="GW640" s="27" t="s">
        <v>8</v>
      </c>
      <c r="GX640" s="27" t="s">
        <v>7</v>
      </c>
      <c r="GY640" s="27" t="s">
        <v>8</v>
      </c>
      <c r="GZ640" s="27" t="s">
        <v>7</v>
      </c>
      <c r="HO640" s="27" t="s">
        <v>8</v>
      </c>
      <c r="HP640" s="27" t="s">
        <v>7</v>
      </c>
      <c r="HQ640" s="27" t="s">
        <v>8</v>
      </c>
      <c r="HT640" s="27" t="s">
        <v>7</v>
      </c>
      <c r="HU640" s="27" t="s">
        <v>8</v>
      </c>
      <c r="HV640" s="27" t="s">
        <v>7</v>
      </c>
      <c r="HW640" s="27" t="s">
        <v>8</v>
      </c>
      <c r="HZ640" s="27" t="s">
        <v>7</v>
      </c>
      <c r="IA640" s="27" t="s">
        <v>8</v>
      </c>
      <c r="IB640" s="27" t="s">
        <v>7</v>
      </c>
      <c r="IC640" s="27" t="s">
        <v>8</v>
      </c>
      <c r="ID640" s="27" t="s">
        <v>7</v>
      </c>
    </row>
    <row r="641" spans="1:238" x14ac:dyDescent="0.25">
      <c r="A641" s="7">
        <v>0.34323433454431179</v>
      </c>
      <c r="B641"/>
      <c r="C641"/>
      <c r="D641"/>
      <c r="E641"/>
      <c r="F641" s="27" t="s">
        <v>7</v>
      </c>
      <c r="FG641" s="27" t="s">
        <v>8</v>
      </c>
      <c r="FH641" s="27" t="s">
        <v>7</v>
      </c>
      <c r="GS641" s="27" t="s">
        <v>8</v>
      </c>
      <c r="GV641" s="27" t="s">
        <v>7</v>
      </c>
      <c r="GW641" s="27" t="s">
        <v>8</v>
      </c>
      <c r="GX641" s="27" t="s">
        <v>7</v>
      </c>
      <c r="GY641" s="27" t="s">
        <v>8</v>
      </c>
      <c r="GZ641" s="27" t="s">
        <v>7</v>
      </c>
      <c r="HG641" s="27" t="s">
        <v>8</v>
      </c>
      <c r="HO641" s="27" t="s">
        <v>8</v>
      </c>
      <c r="HP641" s="27" t="s">
        <v>7</v>
      </c>
      <c r="HQ641" s="27" t="s">
        <v>8</v>
      </c>
      <c r="HT641" s="27" t="s">
        <v>7</v>
      </c>
      <c r="HV641" s="27" t="s">
        <v>7</v>
      </c>
      <c r="HW641" s="27" t="s">
        <v>8</v>
      </c>
      <c r="HZ641" s="27" t="s">
        <v>7</v>
      </c>
      <c r="IA641" s="27" t="s">
        <v>8</v>
      </c>
      <c r="IB641" s="27" t="s">
        <v>7</v>
      </c>
      <c r="IC641" s="27" t="s">
        <v>8</v>
      </c>
      <c r="ID641" s="27" t="s">
        <v>7</v>
      </c>
    </row>
    <row r="642" spans="1:238" x14ac:dyDescent="0.25">
      <c r="A642" s="7">
        <v>0.33650424955324681</v>
      </c>
      <c r="B642"/>
      <c r="C642"/>
      <c r="D642"/>
      <c r="E642"/>
      <c r="F642" s="27" t="s">
        <v>7</v>
      </c>
      <c r="FG642" s="27" t="s">
        <v>8</v>
      </c>
      <c r="FH642" s="27" t="s">
        <v>7</v>
      </c>
      <c r="GS642" s="27" t="s">
        <v>8</v>
      </c>
      <c r="GV642" s="27" t="s">
        <v>7</v>
      </c>
      <c r="GW642" s="27" t="s">
        <v>8</v>
      </c>
      <c r="GX642" s="27" t="s">
        <v>7</v>
      </c>
      <c r="GY642" s="27" t="s">
        <v>8</v>
      </c>
      <c r="GZ642" s="27" t="s">
        <v>7</v>
      </c>
      <c r="HG642" s="27" t="s">
        <v>8</v>
      </c>
      <c r="HH642" s="27" t="s">
        <v>7</v>
      </c>
      <c r="HO642" s="27" t="s">
        <v>8</v>
      </c>
      <c r="HP642" s="27" t="s">
        <v>7</v>
      </c>
      <c r="HQ642" s="27" t="s">
        <v>8</v>
      </c>
      <c r="HV642" s="27" t="s">
        <v>7</v>
      </c>
      <c r="HW642" s="27" t="s">
        <v>8</v>
      </c>
      <c r="HZ642" s="27" t="s">
        <v>7</v>
      </c>
      <c r="IA642" s="27" t="s">
        <v>8</v>
      </c>
      <c r="IB642" s="27" t="s">
        <v>7</v>
      </c>
      <c r="IC642" s="27" t="s">
        <v>8</v>
      </c>
      <c r="ID642" s="27" t="s">
        <v>7</v>
      </c>
    </row>
    <row r="643" spans="1:238" x14ac:dyDescent="0.25">
      <c r="A643" s="7">
        <v>0.3299061270129871</v>
      </c>
      <c r="B643"/>
      <c r="C643"/>
      <c r="D643"/>
      <c r="E643"/>
      <c r="F643" s="27" t="s">
        <v>7</v>
      </c>
      <c r="FG643" s="27" t="s">
        <v>8</v>
      </c>
      <c r="FH643" s="27" t="s">
        <v>7</v>
      </c>
      <c r="GS643" s="27" t="s">
        <v>8</v>
      </c>
      <c r="GV643" s="27" t="s">
        <v>7</v>
      </c>
      <c r="GW643" s="27" t="s">
        <v>8</v>
      </c>
      <c r="GX643" s="27" t="s">
        <v>7</v>
      </c>
      <c r="GY643" s="27" t="s">
        <v>8</v>
      </c>
      <c r="GZ643" s="27" t="s">
        <v>7</v>
      </c>
      <c r="HG643" s="27" t="s">
        <v>8</v>
      </c>
      <c r="HH643" s="27" t="s">
        <v>7</v>
      </c>
      <c r="HM643" s="27" t="s">
        <v>8</v>
      </c>
      <c r="HO643" s="27" t="s">
        <v>8</v>
      </c>
      <c r="HP643" s="27" t="s">
        <v>7</v>
      </c>
      <c r="HV643" s="27" t="s">
        <v>7</v>
      </c>
      <c r="HW643" s="27" t="s">
        <v>8</v>
      </c>
      <c r="HZ643" s="27" t="s">
        <v>7</v>
      </c>
      <c r="IA643" s="27" t="s">
        <v>8</v>
      </c>
      <c r="IB643" s="27" t="s">
        <v>7</v>
      </c>
      <c r="IC643" s="27" t="s">
        <v>8</v>
      </c>
      <c r="ID643" s="27" t="s">
        <v>7</v>
      </c>
    </row>
    <row r="644" spans="1:238" x14ac:dyDescent="0.25">
      <c r="A644" s="7">
        <v>0.32343737942449713</v>
      </c>
      <c r="B644"/>
      <c r="C644"/>
      <c r="D644"/>
      <c r="E644"/>
      <c r="F644" s="27" t="s">
        <v>7</v>
      </c>
      <c r="FG644" s="27" t="s">
        <v>8</v>
      </c>
      <c r="FH644" s="27" t="s">
        <v>7</v>
      </c>
      <c r="GQ644" s="27" t="s">
        <v>8</v>
      </c>
      <c r="GS644" s="27" t="s">
        <v>8</v>
      </c>
      <c r="GV644" s="27" t="s">
        <v>7</v>
      </c>
      <c r="GW644" s="27" t="s">
        <v>8</v>
      </c>
      <c r="GX644" s="27" t="s">
        <v>7</v>
      </c>
      <c r="GY644" s="27" t="s">
        <v>8</v>
      </c>
      <c r="GZ644" s="27" t="s">
        <v>7</v>
      </c>
      <c r="HG644" s="27" t="s">
        <v>8</v>
      </c>
      <c r="HH644" s="27" t="s">
        <v>7</v>
      </c>
      <c r="HM644" s="27" t="s">
        <v>8</v>
      </c>
      <c r="HN644" s="27" t="s">
        <v>7</v>
      </c>
      <c r="HO644" s="27" t="s">
        <v>8</v>
      </c>
      <c r="HV644" s="27" t="s">
        <v>7</v>
      </c>
      <c r="HW644" s="27" t="s">
        <v>8</v>
      </c>
      <c r="HZ644" s="27" t="s">
        <v>7</v>
      </c>
      <c r="IA644" s="27" t="s">
        <v>8</v>
      </c>
      <c r="IB644" s="27" t="s">
        <v>7</v>
      </c>
      <c r="IC644" s="27" t="s">
        <v>8</v>
      </c>
      <c r="ID644" s="27" t="s">
        <v>7</v>
      </c>
    </row>
    <row r="645" spans="1:238" x14ac:dyDescent="0.25">
      <c r="A645" s="7">
        <v>0.31709547002401678</v>
      </c>
      <c r="B645"/>
      <c r="C645"/>
      <c r="D645"/>
      <c r="E645"/>
      <c r="F645" s="27" t="s">
        <v>7</v>
      </c>
      <c r="FG645" s="27" t="s">
        <v>8</v>
      </c>
      <c r="FH645" s="27" t="s">
        <v>7</v>
      </c>
      <c r="GQ645" s="27" t="s">
        <v>8</v>
      </c>
      <c r="GR645" s="27" t="s">
        <v>7</v>
      </c>
      <c r="GS645" s="27" t="s">
        <v>8</v>
      </c>
      <c r="GV645" s="27" t="s">
        <v>7</v>
      </c>
      <c r="GW645" s="27" t="s">
        <v>8</v>
      </c>
      <c r="GX645" s="27" t="s">
        <v>7</v>
      </c>
      <c r="GY645" s="27" t="s">
        <v>8</v>
      </c>
      <c r="GZ645" s="27" t="s">
        <v>7</v>
      </c>
      <c r="HG645" s="27" t="s">
        <v>8</v>
      </c>
      <c r="HH645" s="27" t="s">
        <v>7</v>
      </c>
      <c r="HM645" s="27" t="s">
        <v>8</v>
      </c>
      <c r="HN645" s="27" t="s">
        <v>7</v>
      </c>
      <c r="HO645" s="27" t="s">
        <v>8</v>
      </c>
      <c r="HV645" s="27" t="s">
        <v>7</v>
      </c>
      <c r="HW645" s="27" t="s">
        <v>8</v>
      </c>
      <c r="HZ645" s="27" t="s">
        <v>7</v>
      </c>
      <c r="IA645" s="27" t="s">
        <v>8</v>
      </c>
      <c r="IB645" s="27" t="s">
        <v>7</v>
      </c>
      <c r="IC645" s="27" t="s">
        <v>8</v>
      </c>
      <c r="ID645" s="27" t="s">
        <v>7</v>
      </c>
    </row>
    <row r="646" spans="1:238" x14ac:dyDescent="0.25">
      <c r="A646" s="7">
        <v>0.31087791178825175</v>
      </c>
      <c r="B646"/>
      <c r="C646"/>
      <c r="D646"/>
      <c r="E646"/>
      <c r="F646" s="27" t="s">
        <v>7</v>
      </c>
      <c r="FG646" s="27" t="s">
        <v>8</v>
      </c>
      <c r="FH646" s="27" t="s">
        <v>7</v>
      </c>
      <c r="GQ646" s="27" t="s">
        <v>8</v>
      </c>
      <c r="GR646" s="27" t="s">
        <v>7</v>
      </c>
      <c r="GS646" s="27" t="s">
        <v>8</v>
      </c>
      <c r="GV646" s="27" t="s">
        <v>7</v>
      </c>
      <c r="GW646" s="27" t="s">
        <v>8</v>
      </c>
      <c r="GX646" s="27" t="s">
        <v>7</v>
      </c>
      <c r="GY646" s="27" t="s">
        <v>8</v>
      </c>
      <c r="GZ646" s="27" t="s">
        <v>7</v>
      </c>
      <c r="HG646" s="27" t="s">
        <v>8</v>
      </c>
      <c r="HH646" s="27" t="s">
        <v>7</v>
      </c>
      <c r="HM646" s="27" t="s">
        <v>8</v>
      </c>
      <c r="HN646" s="27" t="s">
        <v>7</v>
      </c>
      <c r="HO646" s="27" t="s">
        <v>8</v>
      </c>
      <c r="HV646" s="27" t="s">
        <v>7</v>
      </c>
      <c r="HW646" s="27" t="s">
        <v>8</v>
      </c>
      <c r="HZ646" s="27" t="s">
        <v>7</v>
      </c>
      <c r="IA646" s="27" t="s">
        <v>8</v>
      </c>
      <c r="IB646" s="27" t="s">
        <v>7</v>
      </c>
      <c r="IC646" s="27" t="s">
        <v>8</v>
      </c>
      <c r="ID646" s="27" t="s">
        <v>7</v>
      </c>
    </row>
    <row r="647" spans="1:238" x14ac:dyDescent="0.25">
      <c r="A647" s="7">
        <v>0.30478226645907036</v>
      </c>
      <c r="B647"/>
      <c r="C647"/>
      <c r="D647"/>
      <c r="E647"/>
      <c r="F647" s="27" t="s">
        <v>7</v>
      </c>
      <c r="FG647" s="27" t="s">
        <v>8</v>
      </c>
      <c r="FH647" s="27" t="s">
        <v>7</v>
      </c>
      <c r="GQ647" s="27" t="s">
        <v>8</v>
      </c>
      <c r="GR647" s="27" t="s">
        <v>7</v>
      </c>
      <c r="GS647" s="27" t="s">
        <v>8</v>
      </c>
      <c r="GV647" s="27" t="s">
        <v>7</v>
      </c>
      <c r="GW647" s="27" t="s">
        <v>8</v>
      </c>
      <c r="GX647" s="27" t="s">
        <v>7</v>
      </c>
      <c r="GZ647" s="27" t="s">
        <v>7</v>
      </c>
      <c r="HG647" s="27" t="s">
        <v>8</v>
      </c>
      <c r="HH647" s="27" t="s">
        <v>7</v>
      </c>
      <c r="HM647" s="27" t="s">
        <v>8</v>
      </c>
      <c r="HN647" s="27" t="s">
        <v>7</v>
      </c>
      <c r="HV647" s="27" t="s">
        <v>7</v>
      </c>
      <c r="HZ647" s="27" t="s">
        <v>7</v>
      </c>
      <c r="IA647" s="27" t="s">
        <v>8</v>
      </c>
      <c r="IB647" s="27" t="s">
        <v>7</v>
      </c>
      <c r="IC647" s="27" t="s">
        <v>8</v>
      </c>
      <c r="ID647" s="27" t="s">
        <v>7</v>
      </c>
    </row>
    <row r="648" spans="1:238" x14ac:dyDescent="0.25">
      <c r="A648" s="7">
        <v>0.29880614358732388</v>
      </c>
      <c r="B648"/>
      <c r="C648"/>
      <c r="D648"/>
      <c r="E648"/>
      <c r="F648" s="27" t="s">
        <v>7</v>
      </c>
      <c r="FG648" s="27" t="s">
        <v>8</v>
      </c>
      <c r="FH648" s="27" t="s">
        <v>7</v>
      </c>
      <c r="FI648" s="27" t="s">
        <v>8</v>
      </c>
      <c r="GQ648" s="27" t="s">
        <v>8</v>
      </c>
      <c r="GR648" s="27" t="s">
        <v>7</v>
      </c>
      <c r="GS648" s="27" t="s">
        <v>8</v>
      </c>
      <c r="GV648" s="27" t="s">
        <v>7</v>
      </c>
      <c r="GZ648" s="27" t="s">
        <v>7</v>
      </c>
      <c r="HG648" s="27" t="s">
        <v>8</v>
      </c>
      <c r="HH648" s="27" t="s">
        <v>7</v>
      </c>
      <c r="HM648" s="27" t="s">
        <v>8</v>
      </c>
      <c r="HZ648" s="27" t="s">
        <v>7</v>
      </c>
      <c r="IA648" s="27" t="s">
        <v>8</v>
      </c>
      <c r="IB648" s="27" t="s">
        <v>7</v>
      </c>
      <c r="IC648" s="27" t="s">
        <v>8</v>
      </c>
    </row>
    <row r="649" spans="1:238" x14ac:dyDescent="0.25">
      <c r="A649" s="7">
        <v>0.2929471995954156</v>
      </c>
      <c r="B649"/>
      <c r="C649"/>
      <c r="D649"/>
      <c r="E649"/>
      <c r="F649" s="27" t="s">
        <v>7</v>
      </c>
      <c r="FG649" s="27" t="s">
        <v>8</v>
      </c>
      <c r="FH649" s="27" t="s">
        <v>7</v>
      </c>
      <c r="FI649" s="27" t="s">
        <v>8</v>
      </c>
      <c r="FJ649" s="27" t="s">
        <v>7</v>
      </c>
      <c r="GQ649" s="27" t="s">
        <v>8</v>
      </c>
      <c r="GR649" s="27" t="s">
        <v>7</v>
      </c>
      <c r="GS649" s="27" t="s">
        <v>8</v>
      </c>
      <c r="GZ649" s="27" t="s">
        <v>7</v>
      </c>
      <c r="HG649" s="27" t="s">
        <v>8</v>
      </c>
      <c r="HH649" s="27" t="s">
        <v>7</v>
      </c>
      <c r="HM649" s="27" t="s">
        <v>8</v>
      </c>
      <c r="HZ649" s="27" t="s">
        <v>7</v>
      </c>
      <c r="IA649" s="27" t="s">
        <v>8</v>
      </c>
      <c r="IB649" s="27" t="s">
        <v>7</v>
      </c>
    </row>
    <row r="650" spans="1:238" x14ac:dyDescent="0.25">
      <c r="A650" s="7">
        <v>0.28720313685825055</v>
      </c>
      <c r="B650"/>
      <c r="C650"/>
      <c r="D650"/>
      <c r="E650"/>
      <c r="F650" s="27" t="s">
        <v>7</v>
      </c>
      <c r="FG650" s="27" t="s">
        <v>8</v>
      </c>
      <c r="FH650" s="27" t="s">
        <v>7</v>
      </c>
      <c r="FI650" s="27" t="s">
        <v>8</v>
      </c>
      <c r="FJ650" s="27" t="s">
        <v>7</v>
      </c>
      <c r="FK650" s="27" t="s">
        <v>8</v>
      </c>
      <c r="GQ650" s="27" t="s">
        <v>8</v>
      </c>
      <c r="GR650" s="27" t="s">
        <v>7</v>
      </c>
      <c r="GS650" s="27" t="s">
        <v>8</v>
      </c>
      <c r="GZ650" s="27" t="s">
        <v>7</v>
      </c>
      <c r="HG650" s="27" t="s">
        <v>8</v>
      </c>
      <c r="HH650" s="27" t="s">
        <v>7</v>
      </c>
      <c r="HM650" s="27" t="s">
        <v>8</v>
      </c>
      <c r="HZ650" s="27" t="s">
        <v>7</v>
      </c>
      <c r="IA650" s="27" t="s">
        <v>8</v>
      </c>
    </row>
    <row r="651" spans="1:238" x14ac:dyDescent="0.25">
      <c r="A651" s="7">
        <v>0.28157170280220645</v>
      </c>
      <c r="B651"/>
      <c r="C651"/>
      <c r="D651"/>
      <c r="E651"/>
      <c r="F651" s="27" t="s">
        <v>7</v>
      </c>
      <c r="FG651" s="27" t="s">
        <v>8</v>
      </c>
      <c r="FH651" s="27" t="s">
        <v>7</v>
      </c>
      <c r="FI651" s="27" t="s">
        <v>8</v>
      </c>
      <c r="FJ651" s="27" t="s">
        <v>7</v>
      </c>
      <c r="FK651" s="27" t="s">
        <v>8</v>
      </c>
      <c r="FL651" s="27" t="s">
        <v>7</v>
      </c>
      <c r="GQ651" s="27" t="s">
        <v>8</v>
      </c>
      <c r="GR651" s="27" t="s">
        <v>7</v>
      </c>
      <c r="GS651" s="27" t="s">
        <v>8</v>
      </c>
      <c r="GZ651" s="27" t="s">
        <v>7</v>
      </c>
      <c r="HG651" s="27" t="s">
        <v>8</v>
      </c>
      <c r="HH651" s="27" t="s">
        <v>7</v>
      </c>
      <c r="HI651" s="27" t="s">
        <v>8</v>
      </c>
      <c r="HM651" s="27" t="s">
        <v>8</v>
      </c>
      <c r="HZ651" s="27" t="s">
        <v>7</v>
      </c>
    </row>
    <row r="652" spans="1:238" x14ac:dyDescent="0.25">
      <c r="A652" s="7">
        <v>0.27605068902177105</v>
      </c>
      <c r="B652"/>
      <c r="C652"/>
      <c r="D652"/>
      <c r="E652"/>
      <c r="F652" s="27" t="s">
        <v>7</v>
      </c>
      <c r="FG652" s="27" t="s">
        <v>8</v>
      </c>
      <c r="FH652" s="27" t="s">
        <v>7</v>
      </c>
      <c r="FI652" s="27" t="s">
        <v>8</v>
      </c>
      <c r="FJ652" s="27" t="s">
        <v>7</v>
      </c>
      <c r="FK652" s="27" t="s">
        <v>8</v>
      </c>
      <c r="FL652" s="27" t="s">
        <v>7</v>
      </c>
      <c r="GQ652" s="27" t="s">
        <v>8</v>
      </c>
      <c r="GR652" s="27" t="s">
        <v>7</v>
      </c>
      <c r="GS652" s="27" t="s">
        <v>8</v>
      </c>
      <c r="GZ652" s="27" t="s">
        <v>7</v>
      </c>
      <c r="HA652" s="27" t="s">
        <v>8</v>
      </c>
      <c r="HC652" s="27" t="s">
        <v>8</v>
      </c>
      <c r="HG652" s="27" t="s">
        <v>8</v>
      </c>
      <c r="HH652" s="27" t="s">
        <v>7</v>
      </c>
      <c r="HI652" s="27" t="s">
        <v>8</v>
      </c>
      <c r="HJ652" s="27" t="s">
        <v>7</v>
      </c>
      <c r="HK652" s="27" t="s">
        <v>8</v>
      </c>
      <c r="HM652" s="27" t="s">
        <v>8</v>
      </c>
    </row>
    <row r="653" spans="1:238" x14ac:dyDescent="0.25">
      <c r="A653" s="7">
        <v>0.27063793041350104</v>
      </c>
      <c r="B653"/>
      <c r="C653"/>
      <c r="D653"/>
      <c r="E653"/>
      <c r="F653" s="27" t="s">
        <v>7</v>
      </c>
      <c r="FG653" s="27" t="s">
        <v>8</v>
      </c>
      <c r="FH653" s="27" t="s">
        <v>7</v>
      </c>
      <c r="FI653" s="27" t="s">
        <v>8</v>
      </c>
      <c r="FJ653" s="27" t="s">
        <v>7</v>
      </c>
      <c r="FK653" s="27" t="s">
        <v>8</v>
      </c>
      <c r="FL653" s="27" t="s">
        <v>7</v>
      </c>
      <c r="GO653" s="27" t="s">
        <v>8</v>
      </c>
      <c r="GQ653" s="27" t="s">
        <v>8</v>
      </c>
      <c r="GR653" s="27" t="s">
        <v>7</v>
      </c>
      <c r="GS653" s="27" t="s">
        <v>8</v>
      </c>
      <c r="GZ653" s="27" t="s">
        <v>7</v>
      </c>
      <c r="HA653" s="27" t="s">
        <v>8</v>
      </c>
      <c r="HB653" s="27" t="s">
        <v>7</v>
      </c>
      <c r="HC653" s="27" t="s">
        <v>8</v>
      </c>
      <c r="HD653" s="27" t="s">
        <v>7</v>
      </c>
      <c r="HG653" s="27" t="s">
        <v>8</v>
      </c>
      <c r="HH653" s="27" t="s">
        <v>7</v>
      </c>
      <c r="HI653" s="27" t="s">
        <v>8</v>
      </c>
      <c r="HJ653" s="27" t="s">
        <v>7</v>
      </c>
      <c r="HK653" s="27" t="s">
        <v>8</v>
      </c>
      <c r="HL653" s="27" t="s">
        <v>7</v>
      </c>
      <c r="HM653" s="27" t="s">
        <v>8</v>
      </c>
    </row>
    <row r="654" spans="1:238" x14ac:dyDescent="0.25">
      <c r="A654" s="7">
        <v>0.26533130432696184</v>
      </c>
      <c r="B654"/>
      <c r="C654"/>
      <c r="D654"/>
      <c r="E654"/>
      <c r="F654" s="27" t="s">
        <v>7</v>
      </c>
      <c r="FG654" s="27" t="s">
        <v>8</v>
      </c>
      <c r="FH654" s="27" t="s">
        <v>7</v>
      </c>
      <c r="FI654" s="27" t="s">
        <v>8</v>
      </c>
      <c r="FJ654" s="27" t="s">
        <v>7</v>
      </c>
      <c r="FK654" s="27" t="s">
        <v>8</v>
      </c>
      <c r="FL654" s="27" t="s">
        <v>7</v>
      </c>
      <c r="GO654" s="27" t="s">
        <v>8</v>
      </c>
      <c r="GP654" s="27" t="s">
        <v>7</v>
      </c>
      <c r="GQ654" s="27" t="s">
        <v>8</v>
      </c>
      <c r="GR654" s="27" t="s">
        <v>7</v>
      </c>
      <c r="GS654" s="27" t="s">
        <v>8</v>
      </c>
      <c r="GZ654" s="27" t="s">
        <v>7</v>
      </c>
      <c r="HA654" s="27" t="s">
        <v>8</v>
      </c>
      <c r="HB654" s="27" t="s">
        <v>7</v>
      </c>
      <c r="HC654" s="27" t="s">
        <v>8</v>
      </c>
      <c r="HD654" s="27" t="s">
        <v>7</v>
      </c>
      <c r="HE654" s="27" t="s">
        <v>8</v>
      </c>
      <c r="HG654" s="27" t="s">
        <v>8</v>
      </c>
      <c r="HH654" s="27" t="s">
        <v>7</v>
      </c>
      <c r="HI654" s="27" t="s">
        <v>8</v>
      </c>
      <c r="HJ654" s="27" t="s">
        <v>7</v>
      </c>
      <c r="HK654" s="27" t="s">
        <v>8</v>
      </c>
      <c r="HL654" s="27" t="s">
        <v>7</v>
      </c>
      <c r="HM654" s="27" t="s">
        <v>8</v>
      </c>
    </row>
    <row r="655" spans="1:238" x14ac:dyDescent="0.25">
      <c r="A655" s="7">
        <v>0.26012872973231554</v>
      </c>
      <c r="B655"/>
      <c r="C655"/>
      <c r="D655"/>
      <c r="E655"/>
      <c r="F655" s="27" t="s">
        <v>7</v>
      </c>
      <c r="FG655" s="27" t="s">
        <v>8</v>
      </c>
      <c r="FH655" s="27" t="s">
        <v>7</v>
      </c>
      <c r="FI655" s="27" t="s">
        <v>8</v>
      </c>
      <c r="FJ655" s="27" t="s">
        <v>7</v>
      </c>
      <c r="FK655" s="27" t="s">
        <v>8</v>
      </c>
      <c r="FL655" s="27" t="s">
        <v>7</v>
      </c>
      <c r="GO655" s="27" t="s">
        <v>8</v>
      </c>
      <c r="GP655" s="27" t="s">
        <v>7</v>
      </c>
      <c r="GQ655" s="27" t="s">
        <v>8</v>
      </c>
      <c r="GR655" s="27" t="s">
        <v>7</v>
      </c>
      <c r="GS655" s="27" t="s">
        <v>8</v>
      </c>
      <c r="GZ655" s="27" t="s">
        <v>7</v>
      </c>
      <c r="HA655" s="27" t="s">
        <v>8</v>
      </c>
      <c r="HB655" s="27" t="s">
        <v>7</v>
      </c>
      <c r="HC655" s="27" t="s">
        <v>8</v>
      </c>
      <c r="HD655" s="27" t="s">
        <v>7</v>
      </c>
      <c r="HE655" s="27" t="s">
        <v>8</v>
      </c>
      <c r="HF655" s="27" t="s">
        <v>7</v>
      </c>
      <c r="HG655" s="27" t="s">
        <v>8</v>
      </c>
      <c r="HH655" s="27" t="s">
        <v>7</v>
      </c>
      <c r="HI655" s="27" t="s">
        <v>8</v>
      </c>
      <c r="HJ655" s="27" t="s">
        <v>7</v>
      </c>
      <c r="HK655" s="27" t="s">
        <v>8</v>
      </c>
      <c r="HL655" s="27" t="s">
        <v>7</v>
      </c>
      <c r="HM655" s="27" t="s">
        <v>8</v>
      </c>
    </row>
    <row r="656" spans="1:238" x14ac:dyDescent="0.25">
      <c r="A656" s="7">
        <v>0.25502816640423093</v>
      </c>
      <c r="B656"/>
      <c r="C656"/>
      <c r="D656"/>
      <c r="E656"/>
      <c r="F656" s="27" t="s">
        <v>7</v>
      </c>
      <c r="FG656" s="27" t="s">
        <v>8</v>
      </c>
      <c r="FH656" s="27" t="s">
        <v>7</v>
      </c>
      <c r="FI656" s="27" t="s">
        <v>8</v>
      </c>
      <c r="FJ656" s="27" t="s">
        <v>7</v>
      </c>
      <c r="FK656" s="27" t="s">
        <v>8</v>
      </c>
      <c r="FL656" s="27" t="s">
        <v>7</v>
      </c>
      <c r="FM656" s="27" t="s">
        <v>8</v>
      </c>
      <c r="GO656" s="27" t="s">
        <v>8</v>
      </c>
      <c r="GP656" s="27" t="s">
        <v>7</v>
      </c>
      <c r="GQ656" s="27" t="s">
        <v>8</v>
      </c>
      <c r="GR656" s="27" t="s">
        <v>7</v>
      </c>
      <c r="GS656" s="27" t="s">
        <v>8</v>
      </c>
      <c r="GZ656" s="27" t="s">
        <v>7</v>
      </c>
      <c r="HA656" s="27" t="s">
        <v>8</v>
      </c>
      <c r="HB656" s="27" t="s">
        <v>7</v>
      </c>
      <c r="HC656" s="27" t="s">
        <v>8</v>
      </c>
      <c r="HD656" s="27" t="s">
        <v>7</v>
      </c>
      <c r="HE656" s="27" t="s">
        <v>8</v>
      </c>
      <c r="HF656" s="27" t="s">
        <v>7</v>
      </c>
      <c r="HG656" s="27" t="s">
        <v>8</v>
      </c>
      <c r="HH656" s="27" t="s">
        <v>7</v>
      </c>
      <c r="HI656" s="27" t="s">
        <v>8</v>
      </c>
      <c r="HJ656" s="27" t="s">
        <v>7</v>
      </c>
      <c r="HK656" s="27" t="s">
        <v>8</v>
      </c>
      <c r="HL656" s="27" t="s">
        <v>7</v>
      </c>
      <c r="HM656" s="27" t="s">
        <v>8</v>
      </c>
    </row>
    <row r="657" spans="1:221" x14ac:dyDescent="0.25">
      <c r="A657" s="7">
        <v>0.25002761412179503</v>
      </c>
      <c r="B657"/>
      <c r="C657"/>
      <c r="D657"/>
      <c r="E657"/>
      <c r="F657" s="27" t="s">
        <v>7</v>
      </c>
      <c r="FG657" s="27" t="s">
        <v>8</v>
      </c>
      <c r="FH657" s="27" t="s">
        <v>7</v>
      </c>
      <c r="FI657" s="27" t="s">
        <v>8</v>
      </c>
      <c r="FJ657" s="27" t="s">
        <v>7</v>
      </c>
      <c r="FK657" s="27" t="s">
        <v>8</v>
      </c>
      <c r="FL657" s="27" t="s">
        <v>7</v>
      </c>
      <c r="FM657" s="27" t="s">
        <v>8</v>
      </c>
      <c r="FN657" s="27" t="s">
        <v>7</v>
      </c>
      <c r="GO657" s="27" t="s">
        <v>8</v>
      </c>
      <c r="GP657" s="27" t="s">
        <v>7</v>
      </c>
      <c r="GQ657" s="27" t="s">
        <v>8</v>
      </c>
      <c r="GR657" s="27" t="s">
        <v>7</v>
      </c>
      <c r="GS657" s="27" t="s">
        <v>8</v>
      </c>
      <c r="GZ657" s="27" t="s">
        <v>7</v>
      </c>
      <c r="HA657" s="27" t="s">
        <v>8</v>
      </c>
      <c r="HB657" s="27" t="s">
        <v>7</v>
      </c>
      <c r="HC657" s="27" t="s">
        <v>8</v>
      </c>
      <c r="HD657" s="27" t="s">
        <v>7</v>
      </c>
      <c r="HE657" s="27" t="s">
        <v>8</v>
      </c>
      <c r="HF657" s="27" t="s">
        <v>7</v>
      </c>
      <c r="HG657" s="27" t="s">
        <v>8</v>
      </c>
      <c r="HH657" s="27" t="s">
        <v>7</v>
      </c>
      <c r="HJ657" s="27" t="s">
        <v>7</v>
      </c>
      <c r="HK657" s="27" t="s">
        <v>8</v>
      </c>
      <c r="HL657" s="27" t="s">
        <v>7</v>
      </c>
      <c r="HM657" s="27" t="s">
        <v>8</v>
      </c>
    </row>
    <row r="658" spans="1:221" x14ac:dyDescent="0.25">
      <c r="A658" s="7">
        <v>0.24512511188411276</v>
      </c>
      <c r="B658"/>
      <c r="C658"/>
      <c r="D658"/>
      <c r="E658"/>
      <c r="F658" s="27" t="s">
        <v>7</v>
      </c>
      <c r="BO658" s="27" t="s">
        <v>8</v>
      </c>
      <c r="FG658" s="27" t="s">
        <v>8</v>
      </c>
      <c r="FH658" s="27" t="s">
        <v>7</v>
      </c>
      <c r="FI658" s="27" t="s">
        <v>8</v>
      </c>
      <c r="FJ658" s="27" t="s">
        <v>7</v>
      </c>
      <c r="FK658" s="27" t="s">
        <v>8</v>
      </c>
      <c r="FL658" s="27" t="s">
        <v>7</v>
      </c>
      <c r="FM658" s="27" t="s">
        <v>8</v>
      </c>
      <c r="FN658" s="27" t="s">
        <v>7</v>
      </c>
      <c r="GO658" s="27" t="s">
        <v>8</v>
      </c>
      <c r="GP658" s="27" t="s">
        <v>7</v>
      </c>
      <c r="GQ658" s="27" t="s">
        <v>8</v>
      </c>
      <c r="GR658" s="27" t="s">
        <v>7</v>
      </c>
      <c r="GS658" s="27" t="s">
        <v>8</v>
      </c>
      <c r="GZ658" s="27" t="s">
        <v>7</v>
      </c>
      <c r="HA658" s="27" t="s">
        <v>8</v>
      </c>
      <c r="HB658" s="27" t="s">
        <v>7</v>
      </c>
      <c r="HC658" s="27" t="s">
        <v>8</v>
      </c>
      <c r="HD658" s="27" t="s">
        <v>7</v>
      </c>
      <c r="HE658" s="27" t="s">
        <v>8</v>
      </c>
      <c r="HF658" s="27" t="s">
        <v>7</v>
      </c>
      <c r="HG658" s="27" t="s">
        <v>8</v>
      </c>
      <c r="HJ658" s="27" t="s">
        <v>7</v>
      </c>
      <c r="HL658" s="27" t="s">
        <v>7</v>
      </c>
      <c r="HM658" s="27" t="s">
        <v>8</v>
      </c>
    </row>
    <row r="659" spans="1:221" x14ac:dyDescent="0.25">
      <c r="A659" s="7">
        <v>0.24031873714128701</v>
      </c>
      <c r="B659"/>
      <c r="C659"/>
      <c r="D659"/>
      <c r="E659"/>
      <c r="F659" s="27" t="s">
        <v>7</v>
      </c>
      <c r="BO659" s="27" t="s">
        <v>8</v>
      </c>
      <c r="BP659" s="27" t="s">
        <v>7</v>
      </c>
      <c r="FG659" s="27" t="s">
        <v>8</v>
      </c>
      <c r="FH659" s="27" t="s">
        <v>7</v>
      </c>
      <c r="FI659" s="27" t="s">
        <v>8</v>
      </c>
      <c r="FJ659" s="27" t="s">
        <v>7</v>
      </c>
      <c r="FK659" s="27" t="s">
        <v>8</v>
      </c>
      <c r="FL659" s="27" t="s">
        <v>7</v>
      </c>
      <c r="FM659" s="27" t="s">
        <v>8</v>
      </c>
      <c r="FN659" s="27" t="s">
        <v>7</v>
      </c>
      <c r="GO659" s="27" t="s">
        <v>8</v>
      </c>
      <c r="GP659" s="27" t="s">
        <v>7</v>
      </c>
      <c r="GQ659" s="27" t="s">
        <v>8</v>
      </c>
      <c r="GR659" s="27" t="s">
        <v>7</v>
      </c>
      <c r="GS659" s="27" t="s">
        <v>8</v>
      </c>
      <c r="GZ659" s="27" t="s">
        <v>7</v>
      </c>
      <c r="HA659" s="27" t="s">
        <v>8</v>
      </c>
      <c r="HB659" s="27" t="s">
        <v>7</v>
      </c>
      <c r="HC659" s="27" t="s">
        <v>8</v>
      </c>
      <c r="HD659" s="27" t="s">
        <v>7</v>
      </c>
      <c r="HE659" s="27" t="s">
        <v>8</v>
      </c>
      <c r="HF659" s="27" t="s">
        <v>7</v>
      </c>
      <c r="HG659" s="27" t="s">
        <v>8</v>
      </c>
      <c r="HL659" s="27" t="s">
        <v>7</v>
      </c>
    </row>
    <row r="660" spans="1:221" x14ac:dyDescent="0.25">
      <c r="A660" s="7">
        <v>0.23560660504047748</v>
      </c>
      <c r="B660"/>
      <c r="C660"/>
      <c r="D660"/>
      <c r="E660"/>
      <c r="F660" s="27" t="s">
        <v>7</v>
      </c>
      <c r="BO660" s="27" t="s">
        <v>8</v>
      </c>
      <c r="BP660" s="27" t="s">
        <v>7</v>
      </c>
      <c r="FG660" s="27" t="s">
        <v>8</v>
      </c>
      <c r="FH660" s="27" t="s">
        <v>7</v>
      </c>
      <c r="FI660" s="27" t="s">
        <v>8</v>
      </c>
      <c r="FJ660" s="27" t="s">
        <v>7</v>
      </c>
      <c r="FK660" s="27" t="s">
        <v>8</v>
      </c>
      <c r="FL660" s="27" t="s">
        <v>7</v>
      </c>
      <c r="FM660" s="27" t="s">
        <v>8</v>
      </c>
      <c r="FN660" s="27" t="s">
        <v>7</v>
      </c>
      <c r="FW660" s="27" t="s">
        <v>8</v>
      </c>
      <c r="GO660" s="27" t="s">
        <v>8</v>
      </c>
      <c r="GP660" s="27" t="s">
        <v>7</v>
      </c>
      <c r="GQ660" s="27" t="s">
        <v>8</v>
      </c>
      <c r="GR660" s="27" t="s">
        <v>7</v>
      </c>
      <c r="GZ660" s="27" t="s">
        <v>7</v>
      </c>
      <c r="HA660" s="27" t="s">
        <v>8</v>
      </c>
      <c r="HB660" s="27" t="s">
        <v>7</v>
      </c>
      <c r="HC660" s="27" t="s">
        <v>8</v>
      </c>
      <c r="HD660" s="27" t="s">
        <v>7</v>
      </c>
      <c r="HF660" s="27" t="s">
        <v>7</v>
      </c>
      <c r="HG660" s="27" t="s">
        <v>8</v>
      </c>
    </row>
    <row r="661" spans="1:221" x14ac:dyDescent="0.25">
      <c r="A661" s="7">
        <v>0.23098686768674265</v>
      </c>
      <c r="B661"/>
      <c r="C661"/>
      <c r="D661"/>
      <c r="E661"/>
      <c r="F661" s="27" t="s">
        <v>7</v>
      </c>
      <c r="BO661" s="27" t="s">
        <v>8</v>
      </c>
      <c r="BP661" s="27" t="s">
        <v>7</v>
      </c>
      <c r="CA661" s="27" t="s">
        <v>8</v>
      </c>
      <c r="FG661" s="27" t="s">
        <v>8</v>
      </c>
      <c r="FH661" s="27" t="s">
        <v>7</v>
      </c>
      <c r="FI661" s="27" t="s">
        <v>8</v>
      </c>
      <c r="FJ661" s="27" t="s">
        <v>7</v>
      </c>
      <c r="FK661" s="27" t="s">
        <v>8</v>
      </c>
      <c r="FL661" s="27" t="s">
        <v>7</v>
      </c>
      <c r="FN661" s="27" t="s">
        <v>7</v>
      </c>
      <c r="FW661" s="27" t="s">
        <v>8</v>
      </c>
      <c r="FX661" s="27" t="s">
        <v>7</v>
      </c>
      <c r="FY661" s="27" t="s">
        <v>8</v>
      </c>
      <c r="GK661" s="27" t="s">
        <v>8</v>
      </c>
      <c r="GO661" s="27" t="s">
        <v>8</v>
      </c>
      <c r="GP661" s="27" t="s">
        <v>7</v>
      </c>
      <c r="GQ661" s="27" t="s">
        <v>8</v>
      </c>
      <c r="GZ661" s="27" t="s">
        <v>7</v>
      </c>
      <c r="HB661" s="27" t="s">
        <v>7</v>
      </c>
      <c r="HC661" s="27" t="s">
        <v>8</v>
      </c>
      <c r="HF661" s="27" t="s">
        <v>7</v>
      </c>
    </row>
    <row r="662" spans="1:221" x14ac:dyDescent="0.25">
      <c r="A662" s="7">
        <v>0.22645771341837515</v>
      </c>
      <c r="B662"/>
      <c r="C662"/>
      <c r="D662"/>
      <c r="E662"/>
      <c r="F662" s="27" t="s">
        <v>7</v>
      </c>
      <c r="BO662" s="27" t="s">
        <v>8</v>
      </c>
      <c r="BP662" s="27" t="s">
        <v>7</v>
      </c>
      <c r="CA662" s="27" t="s">
        <v>8</v>
      </c>
      <c r="CB662" s="27" t="s">
        <v>7</v>
      </c>
      <c r="FG662" s="27" t="s">
        <v>8</v>
      </c>
      <c r="FH662" s="27" t="s">
        <v>7</v>
      </c>
      <c r="FI662" s="27" t="s">
        <v>8</v>
      </c>
      <c r="FJ662" s="27" t="s">
        <v>7</v>
      </c>
      <c r="FN662" s="27" t="s">
        <v>7</v>
      </c>
      <c r="FU662" s="27" t="s">
        <v>8</v>
      </c>
      <c r="FW662" s="27" t="s">
        <v>8</v>
      </c>
      <c r="FX662" s="27" t="s">
        <v>7</v>
      </c>
      <c r="FY662" s="27" t="s">
        <v>8</v>
      </c>
      <c r="FZ662" s="27" t="s">
        <v>7</v>
      </c>
      <c r="GK662" s="27" t="s">
        <v>8</v>
      </c>
      <c r="GL662" s="27" t="s">
        <v>7</v>
      </c>
      <c r="GM662" s="27" t="s">
        <v>8</v>
      </c>
      <c r="GO662" s="27" t="s">
        <v>8</v>
      </c>
      <c r="GP662" s="27" t="s">
        <v>7</v>
      </c>
      <c r="GQ662" s="27" t="s">
        <v>8</v>
      </c>
      <c r="HB662" s="27" t="s">
        <v>7</v>
      </c>
      <c r="HC662" s="27" t="s">
        <v>8</v>
      </c>
    </row>
    <row r="663" spans="1:221" x14ac:dyDescent="0.25">
      <c r="A663" s="7">
        <v>0.22201736609644623</v>
      </c>
      <c r="B663"/>
      <c r="C663"/>
      <c r="D663"/>
      <c r="E663"/>
      <c r="F663" s="27" t="s">
        <v>7</v>
      </c>
      <c r="BO663" s="27" t="s">
        <v>8</v>
      </c>
      <c r="BP663" s="27" t="s">
        <v>7</v>
      </c>
      <c r="CA663" s="27" t="s">
        <v>8</v>
      </c>
      <c r="CB663" s="27" t="s">
        <v>7</v>
      </c>
      <c r="FG663" s="27" t="s">
        <v>8</v>
      </c>
      <c r="FH663" s="27" t="s">
        <v>7</v>
      </c>
      <c r="FI663" s="27" t="s">
        <v>8</v>
      </c>
      <c r="FN663" s="27" t="s">
        <v>7</v>
      </c>
      <c r="FU663" s="27" t="s">
        <v>8</v>
      </c>
      <c r="FV663" s="27" t="s">
        <v>7</v>
      </c>
      <c r="FW663" s="27" t="s">
        <v>8</v>
      </c>
      <c r="FX663" s="27" t="s">
        <v>7</v>
      </c>
      <c r="FY663" s="27" t="s">
        <v>8</v>
      </c>
      <c r="FZ663" s="27" t="s">
        <v>7</v>
      </c>
      <c r="GK663" s="27" t="s">
        <v>8</v>
      </c>
      <c r="GL663" s="27" t="s">
        <v>7</v>
      </c>
      <c r="GM663" s="27" t="s">
        <v>8</v>
      </c>
      <c r="GN663" s="27" t="s">
        <v>7</v>
      </c>
      <c r="GO663" s="27" t="s">
        <v>8</v>
      </c>
      <c r="GP663" s="27" t="s">
        <v>7</v>
      </c>
      <c r="GQ663" s="27" t="s">
        <v>8</v>
      </c>
      <c r="HB663" s="27" t="s">
        <v>7</v>
      </c>
      <c r="HC663" s="27" t="s">
        <v>8</v>
      </c>
    </row>
    <row r="664" spans="1:221" x14ac:dyDescent="0.25">
      <c r="A664" s="7">
        <v>0.21766408440828061</v>
      </c>
      <c r="B664"/>
      <c r="C664"/>
      <c r="D664"/>
      <c r="E664"/>
      <c r="F664" s="27" t="s">
        <v>7</v>
      </c>
      <c r="BO664" s="27" t="s">
        <v>8</v>
      </c>
      <c r="BP664" s="27" t="s">
        <v>7</v>
      </c>
      <c r="BQ664" s="27" t="s">
        <v>8</v>
      </c>
      <c r="BU664" s="27" t="s">
        <v>8</v>
      </c>
      <c r="CA664" s="27" t="s">
        <v>8</v>
      </c>
      <c r="CB664" s="27" t="s">
        <v>7</v>
      </c>
      <c r="CI664" s="27" t="s">
        <v>8</v>
      </c>
      <c r="FG664" s="27" t="s">
        <v>8</v>
      </c>
      <c r="FH664" s="27" t="s">
        <v>7</v>
      </c>
      <c r="FI664" s="27" t="s">
        <v>8</v>
      </c>
      <c r="FN664" s="27" t="s">
        <v>7</v>
      </c>
      <c r="FU664" s="27" t="s">
        <v>8</v>
      </c>
      <c r="FV664" s="27" t="s">
        <v>7</v>
      </c>
      <c r="FW664" s="27" t="s">
        <v>8</v>
      </c>
      <c r="FX664" s="27" t="s">
        <v>7</v>
      </c>
      <c r="FY664" s="27" t="s">
        <v>8</v>
      </c>
      <c r="FZ664" s="27" t="s">
        <v>7</v>
      </c>
      <c r="GA664" s="27" t="s">
        <v>8</v>
      </c>
      <c r="GC664" s="27" t="s">
        <v>8</v>
      </c>
      <c r="GK664" s="27" t="s">
        <v>8</v>
      </c>
      <c r="GL664" s="27" t="s">
        <v>7</v>
      </c>
      <c r="GM664" s="27" t="s">
        <v>8</v>
      </c>
      <c r="GN664" s="27" t="s">
        <v>7</v>
      </c>
      <c r="GO664" s="27" t="s">
        <v>8</v>
      </c>
      <c r="GP664" s="27" t="s">
        <v>7</v>
      </c>
      <c r="GQ664" s="27" t="s">
        <v>8</v>
      </c>
      <c r="HB664" s="27" t="s">
        <v>7</v>
      </c>
      <c r="HC664" s="27" t="s">
        <v>8</v>
      </c>
    </row>
    <row r="665" spans="1:221" x14ac:dyDescent="0.25">
      <c r="A665" s="7">
        <v>0.21339616118458882</v>
      </c>
      <c r="B665"/>
      <c r="C665"/>
      <c r="D665"/>
      <c r="E665"/>
      <c r="F665" s="27" t="s">
        <v>7</v>
      </c>
      <c r="BO665" s="27" t="s">
        <v>8</v>
      </c>
      <c r="BP665" s="27" t="s">
        <v>7</v>
      </c>
      <c r="BQ665" s="27" t="s">
        <v>8</v>
      </c>
      <c r="BR665" s="27" t="s">
        <v>7</v>
      </c>
      <c r="BU665" s="27" t="s">
        <v>8</v>
      </c>
      <c r="BV665" s="27" t="s">
        <v>7</v>
      </c>
      <c r="CA665" s="27" t="s">
        <v>8</v>
      </c>
      <c r="CB665" s="27" t="s">
        <v>7</v>
      </c>
      <c r="CC665" s="27" t="s">
        <v>8</v>
      </c>
      <c r="CI665" s="27" t="s">
        <v>8</v>
      </c>
      <c r="CJ665" s="27" t="s">
        <v>7</v>
      </c>
      <c r="FG665" s="27" t="s">
        <v>8</v>
      </c>
      <c r="FH665" s="27" t="s">
        <v>7</v>
      </c>
      <c r="FN665" s="27" t="s">
        <v>7</v>
      </c>
      <c r="FU665" s="27" t="s">
        <v>8</v>
      </c>
      <c r="FV665" s="27" t="s">
        <v>7</v>
      </c>
      <c r="FW665" s="27" t="s">
        <v>8</v>
      </c>
      <c r="FX665" s="27" t="s">
        <v>7</v>
      </c>
      <c r="FY665" s="27" t="s">
        <v>8</v>
      </c>
      <c r="FZ665" s="27" t="s">
        <v>7</v>
      </c>
      <c r="GA665" s="27" t="s">
        <v>8</v>
      </c>
      <c r="GB665" s="27" t="s">
        <v>7</v>
      </c>
      <c r="GC665" s="27" t="s">
        <v>8</v>
      </c>
      <c r="GD665" s="27" t="s">
        <v>7</v>
      </c>
      <c r="GK665" s="27" t="s">
        <v>8</v>
      </c>
      <c r="GL665" s="27" t="s">
        <v>7</v>
      </c>
      <c r="GM665" s="27" t="s">
        <v>8</v>
      </c>
      <c r="GN665" s="27" t="s">
        <v>7</v>
      </c>
      <c r="GO665" s="27" t="s">
        <v>8</v>
      </c>
      <c r="GP665" s="27" t="s">
        <v>7</v>
      </c>
      <c r="GQ665" s="27" t="s">
        <v>8</v>
      </c>
      <c r="HB665" s="27" t="s">
        <v>7</v>
      </c>
      <c r="HC665" s="27" t="s">
        <v>8</v>
      </c>
    </row>
    <row r="666" spans="1:221" x14ac:dyDescent="0.25">
      <c r="A666" s="7">
        <v>0.20921192272998904</v>
      </c>
      <c r="B666"/>
      <c r="C666"/>
      <c r="D666"/>
      <c r="E666"/>
      <c r="F666" s="27" t="s">
        <v>7</v>
      </c>
      <c r="BO666" s="27" t="s">
        <v>8</v>
      </c>
      <c r="BP666" s="27" t="s">
        <v>7</v>
      </c>
      <c r="BQ666" s="27" t="s">
        <v>8</v>
      </c>
      <c r="BR666" s="27" t="s">
        <v>7</v>
      </c>
      <c r="BS666" s="27" t="s">
        <v>8</v>
      </c>
      <c r="BU666" s="27" t="s">
        <v>8</v>
      </c>
      <c r="BV666" s="27" t="s">
        <v>7</v>
      </c>
      <c r="CA666" s="27" t="s">
        <v>8</v>
      </c>
      <c r="CB666" s="27" t="s">
        <v>7</v>
      </c>
      <c r="CC666" s="27" t="s">
        <v>8</v>
      </c>
      <c r="CD666" s="27" t="s">
        <v>7</v>
      </c>
      <c r="CI666" s="27" t="s">
        <v>8</v>
      </c>
      <c r="CJ666" s="27" t="s">
        <v>7</v>
      </c>
      <c r="FG666" s="27" t="s">
        <v>8</v>
      </c>
      <c r="FN666" s="27" t="s">
        <v>7</v>
      </c>
      <c r="FU666" s="27" t="s">
        <v>8</v>
      </c>
      <c r="FV666" s="27" t="s">
        <v>7</v>
      </c>
      <c r="FW666" s="27" t="s">
        <v>8</v>
      </c>
      <c r="FX666" s="27" t="s">
        <v>7</v>
      </c>
      <c r="FY666" s="27" t="s">
        <v>8</v>
      </c>
      <c r="FZ666" s="27" t="s">
        <v>7</v>
      </c>
      <c r="GA666" s="27" t="s">
        <v>8</v>
      </c>
      <c r="GB666" s="27" t="s">
        <v>7</v>
      </c>
      <c r="GC666" s="27" t="s">
        <v>8</v>
      </c>
      <c r="GD666" s="27" t="s">
        <v>7</v>
      </c>
      <c r="GK666" s="27" t="s">
        <v>8</v>
      </c>
      <c r="GL666" s="27" t="s">
        <v>7</v>
      </c>
      <c r="GM666" s="27" t="s">
        <v>8</v>
      </c>
      <c r="GN666" s="27" t="s">
        <v>7</v>
      </c>
      <c r="GO666" s="27" t="s">
        <v>8</v>
      </c>
      <c r="GP666" s="27" t="s">
        <v>7</v>
      </c>
      <c r="GQ666" s="27" t="s">
        <v>8</v>
      </c>
      <c r="HB666" s="27" t="s">
        <v>7</v>
      </c>
      <c r="HC666" s="27" t="s">
        <v>8</v>
      </c>
    </row>
    <row r="667" spans="1:221" x14ac:dyDescent="0.25">
      <c r="A667" s="7">
        <v>0.20510972816665593</v>
      </c>
      <c r="B667"/>
      <c r="C667"/>
      <c r="D667"/>
      <c r="E667"/>
      <c r="F667" s="27" t="s">
        <v>7</v>
      </c>
      <c r="BO667" s="27" t="s">
        <v>8</v>
      </c>
      <c r="BP667" s="27" t="s">
        <v>7</v>
      </c>
      <c r="BQ667" s="27" t="s">
        <v>8</v>
      </c>
      <c r="BR667" s="27" t="s">
        <v>7</v>
      </c>
      <c r="BS667" s="27" t="s">
        <v>8</v>
      </c>
      <c r="BT667" s="27" t="s">
        <v>7</v>
      </c>
      <c r="BU667" s="27" t="s">
        <v>8</v>
      </c>
      <c r="BV667" s="27" t="s">
        <v>7</v>
      </c>
      <c r="CA667" s="27" t="s">
        <v>8</v>
      </c>
      <c r="CB667" s="27" t="s">
        <v>7</v>
      </c>
      <c r="CC667" s="27" t="s">
        <v>8</v>
      </c>
      <c r="CD667" s="27" t="s">
        <v>7</v>
      </c>
      <c r="CG667" s="27" t="s">
        <v>8</v>
      </c>
      <c r="CI667" s="27" t="s">
        <v>8</v>
      </c>
      <c r="CJ667" s="27" t="s">
        <v>7</v>
      </c>
      <c r="FG667" s="27" t="s">
        <v>8</v>
      </c>
      <c r="FN667" s="27" t="s">
        <v>7</v>
      </c>
      <c r="FU667" s="27" t="s">
        <v>8</v>
      </c>
      <c r="FV667" s="27" t="s">
        <v>7</v>
      </c>
      <c r="FW667" s="27" t="s">
        <v>8</v>
      </c>
      <c r="FX667" s="27" t="s">
        <v>7</v>
      </c>
      <c r="FY667" s="27" t="s">
        <v>8</v>
      </c>
      <c r="FZ667" s="27" t="s">
        <v>7</v>
      </c>
      <c r="GA667" s="27" t="s">
        <v>8</v>
      </c>
      <c r="GB667" s="27" t="s">
        <v>7</v>
      </c>
      <c r="GC667" s="27" t="s">
        <v>8</v>
      </c>
      <c r="GD667" s="27" t="s">
        <v>7</v>
      </c>
      <c r="GK667" s="27" t="s">
        <v>8</v>
      </c>
      <c r="GL667" s="27" t="s">
        <v>7</v>
      </c>
      <c r="GM667" s="27" t="s">
        <v>8</v>
      </c>
      <c r="GN667" s="27" t="s">
        <v>7</v>
      </c>
      <c r="GO667" s="27" t="s">
        <v>8</v>
      </c>
      <c r="GP667" s="27" t="s">
        <v>7</v>
      </c>
      <c r="GQ667" s="27" t="s">
        <v>8</v>
      </c>
      <c r="HB667" s="27" t="s">
        <v>7</v>
      </c>
    </row>
    <row r="668" spans="1:221" x14ac:dyDescent="0.25">
      <c r="A668" s="7">
        <v>0.20108796879083912</v>
      </c>
      <c r="B668"/>
      <c r="C668"/>
      <c r="D668"/>
      <c r="E668"/>
      <c r="F668" s="27" t="s">
        <v>7</v>
      </c>
      <c r="BO668" s="27" t="s">
        <v>8</v>
      </c>
      <c r="BP668" s="27" t="s">
        <v>7</v>
      </c>
      <c r="BQ668" s="27" t="s">
        <v>8</v>
      </c>
      <c r="BR668" s="27" t="s">
        <v>7</v>
      </c>
      <c r="BS668" s="27" t="s">
        <v>8</v>
      </c>
      <c r="BT668" s="27" t="s">
        <v>7</v>
      </c>
      <c r="BU668" s="27" t="s">
        <v>8</v>
      </c>
      <c r="BV668" s="27" t="s">
        <v>7</v>
      </c>
      <c r="CA668" s="27" t="s">
        <v>8</v>
      </c>
      <c r="CB668" s="27" t="s">
        <v>7</v>
      </c>
      <c r="CC668" s="27" t="s">
        <v>8</v>
      </c>
      <c r="CD668" s="27" t="s">
        <v>7</v>
      </c>
      <c r="CE668" s="27" t="s">
        <v>8</v>
      </c>
      <c r="CG668" s="27" t="s">
        <v>8</v>
      </c>
      <c r="CH668" s="27" t="s">
        <v>7</v>
      </c>
      <c r="CI668" s="27" t="s">
        <v>8</v>
      </c>
      <c r="CJ668" s="27" t="s">
        <v>7</v>
      </c>
      <c r="FG668" s="27" t="s">
        <v>8</v>
      </c>
      <c r="FN668" s="27" t="s">
        <v>7</v>
      </c>
      <c r="FU668" s="27" t="s">
        <v>8</v>
      </c>
      <c r="FV668" s="27" t="s">
        <v>7</v>
      </c>
      <c r="FW668" s="27" t="s">
        <v>8</v>
      </c>
      <c r="FX668" s="27" t="s">
        <v>7</v>
      </c>
      <c r="FY668" s="27" t="s">
        <v>8</v>
      </c>
      <c r="FZ668" s="27" t="s">
        <v>7</v>
      </c>
      <c r="GA668" s="27" t="s">
        <v>8</v>
      </c>
      <c r="GB668" s="27" t="s">
        <v>7</v>
      </c>
      <c r="GD668" s="27" t="s">
        <v>7</v>
      </c>
      <c r="GE668" s="27" t="s">
        <v>8</v>
      </c>
      <c r="GK668" s="27" t="s">
        <v>8</v>
      </c>
      <c r="GL668" s="27" t="s">
        <v>7</v>
      </c>
      <c r="GM668" s="27" t="s">
        <v>8</v>
      </c>
      <c r="GN668" s="27" t="s">
        <v>7</v>
      </c>
      <c r="GO668" s="27" t="s">
        <v>8</v>
      </c>
      <c r="GP668" s="27" t="s">
        <v>7</v>
      </c>
      <c r="GQ668" s="27" t="s">
        <v>8</v>
      </c>
    </row>
    <row r="669" spans="1:221" x14ac:dyDescent="0.25">
      <c r="A669" s="7">
        <v>0.19714506744199917</v>
      </c>
      <c r="B669"/>
      <c r="C669"/>
      <c r="D669"/>
      <c r="E669"/>
      <c r="F669" s="27" t="s">
        <v>7</v>
      </c>
      <c r="BO669" s="27" t="s">
        <v>8</v>
      </c>
      <c r="BP669" s="27" t="s">
        <v>7</v>
      </c>
      <c r="BQ669" s="27" t="s">
        <v>8</v>
      </c>
      <c r="BR669" s="27" t="s">
        <v>7</v>
      </c>
      <c r="BS669" s="27" t="s">
        <v>8</v>
      </c>
      <c r="BT669" s="27" t="s">
        <v>7</v>
      </c>
      <c r="BU669" s="27" t="s">
        <v>8</v>
      </c>
      <c r="BV669" s="27" t="s">
        <v>7</v>
      </c>
      <c r="BY669" s="27" t="s">
        <v>8</v>
      </c>
      <c r="CA669" s="27" t="s">
        <v>8</v>
      </c>
      <c r="CB669" s="27" t="s">
        <v>7</v>
      </c>
      <c r="CC669" s="27" t="s">
        <v>8</v>
      </c>
      <c r="CD669" s="27" t="s">
        <v>7</v>
      </c>
      <c r="CE669" s="27" t="s">
        <v>8</v>
      </c>
      <c r="CF669" s="27" t="s">
        <v>7</v>
      </c>
      <c r="CG669" s="27" t="s">
        <v>8</v>
      </c>
      <c r="CH669" s="27" t="s">
        <v>7</v>
      </c>
      <c r="CI669" s="27" t="s">
        <v>8</v>
      </c>
      <c r="CJ669" s="27" t="s">
        <v>7</v>
      </c>
      <c r="FG669" s="27" t="s">
        <v>8</v>
      </c>
      <c r="FN669" s="27" t="s">
        <v>7</v>
      </c>
      <c r="FO669" s="27" t="s">
        <v>8</v>
      </c>
      <c r="FU669" s="27" t="s">
        <v>8</v>
      </c>
      <c r="FV669" s="27" t="s">
        <v>7</v>
      </c>
      <c r="FW669" s="27" t="s">
        <v>8</v>
      </c>
      <c r="FX669" s="27" t="s">
        <v>7</v>
      </c>
      <c r="FY669" s="27" t="s">
        <v>8</v>
      </c>
      <c r="FZ669" s="27" t="s">
        <v>7</v>
      </c>
      <c r="GA669" s="27" t="s">
        <v>8</v>
      </c>
      <c r="GD669" s="27" t="s">
        <v>7</v>
      </c>
      <c r="GE669" s="27" t="s">
        <v>8</v>
      </c>
      <c r="GF669" s="27" t="s">
        <v>7</v>
      </c>
      <c r="GG669" s="27" t="s">
        <v>8</v>
      </c>
      <c r="GI669" s="27" t="s">
        <v>8</v>
      </c>
      <c r="GK669" s="27" t="s">
        <v>8</v>
      </c>
      <c r="GL669" s="27" t="s">
        <v>7</v>
      </c>
      <c r="GM669" s="27" t="s">
        <v>8</v>
      </c>
      <c r="GN669" s="27" t="s">
        <v>7</v>
      </c>
      <c r="GO669" s="27" t="s">
        <v>8</v>
      </c>
      <c r="GP669" s="27" t="s">
        <v>7</v>
      </c>
    </row>
    <row r="670" spans="1:221" x14ac:dyDescent="0.25">
      <c r="A670" s="7">
        <v>0.19327947788431293</v>
      </c>
      <c r="B670"/>
      <c r="C670"/>
      <c r="D670"/>
      <c r="E670"/>
      <c r="F670" s="27" t="s">
        <v>7</v>
      </c>
      <c r="BO670" s="27" t="s">
        <v>8</v>
      </c>
      <c r="BP670" s="27" t="s">
        <v>7</v>
      </c>
      <c r="BR670" s="27" t="s">
        <v>7</v>
      </c>
      <c r="BS670" s="27" t="s">
        <v>8</v>
      </c>
      <c r="BT670" s="27" t="s">
        <v>7</v>
      </c>
      <c r="BU670" s="27" t="s">
        <v>8</v>
      </c>
      <c r="BV670" s="27" t="s">
        <v>7</v>
      </c>
      <c r="BY670" s="27" t="s">
        <v>8</v>
      </c>
      <c r="BZ670" s="27" t="s">
        <v>7</v>
      </c>
      <c r="CA670" s="27" t="s">
        <v>8</v>
      </c>
      <c r="CB670" s="27" t="s">
        <v>7</v>
      </c>
      <c r="CC670" s="27" t="s">
        <v>8</v>
      </c>
      <c r="CD670" s="27" t="s">
        <v>7</v>
      </c>
      <c r="CE670" s="27" t="s">
        <v>8</v>
      </c>
      <c r="CF670" s="27" t="s">
        <v>7</v>
      </c>
      <c r="CG670" s="27" t="s">
        <v>8</v>
      </c>
      <c r="CH670" s="27" t="s">
        <v>7</v>
      </c>
      <c r="CI670" s="27" t="s">
        <v>8</v>
      </c>
      <c r="CJ670" s="27" t="s">
        <v>7</v>
      </c>
      <c r="FG670" s="27" t="s">
        <v>8</v>
      </c>
      <c r="FN670" s="27" t="s">
        <v>7</v>
      </c>
      <c r="FO670" s="27" t="s">
        <v>8</v>
      </c>
      <c r="FP670" s="27" t="s">
        <v>7</v>
      </c>
      <c r="FU670" s="27" t="s">
        <v>8</v>
      </c>
      <c r="FV670" s="27" t="s">
        <v>7</v>
      </c>
      <c r="FW670" s="27" t="s">
        <v>8</v>
      </c>
      <c r="FX670" s="27" t="s">
        <v>7</v>
      </c>
      <c r="FY670" s="27" t="s">
        <v>8</v>
      </c>
      <c r="FZ670" s="27" t="s">
        <v>7</v>
      </c>
      <c r="GD670" s="27" t="s">
        <v>7</v>
      </c>
      <c r="GE670" s="27" t="s">
        <v>8</v>
      </c>
      <c r="GF670" s="27" t="s">
        <v>7</v>
      </c>
      <c r="GG670" s="27" t="s">
        <v>8</v>
      </c>
      <c r="GH670" s="27" t="s">
        <v>7</v>
      </c>
      <c r="GI670" s="27" t="s">
        <v>8</v>
      </c>
      <c r="GJ670" s="27" t="s">
        <v>7</v>
      </c>
      <c r="GK670" s="27" t="s">
        <v>8</v>
      </c>
      <c r="GL670" s="27" t="s">
        <v>7</v>
      </c>
      <c r="GM670" s="27" t="s">
        <v>8</v>
      </c>
      <c r="GN670" s="27" t="s">
        <v>7</v>
      </c>
    </row>
    <row r="671" spans="1:221" x14ac:dyDescent="0.25">
      <c r="A671" s="7">
        <v>0.18948968420030682</v>
      </c>
      <c r="B671"/>
      <c r="C671"/>
      <c r="D671"/>
      <c r="E671"/>
      <c r="F671" s="27" t="s">
        <v>7</v>
      </c>
      <c r="BO671" s="27" t="s">
        <v>8</v>
      </c>
      <c r="BR671" s="27" t="s">
        <v>7</v>
      </c>
      <c r="BS671" s="27" t="s">
        <v>8</v>
      </c>
      <c r="BT671" s="27" t="s">
        <v>7</v>
      </c>
      <c r="BU671" s="27" t="s">
        <v>8</v>
      </c>
      <c r="BV671" s="27" t="s">
        <v>7</v>
      </c>
      <c r="BY671" s="27" t="s">
        <v>8</v>
      </c>
      <c r="BZ671" s="27" t="s">
        <v>7</v>
      </c>
      <c r="CA671" s="27" t="s">
        <v>8</v>
      </c>
      <c r="CB671" s="27" t="s">
        <v>7</v>
      </c>
      <c r="CC671" s="27" t="s">
        <v>8</v>
      </c>
      <c r="CD671" s="27" t="s">
        <v>7</v>
      </c>
      <c r="CE671" s="27" t="s">
        <v>8</v>
      </c>
      <c r="CF671" s="27" t="s">
        <v>7</v>
      </c>
      <c r="CG671" s="27" t="s">
        <v>8</v>
      </c>
      <c r="CH671" s="27" t="s">
        <v>7</v>
      </c>
      <c r="CI671" s="27" t="s">
        <v>8</v>
      </c>
      <c r="CJ671" s="27" t="s">
        <v>7</v>
      </c>
      <c r="FG671" s="27" t="s">
        <v>8</v>
      </c>
      <c r="FN671" s="27" t="s">
        <v>7</v>
      </c>
      <c r="FO671" s="27" t="s">
        <v>8</v>
      </c>
      <c r="FP671" s="27" t="s">
        <v>7</v>
      </c>
      <c r="FU671" s="27" t="s">
        <v>8</v>
      </c>
      <c r="FV671" s="27" t="s">
        <v>7</v>
      </c>
      <c r="FW671" s="27" t="s">
        <v>8</v>
      </c>
      <c r="FX671" s="27" t="s">
        <v>7</v>
      </c>
      <c r="GD671" s="27" t="s">
        <v>7</v>
      </c>
      <c r="GF671" s="27" t="s">
        <v>7</v>
      </c>
      <c r="GG671" s="27" t="s">
        <v>8</v>
      </c>
      <c r="GH671" s="27" t="s">
        <v>7</v>
      </c>
      <c r="GI671" s="27" t="s">
        <v>8</v>
      </c>
      <c r="GJ671" s="27" t="s">
        <v>7</v>
      </c>
      <c r="GK671" s="27" t="s">
        <v>8</v>
      </c>
      <c r="GL671" s="27" t="s">
        <v>7</v>
      </c>
      <c r="GM671" s="27" t="s">
        <v>8</v>
      </c>
    </row>
    <row r="672" spans="1:221" x14ac:dyDescent="0.25">
      <c r="A672" s="7">
        <v>0.18577420019637925</v>
      </c>
      <c r="B672"/>
      <c r="C672"/>
      <c r="D672"/>
      <c r="E672"/>
      <c r="F672" s="27" t="s">
        <v>7</v>
      </c>
      <c r="BO672" s="27" t="s">
        <v>8</v>
      </c>
      <c r="BR672" s="27" t="s">
        <v>7</v>
      </c>
      <c r="BS672" s="27" t="s">
        <v>8</v>
      </c>
      <c r="BT672" s="27" t="s">
        <v>7</v>
      </c>
      <c r="BU672" s="27" t="s">
        <v>8</v>
      </c>
      <c r="BV672" s="27" t="s">
        <v>7</v>
      </c>
      <c r="BY672" s="27" t="s">
        <v>8</v>
      </c>
      <c r="BZ672" s="27" t="s">
        <v>7</v>
      </c>
      <c r="CA672" s="27" t="s">
        <v>8</v>
      </c>
      <c r="CB672" s="27" t="s">
        <v>7</v>
      </c>
      <c r="CC672" s="27" t="s">
        <v>8</v>
      </c>
      <c r="CD672" s="27" t="s">
        <v>7</v>
      </c>
      <c r="CE672" s="27" t="s">
        <v>8</v>
      </c>
      <c r="CF672" s="27" t="s">
        <v>7</v>
      </c>
      <c r="CG672" s="27" t="s">
        <v>8</v>
      </c>
      <c r="CH672" s="27" t="s">
        <v>7</v>
      </c>
      <c r="CJ672" s="27" t="s">
        <v>7</v>
      </c>
      <c r="FG672" s="27" t="s">
        <v>8</v>
      </c>
      <c r="FN672" s="27" t="s">
        <v>7</v>
      </c>
      <c r="FO672" s="27" t="s">
        <v>8</v>
      </c>
      <c r="FP672" s="27" t="s">
        <v>7</v>
      </c>
      <c r="FU672" s="27" t="s">
        <v>8</v>
      </c>
      <c r="FV672" s="27" t="s">
        <v>7</v>
      </c>
      <c r="FW672" s="27" t="s">
        <v>8</v>
      </c>
      <c r="GF672" s="27" t="s">
        <v>7</v>
      </c>
      <c r="GG672" s="27" t="s">
        <v>8</v>
      </c>
      <c r="GH672" s="27" t="s">
        <v>7</v>
      </c>
      <c r="GI672" s="27" t="s">
        <v>8</v>
      </c>
      <c r="GJ672" s="27" t="s">
        <v>7</v>
      </c>
      <c r="GK672" s="27" t="s">
        <v>8</v>
      </c>
      <c r="GL672" s="27" t="s">
        <v>7</v>
      </c>
      <c r="GM672" s="27" t="s">
        <v>8</v>
      </c>
    </row>
    <row r="673" spans="1:194" x14ac:dyDescent="0.25">
      <c r="A673" s="7">
        <v>0.18213156881997963</v>
      </c>
      <c r="B673"/>
      <c r="C673"/>
      <c r="D673"/>
      <c r="E673"/>
      <c r="F673" s="27" t="s">
        <v>7</v>
      </c>
      <c r="BO673" s="27" t="s">
        <v>8</v>
      </c>
      <c r="BR673" s="27" t="s">
        <v>7</v>
      </c>
      <c r="BS673" s="27" t="s">
        <v>8</v>
      </c>
      <c r="BT673" s="27" t="s">
        <v>7</v>
      </c>
      <c r="BU673" s="27" t="s">
        <v>8</v>
      </c>
      <c r="BV673" s="27" t="s">
        <v>7</v>
      </c>
      <c r="BY673" s="27" t="s">
        <v>8</v>
      </c>
      <c r="BZ673" s="27" t="s">
        <v>7</v>
      </c>
      <c r="CA673" s="27" t="s">
        <v>8</v>
      </c>
      <c r="CB673" s="27" t="s">
        <v>7</v>
      </c>
      <c r="CD673" s="27" t="s">
        <v>7</v>
      </c>
      <c r="CE673" s="27" t="s">
        <v>8</v>
      </c>
      <c r="CF673" s="27" t="s">
        <v>7</v>
      </c>
      <c r="CG673" s="27" t="s">
        <v>8</v>
      </c>
      <c r="CJ673" s="27" t="s">
        <v>7</v>
      </c>
      <c r="FG673" s="27" t="s">
        <v>8</v>
      </c>
      <c r="FN673" s="27" t="s">
        <v>7</v>
      </c>
      <c r="FO673" s="27" t="s">
        <v>8</v>
      </c>
      <c r="FP673" s="27" t="s">
        <v>7</v>
      </c>
      <c r="FQ673" s="27" t="s">
        <v>8</v>
      </c>
      <c r="FS673" s="27" t="s">
        <v>8</v>
      </c>
      <c r="FU673" s="27" t="s">
        <v>8</v>
      </c>
      <c r="FV673" s="27" t="s">
        <v>7</v>
      </c>
      <c r="FW673" s="27" t="s">
        <v>8</v>
      </c>
      <c r="GF673" s="27" t="s">
        <v>7</v>
      </c>
      <c r="GG673" s="27" t="s">
        <v>8</v>
      </c>
      <c r="GH673" s="27" t="s">
        <v>7</v>
      </c>
      <c r="GI673" s="27" t="s">
        <v>8</v>
      </c>
      <c r="GJ673" s="27" t="s">
        <v>7</v>
      </c>
      <c r="GK673" s="27" t="s">
        <v>8</v>
      </c>
      <c r="GL673" s="27" t="s">
        <v>7</v>
      </c>
    </row>
    <row r="674" spans="1:194" x14ac:dyDescent="0.25">
      <c r="A674" s="7">
        <v>0.17856036158821534</v>
      </c>
      <c r="B674"/>
      <c r="C674"/>
      <c r="D674"/>
      <c r="E674"/>
      <c r="F674" s="27" t="s">
        <v>7</v>
      </c>
      <c r="BO674" s="27" t="s">
        <v>8</v>
      </c>
      <c r="BR674" s="27" t="s">
        <v>7</v>
      </c>
      <c r="BS674" s="27" t="s">
        <v>8</v>
      </c>
      <c r="BT674" s="27" t="s">
        <v>7</v>
      </c>
      <c r="BU674" s="27" t="s">
        <v>8</v>
      </c>
      <c r="BV674" s="27" t="s">
        <v>7</v>
      </c>
      <c r="BY674" s="27" t="s">
        <v>8</v>
      </c>
      <c r="BZ674" s="27" t="s">
        <v>7</v>
      </c>
      <c r="CA674" s="27" t="s">
        <v>8</v>
      </c>
      <c r="CD674" s="27" t="s">
        <v>7</v>
      </c>
      <c r="CE674" s="27" t="s">
        <v>8</v>
      </c>
      <c r="CF674" s="27" t="s">
        <v>7</v>
      </c>
      <c r="CJ674" s="27" t="s">
        <v>7</v>
      </c>
      <c r="FG674" s="27" t="s">
        <v>8</v>
      </c>
      <c r="FN674" s="27" t="s">
        <v>7</v>
      </c>
      <c r="FO674" s="27" t="s">
        <v>8</v>
      </c>
      <c r="FP674" s="27" t="s">
        <v>7</v>
      </c>
      <c r="FQ674" s="27" t="s">
        <v>8</v>
      </c>
      <c r="FR674" s="27" t="s">
        <v>7</v>
      </c>
      <c r="FS674" s="27" t="s">
        <v>8</v>
      </c>
      <c r="FT674" s="27" t="s">
        <v>7</v>
      </c>
      <c r="FU674" s="27" t="s">
        <v>8</v>
      </c>
      <c r="FV674" s="27" t="s">
        <v>7</v>
      </c>
      <c r="FW674" s="27" t="s">
        <v>8</v>
      </c>
      <c r="GF674" s="27" t="s">
        <v>7</v>
      </c>
      <c r="GH674" s="27" t="s">
        <v>7</v>
      </c>
      <c r="GI674" s="27" t="s">
        <v>8</v>
      </c>
      <c r="GJ674" s="27" t="s">
        <v>7</v>
      </c>
    </row>
    <row r="675" spans="1:194" x14ac:dyDescent="0.25">
      <c r="A675" s="7">
        <v>0.17505917802766208</v>
      </c>
      <c r="B675"/>
      <c r="C675"/>
      <c r="D675"/>
      <c r="E675"/>
      <c r="F675" s="27" t="s">
        <v>7</v>
      </c>
      <c r="BO675" s="27" t="s">
        <v>8</v>
      </c>
      <c r="BR675" s="27" t="s">
        <v>7</v>
      </c>
      <c r="BS675" s="27" t="s">
        <v>8</v>
      </c>
      <c r="BT675" s="27" t="s">
        <v>7</v>
      </c>
      <c r="BU675" s="27" t="s">
        <v>8</v>
      </c>
      <c r="BV675" s="27" t="s">
        <v>7</v>
      </c>
      <c r="BY675" s="27" t="s">
        <v>8</v>
      </c>
      <c r="BZ675" s="27" t="s">
        <v>7</v>
      </c>
      <c r="CA675" s="27" t="s">
        <v>8</v>
      </c>
      <c r="CD675" s="27" t="s">
        <v>7</v>
      </c>
      <c r="CE675" s="27" t="s">
        <v>8</v>
      </c>
      <c r="CJ675" s="27" t="s">
        <v>7</v>
      </c>
      <c r="CS675" s="27" t="s">
        <v>8</v>
      </c>
      <c r="FG675" s="27" t="s">
        <v>8</v>
      </c>
      <c r="FN675" s="27" t="s">
        <v>7</v>
      </c>
      <c r="FO675" s="27" t="s">
        <v>8</v>
      </c>
      <c r="FP675" s="27" t="s">
        <v>7</v>
      </c>
      <c r="FQ675" s="27" t="s">
        <v>8</v>
      </c>
      <c r="FR675" s="27" t="s">
        <v>7</v>
      </c>
      <c r="FS675" s="27" t="s">
        <v>8</v>
      </c>
      <c r="FT675" s="27" t="s">
        <v>7</v>
      </c>
      <c r="FU675" s="27" t="s">
        <v>8</v>
      </c>
      <c r="FV675" s="27" t="s">
        <v>7</v>
      </c>
      <c r="FW675" s="27" t="s">
        <v>8</v>
      </c>
      <c r="GH675" s="27" t="s">
        <v>7</v>
      </c>
      <c r="GI675" s="27" t="s">
        <v>8</v>
      </c>
    </row>
    <row r="676" spans="1:194" x14ac:dyDescent="0.25">
      <c r="A676" s="7">
        <v>0.17162664512515888</v>
      </c>
      <c r="B676"/>
      <c r="C676"/>
      <c r="D676"/>
      <c r="E676"/>
      <c r="F676" s="27" t="s">
        <v>7</v>
      </c>
      <c r="BO676" s="27" t="s">
        <v>8</v>
      </c>
      <c r="BR676" s="27" t="s">
        <v>7</v>
      </c>
      <c r="BT676" s="27" t="s">
        <v>7</v>
      </c>
      <c r="BV676" s="27" t="s">
        <v>7</v>
      </c>
      <c r="BY676" s="27" t="s">
        <v>8</v>
      </c>
      <c r="BZ676" s="27" t="s">
        <v>7</v>
      </c>
      <c r="CA676" s="27" t="s">
        <v>8</v>
      </c>
      <c r="CD676" s="27" t="s">
        <v>7</v>
      </c>
      <c r="CE676" s="27" t="s">
        <v>8</v>
      </c>
      <c r="CJ676" s="27" t="s">
        <v>7</v>
      </c>
      <c r="CQ676" s="27" t="s">
        <v>8</v>
      </c>
      <c r="CS676" s="27" t="s">
        <v>8</v>
      </c>
      <c r="CT676" s="27" t="s">
        <v>7</v>
      </c>
      <c r="CU676" s="27" t="s">
        <v>8</v>
      </c>
      <c r="FG676" s="27" t="s">
        <v>8</v>
      </c>
      <c r="FN676" s="27" t="s">
        <v>7</v>
      </c>
      <c r="FO676" s="27" t="s">
        <v>8</v>
      </c>
      <c r="FP676" s="27" t="s">
        <v>7</v>
      </c>
      <c r="FQ676" s="27" t="s">
        <v>8</v>
      </c>
      <c r="FR676" s="27" t="s">
        <v>7</v>
      </c>
      <c r="FS676" s="27" t="s">
        <v>8</v>
      </c>
      <c r="FT676" s="27" t="s">
        <v>7</v>
      </c>
      <c r="FU676" s="27" t="s">
        <v>8</v>
      </c>
      <c r="FV676" s="27" t="s">
        <v>7</v>
      </c>
      <c r="FW676" s="27" t="s">
        <v>8</v>
      </c>
      <c r="GH676" s="27" t="s">
        <v>7</v>
      </c>
    </row>
    <row r="677" spans="1:194" x14ac:dyDescent="0.25">
      <c r="A677" s="7">
        <v>0.16826141678937145</v>
      </c>
      <c r="B677"/>
      <c r="C677"/>
      <c r="D677"/>
      <c r="E677"/>
      <c r="F677" s="27" t="s">
        <v>7</v>
      </c>
      <c r="BO677" s="27" t="s">
        <v>8</v>
      </c>
      <c r="BV677" s="27" t="s">
        <v>7</v>
      </c>
      <c r="BW677" s="27" t="s">
        <v>8</v>
      </c>
      <c r="BY677" s="27" t="s">
        <v>8</v>
      </c>
      <c r="BZ677" s="27" t="s">
        <v>7</v>
      </c>
      <c r="CD677" s="27" t="s">
        <v>7</v>
      </c>
      <c r="CE677" s="27" t="s">
        <v>8</v>
      </c>
      <c r="CJ677" s="27" t="s">
        <v>7</v>
      </c>
      <c r="CQ677" s="27" t="s">
        <v>8</v>
      </c>
      <c r="CR677" s="27" t="s">
        <v>7</v>
      </c>
      <c r="CS677" s="27" t="s">
        <v>8</v>
      </c>
      <c r="CT677" s="27" t="s">
        <v>7</v>
      </c>
      <c r="CU677" s="27" t="s">
        <v>8</v>
      </c>
      <c r="CV677" s="27" t="s">
        <v>7</v>
      </c>
      <c r="CW677" s="27" t="s">
        <v>8</v>
      </c>
      <c r="FG677" s="27" t="s">
        <v>8</v>
      </c>
      <c r="FN677" s="27" t="s">
        <v>7</v>
      </c>
      <c r="FO677" s="27" t="s">
        <v>8</v>
      </c>
      <c r="FP677" s="27" t="s">
        <v>7</v>
      </c>
      <c r="FQ677" s="27" t="s">
        <v>8</v>
      </c>
      <c r="FR677" s="27" t="s">
        <v>7</v>
      </c>
      <c r="FS677" s="27" t="s">
        <v>8</v>
      </c>
      <c r="FT677" s="27" t="s">
        <v>7</v>
      </c>
      <c r="FU677" s="27" t="s">
        <v>8</v>
      </c>
      <c r="FV677" s="27" t="s">
        <v>7</v>
      </c>
    </row>
    <row r="678" spans="1:194" x14ac:dyDescent="0.25">
      <c r="A678" s="7">
        <v>0.16496217332291319</v>
      </c>
      <c r="B678"/>
      <c r="C678"/>
      <c r="D678"/>
      <c r="E678"/>
      <c r="F678" s="27" t="s">
        <v>7</v>
      </c>
      <c r="BM678" s="27" t="s">
        <v>8</v>
      </c>
      <c r="BO678" s="27" t="s">
        <v>8</v>
      </c>
      <c r="BV678" s="27" t="s">
        <v>7</v>
      </c>
      <c r="BW678" s="27" t="s">
        <v>8</v>
      </c>
      <c r="BX678" s="27" t="s">
        <v>7</v>
      </c>
      <c r="BY678" s="27" t="s">
        <v>8</v>
      </c>
      <c r="CD678" s="27" t="s">
        <v>7</v>
      </c>
      <c r="CE678" s="27" t="s">
        <v>8</v>
      </c>
      <c r="CJ678" s="27" t="s">
        <v>7</v>
      </c>
      <c r="CK678" s="27" t="s">
        <v>8</v>
      </c>
      <c r="CQ678" s="27" t="s">
        <v>8</v>
      </c>
      <c r="CR678" s="27" t="s">
        <v>7</v>
      </c>
      <c r="CS678" s="27" t="s">
        <v>8</v>
      </c>
      <c r="CT678" s="27" t="s">
        <v>7</v>
      </c>
      <c r="CU678" s="27" t="s">
        <v>8</v>
      </c>
      <c r="CV678" s="27" t="s">
        <v>7</v>
      </c>
      <c r="CW678" s="27" t="s">
        <v>8</v>
      </c>
      <c r="CX678" s="27" t="s">
        <v>7</v>
      </c>
      <c r="FG678" s="27" t="s">
        <v>8</v>
      </c>
      <c r="FN678" s="27" t="s">
        <v>7</v>
      </c>
      <c r="FO678" s="27" t="s">
        <v>8</v>
      </c>
      <c r="FP678" s="27" t="s">
        <v>7</v>
      </c>
      <c r="FQ678" s="27" t="s">
        <v>8</v>
      </c>
      <c r="FR678" s="27" t="s">
        <v>7</v>
      </c>
      <c r="FS678" s="27" t="s">
        <v>8</v>
      </c>
      <c r="FT678" s="27" t="s">
        <v>7</v>
      </c>
      <c r="FU678" s="27" t="s">
        <v>8</v>
      </c>
    </row>
    <row r="679" spans="1:194" x14ac:dyDescent="0.25">
      <c r="A679" s="7">
        <v>0.16172762090481685</v>
      </c>
      <c r="B679"/>
      <c r="C679"/>
      <c r="D679"/>
      <c r="E679"/>
      <c r="F679" s="27" t="s">
        <v>7</v>
      </c>
      <c r="BM679" s="27" t="s">
        <v>8</v>
      </c>
      <c r="BN679" s="27" t="s">
        <v>7</v>
      </c>
      <c r="BO679" s="27" t="s">
        <v>8</v>
      </c>
      <c r="BV679" s="27" t="s">
        <v>7</v>
      </c>
      <c r="BW679" s="27" t="s">
        <v>8</v>
      </c>
      <c r="BX679" s="27" t="s">
        <v>7</v>
      </c>
      <c r="BY679" s="27" t="s">
        <v>8</v>
      </c>
      <c r="CD679" s="27" t="s">
        <v>7</v>
      </c>
      <c r="CE679" s="27" t="s">
        <v>8</v>
      </c>
      <c r="CJ679" s="27" t="s">
        <v>7</v>
      </c>
      <c r="CK679" s="27" t="s">
        <v>8</v>
      </c>
      <c r="CL679" s="27" t="s">
        <v>7</v>
      </c>
      <c r="CO679" s="27" t="s">
        <v>8</v>
      </c>
      <c r="CQ679" s="27" t="s">
        <v>8</v>
      </c>
      <c r="CR679" s="27" t="s">
        <v>7</v>
      </c>
      <c r="CS679" s="27" t="s">
        <v>8</v>
      </c>
      <c r="CT679" s="27" t="s">
        <v>7</v>
      </c>
      <c r="CU679" s="27" t="s">
        <v>8</v>
      </c>
      <c r="CV679" s="27" t="s">
        <v>7</v>
      </c>
      <c r="CW679" s="27" t="s">
        <v>8</v>
      </c>
      <c r="CX679" s="27" t="s">
        <v>7</v>
      </c>
      <c r="FG679" s="27" t="s">
        <v>8</v>
      </c>
      <c r="FN679" s="27" t="s">
        <v>7</v>
      </c>
      <c r="FO679" s="27" t="s">
        <v>8</v>
      </c>
      <c r="FP679" s="27" t="s">
        <v>7</v>
      </c>
      <c r="FQ679" s="27" t="s">
        <v>8</v>
      </c>
      <c r="FR679" s="27" t="s">
        <v>7</v>
      </c>
      <c r="FS679" s="27" t="s">
        <v>8</v>
      </c>
      <c r="FT679" s="27" t="s">
        <v>7</v>
      </c>
      <c r="FU679" s="27" t="s">
        <v>8</v>
      </c>
    </row>
    <row r="680" spans="1:194" x14ac:dyDescent="0.25">
      <c r="A680" s="7">
        <v>0.15855649108315376</v>
      </c>
      <c r="B680"/>
      <c r="C680"/>
      <c r="D680"/>
      <c r="E680"/>
      <c r="F680" s="27" t="s">
        <v>7</v>
      </c>
      <c r="BM680" s="27" t="s">
        <v>8</v>
      </c>
      <c r="BN680" s="27" t="s">
        <v>7</v>
      </c>
      <c r="BO680" s="27" t="s">
        <v>8</v>
      </c>
      <c r="BV680" s="27" t="s">
        <v>7</v>
      </c>
      <c r="BW680" s="27" t="s">
        <v>8</v>
      </c>
      <c r="BX680" s="27" t="s">
        <v>7</v>
      </c>
      <c r="BY680" s="27" t="s">
        <v>8</v>
      </c>
      <c r="CD680" s="27" t="s">
        <v>7</v>
      </c>
      <c r="CE680" s="27" t="s">
        <v>8</v>
      </c>
      <c r="CJ680" s="27" t="s">
        <v>7</v>
      </c>
      <c r="CK680" s="27" t="s">
        <v>8</v>
      </c>
      <c r="CL680" s="27" t="s">
        <v>7</v>
      </c>
      <c r="CO680" s="27" t="s">
        <v>8</v>
      </c>
      <c r="CP680" s="27" t="s">
        <v>7</v>
      </c>
      <c r="CQ680" s="27" t="s">
        <v>8</v>
      </c>
      <c r="CR680" s="27" t="s">
        <v>7</v>
      </c>
      <c r="CS680" s="27" t="s">
        <v>8</v>
      </c>
      <c r="CT680" s="27" t="s">
        <v>7</v>
      </c>
      <c r="CU680" s="27" t="s">
        <v>8</v>
      </c>
      <c r="CV680" s="27" t="s">
        <v>7</v>
      </c>
      <c r="CW680" s="27" t="s">
        <v>8</v>
      </c>
      <c r="CX680" s="27" t="s">
        <v>7</v>
      </c>
      <c r="FG680" s="27" t="s">
        <v>8</v>
      </c>
      <c r="FN680" s="27" t="s">
        <v>7</v>
      </c>
      <c r="FO680" s="27" t="s">
        <v>8</v>
      </c>
      <c r="FP680" s="27" t="s">
        <v>7</v>
      </c>
      <c r="FR680" s="27" t="s">
        <v>7</v>
      </c>
      <c r="FS680" s="27" t="s">
        <v>8</v>
      </c>
      <c r="FT680" s="27" t="s">
        <v>7</v>
      </c>
      <c r="FU680" s="27" t="s">
        <v>8</v>
      </c>
    </row>
    <row r="681" spans="1:194" x14ac:dyDescent="0.25">
      <c r="A681" s="7">
        <v>0.15544754027760171</v>
      </c>
      <c r="B681"/>
      <c r="C681"/>
      <c r="D681"/>
      <c r="E681"/>
      <c r="F681" s="27" t="s">
        <v>7</v>
      </c>
      <c r="BM681" s="27" t="s">
        <v>8</v>
      </c>
      <c r="BN681" s="27" t="s">
        <v>7</v>
      </c>
      <c r="BO681" s="27" t="s">
        <v>8</v>
      </c>
      <c r="BV681" s="27" t="s">
        <v>7</v>
      </c>
      <c r="BW681" s="27" t="s">
        <v>8</v>
      </c>
      <c r="BX681" s="27" t="s">
        <v>7</v>
      </c>
      <c r="BY681" s="27" t="s">
        <v>8</v>
      </c>
      <c r="CD681" s="27" t="s">
        <v>7</v>
      </c>
      <c r="CJ681" s="27" t="s">
        <v>7</v>
      </c>
      <c r="CK681" s="27" t="s">
        <v>8</v>
      </c>
      <c r="CL681" s="27" t="s">
        <v>7</v>
      </c>
      <c r="CO681" s="27" t="s">
        <v>8</v>
      </c>
      <c r="CP681" s="27" t="s">
        <v>7</v>
      </c>
      <c r="CQ681" s="27" t="s">
        <v>8</v>
      </c>
      <c r="CR681" s="27" t="s">
        <v>7</v>
      </c>
      <c r="CT681" s="27" t="s">
        <v>7</v>
      </c>
      <c r="CU681" s="27" t="s">
        <v>8</v>
      </c>
      <c r="CV681" s="27" t="s">
        <v>7</v>
      </c>
      <c r="CX681" s="27" t="s">
        <v>7</v>
      </c>
      <c r="FG681" s="27" t="s">
        <v>8</v>
      </c>
      <c r="FN681" s="27" t="s">
        <v>7</v>
      </c>
      <c r="FR681" s="27" t="s">
        <v>7</v>
      </c>
      <c r="FS681" s="27" t="s">
        <v>8</v>
      </c>
      <c r="FT681" s="27" t="s">
        <v>7</v>
      </c>
      <c r="FU681" s="27" t="s">
        <v>8</v>
      </c>
    </row>
    <row r="682" spans="1:194" x14ac:dyDescent="0.25">
      <c r="A682" s="7">
        <v>0.15239954929176638</v>
      </c>
      <c r="B682"/>
      <c r="C682"/>
      <c r="D682"/>
      <c r="E682"/>
      <c r="F682" s="27" t="s">
        <v>7</v>
      </c>
      <c r="BM682" s="27" t="s">
        <v>8</v>
      </c>
      <c r="BN682" s="27" t="s">
        <v>7</v>
      </c>
      <c r="BO682" s="27" t="s">
        <v>8</v>
      </c>
      <c r="BV682" s="27" t="s">
        <v>7</v>
      </c>
      <c r="BW682" s="27" t="s">
        <v>8</v>
      </c>
      <c r="BX682" s="27" t="s">
        <v>7</v>
      </c>
      <c r="BY682" s="27" t="s">
        <v>8</v>
      </c>
      <c r="CJ682" s="27" t="s">
        <v>7</v>
      </c>
      <c r="CK682" s="27" t="s">
        <v>8</v>
      </c>
      <c r="CL682" s="27" t="s">
        <v>7</v>
      </c>
      <c r="CO682" s="27" t="s">
        <v>8</v>
      </c>
      <c r="CP682" s="27" t="s">
        <v>7</v>
      </c>
      <c r="CQ682" s="27" t="s">
        <v>8</v>
      </c>
      <c r="CT682" s="27" t="s">
        <v>7</v>
      </c>
      <c r="CU682" s="27" t="s">
        <v>8</v>
      </c>
      <c r="CX682" s="27" t="s">
        <v>7</v>
      </c>
      <c r="FG682" s="27" t="s">
        <v>8</v>
      </c>
      <c r="FR682" s="27" t="s">
        <v>7</v>
      </c>
      <c r="FS682" s="27" t="s">
        <v>8</v>
      </c>
      <c r="FT682" s="27" t="s">
        <v>7</v>
      </c>
      <c r="FU682" s="27" t="s">
        <v>8</v>
      </c>
    </row>
    <row r="683" spans="1:194" x14ac:dyDescent="0.25">
      <c r="A683" s="7">
        <v>0.14941132283506509</v>
      </c>
      <c r="B683"/>
      <c r="C683"/>
      <c r="D683"/>
      <c r="E683"/>
      <c r="F683" s="27" t="s">
        <v>7</v>
      </c>
      <c r="BM683" s="27" t="s">
        <v>8</v>
      </c>
      <c r="BN683" s="27" t="s">
        <v>7</v>
      </c>
      <c r="BO683" s="27" t="s">
        <v>8</v>
      </c>
      <c r="BV683" s="27" t="s">
        <v>7</v>
      </c>
      <c r="BW683" s="27" t="s">
        <v>8</v>
      </c>
      <c r="BX683" s="27" t="s">
        <v>7</v>
      </c>
      <c r="BY683" s="27" t="s">
        <v>8</v>
      </c>
      <c r="CJ683" s="27" t="s">
        <v>7</v>
      </c>
      <c r="CK683" s="27" t="s">
        <v>8</v>
      </c>
      <c r="CL683" s="27" t="s">
        <v>7</v>
      </c>
      <c r="CO683" s="27" t="s">
        <v>8</v>
      </c>
      <c r="CP683" s="27" t="s">
        <v>7</v>
      </c>
      <c r="CQ683" s="27" t="s">
        <v>8</v>
      </c>
      <c r="CT683" s="27" t="s">
        <v>7</v>
      </c>
      <c r="CX683" s="27" t="s">
        <v>7</v>
      </c>
      <c r="FG683" s="27" t="s">
        <v>8</v>
      </c>
      <c r="FR683" s="27" t="s">
        <v>7</v>
      </c>
      <c r="FS683" s="27" t="s">
        <v>8</v>
      </c>
      <c r="FT683" s="27" t="s">
        <v>7</v>
      </c>
      <c r="FU683" s="27" t="s">
        <v>8</v>
      </c>
    </row>
    <row r="684" spans="1:194" x14ac:dyDescent="0.25">
      <c r="A684" s="7">
        <v>0.14648168905398537</v>
      </c>
      <c r="B684"/>
      <c r="C684"/>
      <c r="D684"/>
      <c r="E684"/>
      <c r="F684" s="27" t="s">
        <v>7</v>
      </c>
      <c r="BA684" s="27" t="s">
        <v>8</v>
      </c>
      <c r="BM684" s="27" t="s">
        <v>8</v>
      </c>
      <c r="BN684" s="27" t="s">
        <v>7</v>
      </c>
      <c r="BO684" s="27" t="s">
        <v>8</v>
      </c>
      <c r="BV684" s="27" t="s">
        <v>7</v>
      </c>
      <c r="BW684" s="27" t="s">
        <v>8</v>
      </c>
      <c r="BX684" s="27" t="s">
        <v>7</v>
      </c>
      <c r="CJ684" s="27" t="s">
        <v>7</v>
      </c>
      <c r="CK684" s="27" t="s">
        <v>8</v>
      </c>
      <c r="CL684" s="27" t="s">
        <v>7</v>
      </c>
      <c r="CO684" s="27" t="s">
        <v>8</v>
      </c>
      <c r="CP684" s="27" t="s">
        <v>7</v>
      </c>
      <c r="CX684" s="27" t="s">
        <v>7</v>
      </c>
      <c r="CY684" s="27" t="s">
        <v>8</v>
      </c>
      <c r="FG684" s="27" t="s">
        <v>8</v>
      </c>
      <c r="FR684" s="27" t="s">
        <v>7</v>
      </c>
      <c r="FT684" s="27" t="s">
        <v>7</v>
      </c>
      <c r="FU684" s="27" t="s">
        <v>8</v>
      </c>
    </row>
    <row r="685" spans="1:194" x14ac:dyDescent="0.25">
      <c r="A685" s="7">
        <v>0.14360949907253467</v>
      </c>
      <c r="B685"/>
      <c r="C685"/>
      <c r="D685"/>
      <c r="E685"/>
      <c r="F685" s="27" t="s">
        <v>7</v>
      </c>
      <c r="BA685" s="27" t="s">
        <v>8</v>
      </c>
      <c r="BB685" s="27" t="s">
        <v>7</v>
      </c>
      <c r="BM685" s="27" t="s">
        <v>8</v>
      </c>
      <c r="BN685" s="27" t="s">
        <v>7</v>
      </c>
      <c r="BO685" s="27" t="s">
        <v>8</v>
      </c>
      <c r="BV685" s="27" t="s">
        <v>7</v>
      </c>
      <c r="BW685" s="27" t="s">
        <v>8</v>
      </c>
      <c r="CJ685" s="27" t="s">
        <v>7</v>
      </c>
      <c r="CK685" s="27" t="s">
        <v>8</v>
      </c>
      <c r="CL685" s="27" t="s">
        <v>7</v>
      </c>
      <c r="CO685" s="27" t="s">
        <v>8</v>
      </c>
      <c r="CX685" s="27" t="s">
        <v>7</v>
      </c>
      <c r="CY685" s="27" t="s">
        <v>8</v>
      </c>
      <c r="CZ685" s="27" t="s">
        <v>7</v>
      </c>
      <c r="FC685" s="27" t="s">
        <v>8</v>
      </c>
      <c r="FG685" s="27" t="s">
        <v>8</v>
      </c>
      <c r="FT685" s="27" t="s">
        <v>7</v>
      </c>
    </row>
    <row r="686" spans="1:194" x14ac:dyDescent="0.25">
      <c r="A686" s="7">
        <v>0.14079362654170066</v>
      </c>
      <c r="B686"/>
      <c r="C686"/>
      <c r="D686"/>
      <c r="E686"/>
      <c r="F686" s="27" t="s">
        <v>7</v>
      </c>
      <c r="BA686" s="27" t="s">
        <v>8</v>
      </c>
      <c r="BB686" s="27" t="s">
        <v>7</v>
      </c>
      <c r="BM686" s="27" t="s">
        <v>8</v>
      </c>
      <c r="BN686" s="27" t="s">
        <v>7</v>
      </c>
      <c r="BO686" s="27" t="s">
        <v>8</v>
      </c>
      <c r="BV686" s="27" t="s">
        <v>7</v>
      </c>
      <c r="BW686" s="27" t="s">
        <v>8</v>
      </c>
      <c r="CJ686" s="27" t="s">
        <v>7</v>
      </c>
      <c r="CK686" s="27" t="s">
        <v>8</v>
      </c>
      <c r="CL686" s="27" t="s">
        <v>7</v>
      </c>
      <c r="CM686" s="27" t="s">
        <v>8</v>
      </c>
      <c r="CO686" s="27" t="s">
        <v>8</v>
      </c>
      <c r="CX686" s="27" t="s">
        <v>7</v>
      </c>
      <c r="CY686" s="27" t="s">
        <v>8</v>
      </c>
      <c r="CZ686" s="27" t="s">
        <v>7</v>
      </c>
      <c r="FC686" s="27" t="s">
        <v>8</v>
      </c>
      <c r="FD686" s="27" t="s">
        <v>7</v>
      </c>
      <c r="FG686" s="27" t="s">
        <v>8</v>
      </c>
    </row>
    <row r="687" spans="1:194" x14ac:dyDescent="0.25">
      <c r="A687" s="7">
        <v>0.13803296719774574</v>
      </c>
      <c r="B687"/>
      <c r="C687"/>
      <c r="D687"/>
      <c r="E687"/>
      <c r="F687" s="27" t="s">
        <v>7</v>
      </c>
      <c r="BA687" s="27" t="s">
        <v>8</v>
      </c>
      <c r="BB687" s="27" t="s">
        <v>7</v>
      </c>
      <c r="BM687" s="27" t="s">
        <v>8</v>
      </c>
      <c r="BN687" s="27" t="s">
        <v>7</v>
      </c>
      <c r="BO687" s="27" t="s">
        <v>8</v>
      </c>
      <c r="BV687" s="27" t="s">
        <v>7</v>
      </c>
      <c r="BW687" s="27" t="s">
        <v>8</v>
      </c>
      <c r="CJ687" s="27" t="s">
        <v>7</v>
      </c>
      <c r="CL687" s="27" t="s">
        <v>7</v>
      </c>
      <c r="CM687" s="27" t="s">
        <v>8</v>
      </c>
      <c r="CN687" s="27" t="s">
        <v>7</v>
      </c>
      <c r="CO687" s="27" t="s">
        <v>8</v>
      </c>
      <c r="CX687" s="27" t="s">
        <v>7</v>
      </c>
      <c r="CY687" s="27" t="s">
        <v>8</v>
      </c>
      <c r="CZ687" s="27" t="s">
        <v>7</v>
      </c>
      <c r="FC687" s="27" t="s">
        <v>8</v>
      </c>
      <c r="FD687" s="27" t="s">
        <v>7</v>
      </c>
      <c r="FG687" s="27" t="s">
        <v>8</v>
      </c>
    </row>
    <row r="688" spans="1:194" x14ac:dyDescent="0.25">
      <c r="A688" s="7">
        <v>0.1353264384291625</v>
      </c>
      <c r="B688"/>
      <c r="C688"/>
      <c r="D688"/>
      <c r="E688"/>
      <c r="F688" s="27" t="s">
        <v>7</v>
      </c>
      <c r="BA688" s="27" t="s">
        <v>8</v>
      </c>
      <c r="BB688" s="27" t="s">
        <v>7</v>
      </c>
      <c r="BK688" s="27" t="s">
        <v>8</v>
      </c>
      <c r="BM688" s="27" t="s">
        <v>8</v>
      </c>
      <c r="BN688" s="27" t="s">
        <v>7</v>
      </c>
      <c r="BV688" s="27" t="s">
        <v>7</v>
      </c>
      <c r="CL688" s="27" t="s">
        <v>7</v>
      </c>
      <c r="CM688" s="27" t="s">
        <v>8</v>
      </c>
      <c r="CN688" s="27" t="s">
        <v>7</v>
      </c>
      <c r="CO688" s="27" t="s">
        <v>8</v>
      </c>
      <c r="CX688" s="27" t="s">
        <v>7</v>
      </c>
      <c r="CZ688" s="27" t="s">
        <v>7</v>
      </c>
      <c r="FC688" s="27" t="s">
        <v>8</v>
      </c>
      <c r="FD688" s="27" t="s">
        <v>7</v>
      </c>
      <c r="FG688" s="27" t="s">
        <v>8</v>
      </c>
    </row>
    <row r="689" spans="1:163" x14ac:dyDescent="0.25">
      <c r="A689" s="7">
        <v>0.13267297885212009</v>
      </c>
      <c r="B689"/>
      <c r="C689"/>
      <c r="D689"/>
      <c r="E689"/>
      <c r="F689" s="27" t="s">
        <v>7</v>
      </c>
      <c r="BA689" s="27" t="s">
        <v>8</v>
      </c>
      <c r="BB689" s="27" t="s">
        <v>7</v>
      </c>
      <c r="BK689" s="27" t="s">
        <v>8</v>
      </c>
      <c r="BL689" s="27" t="s">
        <v>7</v>
      </c>
      <c r="BM689" s="27" t="s">
        <v>8</v>
      </c>
      <c r="CL689" s="27" t="s">
        <v>7</v>
      </c>
      <c r="CM689" s="27" t="s">
        <v>8</v>
      </c>
      <c r="CN689" s="27" t="s">
        <v>7</v>
      </c>
      <c r="CO689" s="27" t="s">
        <v>8</v>
      </c>
      <c r="CZ689" s="27" t="s">
        <v>7</v>
      </c>
      <c r="DA689" s="27" t="s">
        <v>8</v>
      </c>
      <c r="FC689" s="27" t="s">
        <v>8</v>
      </c>
      <c r="FD689" s="27" t="s">
        <v>7</v>
      </c>
      <c r="FG689" s="27" t="s">
        <v>8</v>
      </c>
    </row>
    <row r="690" spans="1:163" x14ac:dyDescent="0.25">
      <c r="A690" s="7">
        <v>0.13007154789423539</v>
      </c>
      <c r="B690"/>
      <c r="C690"/>
      <c r="D690"/>
      <c r="E690"/>
      <c r="F690" s="27" t="s">
        <v>7</v>
      </c>
      <c r="BA690" s="27" t="s">
        <v>8</v>
      </c>
      <c r="BB690" s="27" t="s">
        <v>7</v>
      </c>
      <c r="BC690" s="27" t="s">
        <v>8</v>
      </c>
      <c r="BK690" s="27" t="s">
        <v>8</v>
      </c>
      <c r="BL690" s="27" t="s">
        <v>7</v>
      </c>
      <c r="BM690" s="27" t="s">
        <v>8</v>
      </c>
      <c r="CL690" s="27" t="s">
        <v>7</v>
      </c>
      <c r="CM690" s="27" t="s">
        <v>8</v>
      </c>
      <c r="CN690" s="27" t="s">
        <v>7</v>
      </c>
      <c r="CO690" s="27" t="s">
        <v>8</v>
      </c>
      <c r="CZ690" s="27" t="s">
        <v>7</v>
      </c>
      <c r="DA690" s="27" t="s">
        <v>8</v>
      </c>
      <c r="DB690" s="27" t="s">
        <v>7</v>
      </c>
      <c r="FC690" s="27" t="s">
        <v>8</v>
      </c>
      <c r="FD690" s="27" t="s">
        <v>7</v>
      </c>
      <c r="FE690" s="27" t="s">
        <v>8</v>
      </c>
      <c r="FG690" s="27" t="s">
        <v>8</v>
      </c>
    </row>
    <row r="691" spans="1:163" x14ac:dyDescent="0.25">
      <c r="A691" s="7">
        <v>0.12752112538650529</v>
      </c>
      <c r="B691"/>
      <c r="C691"/>
      <c r="D691"/>
      <c r="E691"/>
      <c r="F691" s="27" t="s">
        <v>7</v>
      </c>
      <c r="AY691" s="27" t="s">
        <v>8</v>
      </c>
      <c r="BA691" s="27" t="s">
        <v>8</v>
      </c>
      <c r="BB691" s="27" t="s">
        <v>7</v>
      </c>
      <c r="BC691" s="27" t="s">
        <v>8</v>
      </c>
      <c r="BD691" s="27" t="s">
        <v>7</v>
      </c>
      <c r="BK691" s="27" t="s">
        <v>8</v>
      </c>
      <c r="BL691" s="27" t="s">
        <v>7</v>
      </c>
      <c r="BM691" s="27" t="s">
        <v>8</v>
      </c>
      <c r="CL691" s="27" t="s">
        <v>7</v>
      </c>
      <c r="CM691" s="27" t="s">
        <v>8</v>
      </c>
      <c r="CN691" s="27" t="s">
        <v>7</v>
      </c>
      <c r="CO691" s="27" t="s">
        <v>8</v>
      </c>
      <c r="CZ691" s="27" t="s">
        <v>7</v>
      </c>
      <c r="DA691" s="27" t="s">
        <v>8</v>
      </c>
      <c r="DB691" s="27" t="s">
        <v>7</v>
      </c>
      <c r="FC691" s="27" t="s">
        <v>8</v>
      </c>
      <c r="FD691" s="27" t="s">
        <v>7</v>
      </c>
      <c r="FE691" s="27" t="s">
        <v>8</v>
      </c>
      <c r="FF691" s="27" t="s">
        <v>7</v>
      </c>
      <c r="FG691" s="27" t="s">
        <v>8</v>
      </c>
    </row>
    <row r="692" spans="1:163" x14ac:dyDescent="0.25">
      <c r="A692" s="7">
        <v>0.12502071116324048</v>
      </c>
      <c r="B692"/>
      <c r="C692"/>
      <c r="D692"/>
      <c r="E692"/>
      <c r="F692" s="27" t="s">
        <v>7</v>
      </c>
      <c r="AY692" s="27" t="s">
        <v>8</v>
      </c>
      <c r="AZ692" s="27" t="s">
        <v>7</v>
      </c>
      <c r="BA692" s="27" t="s">
        <v>8</v>
      </c>
      <c r="BB692" s="27" t="s">
        <v>7</v>
      </c>
      <c r="BC692" s="27" t="s">
        <v>8</v>
      </c>
      <c r="BD692" s="27" t="s">
        <v>7</v>
      </c>
      <c r="BK692" s="27" t="s">
        <v>8</v>
      </c>
      <c r="BL692" s="27" t="s">
        <v>7</v>
      </c>
      <c r="BM692" s="27" t="s">
        <v>8</v>
      </c>
      <c r="CL692" s="27" t="s">
        <v>7</v>
      </c>
      <c r="CM692" s="27" t="s">
        <v>8</v>
      </c>
      <c r="CN692" s="27" t="s">
        <v>7</v>
      </c>
      <c r="CO692" s="27" t="s">
        <v>8</v>
      </c>
      <c r="CZ692" s="27" t="s">
        <v>7</v>
      </c>
      <c r="DA692" s="27" t="s">
        <v>8</v>
      </c>
      <c r="DB692" s="27" t="s">
        <v>7</v>
      </c>
      <c r="FC692" s="27" t="s">
        <v>8</v>
      </c>
      <c r="FD692" s="27" t="s">
        <v>7</v>
      </c>
      <c r="FE692" s="27" t="s">
        <v>8</v>
      </c>
      <c r="FF692" s="27" t="s">
        <v>7</v>
      </c>
      <c r="FG692" s="27" t="s">
        <v>8</v>
      </c>
    </row>
    <row r="693" spans="1:163" x14ac:dyDescent="0.25">
      <c r="A693" s="7">
        <v>0.1225693246698436</v>
      </c>
      <c r="B693"/>
      <c r="C693"/>
      <c r="D693"/>
      <c r="E693"/>
      <c r="F693" s="27" t="s">
        <v>7</v>
      </c>
      <c r="AY693" s="27" t="s">
        <v>8</v>
      </c>
      <c r="AZ693" s="27" t="s">
        <v>7</v>
      </c>
      <c r="BA693" s="27" t="s">
        <v>8</v>
      </c>
      <c r="BB693" s="27" t="s">
        <v>7</v>
      </c>
      <c r="BC693" s="27" t="s">
        <v>8</v>
      </c>
      <c r="BD693" s="27" t="s">
        <v>7</v>
      </c>
      <c r="BK693" s="27" t="s">
        <v>8</v>
      </c>
      <c r="BL693" s="27" t="s">
        <v>7</v>
      </c>
      <c r="BM693" s="27" t="s">
        <v>8</v>
      </c>
      <c r="CL693" s="27" t="s">
        <v>7</v>
      </c>
      <c r="CN693" s="27" t="s">
        <v>7</v>
      </c>
      <c r="CO693" s="27" t="s">
        <v>8</v>
      </c>
      <c r="CZ693" s="27" t="s">
        <v>7</v>
      </c>
      <c r="DA693" s="27" t="s">
        <v>8</v>
      </c>
      <c r="DB693" s="27" t="s">
        <v>7</v>
      </c>
      <c r="DC693" s="27" t="s">
        <v>8</v>
      </c>
      <c r="FC693" s="27" t="s">
        <v>8</v>
      </c>
      <c r="FD693" s="27" t="s">
        <v>7</v>
      </c>
      <c r="FE693" s="27" t="s">
        <v>8</v>
      </c>
      <c r="FF693" s="27" t="s">
        <v>7</v>
      </c>
    </row>
    <row r="694" spans="1:163" x14ac:dyDescent="0.25">
      <c r="A694" s="7">
        <v>0.12016600457827803</v>
      </c>
      <c r="B694"/>
      <c r="C694"/>
      <c r="D694"/>
      <c r="E694"/>
      <c r="F694" s="27" t="s">
        <v>7</v>
      </c>
      <c r="AY694" s="27" t="s">
        <v>8</v>
      </c>
      <c r="AZ694" s="27" t="s">
        <v>7</v>
      </c>
      <c r="BA694" s="27" t="s">
        <v>8</v>
      </c>
      <c r="BB694" s="27" t="s">
        <v>7</v>
      </c>
      <c r="BC694" s="27" t="s">
        <v>8</v>
      </c>
      <c r="BD694" s="27" t="s">
        <v>7</v>
      </c>
      <c r="BK694" s="27" t="s">
        <v>8</v>
      </c>
      <c r="BL694" s="27" t="s">
        <v>7</v>
      </c>
      <c r="BM694" s="27" t="s">
        <v>8</v>
      </c>
      <c r="CN694" s="27" t="s">
        <v>7</v>
      </c>
      <c r="CO694" s="27" t="s">
        <v>8</v>
      </c>
      <c r="CZ694" s="27" t="s">
        <v>7</v>
      </c>
      <c r="DA694" s="27" t="s">
        <v>8</v>
      </c>
      <c r="DB694" s="27" t="s">
        <v>7</v>
      </c>
      <c r="DC694" s="27" t="s">
        <v>8</v>
      </c>
      <c r="DD694" s="27" t="s">
        <v>7</v>
      </c>
      <c r="FC694" s="27" t="s">
        <v>8</v>
      </c>
      <c r="FD694" s="27" t="s">
        <v>7</v>
      </c>
    </row>
    <row r="695" spans="1:163" x14ac:dyDescent="0.25">
      <c r="A695" s="7">
        <v>0.1178098084100765</v>
      </c>
      <c r="B695"/>
      <c r="C695"/>
      <c r="D695"/>
      <c r="E695"/>
      <c r="F695" s="27" t="s">
        <v>7</v>
      </c>
      <c r="AY695" s="27" t="s">
        <v>8</v>
      </c>
      <c r="AZ695" s="27" t="s">
        <v>7</v>
      </c>
      <c r="BA695" s="27" t="s">
        <v>8</v>
      </c>
      <c r="BB695" s="27" t="s">
        <v>7</v>
      </c>
      <c r="BC695" s="27" t="s">
        <v>8</v>
      </c>
      <c r="BD695" s="27" t="s">
        <v>7</v>
      </c>
      <c r="BK695" s="27" t="s">
        <v>8</v>
      </c>
      <c r="BL695" s="27" t="s">
        <v>7</v>
      </c>
      <c r="BM695" s="27" t="s">
        <v>8</v>
      </c>
      <c r="CN695" s="27" t="s">
        <v>7</v>
      </c>
      <c r="CZ695" s="27" t="s">
        <v>7</v>
      </c>
      <c r="DA695" s="27" t="s">
        <v>8</v>
      </c>
      <c r="DB695" s="27" t="s">
        <v>7</v>
      </c>
      <c r="DC695" s="27" t="s">
        <v>8</v>
      </c>
      <c r="DD695" s="27" t="s">
        <v>7</v>
      </c>
      <c r="FC695" s="27" t="s">
        <v>8</v>
      </c>
    </row>
    <row r="696" spans="1:163" x14ac:dyDescent="0.25">
      <c r="A696" s="7">
        <v>0.11549981216674166</v>
      </c>
      <c r="B696"/>
      <c r="C696"/>
      <c r="D696"/>
      <c r="E696"/>
      <c r="F696" s="27" t="s">
        <v>7</v>
      </c>
      <c r="AY696" s="27" t="s">
        <v>8</v>
      </c>
      <c r="AZ696" s="27" t="s">
        <v>7</v>
      </c>
      <c r="BA696" s="27" t="s">
        <v>8</v>
      </c>
      <c r="BB696" s="27" t="s">
        <v>7</v>
      </c>
      <c r="BC696" s="27" t="s">
        <v>8</v>
      </c>
      <c r="BD696" s="27" t="s">
        <v>7</v>
      </c>
      <c r="BK696" s="27" t="s">
        <v>8</v>
      </c>
      <c r="BL696" s="27" t="s">
        <v>7</v>
      </c>
      <c r="CZ696" s="27" t="s">
        <v>7</v>
      </c>
      <c r="DA696" s="27" t="s">
        <v>8</v>
      </c>
      <c r="DB696" s="27" t="s">
        <v>7</v>
      </c>
      <c r="DC696" s="27" t="s">
        <v>8</v>
      </c>
      <c r="DD696" s="27" t="s">
        <v>7</v>
      </c>
      <c r="FA696" s="27" t="s">
        <v>8</v>
      </c>
      <c r="FC696" s="27" t="s">
        <v>8</v>
      </c>
    </row>
    <row r="697" spans="1:163" x14ac:dyDescent="0.25">
      <c r="A697" s="7">
        <v>0.11323510996739378</v>
      </c>
      <c r="B697"/>
      <c r="C697"/>
      <c r="D697"/>
      <c r="E697"/>
      <c r="F697" s="27" t="s">
        <v>7</v>
      </c>
      <c r="AY697" s="27" t="s">
        <v>8</v>
      </c>
      <c r="AZ697" s="27" t="s">
        <v>7</v>
      </c>
      <c r="BA697" s="27" t="s">
        <v>8</v>
      </c>
      <c r="BB697" s="27" t="s">
        <v>7</v>
      </c>
      <c r="BD697" s="27" t="s">
        <v>7</v>
      </c>
      <c r="BK697" s="27" t="s">
        <v>8</v>
      </c>
      <c r="CZ697" s="27" t="s">
        <v>7</v>
      </c>
      <c r="DB697" s="27" t="s">
        <v>7</v>
      </c>
      <c r="DC697" s="27" t="s">
        <v>8</v>
      </c>
      <c r="DD697" s="27" t="s">
        <v>7</v>
      </c>
      <c r="EW697" s="27" t="s">
        <v>8</v>
      </c>
      <c r="FA697" s="27" t="s">
        <v>8</v>
      </c>
      <c r="FB697" s="27" t="s">
        <v>7</v>
      </c>
      <c r="FC697" s="27" t="s">
        <v>8</v>
      </c>
    </row>
    <row r="698" spans="1:163" x14ac:dyDescent="0.25">
      <c r="A698" s="7">
        <v>0.11101481369352331</v>
      </c>
      <c r="B698"/>
      <c r="C698"/>
      <c r="D698"/>
      <c r="E698"/>
      <c r="F698" s="27" t="s">
        <v>7</v>
      </c>
      <c r="AY698" s="27" t="s">
        <v>8</v>
      </c>
      <c r="AZ698" s="27" t="s">
        <v>7</v>
      </c>
      <c r="BA698" s="27" t="s">
        <v>8</v>
      </c>
      <c r="BD698" s="27" t="s">
        <v>7</v>
      </c>
      <c r="BE698" s="27" t="s">
        <v>8</v>
      </c>
      <c r="BK698" s="27" t="s">
        <v>8</v>
      </c>
      <c r="DB698" s="27" t="s">
        <v>7</v>
      </c>
      <c r="DC698" s="27" t="s">
        <v>8</v>
      </c>
      <c r="DD698" s="27" t="s">
        <v>7</v>
      </c>
      <c r="EW698" s="27" t="s">
        <v>8</v>
      </c>
      <c r="EX698" s="27" t="s">
        <v>7</v>
      </c>
      <c r="FA698" s="27" t="s">
        <v>8</v>
      </c>
      <c r="FB698" s="27" t="s">
        <v>7</v>
      </c>
      <c r="FC698" s="27" t="s">
        <v>8</v>
      </c>
    </row>
    <row r="699" spans="1:163" x14ac:dyDescent="0.25">
      <c r="A699" s="7">
        <v>0.10883805264070913</v>
      </c>
      <c r="B699"/>
      <c r="C699"/>
      <c r="D699"/>
      <c r="E699"/>
      <c r="F699" s="27" t="s">
        <v>7</v>
      </c>
      <c r="AY699" s="27" t="s">
        <v>8</v>
      </c>
      <c r="AZ699" s="27" t="s">
        <v>7</v>
      </c>
      <c r="BA699" s="27" t="s">
        <v>8</v>
      </c>
      <c r="BD699" s="27" t="s">
        <v>7</v>
      </c>
      <c r="BE699" s="27" t="s">
        <v>8</v>
      </c>
      <c r="BF699" s="27" t="s">
        <v>7</v>
      </c>
      <c r="BK699" s="27" t="s">
        <v>8</v>
      </c>
      <c r="DB699" s="27" t="s">
        <v>7</v>
      </c>
      <c r="DC699" s="27" t="s">
        <v>8</v>
      </c>
      <c r="DD699" s="27" t="s">
        <v>7</v>
      </c>
      <c r="EW699" s="27" t="s">
        <v>8</v>
      </c>
      <c r="EX699" s="27" t="s">
        <v>7</v>
      </c>
      <c r="FA699" s="27" t="s">
        <v>8</v>
      </c>
      <c r="FB699" s="27" t="s">
        <v>7</v>
      </c>
      <c r="FC699" s="27" t="s">
        <v>8</v>
      </c>
    </row>
    <row r="700" spans="1:163" x14ac:dyDescent="0.25">
      <c r="A700" s="7">
        <v>0.10670397317716582</v>
      </c>
      <c r="B700"/>
      <c r="C700"/>
      <c r="D700"/>
      <c r="E700"/>
      <c r="F700" s="27" t="s">
        <v>7</v>
      </c>
      <c r="AY700" s="27" t="s">
        <v>8</v>
      </c>
      <c r="AZ700" s="27" t="s">
        <v>7</v>
      </c>
      <c r="BA700" s="27" t="s">
        <v>8</v>
      </c>
      <c r="BD700" s="27" t="s">
        <v>7</v>
      </c>
      <c r="BE700" s="27" t="s">
        <v>8</v>
      </c>
      <c r="BF700" s="27" t="s">
        <v>7</v>
      </c>
      <c r="BK700" s="27" t="s">
        <v>8</v>
      </c>
      <c r="DB700" s="27" t="s">
        <v>7</v>
      </c>
      <c r="DC700" s="27" t="s">
        <v>8</v>
      </c>
      <c r="DD700" s="27" t="s">
        <v>7</v>
      </c>
      <c r="EW700" s="27" t="s">
        <v>8</v>
      </c>
      <c r="EX700" s="27" t="s">
        <v>7</v>
      </c>
      <c r="FA700" s="27" t="s">
        <v>8</v>
      </c>
      <c r="FB700" s="27" t="s">
        <v>7</v>
      </c>
      <c r="FC700" s="27" t="s">
        <v>8</v>
      </c>
    </row>
    <row r="701" spans="1:163" x14ac:dyDescent="0.25">
      <c r="A701" s="7">
        <v>0.1046117384089861</v>
      </c>
      <c r="B701"/>
      <c r="C701"/>
      <c r="D701"/>
      <c r="E701"/>
      <c r="F701" s="27" t="s">
        <v>7</v>
      </c>
      <c r="AY701" s="27" t="s">
        <v>8</v>
      </c>
      <c r="AZ701" s="27" t="s">
        <v>7</v>
      </c>
      <c r="BA701" s="27" t="s">
        <v>8</v>
      </c>
      <c r="BD701" s="27" t="s">
        <v>7</v>
      </c>
      <c r="BE701" s="27" t="s">
        <v>8</v>
      </c>
      <c r="BF701" s="27" t="s">
        <v>7</v>
      </c>
      <c r="BI701" s="27" t="s">
        <v>8</v>
      </c>
      <c r="BK701" s="27" t="s">
        <v>8</v>
      </c>
      <c r="DB701" s="27" t="s">
        <v>7</v>
      </c>
      <c r="DC701" s="27" t="s">
        <v>8</v>
      </c>
      <c r="DD701" s="27" t="s">
        <v>7</v>
      </c>
      <c r="EU701" s="27" t="s">
        <v>8</v>
      </c>
      <c r="EW701" s="27" t="s">
        <v>8</v>
      </c>
      <c r="EX701" s="27" t="s">
        <v>7</v>
      </c>
      <c r="EY701" s="27" t="s">
        <v>8</v>
      </c>
      <c r="FA701" s="27" t="s">
        <v>8</v>
      </c>
      <c r="FB701" s="27" t="s">
        <v>7</v>
      </c>
      <c r="FC701" s="27" t="s">
        <v>8</v>
      </c>
    </row>
    <row r="702" spans="1:163" x14ac:dyDescent="0.25">
      <c r="A702" s="7">
        <v>0.10256052785194716</v>
      </c>
      <c r="B702"/>
      <c r="C702"/>
      <c r="D702"/>
      <c r="E702"/>
      <c r="F702" s="27" t="s">
        <v>7</v>
      </c>
      <c r="AY702" s="27" t="s">
        <v>8</v>
      </c>
      <c r="AZ702" s="27" t="s">
        <v>7</v>
      </c>
      <c r="BA702" s="27" t="s">
        <v>8</v>
      </c>
      <c r="BD702" s="27" t="s">
        <v>7</v>
      </c>
      <c r="BE702" s="27" t="s">
        <v>8</v>
      </c>
      <c r="BF702" s="27" t="s">
        <v>7</v>
      </c>
      <c r="BI702" s="27" t="s">
        <v>8</v>
      </c>
      <c r="BJ702" s="27" t="s">
        <v>7</v>
      </c>
      <c r="BK702" s="27" t="s">
        <v>8</v>
      </c>
      <c r="DB702" s="27" t="s">
        <v>7</v>
      </c>
      <c r="DD702" s="27" t="s">
        <v>7</v>
      </c>
      <c r="EU702" s="27" t="s">
        <v>8</v>
      </c>
      <c r="EV702" s="27" t="s">
        <v>7</v>
      </c>
      <c r="EW702" s="27" t="s">
        <v>8</v>
      </c>
      <c r="EX702" s="27" t="s">
        <v>7</v>
      </c>
      <c r="EY702" s="27" t="s">
        <v>8</v>
      </c>
      <c r="EZ702" s="27" t="s">
        <v>7</v>
      </c>
      <c r="FA702" s="27" t="s">
        <v>8</v>
      </c>
      <c r="FB702" s="27" t="s">
        <v>7</v>
      </c>
      <c r="FC702" s="27" t="s">
        <v>8</v>
      </c>
    </row>
    <row r="703" spans="1:163" x14ac:dyDescent="0.25">
      <c r="A703" s="7">
        <v>0.10054953710975212</v>
      </c>
      <c r="B703"/>
      <c r="C703"/>
      <c r="D703"/>
      <c r="E703"/>
      <c r="F703" s="27" t="s">
        <v>7</v>
      </c>
      <c r="AY703" s="27" t="s">
        <v>8</v>
      </c>
      <c r="AZ703" s="27" t="s">
        <v>7</v>
      </c>
      <c r="BA703" s="27" t="s">
        <v>8</v>
      </c>
      <c r="BD703" s="27" t="s">
        <v>7</v>
      </c>
      <c r="BE703" s="27" t="s">
        <v>8</v>
      </c>
      <c r="BF703" s="27" t="s">
        <v>7</v>
      </c>
      <c r="BI703" s="27" t="s">
        <v>8</v>
      </c>
      <c r="BJ703" s="27" t="s">
        <v>7</v>
      </c>
      <c r="BK703" s="27" t="s">
        <v>8</v>
      </c>
      <c r="DD703" s="27" t="s">
        <v>7</v>
      </c>
      <c r="EU703" s="27" t="s">
        <v>8</v>
      </c>
      <c r="EV703" s="27" t="s">
        <v>7</v>
      </c>
      <c r="EW703" s="27" t="s">
        <v>8</v>
      </c>
      <c r="EX703" s="27" t="s">
        <v>7</v>
      </c>
      <c r="EY703" s="27" t="s">
        <v>8</v>
      </c>
      <c r="EZ703" s="27" t="s">
        <v>7</v>
      </c>
      <c r="FA703" s="27" t="s">
        <v>8</v>
      </c>
      <c r="FB703" s="27" t="s">
        <v>7</v>
      </c>
      <c r="FC703" s="27" t="s">
        <v>8</v>
      </c>
    </row>
    <row r="704" spans="1:163" x14ac:dyDescent="0.25">
      <c r="A704" s="7">
        <v>9.8577977558580512E-2</v>
      </c>
      <c r="B704"/>
      <c r="C704"/>
      <c r="D704"/>
      <c r="E704"/>
      <c r="F704" s="27" t="s">
        <v>7</v>
      </c>
      <c r="AY704" s="27" t="s">
        <v>8</v>
      </c>
      <c r="AZ704" s="27" t="s">
        <v>7</v>
      </c>
      <c r="BA704" s="27" t="s">
        <v>8</v>
      </c>
      <c r="BD704" s="27" t="s">
        <v>7</v>
      </c>
      <c r="BE704" s="27" t="s">
        <v>8</v>
      </c>
      <c r="BF704" s="27" t="s">
        <v>7</v>
      </c>
      <c r="BG704" s="27" t="s">
        <v>8</v>
      </c>
      <c r="BI704" s="27" t="s">
        <v>8</v>
      </c>
      <c r="BJ704" s="27" t="s">
        <v>7</v>
      </c>
      <c r="BK704" s="27" t="s">
        <v>8</v>
      </c>
      <c r="DD704" s="27" t="s">
        <v>7</v>
      </c>
      <c r="ES704" s="27" t="s">
        <v>8</v>
      </c>
      <c r="EU704" s="27" t="s">
        <v>8</v>
      </c>
      <c r="EV704" s="27" t="s">
        <v>7</v>
      </c>
      <c r="EW704" s="27" t="s">
        <v>8</v>
      </c>
      <c r="EX704" s="27" t="s">
        <v>7</v>
      </c>
      <c r="EY704" s="27" t="s">
        <v>8</v>
      </c>
      <c r="EZ704" s="27" t="s">
        <v>7</v>
      </c>
      <c r="FB704" s="27" t="s">
        <v>7</v>
      </c>
      <c r="FC704" s="27" t="s">
        <v>8</v>
      </c>
    </row>
    <row r="705" spans="1:159" x14ac:dyDescent="0.25">
      <c r="A705" s="7">
        <v>9.6645076037824032E-2</v>
      </c>
      <c r="B705"/>
      <c r="C705"/>
      <c r="D705"/>
      <c r="E705"/>
      <c r="F705" s="27" t="s">
        <v>7</v>
      </c>
      <c r="AY705" s="27" t="s">
        <v>8</v>
      </c>
      <c r="AZ705" s="27" t="s">
        <v>7</v>
      </c>
      <c r="BA705" s="27" t="s">
        <v>8</v>
      </c>
      <c r="BD705" s="27" t="s">
        <v>7</v>
      </c>
      <c r="BE705" s="27" t="s">
        <v>8</v>
      </c>
      <c r="BF705" s="27" t="s">
        <v>7</v>
      </c>
      <c r="BG705" s="27" t="s">
        <v>8</v>
      </c>
      <c r="BH705" s="27" t="s">
        <v>7</v>
      </c>
      <c r="BI705" s="27" t="s">
        <v>8</v>
      </c>
      <c r="BJ705" s="27" t="s">
        <v>7</v>
      </c>
      <c r="BK705" s="27" t="s">
        <v>8</v>
      </c>
      <c r="DD705" s="27" t="s">
        <v>7</v>
      </c>
      <c r="DI705" s="27" t="s">
        <v>8</v>
      </c>
      <c r="ES705" s="27" t="s">
        <v>8</v>
      </c>
      <c r="ET705" s="27" t="s">
        <v>7</v>
      </c>
      <c r="EU705" s="27" t="s">
        <v>8</v>
      </c>
      <c r="EV705" s="27" t="s">
        <v>7</v>
      </c>
      <c r="EW705" s="27" t="s">
        <v>8</v>
      </c>
      <c r="EX705" s="27" t="s">
        <v>7</v>
      </c>
      <c r="EY705" s="27" t="s">
        <v>8</v>
      </c>
      <c r="FB705" s="27" t="s">
        <v>7</v>
      </c>
      <c r="FC705" s="27" t="s">
        <v>8</v>
      </c>
    </row>
    <row r="706" spans="1:159" x14ac:dyDescent="0.25">
      <c r="A706" s="7">
        <v>9.4750074546886304E-2</v>
      </c>
      <c r="B706"/>
      <c r="C706"/>
      <c r="D706"/>
      <c r="E706"/>
      <c r="F706" s="27" t="s">
        <v>7</v>
      </c>
      <c r="AY706" s="27" t="s">
        <v>8</v>
      </c>
      <c r="AZ706" s="27" t="s">
        <v>7</v>
      </c>
      <c r="BA706" s="27" t="s">
        <v>8</v>
      </c>
      <c r="BD706" s="27" t="s">
        <v>7</v>
      </c>
      <c r="BE706" s="27" t="s">
        <v>8</v>
      </c>
      <c r="BF706" s="27" t="s">
        <v>7</v>
      </c>
      <c r="BG706" s="27" t="s">
        <v>8</v>
      </c>
      <c r="BH706" s="27" t="s">
        <v>7</v>
      </c>
      <c r="BI706" s="27" t="s">
        <v>8</v>
      </c>
      <c r="BJ706" s="27" t="s">
        <v>7</v>
      </c>
      <c r="BK706" s="27" t="s">
        <v>8</v>
      </c>
      <c r="DD706" s="27" t="s">
        <v>7</v>
      </c>
      <c r="DI706" s="27" t="s">
        <v>8</v>
      </c>
      <c r="DJ706" s="27" t="s">
        <v>7</v>
      </c>
      <c r="ES706" s="27" t="s">
        <v>8</v>
      </c>
      <c r="ET706" s="27" t="s">
        <v>7</v>
      </c>
      <c r="EU706" s="27" t="s">
        <v>8</v>
      </c>
      <c r="EV706" s="27" t="s">
        <v>7</v>
      </c>
      <c r="EW706" s="27" t="s">
        <v>8</v>
      </c>
      <c r="EX706" s="27" t="s">
        <v>7</v>
      </c>
      <c r="EY706" s="27" t="s">
        <v>8</v>
      </c>
      <c r="FB706" s="27" t="s">
        <v>7</v>
      </c>
      <c r="FC706" s="27" t="s">
        <v>8</v>
      </c>
    </row>
    <row r="707" spans="1:159" x14ac:dyDescent="0.25">
      <c r="A707" s="7">
        <v>9.2892229947927743E-2</v>
      </c>
      <c r="B707"/>
      <c r="C707"/>
      <c r="D707"/>
      <c r="E707"/>
      <c r="F707" s="27" t="s">
        <v>7</v>
      </c>
      <c r="AY707" s="27" t="s">
        <v>8</v>
      </c>
      <c r="AZ707" s="27" t="s">
        <v>7</v>
      </c>
      <c r="BA707" s="27" t="s">
        <v>8</v>
      </c>
      <c r="BD707" s="27" t="s">
        <v>7</v>
      </c>
      <c r="BE707" s="27" t="s">
        <v>8</v>
      </c>
      <c r="BF707" s="27" t="s">
        <v>7</v>
      </c>
      <c r="BG707" s="27" t="s">
        <v>8</v>
      </c>
      <c r="BH707" s="27" t="s">
        <v>7</v>
      </c>
      <c r="BI707" s="27" t="s">
        <v>8</v>
      </c>
      <c r="BJ707" s="27" t="s">
        <v>7</v>
      </c>
      <c r="DD707" s="27" t="s">
        <v>7</v>
      </c>
      <c r="DI707" s="27" t="s">
        <v>8</v>
      </c>
      <c r="DJ707" s="27" t="s">
        <v>7</v>
      </c>
      <c r="ES707" s="27" t="s">
        <v>8</v>
      </c>
      <c r="ET707" s="27" t="s">
        <v>7</v>
      </c>
      <c r="EU707" s="27" t="s">
        <v>8</v>
      </c>
      <c r="EV707" s="27" t="s">
        <v>7</v>
      </c>
      <c r="EX707" s="27" t="s">
        <v>7</v>
      </c>
      <c r="FB707" s="27" t="s">
        <v>7</v>
      </c>
    </row>
    <row r="708" spans="1:159" x14ac:dyDescent="0.25">
      <c r="A708" s="7">
        <v>9.1070813674438963E-2</v>
      </c>
      <c r="B708"/>
      <c r="C708"/>
      <c r="D708"/>
      <c r="E708"/>
      <c r="F708" s="27" t="s">
        <v>7</v>
      </c>
      <c r="AY708" s="27" t="s">
        <v>8</v>
      </c>
      <c r="AZ708" s="27" t="s">
        <v>7</v>
      </c>
      <c r="BA708" s="27" t="s">
        <v>8</v>
      </c>
      <c r="BD708" s="27" t="s">
        <v>7</v>
      </c>
      <c r="BE708" s="27" t="s">
        <v>8</v>
      </c>
      <c r="BF708" s="27" t="s">
        <v>7</v>
      </c>
      <c r="BG708" s="27" t="s">
        <v>8</v>
      </c>
      <c r="BH708" s="27" t="s">
        <v>7</v>
      </c>
      <c r="BI708" s="27" t="s">
        <v>8</v>
      </c>
      <c r="DD708" s="27" t="s">
        <v>7</v>
      </c>
      <c r="DE708" s="27" t="s">
        <v>8</v>
      </c>
      <c r="DI708" s="27" t="s">
        <v>8</v>
      </c>
      <c r="DJ708" s="27" t="s">
        <v>7</v>
      </c>
      <c r="EQ708" s="27" t="s">
        <v>8</v>
      </c>
      <c r="ES708" s="27" t="s">
        <v>8</v>
      </c>
      <c r="ET708" s="27" t="s">
        <v>7</v>
      </c>
      <c r="EU708" s="27" t="s">
        <v>8</v>
      </c>
    </row>
    <row r="709" spans="1:159" x14ac:dyDescent="0.25">
      <c r="A709" s="7">
        <v>8.9285111445528392E-2</v>
      </c>
      <c r="B709"/>
      <c r="C709"/>
      <c r="D709"/>
      <c r="E709"/>
      <c r="F709" s="27" t="s">
        <v>7</v>
      </c>
      <c r="AY709" s="27" t="s">
        <v>8</v>
      </c>
      <c r="AZ709" s="27" t="s">
        <v>7</v>
      </c>
      <c r="BA709" s="27" t="s">
        <v>8</v>
      </c>
      <c r="BD709" s="27" t="s">
        <v>7</v>
      </c>
      <c r="BE709" s="27" t="s">
        <v>8</v>
      </c>
      <c r="BF709" s="27" t="s">
        <v>7</v>
      </c>
      <c r="BG709" s="27" t="s">
        <v>8</v>
      </c>
      <c r="BH709" s="27" t="s">
        <v>7</v>
      </c>
      <c r="BI709" s="27" t="s">
        <v>8</v>
      </c>
      <c r="DD709" s="27" t="s">
        <v>7</v>
      </c>
      <c r="DE709" s="27" t="s">
        <v>8</v>
      </c>
      <c r="DF709" s="27" t="s">
        <v>7</v>
      </c>
      <c r="DI709" s="27" t="s">
        <v>8</v>
      </c>
      <c r="DJ709" s="27" t="s">
        <v>7</v>
      </c>
      <c r="EQ709" s="27" t="s">
        <v>8</v>
      </c>
      <c r="ER709" s="27" t="s">
        <v>7</v>
      </c>
      <c r="ES709" s="27" t="s">
        <v>8</v>
      </c>
      <c r="ET709" s="27" t="s">
        <v>7</v>
      </c>
    </row>
    <row r="710" spans="1:159" x14ac:dyDescent="0.25">
      <c r="A710" s="7">
        <v>8.7534422985812155E-2</v>
      </c>
      <c r="B710"/>
      <c r="C710"/>
      <c r="D710"/>
      <c r="E710"/>
      <c r="F710" s="27" t="s">
        <v>7</v>
      </c>
      <c r="AW710" s="27" t="s">
        <v>8</v>
      </c>
      <c r="AY710" s="27" t="s">
        <v>8</v>
      </c>
      <c r="AZ710" s="27" t="s">
        <v>7</v>
      </c>
      <c r="BD710" s="27" t="s">
        <v>7</v>
      </c>
      <c r="BE710" s="27" t="s">
        <v>8</v>
      </c>
      <c r="BF710" s="27" t="s">
        <v>7</v>
      </c>
      <c r="BG710" s="27" t="s">
        <v>8</v>
      </c>
      <c r="BH710" s="27" t="s">
        <v>7</v>
      </c>
      <c r="BI710" s="27" t="s">
        <v>8</v>
      </c>
      <c r="DD710" s="27" t="s">
        <v>7</v>
      </c>
      <c r="DE710" s="27" t="s">
        <v>8</v>
      </c>
      <c r="DF710" s="27" t="s">
        <v>7</v>
      </c>
      <c r="DI710" s="27" t="s">
        <v>8</v>
      </c>
      <c r="DJ710" s="27" t="s">
        <v>7</v>
      </c>
      <c r="DK710" s="27" t="s">
        <v>8</v>
      </c>
      <c r="EQ710" s="27" t="s">
        <v>8</v>
      </c>
      <c r="ER710" s="27" t="s">
        <v>7</v>
      </c>
      <c r="ES710" s="27" t="s">
        <v>8</v>
      </c>
    </row>
    <row r="711" spans="1:159" x14ac:dyDescent="0.25">
      <c r="A711" s="7">
        <v>8.5818061750796232E-2</v>
      </c>
      <c r="B711"/>
      <c r="C711"/>
      <c r="D711"/>
      <c r="E711"/>
      <c r="F711" s="27" t="s">
        <v>7</v>
      </c>
      <c r="AW711" s="27" t="s">
        <v>8</v>
      </c>
      <c r="AX711" s="27" t="s">
        <v>7</v>
      </c>
      <c r="AY711" s="27" t="s">
        <v>8</v>
      </c>
      <c r="BD711" s="27" t="s">
        <v>7</v>
      </c>
      <c r="BF711" s="27" t="s">
        <v>7</v>
      </c>
      <c r="BG711" s="27" t="s">
        <v>8</v>
      </c>
      <c r="BH711" s="27" t="s">
        <v>7</v>
      </c>
      <c r="BI711" s="27" t="s">
        <v>8</v>
      </c>
      <c r="DD711" s="27" t="s">
        <v>7</v>
      </c>
      <c r="DE711" s="27" t="s">
        <v>8</v>
      </c>
      <c r="DF711" s="27" t="s">
        <v>7</v>
      </c>
      <c r="DI711" s="27" t="s">
        <v>8</v>
      </c>
      <c r="DJ711" s="27" t="s">
        <v>7</v>
      </c>
      <c r="DK711" s="27" t="s">
        <v>8</v>
      </c>
      <c r="DL711" s="27" t="s">
        <v>7</v>
      </c>
      <c r="EQ711" s="27" t="s">
        <v>8</v>
      </c>
      <c r="ER711" s="27" t="s">
        <v>7</v>
      </c>
      <c r="ES711" s="27" t="s">
        <v>8</v>
      </c>
    </row>
    <row r="712" spans="1:159" x14ac:dyDescent="0.25">
      <c r="A712" s="7">
        <v>8.4135354657643366E-2</v>
      </c>
      <c r="B712"/>
      <c r="C712"/>
      <c r="D712"/>
      <c r="E712"/>
      <c r="F712" s="27" t="s">
        <v>7</v>
      </c>
      <c r="AW712" s="27" t="s">
        <v>8</v>
      </c>
      <c r="AX712" s="27" t="s">
        <v>7</v>
      </c>
      <c r="AY712" s="27" t="s">
        <v>8</v>
      </c>
      <c r="BF712" s="27" t="s">
        <v>7</v>
      </c>
      <c r="BH712" s="27" t="s">
        <v>7</v>
      </c>
      <c r="DD712" s="27" t="s">
        <v>7</v>
      </c>
      <c r="DE712" s="27" t="s">
        <v>8</v>
      </c>
      <c r="DF712" s="27" t="s">
        <v>7</v>
      </c>
      <c r="DI712" s="27" t="s">
        <v>8</v>
      </c>
      <c r="DJ712" s="27" t="s">
        <v>7</v>
      </c>
      <c r="DK712" s="27" t="s">
        <v>8</v>
      </c>
      <c r="DL712" s="27" t="s">
        <v>7</v>
      </c>
      <c r="DM712" s="27" t="s">
        <v>8</v>
      </c>
      <c r="EQ712" s="27" t="s">
        <v>8</v>
      </c>
      <c r="ER712" s="27" t="s">
        <v>7</v>
      </c>
      <c r="ES712" s="27" t="s">
        <v>8</v>
      </c>
    </row>
    <row r="713" spans="1:159" x14ac:dyDescent="0.25">
      <c r="A713" s="7">
        <v>8.248564182121898E-2</v>
      </c>
      <c r="B713"/>
      <c r="C713"/>
      <c r="D713"/>
      <c r="E713"/>
      <c r="F713" s="27" t="s">
        <v>7</v>
      </c>
      <c r="AW713" s="27" t="s">
        <v>8</v>
      </c>
      <c r="AX713" s="27" t="s">
        <v>7</v>
      </c>
      <c r="AY713" s="27" t="s">
        <v>8</v>
      </c>
      <c r="DD713" s="27" t="s">
        <v>7</v>
      </c>
      <c r="DE713" s="27" t="s">
        <v>8</v>
      </c>
      <c r="DF713" s="27" t="s">
        <v>7</v>
      </c>
      <c r="DI713" s="27" t="s">
        <v>8</v>
      </c>
      <c r="DJ713" s="27" t="s">
        <v>7</v>
      </c>
      <c r="DK713" s="27" t="s">
        <v>8</v>
      </c>
      <c r="DL713" s="27" t="s">
        <v>7</v>
      </c>
      <c r="DM713" s="27" t="s">
        <v>8</v>
      </c>
      <c r="DN713" s="27" t="s">
        <v>7</v>
      </c>
      <c r="DS713" s="27" t="s">
        <v>8</v>
      </c>
      <c r="EO713" s="27" t="s">
        <v>8</v>
      </c>
      <c r="EQ713" s="27" t="s">
        <v>8</v>
      </c>
      <c r="ER713" s="27" t="s">
        <v>7</v>
      </c>
      <c r="ES713" s="27" t="s">
        <v>8</v>
      </c>
    </row>
    <row r="714" spans="1:159" x14ac:dyDescent="0.25">
      <c r="A714" s="7">
        <v>8.0868276295312735E-2</v>
      </c>
      <c r="B714"/>
      <c r="C714"/>
      <c r="D714"/>
      <c r="E714"/>
      <c r="F714" s="27" t="s">
        <v>7</v>
      </c>
      <c r="AW714" s="27" t="s">
        <v>8</v>
      </c>
      <c r="AX714" s="27" t="s">
        <v>7</v>
      </c>
      <c r="DD714" s="27" t="s">
        <v>7</v>
      </c>
      <c r="DE714" s="27" t="s">
        <v>8</v>
      </c>
      <c r="DF714" s="27" t="s">
        <v>7</v>
      </c>
      <c r="DI714" s="27" t="s">
        <v>8</v>
      </c>
      <c r="DJ714" s="27" t="s">
        <v>7</v>
      </c>
      <c r="DK714" s="27" t="s">
        <v>8</v>
      </c>
      <c r="DL714" s="27" t="s">
        <v>7</v>
      </c>
      <c r="DM714" s="27" t="s">
        <v>8</v>
      </c>
      <c r="DN714" s="27" t="s">
        <v>7</v>
      </c>
      <c r="DS714" s="27" t="s">
        <v>8</v>
      </c>
      <c r="DT714" s="27" t="s">
        <v>7</v>
      </c>
      <c r="EM714" s="27" t="s">
        <v>8</v>
      </c>
      <c r="EO714" s="27" t="s">
        <v>8</v>
      </c>
      <c r="EP714" s="27" t="s">
        <v>7</v>
      </c>
      <c r="EQ714" s="27" t="s">
        <v>8</v>
      </c>
      <c r="ER714" s="27" t="s">
        <v>7</v>
      </c>
    </row>
    <row r="715" spans="1:159" x14ac:dyDescent="0.25">
      <c r="A715" s="7">
        <v>7.9282623818934056E-2</v>
      </c>
      <c r="B715"/>
      <c r="C715"/>
      <c r="D715"/>
      <c r="E715"/>
      <c r="F715" s="27" t="s">
        <v>7</v>
      </c>
      <c r="AU715" s="27" t="s">
        <v>8</v>
      </c>
      <c r="AW715" s="27" t="s">
        <v>8</v>
      </c>
      <c r="DD715" s="27" t="s">
        <v>7</v>
      </c>
      <c r="DE715" s="27" t="s">
        <v>8</v>
      </c>
      <c r="DF715" s="27" t="s">
        <v>7</v>
      </c>
      <c r="DI715" s="27" t="s">
        <v>8</v>
      </c>
      <c r="DJ715" s="27" t="s">
        <v>7</v>
      </c>
      <c r="DK715" s="27" t="s">
        <v>8</v>
      </c>
      <c r="DL715" s="27" t="s">
        <v>7</v>
      </c>
      <c r="DM715" s="27" t="s">
        <v>8</v>
      </c>
      <c r="DN715" s="27" t="s">
        <v>7</v>
      </c>
      <c r="DS715" s="27" t="s">
        <v>8</v>
      </c>
      <c r="DT715" s="27" t="s">
        <v>7</v>
      </c>
      <c r="EM715" s="27" t="s">
        <v>8</v>
      </c>
      <c r="EN715" s="27" t="s">
        <v>7</v>
      </c>
      <c r="EO715" s="27" t="s">
        <v>8</v>
      </c>
      <c r="EP715" s="27" t="s">
        <v>7</v>
      </c>
      <c r="EQ715" s="27" t="s">
        <v>8</v>
      </c>
    </row>
    <row r="716" spans="1:159" x14ac:dyDescent="0.25">
      <c r="A716" s="7">
        <v>7.7728062567582412E-2</v>
      </c>
      <c r="B716"/>
      <c r="C716"/>
      <c r="D716"/>
      <c r="E716"/>
      <c r="F716" s="27" t="s">
        <v>7</v>
      </c>
      <c r="AU716" s="27" t="s">
        <v>8</v>
      </c>
      <c r="AV716" s="27" t="s">
        <v>7</v>
      </c>
      <c r="AW716" s="27" t="s">
        <v>8</v>
      </c>
      <c r="DD716" s="27" t="s">
        <v>7</v>
      </c>
      <c r="DE716" s="27" t="s">
        <v>8</v>
      </c>
      <c r="DF716" s="27" t="s">
        <v>7</v>
      </c>
      <c r="DI716" s="27" t="s">
        <v>8</v>
      </c>
      <c r="DJ716" s="27" t="s">
        <v>7</v>
      </c>
      <c r="DK716" s="27" t="s">
        <v>8</v>
      </c>
      <c r="DL716" s="27" t="s">
        <v>7</v>
      </c>
      <c r="DM716" s="27" t="s">
        <v>8</v>
      </c>
      <c r="DN716" s="27" t="s">
        <v>7</v>
      </c>
      <c r="DO716" s="27" t="s">
        <v>8</v>
      </c>
      <c r="DQ716" s="27" t="s">
        <v>8</v>
      </c>
      <c r="DS716" s="27" t="s">
        <v>8</v>
      </c>
      <c r="DT716" s="27" t="s">
        <v>7</v>
      </c>
      <c r="EM716" s="27" t="s">
        <v>8</v>
      </c>
      <c r="EN716" s="27" t="s">
        <v>7</v>
      </c>
      <c r="EO716" s="27" t="s">
        <v>8</v>
      </c>
      <c r="EP716" s="27" t="s">
        <v>7</v>
      </c>
      <c r="EQ716" s="27" t="s">
        <v>8</v>
      </c>
    </row>
    <row r="717" spans="1:159" x14ac:dyDescent="0.25">
      <c r="A717" s="7">
        <v>7.6203982909394521E-2</v>
      </c>
      <c r="B717"/>
      <c r="C717"/>
      <c r="D717"/>
      <c r="E717"/>
      <c r="F717" s="27" t="s">
        <v>7</v>
      </c>
      <c r="AU717" s="27" t="s">
        <v>8</v>
      </c>
      <c r="AV717" s="27" t="s">
        <v>7</v>
      </c>
      <c r="AW717" s="27" t="s">
        <v>8</v>
      </c>
      <c r="DD717" s="27" t="s">
        <v>7</v>
      </c>
      <c r="DE717" s="27" t="s">
        <v>8</v>
      </c>
      <c r="DF717" s="27" t="s">
        <v>7</v>
      </c>
      <c r="DI717" s="27" t="s">
        <v>8</v>
      </c>
      <c r="DJ717" s="27" t="s">
        <v>7</v>
      </c>
      <c r="DK717" s="27" t="s">
        <v>8</v>
      </c>
      <c r="DL717" s="27" t="s">
        <v>7</v>
      </c>
      <c r="DM717" s="27" t="s">
        <v>8</v>
      </c>
      <c r="DN717" s="27" t="s">
        <v>7</v>
      </c>
      <c r="DO717" s="27" t="s">
        <v>8</v>
      </c>
      <c r="DP717" s="27" t="s">
        <v>7</v>
      </c>
      <c r="DQ717" s="27" t="s">
        <v>8</v>
      </c>
      <c r="DR717" s="27" t="s">
        <v>7</v>
      </c>
      <c r="DS717" s="27" t="s">
        <v>8</v>
      </c>
      <c r="DT717" s="27" t="s">
        <v>7</v>
      </c>
      <c r="EM717" s="27" t="s">
        <v>8</v>
      </c>
      <c r="EN717" s="27" t="s">
        <v>7</v>
      </c>
      <c r="EO717" s="27" t="s">
        <v>8</v>
      </c>
      <c r="EP717" s="27" t="s">
        <v>7</v>
      </c>
      <c r="EQ717" s="27" t="s">
        <v>8</v>
      </c>
    </row>
    <row r="718" spans="1:159" x14ac:dyDescent="0.25">
      <c r="A718" s="7">
        <v>7.4709787166073058E-2</v>
      </c>
      <c r="B718"/>
      <c r="C718"/>
      <c r="D718"/>
      <c r="E718"/>
      <c r="F718" s="27" t="s">
        <v>7</v>
      </c>
      <c r="AI718" s="27" t="s">
        <v>8</v>
      </c>
      <c r="AS718" s="27" t="s">
        <v>8</v>
      </c>
      <c r="AU718" s="27" t="s">
        <v>8</v>
      </c>
      <c r="AV718" s="27" t="s">
        <v>7</v>
      </c>
      <c r="AW718" s="27" t="s">
        <v>8</v>
      </c>
      <c r="DD718" s="27" t="s">
        <v>7</v>
      </c>
      <c r="DE718" s="27" t="s">
        <v>8</v>
      </c>
      <c r="DF718" s="27" t="s">
        <v>7</v>
      </c>
      <c r="DI718" s="27" t="s">
        <v>8</v>
      </c>
      <c r="DJ718" s="27" t="s">
        <v>7</v>
      </c>
      <c r="DK718" s="27" t="s">
        <v>8</v>
      </c>
      <c r="DL718" s="27" t="s">
        <v>7</v>
      </c>
      <c r="DN718" s="27" t="s">
        <v>7</v>
      </c>
      <c r="DO718" s="27" t="s">
        <v>8</v>
      </c>
      <c r="DP718" s="27" t="s">
        <v>7</v>
      </c>
      <c r="DQ718" s="27" t="s">
        <v>8</v>
      </c>
      <c r="DR718" s="27" t="s">
        <v>7</v>
      </c>
      <c r="DS718" s="27" t="s">
        <v>8</v>
      </c>
      <c r="DT718" s="27" t="s">
        <v>7</v>
      </c>
      <c r="EM718" s="27" t="s">
        <v>8</v>
      </c>
      <c r="EN718" s="27" t="s">
        <v>7</v>
      </c>
      <c r="EO718" s="27" t="s">
        <v>8</v>
      </c>
      <c r="EP718" s="27" t="s">
        <v>7</v>
      </c>
      <c r="EQ718" s="27" t="s">
        <v>8</v>
      </c>
    </row>
    <row r="719" spans="1:159" x14ac:dyDescent="0.25">
      <c r="A719" s="7">
        <v>7.3244889378503E-2</v>
      </c>
      <c r="B719"/>
      <c r="C719"/>
      <c r="D719"/>
      <c r="E719"/>
      <c r="F719" s="27" t="s">
        <v>7</v>
      </c>
      <c r="AI719" s="27" t="s">
        <v>8</v>
      </c>
      <c r="AJ719" s="27" t="s">
        <v>7</v>
      </c>
      <c r="AS719" s="27" t="s">
        <v>8</v>
      </c>
      <c r="AT719" s="27" t="s">
        <v>7</v>
      </c>
      <c r="AU719" s="27" t="s">
        <v>8</v>
      </c>
      <c r="AV719" s="27" t="s">
        <v>7</v>
      </c>
      <c r="AW719" s="27" t="s">
        <v>8</v>
      </c>
      <c r="DD719" s="27" t="s">
        <v>7</v>
      </c>
      <c r="DE719" s="27" t="s">
        <v>8</v>
      </c>
      <c r="DF719" s="27" t="s">
        <v>7</v>
      </c>
      <c r="DG719" s="27" t="s">
        <v>8</v>
      </c>
      <c r="DI719" s="27" t="s">
        <v>8</v>
      </c>
      <c r="DJ719" s="27" t="s">
        <v>7</v>
      </c>
      <c r="DK719" s="27" t="s">
        <v>8</v>
      </c>
      <c r="DN719" s="27" t="s">
        <v>7</v>
      </c>
      <c r="DO719" s="27" t="s">
        <v>8</v>
      </c>
      <c r="DP719" s="27" t="s">
        <v>7</v>
      </c>
      <c r="DQ719" s="27" t="s">
        <v>8</v>
      </c>
      <c r="DR719" s="27" t="s">
        <v>7</v>
      </c>
      <c r="DS719" s="27" t="s">
        <v>8</v>
      </c>
      <c r="DT719" s="27" t="s">
        <v>7</v>
      </c>
      <c r="EE719" s="27" t="s">
        <v>8</v>
      </c>
      <c r="EM719" s="27" t="s">
        <v>8</v>
      </c>
      <c r="EN719" s="27" t="s">
        <v>7</v>
      </c>
      <c r="EO719" s="27" t="s">
        <v>8</v>
      </c>
      <c r="EP719" s="27" t="s">
        <v>7</v>
      </c>
      <c r="EQ719" s="27" t="s">
        <v>8</v>
      </c>
    </row>
    <row r="720" spans="1:159" x14ac:dyDescent="0.25">
      <c r="A720" s="7">
        <v>7.1808715076963722E-2</v>
      </c>
      <c r="B720"/>
      <c r="C720"/>
      <c r="D720"/>
      <c r="E720"/>
      <c r="F720" s="27" t="s">
        <v>7</v>
      </c>
      <c r="AI720" s="27" t="s">
        <v>8</v>
      </c>
      <c r="AJ720" s="27" t="s">
        <v>7</v>
      </c>
      <c r="AS720" s="27" t="s">
        <v>8</v>
      </c>
      <c r="AT720" s="27" t="s">
        <v>7</v>
      </c>
      <c r="AU720" s="27" t="s">
        <v>8</v>
      </c>
      <c r="AV720" s="27" t="s">
        <v>7</v>
      </c>
      <c r="AW720" s="27" t="s">
        <v>8</v>
      </c>
      <c r="DD720" s="27" t="s">
        <v>7</v>
      </c>
      <c r="DE720" s="27" t="s">
        <v>8</v>
      </c>
      <c r="DF720" s="27" t="s">
        <v>7</v>
      </c>
      <c r="DG720" s="27" t="s">
        <v>8</v>
      </c>
      <c r="DH720" s="27" t="s">
        <v>7</v>
      </c>
      <c r="DI720" s="27" t="s">
        <v>8</v>
      </c>
      <c r="DJ720" s="27" t="s">
        <v>7</v>
      </c>
      <c r="DK720" s="27" t="s">
        <v>8</v>
      </c>
      <c r="DN720" s="27" t="s">
        <v>7</v>
      </c>
      <c r="DP720" s="27" t="s">
        <v>7</v>
      </c>
      <c r="DQ720" s="27" t="s">
        <v>8</v>
      </c>
      <c r="DR720" s="27" t="s">
        <v>7</v>
      </c>
      <c r="DS720" s="27" t="s">
        <v>8</v>
      </c>
      <c r="DT720" s="27" t="s">
        <v>7</v>
      </c>
      <c r="EA720" s="27" t="s">
        <v>8</v>
      </c>
      <c r="EE720" s="27" t="s">
        <v>8</v>
      </c>
      <c r="EF720" s="27" t="s">
        <v>7</v>
      </c>
      <c r="EG720" s="27" t="s">
        <v>8</v>
      </c>
      <c r="EK720" s="27" t="s">
        <v>8</v>
      </c>
      <c r="EM720" s="27" t="s">
        <v>8</v>
      </c>
      <c r="EN720" s="27" t="s">
        <v>7</v>
      </c>
      <c r="EO720" s="27" t="s">
        <v>8</v>
      </c>
      <c r="EP720" s="27" t="s">
        <v>7</v>
      </c>
    </row>
    <row r="721" spans="1:144" x14ac:dyDescent="0.25">
      <c r="A721" s="7">
        <v>7.0400701055846782E-2</v>
      </c>
      <c r="B721"/>
      <c r="C721"/>
      <c r="D721"/>
      <c r="E721"/>
      <c r="F721" s="27" t="s">
        <v>7</v>
      </c>
      <c r="AI721" s="27" t="s">
        <v>8</v>
      </c>
      <c r="AJ721" s="27" t="s">
        <v>7</v>
      </c>
      <c r="AS721" s="27" t="s">
        <v>8</v>
      </c>
      <c r="AT721" s="27" t="s">
        <v>7</v>
      </c>
      <c r="AU721" s="27" t="s">
        <v>8</v>
      </c>
      <c r="AV721" s="27" t="s">
        <v>7</v>
      </c>
      <c r="AW721" s="27" t="s">
        <v>8</v>
      </c>
      <c r="DD721" s="27" t="s">
        <v>7</v>
      </c>
      <c r="DE721" s="27" t="s">
        <v>8</v>
      </c>
      <c r="DF721" s="27" t="s">
        <v>7</v>
      </c>
      <c r="DG721" s="27" t="s">
        <v>8</v>
      </c>
      <c r="DH721" s="27" t="s">
        <v>7</v>
      </c>
      <c r="DI721" s="27" t="s">
        <v>8</v>
      </c>
      <c r="DJ721" s="27" t="s">
        <v>7</v>
      </c>
      <c r="DK721" s="27" t="s">
        <v>8</v>
      </c>
      <c r="DP721" s="27" t="s">
        <v>7</v>
      </c>
      <c r="DQ721" s="27" t="s">
        <v>8</v>
      </c>
      <c r="DR721" s="27" t="s">
        <v>7</v>
      </c>
      <c r="DS721" s="27" t="s">
        <v>8</v>
      </c>
      <c r="DT721" s="27" t="s">
        <v>7</v>
      </c>
      <c r="EA721" s="27" t="s">
        <v>8</v>
      </c>
      <c r="EB721" s="27" t="s">
        <v>7</v>
      </c>
      <c r="EE721" s="27" t="s">
        <v>8</v>
      </c>
      <c r="EF721" s="27" t="s">
        <v>7</v>
      </c>
      <c r="EG721" s="27" t="s">
        <v>8</v>
      </c>
      <c r="EH721" s="27" t="s">
        <v>7</v>
      </c>
      <c r="EK721" s="27" t="s">
        <v>8</v>
      </c>
      <c r="EL721" s="27" t="s">
        <v>7</v>
      </c>
      <c r="EM721" s="27" t="s">
        <v>8</v>
      </c>
      <c r="EN721" s="27" t="s">
        <v>7</v>
      </c>
    </row>
    <row r="722" spans="1:144" x14ac:dyDescent="0.25">
      <c r="A722" s="7">
        <v>6.9020295152790956E-2</v>
      </c>
      <c r="B722"/>
      <c r="C722"/>
      <c r="D722"/>
      <c r="E722"/>
      <c r="F722" s="27" t="s">
        <v>7</v>
      </c>
      <c r="AI722" s="27" t="s">
        <v>8</v>
      </c>
      <c r="AJ722" s="27" t="s">
        <v>7</v>
      </c>
      <c r="AS722" s="27" t="s">
        <v>8</v>
      </c>
      <c r="AT722" s="27" t="s">
        <v>7</v>
      </c>
      <c r="AU722" s="27" t="s">
        <v>8</v>
      </c>
      <c r="AV722" s="27" t="s">
        <v>7</v>
      </c>
      <c r="AW722" s="27" t="s">
        <v>8</v>
      </c>
      <c r="DD722" s="27" t="s">
        <v>7</v>
      </c>
      <c r="DE722" s="27" t="s">
        <v>8</v>
      </c>
      <c r="DF722" s="27" t="s">
        <v>7</v>
      </c>
      <c r="DG722" s="27" t="s">
        <v>8</v>
      </c>
      <c r="DH722" s="27" t="s">
        <v>7</v>
      </c>
      <c r="DI722" s="27" t="s">
        <v>8</v>
      </c>
      <c r="DJ722" s="27" t="s">
        <v>7</v>
      </c>
      <c r="DK722" s="27" t="s">
        <v>8</v>
      </c>
      <c r="DP722" s="27" t="s">
        <v>7</v>
      </c>
      <c r="DQ722" s="27" t="s">
        <v>8</v>
      </c>
      <c r="DR722" s="27" t="s">
        <v>7</v>
      </c>
      <c r="DS722" s="27" t="s">
        <v>8</v>
      </c>
      <c r="DT722" s="27" t="s">
        <v>7</v>
      </c>
      <c r="EA722" s="27" t="s">
        <v>8</v>
      </c>
      <c r="EB722" s="27" t="s">
        <v>7</v>
      </c>
      <c r="EE722" s="27" t="s">
        <v>8</v>
      </c>
      <c r="EF722" s="27" t="s">
        <v>7</v>
      </c>
      <c r="EG722" s="27" t="s">
        <v>8</v>
      </c>
      <c r="EH722" s="27" t="s">
        <v>7</v>
      </c>
      <c r="EK722" s="27" t="s">
        <v>8</v>
      </c>
      <c r="EL722" s="27" t="s">
        <v>7</v>
      </c>
      <c r="EM722" s="27" t="s">
        <v>8</v>
      </c>
    </row>
    <row r="723" spans="1:144" x14ac:dyDescent="0.25">
      <c r="A723" s="7">
        <v>6.7666956032147993E-2</v>
      </c>
      <c r="B723"/>
      <c r="C723"/>
      <c r="D723"/>
      <c r="E723"/>
      <c r="F723" s="27" t="s">
        <v>7</v>
      </c>
      <c r="AI723" s="27" t="s">
        <v>8</v>
      </c>
      <c r="AJ723" s="27" t="s">
        <v>7</v>
      </c>
      <c r="AS723" s="27" t="s">
        <v>8</v>
      </c>
      <c r="AT723" s="27" t="s">
        <v>7</v>
      </c>
      <c r="AU723" s="27" t="s">
        <v>8</v>
      </c>
      <c r="AV723" s="27" t="s">
        <v>7</v>
      </c>
      <c r="DD723" s="27" t="s">
        <v>7</v>
      </c>
      <c r="DE723" s="27" t="s">
        <v>8</v>
      </c>
      <c r="DF723" s="27" t="s">
        <v>7</v>
      </c>
      <c r="DG723" s="27" t="s">
        <v>8</v>
      </c>
      <c r="DH723" s="27" t="s">
        <v>7</v>
      </c>
      <c r="DI723" s="27" t="s">
        <v>8</v>
      </c>
      <c r="DJ723" s="27" t="s">
        <v>7</v>
      </c>
      <c r="DP723" s="27" t="s">
        <v>7</v>
      </c>
      <c r="DQ723" s="27" t="s">
        <v>8</v>
      </c>
      <c r="DR723" s="27" t="s">
        <v>7</v>
      </c>
      <c r="DS723" s="27" t="s">
        <v>8</v>
      </c>
      <c r="DT723" s="27" t="s">
        <v>7</v>
      </c>
      <c r="EA723" s="27" t="s">
        <v>8</v>
      </c>
      <c r="EB723" s="27" t="s">
        <v>7</v>
      </c>
      <c r="EC723" s="27" t="s">
        <v>8</v>
      </c>
      <c r="EE723" s="27" t="s">
        <v>8</v>
      </c>
      <c r="EF723" s="27" t="s">
        <v>7</v>
      </c>
      <c r="EG723" s="27" t="s">
        <v>8</v>
      </c>
      <c r="EH723" s="27" t="s">
        <v>7</v>
      </c>
      <c r="EK723" s="27" t="s">
        <v>8</v>
      </c>
      <c r="EL723" s="27" t="s">
        <v>7</v>
      </c>
      <c r="EM723" s="27" t="s">
        <v>8</v>
      </c>
    </row>
    <row r="724" spans="1:144" x14ac:dyDescent="0.25">
      <c r="A724" s="7">
        <v>6.6340152972694105E-2</v>
      </c>
      <c r="B724"/>
      <c r="C724"/>
      <c r="D724"/>
      <c r="E724"/>
      <c r="F724" s="27" t="s">
        <v>7</v>
      </c>
      <c r="AI724" s="27" t="s">
        <v>8</v>
      </c>
      <c r="AJ724" s="27" t="s">
        <v>7</v>
      </c>
      <c r="AK724" s="27" t="s">
        <v>8</v>
      </c>
      <c r="AM724" s="27" t="s">
        <v>8</v>
      </c>
      <c r="AS724" s="27" t="s">
        <v>8</v>
      </c>
      <c r="AT724" s="27" t="s">
        <v>7</v>
      </c>
      <c r="AU724" s="27" t="s">
        <v>8</v>
      </c>
      <c r="DD724" s="27" t="s">
        <v>7</v>
      </c>
      <c r="DF724" s="27" t="s">
        <v>7</v>
      </c>
      <c r="DG724" s="27" t="s">
        <v>8</v>
      </c>
      <c r="DH724" s="27" t="s">
        <v>7</v>
      </c>
      <c r="DI724" s="27" t="s">
        <v>8</v>
      </c>
      <c r="DP724" s="27" t="s">
        <v>7</v>
      </c>
      <c r="DQ724" s="27" t="s">
        <v>8</v>
      </c>
      <c r="DR724" s="27" t="s">
        <v>7</v>
      </c>
      <c r="DS724" s="27" t="s">
        <v>8</v>
      </c>
      <c r="DT724" s="27" t="s">
        <v>7</v>
      </c>
      <c r="EA724" s="27" t="s">
        <v>8</v>
      </c>
      <c r="EB724" s="27" t="s">
        <v>7</v>
      </c>
      <c r="EC724" s="27" t="s">
        <v>8</v>
      </c>
      <c r="ED724" s="27" t="s">
        <v>7</v>
      </c>
      <c r="EE724" s="27" t="s">
        <v>8</v>
      </c>
      <c r="EF724" s="27" t="s">
        <v>7</v>
      </c>
      <c r="EG724" s="27" t="s">
        <v>8</v>
      </c>
      <c r="EH724" s="27" t="s">
        <v>7</v>
      </c>
      <c r="EK724" s="27" t="s">
        <v>8</v>
      </c>
      <c r="EL724" s="27" t="s">
        <v>7</v>
      </c>
      <c r="EM724" s="27" t="s">
        <v>8</v>
      </c>
    </row>
    <row r="725" spans="1:144" x14ac:dyDescent="0.25">
      <c r="A725" s="7">
        <v>6.5039365659504023E-2</v>
      </c>
      <c r="B725"/>
      <c r="C725"/>
      <c r="D725"/>
      <c r="E725"/>
      <c r="F725" s="27" t="s">
        <v>7</v>
      </c>
      <c r="AI725" s="27" t="s">
        <v>8</v>
      </c>
      <c r="AJ725" s="27" t="s">
        <v>7</v>
      </c>
      <c r="AK725" s="27" t="s">
        <v>8</v>
      </c>
      <c r="AL725" s="27" t="s">
        <v>7</v>
      </c>
      <c r="AM725" s="27" t="s">
        <v>8</v>
      </c>
      <c r="AN725" s="27" t="s">
        <v>7</v>
      </c>
      <c r="AS725" s="27" t="s">
        <v>8</v>
      </c>
      <c r="AT725" s="27" t="s">
        <v>7</v>
      </c>
      <c r="DF725" s="27" t="s">
        <v>7</v>
      </c>
      <c r="DH725" s="27" t="s">
        <v>7</v>
      </c>
      <c r="DI725" s="27" t="s">
        <v>8</v>
      </c>
      <c r="DP725" s="27" t="s">
        <v>7</v>
      </c>
      <c r="DQ725" s="27" t="s">
        <v>8</v>
      </c>
      <c r="DR725" s="27" t="s">
        <v>7</v>
      </c>
      <c r="DT725" s="27" t="s">
        <v>7</v>
      </c>
      <c r="EA725" s="27" t="s">
        <v>8</v>
      </c>
      <c r="EB725" s="27" t="s">
        <v>7</v>
      </c>
      <c r="EC725" s="27" t="s">
        <v>8</v>
      </c>
      <c r="ED725" s="27" t="s">
        <v>7</v>
      </c>
      <c r="EE725" s="27" t="s">
        <v>8</v>
      </c>
      <c r="EF725" s="27" t="s">
        <v>7</v>
      </c>
      <c r="EG725" s="27" t="s">
        <v>8</v>
      </c>
      <c r="EH725" s="27" t="s">
        <v>7</v>
      </c>
      <c r="EI725" s="27" t="s">
        <v>8</v>
      </c>
      <c r="EK725" s="27" t="s">
        <v>8</v>
      </c>
      <c r="EL725" s="27" t="s">
        <v>7</v>
      </c>
    </row>
    <row r="726" spans="1:144" x14ac:dyDescent="0.25">
      <c r="A726" s="7">
        <v>6.3764083979905906E-2</v>
      </c>
      <c r="B726"/>
      <c r="C726"/>
      <c r="D726"/>
      <c r="E726"/>
      <c r="F726" s="27" t="s">
        <v>7</v>
      </c>
      <c r="AI726" s="27" t="s">
        <v>8</v>
      </c>
      <c r="AJ726" s="27" t="s">
        <v>7</v>
      </c>
      <c r="AK726" s="27" t="s">
        <v>8</v>
      </c>
      <c r="AL726" s="27" t="s">
        <v>7</v>
      </c>
      <c r="AM726" s="27" t="s">
        <v>8</v>
      </c>
      <c r="AN726" s="27" t="s">
        <v>7</v>
      </c>
      <c r="AQ726" s="27" t="s">
        <v>8</v>
      </c>
      <c r="AS726" s="27" t="s">
        <v>8</v>
      </c>
      <c r="DH726" s="27" t="s">
        <v>7</v>
      </c>
      <c r="DI726" s="27" t="s">
        <v>8</v>
      </c>
      <c r="DP726" s="27" t="s">
        <v>7</v>
      </c>
      <c r="DQ726" s="27" t="s">
        <v>8</v>
      </c>
      <c r="DT726" s="27" t="s">
        <v>7</v>
      </c>
      <c r="EA726" s="27" t="s">
        <v>8</v>
      </c>
      <c r="EB726" s="27" t="s">
        <v>7</v>
      </c>
      <c r="ED726" s="27" t="s">
        <v>7</v>
      </c>
      <c r="EE726" s="27" t="s">
        <v>8</v>
      </c>
      <c r="EF726" s="27" t="s">
        <v>7</v>
      </c>
      <c r="EH726" s="27" t="s">
        <v>7</v>
      </c>
      <c r="EI726" s="27" t="s">
        <v>8</v>
      </c>
      <c r="EJ726" s="27" t="s">
        <v>7</v>
      </c>
      <c r="EK726" s="27" t="s">
        <v>8</v>
      </c>
    </row>
    <row r="727" spans="1:144" x14ac:dyDescent="0.25">
      <c r="A727" s="7">
        <v>6.251380782343717E-2</v>
      </c>
      <c r="B727"/>
      <c r="C727"/>
      <c r="D727"/>
      <c r="E727"/>
      <c r="F727" s="27" t="s">
        <v>7</v>
      </c>
      <c r="Q727" s="27" t="s">
        <v>8</v>
      </c>
      <c r="AI727" s="27" t="s">
        <v>8</v>
      </c>
      <c r="AJ727" s="27" t="s">
        <v>7</v>
      </c>
      <c r="AK727" s="27" t="s">
        <v>8</v>
      </c>
      <c r="AL727" s="27" t="s">
        <v>7</v>
      </c>
      <c r="AM727" s="27" t="s">
        <v>8</v>
      </c>
      <c r="AN727" s="27" t="s">
        <v>7</v>
      </c>
      <c r="AQ727" s="27" t="s">
        <v>8</v>
      </c>
      <c r="AR727" s="27" t="s">
        <v>7</v>
      </c>
      <c r="AS727" s="27" t="s">
        <v>8</v>
      </c>
      <c r="DH727" s="27" t="s">
        <v>7</v>
      </c>
      <c r="DI727" s="27" t="s">
        <v>8</v>
      </c>
      <c r="DP727" s="27" t="s">
        <v>7</v>
      </c>
      <c r="DT727" s="27" t="s">
        <v>7</v>
      </c>
      <c r="EA727" s="27" t="s">
        <v>8</v>
      </c>
      <c r="ED727" s="27" t="s">
        <v>7</v>
      </c>
      <c r="EE727" s="27" t="s">
        <v>8</v>
      </c>
      <c r="EH727" s="27" t="s">
        <v>7</v>
      </c>
      <c r="EI727" s="27" t="s">
        <v>8</v>
      </c>
      <c r="EJ727" s="27" t="s">
        <v>7</v>
      </c>
      <c r="EK727" s="27" t="s">
        <v>8</v>
      </c>
    </row>
    <row r="728" spans="1:144" x14ac:dyDescent="0.25">
      <c r="A728" s="7">
        <v>6.1288046885722716E-2</v>
      </c>
      <c r="B728"/>
      <c r="C728"/>
      <c r="D728"/>
      <c r="E728"/>
      <c r="F728" s="27" t="s">
        <v>7</v>
      </c>
      <c r="K728" s="27" t="s">
        <v>8</v>
      </c>
      <c r="Q728" s="27" t="s">
        <v>8</v>
      </c>
      <c r="R728" s="27" t="s">
        <v>7</v>
      </c>
      <c r="AI728" s="27" t="s">
        <v>8</v>
      </c>
      <c r="AJ728" s="27" t="s">
        <v>7</v>
      </c>
      <c r="AK728" s="27" t="s">
        <v>8</v>
      </c>
      <c r="AL728" s="27" t="s">
        <v>7</v>
      </c>
      <c r="AM728" s="27" t="s">
        <v>8</v>
      </c>
      <c r="AN728" s="27" t="s">
        <v>7</v>
      </c>
      <c r="AO728" s="27" t="s">
        <v>8</v>
      </c>
      <c r="AQ728" s="27" t="s">
        <v>8</v>
      </c>
      <c r="AR728" s="27" t="s">
        <v>7</v>
      </c>
      <c r="AS728" s="27" t="s">
        <v>8</v>
      </c>
      <c r="DH728" s="27" t="s">
        <v>7</v>
      </c>
      <c r="DI728" s="27" t="s">
        <v>8</v>
      </c>
      <c r="DT728" s="27" t="s">
        <v>7</v>
      </c>
      <c r="DY728" s="27" t="s">
        <v>8</v>
      </c>
      <c r="EA728" s="27" t="s">
        <v>8</v>
      </c>
      <c r="ED728" s="27" t="s">
        <v>7</v>
      </c>
      <c r="EH728" s="27" t="s">
        <v>7</v>
      </c>
      <c r="EI728" s="27" t="s">
        <v>8</v>
      </c>
      <c r="EJ728" s="27" t="s">
        <v>7</v>
      </c>
      <c r="EK728" s="27" t="s">
        <v>8</v>
      </c>
    </row>
    <row r="729" spans="1:144" x14ac:dyDescent="0.25">
      <c r="A729" s="7">
        <v>6.0086320476198739E-2</v>
      </c>
      <c r="B729"/>
      <c r="C729"/>
      <c r="D729"/>
      <c r="E729"/>
      <c r="F729" s="27" t="s">
        <v>7</v>
      </c>
      <c r="K729" s="27" t="s">
        <v>8</v>
      </c>
      <c r="L729" s="27" t="s">
        <v>7</v>
      </c>
      <c r="Q729" s="27" t="s">
        <v>8</v>
      </c>
      <c r="R729" s="27" t="s">
        <v>7</v>
      </c>
      <c r="AI729" s="27" t="s">
        <v>8</v>
      </c>
      <c r="AJ729" s="27" t="s">
        <v>7</v>
      </c>
      <c r="AK729" s="27" t="s">
        <v>8</v>
      </c>
      <c r="AL729" s="27" t="s">
        <v>7</v>
      </c>
      <c r="AM729" s="27" t="s">
        <v>8</v>
      </c>
      <c r="AN729" s="27" t="s">
        <v>7</v>
      </c>
      <c r="AO729" s="27" t="s">
        <v>8</v>
      </c>
      <c r="AP729" s="27" t="s">
        <v>7</v>
      </c>
      <c r="AQ729" s="27" t="s">
        <v>8</v>
      </c>
      <c r="AR729" s="27" t="s">
        <v>7</v>
      </c>
      <c r="AS729" s="27" t="s">
        <v>8</v>
      </c>
      <c r="DH729" s="27" t="s">
        <v>7</v>
      </c>
      <c r="DI729" s="27" t="s">
        <v>8</v>
      </c>
      <c r="DT729" s="27" t="s">
        <v>7</v>
      </c>
      <c r="DY729" s="27" t="s">
        <v>8</v>
      </c>
      <c r="DZ729" s="27" t="s">
        <v>7</v>
      </c>
      <c r="EA729" s="27" t="s">
        <v>8</v>
      </c>
      <c r="EH729" s="27" t="s">
        <v>7</v>
      </c>
      <c r="EI729" s="27" t="s">
        <v>8</v>
      </c>
      <c r="EJ729" s="27" t="s">
        <v>7</v>
      </c>
      <c r="EK729" s="27" t="s">
        <v>8</v>
      </c>
    </row>
    <row r="730" spans="1:144" x14ac:dyDescent="0.25">
      <c r="A730" s="7">
        <v>5.8908157329606609E-2</v>
      </c>
      <c r="B730"/>
      <c r="C730"/>
      <c r="D730"/>
      <c r="E730"/>
      <c r="F730" s="27" t="s">
        <v>7</v>
      </c>
      <c r="K730" s="27" t="s">
        <v>8</v>
      </c>
      <c r="L730" s="27" t="s">
        <v>7</v>
      </c>
      <c r="Q730" s="27" t="s">
        <v>8</v>
      </c>
      <c r="R730" s="27" t="s">
        <v>7</v>
      </c>
      <c r="AI730" s="27" t="s">
        <v>8</v>
      </c>
      <c r="AJ730" s="27" t="s">
        <v>7</v>
      </c>
      <c r="AK730" s="27" t="s">
        <v>8</v>
      </c>
      <c r="AL730" s="27" t="s">
        <v>7</v>
      </c>
      <c r="AN730" s="27" t="s">
        <v>7</v>
      </c>
      <c r="AO730" s="27" t="s">
        <v>8</v>
      </c>
      <c r="AP730" s="27" t="s">
        <v>7</v>
      </c>
      <c r="AQ730" s="27" t="s">
        <v>8</v>
      </c>
      <c r="AR730" s="27" t="s">
        <v>7</v>
      </c>
      <c r="AS730" s="27" t="s">
        <v>8</v>
      </c>
      <c r="DH730" s="27" t="s">
        <v>7</v>
      </c>
      <c r="DI730" s="27" t="s">
        <v>8</v>
      </c>
      <c r="DT730" s="27" t="s">
        <v>7</v>
      </c>
      <c r="DY730" s="27" t="s">
        <v>8</v>
      </c>
      <c r="DZ730" s="27" t="s">
        <v>7</v>
      </c>
      <c r="EA730" s="27" t="s">
        <v>8</v>
      </c>
      <c r="EH730" s="27" t="s">
        <v>7</v>
      </c>
      <c r="EJ730" s="27" t="s">
        <v>7</v>
      </c>
      <c r="EK730" s="27" t="s">
        <v>8</v>
      </c>
    </row>
    <row r="731" spans="1:144" x14ac:dyDescent="0.25">
      <c r="A731" s="7">
        <v>5.7753095421182947E-2</v>
      </c>
      <c r="B731"/>
      <c r="C731"/>
      <c r="D731"/>
      <c r="E731"/>
      <c r="F731" s="27" t="s">
        <v>7</v>
      </c>
      <c r="K731" s="27" t="s">
        <v>8</v>
      </c>
      <c r="L731" s="27" t="s">
        <v>7</v>
      </c>
      <c r="Q731" s="27" t="s">
        <v>8</v>
      </c>
      <c r="R731" s="27" t="s">
        <v>7</v>
      </c>
      <c r="AI731" s="27" t="s">
        <v>8</v>
      </c>
      <c r="AJ731" s="27" t="s">
        <v>7</v>
      </c>
      <c r="AK731" s="27" t="s">
        <v>8</v>
      </c>
      <c r="AN731" s="27" t="s">
        <v>7</v>
      </c>
      <c r="AO731" s="27" t="s">
        <v>8</v>
      </c>
      <c r="AP731" s="27" t="s">
        <v>7</v>
      </c>
      <c r="AQ731" s="27" t="s">
        <v>8</v>
      </c>
      <c r="AR731" s="27" t="s">
        <v>7</v>
      </c>
      <c r="AS731" s="27" t="s">
        <v>8</v>
      </c>
      <c r="DH731" s="27" t="s">
        <v>7</v>
      </c>
      <c r="DI731" s="27" t="s">
        <v>8</v>
      </c>
      <c r="DT731" s="27" t="s">
        <v>7</v>
      </c>
      <c r="DU731" s="27" t="s">
        <v>8</v>
      </c>
      <c r="DY731" s="27" t="s">
        <v>8</v>
      </c>
      <c r="DZ731" s="27" t="s">
        <v>7</v>
      </c>
      <c r="EA731" s="27" t="s">
        <v>8</v>
      </c>
      <c r="EJ731" s="18" t="s">
        <v>7</v>
      </c>
      <c r="EK731" s="27" t="s">
        <v>8</v>
      </c>
    </row>
    <row r="732" spans="1:144" x14ac:dyDescent="0.25">
      <c r="A732" s="7">
        <v>5.6620681785473484E-2</v>
      </c>
      <c r="B732"/>
      <c r="C732"/>
      <c r="D732"/>
      <c r="E732"/>
      <c r="F732" s="27" t="s">
        <v>7</v>
      </c>
      <c r="K732" s="27" t="s">
        <v>8</v>
      </c>
      <c r="L732" s="27" t="s">
        <v>7</v>
      </c>
      <c r="M732" s="27" t="s">
        <v>8</v>
      </c>
      <c r="Q732" s="27" t="s">
        <v>8</v>
      </c>
      <c r="R732" s="27" t="s">
        <v>7</v>
      </c>
      <c r="AI732" s="27" t="s">
        <v>8</v>
      </c>
      <c r="AJ732" s="27" t="s">
        <v>7</v>
      </c>
      <c r="AK732" s="27" t="s">
        <v>8</v>
      </c>
      <c r="AN732" s="27" t="s">
        <v>7</v>
      </c>
      <c r="AO732" s="27" t="s">
        <v>8</v>
      </c>
      <c r="AP732" s="27" t="s">
        <v>7</v>
      </c>
      <c r="AQ732" s="27" t="s">
        <v>8</v>
      </c>
      <c r="AR732" s="27" t="s">
        <v>7</v>
      </c>
      <c r="DH732" s="27" t="s">
        <v>7</v>
      </c>
      <c r="DI732" s="27" t="s">
        <v>8</v>
      </c>
      <c r="DT732" s="27" t="s">
        <v>7</v>
      </c>
      <c r="DU732" s="27" t="s">
        <v>8</v>
      </c>
      <c r="DV732" s="27" t="s">
        <v>7</v>
      </c>
      <c r="DW732" s="27" t="s">
        <v>8</v>
      </c>
      <c r="DY732" s="27" t="s">
        <v>8</v>
      </c>
      <c r="DZ732" s="27" t="s">
        <v>7</v>
      </c>
      <c r="EA732" s="27" t="s">
        <v>8</v>
      </c>
      <c r="EJ732" s="27" t="s">
        <v>7</v>
      </c>
      <c r="EK732" s="27" t="s">
        <v>8</v>
      </c>
    </row>
    <row r="733" spans="1:144" x14ac:dyDescent="0.25">
      <c r="A733" s="7">
        <v>5.5510472338699497E-2</v>
      </c>
      <c r="B733"/>
      <c r="C733"/>
      <c r="D733"/>
      <c r="E733"/>
      <c r="F733" s="27" t="s">
        <v>7</v>
      </c>
      <c r="K733" s="27" t="s">
        <v>8</v>
      </c>
      <c r="L733" s="27" t="s">
        <v>7</v>
      </c>
      <c r="M733" s="27" t="s">
        <v>8</v>
      </c>
      <c r="N733" s="27" t="s">
        <v>7</v>
      </c>
      <c r="O733" s="27" t="s">
        <v>8</v>
      </c>
      <c r="Q733" s="27" t="s">
        <v>8</v>
      </c>
      <c r="R733" s="27" t="s">
        <v>7</v>
      </c>
      <c r="AI733" s="27" t="s">
        <v>8</v>
      </c>
      <c r="AJ733" s="27" t="s">
        <v>7</v>
      </c>
      <c r="AK733" s="27" t="s">
        <v>8</v>
      </c>
      <c r="AN733" s="27" t="s">
        <v>7</v>
      </c>
      <c r="AO733" s="27" t="s">
        <v>8</v>
      </c>
      <c r="AP733" s="27" t="s">
        <v>7</v>
      </c>
      <c r="AQ733" s="27" t="s">
        <v>8</v>
      </c>
      <c r="DH733" s="27" t="s">
        <v>7</v>
      </c>
      <c r="DI733" s="27" t="s">
        <v>8</v>
      </c>
      <c r="DT733" s="27" t="s">
        <v>7</v>
      </c>
      <c r="DU733" s="27" t="s">
        <v>8</v>
      </c>
      <c r="DV733" s="27" t="s">
        <v>7</v>
      </c>
      <c r="DW733" s="27" t="s">
        <v>8</v>
      </c>
      <c r="DX733" s="27" t="s">
        <v>7</v>
      </c>
      <c r="DY733" s="27" t="s">
        <v>8</v>
      </c>
      <c r="DZ733" s="27" t="s">
        <v>7</v>
      </c>
      <c r="EA733" s="27" t="s">
        <v>8</v>
      </c>
      <c r="EJ733" s="27" t="s">
        <v>7</v>
      </c>
      <c r="EK733" s="27" t="s">
        <v>8</v>
      </c>
    </row>
    <row r="734" spans="1:144" x14ac:dyDescent="0.25">
      <c r="A734" s="7">
        <v>5.4422031704607354E-2</v>
      </c>
      <c r="B734"/>
      <c r="C734"/>
      <c r="D734"/>
      <c r="E734"/>
      <c r="F734" s="27" t="s">
        <v>7</v>
      </c>
      <c r="G734" s="27" t="s">
        <v>8</v>
      </c>
      <c r="K734" s="27" t="s">
        <v>8</v>
      </c>
      <c r="L734" s="27" t="s">
        <v>7</v>
      </c>
      <c r="M734" s="27" t="s">
        <v>8</v>
      </c>
      <c r="N734" s="27" t="s">
        <v>7</v>
      </c>
      <c r="O734" s="27" t="s">
        <v>8</v>
      </c>
      <c r="P734" s="27" t="s">
        <v>7</v>
      </c>
      <c r="Q734" s="27" t="s">
        <v>8</v>
      </c>
      <c r="R734" s="27" t="s">
        <v>7</v>
      </c>
      <c r="S734" s="27" t="s">
        <v>8</v>
      </c>
      <c r="AA734" s="27" t="s">
        <v>8</v>
      </c>
      <c r="AI734" s="27" t="s">
        <v>8</v>
      </c>
      <c r="AJ734" s="27" t="s">
        <v>7</v>
      </c>
      <c r="AK734" s="27" t="s">
        <v>8</v>
      </c>
      <c r="AN734" s="27" t="s">
        <v>7</v>
      </c>
      <c r="AP734" s="27" t="s">
        <v>7</v>
      </c>
      <c r="DH734" s="27" t="s">
        <v>7</v>
      </c>
      <c r="DI734" s="27" t="s">
        <v>8</v>
      </c>
      <c r="DT734" s="27" t="s">
        <v>7</v>
      </c>
      <c r="DU734" s="27" t="s">
        <v>8</v>
      </c>
      <c r="DV734" s="27" t="s">
        <v>7</v>
      </c>
      <c r="DW734" s="27" t="s">
        <v>8</v>
      </c>
      <c r="DX734" s="27" t="s">
        <v>7</v>
      </c>
      <c r="DY734" s="27" t="s">
        <v>8</v>
      </c>
      <c r="DZ734" s="27" t="s">
        <v>7</v>
      </c>
      <c r="EA734" s="27" t="s">
        <v>8</v>
      </c>
      <c r="EJ734" s="27" t="s">
        <v>7</v>
      </c>
      <c r="EK734" s="27" t="s">
        <v>8</v>
      </c>
    </row>
    <row r="735" spans="1:144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H735" s="27" t="s">
        <v>7</v>
      </c>
      <c r="K735" s="27" t="s">
        <v>8</v>
      </c>
      <c r="L735" s="27" t="s">
        <v>7</v>
      </c>
      <c r="M735" s="27" t="s">
        <v>8</v>
      </c>
      <c r="N735" s="27" t="s">
        <v>7</v>
      </c>
      <c r="O735" s="27" t="s">
        <v>8</v>
      </c>
      <c r="P735" s="27" t="s">
        <v>7</v>
      </c>
      <c r="Q735" s="27" t="s">
        <v>8</v>
      </c>
      <c r="R735" s="27" t="s">
        <v>7</v>
      </c>
      <c r="S735" s="27" t="s">
        <v>8</v>
      </c>
      <c r="T735" s="27" t="s">
        <v>7</v>
      </c>
      <c r="AA735" s="27" t="s">
        <v>8</v>
      </c>
      <c r="AB735" s="27" t="s">
        <v>7</v>
      </c>
      <c r="AI735" s="27" t="s">
        <v>8</v>
      </c>
      <c r="AJ735" s="27" t="s">
        <v>7</v>
      </c>
      <c r="DH735" s="27" t="s">
        <v>7</v>
      </c>
      <c r="DI735" s="27" t="s">
        <v>8</v>
      </c>
      <c r="DT735" s="27" t="s">
        <v>7</v>
      </c>
      <c r="DU735" s="27" t="s">
        <v>8</v>
      </c>
      <c r="DV735" s="27" t="s">
        <v>7</v>
      </c>
      <c r="DW735" s="27" t="s">
        <v>8</v>
      </c>
      <c r="DX735" s="27" t="s">
        <v>7</v>
      </c>
      <c r="DY735" s="27" t="s">
        <v>8</v>
      </c>
      <c r="DZ735" s="27" t="s">
        <v>7</v>
      </c>
      <c r="EJ735" s="27" t="s">
        <v>7</v>
      </c>
      <c r="EK735" s="27" t="s">
        <v>8</v>
      </c>
    </row>
    <row r="736" spans="1:144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K736" s="27" t="s">
        <v>8</v>
      </c>
      <c r="L736" s="27" t="s">
        <v>7</v>
      </c>
      <c r="M736" s="27" t="s">
        <v>8</v>
      </c>
      <c r="N736" s="27" t="s">
        <v>7</v>
      </c>
      <c r="O736" s="27" t="s">
        <v>8</v>
      </c>
      <c r="P736" s="27" t="s">
        <v>7</v>
      </c>
      <c r="Q736" s="27" t="s">
        <v>8</v>
      </c>
      <c r="R736" s="27" t="s">
        <v>7</v>
      </c>
      <c r="S736" s="27" t="s">
        <v>8</v>
      </c>
      <c r="T736" s="27" t="s">
        <v>7</v>
      </c>
      <c r="AA736" s="27" t="s">
        <v>8</v>
      </c>
      <c r="AB736" s="27" t="s">
        <v>7</v>
      </c>
      <c r="AI736" s="27" t="s">
        <v>8</v>
      </c>
      <c r="DH736" s="27" t="s">
        <v>7</v>
      </c>
      <c r="DI736" s="27" t="s">
        <v>8</v>
      </c>
      <c r="DT736" s="27" t="s">
        <v>7</v>
      </c>
      <c r="DU736" s="27" t="s">
        <v>8</v>
      </c>
      <c r="DV736" s="27" t="s">
        <v>7</v>
      </c>
      <c r="DW736" s="27" t="s">
        <v>8</v>
      </c>
      <c r="DX736" s="27" t="s">
        <v>7</v>
      </c>
      <c r="DY736" s="27" t="s">
        <v>8</v>
      </c>
      <c r="EJ736" s="27" t="s">
        <v>7</v>
      </c>
    </row>
    <row r="737" spans="1:128" x14ac:dyDescent="0.25">
      <c r="A737" s="7">
        <v>5.1283095966678877E-2</v>
      </c>
      <c r="B737"/>
      <c r="C737"/>
      <c r="D737"/>
      <c r="E737"/>
      <c r="F737" s="27" t="s">
        <v>7</v>
      </c>
      <c r="G737" s="27" t="s">
        <v>8</v>
      </c>
      <c r="H737" s="27" t="s">
        <v>7</v>
      </c>
      <c r="K737" s="27" t="s">
        <v>8</v>
      </c>
      <c r="L737" s="27" t="s">
        <v>7</v>
      </c>
      <c r="M737" s="27" t="s">
        <v>8</v>
      </c>
      <c r="N737" s="27" t="s">
        <v>7</v>
      </c>
      <c r="O737" s="27" t="s">
        <v>8</v>
      </c>
      <c r="P737" s="27" t="s">
        <v>7</v>
      </c>
      <c r="Q737" s="27" t="s">
        <v>8</v>
      </c>
      <c r="R737" s="27" t="s">
        <v>7</v>
      </c>
      <c r="S737" s="27" t="s">
        <v>8</v>
      </c>
      <c r="T737" s="27" t="s">
        <v>7</v>
      </c>
      <c r="AA737" s="27" t="s">
        <v>8</v>
      </c>
      <c r="AB737" s="27" t="s">
        <v>7</v>
      </c>
      <c r="AI737" s="27" t="s">
        <v>8</v>
      </c>
      <c r="DH737" s="27" t="s">
        <v>7</v>
      </c>
      <c r="DI737" s="27" t="s">
        <v>8</v>
      </c>
      <c r="DT737" s="27" t="s">
        <v>7</v>
      </c>
      <c r="DU737" s="27" t="s">
        <v>8</v>
      </c>
      <c r="DV737" s="27" t="s">
        <v>7</v>
      </c>
      <c r="DW737" s="27" t="s">
        <v>8</v>
      </c>
      <c r="DX737" s="27" t="s">
        <v>7</v>
      </c>
    </row>
    <row r="738" spans="1:128" x14ac:dyDescent="0.25">
      <c r="A738" s="7">
        <v>5.0277545065371444E-2</v>
      </c>
      <c r="B738"/>
      <c r="C738"/>
      <c r="D738"/>
      <c r="E738"/>
      <c r="F738" s="27" t="s">
        <v>7</v>
      </c>
      <c r="G738" s="27" t="s">
        <v>8</v>
      </c>
      <c r="H738" s="27" t="s">
        <v>7</v>
      </c>
      <c r="K738" s="27" t="s">
        <v>8</v>
      </c>
      <c r="L738" s="27" t="s">
        <v>7</v>
      </c>
      <c r="M738" s="27" t="s">
        <v>8</v>
      </c>
      <c r="N738" s="27" t="s">
        <v>7</v>
      </c>
      <c r="O738" s="27" t="s">
        <v>8</v>
      </c>
      <c r="P738" s="27" t="s">
        <v>7</v>
      </c>
      <c r="Q738" s="27" t="s">
        <v>8</v>
      </c>
      <c r="R738" s="27" t="s">
        <v>7</v>
      </c>
      <c r="S738" s="27" t="s">
        <v>8</v>
      </c>
      <c r="T738" s="27" t="s">
        <v>7</v>
      </c>
      <c r="U738" s="27" t="s">
        <v>8</v>
      </c>
      <c r="AA738" s="27" t="s">
        <v>8</v>
      </c>
      <c r="AB738" s="27" t="s">
        <v>7</v>
      </c>
      <c r="AI738" s="27" t="s">
        <v>8</v>
      </c>
      <c r="DH738" s="27" t="s">
        <v>7</v>
      </c>
      <c r="DI738" s="27" t="s">
        <v>8</v>
      </c>
      <c r="DT738" s="27" t="s">
        <v>7</v>
      </c>
      <c r="DU738" s="27" t="s">
        <v>8</v>
      </c>
      <c r="DV738" s="27" t="s">
        <v>7</v>
      </c>
      <c r="DW738" s="27" t="s">
        <v>8</v>
      </c>
    </row>
    <row r="739" spans="1:128" x14ac:dyDescent="0.25">
      <c r="A739" s="7">
        <v>4.9291710848403378E-2</v>
      </c>
      <c r="B739"/>
      <c r="C739"/>
      <c r="D739"/>
      <c r="E739"/>
      <c r="F739" s="27" t="s">
        <v>7</v>
      </c>
      <c r="G739" s="27" t="s">
        <v>8</v>
      </c>
      <c r="H739" s="27" t="s">
        <v>7</v>
      </c>
      <c r="K739" s="27" t="s">
        <v>8</v>
      </c>
      <c r="L739" s="27" t="s">
        <v>7</v>
      </c>
      <c r="M739" s="27" t="s">
        <v>8</v>
      </c>
      <c r="N739" s="27" t="s">
        <v>7</v>
      </c>
      <c r="O739" s="27" t="s">
        <v>8</v>
      </c>
      <c r="P739" s="27" t="s">
        <v>7</v>
      </c>
      <c r="Q739" s="27" t="s">
        <v>8</v>
      </c>
      <c r="R739" s="27" t="s">
        <v>7</v>
      </c>
      <c r="S739" s="27" t="s">
        <v>8</v>
      </c>
      <c r="T739" s="27" t="s">
        <v>7</v>
      </c>
      <c r="U739" s="27" t="s">
        <v>8</v>
      </c>
      <c r="V739" s="27" t="s">
        <v>7</v>
      </c>
      <c r="AA739" s="27" t="s">
        <v>8</v>
      </c>
      <c r="AB739" s="27" t="s">
        <v>7</v>
      </c>
      <c r="AC739" s="27" t="s">
        <v>8</v>
      </c>
      <c r="AI739" s="27" t="s">
        <v>8</v>
      </c>
      <c r="DH739" s="27" t="s">
        <v>7</v>
      </c>
      <c r="DT739" s="27" t="s">
        <v>7</v>
      </c>
      <c r="DU739" s="27" t="s">
        <v>8</v>
      </c>
      <c r="DV739" s="27" t="s">
        <v>7</v>
      </c>
      <c r="DW739" s="27" t="s">
        <v>8</v>
      </c>
    </row>
    <row r="740" spans="1:128" x14ac:dyDescent="0.25">
      <c r="A740" s="7">
        <v>4.8325206714120959E-2</v>
      </c>
      <c r="B740"/>
      <c r="C740"/>
      <c r="D740"/>
      <c r="E740"/>
      <c r="F740" s="27" t="s">
        <v>7</v>
      </c>
      <c r="G740" s="27" t="s">
        <v>8</v>
      </c>
      <c r="H740" s="27" t="s">
        <v>7</v>
      </c>
      <c r="K740" s="27" t="s">
        <v>8</v>
      </c>
      <c r="L740" s="27" t="s">
        <v>7</v>
      </c>
      <c r="M740" s="27" t="s">
        <v>8</v>
      </c>
      <c r="N740" s="27" t="s">
        <v>7</v>
      </c>
      <c r="O740" s="27" t="s">
        <v>8</v>
      </c>
      <c r="P740" s="27" t="s">
        <v>7</v>
      </c>
      <c r="Q740" s="27" t="s">
        <v>8</v>
      </c>
      <c r="R740" s="27" t="s">
        <v>7</v>
      </c>
      <c r="T740" s="27" t="s">
        <v>7</v>
      </c>
      <c r="U740" s="27" t="s">
        <v>8</v>
      </c>
      <c r="V740" s="27" t="s">
        <v>7</v>
      </c>
      <c r="W740" s="27" t="s">
        <v>8</v>
      </c>
      <c r="AA740" s="27" t="s">
        <v>8</v>
      </c>
      <c r="AB740" s="27" t="s">
        <v>7</v>
      </c>
      <c r="AC740" s="27" t="s">
        <v>8</v>
      </c>
      <c r="AD740" s="27" t="s">
        <v>7</v>
      </c>
      <c r="AI740" s="27" t="s">
        <v>8</v>
      </c>
      <c r="DT740" s="27" t="s">
        <v>7</v>
      </c>
      <c r="DU740" s="27" t="s">
        <v>8</v>
      </c>
      <c r="DV740" s="27" t="s">
        <v>7</v>
      </c>
      <c r="DW740" s="27" t="s">
        <v>8</v>
      </c>
    </row>
    <row r="741" spans="1:128" x14ac:dyDescent="0.25">
      <c r="A741" s="7">
        <v>4.7377653641295057E-2</v>
      </c>
      <c r="B741"/>
      <c r="C741"/>
      <c r="D741"/>
      <c r="E741"/>
      <c r="F741" s="27" t="s">
        <v>7</v>
      </c>
      <c r="G741" s="27" t="s">
        <v>8</v>
      </c>
      <c r="H741" s="27" t="s">
        <v>7</v>
      </c>
      <c r="K741" s="27" t="s">
        <v>8</v>
      </c>
      <c r="L741" s="27" t="s">
        <v>7</v>
      </c>
      <c r="M741" s="27" t="s">
        <v>8</v>
      </c>
      <c r="N741" s="27" t="s">
        <v>7</v>
      </c>
      <c r="O741" s="27" t="s">
        <v>8</v>
      </c>
      <c r="P741" s="27" t="s">
        <v>7</v>
      </c>
      <c r="Q741" s="27" t="s">
        <v>8</v>
      </c>
      <c r="T741" s="27" t="s">
        <v>7</v>
      </c>
      <c r="U741" s="27" t="s">
        <v>8</v>
      </c>
      <c r="V741" s="27" t="s">
        <v>7</v>
      </c>
      <c r="W741" s="27" t="s">
        <v>8</v>
      </c>
      <c r="X741" s="27" t="s">
        <v>7</v>
      </c>
      <c r="AA741" s="27" t="s">
        <v>8</v>
      </c>
      <c r="AB741" s="27" t="s">
        <v>7</v>
      </c>
      <c r="AC741" s="27" t="s">
        <v>8</v>
      </c>
      <c r="AD741" s="27" t="s">
        <v>7</v>
      </c>
      <c r="AG741" s="27" t="s">
        <v>8</v>
      </c>
      <c r="AI741" s="27" t="s">
        <v>8</v>
      </c>
      <c r="DT741" s="27" t="s">
        <v>7</v>
      </c>
      <c r="DU741" s="27" t="s">
        <v>8</v>
      </c>
      <c r="DV741" s="27" t="s">
        <v>7</v>
      </c>
      <c r="DW741" s="27" t="s">
        <v>8</v>
      </c>
    </row>
    <row r="742" spans="1:128" x14ac:dyDescent="0.25">
      <c r="A742" s="7">
        <v>4.644868004048535E-2</v>
      </c>
      <c r="B742"/>
      <c r="C742"/>
      <c r="D742"/>
      <c r="E742"/>
      <c r="F742" s="27" t="s">
        <v>7</v>
      </c>
      <c r="G742" s="27" t="s">
        <v>8</v>
      </c>
      <c r="H742" s="27" t="s">
        <v>7</v>
      </c>
      <c r="K742" s="27" t="s">
        <v>8</v>
      </c>
      <c r="L742" s="27" t="s">
        <v>7</v>
      </c>
      <c r="M742" s="27" t="s">
        <v>8</v>
      </c>
      <c r="N742" s="27" t="s">
        <v>7</v>
      </c>
      <c r="O742" s="27" t="s">
        <v>8</v>
      </c>
      <c r="P742" s="27" t="s">
        <v>7</v>
      </c>
      <c r="Q742" s="27" t="s">
        <v>8</v>
      </c>
      <c r="T742" s="27" t="s">
        <v>7</v>
      </c>
      <c r="U742" s="27" t="s">
        <v>8</v>
      </c>
      <c r="V742" s="27" t="s">
        <v>7</v>
      </c>
      <c r="W742" s="27" t="s">
        <v>8</v>
      </c>
      <c r="X742" s="27" t="s">
        <v>7</v>
      </c>
      <c r="AA742" s="27" t="s">
        <v>8</v>
      </c>
      <c r="AB742" s="27" t="s">
        <v>7</v>
      </c>
      <c r="AC742" s="27" t="s">
        <v>8</v>
      </c>
      <c r="AD742" s="27" t="s">
        <v>7</v>
      </c>
      <c r="AG742" s="27" t="s">
        <v>8</v>
      </c>
      <c r="AH742" s="27" t="s">
        <v>7</v>
      </c>
      <c r="AI742" s="27" t="s">
        <v>8</v>
      </c>
      <c r="DT742" s="27" t="s">
        <v>7</v>
      </c>
      <c r="DU742" s="27" t="s">
        <v>8</v>
      </c>
      <c r="DV742" s="27" t="s">
        <v>7</v>
      </c>
    </row>
    <row r="743" spans="1:128" x14ac:dyDescent="0.25">
      <c r="A743" s="7">
        <v>4.5537921608318974E-2</v>
      </c>
      <c r="B743"/>
      <c r="C743"/>
      <c r="D743"/>
      <c r="E743"/>
      <c r="F743" s="27" t="s">
        <v>7</v>
      </c>
      <c r="G743" s="27" t="s">
        <v>8</v>
      </c>
      <c r="H743" s="27" t="s">
        <v>7</v>
      </c>
      <c r="K743" s="27" t="s">
        <v>8</v>
      </c>
      <c r="L743" s="27" t="s">
        <v>7</v>
      </c>
      <c r="M743" s="27" t="s">
        <v>8</v>
      </c>
      <c r="N743" s="27" t="s">
        <v>7</v>
      </c>
      <c r="O743" s="27" t="s">
        <v>8</v>
      </c>
      <c r="P743" s="27" t="s">
        <v>7</v>
      </c>
      <c r="Q743" s="27" t="s">
        <v>8</v>
      </c>
      <c r="T743" s="27" t="s">
        <v>7</v>
      </c>
      <c r="U743" s="27" t="s">
        <v>8</v>
      </c>
      <c r="V743" s="27" t="s">
        <v>7</v>
      </c>
      <c r="W743" s="27" t="s">
        <v>8</v>
      </c>
      <c r="X743" s="27" t="s">
        <v>7</v>
      </c>
      <c r="AA743" s="27" t="s">
        <v>8</v>
      </c>
      <c r="AB743" s="27" t="s">
        <v>7</v>
      </c>
      <c r="AC743" s="27" t="s">
        <v>8</v>
      </c>
      <c r="AD743" s="27" t="s">
        <v>7</v>
      </c>
      <c r="AG743" s="27" t="s">
        <v>8</v>
      </c>
      <c r="AH743" s="27" t="s">
        <v>7</v>
      </c>
      <c r="AI743" s="27" t="s">
        <v>8</v>
      </c>
      <c r="DT743" s="27" t="s">
        <v>7</v>
      </c>
    </row>
    <row r="744" spans="1:128" x14ac:dyDescent="0.25">
      <c r="A744" s="7">
        <v>4.4645021184626446E-2</v>
      </c>
      <c r="B744"/>
      <c r="C744"/>
      <c r="D744"/>
      <c r="E744"/>
      <c r="F744" s="27" t="s">
        <v>7</v>
      </c>
      <c r="G744" s="27" t="s">
        <v>8</v>
      </c>
      <c r="H744" s="27" t="s">
        <v>7</v>
      </c>
      <c r="K744" s="27" t="s">
        <v>8</v>
      </c>
      <c r="L744" s="27" t="s">
        <v>7</v>
      </c>
      <c r="N744" s="27" t="s">
        <v>7</v>
      </c>
      <c r="O744" s="27" t="s">
        <v>8</v>
      </c>
      <c r="P744" s="27" t="s">
        <v>7</v>
      </c>
      <c r="T744" s="27" t="s">
        <v>7</v>
      </c>
      <c r="U744" s="27" t="s">
        <v>8</v>
      </c>
      <c r="V744" s="27" t="s">
        <v>7</v>
      </c>
      <c r="W744" s="27" t="s">
        <v>8</v>
      </c>
      <c r="X744" s="27" t="s">
        <v>7</v>
      </c>
      <c r="Y744" s="27" t="s">
        <v>8</v>
      </c>
      <c r="AA744" s="27" t="s">
        <v>8</v>
      </c>
      <c r="AB744" s="27" t="s">
        <v>7</v>
      </c>
      <c r="AC744" s="27" t="s">
        <v>8</v>
      </c>
      <c r="AD744" s="27" t="s">
        <v>7</v>
      </c>
      <c r="AG744" s="27" t="s">
        <v>8</v>
      </c>
      <c r="AH744" s="27" t="s">
        <v>7</v>
      </c>
      <c r="AI744" s="27" t="s">
        <v>8</v>
      </c>
    </row>
    <row r="745" spans="1:128" x14ac:dyDescent="0.25">
      <c r="A745" s="7">
        <v>4.3769628612378868E-2</v>
      </c>
      <c r="B745"/>
      <c r="C745"/>
      <c r="D745"/>
      <c r="E745"/>
      <c r="F745" s="27" t="s">
        <v>7</v>
      </c>
      <c r="G745" s="27" t="s">
        <v>8</v>
      </c>
      <c r="H745" s="27" t="s">
        <v>7</v>
      </c>
      <c r="K745" s="27" t="s">
        <v>8</v>
      </c>
      <c r="N745" s="27" t="s">
        <v>7</v>
      </c>
      <c r="O745" s="27" t="s">
        <v>8</v>
      </c>
      <c r="T745" s="27" t="s">
        <v>7</v>
      </c>
      <c r="U745" s="27" t="s">
        <v>8</v>
      </c>
      <c r="V745" s="27" t="s">
        <v>7</v>
      </c>
      <c r="W745" s="27" t="s">
        <v>8</v>
      </c>
      <c r="X745" s="27" t="s">
        <v>7</v>
      </c>
      <c r="Y745" s="27" t="s">
        <v>8</v>
      </c>
      <c r="Z745" s="27" t="s">
        <v>7</v>
      </c>
      <c r="AA745" s="27" t="s">
        <v>8</v>
      </c>
      <c r="AB745" s="27" t="s">
        <v>7</v>
      </c>
      <c r="AC745" s="27" t="s">
        <v>8</v>
      </c>
      <c r="AD745" s="27" t="s">
        <v>7</v>
      </c>
      <c r="AE745" s="27" t="s">
        <v>8</v>
      </c>
      <c r="AG745" s="27" t="s">
        <v>8</v>
      </c>
      <c r="AH745" s="27" t="s">
        <v>7</v>
      </c>
      <c r="AI745" s="27" t="s">
        <v>8</v>
      </c>
    </row>
    <row r="746" spans="1:128" x14ac:dyDescent="0.25">
      <c r="A746" s="7">
        <v>4.2911400600371442E-2</v>
      </c>
      <c r="B746"/>
      <c r="C746"/>
      <c r="D746"/>
      <c r="E746"/>
      <c r="F746" s="27" t="s">
        <v>7</v>
      </c>
      <c r="G746" s="27" t="s">
        <v>8</v>
      </c>
      <c r="H746" s="27" t="s">
        <v>7</v>
      </c>
      <c r="K746" s="27" t="s">
        <v>8</v>
      </c>
      <c r="N746" s="27" t="s">
        <v>7</v>
      </c>
      <c r="T746" s="27" t="s">
        <v>7</v>
      </c>
      <c r="V746" s="27" t="s">
        <v>7</v>
      </c>
      <c r="W746" s="27" t="s">
        <v>8</v>
      </c>
      <c r="X746" s="27" t="s">
        <v>7</v>
      </c>
      <c r="Y746" s="27" t="s">
        <v>8</v>
      </c>
      <c r="Z746" s="27" t="s">
        <v>7</v>
      </c>
      <c r="AA746" s="27" t="s">
        <v>8</v>
      </c>
      <c r="AB746" s="27" t="s">
        <v>7</v>
      </c>
      <c r="AC746" s="27" t="s">
        <v>8</v>
      </c>
      <c r="AD746" s="27" t="s">
        <v>7</v>
      </c>
      <c r="AE746" s="27" t="s">
        <v>8</v>
      </c>
      <c r="AF746" s="27" t="s">
        <v>7</v>
      </c>
      <c r="AG746" s="27" t="s">
        <v>8</v>
      </c>
      <c r="AH746" s="27" t="s">
        <v>7</v>
      </c>
      <c r="AI746" s="27" t="s">
        <v>8</v>
      </c>
    </row>
    <row r="747" spans="1:128" x14ac:dyDescent="0.25">
      <c r="A747" s="7">
        <v>4.2070000588599457E-2</v>
      </c>
      <c r="B747"/>
      <c r="C747"/>
      <c r="D747"/>
      <c r="E747"/>
      <c r="F747" s="27" t="s">
        <v>7</v>
      </c>
      <c r="G747" s="27" t="s">
        <v>8</v>
      </c>
      <c r="H747" s="27" t="s">
        <v>7</v>
      </c>
      <c r="K747" s="27" t="s">
        <v>8</v>
      </c>
      <c r="V747" s="27" t="s">
        <v>7</v>
      </c>
      <c r="W747" s="27" t="s">
        <v>8</v>
      </c>
      <c r="X747" s="27" t="s">
        <v>7</v>
      </c>
      <c r="Y747" s="27" t="s">
        <v>8</v>
      </c>
      <c r="Z747" s="27" t="s">
        <v>7</v>
      </c>
      <c r="AA747" s="27" t="s">
        <v>8</v>
      </c>
      <c r="AB747" s="27" t="s">
        <v>7</v>
      </c>
      <c r="AC747" s="27" t="s">
        <v>8</v>
      </c>
      <c r="AD747" s="27" t="s">
        <v>7</v>
      </c>
      <c r="AE747" s="27" t="s">
        <v>8</v>
      </c>
      <c r="AF747" s="27" t="s">
        <v>7</v>
      </c>
      <c r="AG747" s="27" t="s">
        <v>8</v>
      </c>
      <c r="AH747" s="27" t="s">
        <v>7</v>
      </c>
    </row>
    <row r="748" spans="1:128" x14ac:dyDescent="0.25">
      <c r="A748" s="7">
        <v>4.1245098616273977E-2</v>
      </c>
      <c r="B748"/>
      <c r="C748"/>
      <c r="D748"/>
      <c r="E748"/>
      <c r="F748" s="27" t="s">
        <v>7</v>
      </c>
      <c r="G748" s="27" t="s">
        <v>8</v>
      </c>
      <c r="H748" s="27" t="s">
        <v>7</v>
      </c>
      <c r="K748" s="27" t="s">
        <v>8</v>
      </c>
      <c r="V748" s="27" t="s">
        <v>7</v>
      </c>
      <c r="X748" s="27" t="s">
        <v>7</v>
      </c>
      <c r="Y748" s="27" t="s">
        <v>8</v>
      </c>
      <c r="Z748" s="27" t="s">
        <v>7</v>
      </c>
      <c r="AA748" s="27" t="s">
        <v>8</v>
      </c>
      <c r="AB748" s="27" t="s">
        <v>7</v>
      </c>
      <c r="AD748" s="27" t="s">
        <v>7</v>
      </c>
      <c r="AE748" s="27" t="s">
        <v>8</v>
      </c>
      <c r="AF748" s="27" t="s">
        <v>7</v>
      </c>
      <c r="AG748" s="27" t="s">
        <v>8</v>
      </c>
    </row>
    <row r="749" spans="1:128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  <c r="H749" s="27" t="s">
        <v>7</v>
      </c>
      <c r="I749" s="27" t="s">
        <v>8</v>
      </c>
      <c r="K749" s="27" t="s">
        <v>8</v>
      </c>
      <c r="X749" s="27" t="s">
        <v>7</v>
      </c>
      <c r="Y749" s="27" t="s">
        <v>8</v>
      </c>
      <c r="Z749" s="27" t="s">
        <v>7</v>
      </c>
      <c r="AA749" s="27" t="s">
        <v>8</v>
      </c>
      <c r="AD749" s="27" t="s">
        <v>7</v>
      </c>
      <c r="AE749" s="27" t="s">
        <v>8</v>
      </c>
      <c r="AF749" s="27" t="s">
        <v>7</v>
      </c>
    </row>
    <row r="750" spans="1:128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  <c r="H750" s="27" t="s">
        <v>7</v>
      </c>
      <c r="I750" s="27" t="s">
        <v>8</v>
      </c>
      <c r="J750" s="27" t="s">
        <v>7</v>
      </c>
      <c r="K750" s="27" t="s">
        <v>8</v>
      </c>
      <c r="X750" s="27" t="s">
        <v>7</v>
      </c>
      <c r="Y750" s="27" t="s">
        <v>8</v>
      </c>
      <c r="Z750" s="27" t="s">
        <v>7</v>
      </c>
      <c r="AD750" s="27" t="s">
        <v>7</v>
      </c>
      <c r="AE750" s="27" t="s">
        <v>8</v>
      </c>
    </row>
    <row r="751" spans="1:128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H751" s="27" t="s">
        <v>7</v>
      </c>
      <c r="I751" s="27" t="s">
        <v>8</v>
      </c>
      <c r="J751" s="27" t="s">
        <v>7</v>
      </c>
      <c r="K751" s="27" t="s">
        <v>8</v>
      </c>
      <c r="X751" s="27" t="s">
        <v>7</v>
      </c>
      <c r="AD751" s="27" t="s">
        <v>7</v>
      </c>
    </row>
    <row r="752" spans="1:128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H752" s="27" t="s">
        <v>7</v>
      </c>
      <c r="I752" s="27" t="s">
        <v>8</v>
      </c>
      <c r="J752" s="27" t="s">
        <v>7</v>
      </c>
      <c r="K752" s="27" t="s">
        <v>8</v>
      </c>
    </row>
    <row r="753" spans="1:11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I753" s="27" t="s">
        <v>8</v>
      </c>
      <c r="J753" s="27" t="s">
        <v>7</v>
      </c>
      <c r="K753" s="27" t="s">
        <v>8</v>
      </c>
    </row>
    <row r="754" spans="1:11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I754" s="27" t="s">
        <v>8</v>
      </c>
      <c r="J754" s="27" t="s">
        <v>7</v>
      </c>
      <c r="K754" s="27" t="s">
        <v>8</v>
      </c>
    </row>
    <row r="755" spans="1:11" x14ac:dyDescent="0.25">
      <c r="A755" s="7">
        <v>3.5906340418331961E-2</v>
      </c>
      <c r="B755"/>
      <c r="C755"/>
      <c r="D755"/>
      <c r="E755"/>
      <c r="F755" s="27" t="s">
        <v>7</v>
      </c>
      <c r="G755" s="27" t="s">
        <v>8</v>
      </c>
      <c r="H755" s="27" t="s">
        <v>7</v>
      </c>
      <c r="I755" s="27" t="s">
        <v>8</v>
      </c>
      <c r="J755" s="27" t="s">
        <v>7</v>
      </c>
      <c r="K755" s="27" t="s">
        <v>8</v>
      </c>
    </row>
    <row r="756" spans="1:11" x14ac:dyDescent="0.25">
      <c r="A756" s="7">
        <v>3.5202294527776436E-2</v>
      </c>
      <c r="B756"/>
      <c r="C756"/>
      <c r="D756"/>
      <c r="E756"/>
      <c r="F756" s="27" t="s">
        <v>7</v>
      </c>
      <c r="G756" s="27" t="s">
        <v>8</v>
      </c>
      <c r="H756" s="27" t="s">
        <v>7</v>
      </c>
      <c r="I756" s="27" t="s">
        <v>8</v>
      </c>
      <c r="J756" s="27" t="s">
        <v>7</v>
      </c>
      <c r="K756" s="27" t="s">
        <v>8</v>
      </c>
    </row>
    <row r="757" spans="1:11" x14ac:dyDescent="0.25">
      <c r="A757" s="7">
        <v>3.451205345860435E-2</v>
      </c>
      <c r="B757"/>
      <c r="C757"/>
      <c r="D757"/>
      <c r="E757"/>
      <c r="F757" s="27" t="s">
        <v>7</v>
      </c>
      <c r="G757" s="27" t="s">
        <v>8</v>
      </c>
      <c r="H757" s="27" t="s">
        <v>7</v>
      </c>
      <c r="I757" s="27" t="s">
        <v>8</v>
      </c>
      <c r="J757" s="27" t="s">
        <v>7</v>
      </c>
    </row>
    <row r="758" spans="1:11" x14ac:dyDescent="0.25">
      <c r="A758" s="7">
        <v>3.3835346528043479E-2</v>
      </c>
      <c r="B758"/>
      <c r="C758"/>
      <c r="D758"/>
      <c r="E758"/>
      <c r="F758" s="27" t="s">
        <v>7</v>
      </c>
      <c r="G758" s="27" t="s">
        <v>8</v>
      </c>
      <c r="H758" s="27" t="s">
        <v>7</v>
      </c>
      <c r="I758" s="27" t="s">
        <v>8</v>
      </c>
    </row>
    <row r="759" spans="1:11" x14ac:dyDescent="0.25">
      <c r="A759" s="7">
        <v>3.3171908360826938E-2</v>
      </c>
      <c r="B759"/>
      <c r="C759"/>
      <c r="D759"/>
      <c r="E759"/>
      <c r="F759" s="27" t="s">
        <v>7</v>
      </c>
      <c r="H759" s="27" t="s">
        <v>7</v>
      </c>
      <c r="I759" s="27" t="s">
        <v>8</v>
      </c>
    </row>
    <row r="760" spans="1:11" x14ac:dyDescent="0.25">
      <c r="A760" s="7">
        <v>3.2521478785124451E-2</v>
      </c>
      <c r="B760"/>
      <c r="C760"/>
      <c r="D760"/>
      <c r="E760"/>
      <c r="H760" s="27" t="s">
        <v>7</v>
      </c>
      <c r="I760" s="27" t="s">
        <v>8</v>
      </c>
    </row>
    <row r="761" spans="1:11" x14ac:dyDescent="0.25">
      <c r="A761" s="7">
        <v>3.1883802730514173E-2</v>
      </c>
      <c r="B761"/>
      <c r="C761"/>
      <c r="D761"/>
      <c r="E761"/>
      <c r="H761" s="27" t="s">
        <v>7</v>
      </c>
    </row>
    <row r="762" spans="1:11" x14ac:dyDescent="0.25">
      <c r="A762" s="7">
        <v>3.1258630127955073E-2</v>
      </c>
      <c r="B762"/>
      <c r="C762"/>
      <c r="D762"/>
      <c r="E762"/>
    </row>
    <row r="763" spans="1:11" x14ac:dyDescent="0.25">
      <c r="A763" s="7">
        <v>3.064571581172066E-2</v>
      </c>
      <c r="B763"/>
      <c r="C763"/>
      <c r="D763"/>
      <c r="E763"/>
    </row>
    <row r="764" spans="1:11" x14ac:dyDescent="0.25">
      <c r="A764" s="7">
        <v>3.0044819423255549E-2</v>
      </c>
      <c r="B764"/>
      <c r="C764"/>
      <c r="D764"/>
      <c r="E764"/>
    </row>
    <row r="765" spans="1:11" x14ac:dyDescent="0.25">
      <c r="A765" s="7">
        <v>2.9455705316917203E-2</v>
      </c>
      <c r="B765"/>
      <c r="C765"/>
      <c r="D765"/>
      <c r="E765"/>
    </row>
    <row r="766" spans="1:11" x14ac:dyDescent="0.25">
      <c r="A766" s="7">
        <v>2.8878142467565884E-2</v>
      </c>
      <c r="B766"/>
      <c r="C766"/>
      <c r="D766"/>
      <c r="E766"/>
    </row>
    <row r="767" spans="1:11" x14ac:dyDescent="0.25">
      <c r="A767" s="7">
        <v>2.8311904379966554E-2</v>
      </c>
      <c r="B767"/>
      <c r="C767"/>
      <c r="D767"/>
      <c r="E767"/>
    </row>
    <row r="768" spans="1:11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40" operator="equal">
      <formula>$U$1</formula>
    </cfRule>
    <cfRule type="cellIs" dxfId="89" priority="841" operator="equal">
      <formula>$S$1</formula>
    </cfRule>
  </conditionalFormatting>
  <conditionalFormatting sqref="D27">
    <cfRule type="cellIs" dxfId="88" priority="838" operator="equal">
      <formula>$S$1</formula>
    </cfRule>
    <cfRule type="cellIs" dxfId="87" priority="839" operator="equal">
      <formula>$U$1</formula>
    </cfRule>
  </conditionalFormatting>
  <conditionalFormatting sqref="C164">
    <cfRule type="cellIs" dxfId="86" priority="836" operator="equal">
      <formula>$U$1</formula>
    </cfRule>
    <cfRule type="cellIs" dxfId="85" priority="837" operator="equal">
      <formula>$S$1</formula>
    </cfRule>
  </conditionalFormatting>
  <conditionalFormatting sqref="D164">
    <cfRule type="cellIs" dxfId="84" priority="834" operator="equal">
      <formula>$S$1</formula>
    </cfRule>
    <cfRule type="cellIs" dxfId="83" priority="835" operator="equal">
      <formula>$U$1</formula>
    </cfRule>
  </conditionalFormatting>
  <conditionalFormatting sqref="C55">
    <cfRule type="cellIs" dxfId="82" priority="832" operator="equal">
      <formula>$U$1</formula>
    </cfRule>
    <cfRule type="cellIs" dxfId="81" priority="833" operator="equal">
      <formula>$S$1</formula>
    </cfRule>
  </conditionalFormatting>
  <conditionalFormatting sqref="D55">
    <cfRule type="cellIs" dxfId="80" priority="830" operator="equal">
      <formula>$S$1</formula>
    </cfRule>
    <cfRule type="cellIs" dxfId="79" priority="831" operator="equal">
      <formula>$U$1</formula>
    </cfRule>
  </conditionalFormatting>
  <conditionalFormatting sqref="C89">
    <cfRule type="cellIs" dxfId="78" priority="828" operator="equal">
      <formula>$U$1</formula>
    </cfRule>
    <cfRule type="cellIs" dxfId="77" priority="829" operator="equal">
      <formula>$S$1</formula>
    </cfRule>
  </conditionalFormatting>
  <conditionalFormatting sqref="D89">
    <cfRule type="cellIs" dxfId="76" priority="826" operator="equal">
      <formula>$S$1</formula>
    </cfRule>
    <cfRule type="cellIs" dxfId="75" priority="827" operator="equal">
      <formula>$U$1</formula>
    </cfRule>
  </conditionalFormatting>
  <conditionalFormatting sqref="C136">
    <cfRule type="cellIs" dxfId="74" priority="824" operator="equal">
      <formula>$U$1</formula>
    </cfRule>
    <cfRule type="cellIs" dxfId="73" priority="825" operator="equal">
      <formula>$S$1</formula>
    </cfRule>
  </conditionalFormatting>
  <conditionalFormatting sqref="D136">
    <cfRule type="cellIs" dxfId="72" priority="822" operator="equal">
      <formula>$S$1</formula>
    </cfRule>
    <cfRule type="cellIs" dxfId="71" priority="823" operator="equal">
      <formula>$U$1</formula>
    </cfRule>
  </conditionalFormatting>
  <conditionalFormatting sqref="C1">
    <cfRule type="cellIs" dxfId="70" priority="8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Z264" sqref="DZ26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$A$263</v>
      </c>
      <c r="D111" s="1" t="str">
        <f>ADDRESS(C121-1,D121,1,1)</f>
        <v>$DZ$263</v>
      </c>
      <c r="E111"/>
    </row>
    <row r="112" spans="1:5" x14ac:dyDescent="0.25">
      <c r="A112" s="30">
        <v>515.50191262726139</v>
      </c>
      <c r="C112" s="1" t="str">
        <f>ADDRESS(C121,1,1,1)</f>
        <v>$A$264</v>
      </c>
      <c r="D112" s="1" t="str">
        <f>ADDRESS(C121,D121-1,1,1)</f>
        <v>$DY$264</v>
      </c>
      <c r="E112"/>
    </row>
    <row r="113" spans="1:5" x14ac:dyDescent="0.25">
      <c r="A113" s="30">
        <v>490.95420250215363</v>
      </c>
      <c r="C113" s="1" t="str">
        <f>ADDRESS(C121+1,1,1,1)</f>
        <v>$A$265</v>
      </c>
      <c r="D113" s="1" t="str">
        <f>ADDRESS(C121-1,D121+1,1,1)</f>
        <v>$EA$263</v>
      </c>
    </row>
    <row r="114" spans="1:5" x14ac:dyDescent="0.25">
      <c r="A114" s="30">
        <v>467.57543095443202</v>
      </c>
      <c r="C114" s="1" t="str">
        <f>ADDRESS(C121,D121,1,1)</f>
        <v>$DZ$264</v>
      </c>
      <c r="D114" s="1" t="str">
        <f>ADDRESS(C121+1,D121+1,1,1)</f>
        <v>$EA$265</v>
      </c>
    </row>
    <row r="115" spans="1:5" x14ac:dyDescent="0.25">
      <c r="A115" s="30">
        <v>445.30993424231622</v>
      </c>
      <c r="C115" s="1" t="str">
        <f>ADDRESS(C121+1,D121,1,1)</f>
        <v>$DZ$265</v>
      </c>
    </row>
    <row r="116" spans="1:5" x14ac:dyDescent="0.25">
      <c r="A116" s="30">
        <v>424.10469927839637</v>
      </c>
      <c r="C116" s="1">
        <f>C117-1</f>
        <v>263</v>
      </c>
    </row>
    <row r="117" spans="1:5" x14ac:dyDescent="0.25">
      <c r="A117" s="30">
        <v>403.9092374079965</v>
      </c>
      <c r="C117" s="1">
        <f>C121</f>
        <v>264</v>
      </c>
      <c r="D117" s="1">
        <f>D121</f>
        <v>130</v>
      </c>
    </row>
    <row r="118" spans="1:5" x14ac:dyDescent="0.25">
      <c r="A118" s="30">
        <v>384.6754641980919</v>
      </c>
      <c r="C118" s="1">
        <f>C117+1</f>
        <v>265</v>
      </c>
      <c r="D118" s="1">
        <f>D117+1</f>
        <v>131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264</v>
      </c>
      <c r="D121" s="19">
        <v>130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R264</v>
      </c>
      <c r="D123" s="1" t="str">
        <f>"C"&amp;D121</f>
        <v>C130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0.3100679102826473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26" x14ac:dyDescent="0.25">
      <c r="A241" s="30">
        <v>0.952380952380952</v>
      </c>
      <c r="B241"/>
      <c r="C241"/>
      <c r="D241"/>
      <c r="E241"/>
      <c r="F241" s="27" t="s">
        <v>7</v>
      </c>
    </row>
    <row r="242" spans="1:126" x14ac:dyDescent="0.25">
      <c r="A242" s="30">
        <v>0.90702947845804915</v>
      </c>
      <c r="B242"/>
      <c r="C242"/>
      <c r="D242"/>
      <c r="E242"/>
      <c r="F242" s="27" t="s">
        <v>7</v>
      </c>
    </row>
    <row r="243" spans="1:126" x14ac:dyDescent="0.25">
      <c r="A243" s="30">
        <v>0.86383759853147501</v>
      </c>
      <c r="B243"/>
      <c r="C243"/>
      <c r="D243"/>
      <c r="E243"/>
      <c r="F243" s="27" t="s">
        <v>7</v>
      </c>
    </row>
    <row r="244" spans="1:126" x14ac:dyDescent="0.25">
      <c r="A244" s="30">
        <v>0.82270247479188063</v>
      </c>
      <c r="B244"/>
      <c r="C244"/>
      <c r="D244"/>
      <c r="E244"/>
      <c r="F244" s="27" t="s">
        <v>7</v>
      </c>
    </row>
    <row r="245" spans="1:126" x14ac:dyDescent="0.25">
      <c r="A245" s="30">
        <v>0.78352616646845741</v>
      </c>
      <c r="B245"/>
      <c r="C245"/>
      <c r="D245"/>
      <c r="E245"/>
      <c r="F245" s="27" t="s">
        <v>7</v>
      </c>
    </row>
    <row r="246" spans="1:126" x14ac:dyDescent="0.25">
      <c r="A246" s="30">
        <v>0.74621539663662584</v>
      </c>
      <c r="B246"/>
      <c r="C246"/>
      <c r="D246"/>
      <c r="E246"/>
      <c r="F246" s="27" t="s">
        <v>7</v>
      </c>
    </row>
    <row r="247" spans="1:126" x14ac:dyDescent="0.25">
      <c r="A247" s="30">
        <v>0.71068133013011958</v>
      </c>
      <c r="B247"/>
      <c r="C247"/>
      <c r="D247"/>
      <c r="E247"/>
      <c r="F247" s="27" t="s">
        <v>7</v>
      </c>
    </row>
    <row r="248" spans="1:126" x14ac:dyDescent="0.25">
      <c r="A248" s="30">
        <v>0.676839362028685</v>
      </c>
      <c r="B248"/>
      <c r="C248"/>
      <c r="D248"/>
      <c r="E248"/>
      <c r="F248" s="27" t="s">
        <v>7</v>
      </c>
    </row>
    <row r="249" spans="1:126" x14ac:dyDescent="0.25">
      <c r="A249" s="30">
        <v>0.64460891621779492</v>
      </c>
      <c r="B249"/>
      <c r="C249"/>
      <c r="D249"/>
      <c r="E249"/>
      <c r="F249" s="27" t="s">
        <v>7</v>
      </c>
    </row>
    <row r="250" spans="1:126" x14ac:dyDescent="0.25">
      <c r="A250" s="30">
        <v>0.61391325354075688</v>
      </c>
      <c r="B250"/>
      <c r="C250"/>
      <c r="D250"/>
      <c r="E250"/>
      <c r="F250" s="27" t="s">
        <v>7</v>
      </c>
    </row>
    <row r="251" spans="1:126" x14ac:dyDescent="0.25">
      <c r="A251" s="30">
        <v>0.58467928908643485</v>
      </c>
      <c r="B251"/>
      <c r="C251"/>
      <c r="D251"/>
      <c r="E251"/>
      <c r="F251" s="27" t="s">
        <v>7</v>
      </c>
      <c r="DU251" s="27" t="s">
        <v>8</v>
      </c>
    </row>
    <row r="252" spans="1:126" x14ac:dyDescent="0.25">
      <c r="A252" s="30">
        <v>0.55683741817755672</v>
      </c>
      <c r="B252"/>
      <c r="C252"/>
      <c r="D252"/>
      <c r="E252"/>
      <c r="F252" s="27" t="s">
        <v>7</v>
      </c>
      <c r="DU252" s="27" t="s">
        <v>8</v>
      </c>
      <c r="DV252" s="27" t="s">
        <v>7</v>
      </c>
    </row>
    <row r="253" spans="1:126" x14ac:dyDescent="0.25">
      <c r="A253" s="30">
        <v>0.53032135064529184</v>
      </c>
      <c r="B253"/>
      <c r="C253"/>
      <c r="D253"/>
      <c r="E253"/>
      <c r="F253" s="27" t="s">
        <v>7</v>
      </c>
      <c r="DU253" s="27" t="s">
        <v>8</v>
      </c>
      <c r="DV253" s="27" t="s">
        <v>7</v>
      </c>
    </row>
    <row r="254" spans="1:126" x14ac:dyDescent="0.25">
      <c r="A254" s="30">
        <v>0.50506795299551588</v>
      </c>
      <c r="B254"/>
      <c r="C254"/>
      <c r="D254"/>
      <c r="E254"/>
      <c r="F254" s="27" t="s">
        <v>7</v>
      </c>
      <c r="DU254" s="27" t="s">
        <v>8</v>
      </c>
      <c r="DV254" s="27" t="s">
        <v>7</v>
      </c>
    </row>
    <row r="255" spans="1:126" x14ac:dyDescent="0.25">
      <c r="A255" s="30">
        <v>0.48101709809096732</v>
      </c>
      <c r="E255"/>
      <c r="F255" s="27" t="s">
        <v>7</v>
      </c>
      <c r="DU255" s="27" t="s">
        <v>8</v>
      </c>
      <c r="DV255" s="27" t="s">
        <v>7</v>
      </c>
    </row>
    <row r="256" spans="1:126" x14ac:dyDescent="0.25">
      <c r="A256" s="30">
        <v>0.45811152199139726</v>
      </c>
      <c r="E256"/>
      <c r="F256" s="27" t="s">
        <v>7</v>
      </c>
      <c r="DE256" s="27" t="s">
        <v>8</v>
      </c>
      <c r="DG256" s="27" t="s">
        <v>8</v>
      </c>
      <c r="DU256" s="27" t="s">
        <v>8</v>
      </c>
      <c r="DV256" s="27" t="s">
        <v>7</v>
      </c>
    </row>
    <row r="257" spans="1:130" x14ac:dyDescent="0.25">
      <c r="A257" s="30">
        <v>0.43629668761085438</v>
      </c>
      <c r="B257"/>
      <c r="C257"/>
      <c r="D257"/>
      <c r="E257"/>
      <c r="F257" s="27" t="s">
        <v>7</v>
      </c>
      <c r="DE257" s="27" t="s">
        <v>8</v>
      </c>
      <c r="DF257" s="27" t="s">
        <v>7</v>
      </c>
      <c r="DG257" s="27" t="s">
        <v>8</v>
      </c>
      <c r="DH257" s="27" t="s">
        <v>7</v>
      </c>
      <c r="DQ257" s="27" t="s">
        <v>8</v>
      </c>
      <c r="DU257" s="27" t="s">
        <v>8</v>
      </c>
      <c r="DV257" s="27" t="s">
        <v>7</v>
      </c>
    </row>
    <row r="258" spans="1:130" x14ac:dyDescent="0.25">
      <c r="A258" s="30">
        <v>0.41552065486748019</v>
      </c>
      <c r="B258"/>
      <c r="C258"/>
      <c r="D258"/>
      <c r="E258"/>
      <c r="F258" s="27" t="s">
        <v>7</v>
      </c>
      <c r="DE258" s="27" t="s">
        <v>8</v>
      </c>
      <c r="DF258" s="27" t="s">
        <v>7</v>
      </c>
      <c r="DG258" s="27" t="s">
        <v>8</v>
      </c>
      <c r="DH258" s="27" t="s">
        <v>7</v>
      </c>
      <c r="DQ258" s="27" t="s">
        <v>8</v>
      </c>
      <c r="DR258" s="27" t="s">
        <v>7</v>
      </c>
      <c r="DU258" s="27" t="s">
        <v>8</v>
      </c>
      <c r="DV258" s="27" t="s">
        <v>7</v>
      </c>
    </row>
    <row r="259" spans="1:130" x14ac:dyDescent="0.25">
      <c r="A259" s="30">
        <v>0.39573395701664765</v>
      </c>
      <c r="B259"/>
      <c r="C259"/>
      <c r="D259"/>
      <c r="E259"/>
      <c r="F259" s="27" t="s">
        <v>7</v>
      </c>
      <c r="DE259" s="27" t="s">
        <v>8</v>
      </c>
      <c r="DF259" s="27" t="s">
        <v>7</v>
      </c>
      <c r="DG259" s="27" t="s">
        <v>8</v>
      </c>
      <c r="DH259" s="27" t="s">
        <v>7</v>
      </c>
      <c r="DQ259" s="27" t="s">
        <v>8</v>
      </c>
      <c r="DR259" s="27" t="s">
        <v>7</v>
      </c>
      <c r="DS259" s="27" t="s">
        <v>8</v>
      </c>
      <c r="DU259" s="27" t="s">
        <v>8</v>
      </c>
      <c r="DV259" s="27" t="s">
        <v>7</v>
      </c>
    </row>
    <row r="260" spans="1:130" x14ac:dyDescent="0.25">
      <c r="A260" s="30">
        <v>0.37688948287299762</v>
      </c>
      <c r="B260"/>
      <c r="C260"/>
      <c r="D260"/>
      <c r="E260"/>
      <c r="F260" s="27" t="s">
        <v>7</v>
      </c>
      <c r="DE260" s="27" t="s">
        <v>8</v>
      </c>
      <c r="DF260" s="27" t="s">
        <v>7</v>
      </c>
      <c r="DG260" s="27" t="s">
        <v>8</v>
      </c>
      <c r="DH260" s="27" t="s">
        <v>7</v>
      </c>
      <c r="DQ260" s="27" t="s">
        <v>8</v>
      </c>
      <c r="DR260" s="27" t="s">
        <v>7</v>
      </c>
      <c r="DS260" s="27" t="s">
        <v>8</v>
      </c>
      <c r="DT260" s="27" t="s">
        <v>7</v>
      </c>
      <c r="DU260" s="27" t="s">
        <v>8</v>
      </c>
      <c r="DV260" s="27" t="s">
        <v>7</v>
      </c>
    </row>
    <row r="261" spans="1:130" x14ac:dyDescent="0.25">
      <c r="A261" s="30">
        <v>0.35894236464094997</v>
      </c>
      <c r="B261"/>
      <c r="C261"/>
      <c r="D261"/>
      <c r="E261"/>
      <c r="F261" s="27" t="s">
        <v>7</v>
      </c>
      <c r="CE261" s="27" t="s">
        <v>8</v>
      </c>
      <c r="DE261" s="27" t="s">
        <v>8</v>
      </c>
      <c r="DF261" s="27" t="s">
        <v>7</v>
      </c>
      <c r="DH261" s="27" t="s">
        <v>7</v>
      </c>
      <c r="DI261" s="27" t="s">
        <v>8</v>
      </c>
      <c r="DQ261" s="27" t="s">
        <v>8</v>
      </c>
      <c r="DR261" s="27" t="s">
        <v>7</v>
      </c>
      <c r="DS261" s="27" t="s">
        <v>8</v>
      </c>
      <c r="DT261" s="27" t="s">
        <v>7</v>
      </c>
      <c r="DU261" s="27" t="s">
        <v>8</v>
      </c>
      <c r="DV261" s="27" t="s">
        <v>7</v>
      </c>
      <c r="DW261" s="27" t="s">
        <v>8</v>
      </c>
      <c r="DY261" s="27" t="s">
        <v>8</v>
      </c>
    </row>
    <row r="262" spans="1:130" x14ac:dyDescent="0.25">
      <c r="A262" s="30">
        <v>0.34184987108661891</v>
      </c>
      <c r="B262"/>
      <c r="C262"/>
      <c r="D262"/>
      <c r="E262"/>
      <c r="F262" s="27" t="s">
        <v>7</v>
      </c>
      <c r="CE262" s="27" t="s">
        <v>8</v>
      </c>
      <c r="CF262" s="27" t="s">
        <v>7</v>
      </c>
      <c r="DE262" s="27" t="s">
        <v>8</v>
      </c>
      <c r="DH262" s="27" t="s">
        <v>7</v>
      </c>
      <c r="DI262" s="27" t="s">
        <v>8</v>
      </c>
      <c r="DJ262" s="27" t="s">
        <v>7</v>
      </c>
      <c r="DO262" s="27" t="s">
        <v>8</v>
      </c>
      <c r="DQ262" s="27" t="s">
        <v>8</v>
      </c>
      <c r="DR262" s="27" t="s">
        <v>7</v>
      </c>
      <c r="DT262" s="27" t="s">
        <v>7</v>
      </c>
      <c r="DU262" s="27" t="s">
        <v>8</v>
      </c>
      <c r="DV262" s="27" t="s">
        <v>7</v>
      </c>
      <c r="DW262" s="27" t="s">
        <v>8</v>
      </c>
      <c r="DX262" s="27" t="s">
        <v>7</v>
      </c>
      <c r="DY262" s="27" t="s">
        <v>8</v>
      </c>
      <c r="DZ262" s="27" t="s">
        <v>7</v>
      </c>
    </row>
    <row r="263" spans="1:130" x14ac:dyDescent="0.25">
      <c r="A263" s="30">
        <v>0.32557130579677979</v>
      </c>
      <c r="B263"/>
      <c r="C263"/>
      <c r="D263"/>
      <c r="E263"/>
      <c r="F263" s="27" t="s">
        <v>7</v>
      </c>
      <c r="CE263" s="27" t="s">
        <v>8</v>
      </c>
      <c r="CF263" s="27" t="s">
        <v>7</v>
      </c>
      <c r="DC263" s="27" t="s">
        <v>8</v>
      </c>
      <c r="DE263" s="27" t="s">
        <v>8</v>
      </c>
      <c r="DH263" s="27" t="s">
        <v>7</v>
      </c>
      <c r="DI263" s="27" t="s">
        <v>8</v>
      </c>
      <c r="DJ263" s="27" t="s">
        <v>7</v>
      </c>
      <c r="DO263" s="27" t="s">
        <v>8</v>
      </c>
      <c r="DP263" s="27" t="s">
        <v>7</v>
      </c>
      <c r="DQ263" s="27" t="s">
        <v>8</v>
      </c>
      <c r="DT263" s="27" t="s">
        <v>7</v>
      </c>
      <c r="DU263" s="27" t="s">
        <v>8</v>
      </c>
      <c r="DV263" s="27" t="s">
        <v>7</v>
      </c>
      <c r="DW263" s="27" t="s">
        <v>8</v>
      </c>
      <c r="DX263" s="27" t="s">
        <v>7</v>
      </c>
      <c r="DY263" s="27" t="s">
        <v>8</v>
      </c>
      <c r="DZ263" s="27" t="s">
        <v>7</v>
      </c>
    </row>
    <row r="264" spans="1:130" x14ac:dyDescent="0.25">
      <c r="A264" s="30">
        <v>0.3100679102826473</v>
      </c>
      <c r="B264"/>
      <c r="C264"/>
      <c r="D264"/>
      <c r="E264"/>
      <c r="F264" s="27" t="s">
        <v>7</v>
      </c>
      <c r="CE264" s="27" t="s">
        <v>8</v>
      </c>
      <c r="CF264" s="27" t="s">
        <v>7</v>
      </c>
      <c r="DC264" s="27" t="s">
        <v>8</v>
      </c>
      <c r="DD264" s="27" t="s">
        <v>7</v>
      </c>
      <c r="DE264" s="27" t="s">
        <v>8</v>
      </c>
      <c r="DH264" s="27" t="s">
        <v>7</v>
      </c>
      <c r="DI264" s="27" t="s">
        <v>8</v>
      </c>
      <c r="DJ264" s="27" t="s">
        <v>7</v>
      </c>
      <c r="DO264" s="27" t="s">
        <v>8</v>
      </c>
      <c r="DP264" s="27" t="s">
        <v>7</v>
      </c>
      <c r="DQ264" s="27" t="s">
        <v>8</v>
      </c>
      <c r="DT264" s="27" t="s">
        <v>7</v>
      </c>
      <c r="DV264" s="27" t="s">
        <v>7</v>
      </c>
      <c r="DW264" s="27" t="s">
        <v>8</v>
      </c>
      <c r="DX264" s="27" t="s">
        <v>7</v>
      </c>
      <c r="DY264" s="27" t="s">
        <v>8</v>
      </c>
      <c r="DZ264" s="27" t="s">
        <v>7</v>
      </c>
    </row>
    <row r="265" spans="1:130" x14ac:dyDescent="0.25">
      <c r="A265" s="30">
        <v>0.2953027716977592</v>
      </c>
      <c r="B265"/>
      <c r="C265"/>
      <c r="D265"/>
      <c r="E265"/>
      <c r="F265" s="27" t="s">
        <v>7</v>
      </c>
      <c r="CE265" s="27" t="s">
        <v>8</v>
      </c>
      <c r="CF265" s="27" t="s">
        <v>7</v>
      </c>
      <c r="CG265" s="27" t="s">
        <v>8</v>
      </c>
      <c r="DC265" s="27" t="s">
        <v>8</v>
      </c>
      <c r="DD265" s="27" t="s">
        <v>7</v>
      </c>
      <c r="DE265" s="27" t="s">
        <v>8</v>
      </c>
      <c r="DH265" s="27" t="s">
        <v>7</v>
      </c>
      <c r="DI265" s="27" t="s">
        <v>8</v>
      </c>
      <c r="DJ265" s="27" t="s">
        <v>7</v>
      </c>
      <c r="DO265" s="27" t="s">
        <v>8</v>
      </c>
      <c r="DP265" s="27" t="s">
        <v>7</v>
      </c>
      <c r="DQ265" s="27" t="s">
        <v>8</v>
      </c>
      <c r="DV265" s="27" t="s">
        <v>7</v>
      </c>
      <c r="DW265" s="27" t="s">
        <v>8</v>
      </c>
      <c r="DX265" s="27" t="s">
        <v>7</v>
      </c>
    </row>
    <row r="266" spans="1:130" x14ac:dyDescent="0.25">
      <c r="A266" s="30">
        <v>0.28124073495024676</v>
      </c>
      <c r="B266"/>
      <c r="C266"/>
      <c r="D266"/>
      <c r="E266"/>
      <c r="F266" s="27" t="s">
        <v>7</v>
      </c>
      <c r="CE266" s="27" t="s">
        <v>8</v>
      </c>
      <c r="CF266" s="27" t="s">
        <v>7</v>
      </c>
      <c r="CG266" s="27" t="s">
        <v>8</v>
      </c>
      <c r="CH266" s="27" t="s">
        <v>7</v>
      </c>
      <c r="CI266" s="27" t="s">
        <v>8</v>
      </c>
      <c r="DC266" s="27" t="s">
        <v>8</v>
      </c>
      <c r="DD266" s="27" t="s">
        <v>7</v>
      </c>
      <c r="DE266" s="27" t="s">
        <v>8</v>
      </c>
      <c r="DH266" s="27" t="s">
        <v>7</v>
      </c>
      <c r="DJ266" s="27" t="s">
        <v>7</v>
      </c>
      <c r="DO266" s="27" t="s">
        <v>8</v>
      </c>
      <c r="DP266" s="27" t="s">
        <v>7</v>
      </c>
      <c r="DQ266" s="27" t="s">
        <v>8</v>
      </c>
      <c r="DV266" s="27" t="s">
        <v>7</v>
      </c>
    </row>
    <row r="267" spans="1:130" x14ac:dyDescent="0.25">
      <c r="A267" s="30">
        <v>0.26784831900023492</v>
      </c>
      <c r="B267"/>
      <c r="C267"/>
      <c r="D267"/>
      <c r="E267"/>
      <c r="F267" s="27" t="s">
        <v>7</v>
      </c>
      <c r="CE267" s="27" t="s">
        <v>8</v>
      </c>
      <c r="CF267" s="27" t="s">
        <v>7</v>
      </c>
      <c r="CG267" s="27" t="s">
        <v>8</v>
      </c>
      <c r="CH267" s="27" t="s">
        <v>7</v>
      </c>
      <c r="CI267" s="27" t="s">
        <v>8</v>
      </c>
      <c r="CJ267" s="27" t="s">
        <v>7</v>
      </c>
      <c r="DA267" s="27" t="s">
        <v>8</v>
      </c>
      <c r="DC267" s="27" t="s">
        <v>8</v>
      </c>
      <c r="DD267" s="27" t="s">
        <v>7</v>
      </c>
      <c r="DE267" s="27" t="s">
        <v>8</v>
      </c>
      <c r="DJ267" s="27" t="s">
        <v>7</v>
      </c>
      <c r="DK267" s="27" t="s">
        <v>8</v>
      </c>
      <c r="DM267" s="27" t="s">
        <v>8</v>
      </c>
      <c r="DO267" s="27" t="s">
        <v>8</v>
      </c>
      <c r="DP267" s="27" t="s">
        <v>7</v>
      </c>
      <c r="DQ267" s="27" t="s">
        <v>8</v>
      </c>
    </row>
    <row r="268" spans="1:130" x14ac:dyDescent="0.25">
      <c r="A268" s="30">
        <v>0.25509363714308075</v>
      </c>
      <c r="B268"/>
      <c r="C268"/>
      <c r="D268"/>
      <c r="E268"/>
      <c r="F268" s="27" t="s">
        <v>7</v>
      </c>
      <c r="CE268" s="27" t="s">
        <v>8</v>
      </c>
      <c r="CF268" s="27" t="s">
        <v>7</v>
      </c>
      <c r="CG268" s="27" t="s">
        <v>8</v>
      </c>
      <c r="CH268" s="27" t="s">
        <v>7</v>
      </c>
      <c r="CI268" s="27" t="s">
        <v>8</v>
      </c>
      <c r="CJ268" s="27" t="s">
        <v>7</v>
      </c>
      <c r="DA268" s="27" t="s">
        <v>8</v>
      </c>
      <c r="DB268" s="27" t="s">
        <v>7</v>
      </c>
      <c r="DC268" s="27" t="s">
        <v>8</v>
      </c>
      <c r="DD268" s="27" t="s">
        <v>7</v>
      </c>
      <c r="DE268" s="27" t="s">
        <v>8</v>
      </c>
      <c r="DJ268" s="27" t="s">
        <v>7</v>
      </c>
      <c r="DK268" s="27" t="s">
        <v>8</v>
      </c>
      <c r="DL268" s="27" t="s">
        <v>7</v>
      </c>
      <c r="DM268" s="27" t="s">
        <v>8</v>
      </c>
      <c r="DN268" s="27" t="s">
        <v>7</v>
      </c>
      <c r="DO268" s="27" t="s">
        <v>8</v>
      </c>
      <c r="DP268" s="27" t="s">
        <v>7</v>
      </c>
      <c r="DQ268" s="27" t="s">
        <v>8</v>
      </c>
    </row>
    <row r="269" spans="1:130" x14ac:dyDescent="0.25">
      <c r="A269" s="30">
        <v>0.24294632108864825</v>
      </c>
      <c r="B269"/>
      <c r="C269"/>
      <c r="D269"/>
      <c r="E269"/>
      <c r="F269" s="27" t="s">
        <v>7</v>
      </c>
      <c r="AM269" s="27" t="s">
        <v>8</v>
      </c>
      <c r="CE269" s="27" t="s">
        <v>8</v>
      </c>
      <c r="CF269" s="27" t="s">
        <v>7</v>
      </c>
      <c r="CG269" s="27" t="s">
        <v>8</v>
      </c>
      <c r="CH269" s="27" t="s">
        <v>7</v>
      </c>
      <c r="CI269" s="27" t="s">
        <v>8</v>
      </c>
      <c r="CJ269" s="27" t="s">
        <v>7</v>
      </c>
      <c r="DA269" s="27" t="s">
        <v>8</v>
      </c>
      <c r="DB269" s="27" t="s">
        <v>7</v>
      </c>
      <c r="DC269" s="27" t="s">
        <v>8</v>
      </c>
      <c r="DD269" s="27" t="s">
        <v>7</v>
      </c>
      <c r="DJ269" s="27" t="s">
        <v>7</v>
      </c>
      <c r="DK269" s="27" t="s">
        <v>8</v>
      </c>
      <c r="DL269" s="27" t="s">
        <v>7</v>
      </c>
      <c r="DM269" s="27" t="s">
        <v>8</v>
      </c>
      <c r="DN269" s="27" t="s">
        <v>7</v>
      </c>
      <c r="DO269" s="27" t="s">
        <v>8</v>
      </c>
      <c r="DP269" s="27" t="s">
        <v>7</v>
      </c>
    </row>
    <row r="270" spans="1:130" x14ac:dyDescent="0.25">
      <c r="A270" s="30">
        <v>0.23137744865585538</v>
      </c>
      <c r="B270"/>
      <c r="C270"/>
      <c r="D270"/>
      <c r="E270"/>
      <c r="F270" s="27" t="s">
        <v>7</v>
      </c>
      <c r="AM270" s="27" t="s">
        <v>8</v>
      </c>
      <c r="AN270" s="27" t="s">
        <v>7</v>
      </c>
      <c r="AU270" s="27" t="s">
        <v>8</v>
      </c>
      <c r="CE270" s="27" t="s">
        <v>8</v>
      </c>
      <c r="CF270" s="27" t="s">
        <v>7</v>
      </c>
      <c r="CG270" s="27" t="s">
        <v>8</v>
      </c>
      <c r="CH270" s="27" t="s">
        <v>7</v>
      </c>
      <c r="CJ270" s="27" t="s">
        <v>7</v>
      </c>
      <c r="CS270" s="27" t="s">
        <v>8</v>
      </c>
      <c r="CU270" s="27" t="s">
        <v>8</v>
      </c>
      <c r="CY270" s="27" t="s">
        <v>8</v>
      </c>
      <c r="DA270" s="27" t="s">
        <v>8</v>
      </c>
      <c r="DB270" s="27" t="s">
        <v>7</v>
      </c>
      <c r="DC270" s="27" t="s">
        <v>8</v>
      </c>
      <c r="DJ270" s="27" t="s">
        <v>7</v>
      </c>
      <c r="DL270" s="27" t="s">
        <v>7</v>
      </c>
      <c r="DM270" s="27" t="s">
        <v>8</v>
      </c>
      <c r="DN270" s="27" t="s">
        <v>7</v>
      </c>
    </row>
    <row r="271" spans="1:130" x14ac:dyDescent="0.25">
      <c r="A271" s="30">
        <v>0.22035947491033836</v>
      </c>
      <c r="B271"/>
      <c r="C271"/>
      <c r="D271"/>
      <c r="E271"/>
      <c r="F271" s="27" t="s">
        <v>7</v>
      </c>
      <c r="AM271" s="27" t="s">
        <v>8</v>
      </c>
      <c r="AN271" s="27" t="s">
        <v>7</v>
      </c>
      <c r="AU271" s="27" t="s">
        <v>8</v>
      </c>
      <c r="AV271" s="27" t="s">
        <v>7</v>
      </c>
      <c r="CE271" s="27" t="s">
        <v>8</v>
      </c>
      <c r="CF271" s="27" t="s">
        <v>7</v>
      </c>
      <c r="CJ271" s="27" t="s">
        <v>7</v>
      </c>
      <c r="CQ271" s="27" t="s">
        <v>8</v>
      </c>
      <c r="CS271" s="27" t="s">
        <v>8</v>
      </c>
      <c r="CT271" s="27" t="s">
        <v>7</v>
      </c>
      <c r="CU271" s="27" t="s">
        <v>8</v>
      </c>
      <c r="CV271" s="27" t="s">
        <v>7</v>
      </c>
      <c r="CW271" s="27" t="s">
        <v>8</v>
      </c>
      <c r="CY271" s="27" t="s">
        <v>8</v>
      </c>
      <c r="CZ271" s="27" t="s">
        <v>7</v>
      </c>
      <c r="DA271" s="27" t="s">
        <v>8</v>
      </c>
      <c r="DB271" s="27" t="s">
        <v>7</v>
      </c>
      <c r="DC271" s="27" t="s">
        <v>8</v>
      </c>
      <c r="DL271" s="27" t="s">
        <v>7</v>
      </c>
      <c r="DM271" s="27" t="s">
        <v>8</v>
      </c>
    </row>
    <row r="272" spans="1:130" x14ac:dyDescent="0.25">
      <c r="A272" s="30">
        <v>0.20986616658127455</v>
      </c>
      <c r="B272"/>
      <c r="C272"/>
      <c r="D272"/>
      <c r="E272"/>
      <c r="F272" s="27" t="s">
        <v>7</v>
      </c>
      <c r="AM272" s="27" t="s">
        <v>8</v>
      </c>
      <c r="AN272" s="27" t="s">
        <v>7</v>
      </c>
      <c r="AO272" s="27" t="s">
        <v>8</v>
      </c>
      <c r="AQ272" s="27" t="s">
        <v>8</v>
      </c>
      <c r="AU272" s="27" t="s">
        <v>8</v>
      </c>
      <c r="AV272" s="27" t="s">
        <v>7</v>
      </c>
      <c r="AW272" s="27" t="s">
        <v>8</v>
      </c>
      <c r="AY272" s="27" t="s">
        <v>8</v>
      </c>
      <c r="CE272" s="27" t="s">
        <v>8</v>
      </c>
      <c r="CJ272" s="27" t="s">
        <v>7</v>
      </c>
      <c r="CQ272" s="27" t="s">
        <v>8</v>
      </c>
      <c r="CR272" s="27" t="s">
        <v>7</v>
      </c>
      <c r="CS272" s="27" t="s">
        <v>8</v>
      </c>
      <c r="CT272" s="27" t="s">
        <v>7</v>
      </c>
      <c r="CU272" s="27" t="s">
        <v>8</v>
      </c>
      <c r="CV272" s="27" t="s">
        <v>7</v>
      </c>
      <c r="CW272" s="27" t="s">
        <v>8</v>
      </c>
      <c r="CX272" s="27" t="s">
        <v>7</v>
      </c>
      <c r="CY272" s="27" t="s">
        <v>8</v>
      </c>
      <c r="CZ272" s="27" t="s">
        <v>7</v>
      </c>
      <c r="DA272" s="27" t="s">
        <v>8</v>
      </c>
      <c r="DB272" s="27" t="s">
        <v>7</v>
      </c>
      <c r="DC272" s="27" t="s">
        <v>8</v>
      </c>
      <c r="DL272" s="27" t="s">
        <v>7</v>
      </c>
    </row>
    <row r="273" spans="1:106" x14ac:dyDescent="0.25">
      <c r="A273" s="30">
        <v>0.19987253960121379</v>
      </c>
      <c r="B273"/>
      <c r="C273"/>
      <c r="D273"/>
      <c r="E273"/>
      <c r="F273" s="27" t="s">
        <v>7</v>
      </c>
      <c r="AM273" s="27" t="s">
        <v>8</v>
      </c>
      <c r="AN273" s="27" t="s">
        <v>7</v>
      </c>
      <c r="AO273" s="27" t="s">
        <v>8</v>
      </c>
      <c r="AP273" s="27" t="s">
        <v>7</v>
      </c>
      <c r="AQ273" s="27" t="s">
        <v>8</v>
      </c>
      <c r="AR273" s="27" t="s">
        <v>7</v>
      </c>
      <c r="AS273" s="27" t="s">
        <v>8</v>
      </c>
      <c r="AU273" s="27" t="s">
        <v>8</v>
      </c>
      <c r="AV273" s="27" t="s">
        <v>7</v>
      </c>
      <c r="AW273" s="27" t="s">
        <v>8</v>
      </c>
      <c r="AX273" s="27" t="s">
        <v>7</v>
      </c>
      <c r="AY273" s="27" t="s">
        <v>8</v>
      </c>
      <c r="AZ273" s="27" t="s">
        <v>7</v>
      </c>
      <c r="CE273" s="27" t="s">
        <v>8</v>
      </c>
      <c r="CJ273" s="27" t="s">
        <v>7</v>
      </c>
      <c r="CQ273" s="27" t="s">
        <v>8</v>
      </c>
      <c r="CR273" s="27" t="s">
        <v>7</v>
      </c>
      <c r="CS273" s="27" t="s">
        <v>8</v>
      </c>
      <c r="CT273" s="27" t="s">
        <v>7</v>
      </c>
      <c r="CU273" s="27" t="s">
        <v>8</v>
      </c>
      <c r="CV273" s="27" t="s">
        <v>7</v>
      </c>
      <c r="CW273" s="27" t="s">
        <v>8</v>
      </c>
      <c r="CX273" s="27" t="s">
        <v>7</v>
      </c>
      <c r="CY273" s="27" t="s">
        <v>8</v>
      </c>
      <c r="CZ273" s="27" t="s">
        <v>7</v>
      </c>
      <c r="DA273" s="27" t="s">
        <v>8</v>
      </c>
      <c r="DB273" s="27" t="s">
        <v>7</v>
      </c>
    </row>
    <row r="274" spans="1:106" x14ac:dyDescent="0.25">
      <c r="A274" s="30">
        <v>0.19035479962020352</v>
      </c>
      <c r="B274"/>
      <c r="C274"/>
      <c r="D274"/>
      <c r="E274"/>
      <c r="F274" s="27" t="s">
        <v>7</v>
      </c>
      <c r="AM274" s="27" t="s">
        <v>8</v>
      </c>
      <c r="AN274" s="27" t="s">
        <v>7</v>
      </c>
      <c r="AO274" s="27" t="s">
        <v>8</v>
      </c>
      <c r="AP274" s="27" t="s">
        <v>7</v>
      </c>
      <c r="AQ274" s="27" t="s">
        <v>8</v>
      </c>
      <c r="AR274" s="27" t="s">
        <v>7</v>
      </c>
      <c r="AS274" s="27" t="s">
        <v>8</v>
      </c>
      <c r="AT274" s="27" t="s">
        <v>7</v>
      </c>
      <c r="AU274" s="27" t="s">
        <v>8</v>
      </c>
      <c r="AV274" s="27" t="s">
        <v>7</v>
      </c>
      <c r="AW274" s="27" t="s">
        <v>8</v>
      </c>
      <c r="AX274" s="27" t="s">
        <v>7</v>
      </c>
      <c r="AY274" s="27" t="s">
        <v>8</v>
      </c>
      <c r="AZ274" s="27" t="s">
        <v>7</v>
      </c>
      <c r="CE274" s="27" t="s">
        <v>8</v>
      </c>
      <c r="CJ274" s="27" t="s">
        <v>7</v>
      </c>
      <c r="CK274" s="27" t="s">
        <v>8</v>
      </c>
      <c r="CQ274" s="27" t="s">
        <v>8</v>
      </c>
      <c r="CR274" s="27" t="s">
        <v>7</v>
      </c>
      <c r="CS274" s="27" t="s">
        <v>8</v>
      </c>
      <c r="CT274" s="27" t="s">
        <v>7</v>
      </c>
      <c r="CV274" s="27" t="s">
        <v>7</v>
      </c>
      <c r="CX274" s="27" t="s">
        <v>7</v>
      </c>
      <c r="CY274" s="27" t="s">
        <v>8</v>
      </c>
      <c r="CZ274" s="27" t="s">
        <v>7</v>
      </c>
    </row>
    <row r="275" spans="1:106" x14ac:dyDescent="0.25">
      <c r="A275" s="30">
        <v>0.18129028535257471</v>
      </c>
      <c r="B275"/>
      <c r="C275"/>
      <c r="D275"/>
      <c r="E275"/>
      <c r="F275" s="27" t="s">
        <v>7</v>
      </c>
      <c r="AM275" s="27" t="s">
        <v>8</v>
      </c>
      <c r="AN275" s="27" t="s">
        <v>7</v>
      </c>
      <c r="AO275" s="27" t="s">
        <v>8</v>
      </c>
      <c r="AP275" s="27" t="s">
        <v>7</v>
      </c>
      <c r="AQ275" s="27" t="s">
        <v>8</v>
      </c>
      <c r="AR275" s="27" t="s">
        <v>7</v>
      </c>
      <c r="AS275" s="27" t="s">
        <v>8</v>
      </c>
      <c r="AT275" s="27" t="s">
        <v>7</v>
      </c>
      <c r="AU275" s="27" t="s">
        <v>8</v>
      </c>
      <c r="AV275" s="27" t="s">
        <v>7</v>
      </c>
      <c r="AX275" s="27" t="s">
        <v>7</v>
      </c>
      <c r="AY275" s="27" t="s">
        <v>8</v>
      </c>
      <c r="AZ275" s="27" t="s">
        <v>7</v>
      </c>
      <c r="CE275" s="27" t="s">
        <v>8</v>
      </c>
      <c r="CJ275" s="27" t="s">
        <v>7</v>
      </c>
      <c r="CK275" s="27" t="s">
        <v>8</v>
      </c>
      <c r="CL275" s="27" t="s">
        <v>7</v>
      </c>
      <c r="CM275" s="27" t="s">
        <v>8</v>
      </c>
      <c r="CO275" s="27" t="s">
        <v>8</v>
      </c>
      <c r="CQ275" s="27" t="s">
        <v>8</v>
      </c>
      <c r="CR275" s="27" t="s">
        <v>7</v>
      </c>
      <c r="CS275" s="27" t="s">
        <v>8</v>
      </c>
      <c r="CX275" s="27" t="s">
        <v>7</v>
      </c>
      <c r="CY275" s="27" t="s">
        <v>8</v>
      </c>
    </row>
    <row r="276" spans="1:106" x14ac:dyDescent="0.25">
      <c r="A276" s="30">
        <v>0.17265741462149967</v>
      </c>
      <c r="B276"/>
      <c r="C276"/>
      <c r="D276"/>
      <c r="E276"/>
      <c r="F276" s="27" t="s">
        <v>7</v>
      </c>
      <c r="AM276" s="27" t="s">
        <v>8</v>
      </c>
      <c r="AN276" s="27" t="s">
        <v>7</v>
      </c>
      <c r="AP276" s="27" t="s">
        <v>7</v>
      </c>
      <c r="AR276" s="27" t="s">
        <v>7</v>
      </c>
      <c r="AS276" s="27" t="s">
        <v>8</v>
      </c>
      <c r="AT276" s="27" t="s">
        <v>7</v>
      </c>
      <c r="AX276" s="27" t="s">
        <v>7</v>
      </c>
      <c r="AY276" s="27" t="s">
        <v>8</v>
      </c>
      <c r="AZ276" s="27" t="s">
        <v>7</v>
      </c>
      <c r="BE276" s="27" t="s">
        <v>8</v>
      </c>
      <c r="CE276" s="27" t="s">
        <v>8</v>
      </c>
      <c r="CJ276" s="27" t="s">
        <v>7</v>
      </c>
      <c r="CK276" s="27" t="s">
        <v>8</v>
      </c>
      <c r="CL276" s="27" t="s">
        <v>7</v>
      </c>
      <c r="CM276" s="27" t="s">
        <v>8</v>
      </c>
      <c r="CN276" s="27" t="s">
        <v>7</v>
      </c>
      <c r="CO276" s="27" t="s">
        <v>8</v>
      </c>
      <c r="CP276" s="27" t="s">
        <v>7</v>
      </c>
      <c r="CQ276" s="27" t="s">
        <v>8</v>
      </c>
      <c r="CR276" s="27" t="s">
        <v>7</v>
      </c>
      <c r="CX276" s="27" t="s">
        <v>7</v>
      </c>
    </row>
    <row r="277" spans="1:106" x14ac:dyDescent="0.25">
      <c r="A277" s="30">
        <v>0.16443563297285677</v>
      </c>
      <c r="B277"/>
      <c r="C277"/>
      <c r="D277"/>
      <c r="E277"/>
      <c r="F277" s="27" t="s">
        <v>7</v>
      </c>
      <c r="AK277" s="27" t="s">
        <v>8</v>
      </c>
      <c r="AM277" s="27" t="s">
        <v>8</v>
      </c>
      <c r="AR277" s="27" t="s">
        <v>7</v>
      </c>
      <c r="AS277" s="27" t="s">
        <v>8</v>
      </c>
      <c r="AX277" s="27" t="s">
        <v>7</v>
      </c>
      <c r="AY277" s="27" t="s">
        <v>8</v>
      </c>
      <c r="AZ277" s="27" t="s">
        <v>7</v>
      </c>
      <c r="BA277" s="27" t="s">
        <v>8</v>
      </c>
      <c r="BE277" s="27" t="s">
        <v>8</v>
      </c>
      <c r="BF277" s="27" t="s">
        <v>7</v>
      </c>
      <c r="CE277" s="27" t="s">
        <v>8</v>
      </c>
      <c r="CJ277" s="27" t="s">
        <v>7</v>
      </c>
      <c r="CK277" s="27" t="s">
        <v>8</v>
      </c>
      <c r="CL277" s="27" t="s">
        <v>7</v>
      </c>
      <c r="CM277" s="27" t="s">
        <v>8</v>
      </c>
      <c r="CN277" s="27" t="s">
        <v>7</v>
      </c>
      <c r="CO277" s="27" t="s">
        <v>8</v>
      </c>
      <c r="CP277" s="27" t="s">
        <v>7</v>
      </c>
      <c r="CQ277" s="27" t="s">
        <v>8</v>
      </c>
    </row>
    <row r="278" spans="1:106" x14ac:dyDescent="0.25">
      <c r="A278" s="30">
        <v>0.15660536473605399</v>
      </c>
      <c r="B278"/>
      <c r="C278"/>
      <c r="D278"/>
      <c r="E278"/>
      <c r="F278" s="27" t="s">
        <v>7</v>
      </c>
      <c r="AK278" s="27" t="s">
        <v>8</v>
      </c>
      <c r="AL278" s="27" t="s">
        <v>7</v>
      </c>
      <c r="AM278" s="27" t="s">
        <v>8</v>
      </c>
      <c r="AR278" s="27" t="s">
        <v>7</v>
      </c>
      <c r="AS278" s="27" t="s">
        <v>8</v>
      </c>
      <c r="AX278" s="27" t="s">
        <v>7</v>
      </c>
      <c r="AZ278" s="27" t="s">
        <v>7</v>
      </c>
      <c r="BA278" s="27" t="s">
        <v>8</v>
      </c>
      <c r="BB278" s="27" t="s">
        <v>7</v>
      </c>
      <c r="BE278" s="27" t="s">
        <v>8</v>
      </c>
      <c r="BF278" s="27" t="s">
        <v>7</v>
      </c>
      <c r="CE278" s="27" t="s">
        <v>8</v>
      </c>
      <c r="CJ278" s="27" t="s">
        <v>7</v>
      </c>
      <c r="CL278" s="27" t="s">
        <v>7</v>
      </c>
      <c r="CN278" s="27" t="s">
        <v>7</v>
      </c>
      <c r="CO278" s="27" t="s">
        <v>8</v>
      </c>
      <c r="CP278" s="27" t="s">
        <v>7</v>
      </c>
      <c r="CQ278" s="27" t="s">
        <v>8</v>
      </c>
    </row>
    <row r="279" spans="1:106" x14ac:dyDescent="0.25">
      <c r="A279" s="30">
        <v>0.14914796641528946</v>
      </c>
      <c r="B279"/>
      <c r="C279"/>
      <c r="D279"/>
      <c r="E279"/>
      <c r="F279" s="27" t="s">
        <v>7</v>
      </c>
      <c r="AK279" s="27" t="s">
        <v>8</v>
      </c>
      <c r="AL279" s="27" t="s">
        <v>7</v>
      </c>
      <c r="AM279" s="27" t="s">
        <v>8</v>
      </c>
      <c r="AR279" s="27" t="s">
        <v>7</v>
      </c>
      <c r="AS279" s="27" t="s">
        <v>8</v>
      </c>
      <c r="AZ279" s="27" t="s">
        <v>7</v>
      </c>
      <c r="BA279" s="27" t="s">
        <v>8</v>
      </c>
      <c r="BB279" s="27" t="s">
        <v>7</v>
      </c>
      <c r="BE279" s="27" t="s">
        <v>8</v>
      </c>
      <c r="BF279" s="27" t="s">
        <v>7</v>
      </c>
      <c r="CE279" s="27" t="s">
        <v>8</v>
      </c>
      <c r="CN279" s="27" t="s">
        <v>7</v>
      </c>
      <c r="CP279" s="27" t="s">
        <v>7</v>
      </c>
      <c r="CQ279" s="27" t="s">
        <v>8</v>
      </c>
    </row>
    <row r="280" spans="1:106" x14ac:dyDescent="0.25">
      <c r="A280" s="30">
        <v>0.14204568230027562</v>
      </c>
      <c r="B280"/>
      <c r="C280"/>
      <c r="D280"/>
      <c r="E280"/>
      <c r="F280" s="27" t="s">
        <v>7</v>
      </c>
      <c r="AG280" s="27" t="s">
        <v>8</v>
      </c>
      <c r="AK280" s="27" t="s">
        <v>8</v>
      </c>
      <c r="AL280" s="27" t="s">
        <v>7</v>
      </c>
      <c r="AM280" s="27" t="s">
        <v>8</v>
      </c>
      <c r="AR280" s="27" t="s">
        <v>7</v>
      </c>
      <c r="AS280" s="27" t="s">
        <v>8</v>
      </c>
      <c r="AZ280" s="27" t="s">
        <v>7</v>
      </c>
      <c r="BB280" s="27" t="s">
        <v>7</v>
      </c>
      <c r="BC280" s="27" t="s">
        <v>8</v>
      </c>
      <c r="BE280" s="27" t="s">
        <v>8</v>
      </c>
      <c r="BF280" s="27" t="s">
        <v>7</v>
      </c>
      <c r="CC280" s="27" t="s">
        <v>8</v>
      </c>
      <c r="CE280" s="27" t="s">
        <v>8</v>
      </c>
      <c r="CP280" s="27" t="s">
        <v>7</v>
      </c>
    </row>
    <row r="281" spans="1:106" x14ac:dyDescent="0.25">
      <c r="A281" s="30">
        <v>0.13528160219073862</v>
      </c>
      <c r="B281"/>
      <c r="C281"/>
      <c r="D281"/>
      <c r="E281"/>
      <c r="F281" s="27" t="s">
        <v>7</v>
      </c>
      <c r="AG281" s="27" t="s">
        <v>8</v>
      </c>
      <c r="AH281" s="27" t="s">
        <v>7</v>
      </c>
      <c r="AK281" s="27" t="s">
        <v>8</v>
      </c>
      <c r="AL281" s="27" t="s">
        <v>7</v>
      </c>
      <c r="AR281" s="27" t="s">
        <v>7</v>
      </c>
      <c r="BB281" s="27" t="s">
        <v>7</v>
      </c>
      <c r="BC281" s="27" t="s">
        <v>8</v>
      </c>
      <c r="BD281" s="27" t="s">
        <v>7</v>
      </c>
      <c r="BE281" s="27" t="s">
        <v>8</v>
      </c>
      <c r="BF281" s="27" t="s">
        <v>7</v>
      </c>
      <c r="CC281" s="27" t="s">
        <v>8</v>
      </c>
      <c r="CD281" s="27" t="s">
        <v>7</v>
      </c>
      <c r="CE281" s="27" t="s">
        <v>8</v>
      </c>
    </row>
    <row r="282" spans="1:106" x14ac:dyDescent="0.25">
      <c r="A282" s="30">
        <v>0.12883962113403674</v>
      </c>
      <c r="B282"/>
      <c r="C282"/>
      <c r="D282"/>
      <c r="E282"/>
      <c r="F282" s="27" t="s">
        <v>7</v>
      </c>
      <c r="AG282" s="27" t="s">
        <v>8</v>
      </c>
      <c r="AH282" s="27" t="s">
        <v>7</v>
      </c>
      <c r="AK282" s="27" t="s">
        <v>8</v>
      </c>
      <c r="BB282" s="27" t="s">
        <v>7</v>
      </c>
      <c r="BC282" s="27" t="s">
        <v>8</v>
      </c>
      <c r="BD282" s="27" t="s">
        <v>7</v>
      </c>
      <c r="BE282" s="27" t="s">
        <v>8</v>
      </c>
      <c r="BF282" s="27" t="s">
        <v>7</v>
      </c>
      <c r="CC282" s="27" t="s">
        <v>8</v>
      </c>
      <c r="CD282" s="27" t="s">
        <v>7</v>
      </c>
      <c r="CE282" s="27" t="s">
        <v>8</v>
      </c>
    </row>
    <row r="283" spans="1:106" x14ac:dyDescent="0.25">
      <c r="A283" s="30">
        <v>0.12270440108003494</v>
      </c>
      <c r="B283"/>
      <c r="C283"/>
      <c r="D283"/>
      <c r="E283"/>
      <c r="F283" s="27" t="s">
        <v>7</v>
      </c>
      <c r="AE283" s="27" t="s">
        <v>8</v>
      </c>
      <c r="AG283" s="27" t="s">
        <v>8</v>
      </c>
      <c r="AH283" s="27" t="s">
        <v>7</v>
      </c>
      <c r="AK283" s="27" t="s">
        <v>8</v>
      </c>
      <c r="BB283" s="27" t="s">
        <v>7</v>
      </c>
      <c r="BD283" s="27" t="s">
        <v>7</v>
      </c>
      <c r="BF283" s="27" t="s">
        <v>7</v>
      </c>
      <c r="BG283" s="27" t="s">
        <v>8</v>
      </c>
      <c r="CC283" s="27" t="s">
        <v>8</v>
      </c>
      <c r="CD283" s="27" t="s">
        <v>7</v>
      </c>
    </row>
    <row r="284" spans="1:106" x14ac:dyDescent="0.25">
      <c r="A284" s="30">
        <v>0.11686133436193799</v>
      </c>
      <c r="B284"/>
      <c r="C284"/>
      <c r="D284"/>
      <c r="E284"/>
      <c r="F284" s="27" t="s">
        <v>7</v>
      </c>
      <c r="AE284" s="27" t="s">
        <v>8</v>
      </c>
      <c r="AF284" s="27" t="s">
        <v>7</v>
      </c>
      <c r="AG284" s="27" t="s">
        <v>8</v>
      </c>
      <c r="AH284" s="27" t="s">
        <v>7</v>
      </c>
      <c r="AK284" s="27" t="s">
        <v>8</v>
      </c>
      <c r="BF284" s="27" t="s">
        <v>7</v>
      </c>
      <c r="BG284" s="27" t="s">
        <v>8</v>
      </c>
      <c r="BH284" s="27" t="s">
        <v>7</v>
      </c>
      <c r="CA284" s="27" t="s">
        <v>8</v>
      </c>
      <c r="CC284" s="27" t="s">
        <v>8</v>
      </c>
    </row>
    <row r="285" spans="1:106" x14ac:dyDescent="0.25">
      <c r="A285" s="30">
        <v>0.11129650891613138</v>
      </c>
      <c r="B285"/>
      <c r="C285"/>
      <c r="D285"/>
      <c r="E285"/>
      <c r="F285" s="27" t="s">
        <v>7</v>
      </c>
      <c r="AE285" s="27" t="s">
        <v>8</v>
      </c>
      <c r="AF285" s="27" t="s">
        <v>7</v>
      </c>
      <c r="AG285" s="27" t="s">
        <v>8</v>
      </c>
      <c r="AH285" s="27" t="s">
        <v>7</v>
      </c>
      <c r="AI285" s="27" t="s">
        <v>8</v>
      </c>
      <c r="AK285" s="27" t="s">
        <v>8</v>
      </c>
      <c r="BF285" s="27" t="s">
        <v>7</v>
      </c>
      <c r="BG285" s="27" t="s">
        <v>8</v>
      </c>
      <c r="BH285" s="27" t="s">
        <v>7</v>
      </c>
      <c r="BY285" s="27" t="s">
        <v>8</v>
      </c>
      <c r="CA285" s="27" t="s">
        <v>8</v>
      </c>
      <c r="CB285" s="27" t="s">
        <v>7</v>
      </c>
      <c r="CC285" s="27" t="s">
        <v>8</v>
      </c>
    </row>
    <row r="286" spans="1:106" x14ac:dyDescent="0.25">
      <c r="A286" s="30">
        <v>0.10599667515822032</v>
      </c>
      <c r="B286"/>
      <c r="C286"/>
      <c r="D286"/>
      <c r="E286"/>
      <c r="F286" s="27" t="s">
        <v>7</v>
      </c>
      <c r="AE286" s="27" t="s">
        <v>8</v>
      </c>
      <c r="AF286" s="27" t="s">
        <v>7</v>
      </c>
      <c r="AG286" s="27" t="s">
        <v>8</v>
      </c>
      <c r="AH286" s="27" t="s">
        <v>7</v>
      </c>
      <c r="AI286" s="27" t="s">
        <v>8</v>
      </c>
      <c r="AJ286" s="27" t="s">
        <v>7</v>
      </c>
      <c r="AK286" s="27" t="s">
        <v>8</v>
      </c>
      <c r="BF286" s="27" t="s">
        <v>7</v>
      </c>
      <c r="BG286" s="27" t="s">
        <v>8</v>
      </c>
      <c r="BH286" s="27" t="s">
        <v>7</v>
      </c>
      <c r="BY286" s="27" t="s">
        <v>8</v>
      </c>
      <c r="BZ286" s="27" t="s">
        <v>7</v>
      </c>
      <c r="CA286" s="27" t="s">
        <v>8</v>
      </c>
      <c r="CB286" s="27" t="s">
        <v>7</v>
      </c>
      <c r="CC286" s="27" t="s">
        <v>8</v>
      </c>
    </row>
    <row r="287" spans="1:106" x14ac:dyDescent="0.25">
      <c r="A287" s="30">
        <v>0.10094921443640027</v>
      </c>
      <c r="B287"/>
      <c r="C287"/>
      <c r="D287"/>
      <c r="E287"/>
      <c r="F287" s="27" t="s">
        <v>7</v>
      </c>
      <c r="AE287" s="27" t="s">
        <v>8</v>
      </c>
      <c r="AF287" s="27" t="s">
        <v>7</v>
      </c>
      <c r="AG287" s="27" t="s">
        <v>8</v>
      </c>
      <c r="AH287" s="27" t="s">
        <v>7</v>
      </c>
      <c r="AI287" s="27" t="s">
        <v>8</v>
      </c>
      <c r="AJ287" s="27" t="s">
        <v>7</v>
      </c>
      <c r="AK287" s="27" t="s">
        <v>8</v>
      </c>
      <c r="BF287" s="27" t="s">
        <v>7</v>
      </c>
      <c r="BH287" s="27" t="s">
        <v>7</v>
      </c>
      <c r="BY287" s="27" t="s">
        <v>8</v>
      </c>
      <c r="BZ287" s="27" t="s">
        <v>7</v>
      </c>
      <c r="CA287" s="27" t="s">
        <v>8</v>
      </c>
      <c r="CB287" s="27" t="s">
        <v>7</v>
      </c>
      <c r="CC287" s="27" t="s">
        <v>8</v>
      </c>
    </row>
    <row r="288" spans="1:106" x14ac:dyDescent="0.25">
      <c r="A288" s="30">
        <v>9.6142108987047836E-2</v>
      </c>
      <c r="B288"/>
      <c r="C288"/>
      <c r="D288"/>
      <c r="E288"/>
      <c r="F288" s="27" t="s">
        <v>7</v>
      </c>
      <c r="AE288" s="27" t="s">
        <v>8</v>
      </c>
      <c r="AF288" s="27" t="s">
        <v>7</v>
      </c>
      <c r="AG288" s="27" t="s">
        <v>8</v>
      </c>
      <c r="AH288" s="27" t="s">
        <v>7</v>
      </c>
      <c r="AI288" s="27" t="s">
        <v>8</v>
      </c>
      <c r="AJ288" s="27" t="s">
        <v>7</v>
      </c>
      <c r="AK288" s="27" t="s">
        <v>8</v>
      </c>
      <c r="BH288" s="27" t="s">
        <v>7</v>
      </c>
      <c r="BK288" s="27" t="s">
        <v>8</v>
      </c>
      <c r="BY288" s="27" t="s">
        <v>8</v>
      </c>
      <c r="BZ288" s="27" t="s">
        <v>7</v>
      </c>
      <c r="CB288" s="27" t="s">
        <v>7</v>
      </c>
    </row>
    <row r="289" spans="1:77" x14ac:dyDescent="0.25">
      <c r="A289" s="30">
        <v>9.1563913320997906E-2</v>
      </c>
      <c r="B289"/>
      <c r="C289"/>
      <c r="D289"/>
      <c r="E289"/>
      <c r="F289" s="27" t="s">
        <v>7</v>
      </c>
      <c r="AE289" s="27" t="s">
        <v>8</v>
      </c>
      <c r="AF289" s="27" t="s">
        <v>7</v>
      </c>
      <c r="AG289" s="27" t="s">
        <v>8</v>
      </c>
      <c r="AH289" s="27" t="s">
        <v>7</v>
      </c>
      <c r="AI289" s="27" t="s">
        <v>8</v>
      </c>
      <c r="AJ289" s="27" t="s">
        <v>7</v>
      </c>
      <c r="AK289" s="27" t="s">
        <v>8</v>
      </c>
      <c r="BH289" s="27" t="s">
        <v>7</v>
      </c>
      <c r="BI289" s="27" t="s">
        <v>8</v>
      </c>
      <c r="BK289" s="27" t="s">
        <v>8</v>
      </c>
      <c r="BL289" s="27" t="s">
        <v>7</v>
      </c>
      <c r="BY289" s="27" t="s">
        <v>8</v>
      </c>
    </row>
    <row r="290" spans="1:77" x14ac:dyDescent="0.25">
      <c r="A290" s="30">
        <v>8.7203726972378923E-2</v>
      </c>
      <c r="B290"/>
      <c r="C290"/>
      <c r="D290"/>
      <c r="E290"/>
      <c r="F290" s="27" t="s">
        <v>7</v>
      </c>
      <c r="AE290" s="27" t="s">
        <v>8</v>
      </c>
      <c r="AF290" s="27" t="s">
        <v>7</v>
      </c>
      <c r="AH290" s="27" t="s">
        <v>7</v>
      </c>
      <c r="AJ290" s="27" t="s">
        <v>7</v>
      </c>
      <c r="AK290" s="27" t="s">
        <v>8</v>
      </c>
      <c r="BH290" s="27" t="s">
        <v>7</v>
      </c>
      <c r="BI290" s="27" t="s">
        <v>8</v>
      </c>
      <c r="BJ290" s="27" t="s">
        <v>7</v>
      </c>
      <c r="BK290" s="27" t="s">
        <v>8</v>
      </c>
      <c r="BL290" s="27" t="s">
        <v>7</v>
      </c>
      <c r="BM290" s="27" t="s">
        <v>8</v>
      </c>
      <c r="BY290" s="27" t="s">
        <v>8</v>
      </c>
    </row>
    <row r="291" spans="1:77" x14ac:dyDescent="0.25">
      <c r="A291" s="30">
        <v>8.3051168545122747E-2</v>
      </c>
      <c r="B291"/>
      <c r="C291"/>
      <c r="D291"/>
      <c r="E291"/>
      <c r="F291" s="27" t="s">
        <v>7</v>
      </c>
      <c r="AE291" s="27" t="s">
        <v>8</v>
      </c>
      <c r="AJ291" s="27" t="s">
        <v>7</v>
      </c>
      <c r="BH291" s="27" t="s">
        <v>7</v>
      </c>
      <c r="BI291" s="27" t="s">
        <v>8</v>
      </c>
      <c r="BJ291" s="27" t="s">
        <v>7</v>
      </c>
      <c r="BK291" s="27" t="s">
        <v>8</v>
      </c>
      <c r="BL291" s="27" t="s">
        <v>7</v>
      </c>
      <c r="BM291" s="27" t="s">
        <v>8</v>
      </c>
      <c r="BN291" s="27" t="s">
        <v>7</v>
      </c>
      <c r="BQ291" s="27" t="s">
        <v>8</v>
      </c>
      <c r="BY291" s="27" t="s">
        <v>8</v>
      </c>
    </row>
    <row r="292" spans="1:77" x14ac:dyDescent="0.25">
      <c r="A292" s="30">
        <v>7.9096350995354961E-2</v>
      </c>
      <c r="B292"/>
      <c r="C292"/>
      <c r="D292"/>
      <c r="E292"/>
      <c r="F292" s="27" t="s">
        <v>7</v>
      </c>
      <c r="AC292" s="27" t="s">
        <v>8</v>
      </c>
      <c r="AE292" s="27" t="s">
        <v>8</v>
      </c>
      <c r="BH292" s="27" t="s">
        <v>7</v>
      </c>
      <c r="BI292" s="27" t="s">
        <v>8</v>
      </c>
      <c r="BJ292" s="27" t="s">
        <v>7</v>
      </c>
      <c r="BK292" s="27" t="s">
        <v>8</v>
      </c>
      <c r="BL292" s="27" t="s">
        <v>7</v>
      </c>
      <c r="BM292" s="27" t="s">
        <v>8</v>
      </c>
      <c r="BN292" s="27" t="s">
        <v>7</v>
      </c>
      <c r="BQ292" s="27" t="s">
        <v>8</v>
      </c>
      <c r="BR292" s="27" t="s">
        <v>7</v>
      </c>
      <c r="BY292" s="27" t="s">
        <v>8</v>
      </c>
    </row>
    <row r="293" spans="1:77" x14ac:dyDescent="0.25">
      <c r="A293" s="30">
        <v>7.5329858090814217E-2</v>
      </c>
      <c r="B293"/>
      <c r="C293"/>
      <c r="D293"/>
      <c r="E293"/>
      <c r="F293" s="27" t="s">
        <v>7</v>
      </c>
      <c r="Y293" s="27" t="s">
        <v>8</v>
      </c>
      <c r="AC293" s="27" t="s">
        <v>8</v>
      </c>
      <c r="AD293" s="27" t="s">
        <v>7</v>
      </c>
      <c r="AE293" s="27" t="s">
        <v>8</v>
      </c>
      <c r="BH293" s="27" t="s">
        <v>7</v>
      </c>
      <c r="BI293" s="27" t="s">
        <v>8</v>
      </c>
      <c r="BJ293" s="27" t="s">
        <v>7</v>
      </c>
      <c r="BK293" s="27" t="s">
        <v>8</v>
      </c>
      <c r="BL293" s="27" t="s">
        <v>7</v>
      </c>
      <c r="BM293" s="27" t="s">
        <v>8</v>
      </c>
      <c r="BN293" s="27" t="s">
        <v>7</v>
      </c>
      <c r="BO293" s="27" t="s">
        <v>8</v>
      </c>
      <c r="BQ293" s="27" t="s">
        <v>8</v>
      </c>
      <c r="BR293" s="27" t="s">
        <v>7</v>
      </c>
      <c r="BY293" s="27" t="s">
        <v>8</v>
      </c>
    </row>
    <row r="294" spans="1:77" x14ac:dyDescent="0.25">
      <c r="A294" s="30">
        <v>7.1742721991251604E-2</v>
      </c>
      <c r="B294"/>
      <c r="C294"/>
      <c r="D294"/>
      <c r="E294"/>
      <c r="F294" s="27" t="s">
        <v>7</v>
      </c>
      <c r="Y294" s="27" t="s">
        <v>8</v>
      </c>
      <c r="Z294" s="27" t="s">
        <v>7</v>
      </c>
      <c r="AC294" s="27" t="s">
        <v>8</v>
      </c>
      <c r="AD294" s="27" t="s">
        <v>7</v>
      </c>
      <c r="AE294" s="27" t="s">
        <v>8</v>
      </c>
      <c r="BH294" s="27" t="s">
        <v>7</v>
      </c>
      <c r="BI294" s="27" t="s">
        <v>8</v>
      </c>
      <c r="BJ294" s="27" t="s">
        <v>7</v>
      </c>
      <c r="BK294" s="27" t="s">
        <v>8</v>
      </c>
      <c r="BL294" s="27" t="s">
        <v>7</v>
      </c>
      <c r="BM294" s="27" t="s">
        <v>8</v>
      </c>
      <c r="BN294" s="27" t="s">
        <v>7</v>
      </c>
      <c r="BO294" s="27" t="s">
        <v>8</v>
      </c>
      <c r="BP294" s="27" t="s">
        <v>7</v>
      </c>
      <c r="BQ294" s="27" t="s">
        <v>8</v>
      </c>
      <c r="BR294" s="27" t="s">
        <v>7</v>
      </c>
      <c r="BU294" s="27" t="s">
        <v>8</v>
      </c>
      <c r="BW294" s="27" t="s">
        <v>8</v>
      </c>
      <c r="BY294" s="27" t="s">
        <v>8</v>
      </c>
    </row>
    <row r="295" spans="1:77" x14ac:dyDescent="0.25">
      <c r="A295" s="30">
        <v>6.8326401896430078E-2</v>
      </c>
      <c r="B295"/>
      <c r="C295"/>
      <c r="D295"/>
      <c r="E295"/>
      <c r="F295" s="27" t="s">
        <v>7</v>
      </c>
      <c r="Y295" s="27" t="s">
        <v>8</v>
      </c>
      <c r="Z295" s="27" t="s">
        <v>7</v>
      </c>
      <c r="AC295" s="27" t="s">
        <v>8</v>
      </c>
      <c r="AD295" s="27" t="s">
        <v>7</v>
      </c>
      <c r="BH295" s="27" t="s">
        <v>7</v>
      </c>
      <c r="BJ295" s="27" t="s">
        <v>7</v>
      </c>
      <c r="BK295" s="27" t="s">
        <v>8</v>
      </c>
      <c r="BL295" s="27" t="s">
        <v>7</v>
      </c>
      <c r="BN295" s="27" t="s">
        <v>7</v>
      </c>
      <c r="BO295" s="27" t="s">
        <v>8</v>
      </c>
      <c r="BP295" s="27" t="s">
        <v>7</v>
      </c>
      <c r="BQ295" s="27" t="s">
        <v>8</v>
      </c>
      <c r="BR295" s="27" t="s">
        <v>7</v>
      </c>
      <c r="BU295" s="27" t="s">
        <v>8</v>
      </c>
      <c r="BV295" s="27" t="s">
        <v>7</v>
      </c>
      <c r="BW295" s="27" t="s">
        <v>8</v>
      </c>
      <c r="BX295" s="27" t="s">
        <v>7</v>
      </c>
      <c r="BY295" s="27" t="s">
        <v>8</v>
      </c>
    </row>
    <row r="296" spans="1:77" x14ac:dyDescent="0.25">
      <c r="A296" s="30">
        <v>6.5072763710885759E-2</v>
      </c>
      <c r="B296"/>
      <c r="C296"/>
      <c r="D296"/>
      <c r="E296"/>
      <c r="F296" s="27" t="s">
        <v>7</v>
      </c>
      <c r="Y296" s="27" t="s">
        <v>8</v>
      </c>
      <c r="Z296" s="27" t="s">
        <v>7</v>
      </c>
      <c r="AA296" s="27" t="s">
        <v>8</v>
      </c>
      <c r="AC296" s="27" t="s">
        <v>8</v>
      </c>
      <c r="BJ296" s="27" t="s">
        <v>7</v>
      </c>
      <c r="BK296" s="27" t="s">
        <v>8</v>
      </c>
      <c r="BN296" s="27" t="s">
        <v>7</v>
      </c>
      <c r="BO296" s="27" t="s">
        <v>8</v>
      </c>
      <c r="BP296" s="27" t="s">
        <v>7</v>
      </c>
      <c r="BR296" s="27" t="s">
        <v>7</v>
      </c>
      <c r="BU296" s="27" t="s">
        <v>8</v>
      </c>
      <c r="BV296" s="27" t="s">
        <v>7</v>
      </c>
      <c r="BW296" s="27" t="s">
        <v>8</v>
      </c>
      <c r="BX296" s="27" t="s">
        <v>7</v>
      </c>
      <c r="BY296" s="27" t="s">
        <v>8</v>
      </c>
    </row>
    <row r="297" spans="1:77" x14ac:dyDescent="0.25">
      <c r="A297" s="30">
        <v>6.197406067703403E-2</v>
      </c>
      <c r="B297"/>
      <c r="C297"/>
      <c r="D297"/>
      <c r="E297"/>
      <c r="F297" s="27" t="s">
        <v>7</v>
      </c>
      <c r="K297" s="27" t="s">
        <v>8</v>
      </c>
      <c r="Q297" s="27" t="s">
        <v>8</v>
      </c>
      <c r="Y297" s="27" t="s">
        <v>8</v>
      </c>
      <c r="Z297" s="27" t="s">
        <v>7</v>
      </c>
      <c r="AA297" s="27" t="s">
        <v>8</v>
      </c>
      <c r="AB297" s="27" t="s">
        <v>7</v>
      </c>
      <c r="AC297" s="27" t="s">
        <v>8</v>
      </c>
      <c r="BJ297" s="27" t="s">
        <v>7</v>
      </c>
      <c r="BK297" s="27" t="s">
        <v>8</v>
      </c>
      <c r="BN297" s="27" t="s">
        <v>7</v>
      </c>
      <c r="BR297" s="27" t="s">
        <v>7</v>
      </c>
      <c r="BU297" s="27" t="s">
        <v>8</v>
      </c>
      <c r="BV297" s="27" t="s">
        <v>7</v>
      </c>
      <c r="BX297" s="27" t="s">
        <v>7</v>
      </c>
      <c r="BY297" s="27" t="s">
        <v>8</v>
      </c>
    </row>
    <row r="298" spans="1:77" x14ac:dyDescent="0.25">
      <c r="A298" s="30">
        <v>5.9022914930508576E-2</v>
      </c>
      <c r="B298"/>
      <c r="C298"/>
      <c r="D298"/>
      <c r="E298"/>
      <c r="F298" s="27" t="s">
        <v>7</v>
      </c>
      <c r="K298" s="27" t="s">
        <v>8</v>
      </c>
      <c r="L298" s="27" t="s">
        <v>7</v>
      </c>
      <c r="Q298" s="27" t="s">
        <v>8</v>
      </c>
      <c r="R298" s="27" t="s">
        <v>7</v>
      </c>
      <c r="Y298" s="27" t="s">
        <v>8</v>
      </c>
      <c r="Z298" s="27" t="s">
        <v>7</v>
      </c>
      <c r="AA298" s="27" t="s">
        <v>8</v>
      </c>
      <c r="AB298" s="27" t="s">
        <v>7</v>
      </c>
      <c r="AC298" s="27" t="s">
        <v>8</v>
      </c>
      <c r="BJ298" s="27" t="s">
        <v>7</v>
      </c>
      <c r="BK298" s="27" t="s">
        <v>8</v>
      </c>
      <c r="BR298" s="27" t="s">
        <v>7</v>
      </c>
      <c r="BU298" s="27" t="s">
        <v>8</v>
      </c>
      <c r="BX298" s="18" t="s">
        <v>7</v>
      </c>
      <c r="BY298" s="27" t="s">
        <v>8</v>
      </c>
    </row>
    <row r="299" spans="1:77" x14ac:dyDescent="0.25">
      <c r="A299" s="30">
        <v>5.6212299933817669E-2</v>
      </c>
      <c r="B299"/>
      <c r="C299"/>
      <c r="D299"/>
      <c r="E299"/>
      <c r="F299" s="27" t="s">
        <v>7</v>
      </c>
      <c r="K299" s="27" t="s">
        <v>8</v>
      </c>
      <c r="L299" s="27" t="s">
        <v>7</v>
      </c>
      <c r="M299" s="27" t="s">
        <v>8</v>
      </c>
      <c r="O299" s="27" t="s">
        <v>8</v>
      </c>
      <c r="Q299" s="27" t="s">
        <v>8</v>
      </c>
      <c r="R299" s="27" t="s">
        <v>7</v>
      </c>
      <c r="Y299" s="27" t="s">
        <v>8</v>
      </c>
      <c r="Z299" s="27" t="s">
        <v>7</v>
      </c>
      <c r="AA299" s="27" t="s">
        <v>8</v>
      </c>
      <c r="AB299" s="27" t="s">
        <v>7</v>
      </c>
      <c r="BJ299" s="27" t="s">
        <v>7</v>
      </c>
      <c r="BK299" s="27" t="s">
        <v>8</v>
      </c>
      <c r="BR299" s="27" t="s">
        <v>7</v>
      </c>
      <c r="BS299" s="27" t="s">
        <v>8</v>
      </c>
      <c r="BU299" s="27" t="s">
        <v>8</v>
      </c>
      <c r="BX299" s="27" t="s">
        <v>7</v>
      </c>
      <c r="BY299" s="27" t="s">
        <v>8</v>
      </c>
    </row>
    <row r="300" spans="1:77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K300" s="27" t="s">
        <v>8</v>
      </c>
      <c r="L300" s="27" t="s">
        <v>7</v>
      </c>
      <c r="M300" s="27" t="s">
        <v>8</v>
      </c>
      <c r="N300" s="27" t="s">
        <v>7</v>
      </c>
      <c r="O300" s="27" t="s">
        <v>8</v>
      </c>
      <c r="P300" s="27" t="s">
        <v>7</v>
      </c>
      <c r="Q300" s="27" t="s">
        <v>8</v>
      </c>
      <c r="R300" s="27" t="s">
        <v>7</v>
      </c>
      <c r="U300" s="27" t="s">
        <v>8</v>
      </c>
      <c r="Y300" s="27" t="s">
        <v>8</v>
      </c>
      <c r="Z300" s="27" t="s">
        <v>7</v>
      </c>
      <c r="BJ300" s="27" t="s">
        <v>7</v>
      </c>
      <c r="BK300" s="27" t="s">
        <v>8</v>
      </c>
      <c r="BR300" s="27" t="s">
        <v>7</v>
      </c>
      <c r="BS300" s="27" t="s">
        <v>8</v>
      </c>
      <c r="BT300" s="27" t="s">
        <v>7</v>
      </c>
      <c r="BU300" s="27" t="s">
        <v>8</v>
      </c>
      <c r="BX300" s="27" t="s">
        <v>7</v>
      </c>
    </row>
    <row r="301" spans="1:77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K301" s="27" t="s">
        <v>8</v>
      </c>
      <c r="L301" s="27" t="s">
        <v>7</v>
      </c>
      <c r="M301" s="27" t="s">
        <v>8</v>
      </c>
      <c r="N301" s="27" t="s">
        <v>7</v>
      </c>
      <c r="O301" s="27" t="s">
        <v>8</v>
      </c>
      <c r="P301" s="27" t="s">
        <v>7</v>
      </c>
      <c r="Q301" s="27" t="s">
        <v>8</v>
      </c>
      <c r="R301" s="27" t="s">
        <v>7</v>
      </c>
      <c r="U301" s="27" t="s">
        <v>8</v>
      </c>
      <c r="V301" s="27" t="s">
        <v>7</v>
      </c>
      <c r="Y301" s="27" t="s">
        <v>8</v>
      </c>
      <c r="BJ301" s="27" t="s">
        <v>7</v>
      </c>
      <c r="BR301" s="27" t="s">
        <v>7</v>
      </c>
      <c r="BS301" s="27" t="s">
        <v>8</v>
      </c>
      <c r="BT301" s="27" t="s">
        <v>7</v>
      </c>
      <c r="BU301" s="27" t="s">
        <v>8</v>
      </c>
    </row>
    <row r="302" spans="1:77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H302" s="27" t="s">
        <v>7</v>
      </c>
      <c r="K302" s="27" t="s">
        <v>8</v>
      </c>
      <c r="L302" s="27" t="s">
        <v>7</v>
      </c>
      <c r="M302" s="27" t="s">
        <v>8</v>
      </c>
      <c r="N302" s="27" t="s">
        <v>7</v>
      </c>
      <c r="O302" s="27" t="s">
        <v>8</v>
      </c>
      <c r="P302" s="27" t="s">
        <v>7</v>
      </c>
      <c r="Q302" s="27" t="s">
        <v>8</v>
      </c>
      <c r="R302" s="27" t="s">
        <v>7</v>
      </c>
      <c r="S302" s="27" t="s">
        <v>8</v>
      </c>
      <c r="U302" s="27" t="s">
        <v>8</v>
      </c>
      <c r="V302" s="27" t="s">
        <v>7</v>
      </c>
      <c r="W302" s="27" t="s">
        <v>8</v>
      </c>
      <c r="Y302" s="27" t="s">
        <v>8</v>
      </c>
      <c r="BR302" s="27" t="s">
        <v>7</v>
      </c>
      <c r="BS302" s="27" t="s">
        <v>8</v>
      </c>
      <c r="BT302" s="27" t="s">
        <v>7</v>
      </c>
    </row>
    <row r="303" spans="1:77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H303" s="27" t="s">
        <v>7</v>
      </c>
      <c r="K303" s="27" t="s">
        <v>8</v>
      </c>
      <c r="L303" s="27" t="s">
        <v>7</v>
      </c>
      <c r="N303" s="27" t="s">
        <v>7</v>
      </c>
      <c r="O303" s="27" t="s">
        <v>8</v>
      </c>
      <c r="P303" s="27" t="s">
        <v>7</v>
      </c>
      <c r="R303" s="27" t="s">
        <v>7</v>
      </c>
      <c r="S303" s="27" t="s">
        <v>8</v>
      </c>
      <c r="T303" s="27" t="s">
        <v>7</v>
      </c>
      <c r="U303" s="27" t="s">
        <v>8</v>
      </c>
      <c r="V303" s="27" t="s">
        <v>7</v>
      </c>
      <c r="W303" s="27" t="s">
        <v>8</v>
      </c>
      <c r="X303" s="27" t="s">
        <v>7</v>
      </c>
      <c r="Y303" s="27" t="s">
        <v>8</v>
      </c>
      <c r="BR303" s="27" t="s">
        <v>7</v>
      </c>
    </row>
    <row r="304" spans="1:77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H304" s="27" t="s">
        <v>7</v>
      </c>
      <c r="K304" s="27" t="s">
        <v>8</v>
      </c>
      <c r="N304" s="27" t="s">
        <v>7</v>
      </c>
      <c r="R304" s="27" t="s">
        <v>7</v>
      </c>
      <c r="S304" s="27" t="s">
        <v>8</v>
      </c>
      <c r="T304" s="27" t="s">
        <v>7</v>
      </c>
      <c r="U304" s="27" t="s">
        <v>8</v>
      </c>
      <c r="V304" s="27" t="s">
        <v>7</v>
      </c>
      <c r="W304" s="27" t="s">
        <v>8</v>
      </c>
      <c r="X304" s="27" t="s">
        <v>7</v>
      </c>
      <c r="Y304" s="27" t="s">
        <v>8</v>
      </c>
    </row>
    <row r="305" spans="1:25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H305" s="27" t="s">
        <v>7</v>
      </c>
      <c r="K305" s="27" t="s">
        <v>8</v>
      </c>
      <c r="R305" s="27" t="s">
        <v>7</v>
      </c>
      <c r="T305" s="27" t="s">
        <v>7</v>
      </c>
      <c r="U305" s="27" t="s">
        <v>8</v>
      </c>
      <c r="V305" s="27" t="s">
        <v>7</v>
      </c>
      <c r="X305" s="27" t="s">
        <v>7</v>
      </c>
      <c r="Y305" s="27" t="s">
        <v>8</v>
      </c>
    </row>
    <row r="306" spans="1:25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I306" s="27" t="s">
        <v>8</v>
      </c>
      <c r="K306" s="27" t="s">
        <v>8</v>
      </c>
      <c r="T306" s="27" t="s">
        <v>7</v>
      </c>
      <c r="U306" s="27" t="s">
        <v>8</v>
      </c>
      <c r="X306" s="27" t="s">
        <v>7</v>
      </c>
    </row>
    <row r="307" spans="1:25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I307" s="27" t="s">
        <v>8</v>
      </c>
      <c r="J307" s="27" t="s">
        <v>7</v>
      </c>
      <c r="K307" s="27" t="s">
        <v>8</v>
      </c>
      <c r="T307" s="27" t="s">
        <v>7</v>
      </c>
    </row>
    <row r="308" spans="1:25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I308" s="27" t="s">
        <v>8</v>
      </c>
      <c r="J308" s="27" t="s">
        <v>7</v>
      </c>
      <c r="K308" s="27" t="s">
        <v>8</v>
      </c>
    </row>
    <row r="309" spans="1:25" x14ac:dyDescent="0.25">
      <c r="A309" s="30">
        <v>3.4509475941378875E-2</v>
      </c>
      <c r="B309"/>
      <c r="C309"/>
      <c r="D309"/>
      <c r="E309"/>
      <c r="F309" s="27" t="s">
        <v>7</v>
      </c>
      <c r="G309" s="27" t="s">
        <v>8</v>
      </c>
      <c r="H309" s="27" t="s">
        <v>7</v>
      </c>
      <c r="I309" s="27" t="s">
        <v>8</v>
      </c>
      <c r="J309" s="27" t="s">
        <v>7</v>
      </c>
    </row>
    <row r="310" spans="1:25" x14ac:dyDescent="0.25">
      <c r="A310" s="30">
        <v>3.286616756321796E-2</v>
      </c>
      <c r="B310"/>
      <c r="C310"/>
      <c r="D310"/>
      <c r="E310"/>
      <c r="F310" s="27" t="s">
        <v>7</v>
      </c>
      <c r="H310" s="27" t="s">
        <v>7</v>
      </c>
    </row>
    <row r="311" spans="1:25" x14ac:dyDescent="0.25">
      <c r="A311" s="30">
        <v>3.1301111964969472E-2</v>
      </c>
      <c r="B311"/>
      <c r="C311"/>
      <c r="D311"/>
      <c r="E311"/>
    </row>
    <row r="312" spans="1:25" x14ac:dyDescent="0.25">
      <c r="A312" s="30">
        <v>2.9810582823780438E-2</v>
      </c>
      <c r="B312"/>
      <c r="C312"/>
      <c r="D312"/>
      <c r="E312"/>
    </row>
    <row r="313" spans="1:25" x14ac:dyDescent="0.25">
      <c r="A313" s="30">
        <v>2.8391031260743264E-2</v>
      </c>
      <c r="B313"/>
      <c r="C313"/>
      <c r="D313"/>
      <c r="E313"/>
    </row>
    <row r="314" spans="1:25" x14ac:dyDescent="0.25">
      <c r="A314" s="30">
        <v>2.7039077391184052E-2</v>
      </c>
      <c r="B314"/>
      <c r="C314"/>
      <c r="D314"/>
      <c r="E314"/>
    </row>
    <row r="315" spans="1:25" x14ac:dyDescent="0.25">
      <c r="A315" s="30">
        <v>2.5751502277318133E-2</v>
      </c>
      <c r="B315"/>
      <c r="C315"/>
      <c r="D315"/>
      <c r="E315"/>
    </row>
    <row r="316" spans="1:25" x14ac:dyDescent="0.25">
      <c r="A316" s="30">
        <v>2.4525240264112496E-2</v>
      </c>
      <c r="B316"/>
      <c r="C316"/>
      <c r="D316"/>
      <c r="E316"/>
    </row>
    <row r="317" spans="1:25" x14ac:dyDescent="0.25">
      <c r="A317" s="30">
        <v>2.3357371680107129E-2</v>
      </c>
      <c r="B317"/>
      <c r="C317"/>
      <c r="D317"/>
      <c r="E317"/>
    </row>
    <row r="318" spans="1:25" x14ac:dyDescent="0.25">
      <c r="A318" s="30">
        <v>2.2245115885816305E-2</v>
      </c>
      <c r="B318"/>
      <c r="C318"/>
      <c r="D318"/>
      <c r="E318"/>
    </row>
    <row r="319" spans="1:25" x14ac:dyDescent="0.25">
      <c r="A319" s="30">
        <v>2.1185824653158377E-2</v>
      </c>
      <c r="B319"/>
      <c r="C319"/>
      <c r="D319"/>
      <c r="E319"/>
    </row>
    <row r="320" spans="1:2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5" operator="equal">
      <formula>$U$1</formula>
    </cfRule>
    <cfRule type="cellIs" dxfId="67" priority="856" operator="equal">
      <formula>$S$1</formula>
    </cfRule>
  </conditionalFormatting>
  <conditionalFormatting sqref="D136">
    <cfRule type="cellIs" dxfId="66" priority="853" operator="equal">
      <formula>$S$1</formula>
    </cfRule>
    <cfRule type="cellIs" dxfId="65" priority="854" operator="equal">
      <formula>$U$1</formula>
    </cfRule>
  </conditionalFormatting>
  <conditionalFormatting sqref="C162">
    <cfRule type="cellIs" dxfId="64" priority="851" operator="equal">
      <formula>$U$1</formula>
    </cfRule>
    <cfRule type="cellIs" dxfId="63" priority="852" operator="equal">
      <formula>$S$1</formula>
    </cfRule>
  </conditionalFormatting>
  <conditionalFormatting sqref="D162">
    <cfRule type="cellIs" dxfId="62" priority="849" operator="equal">
      <formula>$S$1</formula>
    </cfRule>
    <cfRule type="cellIs" dxfId="61" priority="850" operator="equal">
      <formula>$U$1</formula>
    </cfRule>
  </conditionalFormatting>
  <conditionalFormatting sqref="C187">
    <cfRule type="cellIs" dxfId="60" priority="847" operator="equal">
      <formula>$U$1</formula>
    </cfRule>
    <cfRule type="cellIs" dxfId="59" priority="848" operator="equal">
      <formula>$S$1</formula>
    </cfRule>
  </conditionalFormatting>
  <conditionalFormatting sqref="D187">
    <cfRule type="cellIs" dxfId="58" priority="845" operator="equal">
      <formula>$S$1</formula>
    </cfRule>
    <cfRule type="cellIs" dxfId="57" priority="846" operator="equal">
      <formula>$U$1</formula>
    </cfRule>
  </conditionalFormatting>
  <conditionalFormatting sqref="C212">
    <cfRule type="cellIs" dxfId="56" priority="843" operator="equal">
      <formula>$U$1</formula>
    </cfRule>
    <cfRule type="cellIs" dxfId="55" priority="844" operator="equal">
      <formula>$S$1</formula>
    </cfRule>
  </conditionalFormatting>
  <conditionalFormatting sqref="D212">
    <cfRule type="cellIs" dxfId="54" priority="841" operator="equal">
      <formula>$S$1</formula>
    </cfRule>
    <cfRule type="cellIs" dxfId="53" priority="842" operator="equal">
      <formula>$U$1</formula>
    </cfRule>
  </conditionalFormatting>
  <conditionalFormatting sqref="C237">
    <cfRule type="cellIs" dxfId="52" priority="839" operator="equal">
      <formula>$U$1</formula>
    </cfRule>
    <cfRule type="cellIs" dxfId="51" priority="840" operator="equal">
      <formula>$S$1</formula>
    </cfRule>
  </conditionalFormatting>
  <conditionalFormatting sqref="D237">
    <cfRule type="cellIs" dxfId="50" priority="837" operator="equal">
      <formula>$S$1</formula>
    </cfRule>
    <cfRule type="cellIs" dxfId="49" priority="838" operator="equal">
      <formula>$U$1</formula>
    </cfRule>
  </conditionalFormatting>
  <conditionalFormatting sqref="C106">
    <cfRule type="cellIs" dxfId="48" priority="835" operator="equal">
      <formula>$U$1</formula>
    </cfRule>
    <cfRule type="cellIs" dxfId="47" priority="836" operator="equal">
      <formula>$S$1</formula>
    </cfRule>
  </conditionalFormatting>
  <conditionalFormatting sqref="D106">
    <cfRule type="cellIs" dxfId="46" priority="833" operator="equal">
      <formula>$S$1</formula>
    </cfRule>
    <cfRule type="cellIs" dxfId="45" priority="834" operator="equal">
      <formula>$U$1</formula>
    </cfRule>
  </conditionalFormatting>
  <conditionalFormatting sqref="C81">
    <cfRule type="cellIs" dxfId="44" priority="831" operator="equal">
      <formula>$U$1</formula>
    </cfRule>
    <cfRule type="cellIs" dxfId="43" priority="832" operator="equal">
      <formula>$S$1</formula>
    </cfRule>
  </conditionalFormatting>
  <conditionalFormatting sqref="D81">
    <cfRule type="cellIs" dxfId="42" priority="829" operator="equal">
      <formula>$S$1</formula>
    </cfRule>
    <cfRule type="cellIs" dxfId="41" priority="830" operator="equal">
      <formula>$U$1</formula>
    </cfRule>
  </conditionalFormatting>
  <conditionalFormatting sqref="C56">
    <cfRule type="cellIs" dxfId="40" priority="827" operator="equal">
      <formula>$U$1</formula>
    </cfRule>
    <cfRule type="cellIs" dxfId="39" priority="828" operator="equal">
      <formula>$S$1</formula>
    </cfRule>
  </conditionalFormatting>
  <conditionalFormatting sqref="D56">
    <cfRule type="cellIs" dxfId="38" priority="825" operator="equal">
      <formula>$S$1</formula>
    </cfRule>
    <cfRule type="cellIs" dxfId="37" priority="826" operator="equal">
      <formula>$U$1</formula>
    </cfRule>
  </conditionalFormatting>
  <conditionalFormatting sqref="C31">
    <cfRule type="cellIs" dxfId="36" priority="823" operator="equal">
      <formula>$U$1</formula>
    </cfRule>
    <cfRule type="cellIs" dxfId="35" priority="824" operator="equal">
      <formula>$S$1</formula>
    </cfRule>
  </conditionalFormatting>
  <conditionalFormatting sqref="D31">
    <cfRule type="cellIs" dxfId="34" priority="821" operator="equal">
      <formula>$S$1</formula>
    </cfRule>
    <cfRule type="cellIs" dxfId="33" priority="8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X134" sqref="AX13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$A$133</v>
      </c>
      <c r="D111" s="1" t="str">
        <f>ADDRESS(C121-1,D121,1,1)</f>
        <v>$AX$133</v>
      </c>
      <c r="E111"/>
    </row>
    <row r="112" spans="1:5" x14ac:dyDescent="0.25">
      <c r="A112" s="30">
        <v>2.3579476910000019</v>
      </c>
      <c r="C112" s="1" t="str">
        <f>ADDRESS(C121,1,1,1)</f>
        <v>$A$134</v>
      </c>
      <c r="D112" s="1" t="str">
        <f>ADDRESS(C121,D121-1,1,1)</f>
        <v>$AW$134</v>
      </c>
      <c r="E112"/>
    </row>
    <row r="113" spans="1:50" x14ac:dyDescent="0.25">
      <c r="A113" s="30">
        <v>2.1435888100000016</v>
      </c>
      <c r="C113" s="1" t="str">
        <f>ADDRESS(C121+1,1,1,1)</f>
        <v>$A$135</v>
      </c>
      <c r="D113" s="1" t="str">
        <f>ADDRESS(C121-1,D121+1,1,1)</f>
        <v>$AY$133</v>
      </c>
    </row>
    <row r="114" spans="1:50" x14ac:dyDescent="0.25">
      <c r="A114" s="30">
        <v>1.9487171000000014</v>
      </c>
      <c r="C114" s="1" t="str">
        <f>ADDRESS(C121,D121,1,1)</f>
        <v>$AX$134</v>
      </c>
      <c r="D114" s="1" t="str">
        <f>ADDRESS(C121+1,D121+1,1,1)</f>
        <v>$AY$135</v>
      </c>
    </row>
    <row r="115" spans="1:50" x14ac:dyDescent="0.25">
      <c r="A115" s="30">
        <v>1.7715610000000011</v>
      </c>
      <c r="C115" s="1" t="str">
        <f>ADDRESS(C121+1,D121,1,1)</f>
        <v>$AX$135</v>
      </c>
    </row>
    <row r="116" spans="1:50" x14ac:dyDescent="0.25">
      <c r="A116" s="30">
        <v>1.6105100000000008</v>
      </c>
      <c r="C116" s="1">
        <f>C117-1</f>
        <v>133</v>
      </c>
    </row>
    <row r="117" spans="1:50" x14ac:dyDescent="0.25">
      <c r="A117" s="30">
        <v>1.4641000000000006</v>
      </c>
      <c r="C117" s="1">
        <f>C121</f>
        <v>134</v>
      </c>
      <c r="D117" s="1">
        <f>D121</f>
        <v>50</v>
      </c>
    </row>
    <row r="118" spans="1:50" x14ac:dyDescent="0.25">
      <c r="A118" s="30">
        <v>1.3310000000000004</v>
      </c>
      <c r="C118" s="1">
        <f>C117+1</f>
        <v>135</v>
      </c>
      <c r="D118" s="1">
        <f>D117+1</f>
        <v>51</v>
      </c>
    </row>
    <row r="119" spans="1:50" x14ac:dyDescent="0.25">
      <c r="A119" s="30">
        <v>1.2100000000000002</v>
      </c>
    </row>
    <row r="120" spans="1:50" x14ac:dyDescent="0.25">
      <c r="A120" s="30">
        <v>1.1000000000000001</v>
      </c>
      <c r="C120" s="1" t="s">
        <v>9</v>
      </c>
    </row>
    <row r="121" spans="1:50" x14ac:dyDescent="0.25">
      <c r="A121" s="30">
        <v>1</v>
      </c>
      <c r="C121" s="18">
        <v>134</v>
      </c>
      <c r="D121" s="19">
        <v>50</v>
      </c>
      <c r="E121" s="18" t="s">
        <v>8</v>
      </c>
    </row>
    <row r="122" spans="1:50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50" x14ac:dyDescent="0.25">
      <c r="A123" s="30">
        <v>0.82644628099173523</v>
      </c>
      <c r="C123" s="1" t="str">
        <f>"R"&amp;C121</f>
        <v>R134</v>
      </c>
      <c r="D123" s="1" t="str">
        <f>"C"&amp;D121</f>
        <v>C50</v>
      </c>
      <c r="F123" s="27" t="s">
        <v>7</v>
      </c>
    </row>
    <row r="124" spans="1:5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50" x14ac:dyDescent="0.25">
      <c r="A125" s="30">
        <v>0.68301345536507019</v>
      </c>
      <c r="F125" s="27" t="s">
        <v>7</v>
      </c>
    </row>
    <row r="126" spans="1:50" x14ac:dyDescent="0.25">
      <c r="A126" s="30">
        <v>0.6209213230591546</v>
      </c>
      <c r="C126" s="1" t="s">
        <v>10</v>
      </c>
      <c r="F126" s="27" t="s">
        <v>7</v>
      </c>
    </row>
    <row r="127" spans="1:50" x14ac:dyDescent="0.25">
      <c r="A127" s="30">
        <v>0.56447393005377677</v>
      </c>
      <c r="C127" s="30">
        <v>0.28966437973668741</v>
      </c>
      <c r="D127"/>
      <c r="F127" s="27" t="s">
        <v>7</v>
      </c>
      <c r="AW127" s="27" t="s">
        <v>8</v>
      </c>
    </row>
    <row r="128" spans="1:50" x14ac:dyDescent="0.25">
      <c r="A128" s="30">
        <v>0.51315811823070612</v>
      </c>
      <c r="F128" s="27" t="s">
        <v>7</v>
      </c>
      <c r="AW128" s="27" t="s">
        <v>8</v>
      </c>
      <c r="AX128" s="27" t="s">
        <v>7</v>
      </c>
    </row>
    <row r="129" spans="1:5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W129" s="27" t="s">
        <v>8</v>
      </c>
      <c r="AX129" s="27" t="s">
        <v>7</v>
      </c>
    </row>
    <row r="130" spans="1:50" x14ac:dyDescent="0.25">
      <c r="A130" s="30">
        <v>0.42409761837248428</v>
      </c>
      <c r="C130" s="6"/>
      <c r="D130" s="6"/>
      <c r="E130"/>
      <c r="F130" s="27" t="s">
        <v>7</v>
      </c>
      <c r="AQ130" s="27" t="s">
        <v>8</v>
      </c>
      <c r="AU130" s="27" t="s">
        <v>8</v>
      </c>
      <c r="AW130" s="27" t="s">
        <v>8</v>
      </c>
      <c r="AX130" s="27" t="s">
        <v>7</v>
      </c>
    </row>
    <row r="131" spans="1:50" x14ac:dyDescent="0.25">
      <c r="A131" s="30">
        <v>0.38554328942953109</v>
      </c>
      <c r="E131"/>
      <c r="F131" s="27" t="s">
        <v>7</v>
      </c>
      <c r="AQ131" s="27" t="s">
        <v>8</v>
      </c>
      <c r="AR131" s="27" t="s">
        <v>7</v>
      </c>
      <c r="AU131" s="27" t="s">
        <v>8</v>
      </c>
      <c r="AV131" s="27" t="s">
        <v>7</v>
      </c>
      <c r="AW131" s="27" t="s">
        <v>8</v>
      </c>
      <c r="AX131" s="27" t="s">
        <v>7</v>
      </c>
    </row>
    <row r="132" spans="1:50" x14ac:dyDescent="0.25">
      <c r="A132" s="30">
        <v>0.35049389948139187</v>
      </c>
      <c r="C132" s="1" t="s">
        <v>13</v>
      </c>
      <c r="E132"/>
      <c r="F132" s="27" t="s">
        <v>7</v>
      </c>
      <c r="AG132" s="27" t="s">
        <v>8</v>
      </c>
      <c r="AQ132" s="27" t="s">
        <v>8</v>
      </c>
      <c r="AR132" s="27" t="s">
        <v>7</v>
      </c>
      <c r="AU132" s="27" t="s">
        <v>8</v>
      </c>
      <c r="AV132" s="27" t="s">
        <v>7</v>
      </c>
      <c r="AW132" s="27" t="s">
        <v>8</v>
      </c>
      <c r="AX132" s="27" t="s">
        <v>7</v>
      </c>
    </row>
    <row r="133" spans="1:50" x14ac:dyDescent="0.25">
      <c r="A133" s="30">
        <v>0.31863081771035617</v>
      </c>
      <c r="C133" s="1" t="str">
        <f>C122</f>
        <v>O</v>
      </c>
      <c r="E133"/>
      <c r="F133" s="27" t="s">
        <v>7</v>
      </c>
      <c r="AG133" s="27" t="s">
        <v>8</v>
      </c>
      <c r="AH133" s="27" t="s">
        <v>7</v>
      </c>
      <c r="AO133" s="27" t="s">
        <v>8</v>
      </c>
      <c r="AQ133" s="27" t="s">
        <v>8</v>
      </c>
      <c r="AR133" s="27" t="s">
        <v>7</v>
      </c>
      <c r="AS133" s="27" t="s">
        <v>8</v>
      </c>
      <c r="AU133" s="27" t="s">
        <v>8</v>
      </c>
      <c r="AV133" s="27" t="s">
        <v>7</v>
      </c>
      <c r="AX133" s="27" t="s">
        <v>7</v>
      </c>
    </row>
    <row r="134" spans="1:50" x14ac:dyDescent="0.25">
      <c r="A134" s="30">
        <v>0.28966437973668741</v>
      </c>
      <c r="C134"/>
      <c r="D134"/>
      <c r="E134"/>
      <c r="F134" s="27" t="s">
        <v>7</v>
      </c>
      <c r="AG134" s="27" t="s">
        <v>8</v>
      </c>
      <c r="AH134" s="27" t="s">
        <v>7</v>
      </c>
      <c r="AI134" s="27" t="s">
        <v>8</v>
      </c>
      <c r="AO134" s="27" t="s">
        <v>8</v>
      </c>
      <c r="AP134" s="27" t="s">
        <v>7</v>
      </c>
      <c r="AQ134" s="27" t="s">
        <v>8</v>
      </c>
      <c r="AR134" s="27" t="s">
        <v>7</v>
      </c>
      <c r="AS134" s="27" t="s">
        <v>8</v>
      </c>
      <c r="AT134" s="27" t="s">
        <v>7</v>
      </c>
      <c r="AU134" s="27" t="s">
        <v>8</v>
      </c>
      <c r="AX134" s="27" t="s">
        <v>7</v>
      </c>
    </row>
    <row r="135" spans="1:50" x14ac:dyDescent="0.25">
      <c r="A135" s="30">
        <v>0.2633312543060794</v>
      </c>
      <c r="C135" s="1" t="s">
        <v>14</v>
      </c>
      <c r="E135"/>
      <c r="F135" s="27" t="s">
        <v>7</v>
      </c>
      <c r="AG135" s="27" t="s">
        <v>8</v>
      </c>
      <c r="AH135" s="27" t="s">
        <v>7</v>
      </c>
      <c r="AI135" s="27" t="s">
        <v>8</v>
      </c>
      <c r="AJ135" s="27" t="s">
        <v>7</v>
      </c>
      <c r="AM135" s="27" t="s">
        <v>8</v>
      </c>
      <c r="AO135" s="27" t="s">
        <v>8</v>
      </c>
      <c r="AP135" s="27" t="s">
        <v>7</v>
      </c>
      <c r="AQ135" s="27" t="s">
        <v>8</v>
      </c>
      <c r="AR135" s="27" t="s">
        <v>7</v>
      </c>
      <c r="AS135" s="27" t="s">
        <v>8</v>
      </c>
      <c r="AT135" s="27" t="s">
        <v>7</v>
      </c>
      <c r="AU135" s="27" t="s">
        <v>8</v>
      </c>
    </row>
    <row r="136" spans="1:5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U136" s="27" t="s">
        <v>8</v>
      </c>
      <c r="AG136" s="27" t="s">
        <v>8</v>
      </c>
      <c r="AH136" s="27" t="s">
        <v>7</v>
      </c>
      <c r="AI136" s="27" t="s">
        <v>8</v>
      </c>
      <c r="AJ136" s="27" t="s">
        <v>7</v>
      </c>
      <c r="AK136" s="27" t="s">
        <v>8</v>
      </c>
      <c r="AM136" s="27" t="s">
        <v>8</v>
      </c>
      <c r="AN136" s="27" t="s">
        <v>7</v>
      </c>
      <c r="AO136" s="27" t="s">
        <v>8</v>
      </c>
      <c r="AP136" s="27" t="s">
        <v>7</v>
      </c>
      <c r="AR136" s="27" t="s">
        <v>7</v>
      </c>
      <c r="AS136" s="27" t="s">
        <v>8</v>
      </c>
      <c r="AT136" s="27" t="s">
        <v>7</v>
      </c>
    </row>
    <row r="137" spans="1:50" x14ac:dyDescent="0.25">
      <c r="A137" s="30">
        <v>0.2176291357901482</v>
      </c>
      <c r="E137"/>
      <c r="F137" s="27" t="s">
        <v>7</v>
      </c>
      <c r="U137" s="27" t="s">
        <v>8</v>
      </c>
      <c r="V137" s="27" t="s">
        <v>7</v>
      </c>
      <c r="W137" s="27" t="s">
        <v>8</v>
      </c>
      <c r="Y137" s="27" t="s">
        <v>8</v>
      </c>
      <c r="AG137" s="27" t="s">
        <v>8</v>
      </c>
      <c r="AH137" s="27" t="s">
        <v>7</v>
      </c>
      <c r="AJ137" s="27" t="s">
        <v>7</v>
      </c>
      <c r="AK137" s="27" t="s">
        <v>8</v>
      </c>
      <c r="AL137" s="27" t="s">
        <v>7</v>
      </c>
      <c r="AM137" s="27" t="s">
        <v>8</v>
      </c>
      <c r="AN137" s="27" t="s">
        <v>7</v>
      </c>
      <c r="AO137" s="27" t="s">
        <v>8</v>
      </c>
      <c r="AR137" s="27" t="s">
        <v>7</v>
      </c>
    </row>
    <row r="138" spans="1:5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U138" s="27" t="s">
        <v>8</v>
      </c>
      <c r="V138" s="27" t="s">
        <v>7</v>
      </c>
      <c r="W138" s="27" t="s">
        <v>8</v>
      </c>
      <c r="X138" s="27" t="s">
        <v>7</v>
      </c>
      <c r="Y138" s="27" t="s">
        <v>8</v>
      </c>
      <c r="Z138" s="27" t="s">
        <v>7</v>
      </c>
      <c r="AG138" s="27" t="s">
        <v>8</v>
      </c>
      <c r="AJ138" s="27" t="s">
        <v>7</v>
      </c>
      <c r="AK138" s="27" t="s">
        <v>8</v>
      </c>
      <c r="AL138" s="27" t="s">
        <v>7</v>
      </c>
      <c r="AM138" s="27" t="s">
        <v>8</v>
      </c>
      <c r="AN138" s="27" t="s">
        <v>7</v>
      </c>
    </row>
    <row r="139" spans="1:50" x14ac:dyDescent="0.25">
      <c r="A139" s="30">
        <v>0.17985878990921333</v>
      </c>
      <c r="E139"/>
      <c r="F139" s="27" t="s">
        <v>7</v>
      </c>
      <c r="U139" s="27" t="s">
        <v>8</v>
      </c>
      <c r="V139" s="27" t="s">
        <v>7</v>
      </c>
      <c r="W139" s="27" t="s">
        <v>8</v>
      </c>
      <c r="X139" s="27" t="s">
        <v>7</v>
      </c>
      <c r="Y139" s="27" t="s">
        <v>8</v>
      </c>
      <c r="Z139" s="27" t="s">
        <v>7</v>
      </c>
      <c r="AG139" s="27" t="s">
        <v>8</v>
      </c>
      <c r="AJ139" s="27" t="s">
        <v>7</v>
      </c>
      <c r="AK139" s="27" t="s">
        <v>8</v>
      </c>
      <c r="AL139" s="27" t="s">
        <v>7</v>
      </c>
    </row>
    <row r="140" spans="1:50" x14ac:dyDescent="0.25">
      <c r="A140" s="30">
        <v>0.16350799082655756</v>
      </c>
      <c r="C140" s="1">
        <v>0</v>
      </c>
      <c r="E140"/>
      <c r="F140" s="27" t="s">
        <v>7</v>
      </c>
      <c r="U140" s="27" t="s">
        <v>8</v>
      </c>
      <c r="V140" s="27" t="s">
        <v>7</v>
      </c>
      <c r="W140" s="27" t="s">
        <v>8</v>
      </c>
      <c r="X140" s="27" t="s">
        <v>7</v>
      </c>
      <c r="Z140" s="27" t="s">
        <v>7</v>
      </c>
      <c r="AA140" s="27" t="s">
        <v>8</v>
      </c>
      <c r="AG140" s="27" t="s">
        <v>8</v>
      </c>
      <c r="AJ140" s="27" t="s">
        <v>7</v>
      </c>
      <c r="AK140" s="27" t="s">
        <v>8</v>
      </c>
    </row>
    <row r="141" spans="1:50" x14ac:dyDescent="0.25">
      <c r="A141" s="30">
        <v>0.14864362802414322</v>
      </c>
      <c r="C141" s="1">
        <v>1</v>
      </c>
      <c r="E141"/>
      <c r="F141" s="27" t="s">
        <v>7</v>
      </c>
      <c r="U141" s="27" t="s">
        <v>8</v>
      </c>
      <c r="V141" s="27" t="s">
        <v>7</v>
      </c>
      <c r="W141" s="27" t="s">
        <v>8</v>
      </c>
      <c r="Z141" s="27" t="s">
        <v>7</v>
      </c>
      <c r="AA141" s="27" t="s">
        <v>8</v>
      </c>
      <c r="AB141" s="27" t="s">
        <v>7</v>
      </c>
      <c r="AG141" s="27" t="s">
        <v>8</v>
      </c>
      <c r="AJ141" s="27" t="s">
        <v>7</v>
      </c>
    </row>
    <row r="142" spans="1:50" x14ac:dyDescent="0.25">
      <c r="A142" s="30">
        <v>0.13513057093103928</v>
      </c>
      <c r="C142" s="1">
        <v>2</v>
      </c>
      <c r="E142"/>
      <c r="F142" s="27" t="s">
        <v>7</v>
      </c>
      <c r="S142" s="27" t="s">
        <v>8</v>
      </c>
      <c r="U142" s="27" t="s">
        <v>8</v>
      </c>
      <c r="V142" s="27" t="s">
        <v>7</v>
      </c>
      <c r="Z142" s="27" t="s">
        <v>7</v>
      </c>
      <c r="AA142" s="27" t="s">
        <v>8</v>
      </c>
      <c r="AB142" s="27" t="s">
        <v>7</v>
      </c>
      <c r="AG142" s="27" t="s">
        <v>8</v>
      </c>
    </row>
    <row r="143" spans="1:50" x14ac:dyDescent="0.25">
      <c r="A143" s="30">
        <v>0.12284597357367205</v>
      </c>
      <c r="C143" s="1">
        <v>3</v>
      </c>
      <c r="E143"/>
      <c r="F143" s="27" t="s">
        <v>7</v>
      </c>
      <c r="Q143" s="27" t="s">
        <v>8</v>
      </c>
      <c r="S143" s="27" t="s">
        <v>8</v>
      </c>
      <c r="T143" s="27" t="s">
        <v>7</v>
      </c>
      <c r="U143" s="27" t="s">
        <v>8</v>
      </c>
      <c r="Z143" s="27" t="s">
        <v>7</v>
      </c>
      <c r="AB143" s="27" t="s">
        <v>7</v>
      </c>
      <c r="AG143" s="27" t="s">
        <v>8</v>
      </c>
    </row>
    <row r="144" spans="1:50" x14ac:dyDescent="0.25">
      <c r="A144" s="30">
        <v>0.11167815779424731</v>
      </c>
      <c r="C144" s="1">
        <v>4</v>
      </c>
      <c r="E144"/>
      <c r="F144" s="27" t="s">
        <v>7</v>
      </c>
      <c r="Q144" s="27" t="s">
        <v>8</v>
      </c>
      <c r="R144" s="27" t="s">
        <v>7</v>
      </c>
      <c r="S144" s="27" t="s">
        <v>8</v>
      </c>
      <c r="T144" s="27" t="s">
        <v>7</v>
      </c>
      <c r="U144" s="27" t="s">
        <v>8</v>
      </c>
      <c r="AB144" s="27" t="s">
        <v>7</v>
      </c>
      <c r="AG144" s="27" t="s">
        <v>8</v>
      </c>
    </row>
    <row r="145" spans="1:33" x14ac:dyDescent="0.25">
      <c r="A145" s="30">
        <v>0.10152559799477026</v>
      </c>
      <c r="B145"/>
      <c r="C145"/>
      <c r="D145"/>
      <c r="E145"/>
      <c r="F145" s="27" t="s">
        <v>7</v>
      </c>
      <c r="Q145" s="27" t="s">
        <v>8</v>
      </c>
      <c r="R145" s="27" t="s">
        <v>7</v>
      </c>
      <c r="S145" s="27" t="s">
        <v>8</v>
      </c>
      <c r="T145" s="27" t="s">
        <v>7</v>
      </c>
      <c r="U145" s="27" t="s">
        <v>8</v>
      </c>
      <c r="AB145" s="27" t="s">
        <v>7</v>
      </c>
      <c r="AG145" s="27" t="s">
        <v>8</v>
      </c>
    </row>
    <row r="146" spans="1:33" x14ac:dyDescent="0.25">
      <c r="A146" s="30">
        <v>9.2295998177063854E-2</v>
      </c>
      <c r="B146"/>
      <c r="C146"/>
      <c r="D146"/>
      <c r="E146"/>
      <c r="F146" s="27" t="s">
        <v>7</v>
      </c>
      <c r="Q146" s="27" t="s">
        <v>8</v>
      </c>
      <c r="R146" s="27" t="s">
        <v>7</v>
      </c>
      <c r="T146" s="27" t="s">
        <v>7</v>
      </c>
      <c r="U146" s="27" t="s">
        <v>8</v>
      </c>
      <c r="AB146" s="27" t="s">
        <v>7</v>
      </c>
      <c r="AC146" s="27" t="s">
        <v>8</v>
      </c>
      <c r="AG146" s="27" t="s">
        <v>8</v>
      </c>
    </row>
    <row r="147" spans="1:33" x14ac:dyDescent="0.25">
      <c r="A147" s="30">
        <v>8.3905452888239848E-2</v>
      </c>
      <c r="B147"/>
      <c r="C147"/>
      <c r="D147"/>
      <c r="E147"/>
      <c r="F147" s="27" t="s">
        <v>7</v>
      </c>
      <c r="Q147" s="27" t="s">
        <v>8</v>
      </c>
      <c r="T147" s="27" t="s">
        <v>7</v>
      </c>
      <c r="AB147" s="27" t="s">
        <v>7</v>
      </c>
      <c r="AC147" s="27" t="s">
        <v>8</v>
      </c>
      <c r="AD147" s="27" t="s">
        <v>7</v>
      </c>
      <c r="AG147" s="27" t="s">
        <v>8</v>
      </c>
    </row>
    <row r="148" spans="1:33" x14ac:dyDescent="0.25">
      <c r="A148" s="30">
        <v>7.6277684443854396E-2</v>
      </c>
      <c r="B148"/>
      <c r="C148"/>
      <c r="D148"/>
      <c r="E148"/>
      <c r="F148" s="27" t="s">
        <v>7</v>
      </c>
      <c r="Q148" s="27" t="s">
        <v>8</v>
      </c>
      <c r="AB148" s="27" t="s">
        <v>7</v>
      </c>
      <c r="AC148" s="27" t="s">
        <v>8</v>
      </c>
      <c r="AD148" s="27" t="s">
        <v>7</v>
      </c>
      <c r="AG148" s="27" t="s">
        <v>8</v>
      </c>
    </row>
    <row r="149" spans="1:33" x14ac:dyDescent="0.25">
      <c r="A149" s="30">
        <v>6.9343349494413078E-2</v>
      </c>
      <c r="B149"/>
      <c r="C149"/>
      <c r="D149"/>
      <c r="E149"/>
      <c r="F149" s="27" t="s">
        <v>7</v>
      </c>
      <c r="O149" s="27" t="s">
        <v>8</v>
      </c>
      <c r="Q149" s="27" t="s">
        <v>8</v>
      </c>
      <c r="AB149" s="27" t="s">
        <v>7</v>
      </c>
      <c r="AC149" s="27" t="s">
        <v>8</v>
      </c>
      <c r="AD149" s="27" t="s">
        <v>7</v>
      </c>
      <c r="AE149" s="18" t="s">
        <v>8</v>
      </c>
      <c r="AG149" s="27" t="s">
        <v>8</v>
      </c>
    </row>
    <row r="150" spans="1:33" x14ac:dyDescent="0.25">
      <c r="A150" s="30">
        <v>6.3039408631284613E-2</v>
      </c>
      <c r="B150"/>
      <c r="C150"/>
      <c r="D150"/>
      <c r="E150"/>
      <c r="F150" s="27" t="s">
        <v>7</v>
      </c>
      <c r="O150" s="27" t="s">
        <v>8</v>
      </c>
      <c r="P150" s="27" t="s">
        <v>7</v>
      </c>
      <c r="Q150" s="27" t="s">
        <v>8</v>
      </c>
      <c r="AB150" s="27" t="s">
        <v>7</v>
      </c>
      <c r="AC150" s="27" t="s">
        <v>8</v>
      </c>
      <c r="AD150" s="27" t="s">
        <v>7</v>
      </c>
      <c r="AE150" s="27" t="s">
        <v>8</v>
      </c>
      <c r="AF150" s="27" t="s">
        <v>7</v>
      </c>
      <c r="AG150" s="27" t="s">
        <v>8</v>
      </c>
    </row>
    <row r="151" spans="1:33" x14ac:dyDescent="0.25">
      <c r="A151" s="30">
        <v>5.7308553301167818E-2</v>
      </c>
      <c r="B151"/>
      <c r="C151"/>
      <c r="D151"/>
      <c r="E151"/>
      <c r="F151" s="27" t="s">
        <v>7</v>
      </c>
      <c r="I151" s="27" t="s">
        <v>8</v>
      </c>
      <c r="K151" s="27" t="s">
        <v>8</v>
      </c>
      <c r="O151" s="27" t="s">
        <v>8</v>
      </c>
      <c r="P151" s="27" t="s">
        <v>7</v>
      </c>
      <c r="Q151" s="27" t="s">
        <v>8</v>
      </c>
      <c r="AB151" s="27" t="s">
        <v>7</v>
      </c>
      <c r="AC151" s="27" t="s">
        <v>8</v>
      </c>
      <c r="AD151" s="27" t="s">
        <v>7</v>
      </c>
      <c r="AE151" s="27" t="s">
        <v>8</v>
      </c>
      <c r="AF151" s="27" t="s">
        <v>7</v>
      </c>
      <c r="AG151" s="27" t="s">
        <v>8</v>
      </c>
    </row>
    <row r="152" spans="1:33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I152" s="27" t="s">
        <v>8</v>
      </c>
      <c r="J152" s="27" t="s">
        <v>7</v>
      </c>
      <c r="K152" s="27" t="s">
        <v>8</v>
      </c>
      <c r="L152" s="27" t="s">
        <v>7</v>
      </c>
      <c r="M152" s="27" t="s">
        <v>8</v>
      </c>
      <c r="O152" s="27" t="s">
        <v>8</v>
      </c>
      <c r="P152" s="27" t="s">
        <v>7</v>
      </c>
      <c r="AB152" s="27" t="s">
        <v>7</v>
      </c>
      <c r="AD152" s="27" t="s">
        <v>7</v>
      </c>
      <c r="AE152" s="27" t="s">
        <v>8</v>
      </c>
      <c r="AF152" s="27" t="s">
        <v>7</v>
      </c>
    </row>
    <row r="153" spans="1:33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I153" s="27" t="s">
        <v>8</v>
      </c>
      <c r="J153" s="27" t="s">
        <v>7</v>
      </c>
      <c r="K153" s="27" t="s">
        <v>8</v>
      </c>
      <c r="L153" s="27" t="s">
        <v>7</v>
      </c>
      <c r="M153" s="27" t="s">
        <v>8</v>
      </c>
      <c r="N153" s="27" t="s">
        <v>7</v>
      </c>
      <c r="O153" s="27" t="s">
        <v>8</v>
      </c>
      <c r="AD153" s="27" t="s">
        <v>7</v>
      </c>
    </row>
    <row r="154" spans="1:33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J154" s="27" t="s">
        <v>7</v>
      </c>
      <c r="L154" s="27" t="s">
        <v>7</v>
      </c>
      <c r="M154" s="27" t="s">
        <v>8</v>
      </c>
      <c r="N154" s="27" t="s">
        <v>7</v>
      </c>
      <c r="O154" s="27" t="s">
        <v>8</v>
      </c>
    </row>
    <row r="155" spans="1:33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L155" s="27" t="s">
        <v>7</v>
      </c>
      <c r="N155" s="27" t="s">
        <v>7</v>
      </c>
    </row>
    <row r="156" spans="1:33" x14ac:dyDescent="0.25">
      <c r="A156" s="30">
        <v>3.55841027383672E-2</v>
      </c>
      <c r="B156"/>
      <c r="C156"/>
      <c r="D156"/>
      <c r="E156"/>
      <c r="F156" s="27" t="s">
        <v>7</v>
      </c>
      <c r="H156" s="27" t="s">
        <v>7</v>
      </c>
      <c r="I156" s="27" t="s">
        <v>8</v>
      </c>
    </row>
    <row r="157" spans="1:33" x14ac:dyDescent="0.25">
      <c r="A157" s="30">
        <v>3.2349184307606541E-2</v>
      </c>
      <c r="B157"/>
      <c r="C157"/>
      <c r="D157"/>
      <c r="E157"/>
      <c r="H157" s="27" t="s">
        <v>7</v>
      </c>
    </row>
    <row r="158" spans="1:33" x14ac:dyDescent="0.25">
      <c r="A158" s="30">
        <v>2.9408349370551395E-2</v>
      </c>
      <c r="B158"/>
      <c r="C158"/>
      <c r="D158"/>
      <c r="E158"/>
    </row>
    <row r="159" spans="1:33" x14ac:dyDescent="0.25">
      <c r="A159" s="30">
        <v>2.6734863064137627E-2</v>
      </c>
      <c r="B159"/>
      <c r="C159"/>
      <c r="D159"/>
      <c r="E159"/>
    </row>
    <row r="160" spans="1:33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39" operator="equal">
      <formula>$U$1</formula>
    </cfRule>
    <cfRule type="cellIs" dxfId="30" priority="840" operator="equal">
      <formula>$S$1</formula>
    </cfRule>
  </conditionalFormatting>
  <conditionalFormatting sqref="D136">
    <cfRule type="cellIs" dxfId="29" priority="837" operator="equal">
      <formula>$S$1</formula>
    </cfRule>
    <cfRule type="cellIs" dxfId="28" priority="838" operator="equal">
      <formula>$U$1</formula>
    </cfRule>
  </conditionalFormatting>
  <conditionalFormatting sqref="C102">
    <cfRule type="cellIs" dxfId="27" priority="835" operator="equal">
      <formula>$U$1</formula>
    </cfRule>
    <cfRule type="cellIs" dxfId="26" priority="836" operator="equal">
      <formula>$S$1</formula>
    </cfRule>
  </conditionalFormatting>
  <conditionalFormatting sqref="D102">
    <cfRule type="cellIs" dxfId="25" priority="833" operator="equal">
      <formula>$S$1</formula>
    </cfRule>
    <cfRule type="cellIs" dxfId="24" priority="834" operator="equal">
      <formula>$U$1</formula>
    </cfRule>
  </conditionalFormatting>
  <conditionalFormatting sqref="C77">
    <cfRule type="cellIs" dxfId="23" priority="831" operator="equal">
      <formula>$U$1</formula>
    </cfRule>
    <cfRule type="cellIs" dxfId="22" priority="832" operator="equal">
      <formula>$S$1</formula>
    </cfRule>
  </conditionalFormatting>
  <conditionalFormatting sqref="D77">
    <cfRule type="cellIs" dxfId="21" priority="829" operator="equal">
      <formula>$S$1</formula>
    </cfRule>
    <cfRule type="cellIs" dxfId="20" priority="830" operator="equal">
      <formula>$U$1</formula>
    </cfRule>
  </conditionalFormatting>
  <conditionalFormatting sqref="C52">
    <cfRule type="cellIs" dxfId="19" priority="827" operator="equal">
      <formula>$U$1</formula>
    </cfRule>
    <cfRule type="cellIs" dxfId="18" priority="828" operator="equal">
      <formula>$S$1</formula>
    </cfRule>
  </conditionalFormatting>
  <conditionalFormatting sqref="D52">
    <cfRule type="cellIs" dxfId="17" priority="825" operator="equal">
      <formula>$S$1</formula>
    </cfRule>
    <cfRule type="cellIs" dxfId="16" priority="826" operator="equal">
      <formula>$U$1</formula>
    </cfRule>
  </conditionalFormatting>
  <conditionalFormatting sqref="C26">
    <cfRule type="cellIs" dxfId="15" priority="823" operator="equal">
      <formula>$U$1</formula>
    </cfRule>
    <cfRule type="cellIs" dxfId="14" priority="824" operator="equal">
      <formula>$S$1</formula>
    </cfRule>
  </conditionalFormatting>
  <conditionalFormatting sqref="D26">
    <cfRule type="cellIs" dxfId="13" priority="821" operator="equal">
      <formula>$S$1</formula>
    </cfRule>
    <cfRule type="cellIs" dxfId="12" priority="8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2022-01-28T01:20:55Z</dcterms:modified>
</cp:coreProperties>
</file>